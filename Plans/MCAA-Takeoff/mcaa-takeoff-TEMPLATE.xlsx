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teve.Amalfitano\source\repos\PrinceCorwin\VANTAGE\Plans\MCAA-Takeoff\"/>
    </mc:Choice>
  </mc:AlternateContent>
  <xr:revisionPtr revIDLastSave="0" documentId="13_ncr:1_{C2889068-C4D9-4010-B25F-CE553B859799}" xr6:coauthVersionLast="47" xr6:coauthVersionMax="47" xr10:uidLastSave="{00000000-0000-0000-0000-000000000000}"/>
  <bookViews>
    <workbookView xWindow="-120" yWindow="-120" windowWidth="29040" windowHeight="15720" tabRatio="851" xr2:uid="{4DAF2162-30D9-4805-A4C9-815FEE3B4CE7}"/>
  </bookViews>
  <sheets>
    <sheet name="Labor" sheetId="10" r:id="rId1"/>
    <sheet name="Sheet1" sheetId="21" r:id="rId2"/>
    <sheet name="PieCharts" sheetId="20" r:id="rId3"/>
    <sheet name="Summary" sheetId="11" r:id="rId4"/>
    <sheet name="Multipliers" sheetId="19" r:id="rId5"/>
    <sheet name="worksheet" sheetId="15" r:id="rId6"/>
    <sheet name="Rates" sheetId="16" r:id="rId7"/>
  </sheets>
  <definedNames>
    <definedName name="_xlnm._FilterDatabase" localSheetId="0" hidden="1">Labor!$A$1:$BD$2</definedName>
    <definedName name="_xlnm._FilterDatabase" localSheetId="6" hidden="1">Rates!$A$4:$CG$42</definedName>
    <definedName name="_xlnm._FilterDatabase" localSheetId="5" hidden="1">worksheet!$A$1:$D$67</definedName>
    <definedName name="_xlnm.Print_Area" localSheetId="6">Rates!$A$1:$CF$42</definedName>
    <definedName name="_xlnm.Print_Titles" localSheetId="6">Rates!$1:$4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10" l="1"/>
  <c r="AA2" i="10"/>
  <c r="Z2" i="10"/>
  <c r="D28" i="20" l="1" a="1"/>
  <c r="D28" i="20" s="1"/>
  <c r="J3" i="20" a="1"/>
  <c r="J3" i="20" s="1"/>
  <c r="J2" i="20" a="1"/>
  <c r="J2" i="20" s="1"/>
  <c r="I2" i="20" a="1"/>
  <c r="I2" i="20" s="1"/>
  <c r="C2" i="20" a="1"/>
  <c r="C2" i="20" s="1"/>
  <c r="B28" i="20" a="1"/>
  <c r="B28" i="20" s="1"/>
  <c r="B27" i="20" a="1"/>
  <c r="B27" i="20" s="1"/>
  <c r="B29" i="20" l="1"/>
  <c r="J4" i="20"/>
  <c r="AG2" i="10" l="1"/>
  <c r="AH2" i="10"/>
  <c r="AI2" i="10"/>
  <c r="CC31" i="16"/>
  <c r="CB31" i="16"/>
  <c r="CA31" i="16"/>
  <c r="BU31" i="16"/>
  <c r="BS31" i="16"/>
  <c r="BO31" i="16"/>
  <c r="BM31" i="16"/>
  <c r="BK31" i="16"/>
  <c r="BH31" i="16"/>
  <c r="BF31" i="16"/>
  <c r="BC31" i="16"/>
  <c r="BE31" i="16" s="1"/>
  <c r="BA31" i="16"/>
  <c r="BB31" i="16" s="1"/>
  <c r="AY31" i="16"/>
  <c r="AX31" i="16"/>
  <c r="AV31" i="16"/>
  <c r="AU31" i="16"/>
  <c r="AR31" i="16"/>
  <c r="AO31" i="16"/>
  <c r="AL31" i="16"/>
  <c r="AI31" i="16"/>
  <c r="AF31" i="16"/>
  <c r="AC31" i="16"/>
  <c r="Z31" i="16"/>
  <c r="W31" i="16"/>
  <c r="T31" i="16"/>
  <c r="Q31" i="16"/>
  <c r="N31" i="16"/>
  <c r="K31" i="16"/>
  <c r="H31" i="16"/>
  <c r="CC32" i="16"/>
  <c r="CB32" i="16"/>
  <c r="CA32" i="16"/>
  <c r="BU32" i="16"/>
  <c r="BS32" i="16"/>
  <c r="BO32" i="16"/>
  <c r="BM32" i="16"/>
  <c r="BK32" i="16"/>
  <c r="BF32" i="16"/>
  <c r="BH32" i="16" s="1"/>
  <c r="BC32" i="16"/>
  <c r="BE32" i="16" s="1"/>
  <c r="BA32" i="16"/>
  <c r="BB32" i="16" s="1"/>
  <c r="AY32" i="16"/>
  <c r="AV32" i="16"/>
  <c r="AX32" i="16" s="1"/>
  <c r="AU32" i="16"/>
  <c r="AR32" i="16"/>
  <c r="AO32" i="16"/>
  <c r="AL32" i="16"/>
  <c r="AI32" i="16"/>
  <c r="AF32" i="16"/>
  <c r="AC32" i="16"/>
  <c r="Z32" i="16"/>
  <c r="W32" i="16"/>
  <c r="T32" i="16"/>
  <c r="Q32" i="16"/>
  <c r="N32" i="16"/>
  <c r="K32" i="16"/>
  <c r="H32" i="16"/>
  <c r="CC33" i="16"/>
  <c r="CB33" i="16"/>
  <c r="CA33" i="16"/>
  <c r="BU33" i="16"/>
  <c r="BS33" i="16"/>
  <c r="BO33" i="16"/>
  <c r="BF33" i="16"/>
  <c r="BC33" i="16"/>
  <c r="BE33" i="16" s="1"/>
  <c r="BA33" i="16"/>
  <c r="AV33" i="16"/>
  <c r="AX33" i="16" s="1"/>
  <c r="AU33" i="16"/>
  <c r="AR33" i="16"/>
  <c r="AO33" i="16"/>
  <c r="AL33" i="16"/>
  <c r="AI33" i="16"/>
  <c r="AF33" i="16"/>
  <c r="AC33" i="16"/>
  <c r="Z33" i="16"/>
  <c r="W33" i="16"/>
  <c r="T33" i="16"/>
  <c r="Q33" i="16"/>
  <c r="N33" i="16"/>
  <c r="K33" i="16"/>
  <c r="H33" i="16"/>
  <c r="BF40" i="16"/>
  <c r="BC40" i="16"/>
  <c r="BE40" i="16" s="1"/>
  <c r="BA40" i="16"/>
  <c r="AV40" i="16"/>
  <c r="AX40" i="16" s="1"/>
  <c r="AU40" i="16"/>
  <c r="AR40" i="16"/>
  <c r="AO40" i="16"/>
  <c r="AL40" i="16"/>
  <c r="AI40" i="16"/>
  <c r="AF40" i="16"/>
  <c r="AC40" i="16"/>
  <c r="Z40" i="16"/>
  <c r="W40" i="16"/>
  <c r="T40" i="16"/>
  <c r="Q40" i="16"/>
  <c r="N40" i="16"/>
  <c r="K40" i="16"/>
  <c r="H40" i="16"/>
  <c r="CC36" i="16"/>
  <c r="CB36" i="16"/>
  <c r="CA36" i="16"/>
  <c r="BU36" i="16"/>
  <c r="BS36" i="16"/>
  <c r="BO36" i="16"/>
  <c r="BF36" i="16"/>
  <c r="BH36" i="16" s="1"/>
  <c r="BC36" i="16"/>
  <c r="BE36" i="16" s="1"/>
  <c r="BA36" i="16"/>
  <c r="AV36" i="16"/>
  <c r="AX36" i="16" s="1"/>
  <c r="AU36" i="16"/>
  <c r="AR36" i="16"/>
  <c r="AO36" i="16"/>
  <c r="AL36" i="16"/>
  <c r="AI36" i="16"/>
  <c r="AF36" i="16"/>
  <c r="AC36" i="16"/>
  <c r="Z36" i="16"/>
  <c r="W36" i="16"/>
  <c r="T36" i="16"/>
  <c r="Q36" i="16"/>
  <c r="N36" i="16"/>
  <c r="K36" i="16"/>
  <c r="H36" i="16"/>
  <c r="BN31" i="16" l="1"/>
  <c r="BV31" i="16" s="1"/>
  <c r="BI31" i="16"/>
  <c r="BK33" i="16"/>
  <c r="BN32" i="16"/>
  <c r="BI32" i="16"/>
  <c r="AY33" i="16"/>
  <c r="BB33" i="16" s="1"/>
  <c r="AY36" i="16"/>
  <c r="BH33" i="16"/>
  <c r="BK36" i="16"/>
  <c r="BM33" i="16"/>
  <c r="BM40" i="16"/>
  <c r="BH40" i="16"/>
  <c r="BK40" i="16"/>
  <c r="BB36" i="16"/>
  <c r="BI36" i="16" s="1"/>
  <c r="BM36" i="16"/>
  <c r="AY40" i="16"/>
  <c r="BB40" i="16" s="1"/>
  <c r="BN40" i="16" s="1"/>
  <c r="CC42" i="16"/>
  <c r="CB42" i="16"/>
  <c r="CA42" i="16"/>
  <c r="BU42" i="16"/>
  <c r="BS42" i="16"/>
  <c r="BF42" i="16"/>
  <c r="BH42" i="16" s="1"/>
  <c r="BC42" i="16"/>
  <c r="BA42" i="16"/>
  <c r="AV42" i="16"/>
  <c r="AX42" i="16" s="1"/>
  <c r="AU42" i="16"/>
  <c r="AR42" i="16"/>
  <c r="AO42" i="16"/>
  <c r="AL42" i="16"/>
  <c r="AI42" i="16"/>
  <c r="AF42" i="16"/>
  <c r="AC42" i="16"/>
  <c r="Z42" i="16"/>
  <c r="W42" i="16"/>
  <c r="T42" i="16"/>
  <c r="Q42" i="16"/>
  <c r="N42" i="16"/>
  <c r="K42" i="16"/>
  <c r="H42" i="16"/>
  <c r="CC41" i="16"/>
  <c r="CB41" i="16"/>
  <c r="CA41" i="16"/>
  <c r="BU41" i="16"/>
  <c r="BS41" i="16"/>
  <c r="BF41" i="16"/>
  <c r="BH41" i="16" s="1"/>
  <c r="BC41" i="16"/>
  <c r="BE41" i="16" s="1"/>
  <c r="BA41" i="16"/>
  <c r="AV41" i="16"/>
  <c r="AX41" i="16" s="1"/>
  <c r="AU41" i="16"/>
  <c r="AR41" i="16"/>
  <c r="AO41" i="16"/>
  <c r="AL41" i="16"/>
  <c r="AI41" i="16"/>
  <c r="AF41" i="16"/>
  <c r="AC41" i="16"/>
  <c r="Z41" i="16"/>
  <c r="W41" i="16"/>
  <c r="T41" i="16"/>
  <c r="Q41" i="16"/>
  <c r="N41" i="16"/>
  <c r="K41" i="16"/>
  <c r="H41" i="16"/>
  <c r="CC39" i="16"/>
  <c r="CB39" i="16"/>
  <c r="CA39" i="16"/>
  <c r="BU39" i="16"/>
  <c r="BS39" i="16"/>
  <c r="BQ39" i="16"/>
  <c r="BO39" i="16"/>
  <c r="BF39" i="16"/>
  <c r="BH39" i="16" s="1"/>
  <c r="BC39" i="16"/>
  <c r="BA39" i="16"/>
  <c r="AV39" i="16"/>
  <c r="AX39" i="16" s="1"/>
  <c r="AU39" i="16"/>
  <c r="AR39" i="16"/>
  <c r="AO39" i="16"/>
  <c r="AL39" i="16"/>
  <c r="AI39" i="16"/>
  <c r="AF39" i="16"/>
  <c r="AC39" i="16"/>
  <c r="Z39" i="16"/>
  <c r="W39" i="16"/>
  <c r="T39" i="16"/>
  <c r="Q39" i="16"/>
  <c r="N39" i="16"/>
  <c r="K39" i="16"/>
  <c r="H39" i="16"/>
  <c r="CC38" i="16"/>
  <c r="CB38" i="16"/>
  <c r="CA38" i="16"/>
  <c r="BU38" i="16"/>
  <c r="BS38" i="16"/>
  <c r="BO38" i="16"/>
  <c r="BF38" i="16"/>
  <c r="BH38" i="16" s="1"/>
  <c r="BC38" i="16"/>
  <c r="BA38" i="16"/>
  <c r="AV38" i="16"/>
  <c r="AX38" i="16" s="1"/>
  <c r="AU38" i="16"/>
  <c r="AR38" i="16"/>
  <c r="AO38" i="16"/>
  <c r="AL38" i="16"/>
  <c r="AI38" i="16"/>
  <c r="AF38" i="16"/>
  <c r="AC38" i="16"/>
  <c r="Z38" i="16"/>
  <c r="W38" i="16"/>
  <c r="T38" i="16"/>
  <c r="Q38" i="16"/>
  <c r="N38" i="16"/>
  <c r="K38" i="16"/>
  <c r="H38" i="16"/>
  <c r="CC37" i="16"/>
  <c r="CB37" i="16"/>
  <c r="CA37" i="16"/>
  <c r="BU37" i="16"/>
  <c r="BS37" i="16"/>
  <c r="BO37" i="16"/>
  <c r="BF37" i="16"/>
  <c r="BH37" i="16" s="1"/>
  <c r="BC37" i="16"/>
  <c r="BA37" i="16"/>
  <c r="AV37" i="16"/>
  <c r="AX37" i="16" s="1"/>
  <c r="AU37" i="16"/>
  <c r="AR37" i="16"/>
  <c r="AO37" i="16"/>
  <c r="AL37" i="16"/>
  <c r="AI37" i="16"/>
  <c r="AF37" i="16"/>
  <c r="AC37" i="16"/>
  <c r="Z37" i="16"/>
  <c r="W37" i="16"/>
  <c r="T37" i="16"/>
  <c r="Q37" i="16"/>
  <c r="N37" i="16"/>
  <c r="K37" i="16"/>
  <c r="H37" i="16"/>
  <c r="CC35" i="16"/>
  <c r="CB35" i="16"/>
  <c r="CA35" i="16"/>
  <c r="BU35" i="16"/>
  <c r="BS35" i="16"/>
  <c r="BO35" i="16"/>
  <c r="BF35" i="16"/>
  <c r="BH35" i="16" s="1"/>
  <c r="BC35" i="16"/>
  <c r="BA35" i="16"/>
  <c r="AV35" i="16"/>
  <c r="AX35" i="16" s="1"/>
  <c r="AU35" i="16"/>
  <c r="AR35" i="16"/>
  <c r="AO35" i="16"/>
  <c r="AL35" i="16"/>
  <c r="AI35" i="16"/>
  <c r="AF35" i="16"/>
  <c r="AC35" i="16"/>
  <c r="Z35" i="16"/>
  <c r="W35" i="16"/>
  <c r="T35" i="16"/>
  <c r="Q35" i="16"/>
  <c r="N35" i="16"/>
  <c r="K35" i="16"/>
  <c r="H35" i="16"/>
  <c r="CC34" i="16"/>
  <c r="CB34" i="16"/>
  <c r="CA34" i="16"/>
  <c r="BU34" i="16"/>
  <c r="BS34" i="16"/>
  <c r="BO34" i="16"/>
  <c r="BF34" i="16"/>
  <c r="BH34" i="16" s="1"/>
  <c r="BC34" i="16"/>
  <c r="BE34" i="16" s="1"/>
  <c r="BA34" i="16"/>
  <c r="AV34" i="16"/>
  <c r="AX34" i="16" s="1"/>
  <c r="AU34" i="16"/>
  <c r="AR34" i="16"/>
  <c r="AO34" i="16"/>
  <c r="AL34" i="16"/>
  <c r="AI34" i="16"/>
  <c r="AF34" i="16"/>
  <c r="AC34" i="16"/>
  <c r="Z34" i="16"/>
  <c r="W34" i="16"/>
  <c r="T34" i="16"/>
  <c r="Q34" i="16"/>
  <c r="N34" i="16"/>
  <c r="K34" i="16"/>
  <c r="H34" i="16"/>
  <c r="CC30" i="16"/>
  <c r="CB30" i="16"/>
  <c r="CA30" i="16"/>
  <c r="BU30" i="16"/>
  <c r="BS30" i="16"/>
  <c r="BO30" i="16"/>
  <c r="BF30" i="16"/>
  <c r="BC30" i="16"/>
  <c r="BE30" i="16" s="1"/>
  <c r="BA30" i="16"/>
  <c r="AV30" i="16"/>
  <c r="AX30" i="16" s="1"/>
  <c r="AU30" i="16"/>
  <c r="AR30" i="16"/>
  <c r="AO30" i="16"/>
  <c r="AL30" i="16"/>
  <c r="AI30" i="16"/>
  <c r="AF30" i="16"/>
  <c r="AC30" i="16"/>
  <c r="Z30" i="16"/>
  <c r="W30" i="16"/>
  <c r="T30" i="16"/>
  <c r="Q30" i="16"/>
  <c r="N30" i="16"/>
  <c r="K30" i="16"/>
  <c r="H30" i="16"/>
  <c r="CC29" i="16"/>
  <c r="CB29" i="16"/>
  <c r="CA29" i="16"/>
  <c r="BS29" i="16"/>
  <c r="BO29" i="16"/>
  <c r="BF29" i="16"/>
  <c r="BH29" i="16" s="1"/>
  <c r="BC29" i="16"/>
  <c r="BE29" i="16" s="1"/>
  <c r="BA29" i="16"/>
  <c r="AV29" i="16"/>
  <c r="AX29" i="16" s="1"/>
  <c r="AU29" i="16"/>
  <c r="AR29" i="16"/>
  <c r="AO29" i="16"/>
  <c r="AL29" i="16"/>
  <c r="AI29" i="16"/>
  <c r="AF29" i="16"/>
  <c r="AC29" i="16"/>
  <c r="Z29" i="16"/>
  <c r="W29" i="16"/>
  <c r="T29" i="16"/>
  <c r="Q29" i="16"/>
  <c r="N29" i="16"/>
  <c r="K29" i="16"/>
  <c r="H29" i="16"/>
  <c r="CC28" i="16"/>
  <c r="CB28" i="16"/>
  <c r="CA28" i="16"/>
  <c r="BS28" i="16"/>
  <c r="BO28" i="16"/>
  <c r="BF28" i="16"/>
  <c r="BH28" i="16" s="1"/>
  <c r="BC28" i="16"/>
  <c r="BA28" i="16"/>
  <c r="AV28" i="16"/>
  <c r="AX28" i="16" s="1"/>
  <c r="AU28" i="16"/>
  <c r="AR28" i="16"/>
  <c r="AO28" i="16"/>
  <c r="AL28" i="16"/>
  <c r="AI28" i="16"/>
  <c r="AF28" i="16"/>
  <c r="AC28" i="16"/>
  <c r="Z28" i="16"/>
  <c r="W28" i="16"/>
  <c r="T28" i="16"/>
  <c r="Q28" i="16"/>
  <c r="N28" i="16"/>
  <c r="K28" i="16"/>
  <c r="H28" i="16"/>
  <c r="CC27" i="16"/>
  <c r="CB27" i="16"/>
  <c r="CA27" i="16"/>
  <c r="BS27" i="16"/>
  <c r="BO27" i="16"/>
  <c r="BF27" i="16"/>
  <c r="BH27" i="16" s="1"/>
  <c r="BC27" i="16"/>
  <c r="BE27" i="16" s="1"/>
  <c r="BA27" i="16"/>
  <c r="AV27" i="16"/>
  <c r="AX27" i="16" s="1"/>
  <c r="AU27" i="16"/>
  <c r="AR27" i="16"/>
  <c r="AO27" i="16"/>
  <c r="AL27" i="16"/>
  <c r="AI27" i="16"/>
  <c r="AF27" i="16"/>
  <c r="AC27" i="16"/>
  <c r="Z27" i="16"/>
  <c r="W27" i="16"/>
  <c r="T27" i="16"/>
  <c r="Q27" i="16"/>
  <c r="N27" i="16"/>
  <c r="K27" i="16"/>
  <c r="H27" i="16"/>
  <c r="CC26" i="16"/>
  <c r="CB26" i="16"/>
  <c r="CA26" i="16"/>
  <c r="BS26" i="16"/>
  <c r="BO26" i="16"/>
  <c r="BF26" i="16"/>
  <c r="BH26" i="16" s="1"/>
  <c r="BC26" i="16"/>
  <c r="BE26" i="16" s="1"/>
  <c r="BA26" i="16"/>
  <c r="AV26" i="16"/>
  <c r="AX26" i="16" s="1"/>
  <c r="AU26" i="16"/>
  <c r="AR26" i="16"/>
  <c r="AO26" i="16"/>
  <c r="AL26" i="16"/>
  <c r="AI26" i="16"/>
  <c r="AF26" i="16"/>
  <c r="AC26" i="16"/>
  <c r="Z26" i="16"/>
  <c r="W26" i="16"/>
  <c r="T26" i="16"/>
  <c r="Q26" i="16"/>
  <c r="N26" i="16"/>
  <c r="K26" i="16"/>
  <c r="H26" i="16"/>
  <c r="CC25" i="16"/>
  <c r="CB25" i="16"/>
  <c r="CA25" i="16"/>
  <c r="BS25" i="16"/>
  <c r="BQ25" i="16"/>
  <c r="BO25" i="16"/>
  <c r="BF25" i="16"/>
  <c r="BH25" i="16" s="1"/>
  <c r="BC25" i="16"/>
  <c r="BE25" i="16" s="1"/>
  <c r="BA25" i="16"/>
  <c r="AV25" i="16"/>
  <c r="AX25" i="16" s="1"/>
  <c r="AU25" i="16"/>
  <c r="AL25" i="16"/>
  <c r="AC25" i="16"/>
  <c r="Z25" i="16"/>
  <c r="W25" i="16"/>
  <c r="T25" i="16"/>
  <c r="Q25" i="16"/>
  <c r="N25" i="16"/>
  <c r="K25" i="16"/>
  <c r="H25" i="16"/>
  <c r="CC24" i="16"/>
  <c r="CB24" i="16"/>
  <c r="CA24" i="16"/>
  <c r="BS24" i="16"/>
  <c r="BO24" i="16"/>
  <c r="BF24" i="16"/>
  <c r="BH24" i="16" s="1"/>
  <c r="BC24" i="16"/>
  <c r="BA24" i="16"/>
  <c r="AV24" i="16"/>
  <c r="AX24" i="16" s="1"/>
  <c r="AU24" i="16"/>
  <c r="AR24" i="16"/>
  <c r="AL24" i="16"/>
  <c r="AC24" i="16"/>
  <c r="Z24" i="16"/>
  <c r="W24" i="16"/>
  <c r="T24" i="16"/>
  <c r="Q24" i="16"/>
  <c r="N24" i="16"/>
  <c r="K24" i="16"/>
  <c r="H24" i="16"/>
  <c r="CC23" i="16"/>
  <c r="CB23" i="16"/>
  <c r="CA23" i="16"/>
  <c r="BS23" i="16"/>
  <c r="BO23" i="16"/>
  <c r="BF23" i="16"/>
  <c r="BH23" i="16" s="1"/>
  <c r="BC23" i="16"/>
  <c r="BE23" i="16" s="1"/>
  <c r="BA23" i="16"/>
  <c r="AV23" i="16"/>
  <c r="AX23" i="16" s="1"/>
  <c r="AU23" i="16"/>
  <c r="AL23" i="16"/>
  <c r="AC23" i="16"/>
  <c r="Z23" i="16"/>
  <c r="W23" i="16"/>
  <c r="T23" i="16"/>
  <c r="Q23" i="16"/>
  <c r="N23" i="16"/>
  <c r="K23" i="16"/>
  <c r="H23" i="16"/>
  <c r="CC22" i="16"/>
  <c r="CB22" i="16"/>
  <c r="CA22" i="16"/>
  <c r="BS22" i="16"/>
  <c r="BO22" i="16"/>
  <c r="BF22" i="16"/>
  <c r="BH22" i="16" s="1"/>
  <c r="BC22" i="16"/>
  <c r="BE22" i="16" s="1"/>
  <c r="BA22" i="16"/>
  <c r="AV22" i="16"/>
  <c r="AX22" i="16" s="1"/>
  <c r="AU22" i="16"/>
  <c r="AL22" i="16"/>
  <c r="AC22" i="16"/>
  <c r="Z22" i="16"/>
  <c r="W22" i="16"/>
  <c r="T22" i="16"/>
  <c r="Q22" i="16"/>
  <c r="N22" i="16"/>
  <c r="K22" i="16"/>
  <c r="H22" i="16"/>
  <c r="CC21" i="16"/>
  <c r="CB21" i="16"/>
  <c r="CA21" i="16"/>
  <c r="BS21" i="16"/>
  <c r="BO21" i="16"/>
  <c r="BF21" i="16"/>
  <c r="BH21" i="16" s="1"/>
  <c r="BC21" i="16"/>
  <c r="BE21" i="16" s="1"/>
  <c r="BA21" i="16"/>
  <c r="AV21" i="16"/>
  <c r="AX21" i="16" s="1"/>
  <c r="AU21" i="16"/>
  <c r="AL21" i="16"/>
  <c r="AC21" i="16"/>
  <c r="Z21" i="16"/>
  <c r="W21" i="16"/>
  <c r="T21" i="16"/>
  <c r="Q21" i="16"/>
  <c r="N21" i="16"/>
  <c r="K21" i="16"/>
  <c r="H21" i="16"/>
  <c r="CC20" i="16"/>
  <c r="CB20" i="16"/>
  <c r="CA20" i="16"/>
  <c r="BS20" i="16"/>
  <c r="BQ20" i="16"/>
  <c r="BO20" i="16"/>
  <c r="BF20" i="16"/>
  <c r="BH20" i="16" s="1"/>
  <c r="BC20" i="16"/>
  <c r="BA20" i="16"/>
  <c r="AV20" i="16"/>
  <c r="AX20" i="16" s="1"/>
  <c r="AU20" i="16"/>
  <c r="AR20" i="16"/>
  <c r="AO20" i="16"/>
  <c r="AL20" i="16"/>
  <c r="AI20" i="16"/>
  <c r="AF20" i="16"/>
  <c r="AC20" i="16"/>
  <c r="Z20" i="16"/>
  <c r="W20" i="16"/>
  <c r="T20" i="16"/>
  <c r="Q20" i="16"/>
  <c r="N20" i="16"/>
  <c r="K20" i="16"/>
  <c r="H20" i="16"/>
  <c r="CC19" i="16"/>
  <c r="CB19" i="16"/>
  <c r="CA19" i="16"/>
  <c r="BS19" i="16"/>
  <c r="BQ19" i="16"/>
  <c r="BO19" i="16"/>
  <c r="BF19" i="16"/>
  <c r="BH19" i="16" s="1"/>
  <c r="BC19" i="16"/>
  <c r="BA19" i="16"/>
  <c r="AV19" i="16"/>
  <c r="AX19" i="16" s="1"/>
  <c r="AU19" i="16"/>
  <c r="AR19" i="16"/>
  <c r="AO19" i="16"/>
  <c r="AL19" i="16"/>
  <c r="AI19" i="16"/>
  <c r="AF19" i="16"/>
  <c r="AC19" i="16"/>
  <c r="Z19" i="16"/>
  <c r="W19" i="16"/>
  <c r="T19" i="16"/>
  <c r="Q19" i="16"/>
  <c r="N19" i="16"/>
  <c r="K19" i="16"/>
  <c r="H19" i="16"/>
  <c r="CC18" i="16"/>
  <c r="CB18" i="16"/>
  <c r="CA18" i="16"/>
  <c r="BS18" i="16"/>
  <c r="BQ18" i="16"/>
  <c r="BO18" i="16"/>
  <c r="BF18" i="16"/>
  <c r="BC18" i="16"/>
  <c r="BA18" i="16"/>
  <c r="AV18" i="16"/>
  <c r="AX18" i="16" s="1"/>
  <c r="AU18" i="16"/>
  <c r="AR18" i="16"/>
  <c r="AO18" i="16"/>
  <c r="AL18" i="16"/>
  <c r="AI18" i="16"/>
  <c r="AF18" i="16"/>
  <c r="AC18" i="16"/>
  <c r="Z18" i="16"/>
  <c r="W18" i="16"/>
  <c r="T18" i="16"/>
  <c r="Q18" i="16"/>
  <c r="N18" i="16"/>
  <c r="K18" i="16"/>
  <c r="H18" i="16"/>
  <c r="CC17" i="16"/>
  <c r="CB17" i="16"/>
  <c r="CA17" i="16"/>
  <c r="BS17" i="16"/>
  <c r="BQ17" i="16"/>
  <c r="BO17" i="16"/>
  <c r="BF17" i="16"/>
  <c r="BH17" i="16" s="1"/>
  <c r="BC17" i="16"/>
  <c r="BA17" i="16"/>
  <c r="AV17" i="16"/>
  <c r="AX17" i="16" s="1"/>
  <c r="AU17" i="16"/>
  <c r="AR17" i="16"/>
  <c r="AO17" i="16"/>
  <c r="AL17" i="16"/>
  <c r="AI17" i="16"/>
  <c r="AF17" i="16"/>
  <c r="AC17" i="16"/>
  <c r="Z17" i="16"/>
  <c r="W17" i="16"/>
  <c r="T17" i="16"/>
  <c r="Q17" i="16"/>
  <c r="N17" i="16"/>
  <c r="K17" i="16"/>
  <c r="H17" i="16"/>
  <c r="CC16" i="16"/>
  <c r="CB16" i="16"/>
  <c r="CA16" i="16"/>
  <c r="BS16" i="16"/>
  <c r="BQ16" i="16"/>
  <c r="BO16" i="16"/>
  <c r="BF16" i="16"/>
  <c r="BH16" i="16" s="1"/>
  <c r="BC16" i="16"/>
  <c r="BE16" i="16" s="1"/>
  <c r="BA16" i="16"/>
  <c r="AV16" i="16"/>
  <c r="AX16" i="16" s="1"/>
  <c r="AU16" i="16"/>
  <c r="AR16" i="16"/>
  <c r="AO16" i="16"/>
  <c r="AL16" i="16"/>
  <c r="AI16" i="16"/>
  <c r="AF16" i="16"/>
  <c r="AC16" i="16"/>
  <c r="Z16" i="16"/>
  <c r="W16" i="16"/>
  <c r="T16" i="16"/>
  <c r="Q16" i="16"/>
  <c r="N16" i="16"/>
  <c r="K16" i="16"/>
  <c r="H16" i="16"/>
  <c r="CC15" i="16"/>
  <c r="CB15" i="16"/>
  <c r="CA15" i="16"/>
  <c r="BS15" i="16"/>
  <c r="BQ15" i="16"/>
  <c r="BO15" i="16"/>
  <c r="BF15" i="16"/>
  <c r="BH15" i="16" s="1"/>
  <c r="BC15" i="16"/>
  <c r="BA15" i="16"/>
  <c r="AV15" i="16"/>
  <c r="AX15" i="16" s="1"/>
  <c r="AU15" i="16"/>
  <c r="AR15" i="16"/>
  <c r="AO15" i="16"/>
  <c r="AL15" i="16"/>
  <c r="AI15" i="16"/>
  <c r="AF15" i="16"/>
  <c r="AC15" i="16"/>
  <c r="Z15" i="16"/>
  <c r="W15" i="16"/>
  <c r="T15" i="16"/>
  <c r="Q15" i="16"/>
  <c r="N15" i="16"/>
  <c r="K15" i="16"/>
  <c r="H15" i="16"/>
  <c r="CC14" i="16"/>
  <c r="CB14" i="16"/>
  <c r="CA14" i="16"/>
  <c r="BS14" i="16"/>
  <c r="BQ14" i="16"/>
  <c r="BO14" i="16"/>
  <c r="BF14" i="16"/>
  <c r="BH14" i="16" s="1"/>
  <c r="BC14" i="16"/>
  <c r="BA14" i="16"/>
  <c r="AV14" i="16"/>
  <c r="AX14" i="16" s="1"/>
  <c r="AU14" i="16"/>
  <c r="AR14" i="16"/>
  <c r="AO14" i="16"/>
  <c r="AL14" i="16"/>
  <c r="AI14" i="16"/>
  <c r="AF14" i="16"/>
  <c r="AC14" i="16"/>
  <c r="Z14" i="16"/>
  <c r="W14" i="16"/>
  <c r="T14" i="16"/>
  <c r="Q14" i="16"/>
  <c r="N14" i="16"/>
  <c r="K14" i="16"/>
  <c r="H14" i="16"/>
  <c r="CC13" i="16"/>
  <c r="CB13" i="16"/>
  <c r="CA13" i="16"/>
  <c r="BS13" i="16"/>
  <c r="BQ13" i="16"/>
  <c r="BO13" i="16"/>
  <c r="BF13" i="16"/>
  <c r="BH13" i="16" s="1"/>
  <c r="BC13" i="16"/>
  <c r="BA13" i="16"/>
  <c r="AV13" i="16"/>
  <c r="AX13" i="16" s="1"/>
  <c r="AU13" i="16"/>
  <c r="AR13" i="16"/>
  <c r="AO13" i="16"/>
  <c r="AL13" i="16"/>
  <c r="AI13" i="16"/>
  <c r="AF13" i="16"/>
  <c r="AC13" i="16"/>
  <c r="Z13" i="16"/>
  <c r="W13" i="16"/>
  <c r="T13" i="16"/>
  <c r="Q13" i="16"/>
  <c r="N13" i="16"/>
  <c r="K13" i="16"/>
  <c r="H13" i="16"/>
  <c r="CC12" i="16"/>
  <c r="CB12" i="16"/>
  <c r="CA12" i="16"/>
  <c r="BS12" i="16"/>
  <c r="BQ12" i="16"/>
  <c r="BO12" i="16"/>
  <c r="BF12" i="16"/>
  <c r="BH12" i="16" s="1"/>
  <c r="BC12" i="16"/>
  <c r="BA12" i="16"/>
  <c r="AV12" i="16"/>
  <c r="AX12" i="16" s="1"/>
  <c r="AU12" i="16"/>
  <c r="AR12" i="16"/>
  <c r="AO12" i="16"/>
  <c r="AL12" i="16"/>
  <c r="AI12" i="16"/>
  <c r="AF12" i="16"/>
  <c r="AC12" i="16"/>
  <c r="Z12" i="16"/>
  <c r="W12" i="16"/>
  <c r="T12" i="16"/>
  <c r="Q12" i="16"/>
  <c r="N12" i="16"/>
  <c r="K12" i="16"/>
  <c r="H12" i="16"/>
  <c r="CC11" i="16"/>
  <c r="CB11" i="16"/>
  <c r="CA11" i="16"/>
  <c r="BS11" i="16"/>
  <c r="BQ11" i="16"/>
  <c r="BO11" i="16"/>
  <c r="BF11" i="16"/>
  <c r="BH11" i="16" s="1"/>
  <c r="BC11" i="16"/>
  <c r="BE11" i="16" s="1"/>
  <c r="BA11" i="16"/>
  <c r="AV11" i="16"/>
  <c r="AX11" i="16" s="1"/>
  <c r="AU11" i="16"/>
  <c r="AR11" i="16"/>
  <c r="AO11" i="16"/>
  <c r="AL11" i="16"/>
  <c r="AI11" i="16"/>
  <c r="AF11" i="16"/>
  <c r="AC11" i="16"/>
  <c r="Z11" i="16"/>
  <c r="W11" i="16"/>
  <c r="T11" i="16"/>
  <c r="Q11" i="16"/>
  <c r="N11" i="16"/>
  <c r="K11" i="16"/>
  <c r="H11" i="16"/>
  <c r="CC10" i="16"/>
  <c r="CB10" i="16"/>
  <c r="CA10" i="16"/>
  <c r="BS10" i="16"/>
  <c r="BQ10" i="16"/>
  <c r="BO10" i="16"/>
  <c r="BF10" i="16"/>
  <c r="BH10" i="16" s="1"/>
  <c r="BC10" i="16"/>
  <c r="BA10" i="16"/>
  <c r="AV10" i="16"/>
  <c r="AX10" i="16" s="1"/>
  <c r="AU10" i="16"/>
  <c r="AR10" i="16"/>
  <c r="AO10" i="16"/>
  <c r="AL10" i="16"/>
  <c r="AI10" i="16"/>
  <c r="AF10" i="16"/>
  <c r="AC10" i="16"/>
  <c r="Z10" i="16"/>
  <c r="W10" i="16"/>
  <c r="T10" i="16"/>
  <c r="Q10" i="16"/>
  <c r="N10" i="16"/>
  <c r="K10" i="16"/>
  <c r="H10" i="16"/>
  <c r="CC9" i="16"/>
  <c r="CB9" i="16"/>
  <c r="CA9" i="16"/>
  <c r="BS9" i="16"/>
  <c r="BQ9" i="16"/>
  <c r="BO9" i="16"/>
  <c r="BF9" i="16"/>
  <c r="BH9" i="16" s="1"/>
  <c r="BC9" i="16"/>
  <c r="BA9" i="16"/>
  <c r="AV9" i="16"/>
  <c r="AX9" i="16" s="1"/>
  <c r="AU9" i="16"/>
  <c r="AR9" i="16"/>
  <c r="AO9" i="16"/>
  <c r="AL9" i="16"/>
  <c r="AI9" i="16"/>
  <c r="AF9" i="16"/>
  <c r="AC9" i="16"/>
  <c r="Z9" i="16"/>
  <c r="W9" i="16"/>
  <c r="T9" i="16"/>
  <c r="Q9" i="16"/>
  <c r="N9" i="16"/>
  <c r="K9" i="16"/>
  <c r="H9" i="16"/>
  <c r="CC8" i="16"/>
  <c r="CB8" i="16"/>
  <c r="CA8" i="16"/>
  <c r="BS8" i="16"/>
  <c r="BO8" i="16"/>
  <c r="BF8" i="16"/>
  <c r="BH8" i="16" s="1"/>
  <c r="BC8" i="16"/>
  <c r="BA8" i="16"/>
  <c r="AV8" i="16"/>
  <c r="AX8" i="16" s="1"/>
  <c r="AU8" i="16"/>
  <c r="AR8" i="16"/>
  <c r="AO8" i="16"/>
  <c r="AL8" i="16"/>
  <c r="AI8" i="16"/>
  <c r="AF8" i="16"/>
  <c r="AC8" i="16"/>
  <c r="Z8" i="16"/>
  <c r="W8" i="16"/>
  <c r="T8" i="16"/>
  <c r="Q8" i="16"/>
  <c r="N8" i="16"/>
  <c r="K8" i="16"/>
  <c r="H8" i="16"/>
  <c r="CC7" i="16"/>
  <c r="CB7" i="16"/>
  <c r="CA7" i="16"/>
  <c r="BS7" i="16"/>
  <c r="BO7" i="16"/>
  <c r="BF7" i="16"/>
  <c r="BH7" i="16" s="1"/>
  <c r="BC7" i="16"/>
  <c r="BA7" i="16"/>
  <c r="AV7" i="16"/>
  <c r="AX7" i="16" s="1"/>
  <c r="AU7" i="16"/>
  <c r="AR7" i="16"/>
  <c r="AO7" i="16"/>
  <c r="AL7" i="16"/>
  <c r="AI7" i="16"/>
  <c r="AF7" i="16"/>
  <c r="AC7" i="16"/>
  <c r="Z7" i="16"/>
  <c r="W7" i="16"/>
  <c r="T7" i="16"/>
  <c r="Q7" i="16"/>
  <c r="N7" i="16"/>
  <c r="K7" i="16"/>
  <c r="H7" i="16"/>
  <c r="CC6" i="16"/>
  <c r="CC40" i="16" s="1"/>
  <c r="CB6" i="16"/>
  <c r="CB40" i="16" s="1"/>
  <c r="CA6" i="16"/>
  <c r="CA40" i="16" s="1"/>
  <c r="BS6" i="16"/>
  <c r="BS40" i="16" s="1"/>
  <c r="BO6" i="16"/>
  <c r="BO40" i="16" s="1"/>
  <c r="BF6" i="16"/>
  <c r="BH6" i="16" s="1"/>
  <c r="BC6" i="16"/>
  <c r="BE6" i="16" s="1"/>
  <c r="BA6" i="16"/>
  <c r="AV6" i="16"/>
  <c r="AX6" i="16" s="1"/>
  <c r="AU6" i="16"/>
  <c r="AR6" i="16"/>
  <c r="AO6" i="16"/>
  <c r="AL6" i="16"/>
  <c r="AI6" i="16"/>
  <c r="AF6" i="16"/>
  <c r="AC6" i="16"/>
  <c r="Z6" i="16"/>
  <c r="W6" i="16"/>
  <c r="T6" i="16"/>
  <c r="Q6" i="16"/>
  <c r="N6" i="16"/>
  <c r="K6" i="16"/>
  <c r="H6" i="16"/>
  <c r="CC5" i="16"/>
  <c r="CB5" i="16"/>
  <c r="CA5" i="16"/>
  <c r="BS5" i="16"/>
  <c r="BO5" i="16"/>
  <c r="BF5" i="16"/>
  <c r="BH5" i="16" s="1"/>
  <c r="BC5" i="16"/>
  <c r="BE5" i="16" s="1"/>
  <c r="BA5" i="16"/>
  <c r="AV5" i="16"/>
  <c r="AX5" i="16" s="1"/>
  <c r="AU5" i="16"/>
  <c r="AR5" i="16"/>
  <c r="AO5" i="16"/>
  <c r="AL5" i="16"/>
  <c r="AI5" i="16"/>
  <c r="AF5" i="16"/>
  <c r="AC5" i="16"/>
  <c r="Z5" i="16"/>
  <c r="W5" i="16"/>
  <c r="T5" i="16"/>
  <c r="Q5" i="16"/>
  <c r="N5" i="16"/>
  <c r="K5" i="16"/>
  <c r="H5" i="16"/>
  <c r="AB2" i="10"/>
  <c r="AD2" i="10" s="1"/>
  <c r="AC2" i="10" l="1"/>
  <c r="AE2" i="10"/>
  <c r="AF2" i="10"/>
  <c r="BP31" i="16"/>
  <c r="BR31" i="16"/>
  <c r="BT31" i="16"/>
  <c r="BN33" i="16"/>
  <c r="BI33" i="16"/>
  <c r="BV32" i="16"/>
  <c r="BT32" i="16"/>
  <c r="BR32" i="16"/>
  <c r="BP32" i="16"/>
  <c r="BR33" i="16"/>
  <c r="BN36" i="16"/>
  <c r="BV36" i="16" s="1"/>
  <c r="BV40" i="16"/>
  <c r="BT40" i="16"/>
  <c r="BR40" i="16"/>
  <c r="BP40" i="16"/>
  <c r="BI40" i="16"/>
  <c r="BK13" i="16"/>
  <c r="BK24" i="16"/>
  <c r="AY12" i="16"/>
  <c r="BB12" i="16" s="1"/>
  <c r="BK17" i="16"/>
  <c r="AY38" i="16"/>
  <c r="BB38" i="16" s="1"/>
  <c r="BK18" i="16"/>
  <c r="BM8" i="16"/>
  <c r="AY9" i="16"/>
  <c r="BB9" i="16" s="1"/>
  <c r="AY19" i="16"/>
  <c r="BB19" i="16" s="1"/>
  <c r="AY42" i="16"/>
  <c r="BB42" i="16" s="1"/>
  <c r="BM14" i="16"/>
  <c r="AY26" i="16"/>
  <c r="BB26" i="16" s="1"/>
  <c r="BI26" i="16" s="1"/>
  <c r="AY30" i="16"/>
  <c r="BB30" i="16" s="1"/>
  <c r="AY20" i="16"/>
  <c r="BB20" i="16" s="1"/>
  <c r="BM18" i="16"/>
  <c r="AY6" i="16"/>
  <c r="BB6" i="16" s="1"/>
  <c r="BE12" i="16"/>
  <c r="BE18" i="16"/>
  <c r="BH30" i="16"/>
  <c r="AY41" i="16"/>
  <c r="BB41" i="16" s="1"/>
  <c r="BK6" i="16"/>
  <c r="AY21" i="16"/>
  <c r="BB21" i="16" s="1"/>
  <c r="BI21" i="16" s="1"/>
  <c r="BK41" i="16"/>
  <c r="AY35" i="16"/>
  <c r="BB35" i="16" s="1"/>
  <c r="BM6" i="16"/>
  <c r="BM7" i="16"/>
  <c r="BM13" i="16"/>
  <c r="AY22" i="16"/>
  <c r="BB22" i="16" s="1"/>
  <c r="BI22" i="16" s="1"/>
  <c r="AY24" i="16"/>
  <c r="BB24" i="16" s="1"/>
  <c r="BK35" i="16"/>
  <c r="BM41" i="16"/>
  <c r="BK22" i="16"/>
  <c r="BE24" i="16"/>
  <c r="BE42" i="16"/>
  <c r="AY25" i="16"/>
  <c r="BB25" i="16" s="1"/>
  <c r="BI25" i="16" s="1"/>
  <c r="BM24" i="16"/>
  <c r="BK42" i="16"/>
  <c r="BM22" i="16"/>
  <c r="AY17" i="16"/>
  <c r="BB17" i="16" s="1"/>
  <c r="BK38" i="16"/>
  <c r="BK26" i="16"/>
  <c r="BE38" i="16"/>
  <c r="BM26" i="16"/>
  <c r="BM35" i="16"/>
  <c r="BK11" i="16"/>
  <c r="BE17" i="16"/>
  <c r="BM38" i="16"/>
  <c r="BM11" i="16"/>
  <c r="AY5" i="16"/>
  <c r="BB5" i="16" s="1"/>
  <c r="BM17" i="16"/>
  <c r="BK27" i="16"/>
  <c r="BM30" i="16"/>
  <c r="AY39" i="16"/>
  <c r="BB39" i="16" s="1"/>
  <c r="BM15" i="16"/>
  <c r="BK15" i="16"/>
  <c r="BE15" i="16"/>
  <c r="AY15" i="16"/>
  <c r="BB15" i="16" s="1"/>
  <c r="BE10" i="16"/>
  <c r="AY10" i="16"/>
  <c r="BB10" i="16" s="1"/>
  <c r="BM10" i="16"/>
  <c r="BK10" i="16"/>
  <c r="BK20" i="16"/>
  <c r="BM20" i="16"/>
  <c r="BE20" i="16"/>
  <c r="BK16" i="16"/>
  <c r="BM39" i="16"/>
  <c r="BE39" i="16"/>
  <c r="BK29" i="16"/>
  <c r="BK5" i="16"/>
  <c r="BM9" i="16"/>
  <c r="AY14" i="16"/>
  <c r="BB14" i="16" s="1"/>
  <c r="BM16" i="16"/>
  <c r="BK25" i="16"/>
  <c r="BM29" i="16"/>
  <c r="BM5" i="16"/>
  <c r="AY8" i="16"/>
  <c r="BB8" i="16" s="1"/>
  <c r="BE9" i="16"/>
  <c r="BM25" i="16"/>
  <c r="AY28" i="16"/>
  <c r="BB28" i="16" s="1"/>
  <c r="BE28" i="16"/>
  <c r="BK34" i="16"/>
  <c r="BK39" i="16"/>
  <c r="BM34" i="16"/>
  <c r="AY13" i="16"/>
  <c r="BB13" i="16" s="1"/>
  <c r="BE14" i="16"/>
  <c r="BE19" i="16"/>
  <c r="BE8" i="16"/>
  <c r="BK9" i="16"/>
  <c r="AY18" i="16"/>
  <c r="BB18" i="16" s="1"/>
  <c r="BK28" i="16"/>
  <c r="AY7" i="16"/>
  <c r="BB7" i="16" s="1"/>
  <c r="BM28" i="16"/>
  <c r="BK30" i="16"/>
  <c r="BE13" i="16"/>
  <c r="BK14" i="16"/>
  <c r="BK19" i="16"/>
  <c r="AY27" i="16"/>
  <c r="BB27" i="16" s="1"/>
  <c r="AY37" i="16"/>
  <c r="BB37" i="16" s="1"/>
  <c r="BK37" i="16"/>
  <c r="BE37" i="16"/>
  <c r="BM19" i="16"/>
  <c r="BK8" i="16"/>
  <c r="BE7" i="16"/>
  <c r="BH18" i="16"/>
  <c r="BK12" i="16"/>
  <c r="BM21" i="16"/>
  <c r="BM37" i="16"/>
  <c r="BM42" i="16"/>
  <c r="AY11" i="16"/>
  <c r="BB11" i="16" s="1"/>
  <c r="BM27" i="16"/>
  <c r="BK7" i="16"/>
  <c r="AY16" i="16"/>
  <c r="BB16" i="16" s="1"/>
  <c r="BM23" i="16"/>
  <c r="BK23" i="16"/>
  <c r="AY23" i="16"/>
  <c r="BB23" i="16" s="1"/>
  <c r="BI23" i="16" s="1"/>
  <c r="AY29" i="16"/>
  <c r="BB29" i="16" s="1"/>
  <c r="BI29" i="16" s="1"/>
  <c r="BE35" i="16"/>
  <c r="BK21" i="16"/>
  <c r="BM12" i="16"/>
  <c r="AY34" i="16"/>
  <c r="BB34" i="16" s="1"/>
  <c r="BI34" i="16" s="1"/>
  <c r="AJ2" i="10" l="1"/>
  <c r="BW31" i="16"/>
  <c r="BY31" i="16" s="1"/>
  <c r="BZ31" i="16" s="1"/>
  <c r="CE31" i="16" s="1"/>
  <c r="BW40" i="16"/>
  <c r="BW32" i="16"/>
  <c r="BY32" i="16" s="1"/>
  <c r="BZ32" i="16" s="1"/>
  <c r="CE32" i="16" s="1"/>
  <c r="BX32" i="16"/>
  <c r="CD32" i="16" s="1"/>
  <c r="BV33" i="16"/>
  <c r="BT33" i="16"/>
  <c r="BP33" i="16"/>
  <c r="BP36" i="16"/>
  <c r="BR36" i="16"/>
  <c r="BT36" i="16"/>
  <c r="BI9" i="16"/>
  <c r="BI19" i="16"/>
  <c r="BI24" i="16"/>
  <c r="BI12" i="16"/>
  <c r="BN20" i="16"/>
  <c r="BR20" i="16" s="1"/>
  <c r="BW20" i="16" s="1"/>
  <c r="BI42" i="16"/>
  <c r="BI7" i="16"/>
  <c r="BI38" i="16"/>
  <c r="BN22" i="16"/>
  <c r="BV22" i="16" s="1"/>
  <c r="BI30" i="16"/>
  <c r="BN27" i="16"/>
  <c r="BR27" i="16" s="1"/>
  <c r="BI35" i="16"/>
  <c r="BN19" i="16"/>
  <c r="BV19" i="16" s="1"/>
  <c r="BN10" i="16"/>
  <c r="BV10" i="16" s="1"/>
  <c r="BN23" i="16"/>
  <c r="BT23" i="16" s="1"/>
  <c r="BN39" i="16"/>
  <c r="BP39" i="16" s="1"/>
  <c r="BN26" i="16"/>
  <c r="BV26" i="16" s="1"/>
  <c r="BN16" i="16"/>
  <c r="BP16" i="16" s="1"/>
  <c r="BT16" i="16" s="1"/>
  <c r="BI27" i="16"/>
  <c r="BN21" i="16"/>
  <c r="BR21" i="16" s="1"/>
  <c r="BN38" i="16"/>
  <c r="BP38" i="16" s="1"/>
  <c r="BI41" i="16"/>
  <c r="BN41" i="16"/>
  <c r="BV41" i="16" s="1"/>
  <c r="BI18" i="16"/>
  <c r="BN18" i="16"/>
  <c r="BV18" i="16" s="1"/>
  <c r="BI11" i="16"/>
  <c r="BN11" i="16"/>
  <c r="BV11" i="16" s="1"/>
  <c r="BI6" i="16"/>
  <c r="BN6" i="16"/>
  <c r="BR6" i="16" s="1"/>
  <c r="BI17" i="16"/>
  <c r="BN17" i="16"/>
  <c r="BN12" i="16"/>
  <c r="BV12" i="16" s="1"/>
  <c r="BI10" i="16"/>
  <c r="BN30" i="16"/>
  <c r="BT30" i="16" s="1"/>
  <c r="BN37" i="16"/>
  <c r="BP37" i="16" s="1"/>
  <c r="BI8" i="16"/>
  <c r="BN42" i="16"/>
  <c r="BV42" i="16" s="1"/>
  <c r="BN24" i="16"/>
  <c r="BT24" i="16" s="1"/>
  <c r="BN7" i="16"/>
  <c r="BP7" i="16" s="1"/>
  <c r="BT7" i="16" s="1"/>
  <c r="BN29" i="16"/>
  <c r="BT29" i="16" s="1"/>
  <c r="BN34" i="16"/>
  <c r="BP34" i="16" s="1"/>
  <c r="BN25" i="16"/>
  <c r="BV25" i="16" s="1"/>
  <c r="BI39" i="16"/>
  <c r="BI20" i="16"/>
  <c r="BN14" i="16"/>
  <c r="BI14" i="16"/>
  <c r="BN13" i="16"/>
  <c r="BI13" i="16"/>
  <c r="BN15" i="16"/>
  <c r="BI15" i="16"/>
  <c r="BI28" i="16"/>
  <c r="BN28" i="16"/>
  <c r="BV20" i="16"/>
  <c r="BN8" i="16"/>
  <c r="BN9" i="16"/>
  <c r="BN35" i="16"/>
  <c r="BI16" i="16"/>
  <c r="BI37" i="16"/>
  <c r="BI5" i="16"/>
  <c r="BN5" i="16"/>
  <c r="BX31" i="16" l="1"/>
  <c r="CD31" i="16" s="1"/>
  <c r="CF31" i="16"/>
  <c r="BW36" i="16"/>
  <c r="BY36" i="16" s="1"/>
  <c r="BZ36" i="16" s="1"/>
  <c r="CE36" i="16" s="1"/>
  <c r="BW33" i="16"/>
  <c r="CF32" i="16"/>
  <c r="BY33" i="16"/>
  <c r="BZ33" i="16" s="1"/>
  <c r="CE33" i="16" s="1"/>
  <c r="BX33" i="16"/>
  <c r="CD33" i="16" s="1"/>
  <c r="BX36" i="16"/>
  <c r="CD36" i="16" s="1"/>
  <c r="CF36" i="16" s="1"/>
  <c r="BR22" i="16"/>
  <c r="BP26" i="16"/>
  <c r="BR26" i="16"/>
  <c r="BT26" i="16"/>
  <c r="BP19" i="16"/>
  <c r="BT19" i="16" s="1"/>
  <c r="BR19" i="16"/>
  <c r="BW19" i="16" s="1"/>
  <c r="BX19" i="16" s="1"/>
  <c r="CD19" i="16" s="1"/>
  <c r="BT22" i="16"/>
  <c r="BP20" i="16"/>
  <c r="BT20" i="16" s="1"/>
  <c r="BR7" i="16"/>
  <c r="BW7" i="16" s="1"/>
  <c r="CF7" i="16" s="1"/>
  <c r="BV7" i="16"/>
  <c r="BP30" i="16"/>
  <c r="BR41" i="16"/>
  <c r="BT41" i="16"/>
  <c r="BP27" i="16"/>
  <c r="BP22" i="16"/>
  <c r="BV38" i="16"/>
  <c r="BR10" i="16"/>
  <c r="BW10" i="16" s="1"/>
  <c r="BY10" i="16" s="1"/>
  <c r="BZ10" i="16" s="1"/>
  <c r="CE10" i="16" s="1"/>
  <c r="BR38" i="16"/>
  <c r="BR16" i="16"/>
  <c r="BW16" i="16" s="1"/>
  <c r="CF16" i="16" s="1"/>
  <c r="BT38" i="16"/>
  <c r="BT27" i="16"/>
  <c r="BV27" i="16"/>
  <c r="BV21" i="16"/>
  <c r="BP10" i="16"/>
  <c r="BT10" i="16" s="1"/>
  <c r="BV16" i="16"/>
  <c r="BT21" i="16"/>
  <c r="BP41" i="16"/>
  <c r="BV37" i="16"/>
  <c r="BR37" i="16"/>
  <c r="BP25" i="16"/>
  <c r="BT37" i="16"/>
  <c r="BP21" i="16"/>
  <c r="BV30" i="16"/>
  <c r="BR30" i="16"/>
  <c r="BV23" i="16"/>
  <c r="BP23" i="16"/>
  <c r="BT42" i="16"/>
  <c r="BP42" i="16"/>
  <c r="BR42" i="16"/>
  <c r="BV34" i="16"/>
  <c r="BR34" i="16"/>
  <c r="BT34" i="16"/>
  <c r="BP12" i="16"/>
  <c r="BT12" i="16" s="1"/>
  <c r="BT39" i="16"/>
  <c r="BR12" i="16"/>
  <c r="BW12" i="16" s="1"/>
  <c r="CF12" i="16" s="1"/>
  <c r="BV39" i="16"/>
  <c r="BV24" i="16"/>
  <c r="BR39" i="16"/>
  <c r="BP24" i="16"/>
  <c r="BR24" i="16"/>
  <c r="BP29" i="16"/>
  <c r="BV29" i="16"/>
  <c r="BR23" i="16"/>
  <c r="BP17" i="16"/>
  <c r="BT17" i="16" s="1"/>
  <c r="BV17" i="16"/>
  <c r="BR17" i="16"/>
  <c r="BW17" i="16" s="1"/>
  <c r="BP6" i="16"/>
  <c r="BT6" i="16" s="1"/>
  <c r="BV6" i="16"/>
  <c r="BW6" i="16"/>
  <c r="BX6" i="16" s="1"/>
  <c r="BP18" i="16"/>
  <c r="BT18" i="16" s="1"/>
  <c r="BT25" i="16"/>
  <c r="BP11" i="16"/>
  <c r="BT11" i="16" s="1"/>
  <c r="BR18" i="16"/>
  <c r="BW18" i="16" s="1"/>
  <c r="CF18" i="16" s="1"/>
  <c r="BR25" i="16"/>
  <c r="BR29" i="16"/>
  <c r="BR11" i="16"/>
  <c r="BW11" i="16" s="1"/>
  <c r="BY11" i="16" s="1"/>
  <c r="BZ11" i="16" s="1"/>
  <c r="CE11" i="16" s="1"/>
  <c r="BV8" i="16"/>
  <c r="BR8" i="16"/>
  <c r="BW8" i="16" s="1"/>
  <c r="BP8" i="16"/>
  <c r="BT8" i="16" s="1"/>
  <c r="BV13" i="16"/>
  <c r="BR13" i="16"/>
  <c r="BW13" i="16" s="1"/>
  <c r="BP13" i="16"/>
  <c r="BT13" i="16" s="1"/>
  <c r="BV14" i="16"/>
  <c r="BP14" i="16"/>
  <c r="BT14" i="16" s="1"/>
  <c r="BR14" i="16"/>
  <c r="BW14" i="16" s="1"/>
  <c r="BV28" i="16"/>
  <c r="BT28" i="16"/>
  <c r="BR28" i="16"/>
  <c r="BP28" i="16"/>
  <c r="BR5" i="16"/>
  <c r="BP5" i="16"/>
  <c r="BV5" i="16"/>
  <c r="BT5" i="16"/>
  <c r="BY20" i="16"/>
  <c r="BZ20" i="16" s="1"/>
  <c r="CE20" i="16" s="1"/>
  <c r="BX20" i="16"/>
  <c r="CD20" i="16" s="1"/>
  <c r="CF20" i="16"/>
  <c r="BV9" i="16"/>
  <c r="BR9" i="16"/>
  <c r="BW9" i="16" s="1"/>
  <c r="BP9" i="16"/>
  <c r="BT9" i="16" s="1"/>
  <c r="BV15" i="16"/>
  <c r="BR15" i="16"/>
  <c r="BW15" i="16" s="1"/>
  <c r="BP15" i="16"/>
  <c r="BT15" i="16" s="1"/>
  <c r="BP35" i="16"/>
  <c r="BT35" i="16"/>
  <c r="BR35" i="16"/>
  <c r="BV35" i="16"/>
  <c r="CF33" i="16" l="1"/>
  <c r="CD6" i="16"/>
  <c r="BX40" i="16"/>
  <c r="CD40" i="16" s="1"/>
  <c r="BW22" i="16"/>
  <c r="BY19" i="16"/>
  <c r="BZ19" i="16" s="1"/>
  <c r="CE19" i="16" s="1"/>
  <c r="CF19" i="16"/>
  <c r="BW26" i="16"/>
  <c r="BX26" i="16" s="1"/>
  <c r="CD26" i="16" s="1"/>
  <c r="BW37" i="16"/>
  <c r="BX37" i="16" s="1"/>
  <c r="CD37" i="16" s="1"/>
  <c r="BX7" i="16"/>
  <c r="CD7" i="16" s="1"/>
  <c r="BY7" i="16"/>
  <c r="BZ7" i="16" s="1"/>
  <c r="CE7" i="16" s="1"/>
  <c r="BW38" i="16"/>
  <c r="BY38" i="16" s="1"/>
  <c r="BZ38" i="16" s="1"/>
  <c r="CE38" i="16" s="1"/>
  <c r="BW41" i="16"/>
  <c r="BY41" i="16" s="1"/>
  <c r="BZ41" i="16" s="1"/>
  <c r="CE41" i="16" s="1"/>
  <c r="BW30" i="16"/>
  <c r="BY30" i="16" s="1"/>
  <c r="BZ30" i="16" s="1"/>
  <c r="CE30" i="16" s="1"/>
  <c r="BW21" i="16"/>
  <c r="BX21" i="16" s="1"/>
  <c r="CD21" i="16" s="1"/>
  <c r="BW27" i="16"/>
  <c r="BY27" i="16" s="1"/>
  <c r="BZ27" i="16" s="1"/>
  <c r="CE27" i="16" s="1"/>
  <c r="CF10" i="16"/>
  <c r="BX10" i="16"/>
  <c r="CD10" i="16" s="1"/>
  <c r="BW39" i="16"/>
  <c r="BY39" i="16" s="1"/>
  <c r="BZ39" i="16" s="1"/>
  <c r="CE39" i="16" s="1"/>
  <c r="BY16" i="16"/>
  <c r="BZ16" i="16" s="1"/>
  <c r="CE16" i="16" s="1"/>
  <c r="BX16" i="16"/>
  <c r="CD16" i="16" s="1"/>
  <c r="CF11" i="16"/>
  <c r="BW42" i="16"/>
  <c r="BX42" i="16" s="1"/>
  <c r="CD42" i="16" s="1"/>
  <c r="BX12" i="16"/>
  <c r="CD12" i="16" s="1"/>
  <c r="BW25" i="16"/>
  <c r="BY25" i="16" s="1"/>
  <c r="BZ25" i="16" s="1"/>
  <c r="CE25" i="16" s="1"/>
  <c r="BW23" i="16"/>
  <c r="BY23" i="16" s="1"/>
  <c r="BZ23" i="16" s="1"/>
  <c r="CE23" i="16" s="1"/>
  <c r="BW34" i="16"/>
  <c r="BX34" i="16" s="1"/>
  <c r="CD34" i="16" s="1"/>
  <c r="BW35" i="16"/>
  <c r="BY35" i="16" s="1"/>
  <c r="BZ35" i="16" s="1"/>
  <c r="CE35" i="16" s="1"/>
  <c r="BW24" i="16"/>
  <c r="BY24" i="16" s="1"/>
  <c r="BZ24" i="16" s="1"/>
  <c r="CE24" i="16" s="1"/>
  <c r="BY6" i="16"/>
  <c r="CF6" i="16"/>
  <c r="BY12" i="16"/>
  <c r="BZ12" i="16" s="1"/>
  <c r="CE12" i="16" s="1"/>
  <c r="BY26" i="16"/>
  <c r="BZ26" i="16" s="1"/>
  <c r="CE26" i="16" s="1"/>
  <c r="CF26" i="16" s="1"/>
  <c r="BX18" i="16"/>
  <c r="CD18" i="16" s="1"/>
  <c r="BY18" i="16"/>
  <c r="BZ18" i="16" s="1"/>
  <c r="CE18" i="16" s="1"/>
  <c r="BY22" i="16"/>
  <c r="BZ22" i="16" s="1"/>
  <c r="CE22" i="16" s="1"/>
  <c r="BX22" i="16"/>
  <c r="CD22" i="16" s="1"/>
  <c r="BW29" i="16"/>
  <c r="BY17" i="16"/>
  <c r="BZ17" i="16" s="1"/>
  <c r="CE17" i="16" s="1"/>
  <c r="CF17" i="16"/>
  <c r="BX17" i="16"/>
  <c r="CD17" i="16" s="1"/>
  <c r="BW28" i="16"/>
  <c r="BY28" i="16" s="1"/>
  <c r="BZ28" i="16" s="1"/>
  <c r="CE28" i="16" s="1"/>
  <c r="BX11" i="16"/>
  <c r="CD11" i="16" s="1"/>
  <c r="BY9" i="16"/>
  <c r="BZ9" i="16" s="1"/>
  <c r="CE9" i="16" s="1"/>
  <c r="BX9" i="16"/>
  <c r="CD9" i="16" s="1"/>
  <c r="CF9" i="16"/>
  <c r="CF14" i="16"/>
  <c r="BY14" i="16"/>
  <c r="BZ14" i="16" s="1"/>
  <c r="CE14" i="16" s="1"/>
  <c r="BX14" i="16"/>
  <c r="CD14" i="16" s="1"/>
  <c r="CF8" i="16"/>
  <c r="BX8" i="16"/>
  <c r="CD8" i="16" s="1"/>
  <c r="BY8" i="16"/>
  <c r="BZ8" i="16" s="1"/>
  <c r="CE8" i="16" s="1"/>
  <c r="BY15" i="16"/>
  <c r="BZ15" i="16" s="1"/>
  <c r="CE15" i="16" s="1"/>
  <c r="BX15" i="16"/>
  <c r="CD15" i="16" s="1"/>
  <c r="CF15" i="16"/>
  <c r="CF13" i="16"/>
  <c r="BX13" i="16"/>
  <c r="CD13" i="16" s="1"/>
  <c r="BY13" i="16"/>
  <c r="BZ13" i="16" s="1"/>
  <c r="CE13" i="16" s="1"/>
  <c r="BW5" i="16"/>
  <c r="D27" i="20" l="1" a="1"/>
  <c r="D27" i="20" s="1"/>
  <c r="D29" i="20" s="1"/>
  <c r="D3" i="20" a="1"/>
  <c r="D3" i="20" s="1"/>
  <c r="D2" i="20" a="1"/>
  <c r="D2" i="20" s="1"/>
  <c r="BY37" i="16"/>
  <c r="BZ37" i="16" s="1"/>
  <c r="CE37" i="16" s="1"/>
  <c r="BZ6" i="16"/>
  <c r="CE6" i="16" s="1"/>
  <c r="BY40" i="16"/>
  <c r="BZ40" i="16" s="1"/>
  <c r="CE40" i="16" s="1"/>
  <c r="CF40" i="16" s="1"/>
  <c r="BY42" i="16"/>
  <c r="BZ42" i="16" s="1"/>
  <c r="CE42" i="16" s="1"/>
  <c r="BX41" i="16"/>
  <c r="CD41" i="16" s="1"/>
  <c r="CF41" i="16" s="1"/>
  <c r="BX30" i="16"/>
  <c r="CD30" i="16" s="1"/>
  <c r="CF30" i="16" s="1"/>
  <c r="BX38" i="16"/>
  <c r="CD38" i="16" s="1"/>
  <c r="CF38" i="16" s="1"/>
  <c r="BX27" i="16"/>
  <c r="CD27" i="16" s="1"/>
  <c r="CF27" i="16" s="1"/>
  <c r="BY21" i="16"/>
  <c r="BZ21" i="16" s="1"/>
  <c r="CE21" i="16" s="1"/>
  <c r="CF21" i="16" s="1"/>
  <c r="BX39" i="16"/>
  <c r="CD39" i="16" s="1"/>
  <c r="CF39" i="16" s="1"/>
  <c r="BY34" i="16"/>
  <c r="BZ34" i="16" s="1"/>
  <c r="CE34" i="16" s="1"/>
  <c r="CF34" i="16" s="1"/>
  <c r="BX35" i="16"/>
  <c r="CD35" i="16" s="1"/>
  <c r="CF35" i="16" s="1"/>
  <c r="BX24" i="16"/>
  <c r="CD24" i="16" s="1"/>
  <c r="CF24" i="16" s="1"/>
  <c r="CF42" i="16"/>
  <c r="CF22" i="16"/>
  <c r="BX28" i="16"/>
  <c r="CD28" i="16" s="1"/>
  <c r="CF28" i="16" s="1"/>
  <c r="BX25" i="16"/>
  <c r="CD25" i="16" s="1"/>
  <c r="CF25" i="16" s="1"/>
  <c r="CF37" i="16"/>
  <c r="BX23" i="16"/>
  <c r="CD23" i="16" s="1"/>
  <c r="CF23" i="16" s="1"/>
  <c r="BY29" i="16"/>
  <c r="BZ29" i="16" s="1"/>
  <c r="CE29" i="16" s="1"/>
  <c r="BX29" i="16"/>
  <c r="CD29" i="16" s="1"/>
  <c r="BY5" i="16"/>
  <c r="CF5" i="16"/>
  <c r="BX5" i="16"/>
  <c r="D4" i="20" l="1"/>
  <c r="CF29" i="16"/>
  <c r="CD5" i="16"/>
  <c r="BZ5" i="16"/>
  <c r="CE5" i="1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<sst xmlns="http://schemas.openxmlformats.org/spreadsheetml/2006/main" count="2597" uniqueCount="2308">
  <si>
    <t>Connections</t>
  </si>
  <si>
    <t>CONNECTIONS BY DRAWING</t>
  </si>
  <si>
    <t>CONNECTIONS BY SIZE</t>
  </si>
  <si>
    <t>MHs</t>
  </si>
  <si>
    <t>CONNECTIONS BY TYPE</t>
  </si>
  <si>
    <t>Count</t>
  </si>
  <si>
    <t>COMPONENTS BY TYPE</t>
  </si>
  <si>
    <t>Malformed Sizes</t>
  </si>
  <si>
    <t>Medium Confidence</t>
  </si>
  <si>
    <t>Low Confidence</t>
  </si>
  <si>
    <t>Flagged Items</t>
  </si>
  <si>
    <t>Field Items</t>
  </si>
  <si>
    <t>Total Connections</t>
  </si>
  <si>
    <t>45L</t>
  </si>
  <si>
    <t>90L</t>
  </si>
  <si>
    <t>ADPT</t>
  </si>
  <si>
    <t>ANLZR</t>
  </si>
  <si>
    <t>BOLT</t>
  </si>
  <si>
    <t>CAP</t>
  </si>
  <si>
    <t>COV</t>
  </si>
  <si>
    <t>CPLG</t>
  </si>
  <si>
    <t>DPAN</t>
  </si>
  <si>
    <t>EWSH</t>
  </si>
  <si>
    <t>F8B</t>
  </si>
  <si>
    <t>FLG</t>
  </si>
  <si>
    <t>FLGA</t>
  </si>
  <si>
    <t>FLGB</t>
  </si>
  <si>
    <t>FLGLJ</t>
  </si>
  <si>
    <t>FLGR</t>
  </si>
  <si>
    <t>FO</t>
  </si>
  <si>
    <t>FS</t>
  </si>
  <si>
    <t>GAUGE</t>
  </si>
  <si>
    <t>GGLASS</t>
  </si>
  <si>
    <t>GSKT</t>
  </si>
  <si>
    <t>HEAT</t>
  </si>
  <si>
    <t>HOSE</t>
  </si>
  <si>
    <t>INST</t>
  </si>
  <si>
    <t>LOL</t>
  </si>
  <si>
    <t>METER</t>
  </si>
  <si>
    <t>NIP</t>
  </si>
  <si>
    <t>PIPE</t>
  </si>
  <si>
    <t>PIPET</t>
  </si>
  <si>
    <t>PLG</t>
  </si>
  <si>
    <t>RED</t>
  </si>
  <si>
    <t>REDT</t>
  </si>
  <si>
    <t>SAFSHW</t>
  </si>
  <si>
    <t>SOL</t>
  </si>
  <si>
    <t>STR</t>
  </si>
  <si>
    <t>STUB</t>
  </si>
  <si>
    <t>SWG</t>
  </si>
  <si>
    <t>TEE</t>
  </si>
  <si>
    <t>TOL</t>
  </si>
  <si>
    <t>TRAP</t>
  </si>
  <si>
    <t>TUBE</t>
  </si>
  <si>
    <t>UN</t>
  </si>
  <si>
    <t>UNRED</t>
  </si>
  <si>
    <t>VBFL</t>
  </si>
  <si>
    <t>VBL</t>
  </si>
  <si>
    <t>VCK</t>
  </si>
  <si>
    <t>VGL</t>
  </si>
  <si>
    <t>VGT</t>
  </si>
  <si>
    <t>VPL</t>
  </si>
  <si>
    <t>VPRV</t>
  </si>
  <si>
    <t>VPSV</t>
  </si>
  <si>
    <t>VRLF</t>
  </si>
  <si>
    <t>VSOL</t>
  </si>
  <si>
    <t>VSPL</t>
  </si>
  <si>
    <t>VSW</t>
  </si>
  <si>
    <t>VVNT</t>
  </si>
  <si>
    <t>WAS</t>
  </si>
  <si>
    <t>WOL</t>
  </si>
  <si>
    <t>Shop Items</t>
  </si>
  <si>
    <t>TAKEOFF SUMMARY</t>
  </si>
  <si>
    <t>BU</t>
  </si>
  <si>
    <t>BW</t>
  </si>
  <si>
    <t>SCRD</t>
  </si>
  <si>
    <t>SW</t>
  </si>
  <si>
    <t>Total MHs</t>
  </si>
  <si>
    <t>0.25</t>
  </si>
  <si>
    <t>0.375</t>
  </si>
  <si>
    <t>0.5</t>
  </si>
  <si>
    <t>0.75</t>
  </si>
  <si>
    <t>1</t>
  </si>
  <si>
    <t>1.25</t>
  </si>
  <si>
    <t>1.5</t>
  </si>
  <si>
    <t>2</t>
  </si>
  <si>
    <t>3</t>
  </si>
  <si>
    <t>4</t>
  </si>
  <si>
    <t>6</t>
  </si>
  <si>
    <t>8</t>
  </si>
  <si>
    <t>10</t>
  </si>
  <si>
    <t>12</t>
  </si>
  <si>
    <t>Total BOM Items</t>
  </si>
  <si>
    <t>Total Drawings</t>
  </si>
  <si>
    <t>LP1Y-ACN-011012-02</t>
  </si>
  <si>
    <t>LP1Y-ACN-011014-02</t>
  </si>
  <si>
    <t>LP1Y-ACN-063302-07</t>
  </si>
  <si>
    <t>LP1Y-ACN-064102-07</t>
  </si>
  <si>
    <t>LP1Y-ACN-107012-04</t>
  </si>
  <si>
    <t>LP1Y-ACN-107102-02</t>
  </si>
  <si>
    <t>LP1Y-ACN-107103-01</t>
  </si>
  <si>
    <t>LP1Y-ACN-107103-02</t>
  </si>
  <si>
    <t>LP1Y-ACN-107105-01</t>
  </si>
  <si>
    <t>LP1Y-ACN-107105-02</t>
  </si>
  <si>
    <t>LP1Y-ACN-107105-03</t>
  </si>
  <si>
    <t>LP1Y-ACN-107105-05</t>
  </si>
  <si>
    <t>LP1Y-ACN-107106-01</t>
  </si>
  <si>
    <t>LP1Y-ACN-107116-01</t>
  </si>
  <si>
    <t>LP1Y-ACN-107117-01</t>
  </si>
  <si>
    <t>LP1Y-ACN-107117-04</t>
  </si>
  <si>
    <t>LP1Y-ACN-107202-02</t>
  </si>
  <si>
    <t>LP1Y-ACN-107203-01</t>
  </si>
  <si>
    <t>LP1Y-ACN-107203-02</t>
  </si>
  <si>
    <t>LP1Y-ACN-107204-01</t>
  </si>
  <si>
    <t>LP1Y-ACN-107204-02</t>
  </si>
  <si>
    <t>LP1Y-ACN-107204-03</t>
  </si>
  <si>
    <t>LP1Y-ACN-107204-05</t>
  </si>
  <si>
    <t>LP1Y-ACN-107206-01</t>
  </si>
  <si>
    <t>LP1Y-ACN-107216-01</t>
  </si>
  <si>
    <t>LP1Y-ACN-107216-04</t>
  </si>
  <si>
    <t>LP1Y-ACN-107217-01</t>
  </si>
  <si>
    <t>LP1Y-ACN-107302-01</t>
  </si>
  <si>
    <t>LP1Y-ACN-107302-03</t>
  </si>
  <si>
    <t>LP1Y-ACN-107303-01</t>
  </si>
  <si>
    <t>LP1Y-ACN-107303-02</t>
  </si>
  <si>
    <t>LP1Y-ACN-107305-01</t>
  </si>
  <si>
    <t>LP1Y-ACN-107305-02</t>
  </si>
  <si>
    <t>LP1Y-ACN-107305-03</t>
  </si>
  <si>
    <t>LP1Y-ACN-107305-04</t>
  </si>
  <si>
    <t>LP1Y-ACN-107306-01</t>
  </si>
  <si>
    <t>LP1Y-ACN-107308-01</t>
  </si>
  <si>
    <t>LP1Y-ACN-107403-01</t>
  </si>
  <si>
    <t>LP1Y-ACN-107403-02</t>
  </si>
  <si>
    <t>LP1Y-ACN-107405-02</t>
  </si>
  <si>
    <t>LP1Y-ACN-107405-03</t>
  </si>
  <si>
    <t>LP1Y-ACN-107405-04</t>
  </si>
  <si>
    <t>LP1Y-ACN-107405-06</t>
  </si>
  <si>
    <t>LP1Y-ACN-107407-01</t>
  </si>
  <si>
    <t>LP1Y-ACN-107407-03</t>
  </si>
  <si>
    <t>LP1Y-ACN-107411-01</t>
  </si>
  <si>
    <t>LP1Y-ACN-107416-01</t>
  </si>
  <si>
    <t>LP1Y-ACN-107416-04</t>
  </si>
  <si>
    <t>LP1Y-ACN-107422-01</t>
  </si>
  <si>
    <t>LP1Y-ACN-107422-03</t>
  </si>
  <si>
    <t>LP1Y-ACN-108112-01</t>
  </si>
  <si>
    <t>LP1Y-ACN-108112-02</t>
  </si>
  <si>
    <t>LP1Y-ACN-108212-01</t>
  </si>
  <si>
    <t>LP1Y-ACN-108212-02</t>
  </si>
  <si>
    <t>LP1Y-ACN-111002-05</t>
  </si>
  <si>
    <t>LP1Y-ACN-111002-06</t>
  </si>
  <si>
    <t>LP1Y-ACN-111003-03</t>
  </si>
  <si>
    <t>LP1Y-ACN-111003-06</t>
  </si>
  <si>
    <t>LP1Y-ACN-111003-07</t>
  </si>
  <si>
    <t>LP1Y-ACN-111203-01</t>
  </si>
  <si>
    <t>LP1Y-ACN-111203-02</t>
  </si>
  <si>
    <t>LP1Y-ACN-111205-03</t>
  </si>
  <si>
    <t>LP1Y-ACN-111205-04</t>
  </si>
  <si>
    <t>LP1Y-ACN-111205-05</t>
  </si>
  <si>
    <t>LP1Y-ACN-111205-06</t>
  </si>
  <si>
    <t>LP1Y-ACN-111205-07</t>
  </si>
  <si>
    <t>LP1Y-ACN-111207-01</t>
  </si>
  <si>
    <t>LP1Y-ACN-111207-03</t>
  </si>
  <si>
    <t>LP1Y-ACN-111207-04</t>
  </si>
  <si>
    <t>LP1Y-ACN-111211-01</t>
  </si>
  <si>
    <t>LP1Y-ACN-111211-03</t>
  </si>
  <si>
    <t>LP1Y-ACN-111212-01</t>
  </si>
  <si>
    <t>LP1Y-ACN-111212-03</t>
  </si>
  <si>
    <t>LP1Y-ACN-177301-01</t>
  </si>
  <si>
    <t>LP1Y-ACN-177301-02</t>
  </si>
  <si>
    <t>LP1Y-ACN-177301-03</t>
  </si>
  <si>
    <t>LP1Y-ACN-177302-02</t>
  </si>
  <si>
    <t>LP1Y-ACN-177302-03</t>
  </si>
  <si>
    <t>LP1Y-ACN-177302-04</t>
  </si>
  <si>
    <t>LP1Y-ACN-177302-05</t>
  </si>
  <si>
    <t>LP1Y-ACN-850013-04</t>
  </si>
  <si>
    <t>LP1Y-ACN-850013-05</t>
  </si>
  <si>
    <t>LP1Y-ACN-850013-06</t>
  </si>
  <si>
    <t>LP1Y-ACNDMSO-010027-04</t>
  </si>
  <si>
    <t>LP1Y-ACNDMSO-110001-01</t>
  </si>
  <si>
    <t>LP1Y-ACNDMSO-110001-03</t>
  </si>
  <si>
    <t>LP1Y-ACNDMSO-110005-01</t>
  </si>
  <si>
    <t>LP1Y-ACNDMSO-110005-03</t>
  </si>
  <si>
    <t>LP1Y-ACNDMSO-110027-01</t>
  </si>
  <si>
    <t>LP1Y-ACNDMSO-110603-01</t>
  </si>
  <si>
    <t>LP1Y-ACNDMSO-110603-02</t>
  </si>
  <si>
    <t>LP1Y-ACNDMSO-110604-03</t>
  </si>
  <si>
    <t>LP1Y-ACNDMSO-110604-04</t>
  </si>
  <si>
    <t>LP1Y-ACNDMSO-110604-05</t>
  </si>
  <si>
    <t>LP1Y-ACNDMSO-110604-06</t>
  </si>
  <si>
    <t>LP1Y-ACNDMSO-110604-07</t>
  </si>
  <si>
    <t>LP1Y-ACNDMSO-110605-01</t>
  </si>
  <si>
    <t>LP1Y-ACNDMSO-110605-03</t>
  </si>
  <si>
    <t>LP1Y-ACNDMSO-110605-04</t>
  </si>
  <si>
    <t>LP1Y-ACNDMSO-110610-01</t>
  </si>
  <si>
    <t>LP1Y-ACNDMSO-110610-02</t>
  </si>
  <si>
    <t>LP1Y-ACNDMSO-110803-01</t>
  </si>
  <si>
    <t>LP1Y-ACNDMSO-110803-02</t>
  </si>
  <si>
    <t>LP1Y-ACNDMSO-110805-01</t>
  </si>
  <si>
    <t>LP1Y-ACNDMSO-110805-02</t>
  </si>
  <si>
    <t>LP1Y-ACNDMSO-110805-03</t>
  </si>
  <si>
    <t>LP1Y-ACNDMSO-110805-05</t>
  </si>
  <si>
    <t>LP1Y-ACNDMSO-110805-06</t>
  </si>
  <si>
    <t>LP1Y-ACNDMSO-110805-07</t>
  </si>
  <si>
    <t>LP1Y-ACNDMSO-110810-01</t>
  </si>
  <si>
    <t>LP1Y-ACNDMSO-110810-03</t>
  </si>
  <si>
    <t>LP1Y-ACNDMSO-110810-04</t>
  </si>
  <si>
    <t>LP1Y-ACNDMSO-110813-01</t>
  </si>
  <si>
    <t>LP1Y-ACNDMSO-110813-02</t>
  </si>
  <si>
    <t>LP1Y-AF-162003-02</t>
  </si>
  <si>
    <t>LP1Y-AF-162003-03</t>
  </si>
  <si>
    <t>LP1Y-AF-162003-04</t>
  </si>
  <si>
    <t>LP1Y-AF-162003-05</t>
  </si>
  <si>
    <t>LP1Y-AF-162003-06</t>
  </si>
  <si>
    <t>LP1Y-AF-162105-01</t>
  </si>
  <si>
    <t>LP1Y-AI(100)-019015-03</t>
  </si>
  <si>
    <t>LP1Y-AI(100)-019025-02</t>
  </si>
  <si>
    <t>LP1Y-AI(100)-019034-02</t>
  </si>
  <si>
    <t>LP1Y-AI(100)-019056-02</t>
  </si>
  <si>
    <t>LP1Y-AI(100)-019062-02</t>
  </si>
  <si>
    <t>LP1Y-AI(100)-019064-02</t>
  </si>
  <si>
    <t>LP1Y-AI(100)-034008-02</t>
  </si>
  <si>
    <t>LP1Y-AI(100)-034051-02</t>
  </si>
  <si>
    <t>LP1Y-AI(100)-034061-02</t>
  </si>
  <si>
    <t>LP1Y-AI(100)-034066-02</t>
  </si>
  <si>
    <t>LP1Y-AI(100)-190023-01</t>
  </si>
  <si>
    <t>LP1Y-AI(100)-191008-01</t>
  </si>
  <si>
    <t>LP1Y-AI(100)-199005-01</t>
  </si>
  <si>
    <t>LP1Y-AI(100)-199005-02</t>
  </si>
  <si>
    <t>LP1Y-AI(100)-199005-03</t>
  </si>
  <si>
    <t>LP1Y-AI(100)-199006-02</t>
  </si>
  <si>
    <t>LP1Y-AI(100)-199006-05</t>
  </si>
  <si>
    <t>LP1Y-AI(100)-356105-02</t>
  </si>
  <si>
    <t>LP1Y-AI(100)-356105-03</t>
  </si>
  <si>
    <t>LP1Y-AI(100)-356112-01</t>
  </si>
  <si>
    <t>LP1Y-AI(100)-356112-02</t>
  </si>
  <si>
    <t>LP1Y-AI(100)-356112-03</t>
  </si>
  <si>
    <t>LP1Y-APL(100)-019005-02</t>
  </si>
  <si>
    <t>LP1Y-APL(100)-019005-03</t>
  </si>
  <si>
    <t>LP1Y-APL(100)-019044-01</t>
  </si>
  <si>
    <t>LP1Y-APL(100)-019044-03</t>
  </si>
  <si>
    <t>LP1Y-APL(100)-019045-01</t>
  </si>
  <si>
    <t>LP1Y-APL(100)-019045-03</t>
  </si>
  <si>
    <t>LP1Y-APL(100)-019047-01</t>
  </si>
  <si>
    <t>LP1Y-APL(100)-019047-02</t>
  </si>
  <si>
    <t>LP1Y-APL(100)-019047-04</t>
  </si>
  <si>
    <t>LP1Y-APL(100)-019048-01</t>
  </si>
  <si>
    <t>LP1Y-APL(100)-019048-02</t>
  </si>
  <si>
    <t>LP1Y-APL(100)-019048-04</t>
  </si>
  <si>
    <t>LP1Y-APL(100)-019049-01</t>
  </si>
  <si>
    <t>LP1Y-APL(100)-019049-02</t>
  </si>
  <si>
    <t>LP1Y-APL(100)-019049-04</t>
  </si>
  <si>
    <t>LP1Y-APL(100)-019071-02</t>
  </si>
  <si>
    <t>LP1Y-APL(100)-019072-15</t>
  </si>
  <si>
    <t>LP1Y-APL(100)-019072-17</t>
  </si>
  <si>
    <t>LP1Y-APL(100)-019072-21</t>
  </si>
  <si>
    <t>LP1Y-APL(100)-019077-02</t>
  </si>
  <si>
    <t>LP1Y-APL(100)-019077-03</t>
  </si>
  <si>
    <t>LP1Y-APL(100)-019077-04</t>
  </si>
  <si>
    <t>LP1Y-APL(100)-019078-04</t>
  </si>
  <si>
    <t>LP1Y-APL(100)-019078-05</t>
  </si>
  <si>
    <t>LP1Y-APL(100)-019078-06</t>
  </si>
  <si>
    <t>LP1Y-APL(100)-019079-02</t>
  </si>
  <si>
    <t>LP1Y-APL(100)-019079-03</t>
  </si>
  <si>
    <t>LP1Y-APL(100)-019079-05</t>
  </si>
  <si>
    <t>LP1Y-APL(100)-019080-03</t>
  </si>
  <si>
    <t>LP1Y-APL(100)-019080-04</t>
  </si>
  <si>
    <t>LP1Y-APL(100)-019081-04</t>
  </si>
  <si>
    <t>LP1Y-APL(100)-019081-05</t>
  </si>
  <si>
    <t>LP1Y-APL(100)-019081-06</t>
  </si>
  <si>
    <t>LP1Y-APL(100)-019082-04</t>
  </si>
  <si>
    <t>LP1Y-APL(100)-019082-05</t>
  </si>
  <si>
    <t>LP1Y-APL(100)-019082-06</t>
  </si>
  <si>
    <t>LP1Y-APL(100)-019083-03</t>
  </si>
  <si>
    <t>LP1Y-APL(100)-019083-04</t>
  </si>
  <si>
    <t>LP1Y-APL(100)-019084-02</t>
  </si>
  <si>
    <t>LP1Y-APL(100)-019085-02</t>
  </si>
  <si>
    <t>LP1Y-APL(100)-019089-02</t>
  </si>
  <si>
    <t>LP1Y-APL(100)-019089-05</t>
  </si>
  <si>
    <t>LP1Y-APL(100)-019089-06</t>
  </si>
  <si>
    <t>LP1Y-APL(100)-019089-07</t>
  </si>
  <si>
    <t>LP1Y-APL(100)-034002-02</t>
  </si>
  <si>
    <t>LP1Y-APL(100)-034002-04</t>
  </si>
  <si>
    <t>LP1Y-APL(100)-034006-02</t>
  </si>
  <si>
    <t>LP1Y-APL(100)-034006-03</t>
  </si>
  <si>
    <t>LP1Y-APL(100)-034006-05</t>
  </si>
  <si>
    <t>LP1Y-APL(100)-034014-01</t>
  </si>
  <si>
    <t>LP1Y-APL(100)-034014-02</t>
  </si>
  <si>
    <t>LP1Y-APL(100)-034014-04</t>
  </si>
  <si>
    <t>LP1Y-APL(100)-034018-01</t>
  </si>
  <si>
    <t>LP1Y-APL(100)-034018-02</t>
  </si>
  <si>
    <t>LP1Y-APL(100)-034018-04</t>
  </si>
  <si>
    <t>LP1Y-APL(100)-034022-02</t>
  </si>
  <si>
    <t>LP1Y-APL(100)-034022-03</t>
  </si>
  <si>
    <t>LP1Y-APL(100)-034049-02</t>
  </si>
  <si>
    <t>LP1Y-APL(100)-034060-02</t>
  </si>
  <si>
    <t>LP1Y-APL(100)-034074-02</t>
  </si>
  <si>
    <t>LP1Y-APL(100)-034160-02</t>
  </si>
  <si>
    <t>LP1Y-APL(100)-034160-03</t>
  </si>
  <si>
    <t>LP1Y-APL(100)-034161-02</t>
  </si>
  <si>
    <t>LP1Y-APL(100)-034161-03</t>
  </si>
  <si>
    <t>LP1Y-APL(100)-034161-04</t>
  </si>
  <si>
    <t>LP1Y-APL(100)-034162-02</t>
  </si>
  <si>
    <t>LP1Y-APL(100)-034162-03</t>
  </si>
  <si>
    <t>LP1Y-APL(100)-034162-04</t>
  </si>
  <si>
    <t>LP1Y-APL(100)-198001-02</t>
  </si>
  <si>
    <t>LP1Y-APL(100)-198001-03</t>
  </si>
  <si>
    <t>LP1Y-APL(100)-198001-04</t>
  </si>
  <si>
    <t>LP1Y-APL(100)-198008-02</t>
  </si>
  <si>
    <t>LP1Y-APL(100)-198008-03</t>
  </si>
  <si>
    <t>LP1Y-APL(100)-198008-04</t>
  </si>
  <si>
    <t>LP1Y-APL(100)-198008-05</t>
  </si>
  <si>
    <t>LP1Y-APL(100)-198013-02</t>
  </si>
  <si>
    <t>LP1Y-APL(100)-198013-03</t>
  </si>
  <si>
    <t>LP1Y-APL(100)-198013-04</t>
  </si>
  <si>
    <t>LP1Y-APL(100)-198042-01</t>
  </si>
  <si>
    <t>LP1Y-APL(100)-198042-03</t>
  </si>
  <si>
    <t>LP1Y-APL(100)-198042-04</t>
  </si>
  <si>
    <t>LP1Y-APL(100)-198042-05</t>
  </si>
  <si>
    <t>LP1Y-APL(100)-198044-01</t>
  </si>
  <si>
    <t>LP1Y-APL(100)-198044-02</t>
  </si>
  <si>
    <t>LP1Y-APL(100)-198044-03</t>
  </si>
  <si>
    <t>LP1Y-APL(100)-198044-04</t>
  </si>
  <si>
    <t>LP1Y-APL(100)-198049-01</t>
  </si>
  <si>
    <t>LP1Y-APL(100)-198049-02</t>
  </si>
  <si>
    <t>LP1Y-APL(100)-198049-03</t>
  </si>
  <si>
    <t>LP1Y-APL(100)-198058-01</t>
  </si>
  <si>
    <t>LP1Y-APL(100)-198058-02</t>
  </si>
  <si>
    <t>LP1Y-APL(100)-198058-04</t>
  </si>
  <si>
    <t>LP1Y-APL(100)-198064-01</t>
  </si>
  <si>
    <t>LP1Y-APL(100)-198064-03</t>
  </si>
  <si>
    <t>LP1Y-APL(100)-198065-01</t>
  </si>
  <si>
    <t>LP1Y-APL(100)-198085-02</t>
  </si>
  <si>
    <t>LP1Y-APL(100)-198086-01</t>
  </si>
  <si>
    <t>LP1Y-APL(100)-198087-01</t>
  </si>
  <si>
    <t>LP1Y-APL(100)-198088-02</t>
  </si>
  <si>
    <t>LP1Y-APL(100)-198089-02</t>
  </si>
  <si>
    <t>LP1Y-APL(100)-198090-02</t>
  </si>
  <si>
    <t>LP1Y-APL(100)-198091-02</t>
  </si>
  <si>
    <t>LP1Y-APL(100)-198092-03</t>
  </si>
  <si>
    <t>LP1Y-APL(100)-198092-04</t>
  </si>
  <si>
    <t>LP1Y-APL(100)-198092-05</t>
  </si>
  <si>
    <t>LP1Y-APL(100)-198093-02</t>
  </si>
  <si>
    <t>LP1Y-APL(100)-198101-01</t>
  </si>
  <si>
    <t>LP1Y-APL(100)-198102-01</t>
  </si>
  <si>
    <t>LP1Y-APL(100)-198103-02</t>
  </si>
  <si>
    <t>LP1Y-APL(100)-198104-02</t>
  </si>
  <si>
    <t>LP1Y-APL(100)-198105-02</t>
  </si>
  <si>
    <t>LP1Y-APL(100)-198106-02</t>
  </si>
  <si>
    <t>LP1Y-APL(100)-198107-02</t>
  </si>
  <si>
    <t>LP1Y-APL(100)-198108-02</t>
  </si>
  <si>
    <t>LP1Y-APL(100)-198109-02</t>
  </si>
  <si>
    <t>LP1Y-APL(100)-198112-01</t>
  </si>
  <si>
    <t>LP1Y-APL(100)-198113-01</t>
  </si>
  <si>
    <t>LP1Y-APL(100)-199001-01</t>
  </si>
  <si>
    <t>LP1Y-APL(100)-199001-02</t>
  </si>
  <si>
    <t>LP1Y-APL(100)-199001-03</t>
  </si>
  <si>
    <t>LP1Y-APL(100)-199001-04</t>
  </si>
  <si>
    <t>LP1Y-APL(100)-199010-02</t>
  </si>
  <si>
    <t>LP1Y-APL(100)-356102-01</t>
  </si>
  <si>
    <t>LP1Y-APL(100)-356102-02</t>
  </si>
  <si>
    <t>LP1Y-APL(100)-356102-03</t>
  </si>
  <si>
    <t>LP1Y-APL(100)-356106-02</t>
  </si>
  <si>
    <t>LP1Y-APL(100)-357004-02</t>
  </si>
  <si>
    <t>LP1Y-APL(100)-357005-01</t>
  </si>
  <si>
    <t>LP1Y-APL(100)-357006-02</t>
  </si>
  <si>
    <t>LP1Y-APL(100)-357007-02</t>
  </si>
  <si>
    <t>LP1Y-AW-165202-01</t>
  </si>
  <si>
    <t>LP1Y-AW-165212-01</t>
  </si>
  <si>
    <t>LP1Y-AW-165302-01</t>
  </si>
  <si>
    <t>LP1Y-AW-165312-01</t>
  </si>
  <si>
    <t>LP1Y-AW-165322-01</t>
  </si>
  <si>
    <t>LP1Y-AW-165332-01</t>
  </si>
  <si>
    <t>LP1Y-AW-199014-01</t>
  </si>
  <si>
    <t>LP1Y-AW-356107-01</t>
  </si>
  <si>
    <t>LP1Y-AWNP-015001-01</t>
  </si>
  <si>
    <t>LP1Y-AWNP-015001-09</t>
  </si>
  <si>
    <t>LP1Y-AWNP-015001-11</t>
  </si>
  <si>
    <t>LP1Y-AWNP-015001-12</t>
  </si>
  <si>
    <t>LP1Y-AWNP-015001-13</t>
  </si>
  <si>
    <t>LP1Y-AWNP-015003-12</t>
  </si>
  <si>
    <t>LP1Y-AWNP-015009-03</t>
  </si>
  <si>
    <t>LP1Y-AWNP-037002-03</t>
  </si>
  <si>
    <t>LP1Y-AWNP-037006-04</t>
  </si>
  <si>
    <t>LP1Y-AWNP-101105-01</t>
  </si>
  <si>
    <t>LP1Y-AWNP-101105-02</t>
  </si>
  <si>
    <t>LP1Y-AWNP-101106-01</t>
  </si>
  <si>
    <t>LP1Y-AWNP-101106-02</t>
  </si>
  <si>
    <t>LP1Y-AWNP-101106-03</t>
  </si>
  <si>
    <t>LP1Y-AWNP-101107-01</t>
  </si>
  <si>
    <t>LP1Y-AWNP-101108-01</t>
  </si>
  <si>
    <t>LP1Y-AWNP-101110-01</t>
  </si>
  <si>
    <t>LP1Y-AWNP-101110-03</t>
  </si>
  <si>
    <t>LP1Y-AWNP-101110-04</t>
  </si>
  <si>
    <t>LP1Y-AWNP-101114-01</t>
  </si>
  <si>
    <t>LP1Y-AWNP-101302-03</t>
  </si>
  <si>
    <t>LP1Y-AWNP-101302-04</t>
  </si>
  <si>
    <t>LP1Y-AWNP-101305-01</t>
  </si>
  <si>
    <t>LP1Y-AWNP-101305-02</t>
  </si>
  <si>
    <t>LP1Y-AWNP-101307-01</t>
  </si>
  <si>
    <t>LP1Y-AWNP-101308-01</t>
  </si>
  <si>
    <t>LP1Y-AWNP-101309-01</t>
  </si>
  <si>
    <t>LP1Y-AWNP-101309-04</t>
  </si>
  <si>
    <t>LP1Y-AWNP-101309-05</t>
  </si>
  <si>
    <t>LP1Y-AWNP-101309-09</t>
  </si>
  <si>
    <t>LP1Y-AWNP-101309-11</t>
  </si>
  <si>
    <t>LP1Y-AWNP-101310-01</t>
  </si>
  <si>
    <t>LP1Y-AWNP-101310-02</t>
  </si>
  <si>
    <t>LP1Y-AWNP-101314-01</t>
  </si>
  <si>
    <t>LP1Y-AWNP-102092-03</t>
  </si>
  <si>
    <t>LP1Y-AWNP-107093-04</t>
  </si>
  <si>
    <t>LP1Y-AWNP-108094-01</t>
  </si>
  <si>
    <t>LP1Y-AWNP-110094-04</t>
  </si>
  <si>
    <t>LP1Y-AWNP-111092-02</t>
  </si>
  <si>
    <t>LP1Y-AWNP-112092-03</t>
  </si>
  <si>
    <t>LP1Y-AWNP-112202-01</t>
  </si>
  <si>
    <t>LP1Y-AWNP-112202-02</t>
  </si>
  <si>
    <t>LP1Y-AWNP-112204-01</t>
  </si>
  <si>
    <t>LP1Y-AWNP-112204-02</t>
  </si>
  <si>
    <t>LP1Y-AWNP-112204-05</t>
  </si>
  <si>
    <t>LP1Y-AWNP-112204-07</t>
  </si>
  <si>
    <t>LP1Y-AWNP-112204-08</t>
  </si>
  <si>
    <t>LP1Y-AWNP-112205-01</t>
  </si>
  <si>
    <t>LP1Y-AWNP-112205-02</t>
  </si>
  <si>
    <t>LP1Y-AWNP-112207-01</t>
  </si>
  <si>
    <t>LP1Y-AWNP-112207-03</t>
  </si>
  <si>
    <t>LP1Y-AWNP-112217-01</t>
  </si>
  <si>
    <t>LP1Y-AWNP-112217-03</t>
  </si>
  <si>
    <t>LP1Y-AWNP-112402-01</t>
  </si>
  <si>
    <t>LP1Y-AWNP-112402-02</t>
  </si>
  <si>
    <t>LP1Y-AWNP-112404-01</t>
  </si>
  <si>
    <t>LP1Y-AWNP-112404-03</t>
  </si>
  <si>
    <t>LP1Y-AWNP-112404-04</t>
  </si>
  <si>
    <t>LP1Y-AWNP-112405-01</t>
  </si>
  <si>
    <t>LP1Y-AWNP-112405-02</t>
  </si>
  <si>
    <t>LP1Y-AWNP-112407-01</t>
  </si>
  <si>
    <t>LP1Y-AWNP-112417-01</t>
  </si>
  <si>
    <t>LP1Y-AWNP-112417-04</t>
  </si>
  <si>
    <t>LP1Y-AWNP-168101-08</t>
  </si>
  <si>
    <t>LP1Y-AWNP-300092-01</t>
  </si>
  <si>
    <t>LP1Y-AWNP-300092-03</t>
  </si>
  <si>
    <t>LP1Y-AWNP-301091-01</t>
  </si>
  <si>
    <t>LP1Y-AWNP-301091-02</t>
  </si>
  <si>
    <t>LP1Y-AWNP-301091-05</t>
  </si>
  <si>
    <t>LP1Y-AWNP-303091-02</t>
  </si>
  <si>
    <t>LP1Y-AWNP-303091-05</t>
  </si>
  <si>
    <t>LP1Y-AWNP-850001-01</t>
  </si>
  <si>
    <t>LP1Y-AWNP-850001-02</t>
  </si>
  <si>
    <t>LP1Y-AWNP-850001-10</t>
  </si>
  <si>
    <t>LP1Y-AWNP-850008-01</t>
  </si>
  <si>
    <t>LP1Y-AWNP-850008-06</t>
  </si>
  <si>
    <t>LP1Y-BS-100103-01</t>
  </si>
  <si>
    <t>LP1Y-BS-100103-02</t>
  </si>
  <si>
    <t>LP1Y-BS-100104-01</t>
  </si>
  <si>
    <t>LP1Y-BS-100104-02</t>
  </si>
  <si>
    <t>LP1Y-BS-100104-15</t>
  </si>
  <si>
    <t>LP1Y-BS-100106-01</t>
  </si>
  <si>
    <t>LP1Y-BS-100106-02</t>
  </si>
  <si>
    <t>LP1Y-BS-100107-01</t>
  </si>
  <si>
    <t>LP1Y-BS-100107-02</t>
  </si>
  <si>
    <t>LP1Y-BS-100111-01</t>
  </si>
  <si>
    <t>LP1Y-BS-178301-01</t>
  </si>
  <si>
    <t>LP1Y-BS-178301-02</t>
  </si>
  <si>
    <t>LP1Y-BS-178302-01</t>
  </si>
  <si>
    <t>LP1Y-BS-178302-02</t>
  </si>
  <si>
    <t>LP1Y-BS-178302-05</t>
  </si>
  <si>
    <t>LP1Y-BS-178302-06</t>
  </si>
  <si>
    <t>LP1Y-BS-178304-01</t>
  </si>
  <si>
    <t>LP1Y-CHWR-111405-05</t>
  </si>
  <si>
    <t>LP1Y-CHWS-017040-06</t>
  </si>
  <si>
    <t>LP1Y-CIPS-162002-02</t>
  </si>
  <si>
    <t>LP1Y-CIPS-162002-03</t>
  </si>
  <si>
    <t>LP1Y-CIPS-162002-04</t>
  </si>
  <si>
    <t>LP1Y-CIPS-162002-05</t>
  </si>
  <si>
    <t>LP1Y-CIPS-162002-06</t>
  </si>
  <si>
    <t>LP1Y-CIPS-162002-07</t>
  </si>
  <si>
    <t>LP1Y-CIPS-162203-01</t>
  </si>
  <si>
    <t>LP1Y-CIPS-162204-01</t>
  </si>
  <si>
    <t>LP1Y-CIPS-162204-02</t>
  </si>
  <si>
    <t>LP1Y-CIPS-162205-01</t>
  </si>
  <si>
    <t>LP1Y-CIPS-162205-02</t>
  </si>
  <si>
    <t>LP1Y-DCM-111403-01</t>
  </si>
  <si>
    <t>LP1Y-DCM-111403-02</t>
  </si>
  <si>
    <t>LP1Y-DCM-111404-03</t>
  </si>
  <si>
    <t>LP1Y-DCM-111404-04</t>
  </si>
  <si>
    <t>LP1Y-DCM-111404-05</t>
  </si>
  <si>
    <t>LP1Y-DCM-111406-01</t>
  </si>
  <si>
    <t>LP1Y-DCM-111406-03</t>
  </si>
  <si>
    <t>LP1Y-DCM-111416-01</t>
  </si>
  <si>
    <t>LP1Y-DCM-111416-03</t>
  </si>
  <si>
    <t>LP1Y-DCM-111417-01</t>
  </si>
  <si>
    <t>LP1Y-DCM-111417-03</t>
  </si>
  <si>
    <t>LP1Y-DCM-111419-01</t>
  </si>
  <si>
    <t>LP1Y-DCM-177201-01</t>
  </si>
  <si>
    <t>LP1Y-DCM-177201-02</t>
  </si>
  <si>
    <t>LP1Y-DCM-177201-03</t>
  </si>
  <si>
    <t>LP1Y-DCM-177202-02</t>
  </si>
  <si>
    <t>LP1Y-DCM-177202-03</t>
  </si>
  <si>
    <t>LP1Y-DCM-177202-04</t>
  </si>
  <si>
    <t>LP1Y-DCM-177202-05</t>
  </si>
  <si>
    <t>LP1Y-DMF-062302-16</t>
  </si>
  <si>
    <t>LP1Y-DMF-065102-16</t>
  </si>
  <si>
    <t>LP1Y-DMF-102102-02</t>
  </si>
  <si>
    <t>LP1Y-DMF-102103-01</t>
  </si>
  <si>
    <t>LP1Y-DMF-102103-02</t>
  </si>
  <si>
    <t>LP1Y-DMF-102104-02</t>
  </si>
  <si>
    <t>LP1Y-DMF-102104-03</t>
  </si>
  <si>
    <t>LP1Y-DMF-102104-04</t>
  </si>
  <si>
    <t>LP1Y-DMF-102104-07</t>
  </si>
  <si>
    <t>LP1Y-DMF-102105-01</t>
  </si>
  <si>
    <t>LP1Y-DMF-102105-03</t>
  </si>
  <si>
    <t>LP1Y-DMF-102106-01</t>
  </si>
  <si>
    <t>LP1Y-DMF-102106-03</t>
  </si>
  <si>
    <t>LP1Y-DMF-102108-01</t>
  </si>
  <si>
    <t>LP1Y-DMF-102108-03</t>
  </si>
  <si>
    <t>LP1Y-DMF-102203-01</t>
  </si>
  <si>
    <t>LP1Y-DMF-102203-02</t>
  </si>
  <si>
    <t>LP1Y-DMF-102204-01</t>
  </si>
  <si>
    <t>LP1Y-DMF-102204-02</t>
  </si>
  <si>
    <t>LP1Y-DMF-102204-03</t>
  </si>
  <si>
    <t>LP1Y-DMF-102205-01</t>
  </si>
  <si>
    <t>LP1Y-DMF-102205-03</t>
  </si>
  <si>
    <t>LP1Y-DMF-102206-01</t>
  </si>
  <si>
    <t>LP1Y-DMF-102206-03</t>
  </si>
  <si>
    <t>LP1Y-DMF-102211-01</t>
  </si>
  <si>
    <t>LP1Y-DMF-102211-03</t>
  </si>
  <si>
    <t>LP1Y-DMF-175101-01</t>
  </si>
  <si>
    <t>LP1Y-DMF-175101-02</t>
  </si>
  <si>
    <t>LP1Y-DMF-175101-03</t>
  </si>
  <si>
    <t>LP1Y-DMF-175102-01</t>
  </si>
  <si>
    <t>LP1Y-DMF-175102-02</t>
  </si>
  <si>
    <t>LP1Y-DMF-175102-04</t>
  </si>
  <si>
    <t>LP1Y-DMF-175102-06</t>
  </si>
  <si>
    <t>LP1Y-DMF-175102-08</t>
  </si>
  <si>
    <t>LP1Y-DMSO-010029-04</t>
  </si>
  <si>
    <t>LP1Y-DMSO-062102-08</t>
  </si>
  <si>
    <t>LP1Y-DMSO-110002-01</t>
  </si>
  <si>
    <t>LP1Y-DMSO-110002-04</t>
  </si>
  <si>
    <t>LP1Y-DMSO-110201-01</t>
  </si>
  <si>
    <t>LP1Y-DMSO-110203-01</t>
  </si>
  <si>
    <t>LP1Y-DMSO-110203-02</t>
  </si>
  <si>
    <t>LP1Y-DMSO-110204-01</t>
  </si>
  <si>
    <t>LP1Y-DMSO-110204-04</t>
  </si>
  <si>
    <t>LP1Y-DMSO-110205-01</t>
  </si>
  <si>
    <t>LP1Y-DMSO-110205-02</t>
  </si>
  <si>
    <t>LP1Y-DMSO-110205-03</t>
  </si>
  <si>
    <t>LP1Y-DMSO-110205-04</t>
  </si>
  <si>
    <t>LP1Y-DMSO-110205-05</t>
  </si>
  <si>
    <t>LP1Y-DMSO-110205-07</t>
  </si>
  <si>
    <t>LP1Y-DMSO-110205-08</t>
  </si>
  <si>
    <t>LP1Y-DMSO-110205-09</t>
  </si>
  <si>
    <t>LP1Y-DMSO-110205-10</t>
  </si>
  <si>
    <t>LP1Y-DMSO-110205-11</t>
  </si>
  <si>
    <t>LP1Y-DMSO-110207-02</t>
  </si>
  <si>
    <t>LP1Y-DMSO-110208-01</t>
  </si>
  <si>
    <t>LP1Y-DMSO-110208-02</t>
  </si>
  <si>
    <t>LP1Y-DMSO-110212-01</t>
  </si>
  <si>
    <t>LP1Y-DMSO-176201-01</t>
  </si>
  <si>
    <t>LP1Y-DMSO-176201-02</t>
  </si>
  <si>
    <t>LP1Y-DMSO-176201-03</t>
  </si>
  <si>
    <t>LP1Y-DMSO-176202-05</t>
  </si>
  <si>
    <t>LP1Y-DMSO-176202-06</t>
  </si>
  <si>
    <t>LP1Y-DMSO-176202-07</t>
  </si>
  <si>
    <t>LP1Y-DMSO-176202-08</t>
  </si>
  <si>
    <t>LP1Y-DMSO-176202-09</t>
  </si>
  <si>
    <t>LP1Y-ENZ-108008-02</t>
  </si>
  <si>
    <t>LP1Y-ENZ-108115-01</t>
  </si>
  <si>
    <t>LP1Y-ENZ-108221-01</t>
  </si>
  <si>
    <t>LP1Y-ENZ-162001-01</t>
  </si>
  <si>
    <t>LP1Y-ENZ-162001-02</t>
  </si>
  <si>
    <t>LP1Y-ENZ-162001-06</t>
  </si>
  <si>
    <t>LP1Y-ENZ-162001-07</t>
  </si>
  <si>
    <t>LP1Y-ENZ-162305-01</t>
  </si>
  <si>
    <t>LP1Y-H2SO4-013011-17</t>
  </si>
  <si>
    <t>LP1Y-H2SO4-016001-02</t>
  </si>
  <si>
    <t>LP1Y-H2SO4-016003-02</t>
  </si>
  <si>
    <t>LP1Y-H2SO4-016018-02</t>
  </si>
  <si>
    <t>LP1Y-H2SO4-016018-04</t>
  </si>
  <si>
    <t>LP1Y-H2SO4-016019-06</t>
  </si>
  <si>
    <t>LP1Y-H2SO4-016021-03</t>
  </si>
  <si>
    <t>LP1Y-H2SO4-100302-01</t>
  </si>
  <si>
    <t>LP1Y-H2SO4-100302-02</t>
  </si>
  <si>
    <t>LP1Y-H2SO4-100303-01</t>
  </si>
  <si>
    <t>LP1Y-H2SO4-100303-02</t>
  </si>
  <si>
    <t>LP1Y-H2SO4-100303-06</t>
  </si>
  <si>
    <t>LP1Y-H2SO4-100304-01</t>
  </si>
  <si>
    <t>LP1Y-H2SO4-100304-02</t>
  </si>
  <si>
    <t>LP1Y-H2SO4-100314-01</t>
  </si>
  <si>
    <t>LP1Y-H2SO4-100314-02</t>
  </si>
  <si>
    <t>LP1Y-H2SO4-101011-02</t>
  </si>
  <si>
    <t>LP1Y-H2SO4-101303-03</t>
  </si>
  <si>
    <t>LP1Y-H2SO4-101516-01</t>
  </si>
  <si>
    <t>LP1Y-H2SO4-101703-03</t>
  </si>
  <si>
    <t>LP1Y-H2SO4-108118-02</t>
  </si>
  <si>
    <t>LP1Y-H2SO4-108220-01</t>
  </si>
  <si>
    <t>LP1Y-H2SO4-178101-01</t>
  </si>
  <si>
    <t>LP1Y-H2SO4-178101-02</t>
  </si>
  <si>
    <t>LP1Y-H2SO4-178101-03</t>
  </si>
  <si>
    <t>LP1Y-H2SO4-178102-03</t>
  </si>
  <si>
    <t>LP1Y-H2SO4-178102-04</t>
  </si>
  <si>
    <t>LP1Y-H2SO4-178102-06</t>
  </si>
  <si>
    <t>LP1Y-H2SO4-178102-07</t>
  </si>
  <si>
    <t>LP1Y-IPA-010020-05</t>
  </si>
  <si>
    <t>LP1Y-IPA-111603-01</t>
  </si>
  <si>
    <t>LP1Y-IPA-111603-02</t>
  </si>
  <si>
    <t>LP1Y-IPA-111604-02</t>
  </si>
  <si>
    <t>LP1Y-IPA-111604-03</t>
  </si>
  <si>
    <t>LP1Y-IPA-111604-04</t>
  </si>
  <si>
    <t>LP1Y-IPA-111605-01</t>
  </si>
  <si>
    <t>LP1Y-IPA-111605-03</t>
  </si>
  <si>
    <t>LP1Y-IPA-111606-01</t>
  </si>
  <si>
    <t>LP1Y-IPA-111606-04</t>
  </si>
  <si>
    <t>LP1Y-IPA-111608-01</t>
  </si>
  <si>
    <t>LP1Y-IPA-111608-04</t>
  </si>
  <si>
    <t>LP1Y-IPA-177101-01</t>
  </si>
  <si>
    <t>LP1Y-IPA-177101-02</t>
  </si>
  <si>
    <t>LP1Y-IPA-177101-03</t>
  </si>
  <si>
    <t>LP1Y-IPA-177102-03</t>
  </si>
  <si>
    <t>LP1Y-IPA-177102-04</t>
  </si>
  <si>
    <t>LP1Y-IPA-177102-05</t>
  </si>
  <si>
    <t>LP1Y-IPA-177102-06</t>
  </si>
  <si>
    <t>LP1Y-MTBE-063102-07</t>
  </si>
  <si>
    <t>LP1Y-MTBE-112001-01</t>
  </si>
  <si>
    <t>LP1Y-MTBE-112001-03</t>
  </si>
  <si>
    <t>LP1Y-MTBE-112103-01</t>
  </si>
  <si>
    <t>LP1Y-MTBE-112103-02</t>
  </si>
  <si>
    <t>LP1Y-MTBE-112105-02</t>
  </si>
  <si>
    <t>LP1Y-MTBE-112105-03</t>
  </si>
  <si>
    <t>LP1Y-MTBE-112105-04</t>
  </si>
  <si>
    <t>LP1Y-MTBE-112107-01</t>
  </si>
  <si>
    <t>LP1Y-MTBE-112107-03</t>
  </si>
  <si>
    <t>LP1Y-MTBE-112113-01</t>
  </si>
  <si>
    <t>LP1Y-MTBE-112113-03</t>
  </si>
  <si>
    <t>LP1Y-MTBE-177401-01</t>
  </si>
  <si>
    <t>LP1Y-MTBE-177401-02</t>
  </si>
  <si>
    <t>LP1Y-MTBE-177401-03</t>
  </si>
  <si>
    <t>LP1Y-MTBE-177402-03</t>
  </si>
  <si>
    <t>LP1Y-MTBE-177402-05</t>
  </si>
  <si>
    <t>LP1Y-MTBE-177402-06</t>
  </si>
  <si>
    <t>LP1Y-MTBE-177402-07</t>
  </si>
  <si>
    <t>LP1Y-MTBE-177402-09</t>
  </si>
  <si>
    <t>LP1Y-N2-101511-01</t>
  </si>
  <si>
    <t>LP1Y-N2-101613-01</t>
  </si>
  <si>
    <t>LP1Y-N2-101713-01</t>
  </si>
  <si>
    <t>LP1Y-N2-102112-01</t>
  </si>
  <si>
    <t>LP1Y-N2-102212-01</t>
  </si>
  <si>
    <t>LP1Y-N2-110816-01</t>
  </si>
  <si>
    <t>LP1Y-N2-111213-01</t>
  </si>
  <si>
    <t>LP1Y-N2-176311-01</t>
  </si>
  <si>
    <t>LP1Y-N2-180029-01</t>
  </si>
  <si>
    <t>LP1Y-N2-180029-02</t>
  </si>
  <si>
    <t>LP1Y-N2-180070-01</t>
  </si>
  <si>
    <t>LP1Y-N2-180072-01</t>
  </si>
  <si>
    <t>LP1Y-N2-180073-01</t>
  </si>
  <si>
    <t>LP1Y-N2-180074-01</t>
  </si>
  <si>
    <t>LP1Y-N2-180075-01</t>
  </si>
  <si>
    <t>LP1Y-N2-180076-01</t>
  </si>
  <si>
    <t>LP1Y-N2-180078-01</t>
  </si>
  <si>
    <t>LP1Y-N2-180094-01</t>
  </si>
  <si>
    <t>LP1Y-N2-180094-02</t>
  </si>
  <si>
    <t>LP1Y-N2-180095-01</t>
  </si>
  <si>
    <t>LP1Y-N2-180095-02</t>
  </si>
  <si>
    <t>LP1Y-N2-180095-04</t>
  </si>
  <si>
    <t>LP1Y-N2-180099-01</t>
  </si>
  <si>
    <t>LP1Y-N2-181032-01</t>
  </si>
  <si>
    <t>LP1Y-N2-181032-02</t>
  </si>
  <si>
    <t>LP1Y-N2-181033-01</t>
  </si>
  <si>
    <t>LP1Y-N2-181033-02</t>
  </si>
  <si>
    <t>LP1Y-N2-181036-01</t>
  </si>
  <si>
    <t>LP1Y-N2-181036-02</t>
  </si>
  <si>
    <t>LP1Y-N2-181066-01</t>
  </si>
  <si>
    <t>LP1Y-N2-181083-01</t>
  </si>
  <si>
    <t>LP1Y-N2-181084-01</t>
  </si>
  <si>
    <t>LP1Y-N2-181087-01</t>
  </si>
  <si>
    <t>LP1Y-N2-181088-01</t>
  </si>
  <si>
    <t>LP1Y-N2-181089-01</t>
  </si>
  <si>
    <t>LP1Y-N2-181111-01</t>
  </si>
  <si>
    <t>LP1Y-N2-181111-02</t>
  </si>
  <si>
    <t>LP1Y-N2-181112-01</t>
  </si>
  <si>
    <t>LP1Y-N2-181112-02</t>
  </si>
  <si>
    <t>LP1Y-N2-181112-04</t>
  </si>
  <si>
    <t>LP1Y-N2-181117-01</t>
  </si>
  <si>
    <t>LP1Y-N2-181118-01</t>
  </si>
  <si>
    <t>LP1Y-N2-181128-01</t>
  </si>
  <si>
    <t>LP1Y-N2-350013-01</t>
  </si>
  <si>
    <t>LP1Y-N2-350014-01</t>
  </si>
  <si>
    <t>LP1Y-N2-350014-02</t>
  </si>
  <si>
    <t>LP1Y-N2-350015-01</t>
  </si>
  <si>
    <t>LP1Y-N2-350015-02</t>
  </si>
  <si>
    <t>LP1Y-N2-350015-03</t>
  </si>
  <si>
    <t>LP1Y-N2-350017-01</t>
  </si>
  <si>
    <t>LP1Y-N2-350019-01</t>
  </si>
  <si>
    <t>LP1Y-N2-350021-01</t>
  </si>
  <si>
    <t>LP1Y-N2-350045-01</t>
  </si>
  <si>
    <t>LP1Y-N2-350045-02</t>
  </si>
  <si>
    <t>LP1Y-N2-350046-01</t>
  </si>
  <si>
    <t>LP1Y-N2-350046-03</t>
  </si>
  <si>
    <t>LP1Y-N2(100)-018004-02</t>
  </si>
  <si>
    <t>LP1Y-N2(100)-018004-03</t>
  </si>
  <si>
    <t>LP1Y-N2(100)-018004-04</t>
  </si>
  <si>
    <t>LP1Y-N2(100)-018010-15</t>
  </si>
  <si>
    <t>LP1Y-N2(100)-018016-01</t>
  </si>
  <si>
    <t>LP1Y-N2(100)-018019-02</t>
  </si>
  <si>
    <t>LP1Y-N2(100)-018025-02</t>
  </si>
  <si>
    <t>LP1Y-N2(100)-018029-02</t>
  </si>
  <si>
    <t>LP1Y-N2(100)-018031-02</t>
  </si>
  <si>
    <t>LP1Y-N2(100)-018035-02</t>
  </si>
  <si>
    <t>LP1Y-N2(100)-018038-02</t>
  </si>
  <si>
    <t>LP1Y-N2(100)-018041-02</t>
  </si>
  <si>
    <t>LP1Y-N2(100)-018044-02</t>
  </si>
  <si>
    <t>LP1Y-N2(100)-018057-02</t>
  </si>
  <si>
    <t>LP1Y-N2(100)-018063-02</t>
  </si>
  <si>
    <t>LP1Y-N2(100)-018065-02</t>
  </si>
  <si>
    <t>LP1Y-N2(100)-034005-01</t>
  </si>
  <si>
    <t>LP1Y-N2(100)-034013-01</t>
  </si>
  <si>
    <t>LP1Y-N2(100)-034017-01</t>
  </si>
  <si>
    <t>LP1Y-N2(100)-034042-02</t>
  </si>
  <si>
    <t>LP1Y-N2(100)-034045-02</t>
  </si>
  <si>
    <t>LP1Y-N2(100)-034045-03</t>
  </si>
  <si>
    <t>LP1Y-N2(100)-034050-03</t>
  </si>
  <si>
    <t>LP1Y-N2(100)-034059-02</t>
  </si>
  <si>
    <t>LP1Y-N2(100)-034065-01</t>
  </si>
  <si>
    <t>LP1Y-N2(100)-034078-01</t>
  </si>
  <si>
    <t>LP1Y-N2(100)-034078-02</t>
  </si>
  <si>
    <t>LP1Y-N2(100)-110812-01</t>
  </si>
  <si>
    <t>LP1Y-N2(100)-180004-01</t>
  </si>
  <si>
    <t>LP1Y-N2(100)-180005-02</t>
  </si>
  <si>
    <t>LP1Y-N2(100)-180008-02</t>
  </si>
  <si>
    <t>LP1Y-N2(100)-180008-03</t>
  </si>
  <si>
    <t>LP1Y-N2(100)-180009-02</t>
  </si>
  <si>
    <t>LP1Y-N2(100)-180009-03</t>
  </si>
  <si>
    <t>LP1Y-N2(100)-180027-01</t>
  </si>
  <si>
    <t>LP1Y-N2(100)-180027-02</t>
  </si>
  <si>
    <t>LP1Y-N2(100)-180043-01</t>
  </si>
  <si>
    <t>LP1Y-N2(100)-180045-02</t>
  </si>
  <si>
    <t>LP1Y-N2(100)-180046-02</t>
  </si>
  <si>
    <t>LP1Y-N2(100)-180047-02</t>
  </si>
  <si>
    <t>LP1Y-N2(100)-180048-04</t>
  </si>
  <si>
    <t>LP1Y-N2(100)-180050-02</t>
  </si>
  <si>
    <t>LP1Y-N2(100)-180068-01</t>
  </si>
  <si>
    <t>LP1Y-N2(100)-180068-02</t>
  </si>
  <si>
    <t>LP1Y-N2(100)-180087-01</t>
  </si>
  <si>
    <t>LP1Y-N2(100)-180087-04</t>
  </si>
  <si>
    <t>LP1Y-N2(100)-180088-02</t>
  </si>
  <si>
    <t>LP1Y-N2(100)-180088-04</t>
  </si>
  <si>
    <t>LP1Y-N2(100)-180089-01</t>
  </si>
  <si>
    <t>LP1Y-N2(100)-180090-01</t>
  </si>
  <si>
    <t>LP1Y-N2(100)-180091-01</t>
  </si>
  <si>
    <t>LP1Y-N2(100)-180092-01</t>
  </si>
  <si>
    <t>LP1Y-N2(100)-181001-02</t>
  </si>
  <si>
    <t>LP1Y-N2(100)-181002-02</t>
  </si>
  <si>
    <t>LP1Y-N2(100)-181003-02</t>
  </si>
  <si>
    <t>LP1Y-N2(100)-181004-02</t>
  </si>
  <si>
    <t>LP1Y-N2(100)-181006-02</t>
  </si>
  <si>
    <t>LP1Y-N2(100)-181007-02</t>
  </si>
  <si>
    <t>LP1Y-N2(100)-181010-01</t>
  </si>
  <si>
    <t>LP1Y-N2(100)-181012-02</t>
  </si>
  <si>
    <t>LP1Y-N2(100)-181012-03</t>
  </si>
  <si>
    <t>LP1Y-N2(100)-181016-02</t>
  </si>
  <si>
    <t>LP1Y-N2(100)-181016-03</t>
  </si>
  <si>
    <t>LP1Y-N2(100)-181020-02</t>
  </si>
  <si>
    <t>LP1Y-N2(100)-181020-03</t>
  </si>
  <si>
    <t>LP1Y-N2(100)-181022-02</t>
  </si>
  <si>
    <t>LP1Y-N2(100)-181022-03</t>
  </si>
  <si>
    <t>LP1Y-N2(100)-181024-02</t>
  </si>
  <si>
    <t>LP1Y-N2(100)-181024-03</t>
  </si>
  <si>
    <t>LP1Y-N2(100)-181027-02</t>
  </si>
  <si>
    <t>LP1Y-N2(100)-181031-02</t>
  </si>
  <si>
    <t>LP1Y-N2(100)-181075-02</t>
  </si>
  <si>
    <t>LP1Y-N2(100)-181076-02</t>
  </si>
  <si>
    <t>LP1Y-N2(100)-181077-01</t>
  </si>
  <si>
    <t>LP1Y-N2(100)-181078-01</t>
  </si>
  <si>
    <t>LP1Y-N2(100)-181079-02</t>
  </si>
  <si>
    <t>LP1Y-N2(100)-181080-02</t>
  </si>
  <si>
    <t>LP1Y-N2(100)-181081-02</t>
  </si>
  <si>
    <t>LP1Y-N2(100)-181082-01</t>
  </si>
  <si>
    <t>LP1Y-N2(100)-181090-02</t>
  </si>
  <si>
    <t>LP1Y-N2(100)-181091-01</t>
  </si>
  <si>
    <t>LP1Y-N2(100)-181103-01</t>
  </si>
  <si>
    <t>LP1Y-N2(100)-181104-01</t>
  </si>
  <si>
    <t>LP1Y-N2(100)-181105-01</t>
  </si>
  <si>
    <t>LP1Y-N2(100)-181105-02</t>
  </si>
  <si>
    <t>LP1Y-N2(100)-181106-01</t>
  </si>
  <si>
    <t>LP1Y-N2(100)-181106-04</t>
  </si>
  <si>
    <t>LP1Y-N2(100)-181106-05</t>
  </si>
  <si>
    <t>LP1Y-N2(100)-181106-06</t>
  </si>
  <si>
    <t>LP1Y-N2(100)-181107-01</t>
  </si>
  <si>
    <t>LP1Y-N2(100)-181108-01</t>
  </si>
  <si>
    <t>LP1Y-N2(100)-181109-01</t>
  </si>
  <si>
    <t>LP1Y-N2(100)-181109-02</t>
  </si>
  <si>
    <t>LP1Y-N2(100)-181109-03</t>
  </si>
  <si>
    <t>LP1Y-N2(100)-181110-01</t>
  </si>
  <si>
    <t>LP1Y-N2(100)-181110-02</t>
  </si>
  <si>
    <t>LP1Y-N2(100)-181127-02</t>
  </si>
  <si>
    <t>LP1Y-N2(100)-181129-02</t>
  </si>
  <si>
    <t>LP1Y-N2(100)-199003-02</t>
  </si>
  <si>
    <t>LP1Y-N2(100)-199003-03</t>
  </si>
  <si>
    <t>LP1Y-N2(100)-350001-01</t>
  </si>
  <si>
    <t>LP1Y-N2(100)-350005-01</t>
  </si>
  <si>
    <t>LP1Y-N2(100)-350006-01</t>
  </si>
  <si>
    <t>LP1Y-N2(100)-350007-01</t>
  </si>
  <si>
    <t>LP1Y-N2(100)-350010-01</t>
  </si>
  <si>
    <t>LP1Y-N2(100)-350011-01</t>
  </si>
  <si>
    <t>LP1Y-N2(100)-350016-01</t>
  </si>
  <si>
    <t>LP1Y-N2(100)-350016-02</t>
  </si>
  <si>
    <t>LP1Y-N2(100)-350018-02</t>
  </si>
  <si>
    <t>LP1Y-N2(100)-350020-02</t>
  </si>
  <si>
    <t>LP1Y-N2(100)-350039-01</t>
  </si>
  <si>
    <t>LP1Y-N2(100)-350040-01</t>
  </si>
  <si>
    <t>LP1Y-N2(100)-350040-02</t>
  </si>
  <si>
    <t>LP1Y-N2(100)-350041-01</t>
  </si>
  <si>
    <t>LP1Y-N2(100)-350041-03</t>
  </si>
  <si>
    <t>LP1Y-N2(100)-350042-01</t>
  </si>
  <si>
    <t>LP1Y-N2(100)-350042-03</t>
  </si>
  <si>
    <t>LP1Y-N2(100)-350043-01</t>
  </si>
  <si>
    <t>LP1Y-N2(100)-350044-01</t>
  </si>
  <si>
    <t>LP1Y-NAOH50-013012-17</t>
  </si>
  <si>
    <t>LP1Y-NAOH50-016002-01</t>
  </si>
  <si>
    <t>LP1Y-NAOH50-016004-03</t>
  </si>
  <si>
    <t>LP1Y-NAOH50-016009-01</t>
  </si>
  <si>
    <t>LP1Y-NAOH50-016020-05</t>
  </si>
  <si>
    <t>LP1Y-NAOH50-016022-03</t>
  </si>
  <si>
    <t>LP1Y-NAOH50-100203-01</t>
  </si>
  <si>
    <t>LP1Y-NAOH50-100203-02</t>
  </si>
  <si>
    <t>LP1Y-NAOH50-100204-01</t>
  </si>
  <si>
    <t>LP1Y-NAOH50-100204-02</t>
  </si>
  <si>
    <t>LP1Y-NAOH50-100204-05</t>
  </si>
  <si>
    <t>LP1Y-NAOH50-100204-06</t>
  </si>
  <si>
    <t>LP1Y-NAOH50-100206-01</t>
  </si>
  <si>
    <t>LP1Y-NAOH50-100206-02</t>
  </si>
  <si>
    <t>LP1Y-NAOH50-100207-01</t>
  </si>
  <si>
    <t>LP1Y-NAOH50-100207-02</t>
  </si>
  <si>
    <t>LP1Y-NAOH50-100211-01</t>
  </si>
  <si>
    <t>LP1Y-NAOH50-101012-02</t>
  </si>
  <si>
    <t>LP1Y-NAOH50-101012-03</t>
  </si>
  <si>
    <t>LP1Y-NAOH50-101304-03</t>
  </si>
  <si>
    <t>LP1Y-NAOH50-101515-01</t>
  </si>
  <si>
    <t>LP1Y-NAOH50-101704-03</t>
  </si>
  <si>
    <t>LP1Y-NAOH50-108121-01</t>
  </si>
  <si>
    <t>LP1Y-NAOH50-108122-01</t>
  </si>
  <si>
    <t>LP1Y-NAOH50-178201-01</t>
  </si>
  <si>
    <t>LP1Y-NAOH50-178201-02</t>
  </si>
  <si>
    <t>LP1Y-NAOH50-178201-03</t>
  </si>
  <si>
    <t>LP1Y-NAOH50-178202-01</t>
  </si>
  <si>
    <t>LP1Y-NAOH50-178202-02</t>
  </si>
  <si>
    <t>LP1Y-NAOH50-178202-03</t>
  </si>
  <si>
    <t>LP1Y-NAOH50-178202-04</t>
  </si>
  <si>
    <t>LP1Y-NAOH50-178202-07</t>
  </si>
  <si>
    <t>LP1Y-NG-097001-02</t>
  </si>
  <si>
    <t>LP1Y-NG-097001-06</t>
  </si>
  <si>
    <t>LP1Y-NG-097002-01</t>
  </si>
  <si>
    <t>LP1Y-NG-097002-02</t>
  </si>
  <si>
    <t>LP1Y-PSC-850002-02</t>
  </si>
  <si>
    <t>LP1Y-PV-100210-01</t>
  </si>
  <si>
    <t>LP1Y-PV-100306-01</t>
  </si>
  <si>
    <t>LP1Y-PV-100307-01</t>
  </si>
  <si>
    <t>LP1Y-PV-101062-01</t>
  </si>
  <si>
    <t>LP1Y-PV-101063-01</t>
  </si>
  <si>
    <t>LP1Y-PV-101063-03</t>
  </si>
  <si>
    <t>LP1Y-PV-101065-01</t>
  </si>
  <si>
    <t>LP1Y-PV-101510-01</t>
  </si>
  <si>
    <t>LP1Y-PV-101510-02</t>
  </si>
  <si>
    <t>LP1Y-PV-101518-01</t>
  </si>
  <si>
    <t>LP1Y-PV-101612-01</t>
  </si>
  <si>
    <t>LP1Y-PV-101612-02</t>
  </si>
  <si>
    <t>LP1Y-PV-101617-01</t>
  </si>
  <si>
    <t>LP1Y-PV-101712-01</t>
  </si>
  <si>
    <t>LP1Y-PV-101712-02</t>
  </si>
  <si>
    <t>LP1Y-PV-101717-01</t>
  </si>
  <si>
    <t>LP1Y-PV-102061-01</t>
  </si>
  <si>
    <t>LP1Y-PV-102062-01</t>
  </si>
  <si>
    <t>LP1Y-PV-102062-02</t>
  </si>
  <si>
    <t>LP1Y-PV-107061-01</t>
  </si>
  <si>
    <t>LP1Y-PV-107062-01</t>
  </si>
  <si>
    <t>LP1Y-PV-107063-01</t>
  </si>
  <si>
    <t>LP1Y-PV-107064-01</t>
  </si>
  <si>
    <t>LP1Y-PV-108061-01</t>
  </si>
  <si>
    <t>LP1Y-PV-108061-02</t>
  </si>
  <si>
    <t>LP1Y-PV-108061-04</t>
  </si>
  <si>
    <t>LP1Y-PV-108062-01</t>
  </si>
  <si>
    <t>LP1Y-PV-108062-02</t>
  </si>
  <si>
    <t>LP1Y-PV-109061-02</t>
  </si>
  <si>
    <t>LP1Y-PV-109061-03</t>
  </si>
  <si>
    <t>LP1Y-PV-109062-01</t>
  </si>
  <si>
    <t>LP1Y-PV-109062-02</t>
  </si>
  <si>
    <t>LP1Y-PV-109112-01</t>
  </si>
  <si>
    <t>LP1Y-PV-110061-01</t>
  </si>
  <si>
    <t>LP1Y-PV-110061-02</t>
  </si>
  <si>
    <t>LP1Y-PV-110066-01</t>
  </si>
  <si>
    <t>LP1Y-PV-110066-02</t>
  </si>
  <si>
    <t>LP1Y-PV-110067-02</t>
  </si>
  <si>
    <t>LP1Y-PV-110067-03</t>
  </si>
  <si>
    <t>LP1Y-PV-110067-04</t>
  </si>
  <si>
    <t>LP1Y-PV-110067-05</t>
  </si>
  <si>
    <t>LP1Y-PV-111061-01</t>
  </si>
  <si>
    <t>LP1Y-PV-111061-02</t>
  </si>
  <si>
    <t>LP1Y-PV-111063-01</t>
  </si>
  <si>
    <t>LP1Y-PV-111063-02</t>
  </si>
  <si>
    <t>LP1Y-PV-111066-01</t>
  </si>
  <si>
    <t>LP1Y-PV-111066-02</t>
  </si>
  <si>
    <t>LP1Y-PV-112061-02</t>
  </si>
  <si>
    <t>LP1Y-PV-121006-01</t>
  </si>
  <si>
    <t>LP1Y-PV-121008-02</t>
  </si>
  <si>
    <t>LP1Y-PV-121008-03</t>
  </si>
  <si>
    <t>LP1Y-PV-300062-01</t>
  </si>
  <si>
    <t>LP1Y-PV-300062-02</t>
  </si>
  <si>
    <t>LP1Y-PV-300064-03</t>
  </si>
  <si>
    <t>LP1Y-PV-300064-04</t>
  </si>
  <si>
    <t>LP1Y-PV-301061-01</t>
  </si>
  <si>
    <t>LP1Y-PV-301061-02</t>
  </si>
  <si>
    <t>LP1Y-PV-301062-01</t>
  </si>
  <si>
    <t>LP1Y-PV-301063-01</t>
  </si>
  <si>
    <t>LP1Y-PV-301063-02</t>
  </si>
  <si>
    <t>LP1Y-PV-301064-01</t>
  </si>
  <si>
    <t>LP1Y-PV-301064-02</t>
  </si>
  <si>
    <t>LP1Y-PV-302061-01</t>
  </si>
  <si>
    <t>LP1Y-PV-302061-02</t>
  </si>
  <si>
    <t>LP1Y-PV-302112-01</t>
  </si>
  <si>
    <t>LP1Y-PV-303061-01</t>
  </si>
  <si>
    <t>LP1Y-PV-303061-02</t>
  </si>
  <si>
    <t>LP1Y-PV-311001-01</t>
  </si>
  <si>
    <t>LP1Y-PV-850003-02</t>
  </si>
  <si>
    <t>LP1Y-PVP-013010-07</t>
  </si>
  <si>
    <t>LP1Y-PVP-013018-08</t>
  </si>
  <si>
    <t>LP1Y-PVP-013022-01</t>
  </si>
  <si>
    <t>LP1Y-PVP-100110-01</t>
  </si>
  <si>
    <t>LP1Y-PVP-102109-01</t>
  </si>
  <si>
    <t>LP1Y-PVP-102109-04</t>
  </si>
  <si>
    <t>LP1Y-PVP-102111-01</t>
  </si>
  <si>
    <t>LP1Y-PVP-102202-01</t>
  </si>
  <si>
    <t>LP1Y-PVP-102209-01</t>
  </si>
  <si>
    <t>LP1Y-PVP-107112-01</t>
  </si>
  <si>
    <t>LP1Y-PVP-107114-01</t>
  </si>
  <si>
    <t>LP1Y-PVP-107115-01</t>
  </si>
  <si>
    <t>LP1Y-PVP-107209-01</t>
  </si>
  <si>
    <t>LP1Y-PVP-107212-01</t>
  </si>
  <si>
    <t>LP1Y-PVP-107309-01</t>
  </si>
  <si>
    <t>LP1Y-PVP-107309-02</t>
  </si>
  <si>
    <t>LP1Y-PVP-107309-03</t>
  </si>
  <si>
    <t>LP1Y-PVP-107309-04</t>
  </si>
  <si>
    <t>LP1Y-PVP-107312-01</t>
  </si>
  <si>
    <t>LP1Y-PVP-107413-01</t>
  </si>
  <si>
    <t>LP1Y-PVP-108129-01</t>
  </si>
  <si>
    <t>LP1Y-PVP-108231-01</t>
  </si>
  <si>
    <t>LP1Y-PVP-109213-01</t>
  </si>
  <si>
    <t>LP1Y-PVP-110215-01</t>
  </si>
  <si>
    <t>LP1Y-PVP-110218-03</t>
  </si>
  <si>
    <t>LP1Y-PVP-110218-05</t>
  </si>
  <si>
    <t>LP1Y-PVP-110218-06</t>
  </si>
  <si>
    <t>LP1Y-PVP-110218-07</t>
  </si>
  <si>
    <t>LP1Y-PVP-110606-01</t>
  </si>
  <si>
    <t>LP1Y-PVP-110806-01</t>
  </si>
  <si>
    <t>LP1Y-PVP-111209-03</t>
  </si>
  <si>
    <t>LP1Y-PVP-111209-05</t>
  </si>
  <si>
    <t>LP1Y-PVP-111209-06</t>
  </si>
  <si>
    <t>LP1Y-PVP-111214-01</t>
  </si>
  <si>
    <t>LP1Y-PVP-111409-02</t>
  </si>
  <si>
    <t>LP1Y-PVP-111409-04</t>
  </si>
  <si>
    <t>LP1Y-PVP-111411-01</t>
  </si>
  <si>
    <t>LP1Y-PVP-111609-02</t>
  </si>
  <si>
    <t>LP1Y-PVP-111609-05</t>
  </si>
  <si>
    <t>LP1Y-PVP-111611-01</t>
  </si>
  <si>
    <t>LP1Y-PVP-112109-04</t>
  </si>
  <si>
    <t>LP1Y-PVP-112109-06</t>
  </si>
  <si>
    <t>LP1Y-PVP-112109-07</t>
  </si>
  <si>
    <t>LP1Y-PVP-112112-01</t>
  </si>
  <si>
    <t>LP1Y-PVP-162213-01</t>
  </si>
  <si>
    <t>LP1Y-PVP-176001-01</t>
  </si>
  <si>
    <t>LP1Y-PVP-176001-04</t>
  </si>
  <si>
    <t>LP1Y-PVP-300308-01</t>
  </si>
  <si>
    <t>LP1Y-PVP-300308-05</t>
  </si>
  <si>
    <t>LP1Y-PVP-300310-01</t>
  </si>
  <si>
    <t>LP1Y-PVP-300408-01</t>
  </si>
  <si>
    <t>LP1Y-PVP-300408-05</t>
  </si>
  <si>
    <t>LP1Y-PVP-300410-01</t>
  </si>
  <si>
    <t>LP1Y-PVP-301109-01</t>
  </si>
  <si>
    <t>LP1Y-PVP-301109-03</t>
  </si>
  <si>
    <t>LP1Y-PVP-301111-01</t>
  </si>
  <si>
    <t>LP1Y-PVP-301209-01</t>
  </si>
  <si>
    <t>LP1Y-PVP-301209-03</t>
  </si>
  <si>
    <t>LP1Y-PVP-301209-06</t>
  </si>
  <si>
    <t>LP1Y-PVP-301211-01</t>
  </si>
  <si>
    <t>LP1Y-PVP-301309-01</t>
  </si>
  <si>
    <t>LP1Y-PVP-301309-03</t>
  </si>
  <si>
    <t>LP1Y-PVP-301309-06</t>
  </si>
  <si>
    <t>LP1Y-PVP-301311-01</t>
  </si>
  <si>
    <t>LP1Y-PVP-301409-01</t>
  </si>
  <si>
    <t>LP1Y-PVP-301409-03</t>
  </si>
  <si>
    <t>LP1Y-PVP-301409-06</t>
  </si>
  <si>
    <t>LP1Y-PVP-301411-01</t>
  </si>
  <si>
    <t>LP1Y-PVP-303109-02</t>
  </si>
  <si>
    <t>LP1Y-PVP-303109-03</t>
  </si>
  <si>
    <t>LP1Y-PVP-303111-01</t>
  </si>
  <si>
    <t>LP1Y-PWP-014002-01</t>
  </si>
  <si>
    <t>LP1Y-PWP-014002-07</t>
  </si>
  <si>
    <t>LP1Y-PWP-014002-08</t>
  </si>
  <si>
    <t>LP1Y-PWP-014002-09</t>
  </si>
  <si>
    <t>LP1Y-PWP-014002-11</t>
  </si>
  <si>
    <t>LP1Y-PWP-014002-12</t>
  </si>
  <si>
    <t>LP1Y-PWP-014002-13</t>
  </si>
  <si>
    <t>LP1Y-PWP-014002-14</t>
  </si>
  <si>
    <t>LP1Y-PWP-014002-15</t>
  </si>
  <si>
    <t>LP1Y-PWP-014003-01</t>
  </si>
  <si>
    <t>LP1Y-PWP-014007-18</t>
  </si>
  <si>
    <t>LP1Y-PWP-036047-09</t>
  </si>
  <si>
    <t>LP1Y-PWP-036049-01</t>
  </si>
  <si>
    <t>LP1Y-PWP-101025-01</t>
  </si>
  <si>
    <t>LP1Y-PWP-101025-03</t>
  </si>
  <si>
    <t>LP1Y-PWP-101604-01</t>
  </si>
  <si>
    <t>LP1Y-PWP-101604-02</t>
  </si>
  <si>
    <t>LP1Y-PWP-101606-01</t>
  </si>
  <si>
    <t>LP1Y-PWP-101606-02</t>
  </si>
  <si>
    <t>LP1Y-PWP-101606-03</t>
  </si>
  <si>
    <t>LP1Y-PWP-101607-01</t>
  </si>
  <si>
    <t>LP1Y-PWP-101607-03</t>
  </si>
  <si>
    <t>LP1Y-PWP-101607-04</t>
  </si>
  <si>
    <t>LP1Y-PWP-101609-01</t>
  </si>
  <si>
    <t>LP1Y-PWP-101702-03</t>
  </si>
  <si>
    <t>LP1Y-PWP-101702-04</t>
  </si>
  <si>
    <t>LP1Y-PWP-101705-01</t>
  </si>
  <si>
    <t>LP1Y-PWP-101705-02</t>
  </si>
  <si>
    <t>LP1Y-PWP-101706-02</t>
  </si>
  <si>
    <t>LP1Y-PWP-101706-06</t>
  </si>
  <si>
    <t>LP1Y-PWP-101706-07</t>
  </si>
  <si>
    <t>LP1Y-PWP-101706-08</t>
  </si>
  <si>
    <t>LP1Y-PWP-101706-09</t>
  </si>
  <si>
    <t>LP1Y-PWP-101706-10</t>
  </si>
  <si>
    <t>LP1Y-PWP-101707-01</t>
  </si>
  <si>
    <t>LP1Y-PWP-101707-03</t>
  </si>
  <si>
    <t>LP1Y-PWP-101707-04</t>
  </si>
  <si>
    <t>LP1Y-PWP-101716-01</t>
  </si>
  <si>
    <t>LP1Y-PWP-101716-02</t>
  </si>
  <si>
    <t>LP1Y-PWP-102072-01</t>
  </si>
  <si>
    <t>LP1Y-PWP-102072-02</t>
  </si>
  <si>
    <t>LP1Y-PWP-107073-03</t>
  </si>
  <si>
    <t>LP1Y-PWP-107073-04</t>
  </si>
  <si>
    <t>LP1Y-PWP-108074-01</t>
  </si>
  <si>
    <t>LP1Y-PWP-108074-04</t>
  </si>
  <si>
    <t>LP1Y-PWP-108074-05</t>
  </si>
  <si>
    <t>LP1Y-PWP-110074-04</t>
  </si>
  <si>
    <t>LP1Y-PWP-110074-05</t>
  </si>
  <si>
    <t>LP1Y-PWP-111072-03</t>
  </si>
  <si>
    <t>LP1Y-PWP-111072-04</t>
  </si>
  <si>
    <t>LP1Y-PWP-112072-03</t>
  </si>
  <si>
    <t>LP1Y-PWP-300072-01</t>
  </si>
  <si>
    <t>LP1Y-PWP-300072-02</t>
  </si>
  <si>
    <t>LP1Y-PWP-300072-05</t>
  </si>
  <si>
    <t>LP1Y-PWP-301071-01</t>
  </si>
  <si>
    <t>LP1Y-PWP-301071-02</t>
  </si>
  <si>
    <t>LP1Y-PWP-301071-04</t>
  </si>
  <si>
    <t>LP1Y-PWP-301071-06</t>
  </si>
  <si>
    <t>LP1Y-PWP-303071-02</t>
  </si>
  <si>
    <t>LP1Y-PWP-303071-04</t>
  </si>
  <si>
    <t>LP1Y-PWP-850051-01</t>
  </si>
  <si>
    <t>LP1Y-PWP-850051-06</t>
  </si>
  <si>
    <t>LP1Y-RV-015007-01</t>
  </si>
  <si>
    <t>LP1Y-RV-015008-01</t>
  </si>
  <si>
    <t>LP1Y-RV-017083-01</t>
  </si>
  <si>
    <t>LP1Y-RV-033061-01</t>
  </si>
  <si>
    <t>LP1Y-RV-100108-01</t>
  </si>
  <si>
    <t>LP1Y-RV-100208-01</t>
  </si>
  <si>
    <t>LP1Y-RV-100212-01</t>
  </si>
  <si>
    <t>LP1Y-RV-100308-01</t>
  </si>
  <si>
    <t>LP1Y-RV-100313-01</t>
  </si>
  <si>
    <t>LP1Y-RV-100316-01</t>
  </si>
  <si>
    <t>LP1Y-RV-100317-01</t>
  </si>
  <si>
    <t>LP1Y-RV-100317-04</t>
  </si>
  <si>
    <t>LP1Y-RV-100410-01</t>
  </si>
  <si>
    <t>LP1Y-RV-101007-01</t>
  </si>
  <si>
    <t>LP1Y-RV-101008-01</t>
  </si>
  <si>
    <t>LP1Y-RV-101017-01</t>
  </si>
  <si>
    <t>LP1Y-RV-101017-03</t>
  </si>
  <si>
    <t>LP1Y-RV-101517-01</t>
  </si>
  <si>
    <t>LP1Y-RV-101718-01</t>
  </si>
  <si>
    <t>LP1Y-RV-102015-01</t>
  </si>
  <si>
    <t>LP1Y-RV-102107-01</t>
  </si>
  <si>
    <t>LP1Y-RV-102207-01</t>
  </si>
  <si>
    <t>LP1Y-RV-102224-01</t>
  </si>
  <si>
    <t>LP1Y-RV-107107-01</t>
  </si>
  <si>
    <t>LP1Y-RV-107207-01</t>
  </si>
  <si>
    <t>LP1Y-RV-107307-01</t>
  </si>
  <si>
    <t>LP1Y-RV-107408-01</t>
  </si>
  <si>
    <t>LP1Y-RV-107423-01</t>
  </si>
  <si>
    <t>LP1Y-RV-108125-01</t>
  </si>
  <si>
    <t>LP1Y-RV-108134-01</t>
  </si>
  <si>
    <t>LP1Y-RV-108136-01</t>
  </si>
  <si>
    <t>LP1Y-RV-108138-01</t>
  </si>
  <si>
    <t>LP1Y-RV-108227-01</t>
  </si>
  <si>
    <t>LP1Y-RV-108234-01</t>
  </si>
  <si>
    <t>LP1Y-RV-108236-01</t>
  </si>
  <si>
    <t>LP1Y-RV-108238-01</t>
  </si>
  <si>
    <t>LP1Y-RV-109107-01</t>
  </si>
  <si>
    <t>LP1Y-RV-109121-01</t>
  </si>
  <si>
    <t>LP1Y-RV-109207-01</t>
  </si>
  <si>
    <t>LP1Y-RV-109211-01</t>
  </si>
  <si>
    <t>LP1Y-RV-109214-01</t>
  </si>
  <si>
    <t>LP1Y-RV-110206-01</t>
  </si>
  <si>
    <t>LP1Y-RV-110214-01</t>
  </si>
  <si>
    <t>LP1Y-RV-110223-01</t>
  </si>
  <si>
    <t>LP1Y-RV-110602-01</t>
  </si>
  <si>
    <t>LP1Y-RV-110609-01</t>
  </si>
  <si>
    <t>LP1Y-RV-110611-01</t>
  </si>
  <si>
    <t>LP1Y-RV-110809-01</t>
  </si>
  <si>
    <t>LP1Y-RV-110811-01</t>
  </si>
  <si>
    <t>LP1Y-RV-111208-01</t>
  </si>
  <si>
    <t>LP1Y-RV-111215-01</t>
  </si>
  <si>
    <t>LP1Y-RV-111407-01</t>
  </si>
  <si>
    <t>LP1Y-RV-111408-01</t>
  </si>
  <si>
    <t>LP1Y-RV-111413-01</t>
  </si>
  <si>
    <t>LP1Y-RV-111418-01</t>
  </si>
  <si>
    <t>LP1Y-RV-111607-01</t>
  </si>
  <si>
    <t>LP1Y-RV-111612-01</t>
  </si>
  <si>
    <t>LP1Y-RV-112108-01</t>
  </si>
  <si>
    <t>LP1Y-RV-112114-01</t>
  </si>
  <si>
    <t>LP1Y-RV-162110-01</t>
  </si>
  <si>
    <t>LP1Y-RV-162310-01</t>
  </si>
  <si>
    <t>LP1Y-RV-176107-01</t>
  </si>
  <si>
    <t>LP1Y-RV-180096-01</t>
  </si>
  <si>
    <t>LP1Y-RV-180097-01</t>
  </si>
  <si>
    <t>LP1Y-RV-180098-01</t>
  </si>
  <si>
    <t>LP1Y-RV-181034-01</t>
  </si>
  <si>
    <t>LP1Y-RV-181113-01</t>
  </si>
  <si>
    <t>LP1Y-RV-181114-01</t>
  </si>
  <si>
    <t>LP1Y-RV-181115-01</t>
  </si>
  <si>
    <t>LP1Y-RV-181116-01</t>
  </si>
  <si>
    <t>LP1Y-RV-199015-01</t>
  </si>
  <si>
    <t>LP1Y-RV-199016-01</t>
  </si>
  <si>
    <t>LP1Y-RV-300305-01</t>
  </si>
  <si>
    <t>LP1Y-RV-300307-01</t>
  </si>
  <si>
    <t>LP1Y-RV-300313-01</t>
  </si>
  <si>
    <t>LP1Y-RV-300405-01</t>
  </si>
  <si>
    <t>LP1Y-RV-300407-01</t>
  </si>
  <si>
    <t>LP1Y-RV-300413-01</t>
  </si>
  <si>
    <t>LP1Y-RV-301105-01</t>
  </si>
  <si>
    <t>LP1Y-RV-301107-01</t>
  </si>
  <si>
    <t>LP1Y-RV-301116-01</t>
  </si>
  <si>
    <t>LP1Y-RV-301207-01</t>
  </si>
  <si>
    <t>LP1Y-RV-301216-01</t>
  </si>
  <si>
    <t>LP1Y-RV-301300-01</t>
  </si>
  <si>
    <t>LP1Y-RV-301307-01</t>
  </si>
  <si>
    <t>LP1Y-RV-301402-01</t>
  </si>
  <si>
    <t>LP1Y-RV-301407-01</t>
  </si>
  <si>
    <t>LP1Y-RV-302102-01</t>
  </si>
  <si>
    <t>LP1Y-RV-302108-01</t>
  </si>
  <si>
    <t>LP1Y-RV-303107-01</t>
  </si>
  <si>
    <t>LP1Y-RV-303117-01</t>
  </si>
  <si>
    <t>LP1Y-RV-350047-01</t>
  </si>
  <si>
    <t>LP1Y-RV-350048-01</t>
  </si>
  <si>
    <t>LP1Y-RV-350049-01</t>
  </si>
  <si>
    <t>LP1Y-RV-350050-01</t>
  </si>
  <si>
    <t>LP1Y-RV-356108-01</t>
  </si>
  <si>
    <t>LP1Y-RV-356109-01</t>
  </si>
  <si>
    <t>LP1Y-S(130)-018009-01</t>
  </si>
  <si>
    <t>LP1Y-S(130)-018013-01</t>
  </si>
  <si>
    <t>LP1Y-S(130)-018017-01</t>
  </si>
  <si>
    <t>LP1Y-S(130)-018018-01</t>
  </si>
  <si>
    <t>LP1Y-S(130)-018032-02</t>
  </si>
  <si>
    <t>LP1Y-S(130)-018032-03</t>
  </si>
  <si>
    <t>LP1Y-S(130)-018032-04</t>
  </si>
  <si>
    <t>LP1Y-S(130)-018032-05</t>
  </si>
  <si>
    <t>LP1Y-S(130)-018062-14</t>
  </si>
  <si>
    <t>LP1Y-S(130)-018067-02</t>
  </si>
  <si>
    <t>LP1Y-S(130)-018067-03</t>
  </si>
  <si>
    <t>LP1Y-S(130)-018067-05</t>
  </si>
  <si>
    <t>LP1Y-S(130)-018068-02</t>
  </si>
  <si>
    <t>LP1Y-S(130)-018068-05</t>
  </si>
  <si>
    <t>LP1Y-S(130)-018069-02</t>
  </si>
  <si>
    <t>LP1Y-S(130)-018069-05</t>
  </si>
  <si>
    <t>LP1Y-S(130)-018069-06</t>
  </si>
  <si>
    <t>LP1Y-S(130)-018070-03</t>
  </si>
  <si>
    <t>LP1Y-S(130)-018070-04</t>
  </si>
  <si>
    <t>LP1Y-S(130)-018071-04</t>
  </si>
  <si>
    <t>LP1Y-S(130)-018071-05</t>
  </si>
  <si>
    <t>LP1Y-S(130)-018072-02</t>
  </si>
  <si>
    <t>LP1Y-S(130)-018072-05</t>
  </si>
  <si>
    <t>LP1Y-S(130)-018076-02</t>
  </si>
  <si>
    <t>LP1Y-S(130)-018076-04</t>
  </si>
  <si>
    <t>LP1Y-S(130)-018077-04</t>
  </si>
  <si>
    <t>LP1Y-S(130)-018077-05</t>
  </si>
  <si>
    <t>LP1Y-S(130)-018077-06</t>
  </si>
  <si>
    <t>LP1Y-S(130)-018077-07</t>
  </si>
  <si>
    <t>LP1Y-S(130)-018078-01</t>
  </si>
  <si>
    <t>LP1Y-S(130)-018078-04</t>
  </si>
  <si>
    <t>LP1Y-S(130)-018079-05</t>
  </si>
  <si>
    <t>LP1Y-S(130)-018079-08</t>
  </si>
  <si>
    <t>LP1Y-S(130)-018079-10</t>
  </si>
  <si>
    <t>LP1Y-S(130)-018079-11</t>
  </si>
  <si>
    <t>LP1Y-S(130)-018080-02</t>
  </si>
  <si>
    <t>LP1Y-S(130)-018080-04</t>
  </si>
  <si>
    <t>LP1Y-S(130)-018081-02</t>
  </si>
  <si>
    <t>LP1Y-S(130)-018081-04</t>
  </si>
  <si>
    <t>LP1Y-S(130)-018082-02</t>
  </si>
  <si>
    <t>LP1Y-S(130)-018088-02</t>
  </si>
  <si>
    <t>LP1Y-S(130)-018092-02</t>
  </si>
  <si>
    <t>LP1Y-S(130)-018092-03</t>
  </si>
  <si>
    <t>LP1Y-S(130)-018101-02</t>
  </si>
  <si>
    <t>LP1Y-S(130)-018103-02</t>
  </si>
  <si>
    <t>LP1Y-S(130)-018105-02</t>
  </si>
  <si>
    <t>LP1Y-S(130)-018107-02</t>
  </si>
  <si>
    <t>LP1Y-S(130)-018109-02</t>
  </si>
  <si>
    <t>LP1Y-S(130)-018111-02</t>
  </si>
  <si>
    <t>LP1Y-S(130)-018113-02</t>
  </si>
  <si>
    <t>LP1Y-S(130)-018115-02</t>
  </si>
  <si>
    <t>LP1Y-S(130)-018117-02</t>
  </si>
  <si>
    <t>LP1Y-S(130)-018119-02</t>
  </si>
  <si>
    <t>LP1Y-S(130)-018121-02</t>
  </si>
  <si>
    <t>LP1Y-S(130)-018123-02</t>
  </si>
  <si>
    <t>LP1Y-S(130)-018125-02</t>
  </si>
  <si>
    <t>LP1Y-S(130)-018127-02</t>
  </si>
  <si>
    <t>LP1Y-S(130)-018129-02</t>
  </si>
  <si>
    <t>LP1Y-S(130)-018131-01</t>
  </si>
  <si>
    <t>LP1Y-S(130)-018131-02</t>
  </si>
  <si>
    <t>LP1Y-S(130)-018132-01</t>
  </si>
  <si>
    <t>LP1Y-S(130)-018134-01</t>
  </si>
  <si>
    <t>LP1Y-S(130)-018135-01</t>
  </si>
  <si>
    <t>LP1Y-S(130)-018136-01</t>
  </si>
  <si>
    <t>LP1Y-S(130)-018137-01</t>
  </si>
  <si>
    <t>LP1Y-S(130)-018137-02</t>
  </si>
  <si>
    <t>LP1Y-S(130)-018139-02</t>
  </si>
  <si>
    <t>LP1Y-S(130)-018141-02</t>
  </si>
  <si>
    <t>LP1Y-S(130)-018143-02</t>
  </si>
  <si>
    <t>LP1Y-S(130)-018145-02</t>
  </si>
  <si>
    <t>LP1Y-S(130)-018147-01</t>
  </si>
  <si>
    <t>LP1Y-S(130)-018149-01</t>
  </si>
  <si>
    <t>LP1Y-S(130)-018152-01</t>
  </si>
  <si>
    <t>LP1Y-S(130)-018154-01</t>
  </si>
  <si>
    <t>LP1Y-S(130)-018156-01</t>
  </si>
  <si>
    <t>LP1Y-S(130)-018158-01</t>
  </si>
  <si>
    <t>LP1Y-S(130)-018160-02</t>
  </si>
  <si>
    <t>LP1Y-S(130)-034035-11</t>
  </si>
  <si>
    <t>LP1Y-S(130)-034035-12</t>
  </si>
  <si>
    <t>LP1Y-S(130)-034046-01</t>
  </si>
  <si>
    <t>LP1Y-S(130)-034047-01</t>
  </si>
  <si>
    <t>LP1Y-S(130)-034048-01</t>
  </si>
  <si>
    <t>LP1Y-S(130)-034052-01</t>
  </si>
  <si>
    <t>LP1Y-S(130)-034052-02</t>
  </si>
  <si>
    <t>LP1Y-S(130)-034052-04</t>
  </si>
  <si>
    <t>LP1Y-S(130)-034053-01</t>
  </si>
  <si>
    <t>LP1Y-S(130)-034053-03</t>
  </si>
  <si>
    <t>LP1Y-S(130)-034054-01</t>
  </si>
  <si>
    <t>LP1Y-S(130)-034054-03</t>
  </si>
  <si>
    <t>LP1Y-S(130)-034055-01</t>
  </si>
  <si>
    <t>LP1Y-S(130)-034055-03</t>
  </si>
  <si>
    <t>LP1Y-S(130)-034057-02</t>
  </si>
  <si>
    <t>LP1Y-S(130)-034058-02</t>
  </si>
  <si>
    <t>LP1Y-S(130)-034068-02</t>
  </si>
  <si>
    <t>LP1Y-S(130)-034077-02</t>
  </si>
  <si>
    <t>LP1Y-S(130)-034101-01</t>
  </si>
  <si>
    <t>LP1Y-S(130)-034103-02</t>
  </si>
  <si>
    <t>LP1Y-S(130)-034105-02</t>
  </si>
  <si>
    <t>LP1Y-S(130)-034107-02</t>
  </si>
  <si>
    <t>LP1Y-S(130)-034109-02</t>
  </si>
  <si>
    <t>LP1Y-S(130)-034111-02</t>
  </si>
  <si>
    <t>LP1Y-S(130)-034113-02</t>
  </si>
  <si>
    <t>LP1Y-S(130)-034115-02</t>
  </si>
  <si>
    <t>LP1Y-S(130)-034117-02</t>
  </si>
  <si>
    <t>LP1Y-S(130)-034119-02</t>
  </si>
  <si>
    <t>LP1Y-S(130)-034121-02</t>
  </si>
  <si>
    <t>LP1Y-S(130)-034123-01</t>
  </si>
  <si>
    <t>LP1Y-S(130)-034132-01</t>
  </si>
  <si>
    <t>LP1Y-S(130)-034134-01</t>
  </si>
  <si>
    <t>LP1Y-S(130)-034136-01</t>
  </si>
  <si>
    <t>LP1Y-S(130)-034138-01</t>
  </si>
  <si>
    <t>LP1Y-S(130)-034140-01</t>
  </si>
  <si>
    <t>LP1Y-S(130)-034142-01</t>
  </si>
  <si>
    <t>LP1Y-S(130)-034144-01</t>
  </si>
  <si>
    <t>LP1Y-S(130)-034146-01</t>
  </si>
  <si>
    <t>LP1Y-S(130)-034148-01</t>
  </si>
  <si>
    <t>LP1Y-S(130)-034150-01</t>
  </si>
  <si>
    <t>LP1Y-S(130)-034152-01</t>
  </si>
  <si>
    <t>LP1Y-S(130)-034154-01</t>
  </si>
  <si>
    <t>LP1Y-S(130)-034156-01</t>
  </si>
  <si>
    <t>LP1Y-S(130)-034163-01</t>
  </si>
  <si>
    <t>LP1Y-S(130)-034165-01</t>
  </si>
  <si>
    <t>LP1Y-S(130)-034168-01</t>
  </si>
  <si>
    <t>LP1Y-S(130)-034170-01</t>
  </si>
  <si>
    <t>LP1Y-S(130)-034172-01</t>
  </si>
  <si>
    <t>LP1Y-S(130)-034174-01</t>
  </si>
  <si>
    <t>LP1Y-S(130)-034176-01</t>
  </si>
  <si>
    <t>LP1Y-S(130)-034180-01</t>
  </si>
  <si>
    <t>LP1Y-S(130)-034182-01</t>
  </si>
  <si>
    <t>LP1Y-S(130)-034184-01</t>
  </si>
  <si>
    <t>LP1Y-S(130)-034186-02</t>
  </si>
  <si>
    <t>LP1Y-S(130)-034188-02</t>
  </si>
  <si>
    <t>LP1Y-S(130)-061032-01</t>
  </si>
  <si>
    <t>LP1Y-S(130)-061048-01</t>
  </si>
  <si>
    <t>LP1Y-S(130)-165115-01</t>
  </si>
  <si>
    <t>LP1Y-S(130)-165116-01</t>
  </si>
  <si>
    <t>LP1Y-S(130)-165215-01</t>
  </si>
  <si>
    <t>LP1Y-S(130)-165216-01</t>
  </si>
  <si>
    <t>LP1Y-S(130)-165315-01</t>
  </si>
  <si>
    <t>LP1Y-S(130)-165316-01</t>
  </si>
  <si>
    <t>LP1Y-S(130)-165317-01</t>
  </si>
  <si>
    <t>LP1Y-S(130)-165318-01</t>
  </si>
  <si>
    <t>LP1Y-S(130)-165405-01</t>
  </si>
  <si>
    <t>LP1Y-S(130)-165625-01</t>
  </si>
  <si>
    <t>LP1Y-S(130)-165705-01</t>
  </si>
  <si>
    <t>LP1Y-S(130)-165805-01</t>
  </si>
  <si>
    <t>LP1Y-S(130)-166105-01</t>
  </si>
  <si>
    <t>LP1Y-S(130)-166205-01</t>
  </si>
  <si>
    <t>LP1Y-S(130)-166206-01</t>
  </si>
  <si>
    <t>LP1Y-S(130)-166308-01</t>
  </si>
  <si>
    <t>LP1Y-S(130)-166309-01</t>
  </si>
  <si>
    <t>LP1Y-S(130)-166405-01</t>
  </si>
  <si>
    <t>LP1Y-S(130)-166501-01</t>
  </si>
  <si>
    <t>LP1Y-S(130)-166601-01</t>
  </si>
  <si>
    <t>LP1Y-S(130)-166608-01</t>
  </si>
  <si>
    <t>LP1Y-S(130)-166701-01</t>
  </si>
  <si>
    <t>LP1Y-S(130)-166801-01</t>
  </si>
  <si>
    <t>LP1Y-S(130)-365105-01</t>
  </si>
  <si>
    <t>LP1Y-S(130)-365205-01</t>
  </si>
  <si>
    <t>LP1Y-S(130)-365305-01</t>
  </si>
  <si>
    <t>LP1Y-S(130)-365405-01</t>
  </si>
  <si>
    <t>LP1Y-S(130)-365505-01</t>
  </si>
  <si>
    <t>LP1Y-S(130)-365605-01</t>
  </si>
  <si>
    <t>LP1Y-SC-018061-01</t>
  </si>
  <si>
    <t>LP1Y-SC-018102-01</t>
  </si>
  <si>
    <t>LP1Y-SC-018104-01</t>
  </si>
  <si>
    <t>LP1Y-SC-018106-01</t>
  </si>
  <si>
    <t>LP1Y-SC-018108-01</t>
  </si>
  <si>
    <t>LP1Y-SC-018110-01</t>
  </si>
  <si>
    <t>LP1Y-SC-018112-01</t>
  </si>
  <si>
    <t>LP1Y-SC-018114-01</t>
  </si>
  <si>
    <t>LP1Y-SC-018116-01</t>
  </si>
  <si>
    <t>LP1Y-SC-018118-01</t>
  </si>
  <si>
    <t>LP1Y-SC-018120-01</t>
  </si>
  <si>
    <t>LP1Y-SC-018122-01</t>
  </si>
  <si>
    <t>LP1Y-SC-018124-01</t>
  </si>
  <si>
    <t>LP1Y-SC-018126-01</t>
  </si>
  <si>
    <t>LP1Y-SC-018128-01</t>
  </si>
  <si>
    <t>LP1Y-SC-018130-01</t>
  </si>
  <si>
    <t>LP1Y-SC-018140-01</t>
  </si>
  <si>
    <t>LP1Y-SC-018142-01</t>
  </si>
  <si>
    <t>LP1Y-SC-018144-01</t>
  </si>
  <si>
    <t>LP1Y-SC-018146-01</t>
  </si>
  <si>
    <t>LP1Y-SC-018148-01</t>
  </si>
  <si>
    <t>LP1Y-SC-018150-01</t>
  </si>
  <si>
    <t>LP1Y-SC-018153-01</t>
  </si>
  <si>
    <t>LP1Y-SC-018155-01</t>
  </si>
  <si>
    <t>LP1Y-SC-018157-01</t>
  </si>
  <si>
    <t>LP1Y-SC-018159-01</t>
  </si>
  <si>
    <t>LP1Y-SC-018161-01</t>
  </si>
  <si>
    <t>LP1Y-SC-034069-01</t>
  </si>
  <si>
    <t>LP1Y-SC-034102-01</t>
  </si>
  <si>
    <t>LP1Y-SC-034104-01</t>
  </si>
  <si>
    <t>LP1Y-SC-034106-01</t>
  </si>
  <si>
    <t>LP1Y-SC-034108-01</t>
  </si>
  <si>
    <t>LP1Y-SC-034110-01</t>
  </si>
  <si>
    <t>LP1Y-SC-034112-01</t>
  </si>
  <si>
    <t>LP1Y-SC-034114-01</t>
  </si>
  <si>
    <t>LP1Y-SC-034116-01</t>
  </si>
  <si>
    <t>LP1Y-SC-034118-01</t>
  </si>
  <si>
    <t>LP1Y-SC-034120-01</t>
  </si>
  <si>
    <t>LP1Y-SC-034122-01</t>
  </si>
  <si>
    <t>LP1Y-SC-034124-01</t>
  </si>
  <si>
    <t>LP1Y-SC-034133-01</t>
  </si>
  <si>
    <t>LP1Y-SC-034135-01</t>
  </si>
  <si>
    <t>LP1Y-SC-034137-01</t>
  </si>
  <si>
    <t>LP1Y-SC-034139-01</t>
  </si>
  <si>
    <t>LP1Y-SC-034141-01</t>
  </si>
  <si>
    <t>LP1Y-SC-034143-01</t>
  </si>
  <si>
    <t>LP1Y-SC-034145-01</t>
  </si>
  <si>
    <t>LP1Y-SC-034147-01</t>
  </si>
  <si>
    <t>LP1Y-SC-034149-01</t>
  </si>
  <si>
    <t>LP1Y-SC-034151-01</t>
  </si>
  <si>
    <t>LP1Y-SC-034153-01</t>
  </si>
  <si>
    <t>LP1Y-SC-034155-01</t>
  </si>
  <si>
    <t>LP1Y-SC-034157-01</t>
  </si>
  <si>
    <t>LP1Y-SC-034164-01</t>
  </si>
  <si>
    <t>LP1Y-SC-034166-01</t>
  </si>
  <si>
    <t>LP1Y-SC-034169-01</t>
  </si>
  <si>
    <t>LP1Y-SC-034171-01</t>
  </si>
  <si>
    <t>LP1Y-SC-034173-01</t>
  </si>
  <si>
    <t>LP1Y-SC-034175-01</t>
  </si>
  <si>
    <t>LP1Y-SC-034177-01</t>
  </si>
  <si>
    <t>LP1Y-SC-034181-01</t>
  </si>
  <si>
    <t>LP1Y-SC-034183-01</t>
  </si>
  <si>
    <t>LP1Y-SC-034185-01</t>
  </si>
  <si>
    <t>LP1Y-SC-034187-01</t>
  </si>
  <si>
    <t>LP1Y-SC-034189-01</t>
  </si>
  <si>
    <t>LP1Y-SC-061033-01</t>
  </si>
  <si>
    <t>LP1Y-SC-061049-01</t>
  </si>
  <si>
    <t>LP1Y-SOLV-030001-02</t>
  </si>
  <si>
    <t>LP1Y-SOLV-030002-02</t>
  </si>
  <si>
    <t>LP1Y-SOLV-030003-04</t>
  </si>
  <si>
    <t>LP1Y-SOLV-300303-01</t>
  </si>
  <si>
    <t>LP1Y-SOLV-300303-02</t>
  </si>
  <si>
    <t>LP1Y-SOLV-300304-02</t>
  </si>
  <si>
    <t>LP1Y-SOLV-300304-03</t>
  </si>
  <si>
    <t>LP1Y-SOLV-300304-04</t>
  </si>
  <si>
    <t>LP1Y-SOLV-300306-01</t>
  </si>
  <si>
    <t>LP1Y-SOLV-300314-01</t>
  </si>
  <si>
    <t>LP1Y-SOLV-300314-02</t>
  </si>
  <si>
    <t>LP1Y-SOLV-300315-01</t>
  </si>
  <si>
    <t>LP1Y-SOLV-300315-03</t>
  </si>
  <si>
    <t>LP1Y-SOLV-300403-01</t>
  </si>
  <si>
    <t>LP1Y-SOLV-300403-02</t>
  </si>
  <si>
    <t>LP1Y-SOLV-300404-02</t>
  </si>
  <si>
    <t>LP1Y-SOLV-300404-03</t>
  </si>
  <si>
    <t>LP1Y-SOLV-300404-04</t>
  </si>
  <si>
    <t>LP1Y-SOLV-300406-01</t>
  </si>
  <si>
    <t>LP1Y-SOLV-300414-01</t>
  </si>
  <si>
    <t>LP1Y-SOLV-300414-02</t>
  </si>
  <si>
    <t>LP1Y-SOLV-300415-01</t>
  </si>
  <si>
    <t>LP1Y-SOLV-300415-03</t>
  </si>
  <si>
    <t>LP1Y-SOLV-301103-01</t>
  </si>
  <si>
    <t>LP1Y-SOLV-301103-02</t>
  </si>
  <si>
    <t>LP1Y-SOLV-301104-04</t>
  </si>
  <si>
    <t>LP1Y-SOLV-301104-05</t>
  </si>
  <si>
    <t>LP1Y-SOLV-301104-06</t>
  </si>
  <si>
    <t>LP1Y-SOLV-301106-01</t>
  </si>
  <si>
    <t>LP1Y-SOLV-301115-01</t>
  </si>
  <si>
    <t>LP1Y-SOLV-301115-02</t>
  </si>
  <si>
    <t>LP1Y-SOLV-301117-01</t>
  </si>
  <si>
    <t>LP1Y-SOLV-301117-02</t>
  </si>
  <si>
    <t>LP1Y-SOLV-301203-01</t>
  </si>
  <si>
    <t>LP1Y-SOLV-301203-02</t>
  </si>
  <si>
    <t>LP1Y-SOLV-301204-04</t>
  </si>
  <si>
    <t>LP1Y-SOLV-301204-05</t>
  </si>
  <si>
    <t>LP1Y-SOLV-301204-06</t>
  </si>
  <si>
    <t>LP1Y-SOLV-301206-01</t>
  </si>
  <si>
    <t>LP1Y-SOLV-301206-03</t>
  </si>
  <si>
    <t>LP1Y-SOLV-301206-04</t>
  </si>
  <si>
    <t>LP1Y-SOLV-301215-01</t>
  </si>
  <si>
    <t>LP1Y-SOLV-301215-03</t>
  </si>
  <si>
    <t>LP1Y-SOLV-301217-01</t>
  </si>
  <si>
    <t>LP1Y-SOLV-301217-03</t>
  </si>
  <si>
    <t>LP1Y-SOLV-301303-01</t>
  </si>
  <si>
    <t>LP1Y-SOLV-301304-04</t>
  </si>
  <si>
    <t>LP1Y-SOLV-301304-05</t>
  </si>
  <si>
    <t>LP1Y-SOLV-301304-06</t>
  </si>
  <si>
    <t>LP1Y-SOLV-301306-01</t>
  </si>
  <si>
    <t>LP1Y-SOLV-301306-03</t>
  </si>
  <si>
    <t>LP1Y-SOLV-301306-04</t>
  </si>
  <si>
    <t>LP1Y-SOLV-301315-01</t>
  </si>
  <si>
    <t>LP1Y-SOLV-301315-03</t>
  </si>
  <si>
    <t>LP1Y-SOLV-301316-01</t>
  </si>
  <si>
    <t>LP1Y-SOLV-301316-03</t>
  </si>
  <si>
    <t>LP1Y-SOLV-301403-01</t>
  </si>
  <si>
    <t>LP1Y-SOLV-301403-02</t>
  </si>
  <si>
    <t>LP1Y-SOLV-301404-04</t>
  </si>
  <si>
    <t>LP1Y-SOLV-301404-05</t>
  </si>
  <si>
    <t>LP1Y-SOLV-301404-06</t>
  </si>
  <si>
    <t>LP1Y-SOLV-301406-01</t>
  </si>
  <si>
    <t>LP1Y-SOLV-301406-03</t>
  </si>
  <si>
    <t>LP1Y-SOLV-301406-04</t>
  </si>
  <si>
    <t>LP1Y-SOLV-301415-01</t>
  </si>
  <si>
    <t>LP1Y-SOLV-301415-03</t>
  </si>
  <si>
    <t>LP1Y-SOLV-301416-01</t>
  </si>
  <si>
    <t>LP1Y-SOLV-301416-03</t>
  </si>
  <si>
    <t>LP1Y-SOLV-303103-01</t>
  </si>
  <si>
    <t>LP1Y-SOLV-303103-02</t>
  </si>
  <si>
    <t>LP1Y-SOLV-303104-04</t>
  </si>
  <si>
    <t>LP1Y-SOLV-303104-05</t>
  </si>
  <si>
    <t>LP1Y-SOLV-303106-01</t>
  </si>
  <si>
    <t>LP1Y-SOLV-303106-02</t>
  </si>
  <si>
    <t>LP1Y-SOLV-303115-01</t>
  </si>
  <si>
    <t>LP1Y-SOLV-303115-02</t>
  </si>
  <si>
    <t>LP1Y-SOLV-303116-01</t>
  </si>
  <si>
    <t>LP1Y-SOLV-303116-03</t>
  </si>
  <si>
    <t>LP1Y-SOLV-320101-01</t>
  </si>
  <si>
    <t>LP1Y-SOLV-320101-02</t>
  </si>
  <si>
    <t>LP1Y-SOLV-320101-03</t>
  </si>
  <si>
    <t>LP1Y-SOLV-320102-01</t>
  </si>
  <si>
    <t>LP1Y-SOLV-320102-02</t>
  </si>
  <si>
    <t>LP1Y-SOLV-320102-05</t>
  </si>
  <si>
    <t>LP1Y-SOLV-320102-06</t>
  </si>
  <si>
    <t>LP1Y-SOLV-320201-01</t>
  </si>
  <si>
    <t>LP1Y-SOLV-320201-02</t>
  </si>
  <si>
    <t>LP1Y-SOLV-320201-03</t>
  </si>
  <si>
    <t>LP1Y-SOLV-320202-01</t>
  </si>
  <si>
    <t>LP1Y-SOLV-320202-03</t>
  </si>
  <si>
    <t>LP1Y-SOLV-320202-04</t>
  </si>
  <si>
    <t>LP1Y-SOLV-320202-05</t>
  </si>
  <si>
    <t>LP1Y-SOLV-320202-06</t>
  </si>
  <si>
    <t>LP1Y-SOLV-320301-01</t>
  </si>
  <si>
    <t>LP1Y-SOLV-320301-02</t>
  </si>
  <si>
    <t>LP1Y-SOLV-320301-03</t>
  </si>
  <si>
    <t>LP1Y-SOLV-320302-01</t>
  </si>
  <si>
    <t>LP1Y-SOLV-320302-03</t>
  </si>
  <si>
    <t>LP1Y-SOLV-320302-04</t>
  </si>
  <si>
    <t>LP1Y-SOLV-320302-05</t>
  </si>
  <si>
    <t>LP1Y-SOLV-320302-06</t>
  </si>
  <si>
    <t>LP1Y-SOLV-320401-01</t>
  </si>
  <si>
    <t>LP1Y-SOLV-320401-02</t>
  </si>
  <si>
    <t>LP1Y-SOLV-320401-03</t>
  </si>
  <si>
    <t>LP1Y-SOLV-320402-01</t>
  </si>
  <si>
    <t>LP1Y-SOLV-320402-03</t>
  </si>
  <si>
    <t>LP1Y-SOLV-320402-04</t>
  </si>
  <si>
    <t>LP1Y-SOLV-320402-05</t>
  </si>
  <si>
    <t>LP1Y-SOLV-320402-06</t>
  </si>
  <si>
    <t>LP1Y-SOLV-321101-01</t>
  </si>
  <si>
    <t>LP1Y-SOLV-321101-02</t>
  </si>
  <si>
    <t>LP1Y-SOLV-321101-03</t>
  </si>
  <si>
    <t>LP1Y-SOLV-321102-02</t>
  </si>
  <si>
    <t>LP1Y-SOLV-321102-03</t>
  </si>
  <si>
    <t>LP1Y-SOLV-321102-05</t>
  </si>
  <si>
    <t>LP1Y-SOLV-322101-01</t>
  </si>
  <si>
    <t>LP1Y-SOLV-322101-02</t>
  </si>
  <si>
    <t>LP1Y-SOLV-322101-03</t>
  </si>
  <si>
    <t>LP1Y-SOLV-322102-01</t>
  </si>
  <si>
    <t>LP1Y-SOLV-322102-02</t>
  </si>
  <si>
    <t>LP1Y-SOLV-322102-05</t>
  </si>
  <si>
    <t>LP1Y-SOLV-322102-07</t>
  </si>
  <si>
    <t>LP1Y-SOLV-322201-01</t>
  </si>
  <si>
    <t>LP1Y-SOLV-322201-02</t>
  </si>
  <si>
    <t>LP1Y-SOLV-322201-03</t>
  </si>
  <si>
    <t>LP1Y-SOLV-322202-01</t>
  </si>
  <si>
    <t>LP1Y-SOLV-322202-02</t>
  </si>
  <si>
    <t>LP1Y-SOLV-322202-05</t>
  </si>
  <si>
    <t>LP1Y-SOLV-322202-07</t>
  </si>
  <si>
    <t>LP1Y-SRACNP-011010-04</t>
  </si>
  <si>
    <t>LP1Y-SRACNP-108006-01</t>
  </si>
  <si>
    <t>LP1Y-SRACNP-108006-03</t>
  </si>
  <si>
    <t>LP1Y-SRACNP-108009-01</t>
  </si>
  <si>
    <t>LP1Y-SRACNP-108102-01</t>
  </si>
  <si>
    <t>LP1Y-SRACNP-108103-01</t>
  </si>
  <si>
    <t>LP1Y-SRACNP-108103-02</t>
  </si>
  <si>
    <t>LP1Y-SRACNP-108104-01</t>
  </si>
  <si>
    <t>LP1Y-SRACNP-108104-06</t>
  </si>
  <si>
    <t>LP1Y-SRACNP-108104-07</t>
  </si>
  <si>
    <t>LP1Y-SRACNP-108104-08</t>
  </si>
  <si>
    <t>LP1Y-SRACNP-108104-09</t>
  </si>
  <si>
    <t>LP1Y-SRACNP-108104-11</t>
  </si>
  <si>
    <t>LP1Y-SRACNP-108105-01</t>
  </si>
  <si>
    <t>LP1Y-SRACNP-108106-02</t>
  </si>
  <si>
    <t>LP1Y-SRACNP-108106-03</t>
  </si>
  <si>
    <t>LP1Y-SRACNP-108106-04</t>
  </si>
  <si>
    <t>LP1Y-SRACNP-108111-02</t>
  </si>
  <si>
    <t>LP1Y-SRACNP-108111-03</t>
  </si>
  <si>
    <t>LP1Y-SRACNP-108119-01</t>
  </si>
  <si>
    <t>LP1Y-SRACNP-108119-03</t>
  </si>
  <si>
    <t>LP1Y-SRACNP-108135-01</t>
  </si>
  <si>
    <t>LP1Y-SRACNP-108135-02</t>
  </si>
  <si>
    <t>LP1Y-SRACNP-108203-01</t>
  </si>
  <si>
    <t>LP1Y-SRACNP-108203-02</t>
  </si>
  <si>
    <t>LP1Y-SRACNP-108204-01</t>
  </si>
  <si>
    <t>LP1Y-SRACNP-108204-02</t>
  </si>
  <si>
    <t>LP1Y-SRACNP-108204-03</t>
  </si>
  <si>
    <t>LP1Y-SRACNP-108204-05</t>
  </si>
  <si>
    <t>LP1Y-SRACNP-108205-02</t>
  </si>
  <si>
    <t>LP1Y-SRACNP-108206-01</t>
  </si>
  <si>
    <t>LP1Y-SRACNP-108206-02</t>
  </si>
  <si>
    <t>LP1Y-SRACNP-108206-03</t>
  </si>
  <si>
    <t>LP1Y-SRACNP-108213-01</t>
  </si>
  <si>
    <t>LP1Y-SRACNP-108213-02</t>
  </si>
  <si>
    <t>LP1Y-SRACNP-108219-02</t>
  </si>
  <si>
    <t>LP1Y-SRACNP-108219-04</t>
  </si>
  <si>
    <t>LP1Y-SRACNP-108235-01</t>
  </si>
  <si>
    <t>LP1Y-SRACNP-108235-02</t>
  </si>
  <si>
    <t>LP1Y-SRACNP-108248-01</t>
  </si>
  <si>
    <t>LP1Y-STORM-100408-01</t>
  </si>
  <si>
    <t>LP1Y-STORM-100409-01</t>
  </si>
  <si>
    <t>LP1Y-STORMP-015002-12</t>
  </si>
  <si>
    <t>LP1Y-STORMP-015002-25</t>
  </si>
  <si>
    <t>LP1Y-STORMP-037007-01</t>
  </si>
  <si>
    <t>LP1Y-STORMP-037007-04</t>
  </si>
  <si>
    <t>LP1Y-STORMP-100402-01</t>
  </si>
  <si>
    <t>LP1Y-STORMP-100402-02</t>
  </si>
  <si>
    <t>LP1Y-STORMP-100403-01</t>
  </si>
  <si>
    <t>LP1Y-STORMP-100403-02</t>
  </si>
  <si>
    <t>LP1Y-STORMP-100403-04</t>
  </si>
  <si>
    <t>LP1Y-STORMP-100403-05</t>
  </si>
  <si>
    <t>LP1Y-STORMP-100406-01</t>
  </si>
  <si>
    <t>LP1Y-STORMP-100406-02</t>
  </si>
  <si>
    <t>LP1Y-STORMP-165104-02</t>
  </si>
  <si>
    <t>LP1Y-STORMP-165104-03</t>
  </si>
  <si>
    <t>LP1Y-STORMP-165114-02</t>
  </si>
  <si>
    <t>LP1Y-STORMP-165114-05</t>
  </si>
  <si>
    <t>LP1Y-STORMP-165114-06</t>
  </si>
  <si>
    <t>LP1Y-STORMP-165204-01</t>
  </si>
  <si>
    <t>LP1Y-STORMP-165204-04</t>
  </si>
  <si>
    <t>LP1Y-STORMP-165214-01</t>
  </si>
  <si>
    <t>LP1Y-STORMP-165304-01</t>
  </si>
  <si>
    <t>LP1Y-STORMP-165304-03</t>
  </si>
  <si>
    <t>LP1Y-STORMP-165314-01</t>
  </si>
  <si>
    <t>LP1Y-STORMP-165314-03</t>
  </si>
  <si>
    <t>LP1Y-STORMP-165324-01</t>
  </si>
  <si>
    <t>LP1Y-STORMP-165324-02</t>
  </si>
  <si>
    <t>LP1Y-STORMP-165334-02</t>
  </si>
  <si>
    <t>LP1Y-STORMP-165334-06</t>
  </si>
  <si>
    <t>LP1Y-STORMP-165404-01</t>
  </si>
  <si>
    <t>LP1Y-STORMP-165624-02</t>
  </si>
  <si>
    <t>LP1Y-STORMP-165624-03</t>
  </si>
  <si>
    <t>LP1Y-STORMP-165704-02</t>
  </si>
  <si>
    <t>LP1Y-STORMP-165804-02</t>
  </si>
  <si>
    <t>LP1Y-STORMP-166104-04</t>
  </si>
  <si>
    <t>LP1Y-STORMP-166204-02</t>
  </si>
  <si>
    <t>LP1Y-STORMP-166214-04</t>
  </si>
  <si>
    <t>LP1Y-STORMP-166214-06</t>
  </si>
  <si>
    <t>LP1Y-STORMP-166304-01</t>
  </si>
  <si>
    <t>LP1Y-STORMP-166306-03</t>
  </si>
  <si>
    <t>LP1Y-STORMP-166404-04</t>
  </si>
  <si>
    <t>LP1Y-STORMP-166504-04</t>
  </si>
  <si>
    <t>LP1Y-STORMP-166604-04</t>
  </si>
  <si>
    <t>LP1Y-STORMP-166607-03</t>
  </si>
  <si>
    <t>LP1Y-STORMP-166704-02</t>
  </si>
  <si>
    <t>LP1Y-STORMP-166804-02</t>
  </si>
  <si>
    <t>LP1Y-STORMP-365104-03</t>
  </si>
  <si>
    <t>LP1Y-STORMP-365104-04</t>
  </si>
  <si>
    <t>LP1Y-STORMP-365214-03</t>
  </si>
  <si>
    <t>LP1Y-STORMP-365214-07</t>
  </si>
  <si>
    <t>LP1Y-STORMP-365214-08</t>
  </si>
  <si>
    <t>LP1Y-STORMP-365304-01</t>
  </si>
  <si>
    <t>LP1Y-STORMP-365304-02</t>
  </si>
  <si>
    <t>LP1Y-STORMP-365304-05</t>
  </si>
  <si>
    <t>LP1Y-STORMP-365404-01</t>
  </si>
  <si>
    <t>LP1Y-STORMP-365404-03</t>
  </si>
  <si>
    <t>LP1Y-STORMP-365504-03</t>
  </si>
  <si>
    <t>LP1Y-STORMP-365604-02</t>
  </si>
  <si>
    <t>LP1Y-SW-165102-01</t>
  </si>
  <si>
    <t>LP1Y-SW-165112-01</t>
  </si>
  <si>
    <t>LP1Y-SW-165402-01</t>
  </si>
  <si>
    <t>LP1Y-SW-165622-01</t>
  </si>
  <si>
    <t>LP1Y-SW-165702-01</t>
  </si>
  <si>
    <t>LP1Y-SW-165802-01</t>
  </si>
  <si>
    <t>LP1Y-SW-166102-01</t>
  </si>
  <si>
    <t>LP1Y-SW-166202-01</t>
  </si>
  <si>
    <t>LP1Y-SW-166212-01</t>
  </si>
  <si>
    <t>LP1Y-SW-166302-01</t>
  </si>
  <si>
    <t>LP1Y-SW-166307-01</t>
  </si>
  <si>
    <t>LP1Y-SW-166402-01</t>
  </si>
  <si>
    <t>LP1Y-SW-166502-01</t>
  </si>
  <si>
    <t>LP1Y-SW-166602-01</t>
  </si>
  <si>
    <t>LP1Y-SW-166609-01</t>
  </si>
  <si>
    <t>LP1Y-SW-166702-01</t>
  </si>
  <si>
    <t>LP1Y-SW-166802-01</t>
  </si>
  <si>
    <t>LP1Y-SW-365102-01</t>
  </si>
  <si>
    <t>LP1Y-SW-365202-01</t>
  </si>
  <si>
    <t>LP1Y-SW-365302-01</t>
  </si>
  <si>
    <t>LP1Y-SW-365402-01</t>
  </si>
  <si>
    <t>LP1Y-SW-365502-01</t>
  </si>
  <si>
    <t>LP1Y-SW-365602-01</t>
  </si>
  <si>
    <t>LP1Y-SWP-014001-01</t>
  </si>
  <si>
    <t>LP1Y-SWP-014001-07</t>
  </si>
  <si>
    <t>LP1Y-SWP-014001-08</t>
  </si>
  <si>
    <t>LP1Y-SWP-014001-09</t>
  </si>
  <si>
    <t>LP1Y-SWP-014001-11</t>
  </si>
  <si>
    <t>LP1Y-SWP-014001-12</t>
  </si>
  <si>
    <t>LP1Y-SWP-014001-13</t>
  </si>
  <si>
    <t>LP1Y-SWP-014001-14</t>
  </si>
  <si>
    <t>LP1Y-SWP-014001-15</t>
  </si>
  <si>
    <t>LP1Y-SWP-014001-16</t>
  </si>
  <si>
    <t>LP1Y-SWP-014001-17</t>
  </si>
  <si>
    <t>LP1Y-SWP-014001-18</t>
  </si>
  <si>
    <t>LP1Y-SWP-014001-19</t>
  </si>
  <si>
    <t>LP1Y-SWP-014001-20</t>
  </si>
  <si>
    <t>LP1Y-SWP-014001-21</t>
  </si>
  <si>
    <t>LP1Y-SWP-014001-22</t>
  </si>
  <si>
    <t>LP1Y-SWP-014001-23</t>
  </si>
  <si>
    <t>LP1Y-SWP-036045-13</t>
  </si>
  <si>
    <t>LP1Y-SWP-036048-13</t>
  </si>
  <si>
    <t>LP1Y-SWP-036050-01</t>
  </si>
  <si>
    <t>LP1Y-SWP-100404-01</t>
  </si>
  <si>
    <t>LP1Y-SWP-100411-01</t>
  </si>
  <si>
    <t>LP1Y-SWP-101026-01</t>
  </si>
  <si>
    <t>LP1Y-SWP-101505-01</t>
  </si>
  <si>
    <t>LP1Y-SWP-101505-02</t>
  </si>
  <si>
    <t>LP1Y-SWP-101506-01</t>
  </si>
  <si>
    <t>LP1Y-SWP-101506-02</t>
  </si>
  <si>
    <t>LP1Y-SWP-101509-01</t>
  </si>
  <si>
    <t>LP1Y-SWP-101509-03</t>
  </si>
  <si>
    <t>LP1Y-SWP-101509-04</t>
  </si>
  <si>
    <t>LP1Y-SWP-102082-01</t>
  </si>
  <si>
    <t>LP1Y-SWP-107083-02</t>
  </si>
  <si>
    <t>LP1Y-SWP-108084-01</t>
  </si>
  <si>
    <t>LP1Y-SWP-109022-10</t>
  </si>
  <si>
    <t>LP1Y-SWP-110084-04</t>
  </si>
  <si>
    <t>LP1Y-SWP-111082-03</t>
  </si>
  <si>
    <t>LP1Y-SWP-112082-03</t>
  </si>
  <si>
    <t>LP1Y-SWP-165103-02</t>
  </si>
  <si>
    <t>LP1Y-SWP-165103-03</t>
  </si>
  <si>
    <t>LP1Y-SWP-165113-02</t>
  </si>
  <si>
    <t>LP1Y-SWP-165113-05</t>
  </si>
  <si>
    <t>LP1Y-SWP-165113-06</t>
  </si>
  <si>
    <t>LP1Y-SWP-165403-01</t>
  </si>
  <si>
    <t>LP1Y-SWP-165403-02</t>
  </si>
  <si>
    <t>LP1Y-SWP-165623-02</t>
  </si>
  <si>
    <t>LP1Y-SWP-165623-03</t>
  </si>
  <si>
    <t>LP1Y-SWP-165703-02</t>
  </si>
  <si>
    <t>LP1Y-SWP-165703-03</t>
  </si>
  <si>
    <t>LP1Y-SWP-165803-02</t>
  </si>
  <si>
    <t>LP1Y-SWP-165803-04</t>
  </si>
  <si>
    <t>LP1Y-SWP-166103-04</t>
  </si>
  <si>
    <t>LP1Y-SWP-166103-05</t>
  </si>
  <si>
    <t>LP1Y-SWP-166203-01</t>
  </si>
  <si>
    <t>LP1Y-SWP-166203-02</t>
  </si>
  <si>
    <t>LP1Y-SWP-166213-02</t>
  </si>
  <si>
    <t>LP1Y-SWP-166213-03</t>
  </si>
  <si>
    <t>LP1Y-SWP-166303-01</t>
  </si>
  <si>
    <t>LP1Y-SWP-166305-03</t>
  </si>
  <si>
    <t>LP1Y-SWP-166403-04</t>
  </si>
  <si>
    <t>LP1Y-SWP-166403-05</t>
  </si>
  <si>
    <t>LP1Y-SWP-166403-06</t>
  </si>
  <si>
    <t>LP1Y-SWP-166503-05</t>
  </si>
  <si>
    <t>LP1Y-SWP-166503-06</t>
  </si>
  <si>
    <t>LP1Y-SWP-166603-03</t>
  </si>
  <si>
    <t>LP1Y-SWP-166603-04</t>
  </si>
  <si>
    <t>LP1Y-SWP-166606-03</t>
  </si>
  <si>
    <t>LP1Y-SWP-166606-04</t>
  </si>
  <si>
    <t>LP1Y-SWP-166703-02</t>
  </si>
  <si>
    <t>LP1Y-SWP-166703-03</t>
  </si>
  <si>
    <t>LP1Y-SWP-166803-02</t>
  </si>
  <si>
    <t>LP1Y-SWP-166803-03</t>
  </si>
  <si>
    <t>LP1Y-SWP-300082-01</t>
  </si>
  <si>
    <t>LP1Y-SWP-300082-04</t>
  </si>
  <si>
    <t>LP1Y-SWP-301081-02</t>
  </si>
  <si>
    <t>LP1Y-SWP-301081-03</t>
  </si>
  <si>
    <t>LP1Y-SWP-301081-05</t>
  </si>
  <si>
    <t>LP1Y-SWP-303081-02</t>
  </si>
  <si>
    <t>LP1Y-SWP-303081-04</t>
  </si>
  <si>
    <t>LP1Y-SWP-365103-03</t>
  </si>
  <si>
    <t>LP1Y-SWP-365103-04</t>
  </si>
  <si>
    <t>LP1Y-SWP-365103-05</t>
  </si>
  <si>
    <t>LP1Y-SWP-365213-02</t>
  </si>
  <si>
    <t>LP1Y-SWP-365213-05</t>
  </si>
  <si>
    <t>LP1Y-SWP-365213-06</t>
  </si>
  <si>
    <t>LP1Y-SWP-365213-07</t>
  </si>
  <si>
    <t>LP1Y-SWP-365303-03</t>
  </si>
  <si>
    <t>LP1Y-SWP-365303-04</t>
  </si>
  <si>
    <t>LP1Y-SWP-365303-06</t>
  </si>
  <si>
    <t>LP1Y-SWP-365403-01</t>
  </si>
  <si>
    <t>LP1Y-SWP-365403-02</t>
  </si>
  <si>
    <t>LP1Y-SWP-365403-05</t>
  </si>
  <si>
    <t>LP1Y-SWP-365503-02</t>
  </si>
  <si>
    <t>LP1Y-SWP-365503-05</t>
  </si>
  <si>
    <t>LP1Y-SWP-365603-02</t>
  </si>
  <si>
    <t>LP1Y-SWP-365603-03</t>
  </si>
  <si>
    <t>LP1Y-SWP-850004-01</t>
  </si>
  <si>
    <t>LP1Y-SWP-850004-02</t>
  </si>
  <si>
    <t>LP1Y-SWP-850007-01</t>
  </si>
  <si>
    <t>LP1Y-TFA-010025-03</t>
  </si>
  <si>
    <t>LP1Y-TFA-010025-04</t>
  </si>
  <si>
    <t>LP1Y-TFA-109203-01</t>
  </si>
  <si>
    <t>LP1Y-TFA-109203-02</t>
  </si>
  <si>
    <t>LP1Y-TFA-109205-03</t>
  </si>
  <si>
    <t>LP1Y-TFA-109205-04</t>
  </si>
  <si>
    <t>LP1Y-TFA-109205-05</t>
  </si>
  <si>
    <t>LP1Y-TFA-109205-06</t>
  </si>
  <si>
    <t>LP1Y-TFA-109206-01</t>
  </si>
  <si>
    <t>LP1Y-TFA-109206-03</t>
  </si>
  <si>
    <t>LP1Y-TFA-109212-01</t>
  </si>
  <si>
    <t>LP1Y-TFA-109215-01</t>
  </si>
  <si>
    <t>LP1Y-TFA-109215-03</t>
  </si>
  <si>
    <t>LP1Y-TFA-176023-03</t>
  </si>
  <si>
    <t>LP1Y-TFA-176023-04</t>
  </si>
  <si>
    <t>LP1Y-TFA-176023-05</t>
  </si>
  <si>
    <t>LP1Y-TFA-176101-02</t>
  </si>
  <si>
    <t>LP1Y-TFA-176101-03</t>
  </si>
  <si>
    <t>LP1Y-TFA-176106-01</t>
  </si>
  <si>
    <t>LP1Y-TFA-176108-01</t>
  </si>
  <si>
    <t>LP1Y-TWRP-109313-05</t>
  </si>
  <si>
    <t>LP1Y-TWRP-850005-02</t>
  </si>
  <si>
    <t>LP1Y-TWSP-017018-02</t>
  </si>
  <si>
    <t>LP1Y-TWSP-017020-05</t>
  </si>
  <si>
    <t>LP1Y-WFO-017003-03</t>
  </si>
  <si>
    <t>LP1Y-WFO-017004-05</t>
  </si>
  <si>
    <t>LP1Y-WFO-017007-20</t>
  </si>
  <si>
    <t>LP1Y-WFO-017007-57</t>
  </si>
  <si>
    <t>LP1Y-WFO-017007-68</t>
  </si>
  <si>
    <t>LP1Y-WFO-017007-69</t>
  </si>
  <si>
    <t>LP1Y-WFO-017008-10</t>
  </si>
  <si>
    <t>LP1Y-WFO-017009-08</t>
  </si>
  <si>
    <t>LP1Y-WFO-017010-05</t>
  </si>
  <si>
    <t>LP1Y-WFO-017010-06</t>
  </si>
  <si>
    <t>LP1Y-WFO-017011-10</t>
  </si>
  <si>
    <t>LP1Y-WFO-017012-07</t>
  </si>
  <si>
    <t>LP1Y-WFO-017012-08</t>
  </si>
  <si>
    <t>LP1Y-WFO-017013-05</t>
  </si>
  <si>
    <t>LP1Y-WFO-017013-06</t>
  </si>
  <si>
    <t>LP1Y-WFO-017014-09</t>
  </si>
  <si>
    <t>LP1Y-WFO-017038-02</t>
  </si>
  <si>
    <t>LP1Y-WFO-017045-07</t>
  </si>
  <si>
    <t>LP1Y-WFO-017045-08</t>
  </si>
  <si>
    <t>LP1Y-WFO-017047-07</t>
  </si>
  <si>
    <t>LP1Y-WFO-017049-07</t>
  </si>
  <si>
    <t>LP1Y-WFO-017052-04</t>
  </si>
  <si>
    <t>LP1Y-WFO-017060-14</t>
  </si>
  <si>
    <t>LP1Y-WFO-017068-04</t>
  </si>
  <si>
    <t>LP1Y-WFO-017082-03</t>
  </si>
  <si>
    <t>LP1Y-WFO-033008-06</t>
  </si>
  <si>
    <t>LP1Y-WFO-033010-05</t>
  </si>
  <si>
    <t>LP1Y-WFO-033014-09</t>
  </si>
  <si>
    <t>LP1Y-WFO-033014-10</t>
  </si>
  <si>
    <t>LP1Y-WFO-033016-09</t>
  </si>
  <si>
    <t>LP1Y-WFO-033018-16</t>
  </si>
  <si>
    <t>LP1Y-WFO-033033-03</t>
  </si>
  <si>
    <t>LP1Y-WFO-033036-03</t>
  </si>
  <si>
    <t>LP1Y-WFO-033053-06</t>
  </si>
  <si>
    <t>LP1Y-WFO-033056-08</t>
  </si>
  <si>
    <t>LP1Y-WFO-033060-04</t>
  </si>
  <si>
    <t>LP1Y-WFO-100109-02</t>
  </si>
  <si>
    <t>LP1Y-WFO-100209-02</t>
  </si>
  <si>
    <t>LP1Y-WFO-100309-02</t>
  </si>
  <si>
    <t>LP1Y-WFO-101111-02</t>
  </si>
  <si>
    <t>LP1Y-WFO-101311-02</t>
  </si>
  <si>
    <t>LP1Y-WFO-101513-02</t>
  </si>
  <si>
    <t>LP1Y-WFO-101610-02</t>
  </si>
  <si>
    <t>LP1Y-WFO-101710-02</t>
  </si>
  <si>
    <t>LP1Y-WFO-102110-02</t>
  </si>
  <si>
    <t>LP1Y-WFO-102210-02</t>
  </si>
  <si>
    <t>LP1Y-WFO-107110-02</t>
  </si>
  <si>
    <t>LP1Y-WFO-107210-02</t>
  </si>
  <si>
    <t>LP1Y-WFO-107310-02</t>
  </si>
  <si>
    <t>LP1Y-WFO-107410-02</t>
  </si>
  <si>
    <t>LP1Y-WFO-108123-02</t>
  </si>
  <si>
    <t>LP1Y-WFO-108224-02</t>
  </si>
  <si>
    <t>LP1Y-WFO-109110-02</t>
  </si>
  <si>
    <t>LP1Y-WFO-109210-02</t>
  </si>
  <si>
    <t>LP1Y-WFO-110221-02</t>
  </si>
  <si>
    <t>LP1Y-WFO-110607-02</t>
  </si>
  <si>
    <t>LP1Y-WFO-110807-02</t>
  </si>
  <si>
    <t>LP1Y-WFO-111210-02</t>
  </si>
  <si>
    <t>LP1Y-WFO-111410-02</t>
  </si>
  <si>
    <t>LP1Y-WFO-111610-02</t>
  </si>
  <si>
    <t>LP1Y-WFO-112110-02</t>
  </si>
  <si>
    <t>LP1Y-WFO-112208-02</t>
  </si>
  <si>
    <t>LP1Y-WFO-112408-02</t>
  </si>
  <si>
    <t>LP1Y-WFO-162210-02</t>
  </si>
  <si>
    <t>LP1Y-WFO-195029-02</t>
  </si>
  <si>
    <t>LP1Y-WFO-195030-02</t>
  </si>
  <si>
    <t>LP1Y-WFO-196025-02</t>
  </si>
  <si>
    <t>LP1Y-WFO-196026-02</t>
  </si>
  <si>
    <t>LP1Y-WFO-300309-02</t>
  </si>
  <si>
    <t>LP1Y-WFO-300409-02</t>
  </si>
  <si>
    <t>LP1Y-WFO-301110-02</t>
  </si>
  <si>
    <t>LP1Y-WFO-301210-02</t>
  </si>
  <si>
    <t>LP1Y-WFO-301310-02</t>
  </si>
  <si>
    <t>LP1Y-WFO-301410-02</t>
  </si>
  <si>
    <t>LP1Y-WFO-302110-02</t>
  </si>
  <si>
    <t>LP1Y-WFO-303110-02</t>
  </si>
  <si>
    <t>LP1Y-WFO-370011-02</t>
  </si>
  <si>
    <t>LP1Y-WFO-370012-02</t>
  </si>
  <si>
    <t>LP1Y-WI-037001-01</t>
  </si>
  <si>
    <t>LP1Y-WI-302105-01</t>
  </si>
  <si>
    <t>LP1Y-WI-302105-02</t>
  </si>
  <si>
    <t>LP1Y-WI-302106-01</t>
  </si>
  <si>
    <t>LP1Y-WI-302106-02</t>
  </si>
  <si>
    <t>LP1Y-WI-302106-03</t>
  </si>
  <si>
    <t>LP1Y-WI-302106-07</t>
  </si>
  <si>
    <t>LP1Y-WI-302106-08</t>
  </si>
  <si>
    <t>LP1Y-WI-302106-09</t>
  </si>
  <si>
    <t>LP1Y-WI-302106-10</t>
  </si>
  <si>
    <t>LP1Y-WI-302107-01</t>
  </si>
  <si>
    <t>LP1Y-WNP-017007-28</t>
  </si>
  <si>
    <t>LP1Y-WNP-017008-02</t>
  </si>
  <si>
    <t>LP1Y-WNP-017009-04</t>
  </si>
  <si>
    <t>LP1Y-WNP-017009-05</t>
  </si>
  <si>
    <t>LP1Y-WNP-017012-05</t>
  </si>
  <si>
    <t>LP1Y-WNP-017013-02</t>
  </si>
  <si>
    <t>LP1Y-WNP-017014-03</t>
  </si>
  <si>
    <t>LP1Y-WNP-017014-06</t>
  </si>
  <si>
    <t>LP1Y-WNP-017045-03</t>
  </si>
  <si>
    <t>LP1Y-WNP-017045-04</t>
  </si>
  <si>
    <t>LP1Y-WNP-017047-01</t>
  </si>
  <si>
    <t>LP1Y-WNP-017047-02</t>
  </si>
  <si>
    <t>LP1Y-WNP-017049-02</t>
  </si>
  <si>
    <t>LP1Y-WNP-017049-05</t>
  </si>
  <si>
    <t>LP1Y-WNP-017060-01</t>
  </si>
  <si>
    <t>LP1Y-WNP-017068-02</t>
  </si>
  <si>
    <t>LP1Y-WNP-033008-02</t>
  </si>
  <si>
    <t>LP1Y-WNP-033008-04</t>
  </si>
  <si>
    <t>LP1Y-WNP-033010-01</t>
  </si>
  <si>
    <t>LP1Y-WNP-033010-02</t>
  </si>
  <si>
    <t>LP1Y-WNP-033014-04</t>
  </si>
  <si>
    <t>LP1Y-WNP-033014-05</t>
  </si>
  <si>
    <t>LP1Y-WNP-033016-04</t>
  </si>
  <si>
    <t>LP1Y-WNP-033016-05</t>
  </si>
  <si>
    <t>LP1Y-WNP-033036-02</t>
  </si>
  <si>
    <t>LP1Y-WNP-033053-02</t>
  </si>
  <si>
    <t>LP1Y-WNP-033056-01</t>
  </si>
  <si>
    <t>LP1Y-WNP-100109-01</t>
  </si>
  <si>
    <t>LP1Y-WNP-100209-01</t>
  </si>
  <si>
    <t>LP1Y-WNP-100309-01</t>
  </si>
  <si>
    <t>LP1Y-WNP-101111-01</t>
  </si>
  <si>
    <t>LP1Y-WNP-101311-01</t>
  </si>
  <si>
    <t>LP1Y-WNP-101513-01</t>
  </si>
  <si>
    <t>LP1Y-WNP-101610-01</t>
  </si>
  <si>
    <t>LP1Y-WNP-101710-01</t>
  </si>
  <si>
    <t>LP1Y-WNP-102110-01</t>
  </si>
  <si>
    <t>LP1Y-WNP-102210-01</t>
  </si>
  <si>
    <t>LP1Y-WNP-107110-01</t>
  </si>
  <si>
    <t>LP1Y-WNP-107210-01</t>
  </si>
  <si>
    <t>LP1Y-WNP-107310-01</t>
  </si>
  <si>
    <t>LP1Y-WNP-107410-01</t>
  </si>
  <si>
    <t>LP1Y-WNP-108123-01</t>
  </si>
  <si>
    <t>LP1Y-WNP-108224-01</t>
  </si>
  <si>
    <t>LP1Y-WNP-109110-01</t>
  </si>
  <si>
    <t>LP1Y-WNP-109210-01</t>
  </si>
  <si>
    <t>LP1Y-WNP-110221-01</t>
  </si>
  <si>
    <t>LP1Y-WNP-110607-01</t>
  </si>
  <si>
    <t>LP1Y-WNP-110807-01</t>
  </si>
  <si>
    <t>LP1Y-WNP-111210-01</t>
  </si>
  <si>
    <t>LP1Y-WNP-111410-01</t>
  </si>
  <si>
    <t>LP1Y-WNP-111610-01</t>
  </si>
  <si>
    <t>LP1Y-WNP-112110-01</t>
  </si>
  <si>
    <t>LP1Y-WNP-112208-01</t>
  </si>
  <si>
    <t>LP1Y-WNP-112408-01</t>
  </si>
  <si>
    <t>LP1Y-WNP-162210-01</t>
  </si>
  <si>
    <t>LP1Y-WNP-195029-01</t>
  </si>
  <si>
    <t>LP1Y-WNP-195030-01</t>
  </si>
  <si>
    <t>LP1Y-WNP-196025-01</t>
  </si>
  <si>
    <t>LP1Y-WNP-196026-01</t>
  </si>
  <si>
    <t>LP1Y-WNP-300309-01</t>
  </si>
  <si>
    <t>LP1Y-WNP-300409-01</t>
  </si>
  <si>
    <t>LP1Y-WNP-301110-01</t>
  </si>
  <si>
    <t>LP1Y-WNP-301210-01</t>
  </si>
  <si>
    <t>LP1Y-WNP-301310-01</t>
  </si>
  <si>
    <t>LP1Y-WNP-301410-01</t>
  </si>
  <si>
    <t>LP1Y-WNP-302110-01</t>
  </si>
  <si>
    <t>LP1Y-WNP-303110-01</t>
  </si>
  <si>
    <t>LP1Y-WNP-370011-01</t>
  </si>
  <si>
    <t>LP1Y-WNP-370012-01</t>
  </si>
  <si>
    <t>LP1Y-WPC-017001-02</t>
  </si>
  <si>
    <t>LP1Y-WPC-017029-02</t>
  </si>
  <si>
    <t>LP1Y-WPC-017041-03</t>
  </si>
  <si>
    <t>LP1Y-WPC-017042-03</t>
  </si>
  <si>
    <t>LP1Y-WPC-017046-02</t>
  </si>
  <si>
    <t>LP1Y-WPC-017048-03</t>
  </si>
  <si>
    <t>LP1Y-WPC-017050-02</t>
  </si>
  <si>
    <t>LP1Y-WPC-017051-01</t>
  </si>
  <si>
    <t>LP1Y-WPC-017053-04</t>
  </si>
  <si>
    <t>LP1Y-WPC-017054-03</t>
  </si>
  <si>
    <t>LP1Y-WPC-017055-03</t>
  </si>
  <si>
    <t>LP1Y-WPC-017057-02</t>
  </si>
  <si>
    <t>LP1Y-WPC-017058-02</t>
  </si>
  <si>
    <t>LP1Y-WPC-017061-08</t>
  </si>
  <si>
    <t>LP1Y-WPC-017064-05</t>
  </si>
  <si>
    <t>LP1Y-WPC-017071-01</t>
  </si>
  <si>
    <t>LP1Y-WPC-017072-01</t>
  </si>
  <si>
    <t>LP1Y-WPC-017073-01</t>
  </si>
  <si>
    <t>LP1Y-WPC-017074-01</t>
  </si>
  <si>
    <t>LP1Y-WPC-017075-01</t>
  </si>
  <si>
    <t>LP1Y-WPC-033009-03</t>
  </si>
  <si>
    <t>LP1Y-WPC-033012-03</t>
  </si>
  <si>
    <t>LP1Y-WPC-033015-03</t>
  </si>
  <si>
    <t>LP1Y-WPC-033017-01</t>
  </si>
  <si>
    <t>LP1Y-WPC-033029-02</t>
  </si>
  <si>
    <t>LP1Y-WPC-033037-02</t>
  </si>
  <si>
    <t>LP1Y-WPC-033054-02</t>
  </si>
  <si>
    <t>LP1Y-WPC-033057-02</t>
  </si>
  <si>
    <t>LP1Y-WPC-033065-03</t>
  </si>
  <si>
    <t>LP1Y-WPC-033069-01</t>
  </si>
  <si>
    <t>LP1Y-WPC-033070-01</t>
  </si>
  <si>
    <t>LP1Y-WPC-061052-01</t>
  </si>
  <si>
    <t>LP1Y-WPC-194002-01</t>
  </si>
  <si>
    <t>LP1Y-WPC-194002-02</t>
  </si>
  <si>
    <t>LP1Y-WPC-194003-01</t>
  </si>
  <si>
    <t>LP1Y-WPC-194003-02</t>
  </si>
  <si>
    <t>LP1Y-WPC-194006-01</t>
  </si>
  <si>
    <t>LP1Y-WPC-194006-04</t>
  </si>
  <si>
    <t>LP1Y-WPC-194007-01</t>
  </si>
  <si>
    <t>LP1Y-WPC-194008-01</t>
  </si>
  <si>
    <t>LP1Y-WPC-194012-01</t>
  </si>
  <si>
    <t>LP1Y-WPC-194013-01</t>
  </si>
  <si>
    <t>LP1Y-WPC-194013-02</t>
  </si>
  <si>
    <t>LP1Y-WPC-194020-01</t>
  </si>
  <si>
    <t>LP1Y-WPC-194025-02</t>
  </si>
  <si>
    <t>LP1Y-WPC-194027-01</t>
  </si>
  <si>
    <t>LP1Y-WPC-194027-02</t>
  </si>
  <si>
    <t>LP1Y-WPC-194028-01</t>
  </si>
  <si>
    <t>LP1Y-WPC-194028-02</t>
  </si>
  <si>
    <t>LP1Y-WPC-194029-01</t>
  </si>
  <si>
    <t>LP1Y-WPC-194029-02</t>
  </si>
  <si>
    <t>LP1Y-WPC-194030-01</t>
  </si>
  <si>
    <t>LP1Y-WPC-194030-02</t>
  </si>
  <si>
    <t>LP1Y-WPC-194102-01</t>
  </si>
  <si>
    <t>LP1Y-WPC-194102-02</t>
  </si>
  <si>
    <t>LP1Y-WPC-194105-01</t>
  </si>
  <si>
    <t>LP1Y-WPC-194105-04</t>
  </si>
  <si>
    <t>LP1Y-WPC-194106-01</t>
  </si>
  <si>
    <t>LP1Y-WPC-194109-01</t>
  </si>
  <si>
    <t>LP1Y-WPC-194111-01</t>
  </si>
  <si>
    <t>LP1Y-WPC-194113-01</t>
  </si>
  <si>
    <t>LP1Y-WPC-194113-02</t>
  </si>
  <si>
    <t>LP1Y-WPC-194113-05</t>
  </si>
  <si>
    <t>LP1Y-WPC-194115-01</t>
  </si>
  <si>
    <t>LP1Y-WPC-194117-01</t>
  </si>
  <si>
    <t>LP1Y-WPC-194117-03</t>
  </si>
  <si>
    <t>LP1Y-WPC-194120-01</t>
  </si>
  <si>
    <t>LP1Y-WPC-194120-03</t>
  </si>
  <si>
    <t>LP1Y-WPC-194123-01</t>
  </si>
  <si>
    <t>LP1Y-WPC-194123-02</t>
  </si>
  <si>
    <t>LP1Y-WPC-194124-01</t>
  </si>
  <si>
    <t>LP1Y-WPC-194124-02</t>
  </si>
  <si>
    <t>LP1Y-WPC-194127-01</t>
  </si>
  <si>
    <t>LP1Y-WPC-194127-02</t>
  </si>
  <si>
    <t>LP1Y-WPC-194128-01</t>
  </si>
  <si>
    <t>LP1Y-WPC-194128-02</t>
  </si>
  <si>
    <t>LP1Y-WPC-194129-03</t>
  </si>
  <si>
    <t>LP1Y-WPC-375002-01</t>
  </si>
  <si>
    <t>LP1Y-WPC-375004-01</t>
  </si>
  <si>
    <t>LP1Y-WPC-375006-01</t>
  </si>
  <si>
    <t>LP1Y-WPC-375006-02</t>
  </si>
  <si>
    <t>LP1Y-WPC-375008-01</t>
  </si>
  <si>
    <t>LP1Y-WPC-375008-02</t>
  </si>
  <si>
    <t>LP1Y-WPC-375010-01</t>
  </si>
  <si>
    <t>LP1Y-WPC-375010-02</t>
  </si>
  <si>
    <t>LP1Y-WPC-375011-02</t>
  </si>
  <si>
    <t>LP1Y-WPC-375011-03</t>
  </si>
  <si>
    <t>LP1Y-WPC-375012-01</t>
  </si>
  <si>
    <t>LP1Y-WPC-375012-02</t>
  </si>
  <si>
    <t>LP1Y-WPC-375013-01</t>
  </si>
  <si>
    <t>LP1Y-WPC-375013-02</t>
  </si>
  <si>
    <t>LP1Y-WTFAP-014006-03</t>
  </si>
  <si>
    <t>LP1Y-WTFAP-109103-01</t>
  </si>
  <si>
    <t>LP1Y-WTFAP-109103-02</t>
  </si>
  <si>
    <t>LP1Y-WTFAP-109105-01</t>
  </si>
  <si>
    <t>LP1Y-WTFAP-109105-02</t>
  </si>
  <si>
    <t>LP1Y-WTFAP-109105-03</t>
  </si>
  <si>
    <t>LP1Y-WTFAP-109105-05</t>
  </si>
  <si>
    <t>LP1Y-WTFAP-109105-08</t>
  </si>
  <si>
    <t>LP1Y-WTFAP-109116-01</t>
  </si>
  <si>
    <t>LP1Y-WTFAP-109116-03</t>
  </si>
  <si>
    <t>LP1Y-WTFAP-109208-01</t>
  </si>
  <si>
    <t>LP1Y-WTFAP-109208-03</t>
  </si>
  <si>
    <t>LP1Y-WV-061046-30</t>
  </si>
  <si>
    <t>LP1Y-WV-100407-01</t>
  </si>
  <si>
    <t>LP1Y-WV-101015-01</t>
  </si>
  <si>
    <t>LP1Y-WV-101113-01</t>
  </si>
  <si>
    <t>LP1Y-WV-101313-01</t>
  </si>
  <si>
    <t>LP1Y-WV-101615-03</t>
  </si>
  <si>
    <t>LP1Y-WV-101616-01</t>
  </si>
  <si>
    <t>LP1Y-WV-101715-01</t>
  </si>
  <si>
    <t>LP1Y-WV-112206-01</t>
  </si>
  <si>
    <t>LP1Y-WV-112406-01</t>
  </si>
  <si>
    <t>LP1Y-WV-175013-04</t>
  </si>
  <si>
    <t>LP1Y-WV-175013-05</t>
  </si>
  <si>
    <t>LP1Y-WV-175013-06</t>
  </si>
  <si>
    <t>LP1Y-WV-321011-01</t>
  </si>
  <si>
    <t>LP1Y-WV-321011-05</t>
  </si>
  <si>
    <t>Drawing Number</t>
  </si>
  <si>
    <t>Index</t>
  </si>
  <si>
    <t>Component</t>
  </si>
  <si>
    <t>Size</t>
  </si>
  <si>
    <t>Quantity</t>
  </si>
  <si>
    <t>Thickness</t>
  </si>
  <si>
    <t>ShopField</t>
  </si>
  <si>
    <t>NO</t>
  </si>
  <si>
    <t>Y</t>
  </si>
  <si>
    <t>NE</t>
  </si>
  <si>
    <t>N/A</t>
  </si>
  <si>
    <t>TFS</t>
  </si>
  <si>
    <t>108</t>
  </si>
  <si>
    <t>ET</t>
  </si>
  <si>
    <t>TFS00D005YSPP</t>
  </si>
  <si>
    <t>LP1Y-DI-20000101</t>
  </si>
  <si>
    <t>344</t>
  </si>
  <si>
    <t>PWP</t>
  </si>
  <si>
    <t>LP1Y 6" DUP PWP (344) (108) 101706</t>
  </si>
  <si>
    <t>GRV</t>
  </si>
  <si>
    <t>SS</t>
  </si>
  <si>
    <t>FLG LAP JOINT 150# 316 SS</t>
  </si>
  <si>
    <t>FLG BLIND 150# RF 316/316L SS</t>
  </si>
  <si>
    <t>5PU3</t>
  </si>
  <si>
    <t>Description</t>
  </si>
  <si>
    <t>PRV - REGULATOR VALVE, NON-HYGIENIC - LP1YPRV1810NQ</t>
  </si>
  <si>
    <t>EA</t>
  </si>
  <si>
    <t>ADAPTER TC X 10S 316L SS - 5546514</t>
  </si>
  <si>
    <t>WATER HEATER 316 SS MNPT - LP1Y WH-1940F</t>
  </si>
  <si>
    <t>FLG WN REDUCING 150# RF 316/316L SS 10S BORE - LP1Y RF-3021R1</t>
  </si>
  <si>
    <t>PSV - PRESSURE, SAFETY VALVE, NON-HYGIENIC - LP1YPSV1074R</t>
  </si>
  <si>
    <t>HOSE CONNECTION HASTELLOY BW ADAPTER CAMLOCK WITH DUST CAP - LP1Y CCU-1783N1</t>
  </si>
  <si>
    <t>STUB END SCH10S DUPLEX S32205-W SHORT PATT - 5460762L</t>
  </si>
  <si>
    <t>PIPE SCH 10S EFW DUPLEX STL S32205-W - Fab Pipe Handling</t>
  </si>
  <si>
    <t>CAP SCH 10S 316/316L SS A403 - 5448862</t>
  </si>
  <si>
    <t>STEAM TRAP INVERTED BUCKET 400 PSIG 304L SS FNPT - LP1Y STT-0180U15</t>
  </si>
  <si>
    <t>NIPPLE SCH 80S 316/316L SS TBE 3" LONG - 5540551</t>
  </si>
  <si>
    <t>MALE CONNECTOR 316 SS COMP X MNPT - 5509913</t>
  </si>
  <si>
    <t>0.25 IN - 10S - 3000 - SS - SCRD</t>
  </si>
  <si>
    <t>0.25 IN - 10S - 3000 - SS - THRD</t>
  </si>
  <si>
    <t>ELL 90 DEG 316 SS COMP ENDS - 5509403</t>
  </si>
  <si>
    <t>BALL 1000# CWP FNPT 316SS TFE FP EXTD STEM, HNDL OP - 5352192L5</t>
  </si>
  <si>
    <t>FLG SW 150# RF 316/316L SS 10S BORE - 5608148</t>
  </si>
  <si>
    <t>TEE 3000# SW 316/316L SS - 5480140</t>
  </si>
  <si>
    <t>PIPET 10S X 3000# SCRD 316/316L SS - 5515773</t>
  </si>
  <si>
    <t>SWAGE CONC SCH 10S 316/316L SS BBE - 5546561</t>
  </si>
  <si>
    <t>CHECK 150# RF 316 SS SWING - 5257711L</t>
  </si>
  <si>
    <t>FIGURE 8 BLANK 150# RF 316/316L SS - 5749749</t>
  </si>
  <si>
    <t>LATROLET 3000# SW 316/316L SS - 5529072</t>
  </si>
  <si>
    <t>REDUCER CONC SCH 10S 316/316L SS A403-W - 5450717</t>
  </si>
  <si>
    <t>PIPE COVER PVC PE - LP1Y PC-1114V2</t>
  </si>
  <si>
    <t>DRIP PAN HASTELLOY FOR EQUIPMENT - LP1Y DP-1761A</t>
  </si>
  <si>
    <t>SIGHT GLASS BULLSEYE 150# HASTELLOY RF - LP1Y SG-1761A1</t>
  </si>
  <si>
    <t>SAMPLE VALVE 150# HASTELLOY RF - LP1Y SAM-1761A1</t>
  </si>
  <si>
    <t>CHECK 3000PSI SCRD A494-CW12MW SPRING LOADED - 5271634L4</t>
  </si>
  <si>
    <t>TEE RED SCH 10S HASTELLOY C22 B366-W - 5469758L</t>
  </si>
  <si>
    <t>CUT</t>
  </si>
  <si>
    <t>SAFETY SHOWER AND EYEWASH COMBINATION - LP1Y SSEW-00-1015-01</t>
  </si>
  <si>
    <t>WELDOLET STD WT STL A105 - 5504203</t>
  </si>
  <si>
    <t>SOCKOLET 3000# STL A105 - 5532671</t>
  </si>
  <si>
    <t>SAFETY SHOWER AND EYEWASH COMBINATION - LP1Y SSEW-00-1003-01</t>
  </si>
  <si>
    <t>2 IN - 40 - CS - GRV</t>
  </si>
  <si>
    <t>BUTTERFLY 150# DI, THD LUG ALBR EPDM GO - 5307532</t>
  </si>
  <si>
    <t>PLUG 150# SW/SCRD STL, 316 TRIM WR OP - 5295750L8</t>
  </si>
  <si>
    <t>THRD</t>
  </si>
  <si>
    <t>RELIEF VALVE - LP1YPSV1004Y</t>
  </si>
  <si>
    <t>OLW</t>
  </si>
  <si>
    <t>ELL 45 DEG 3000# SW STL A105 - 5478106</t>
  </si>
  <si>
    <t>STUD-BOLT A193 GR B7 W/A194 GR 2H NUTS W/ STAR WASHERS - 3.25 in. Length - 5675648L1</t>
  </si>
  <si>
    <t>STRAINER Y-TYPE 600# STL FNPT - LP1Y STR-0180U15</t>
  </si>
  <si>
    <t>BUTTERFLY TRIPLE 150# LUG STL GO ANSI - 5308832L1</t>
  </si>
  <si>
    <t>GATE 800# SW STL, F6/STEL SEATS - 5061780L0</t>
  </si>
  <si>
    <t>8 IN - 40 - 150 - CS - BU - One Flange</t>
  </si>
  <si>
    <t>8 IN - 40 - CS - BW</t>
  </si>
  <si>
    <t>FLG ADAPTER 150# RF/FF X GRV DI GRADE P GASKET NSF - 5484771L0</t>
  </si>
  <si>
    <t>PI - PRESSURE, GAUGE, LOCAL, DIRECT, N-HYG, SEAL - LP1YPI0970AB</t>
  </si>
  <si>
    <t>0.5 IN - 40 - 3000 - CS - OLW</t>
  </si>
  <si>
    <t>PLUG ROUND HEAD SCRD STL A105 - 5490665</t>
  </si>
  <si>
    <t>CVV - CONSERVATION VENT VALVE - LP1YCVV1800NA</t>
  </si>
  <si>
    <t>AE - ANALYZER, ELEMENT, PH, NON-HYG - LP1YAE1010AC</t>
  </si>
  <si>
    <t>0.5 IN - 40 - CS - SW</t>
  </si>
  <si>
    <t>FE - FLOW, ELEMENT, CORIOLIS, NON-HYG - LP1YFE1080G</t>
  </si>
  <si>
    <t>FE - FLOW, ELEMENT, CORIOLIS, NON-HYG - LP1YFE1621A</t>
  </si>
  <si>
    <t>SOLENOID VALVE, INLINE - LP1YSV1652HB</t>
  </si>
  <si>
    <t>FCV - FLOW, CONTROL VALVE, GLOBE, NON-HYG - LP1YFCV1080G</t>
  </si>
  <si>
    <t>THREDOLET 3000# STL A105 - 5514671</t>
  </si>
  <si>
    <t>EARTHING WASHER STAR STEEL - 5676235L</t>
  </si>
  <si>
    <t>GASKET 150# PTFE RING 1/8" THK LOW STRESS - 5669399L</t>
  </si>
  <si>
    <t>UOM</t>
  </si>
  <si>
    <t>UNION 3000# BW SCH 10S DUPLEX STL S32205 - 5483127L</t>
  </si>
  <si>
    <t>SPL</t>
  </si>
  <si>
    <t>PIPE SCH 10S EFW DUPLEX STL S32205-W - Spool Handling</t>
  </si>
  <si>
    <t>items keys</t>
  </si>
  <si>
    <t>mcaa abbr</t>
  </si>
  <si>
    <t>desc</t>
  </si>
  <si>
    <t>NOTES</t>
  </si>
  <si>
    <t>EL45</t>
  </si>
  <si>
    <t>NEED CLASS FOR ALL SW</t>
  </si>
  <si>
    <t>EL90</t>
  </si>
  <si>
    <t>FE</t>
  </si>
  <si>
    <t>4.9 MHS. USED FLOW TRANSMITTER FROM INSTUMENTATION</t>
  </si>
  <si>
    <t>NOT IN MCAA</t>
  </si>
  <si>
    <t>CPL</t>
  </si>
  <si>
    <t>SiteSpecific</t>
  </si>
  <si>
    <t>MAKE FIGURE 8 A BLIND body type in the app and takeoff</t>
  </si>
  <si>
    <t>newComp</t>
  </si>
  <si>
    <t>FMO</t>
  </si>
  <si>
    <t>150 PSI Flow Meter Wafer Type, Orifice</t>
  </si>
  <si>
    <t>PIPE SUPPORT</t>
  </si>
  <si>
    <t>USE 6 MHS</t>
  </si>
  <si>
    <t>GAUGE4ROD</t>
  </si>
  <si>
    <t>1.05 mhS (NOT SCRAPED: INSTRUMENTATION</t>
  </si>
  <si>
    <t>these now create a BW and whatever the olet includes on the other side (all olets follow this rule now)</t>
  </si>
  <si>
    <t xml:space="preserve">ONLY USING ss AND cs BUTT WELD. </t>
  </si>
  <si>
    <t>REDCON, REDECC</t>
  </si>
  <si>
    <t>ALL REDS MUST BE REDCON OR REDECC</t>
  </si>
  <si>
    <t>TEERED</t>
  </si>
  <si>
    <t>NOT USING</t>
  </si>
  <si>
    <t>WILL DIVIDE HANDLING FROM PIPE AND COMPONENTS</t>
  </si>
  <si>
    <t>STRNR</t>
  </si>
  <si>
    <t>TUBE .035 WALL 316L A269 NON-POL - 5365260</t>
  </si>
  <si>
    <t>VLVBFLY</t>
  </si>
  <si>
    <t>ADD CLASS TO KEY</t>
  </si>
  <si>
    <t>VBFO</t>
  </si>
  <si>
    <t>VLVBALL</t>
  </si>
  <si>
    <t>VLVCHK</t>
  </si>
  <si>
    <t>VLVGLB</t>
  </si>
  <si>
    <t>VLVGT</t>
  </si>
  <si>
    <t>VLVPLG</t>
  </si>
  <si>
    <t>VLVREL</t>
  </si>
  <si>
    <t>VLVSOL</t>
  </si>
  <si>
    <t>NO CLASS NEEDED</t>
  </si>
  <si>
    <t>Env</t>
  </si>
  <si>
    <t>ClnRoom</t>
  </si>
  <si>
    <t>Cond</t>
  </si>
  <si>
    <t>Grade</t>
  </si>
  <si>
    <t>OT</t>
  </si>
  <si>
    <t>Total</t>
  </si>
  <si>
    <t>Handle Pipe</t>
  </si>
  <si>
    <t>Handle Fittings - L90</t>
  </si>
  <si>
    <t>Handle Fittings - L45</t>
  </si>
  <si>
    <t>Handle Fittings - OLET</t>
  </si>
  <si>
    <t>Handle Fittings - TEE</t>
  </si>
  <si>
    <t>Handle Fittings - REDUCER</t>
  </si>
  <si>
    <t>Handle VALVE</t>
  </si>
  <si>
    <t>Handle FLANGE</t>
  </si>
  <si>
    <t>Handle Fittings - STUB END</t>
  </si>
  <si>
    <t>Handle Fittings - NIPPLE</t>
  </si>
  <si>
    <t>Handle Fittings - CAP</t>
  </si>
  <si>
    <t>Handle Fittings - COUPLING</t>
  </si>
  <si>
    <t>Handle Fittings - FLEX HOSE</t>
  </si>
  <si>
    <t>FLANGE BOLT-UP</t>
  </si>
  <si>
    <t xml:space="preserve">Joint Prep - Cut &amp; Bevel </t>
  </si>
  <si>
    <t>Join Pipe</t>
  </si>
  <si>
    <t>Join Fittings</t>
  </si>
  <si>
    <t>SUB-TOTAL</t>
  </si>
  <si>
    <t>TIG Weld Factor</t>
  </si>
  <si>
    <t>Inert Gas Purge</t>
  </si>
  <si>
    <t>X-Ray Quality Weld</t>
  </si>
  <si>
    <t>Heavy Equipment</t>
  </si>
  <si>
    <t>Environmental</t>
  </si>
  <si>
    <t xml:space="preserve">Clean Room </t>
  </si>
  <si>
    <t>Conditions</t>
  </si>
  <si>
    <t>OVERTIME</t>
  </si>
  <si>
    <t>MCAA SECTION REFERENCE:</t>
  </si>
  <si>
    <t>Piping System Units</t>
  </si>
  <si>
    <t>Miscellaneous Labor Operations</t>
  </si>
  <si>
    <t>Labor Correction Factors Part VIII</t>
  </si>
  <si>
    <t>Labor Correction Factors Part VII</t>
  </si>
  <si>
    <t>Labor Correction Factors Part IV</t>
  </si>
  <si>
    <t>Clean Room Labor Correction Factors</t>
  </si>
  <si>
    <t>Site Hours Split</t>
  </si>
  <si>
    <t>OSM Hours Split</t>
  </si>
  <si>
    <t>OSM Factor</t>
  </si>
  <si>
    <t>Labor Correction Factors Part V</t>
  </si>
  <si>
    <t>SYSTEM</t>
  </si>
  <si>
    <t>SPEC</t>
  </si>
  <si>
    <t>LF Pipe</t>
  </si>
  <si>
    <t>SERVICE</t>
  </si>
  <si>
    <t>COMMENTS</t>
  </si>
  <si>
    <t>MCAA Unit labor hour</t>
  </si>
  <si>
    <t xml:space="preserve"> Labor Hour</t>
  </si>
  <si>
    <t>QTY</t>
  </si>
  <si>
    <t>Qty</t>
  </si>
  <si>
    <t>MCAA Unit labor hour per Dia Inch</t>
  </si>
  <si>
    <t xml:space="preserve">Unit Labor </t>
  </si>
  <si>
    <t>MCAA Adjustment Factor</t>
  </si>
  <si>
    <t>Subtotal Hours</t>
  </si>
  <si>
    <t xml:space="preserve">MCAA Adjustment Factor </t>
  </si>
  <si>
    <t xml:space="preserve">MCAA Heavy Equipment Factor </t>
  </si>
  <si>
    <t>MCAA Environmental Factor</t>
  </si>
  <si>
    <t>MCC Clean Room Factor</t>
  </si>
  <si>
    <t>Labor Hour</t>
  </si>
  <si>
    <t>Subtotal</t>
  </si>
  <si>
    <t>Site Hours</t>
  </si>
  <si>
    <t>OSM Hours</t>
  </si>
  <si>
    <t>OSM Area Adjustment "Only applied to OSM Hours</t>
  </si>
  <si>
    <t>Site Area Factor</t>
  </si>
  <si>
    <t>MCAA Grade Level Adjustment</t>
  </si>
  <si>
    <t>Total Onsite Factored Hours</t>
  </si>
  <si>
    <t>Total OSM Factored Hours</t>
  </si>
  <si>
    <t>Total Factored Labor Hours</t>
  </si>
  <si>
    <t>ADA</t>
  </si>
  <si>
    <t>CS - WELD</t>
  </si>
  <si>
    <t>ADAV</t>
  </si>
  <si>
    <t>ADB</t>
  </si>
  <si>
    <t>CS - THRD</t>
  </si>
  <si>
    <t>JEA</t>
  </si>
  <si>
    <t>SS - WELD</t>
  </si>
  <si>
    <t>JEAB</t>
  </si>
  <si>
    <t>JOAB</t>
  </si>
  <si>
    <t>BudgXQty</t>
  </si>
  <si>
    <t>Tig</t>
  </si>
  <si>
    <t>Argon</t>
  </si>
  <si>
    <t>Xray</t>
  </si>
  <si>
    <t>HvyEqp</t>
  </si>
  <si>
    <t>CommodityCode</t>
  </si>
  <si>
    <t>BuildingNo</t>
  </si>
  <si>
    <t>ConnectionSize</t>
  </si>
  <si>
    <t>CWPNo</t>
  </si>
  <si>
    <t>Elastomer</t>
  </si>
  <si>
    <t>Hygienic</t>
  </si>
  <si>
    <t>Impact</t>
  </si>
  <si>
    <t>InsulationCode</t>
  </si>
  <si>
    <t>IsometricDrawingNumber</t>
  </si>
  <si>
    <t>LineNumber</t>
  </si>
  <si>
    <t>ModuleNo</t>
  </si>
  <si>
    <t>Node</t>
  </si>
  <si>
    <t>PipeSchedule</t>
  </si>
  <si>
    <t>ReferencePIDNumber</t>
  </si>
  <si>
    <t>Rev</t>
  </si>
  <si>
    <t>ServiceCode</t>
  </si>
  <si>
    <t>TracingType</t>
  </si>
  <si>
    <t>SIZE</t>
  </si>
  <si>
    <t>TIG ROOT</t>
  </si>
  <si>
    <t>INERT GAS</t>
  </si>
  <si>
    <t>MULTIPLIERS</t>
  </si>
  <si>
    <t>XRAY</t>
  </si>
  <si>
    <t>HEAVY EQUIP (SIZE &gt; 8IN)</t>
  </si>
  <si>
    <t>ENVIRONMENTAL</t>
  </si>
  <si>
    <t>CLEAN ROOM</t>
  </si>
  <si>
    <t>SITE CONDITIONS</t>
  </si>
  <si>
    <t>GRADE (79% X 1.3)</t>
  </si>
  <si>
    <t>index</t>
  </si>
  <si>
    <t>MCAA</t>
  </si>
  <si>
    <t>SUMMIT</t>
  </si>
  <si>
    <t>Field MHs</t>
  </si>
  <si>
    <t>Rate</t>
  </si>
  <si>
    <t>Mhs</t>
  </si>
  <si>
    <t>SHOP WELDS</t>
  </si>
  <si>
    <t>Handling + Prep</t>
  </si>
  <si>
    <t>LP150-APL(100)-011015-01</t>
  </si>
  <si>
    <t>LP1Y-PWP-014007-03</t>
  </si>
  <si>
    <t>LP1Y-SWP-014001-05</t>
  </si>
  <si>
    <t>LP1Y-WV-061046-27</t>
  </si>
  <si>
    <t>LP1Y-WV-061046-28</t>
  </si>
  <si>
    <t>Budget</t>
  </si>
  <si>
    <t>KEY</t>
  </si>
  <si>
    <t>Reducing</t>
  </si>
  <si>
    <t>Material</t>
  </si>
  <si>
    <t>Merged_Props</t>
  </si>
  <si>
    <t>connection_qty</t>
  </si>
  <si>
    <t>connection_type</t>
  </si>
  <si>
    <t>pressure_rating</t>
  </si>
  <si>
    <t>class_rating</t>
  </si>
  <si>
    <t>weight_class</t>
  </si>
  <si>
    <t>length</t>
  </si>
  <si>
    <t>Size1</t>
  </si>
  <si>
    <t>Size2</t>
  </si>
  <si>
    <t>Size3</t>
  </si>
  <si>
    <t>Size4</t>
  </si>
  <si>
    <t>Size5</t>
  </si>
  <si>
    <t>Size6</t>
  </si>
  <si>
    <t>Size7</t>
  </si>
  <si>
    <t>WN</t>
  </si>
  <si>
    <t>BU,BW</t>
  </si>
  <si>
    <t>FLG|SS|WN|150|10|BU,BW|0.5|0.5</t>
  </si>
  <si>
    <t>0.5 IN WN SCH 10 150# FLG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</si>
</sst>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Aptos Narrow"/>
      <family val="2"/>
      <scheme val="minor"/>
    </font>
    <font>
      <sz val="11"/>
      <color rgb="FF0000FA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rgb="FFC6EFCE"/>
      </patternFill>
    </fill>
    <fill>
      <patternFill patternType="solid">
        <fgColor rgb="FF1F2A5A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rgb="FFDAEEF3"/>
      </patternFill>
    </fill>
    <fill>
      <patternFill patternType="solid">
        <fgColor theme="9" tint="0.59999389629810485"/>
        <bgColor rgb="FFDAEEF3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51">
    <xf numFmtId="0" fontId="0" fillId="0" borderId="0" xfId="0"/>
    <xf numFmtId="0" fontId="1" fillId="2" borderId="0" xfId="0" applyFont="1" applyFill="1"/>
    <xf numFmtId="0" fontId="0" fillId="0" borderId="1" xfId="0" applyBorder="1"/>
    <xf numFmtId="0" fontId="1" fillId="3" borderId="0" xfId="0" applyFont="1" applyFill="1"/>
    <xf numFmtId="0" fontId="2" fillId="4" borderId="0" xfId="0" applyFont="1" applyFill="1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22" fontId="0" fillId="0" borderId="0" xfId="0" applyNumberFormat="1" applyAlignment="1">
      <alignment horizontal="left"/>
    </xf>
    <xf numFmtId="9" fontId="0" fillId="0" borderId="2" xfId="1" applyFont="1" applyBorder="1" applyAlignment="1">
      <alignment horizontal="center"/>
    </xf>
    <xf numFmtId="0" fontId="0" fillId="0" borderId="2" xfId="1" applyNumberFormat="1" applyFon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1" fillId="0" borderId="0" xfId="0" applyFont="1"/>
    <xf numFmtId="0" fontId="1" fillId="0" borderId="7" xfId="0" applyFont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2" xfId="0" applyBorder="1" applyAlignment="1">
      <alignment horizontal="center" wrapText="1"/>
    </xf>
    <xf numFmtId="4" fontId="0" fillId="0" borderId="2" xfId="0" applyNumberFormat="1" applyBorder="1" applyAlignment="1">
      <alignment horizontal="center" wrapText="1"/>
    </xf>
    <xf numFmtId="4" fontId="0" fillId="5" borderId="2" xfId="0" applyNumberFormat="1" applyFill="1" applyBorder="1" applyAlignment="1">
      <alignment horizontal="center" wrapText="1"/>
    </xf>
    <xf numFmtId="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1" fillId="0" borderId="4" xfId="0" applyFont="1" applyBorder="1" applyAlignment="1">
      <alignment horizontal="center" wrapText="1"/>
    </xf>
    <xf numFmtId="49" fontId="1" fillId="0" borderId="8" xfId="0" applyNumberFormat="1" applyFont="1" applyBorder="1" applyAlignment="1">
      <alignment horizontal="center" wrapText="1"/>
    </xf>
    <xf numFmtId="4" fontId="1" fillId="0" borderId="8" xfId="0" applyNumberFormat="1" applyFont="1" applyBorder="1" applyAlignment="1">
      <alignment horizontal="center" wrapText="1"/>
    </xf>
    <xf numFmtId="49" fontId="1" fillId="0" borderId="5" xfId="0" applyNumberFormat="1" applyFont="1" applyBorder="1" applyAlignment="1">
      <alignment horizontal="center" wrapText="1"/>
    </xf>
    <xf numFmtId="49" fontId="1" fillId="6" borderId="2" xfId="0" applyNumberFormat="1" applyFont="1" applyFill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center" wrapText="1"/>
    </xf>
    <xf numFmtId="49" fontId="1" fillId="6" borderId="2" xfId="0" applyNumberFormat="1" applyFont="1" applyFill="1" applyBorder="1" applyAlignment="1">
      <alignment horizontal="center" wrapText="1"/>
    </xf>
    <xf numFmtId="49" fontId="1" fillId="0" borderId="2" xfId="0" applyNumberFormat="1" applyFont="1" applyBorder="1" applyAlignment="1">
      <alignment horizontal="center" wrapText="1"/>
    </xf>
    <xf numFmtId="4" fontId="1" fillId="5" borderId="2" xfId="0" applyNumberFormat="1" applyFont="1" applyFill="1" applyBorder="1" applyAlignment="1">
      <alignment horizont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center" vertical="center" wrapText="1"/>
    </xf>
    <xf numFmtId="49" fontId="1" fillId="8" borderId="2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9" xfId="0" applyFont="1" applyBorder="1"/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2" fontId="0" fillId="0" borderId="10" xfId="0" applyNumberFormat="1" applyBorder="1" applyAlignment="1">
      <alignment horizontal="center" vertical="center"/>
    </xf>
    <xf numFmtId="4" fontId="0" fillId="0" borderId="10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0" fontId="5" fillId="6" borderId="12" xfId="0" applyFont="1" applyFill="1" applyBorder="1" applyAlignment="1">
      <alignment horizontal="center"/>
    </xf>
    <xf numFmtId="3" fontId="0" fillId="0" borderId="12" xfId="0" applyNumberFormat="1" applyBorder="1" applyAlignment="1">
      <alignment horizontal="center"/>
    </xf>
    <xf numFmtId="3" fontId="0" fillId="6" borderId="12" xfId="0" applyNumberFormat="1" applyFill="1" applyBorder="1" applyAlignment="1">
      <alignment horizontal="center"/>
    </xf>
    <xf numFmtId="164" fontId="5" fillId="6" borderId="12" xfId="0" applyNumberFormat="1" applyFont="1" applyFill="1" applyBorder="1" applyAlignment="1">
      <alignment horizontal="center"/>
    </xf>
    <xf numFmtId="164" fontId="5" fillId="0" borderId="12" xfId="0" applyNumberFormat="1" applyFont="1" applyBorder="1" applyAlignment="1">
      <alignment horizontal="center"/>
    </xf>
    <xf numFmtId="4" fontId="5" fillId="6" borderId="12" xfId="0" applyNumberFormat="1" applyFont="1" applyFill="1" applyBorder="1" applyAlignment="1">
      <alignment horizontal="center"/>
    </xf>
    <xf numFmtId="3" fontId="0" fillId="5" borderId="12" xfId="0" applyNumberFormat="1" applyFill="1" applyBorder="1" applyAlignment="1">
      <alignment horizontal="center"/>
    </xf>
    <xf numFmtId="2" fontId="5" fillId="6" borderId="12" xfId="0" applyNumberFormat="1" applyFont="1" applyFill="1" applyBorder="1" applyAlignment="1">
      <alignment horizontal="center"/>
    </xf>
    <xf numFmtId="2" fontId="5" fillId="6" borderId="13" xfId="0" applyNumberFormat="1" applyFont="1" applyFill="1" applyBorder="1" applyAlignment="1">
      <alignment horizontal="center"/>
    </xf>
    <xf numFmtId="2" fontId="5" fillId="7" borderId="12" xfId="0" applyNumberFormat="1" applyFont="1" applyFill="1" applyBorder="1" applyAlignment="1">
      <alignment horizontal="center"/>
    </xf>
    <xf numFmtId="2" fontId="5" fillId="8" borderId="12" xfId="0" applyNumberFormat="1" applyFont="1" applyFill="1" applyBorder="1" applyAlignment="1">
      <alignment horizontal="center"/>
    </xf>
    <xf numFmtId="3" fontId="1" fillId="0" borderId="12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0" fontId="5" fillId="6" borderId="13" xfId="0" applyFont="1" applyFill="1" applyBorder="1" applyAlignment="1">
      <alignment horizontal="center"/>
    </xf>
    <xf numFmtId="3" fontId="0" fillId="0" borderId="13" xfId="0" applyNumberFormat="1" applyBorder="1" applyAlignment="1">
      <alignment horizontal="center"/>
    </xf>
    <xf numFmtId="3" fontId="0" fillId="6" borderId="13" xfId="0" applyNumberFormat="1" applyFill="1" applyBorder="1" applyAlignment="1">
      <alignment horizontal="center"/>
    </xf>
    <xf numFmtId="164" fontId="5" fillId="6" borderId="13" xfId="0" applyNumberFormat="1" applyFont="1" applyFill="1" applyBorder="1" applyAlignment="1">
      <alignment horizontal="center"/>
    </xf>
    <xf numFmtId="164" fontId="5" fillId="0" borderId="13" xfId="0" applyNumberFormat="1" applyFont="1" applyBorder="1" applyAlignment="1">
      <alignment horizontal="center"/>
    </xf>
    <xf numFmtId="4" fontId="5" fillId="6" borderId="13" xfId="0" applyNumberFormat="1" applyFont="1" applyFill="1" applyBorder="1" applyAlignment="1">
      <alignment horizontal="center"/>
    </xf>
    <xf numFmtId="3" fontId="0" fillId="5" borderId="13" xfId="0" applyNumberFormat="1" applyFill="1" applyBorder="1" applyAlignment="1">
      <alignment horizontal="center"/>
    </xf>
    <xf numFmtId="2" fontId="5" fillId="7" borderId="13" xfId="0" applyNumberFormat="1" applyFont="1" applyFill="1" applyBorder="1" applyAlignment="1">
      <alignment horizontal="center"/>
    </xf>
    <xf numFmtId="2" fontId="5" fillId="8" borderId="13" xfId="0" applyNumberFormat="1" applyFont="1" applyFill="1" applyBorder="1" applyAlignment="1">
      <alignment horizontal="center"/>
    </xf>
    <xf numFmtId="3" fontId="1" fillId="0" borderId="13" xfId="0" applyNumberFormat="1" applyFont="1" applyBorder="1" applyAlignment="1">
      <alignment horizontal="center"/>
    </xf>
    <xf numFmtId="0" fontId="0" fillId="0" borderId="15" xfId="0" applyBorder="1"/>
    <xf numFmtId="0" fontId="6" fillId="6" borderId="13" xfId="0" applyFont="1" applyFill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/>
    </xf>
    <xf numFmtId="2" fontId="0" fillId="0" borderId="16" xfId="0" applyNumberFormat="1" applyBorder="1" applyAlignment="1">
      <alignment horizontal="center" vertical="center"/>
    </xf>
    <xf numFmtId="4" fontId="0" fillId="0" borderId="16" xfId="0" applyNumberFormat="1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5" fillId="6" borderId="18" xfId="0" applyFont="1" applyFill="1" applyBorder="1" applyAlignment="1">
      <alignment horizontal="center"/>
    </xf>
    <xf numFmtId="3" fontId="0" fillId="0" borderId="18" xfId="0" applyNumberFormat="1" applyBorder="1" applyAlignment="1">
      <alignment horizontal="center"/>
    </xf>
    <xf numFmtId="3" fontId="0" fillId="6" borderId="18" xfId="0" applyNumberFormat="1" applyFill="1" applyBorder="1" applyAlignment="1">
      <alignment horizontal="center"/>
    </xf>
    <xf numFmtId="164" fontId="5" fillId="6" borderId="18" xfId="0" applyNumberFormat="1" applyFont="1" applyFill="1" applyBorder="1" applyAlignment="1">
      <alignment horizontal="center"/>
    </xf>
    <xf numFmtId="164" fontId="5" fillId="0" borderId="18" xfId="0" applyNumberFormat="1" applyFont="1" applyBorder="1" applyAlignment="1">
      <alignment horizontal="center"/>
    </xf>
    <xf numFmtId="4" fontId="5" fillId="6" borderId="18" xfId="0" applyNumberFormat="1" applyFont="1" applyFill="1" applyBorder="1" applyAlignment="1">
      <alignment horizontal="center"/>
    </xf>
    <xf numFmtId="3" fontId="0" fillId="5" borderId="18" xfId="0" applyNumberFormat="1" applyFill="1" applyBorder="1" applyAlignment="1">
      <alignment horizontal="center"/>
    </xf>
    <xf numFmtId="2" fontId="5" fillId="6" borderId="18" xfId="0" applyNumberFormat="1" applyFont="1" applyFill="1" applyBorder="1" applyAlignment="1">
      <alignment horizontal="center"/>
    </xf>
    <xf numFmtId="2" fontId="5" fillId="7" borderId="18" xfId="0" applyNumberFormat="1" applyFont="1" applyFill="1" applyBorder="1" applyAlignment="1">
      <alignment horizontal="center"/>
    </xf>
    <xf numFmtId="2" fontId="5" fillId="8" borderId="18" xfId="0" applyNumberFormat="1" applyFont="1" applyFill="1" applyBorder="1" applyAlignment="1">
      <alignment horizontal="center"/>
    </xf>
    <xf numFmtId="3" fontId="1" fillId="0" borderId="18" xfId="0" applyNumberFormat="1" applyFont="1" applyBorder="1" applyAlignment="1">
      <alignment horizontal="center"/>
    </xf>
    <xf numFmtId="0" fontId="0" fillId="0" borderId="19" xfId="0" applyBorder="1"/>
    <xf numFmtId="0" fontId="5" fillId="6" borderId="20" xfId="0" applyFont="1" applyFill="1" applyBorder="1" applyAlignment="1">
      <alignment horizontal="center"/>
    </xf>
    <xf numFmtId="3" fontId="0" fillId="0" borderId="20" xfId="0" applyNumberFormat="1" applyBorder="1" applyAlignment="1">
      <alignment horizontal="center"/>
    </xf>
    <xf numFmtId="3" fontId="0" fillId="6" borderId="20" xfId="0" applyNumberFormat="1" applyFill="1" applyBorder="1" applyAlignment="1">
      <alignment horizontal="center"/>
    </xf>
    <xf numFmtId="164" fontId="5" fillId="6" borderId="20" xfId="0" applyNumberFormat="1" applyFont="1" applyFill="1" applyBorder="1" applyAlignment="1">
      <alignment horizontal="center"/>
    </xf>
    <xf numFmtId="164" fontId="5" fillId="0" borderId="20" xfId="0" applyNumberFormat="1" applyFont="1" applyBorder="1" applyAlignment="1">
      <alignment horizontal="center"/>
    </xf>
    <xf numFmtId="4" fontId="5" fillId="6" borderId="20" xfId="0" applyNumberFormat="1" applyFont="1" applyFill="1" applyBorder="1" applyAlignment="1">
      <alignment horizontal="center"/>
    </xf>
    <xf numFmtId="3" fontId="0" fillId="5" borderId="20" xfId="0" applyNumberFormat="1" applyFill="1" applyBorder="1" applyAlignment="1">
      <alignment horizontal="center"/>
    </xf>
    <xf numFmtId="2" fontId="5" fillId="6" borderId="20" xfId="0" applyNumberFormat="1" applyFont="1" applyFill="1" applyBorder="1" applyAlignment="1">
      <alignment horizontal="center"/>
    </xf>
    <xf numFmtId="2" fontId="5" fillId="7" borderId="20" xfId="0" applyNumberFormat="1" applyFont="1" applyFill="1" applyBorder="1" applyAlignment="1">
      <alignment horizontal="center"/>
    </xf>
    <xf numFmtId="2" fontId="5" fillId="8" borderId="20" xfId="0" applyNumberFormat="1" applyFont="1" applyFill="1" applyBorder="1" applyAlignment="1">
      <alignment horizontal="center"/>
    </xf>
    <xf numFmtId="3" fontId="1" fillId="0" borderId="20" xfId="0" applyNumberFormat="1" applyFont="1" applyBorder="1" applyAlignment="1">
      <alignment horizontal="center"/>
    </xf>
    <xf numFmtId="4" fontId="1" fillId="0" borderId="16" xfId="0" applyNumberFormat="1" applyFont="1" applyBorder="1" applyAlignment="1">
      <alignment horizontal="center" vertical="center"/>
    </xf>
    <xf numFmtId="1" fontId="1" fillId="0" borderId="16" xfId="0" applyNumberFormat="1" applyFont="1" applyBorder="1" applyAlignment="1">
      <alignment horizontal="center" vertical="center"/>
    </xf>
    <xf numFmtId="0" fontId="0" fillId="6" borderId="18" xfId="0" applyFill="1" applyBorder="1" applyAlignment="1">
      <alignment horizontal="center"/>
    </xf>
    <xf numFmtId="4" fontId="0" fillId="6" borderId="18" xfId="0" applyNumberFormat="1" applyFill="1" applyBorder="1" applyAlignment="1">
      <alignment horizontal="center"/>
    </xf>
    <xf numFmtId="0" fontId="0" fillId="0" borderId="9" xfId="0" applyBorder="1"/>
    <xf numFmtId="0" fontId="0" fillId="6" borderId="13" xfId="0" applyFill="1" applyBorder="1" applyAlignment="1">
      <alignment horizontal="center"/>
    </xf>
    <xf numFmtId="4" fontId="0" fillId="6" borderId="13" xfId="0" applyNumberFormat="1" applyFill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1" xfId="0" applyBorder="1" applyAlignment="1">
      <alignment horizontal="center"/>
    </xf>
    <xf numFmtId="2" fontId="0" fillId="0" borderId="21" xfId="0" applyNumberFormat="1" applyBorder="1" applyAlignment="1">
      <alignment horizontal="center" vertical="center"/>
    </xf>
    <xf numFmtId="4" fontId="0" fillId="0" borderId="21" xfId="0" applyNumberFormat="1" applyBorder="1" applyAlignment="1">
      <alignment horizontal="center" vertical="center"/>
    </xf>
    <xf numFmtId="1" fontId="0" fillId="0" borderId="21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/>
    <xf numFmtId="1" fontId="0" fillId="0" borderId="22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center"/>
    </xf>
    <xf numFmtId="2" fontId="0" fillId="0" borderId="24" xfId="0" applyNumberFormat="1" applyBorder="1" applyAlignment="1">
      <alignment horizontal="center" vertical="center"/>
    </xf>
    <xf numFmtId="4" fontId="0" fillId="0" borderId="24" xfId="0" applyNumberFormat="1" applyBorder="1" applyAlignment="1">
      <alignment horizontal="center" vertical="center"/>
    </xf>
    <xf numFmtId="1" fontId="0" fillId="0" borderId="24" xfId="0" applyNumberFormat="1" applyBorder="1" applyAlignment="1">
      <alignment horizontal="center" vertical="center"/>
    </xf>
    <xf numFmtId="49" fontId="0" fillId="0" borderId="25" xfId="0" applyNumberFormat="1" applyBorder="1" applyAlignment="1">
      <alignment horizontal="center" vertical="center"/>
    </xf>
    <xf numFmtId="4" fontId="0" fillId="0" borderId="0" xfId="0" applyNumberFormat="1"/>
    <xf numFmtId="0" fontId="0" fillId="0" borderId="0" xfId="0" applyAlignment="1">
      <alignment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4" fontId="1" fillId="0" borderId="0" xfId="0" applyNumberFormat="1" applyFont="1"/>
    <xf numFmtId="4" fontId="0" fillId="0" borderId="0" xfId="0" applyNumberFormat="1" applyAlignment="1">
      <alignment horizontal="right"/>
    </xf>
    <xf numFmtId="0" fontId="0" fillId="0" borderId="0" xfId="0" applyAlignment="1">
      <alignment horizontal="center" vertical="center"/>
    </xf>
    <xf numFmtId="4" fontId="0" fillId="0" borderId="2" xfId="0" applyNumberForma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9" borderId="0" xfId="0" applyFont="1" applyFill="1"/>
    <xf numFmtId="0" fontId="1" fillId="10" borderId="0" xfId="0" applyFont="1" applyFill="1"/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MCAA — Field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48C-4A36-881D-20C033CD81C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48C-4A36-881D-20C033CD81C5}"/>
              </c:ext>
            </c:extLst>
          </c:dPt>
          <c:dLbls>
            <c:dLbl>
              <c:idx val="0"/>
              <c:layout>
                <c:manualLayout>
                  <c:x val="-0.21109733577863049"/>
                  <c:y val="4.8445885440790488E-2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FF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862494362450525"/>
                      <c:h val="0.1685098039215686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48C-4A36-881D-20C033CD81C5}"/>
                </c:ext>
              </c:extLst>
            </c:dLbl>
            <c:dLbl>
              <c:idx val="1"/>
              <c:layout>
                <c:manualLayout>
                  <c:x val="0.19611706065141704"/>
                  <c:y val="-5.3202717307395474E-2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FF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48C-4A36-881D-20C033CD81C5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PieCharts!$B$2:$B$3</c:f>
              <c:strCache>
                <c:ptCount val="2"/>
                <c:pt idx="0">
                  <c:v>Connections</c:v>
                </c:pt>
                <c:pt idx="1">
                  <c:v>Handling + Prep</c:v>
                </c:pt>
              </c:strCache>
            </c:strRef>
          </c:cat>
          <c:val>
            <c:numRef>
              <c:f>PieCharts!$D$2:$D$3</c:f>
              <c:numCache>
                <c:formatCode>#,##0.00</c:formatCode>
                <c:ptCount val="2"/>
                <c:pt idx="0">
                  <c:v>0</c:v>
                </c:pt>
                <c:pt idx="1">
                  <c:v>0.11601096000000001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8C-4A36-881D-20C033CD8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SUMMIT — Field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C1B-40D6-B487-99B3A989BC1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C1B-40D6-B487-99B3A989BC1A}"/>
              </c:ext>
            </c:extLst>
          </c:dPt>
          <c:dLbls>
            <c:dLbl>
              <c:idx val="0"/>
              <c:layout>
                <c:manualLayout>
                  <c:x val="2.5462420034375134E-2"/>
                  <c:y val="2.19891925274046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C1B-40D6-B487-99B3A989BC1A}"/>
                </c:ext>
              </c:extLst>
            </c:dLbl>
            <c:dLbl>
              <c:idx val="1"/>
              <c:layout>
                <c:manualLayout>
                  <c:x val="9.4812623274161775E-2"/>
                  <c:y val="-0.27294889609387063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FF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C1B-40D6-B487-99B3A989BC1A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PieCharts!$H$2:$H$3</c:f>
              <c:strCache>
                <c:ptCount val="2"/>
                <c:pt idx="0">
                  <c:v>Connections</c:v>
                </c:pt>
                <c:pt idx="1">
                  <c:v>Handling + Prep</c:v>
                </c:pt>
              </c:strCache>
            </c:strRef>
          </c:cat>
          <c:val>
            <c:numRef>
              <c:f>PieCharts!$J$2:$J$3</c:f>
              <c:numCache>
                <c:formatCode>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1B-40D6-B487-99B3A989B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5</xdr:col>
      <xdr:colOff>361949</xdr:colOff>
      <xdr:row>22</xdr:row>
      <xdr:rowOff>0</xdr:rowOff>
    </xdr:to>
    <xdr:graphicFrame macro="">
      <xdr:nvGraphicFramePr>
        <xdr:cNvPr id="4" name="MCAA Field">
          <a:extLst>
            <a:ext uri="{FF2B5EF4-FFF2-40B4-BE49-F238E27FC236}">
              <a16:creationId xmlns:a16="http://schemas.microsoft.com/office/drawing/2014/main" id="{CA4D9301-0E4E-CF61-FB40-781EFED7E8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171449</xdr:colOff>
      <xdr:row>4</xdr:row>
      <xdr:rowOff>142875</xdr:rowOff>
    </xdr:from>
    <xdr:to>
      <xdr:col>12</xdr:col>
      <xdr:colOff>152399</xdr:colOff>
      <xdr:row>21</xdr:row>
      <xdr:rowOff>142875</xdr:rowOff>
    </xdr:to>
    <xdr:graphicFrame macro="">
      <xdr:nvGraphicFramePr>
        <xdr:cNvPr id="5" name="SUMMIT Field">
          <a:extLst>
            <a:ext uri="{FF2B5EF4-FFF2-40B4-BE49-F238E27FC236}">
              <a16:creationId xmlns:a16="http://schemas.microsoft.com/office/drawing/2014/main" id="{779793BF-E2BA-DAF0-D60E-A9391F6D50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6FD31AD-EFEF-4CAF-80DE-7C21F11AC3AE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994c6c4b-9a58-4449-ad41-e98787cd453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2"/>
  <sheetViews>
    <sheetView tabSelected="1" zoomScaleNormal="100" workbookViewId="0">
      <pane ySplit="1" topLeftCell="A2" activePane="bottomLeft" state="frozenSplit"/>
      <selection pane="bottomLeft" activeCell="E2" sqref="E2"/>
    </sheetView>
  </sheetViews>
  <sheetFormatPr defaultRowHeight="15" x14ac:dyDescent="0.25"/>
  <cols>
    <col min="2" max="2" width="33" bestFit="1" customWidth="1"/>
    <col min="3" max="3" width="24.140625" customWidth="1"/>
    <col min="4" max="4" width="20.140625" customWidth="1"/>
    <col min="5" max="5" width="83.28515625" customWidth="1"/>
    <col min="6" max="6" width="20.140625" customWidth="1"/>
    <col min="7" max="7" width="43.85546875" customWidth="1"/>
    <col min="8" max="15" width="20.140625" customWidth="1"/>
    <col min="16" max="22" width="5.7109375" customWidth="1"/>
    <col min="23" max="23" width="18.7109375" customWidth="1"/>
    <col min="24" max="24" width="7.85546875" customWidth="1"/>
    <col min="25" max="25" width="18.28515625" customWidth="1"/>
    <col min="26" max="26" width="14.42578125" customWidth="1"/>
    <col min="27" max="27" width="13.5703125" bestFit="1" customWidth="1"/>
    <col min="28" max="28" width="8.7109375" customWidth="1"/>
    <col min="29" max="29" width="6.5703125" customWidth="1"/>
    <col min="30" max="30" width="8.5703125" customWidth="1"/>
    <col min="31" max="31" width="9.5703125" customWidth="1"/>
    <col min="32" max="32" width="10.42578125" customWidth="1"/>
    <col min="33" max="33" width="10.28515625" customWidth="1"/>
    <col min="34" max="34" width="12.42578125" customWidth="1"/>
    <col min="35" max="35" width="9" customWidth="1"/>
    <col min="36" max="36" width="6.42578125" customWidth="1"/>
    <col min="37" max="37" width="15.7109375" customWidth="1"/>
    <col min="38" max="38" width="9.28515625" customWidth="1"/>
    <col min="39" max="39" width="5.42578125" customWidth="1"/>
    <col min="40" max="40" width="22.7109375" customWidth="1"/>
    <col min="41" max="41" width="14.85546875" customWidth="1"/>
    <col min="42" max="42" width="16.5703125" customWidth="1"/>
    <col min="43" max="43" width="12.85546875" customWidth="1"/>
    <col min="44" max="44" width="10.42578125" customWidth="1"/>
    <col min="45" max="45" width="8.140625" customWidth="1"/>
    <col min="46" max="46" width="6.140625" customWidth="1"/>
    <col min="47" max="47" width="19" customWidth="1"/>
    <col min="48" max="48" width="30.85546875" customWidth="1"/>
    <col min="49" max="49" width="40.28515625" customWidth="1"/>
    <col min="50" max="50" width="12.5703125" customWidth="1"/>
    <col min="51" max="51" width="6.5703125" customWidth="1"/>
    <col min="52" max="52" width="16.7109375" customWidth="1"/>
    <col min="53" max="53" width="27.5703125" customWidth="1"/>
    <col min="54" max="54" width="4.85546875" customWidth="1"/>
    <col min="55" max="55" width="15.85546875" customWidth="1"/>
    <col min="56" max="56" width="15.42578125" customWidth="1"/>
  </cols>
  <sheetData>
    <row r="1" spans="1:56" x14ac:dyDescent="0.25">
      <c r="A1" t="s">
        <v>2273</v>
      </c>
      <c r="B1" s="1" t="s">
        <v>2287</v>
      </c>
      <c r="C1" s="1" t="s">
        <v>2030</v>
      </c>
      <c r="D1" s="1" t="s">
        <v>2032</v>
      </c>
      <c r="E1" s="1" t="s">
        <v>2054</v>
      </c>
      <c r="F1" s="1" t="s">
        <v>2288</v>
      </c>
      <c r="G1" s="1" t="s">
        <v>2289</v>
      </c>
      <c r="H1" s="1" t="s">
        <v>2290</v>
      </c>
      <c r="I1" s="1" t="s">
        <v>2291</v>
      </c>
      <c r="J1" s="1" t="s">
        <v>2293</v>
      </c>
      <c r="K1" s="1" t="s">
        <v>2294</v>
      </c>
      <c r="L1" s="1" t="s">
        <v>2035</v>
      </c>
      <c r="M1" s="1" t="s">
        <v>2295</v>
      </c>
      <c r="N1" s="1" t="s">
        <v>2296</v>
      </c>
      <c r="O1" s="1" t="s">
        <v>2292</v>
      </c>
      <c r="P1" s="1" t="s">
        <v>2297</v>
      </c>
      <c r="Q1" s="1" t="s">
        <v>2298</v>
      </c>
      <c r="R1" s="1" t="s">
        <v>2299</v>
      </c>
      <c r="S1" s="1" t="s">
        <v>2300</v>
      </c>
      <c r="T1" s="1" t="s">
        <v>2301</v>
      </c>
      <c r="U1" s="1" t="s">
        <v>2302</v>
      </c>
      <c r="V1" s="1" t="s">
        <v>2303</v>
      </c>
      <c r="W1" s="1" t="s">
        <v>2286</v>
      </c>
      <c r="X1" s="1" t="s">
        <v>2034</v>
      </c>
      <c r="Y1" s="1" t="s">
        <v>2241</v>
      </c>
      <c r="Z1" s="149" t="s">
        <v>2242</v>
      </c>
      <c r="AA1" s="149" t="s">
        <v>2243</v>
      </c>
      <c r="AB1" s="149" t="s">
        <v>2223</v>
      </c>
      <c r="AC1" s="149" t="s">
        <v>2244</v>
      </c>
      <c r="AD1" s="149" t="s">
        <v>2245</v>
      </c>
      <c r="AE1" s="149" t="s">
        <v>2162</v>
      </c>
      <c r="AF1" s="149" t="s">
        <v>2163</v>
      </c>
      <c r="AG1" s="149" t="s">
        <v>2164</v>
      </c>
      <c r="AH1" s="149" t="s">
        <v>2165</v>
      </c>
      <c r="AI1" s="149" t="s">
        <v>2166</v>
      </c>
      <c r="AJ1" s="149" t="s">
        <v>2167</v>
      </c>
      <c r="AK1" s="1" t="s">
        <v>2246</v>
      </c>
      <c r="AL1" s="1" t="s">
        <v>2036</v>
      </c>
      <c r="AM1" s="1" t="s">
        <v>2118</v>
      </c>
      <c r="AN1" s="150" t="s">
        <v>2247</v>
      </c>
      <c r="AO1" s="150" t="s">
        <v>2248</v>
      </c>
      <c r="AP1" s="150" t="s">
        <v>2249</v>
      </c>
      <c r="AQ1" s="150" t="s">
        <v>2250</v>
      </c>
      <c r="AR1" s="150" t="s">
        <v>2251</v>
      </c>
      <c r="AS1" s="150" t="s">
        <v>2252</v>
      </c>
      <c r="AT1" s="150" t="s">
        <v>2031</v>
      </c>
      <c r="AU1" s="150" t="s">
        <v>2253</v>
      </c>
      <c r="AV1" s="150" t="s">
        <v>2254</v>
      </c>
      <c r="AW1" s="150" t="s">
        <v>2255</v>
      </c>
      <c r="AX1" s="150" t="s">
        <v>2256</v>
      </c>
      <c r="AY1" s="150" t="s">
        <v>2257</v>
      </c>
      <c r="AZ1" s="150" t="s">
        <v>2258</v>
      </c>
      <c r="BA1" s="150" t="s">
        <v>2259</v>
      </c>
      <c r="BB1" s="150" t="s">
        <v>2260</v>
      </c>
      <c r="BC1" s="150" t="s">
        <v>2261</v>
      </c>
      <c r="BD1" s="150" t="s">
        <v>2262</v>
      </c>
    </row>
    <row r="2" spans="1:56" x14ac:dyDescent="0.25">
      <c r="A2">
        <v>1</v>
      </c>
      <c r="B2" t="s">
        <v>2306</v>
      </c>
      <c r="C2" t="s">
        <v>2281</v>
      </c>
      <c r="D2" t="s">
        <v>24</v>
      </c>
      <c r="E2" t="s">
        <v>2307</v>
      </c>
      <c r="G2" t="s">
        <v>2050</v>
      </c>
      <c r="H2" t="s">
        <v>2304</v>
      </c>
      <c r="I2">
        <v>2</v>
      </c>
      <c r="K2">
        <v>150</v>
      </c>
      <c r="L2">
        <v>10</v>
      </c>
      <c r="O2" t="s">
        <v>2305</v>
      </c>
      <c r="P2">
        <v>0.5</v>
      </c>
      <c r="Q2">
        <v>0.5</v>
      </c>
      <c r="W2">
        <v>0.05</v>
      </c>
      <c r="X2">
        <v>1</v>
      </c>
      <c r="Y2">
        <f>X2*W2</f>
        <v>0.05</v>
      </c>
      <c r="Z2">
        <f>IF(AND(G2="SS",D2="BW"),_xlfn.XLOOKUP(P2,Multipliers!$A$2:$A$14,Multipliers!$B$2:$B$14),0)</f>
        <v>0</v>
      </c>
      <c r="AA2">
        <f>IF(AND(G2="SS",D2="BW"),_xlfn.XLOOKUP(P2,Multipliers!$A$2:$A$14,Multipliers!$C$2:$C$14),0)</f>
        <v>0</v>
      </c>
      <c r="AB2">
        <f>Y2+(Z2*X2)+(AA2*X2)</f>
        <v>0.05</v>
      </c>
      <c r="AC2">
        <f>IF(D2="FS",0,Multipliers!$B$21*AB2)</f>
        <v>2.35E-2</v>
      </c>
      <c r="AD2">
        <f>IF(D2="FS",0,IF(P2&gt;=8,Multipliers!$B$22*AB2,0))</f>
        <v>0</v>
      </c>
      <c r="AE2">
        <f>IF(D2="FS",0,Multipliers!$B$23*AB2)</f>
        <v>2.5000000000000005E-3</v>
      </c>
      <c r="AF2">
        <f>IF(D2="FS",0,Multipliers!$B$24*AB2)</f>
        <v>0</v>
      </c>
      <c r="AG2">
        <f>IF(D2="FS",1,Multipliers!$B$25)</f>
        <v>1.3</v>
      </c>
      <c r="AH2">
        <f>IF(D2="FS",1,Multipliers!$B$26)</f>
        <v>1.03</v>
      </c>
      <c r="AI2">
        <f>IF(D2="FS",1,Multipliers!$B$27)</f>
        <v>1.1399999999999999</v>
      </c>
      <c r="AJ2">
        <f>IF(AL2=2,(AB2+AC2+AD2+AF2+AE2)*AG2*AH2*AI2,(AB2+AC2+AD2+AF2+AE2))</f>
        <v>0.11601096000000001</v>
      </c>
      <c r="AK2" t="s">
        <v>2053</v>
      </c>
      <c r="AL2">
        <v>2</v>
      </c>
      <c r="AM2" t="s">
        <v>2056</v>
      </c>
      <c r="AN2" t="s">
        <v>2038</v>
      </c>
      <c r="AP2" t="s">
        <v>2044</v>
      </c>
      <c r="AQ2" t="s">
        <v>2039</v>
      </c>
      <c r="AR2" t="s">
        <v>2037</v>
      </c>
      <c r="AS2" t="s">
        <v>2037</v>
      </c>
      <c r="AU2" t="s">
        <v>2042</v>
      </c>
      <c r="AV2" t="s">
        <v>1024</v>
      </c>
      <c r="AW2" t="s">
        <v>2048</v>
      </c>
      <c r="AX2" t="s">
        <v>2040</v>
      </c>
      <c r="AY2" t="s">
        <v>2041</v>
      </c>
      <c r="AZ2" t="s">
        <v>2046</v>
      </c>
      <c r="BA2" t="s">
        <v>2045</v>
      </c>
      <c r="BB2" t="s">
        <v>85</v>
      </c>
      <c r="BC2" t="s">
        <v>2047</v>
      </c>
      <c r="BD2" t="s">
        <v>2043</v>
      </c>
    </row>
  </sheetData>
  <autoFilter ref="A1:BD2" xr:uid="{00000000-0001-0000-0200-000000000000}"/>
  <phoneticPr fontId="10" type="noConversion"/>
  <conditionalFormatting sqref="B2">
    <cfRule type="duplicateValues" dxfId="0" priority="1"/>
  </conditionalFormatting>
  <pageMargins left="0.75" right="0.75" top="0.75" bottom="0.5" header="0.5" footer="0.7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5E4E6-8B83-41A9-A1BA-121367AD3C0A}">
  <dimension ref="A1:A4"/>
  <sheetViews>
    <sheetView workbookViewId="0">
      <selection sqref="A1:A70"/>
    </sheetView>
  </sheetViews>
  <sheetFormatPr defaultRowHeight="15" x14ac:dyDescent="0.25"/>
  <sheetData>
    <row r="1" spans="1:1" x14ac:dyDescent="0.25">
      <c r="A1" t="s">
        <v>2282</v>
      </c>
    </row>
    <row r="2" spans="1:1" x14ac:dyDescent="0.25">
      <c r="A2" t="s">
        <v>2283</v>
      </c>
    </row>
    <row r="3" spans="1:1" x14ac:dyDescent="0.25">
      <c r="A3" t="s">
        <v>2284</v>
      </c>
    </row>
    <row r="4" spans="1:1" x14ac:dyDescent="0.25">
      <c r="A4" t="s">
        <v>2285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E293A-B9E3-45AA-95B7-AFEAB9B0B216}">
  <dimension ref="A1:J29"/>
  <sheetViews>
    <sheetView workbookViewId="0">
      <selection activeCell="F25" sqref="F25"/>
    </sheetView>
  </sheetViews>
  <sheetFormatPr defaultRowHeight="15" x14ac:dyDescent="0.25"/>
  <cols>
    <col min="1" max="1" width="15.42578125" customWidth="1"/>
    <col min="2" max="2" width="15" bestFit="1" customWidth="1"/>
    <col min="3" max="3" width="15" customWidth="1"/>
    <col min="4" max="4" width="10.140625" bestFit="1" customWidth="1"/>
    <col min="5" max="5" width="14" bestFit="1" customWidth="1"/>
    <col min="6" max="6" width="10.140625" customWidth="1"/>
    <col min="7" max="7" width="14" bestFit="1" customWidth="1"/>
    <col min="8" max="8" width="15" bestFit="1" customWidth="1"/>
    <col min="9" max="9" width="15" customWidth="1"/>
    <col min="10" max="10" width="10.140625" bestFit="1" customWidth="1"/>
  </cols>
  <sheetData>
    <row r="1" spans="2:10" ht="18.75" x14ac:dyDescent="0.3">
      <c r="B1" s="127" t="s">
        <v>2274</v>
      </c>
      <c r="C1" s="14" t="s">
        <v>2213</v>
      </c>
      <c r="D1" s="14" t="s">
        <v>2276</v>
      </c>
      <c r="H1" s="127" t="s">
        <v>2275</v>
      </c>
      <c r="I1" s="14" t="s">
        <v>2213</v>
      </c>
      <c r="J1" s="14" t="s">
        <v>2276</v>
      </c>
    </row>
    <row r="2" spans="2:10" x14ac:dyDescent="0.25">
      <c r="B2" t="s">
        <v>0</v>
      </c>
      <c r="C2" s="125" cm="1">
        <f t="array" ref="C2">SUMPRODUCT(((Labor!D2:D2="BW")+(Labor!D2:D2="SW")+(Labor!D2:D2="OLW")+(Labor!D2:D2="BU")+(Labor!D2:D2="THRD"))*(Labor!AL2:AL2=2)*Labor!X2:X2)</f>
        <v>0</v>
      </c>
      <c r="D2" s="125" cm="1">
        <f t="array" ref="D2">SUMPRODUCT(((Labor!D2:D2="BW")+(Labor!D2:D2="SW")+(Labor!D2:D2="OLW")+(Labor!D2:D2="BU")+(Labor!D2:D2="THRD"))*(Labor!AL2:AL2=2)*Labor!AJ2:AJ2)</f>
        <v>0</v>
      </c>
      <c r="F2" s="125"/>
      <c r="H2" t="s">
        <v>0</v>
      </c>
      <c r="I2" s="125" cm="1">
        <f t="array" ref="I2">SUMPRODUCT(((Labor!D2:D2="BW")+(Labor!D2:D2="SW")+(Labor!D2:D2="OLW")+(Labor!D2:D2="BU")+(Labor!D2:D2="THRD"))*(Labor!AL2:AL2=2)*Labor!X2:X2)</f>
        <v>0</v>
      </c>
      <c r="J2" s="125" t="e" cm="1">
        <f t="array" ref="J2">SUMPRODUCT(((Labor!D2:D2="BW")+(Labor!D2:D2="SW")+(Labor!D2:D2="OLW")+(Labor!D2:D2="BU")+(Labor!D2:D2="THRD"))*(Labor!AL2:AL2=2)*Labor!#REF!)</f>
        <v>#REF!</v>
      </c>
    </row>
    <row r="3" spans="2:10" x14ac:dyDescent="0.25">
      <c r="B3" t="s">
        <v>2280</v>
      </c>
      <c r="D3" s="125" cm="1">
        <f t="array" ref="D3">SUMPRODUCT((Labor!D2:D2&lt;&gt;"BW")*(Labor!D2:D2&lt;&gt;"SW")*(Labor!D2:D2&lt;&gt;"OLW")*(Labor!D2:D2&lt;&gt;"BU")*(Labor!D2:D2&lt;&gt;"THRD")*(Labor!D2:D2&lt;&gt;"")*(Labor!AL2:AL2=2)*Labor!AJ2:AJ2)</f>
        <v>0.11601096000000001</v>
      </c>
      <c r="F3" s="125"/>
      <c r="H3" t="s">
        <v>2280</v>
      </c>
      <c r="J3" s="125" t="e" cm="1">
        <f t="array" ref="J3">SUMPRODUCT((Labor!D2:D2&lt;&gt;"BW")*(Labor!D2:D2&lt;&gt;"SW")*(Labor!D2:D2&lt;&gt;"OLW")*(Labor!D2:D2&lt;&gt;"BU")*(Labor!D2:D2&lt;&gt;"THRD")*(Labor!D2:D2&lt;&gt;"")*(Labor!AL2:AL2=2)*Labor!#REF!)</f>
        <v>#REF!</v>
      </c>
    </row>
    <row r="4" spans="2:10" x14ac:dyDescent="0.25">
      <c r="B4" s="14" t="s">
        <v>2167</v>
      </c>
      <c r="C4" s="14"/>
      <c r="D4" s="130">
        <f>SUM(D2:D3)</f>
        <v>0.11601096000000001</v>
      </c>
      <c r="H4" s="14" t="s">
        <v>2167</v>
      </c>
      <c r="I4" s="14"/>
      <c r="J4" s="130" t="e">
        <f>SUM(J2:J3)</f>
        <v>#REF!</v>
      </c>
    </row>
    <row r="25" spans="1:4" ht="15.75" x14ac:dyDescent="0.25">
      <c r="A25" s="129" t="s">
        <v>2279</v>
      </c>
      <c r="B25" s="129"/>
      <c r="C25" s="129"/>
      <c r="D25" s="129"/>
    </row>
    <row r="26" spans="1:4" ht="15.75" x14ac:dyDescent="0.25">
      <c r="A26" s="128" t="s">
        <v>2277</v>
      </c>
      <c r="B26" s="132" t="s">
        <v>2213</v>
      </c>
      <c r="C26" s="132"/>
      <c r="D26" s="132" t="s">
        <v>2278</v>
      </c>
    </row>
    <row r="27" spans="1:4" x14ac:dyDescent="0.25">
      <c r="A27" t="s">
        <v>2274</v>
      </c>
      <c r="B27" s="131" cm="1">
        <f t="array" ref="B27">SUMPRODUCT(((Labor!D2:D2="BW")+(Labor!D2:D2="SW")+(Labor!D2:D2="OLW")+(Labor!D2:D2="BU")+(Labor!D2:D2="THRD"))*(Labor!AL2:AL2=1)*Labor!X2:X2)</f>
        <v>0</v>
      </c>
      <c r="C27" s="131"/>
      <c r="D27" s="131" cm="1">
        <f t="array" ref="D27">SUMPRODUCT(((Labor!D2:D2="BW")+(Labor!D2:D2="SW"))*(Labor!AL2:AL2=1)*Labor!AJ2:AJ2)</f>
        <v>0</v>
      </c>
    </row>
    <row r="28" spans="1:4" x14ac:dyDescent="0.25">
      <c r="A28" t="s">
        <v>2275</v>
      </c>
      <c r="B28" s="131" cm="1">
        <f t="array" ref="B28">SUMPRODUCT(((Labor!D2:D2="BW")+(Labor!D2:D2="SW")+(Labor!D2:D2="OLW")+(Labor!D2:D2="BU")+(Labor!D2:D2="THRD"))*(Labor!AL2:AL2=1)*Labor!X2:X2)</f>
        <v>0</v>
      </c>
      <c r="C28" s="131"/>
      <c r="D28" s="131" t="e" cm="1">
        <f t="array" ref="D28">SUMPRODUCT(((Labor!D2:D2="BW")+(Labor!D2:D2="SW"))*(Labor!AL2:AL2=1)*Labor!#REF!)</f>
        <v>#REF!</v>
      </c>
    </row>
    <row r="29" spans="1:4" x14ac:dyDescent="0.25">
      <c r="A29" s="14" t="s">
        <v>2167</v>
      </c>
      <c r="B29" s="130">
        <f>SUM(B27:B28)</f>
        <v>0</v>
      </c>
      <c r="C29" s="130"/>
      <c r="D29" s="130" t="e">
        <f>SUM(D27:D28)</f>
        <v>#REF!</v>
      </c>
    </row>
  </sheetData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31"/>
  <sheetViews>
    <sheetView workbookViewId="0"/>
  </sheetViews>
  <sheetFormatPr defaultRowHeight="15" x14ac:dyDescent="0.25"/>
  <cols>
    <col min="1" max="1" width="28.7109375" customWidth="1"/>
    <col min="2" max="2" width="11.42578125" customWidth="1"/>
    <col min="3" max="3" width="10" customWidth="1"/>
  </cols>
  <sheetData>
    <row r="1" spans="1:2" x14ac:dyDescent="0.25">
      <c r="A1" s="3" t="s">
        <v>72</v>
      </c>
    </row>
    <row r="2" spans="1:2" x14ac:dyDescent="0.25">
      <c r="A2" t="s">
        <v>93</v>
      </c>
      <c r="B2">
        <v>2021</v>
      </c>
    </row>
    <row r="3" spans="1:2" x14ac:dyDescent="0.25">
      <c r="A3" t="s">
        <v>92</v>
      </c>
      <c r="B3">
        <v>32142</v>
      </c>
    </row>
    <row r="4" spans="1:2" x14ac:dyDescent="0.25">
      <c r="A4" t="s">
        <v>12</v>
      </c>
      <c r="B4">
        <v>32021</v>
      </c>
    </row>
    <row r="5" spans="1:2" x14ac:dyDescent="0.25">
      <c r="A5" t="s">
        <v>77</v>
      </c>
      <c r="B5">
        <v>201739.351</v>
      </c>
    </row>
    <row r="6" spans="1:2" x14ac:dyDescent="0.25">
      <c r="A6" t="s">
        <v>71</v>
      </c>
      <c r="B6">
        <v>14058</v>
      </c>
    </row>
    <row r="7" spans="1:2" x14ac:dyDescent="0.25">
      <c r="A7" t="s">
        <v>11</v>
      </c>
      <c r="B7">
        <v>18084</v>
      </c>
    </row>
    <row r="8" spans="1:2" x14ac:dyDescent="0.25">
      <c r="A8" t="s">
        <v>10</v>
      </c>
      <c r="B8">
        <v>637</v>
      </c>
    </row>
    <row r="9" spans="1:2" x14ac:dyDescent="0.25">
      <c r="A9" t="s">
        <v>9</v>
      </c>
      <c r="B9">
        <v>100</v>
      </c>
    </row>
    <row r="10" spans="1:2" x14ac:dyDescent="0.25">
      <c r="A10" t="s">
        <v>8</v>
      </c>
      <c r="B10">
        <v>537</v>
      </c>
    </row>
    <row r="11" spans="1:2" x14ac:dyDescent="0.25">
      <c r="A11" t="s">
        <v>7</v>
      </c>
      <c r="B11">
        <v>0</v>
      </c>
    </row>
    <row r="13" spans="1:2" x14ac:dyDescent="0.25">
      <c r="A13" s="3" t="s">
        <v>6</v>
      </c>
      <c r="B13" s="3" t="s">
        <v>5</v>
      </c>
    </row>
    <row r="14" spans="1:2" x14ac:dyDescent="0.25">
      <c r="A14" t="s">
        <v>13</v>
      </c>
      <c r="B14">
        <v>265</v>
      </c>
    </row>
    <row r="15" spans="1:2" x14ac:dyDescent="0.25">
      <c r="A15" t="s">
        <v>14</v>
      </c>
      <c r="B15">
        <v>2042</v>
      </c>
    </row>
    <row r="16" spans="1:2" x14ac:dyDescent="0.25">
      <c r="A16" t="s">
        <v>15</v>
      </c>
      <c r="B16">
        <v>1</v>
      </c>
    </row>
    <row r="17" spans="1:2" x14ac:dyDescent="0.25">
      <c r="A17" t="s">
        <v>16</v>
      </c>
      <c r="B17">
        <v>27</v>
      </c>
    </row>
    <row r="18" spans="1:2" x14ac:dyDescent="0.25">
      <c r="A18" t="s">
        <v>17</v>
      </c>
      <c r="B18">
        <v>3028</v>
      </c>
    </row>
    <row r="19" spans="1:2" x14ac:dyDescent="0.25">
      <c r="A19" t="s">
        <v>18</v>
      </c>
      <c r="B19">
        <v>39</v>
      </c>
    </row>
    <row r="20" spans="1:2" x14ac:dyDescent="0.25">
      <c r="A20" t="s">
        <v>19</v>
      </c>
      <c r="B20">
        <v>42</v>
      </c>
    </row>
    <row r="21" spans="1:2" x14ac:dyDescent="0.25">
      <c r="A21" t="s">
        <v>20</v>
      </c>
      <c r="B21">
        <v>370</v>
      </c>
    </row>
    <row r="22" spans="1:2" x14ac:dyDescent="0.25">
      <c r="A22" t="s">
        <v>21</v>
      </c>
      <c r="B22">
        <v>1</v>
      </c>
    </row>
    <row r="23" spans="1:2" x14ac:dyDescent="0.25">
      <c r="A23" t="s">
        <v>22</v>
      </c>
      <c r="B23">
        <v>5</v>
      </c>
    </row>
    <row r="24" spans="1:2" x14ac:dyDescent="0.25">
      <c r="A24" t="s">
        <v>23</v>
      </c>
      <c r="B24">
        <v>1</v>
      </c>
    </row>
    <row r="25" spans="1:2" x14ac:dyDescent="0.25">
      <c r="A25" t="s">
        <v>24</v>
      </c>
      <c r="B25">
        <v>714</v>
      </c>
    </row>
    <row r="26" spans="1:2" x14ac:dyDescent="0.25">
      <c r="A26" t="s">
        <v>25</v>
      </c>
      <c r="B26">
        <v>21</v>
      </c>
    </row>
    <row r="27" spans="1:2" x14ac:dyDescent="0.25">
      <c r="A27" t="s">
        <v>26</v>
      </c>
      <c r="B27">
        <v>961</v>
      </c>
    </row>
    <row r="28" spans="1:2" x14ac:dyDescent="0.25">
      <c r="A28" t="s">
        <v>27</v>
      </c>
      <c r="B28">
        <v>1801</v>
      </c>
    </row>
    <row r="29" spans="1:2" x14ac:dyDescent="0.25">
      <c r="A29" t="s">
        <v>28</v>
      </c>
      <c r="B29">
        <v>1</v>
      </c>
    </row>
    <row r="30" spans="1:2" x14ac:dyDescent="0.25">
      <c r="A30" t="s">
        <v>29</v>
      </c>
      <c r="B30">
        <v>62</v>
      </c>
    </row>
    <row r="31" spans="1:2" x14ac:dyDescent="0.25">
      <c r="A31" t="s">
        <v>30</v>
      </c>
      <c r="B31">
        <v>6107</v>
      </c>
    </row>
    <row r="32" spans="1:2" x14ac:dyDescent="0.25">
      <c r="A32" t="s">
        <v>31</v>
      </c>
      <c r="B32">
        <v>123</v>
      </c>
    </row>
    <row r="33" spans="1:2" x14ac:dyDescent="0.25">
      <c r="A33" t="s">
        <v>32</v>
      </c>
      <c r="B33">
        <v>17</v>
      </c>
    </row>
    <row r="34" spans="1:2" x14ac:dyDescent="0.25">
      <c r="A34" t="s">
        <v>33</v>
      </c>
      <c r="B34">
        <v>2506</v>
      </c>
    </row>
    <row r="35" spans="1:2" x14ac:dyDescent="0.25">
      <c r="A35" t="s">
        <v>34</v>
      </c>
      <c r="B35">
        <v>21</v>
      </c>
    </row>
    <row r="36" spans="1:2" x14ac:dyDescent="0.25">
      <c r="A36" t="s">
        <v>35</v>
      </c>
      <c r="B36">
        <v>514</v>
      </c>
    </row>
    <row r="37" spans="1:2" x14ac:dyDescent="0.25">
      <c r="A37" t="s">
        <v>36</v>
      </c>
      <c r="B37">
        <v>374</v>
      </c>
    </row>
    <row r="38" spans="1:2" x14ac:dyDescent="0.25">
      <c r="A38" t="s">
        <v>37</v>
      </c>
      <c r="B38">
        <v>8</v>
      </c>
    </row>
    <row r="39" spans="1:2" x14ac:dyDescent="0.25">
      <c r="A39" t="s">
        <v>38</v>
      </c>
      <c r="B39">
        <v>10</v>
      </c>
    </row>
    <row r="40" spans="1:2" x14ac:dyDescent="0.25">
      <c r="A40" t="s">
        <v>39</v>
      </c>
      <c r="B40">
        <v>1281</v>
      </c>
    </row>
    <row r="41" spans="1:2" x14ac:dyDescent="0.25">
      <c r="A41" t="s">
        <v>40</v>
      </c>
      <c r="B41">
        <v>2926</v>
      </c>
    </row>
    <row r="42" spans="1:2" x14ac:dyDescent="0.25">
      <c r="A42" t="s">
        <v>41</v>
      </c>
      <c r="B42">
        <v>763</v>
      </c>
    </row>
    <row r="43" spans="1:2" x14ac:dyDescent="0.25">
      <c r="A43" t="s">
        <v>42</v>
      </c>
      <c r="B43">
        <v>300</v>
      </c>
    </row>
    <row r="44" spans="1:2" x14ac:dyDescent="0.25">
      <c r="A44" t="s">
        <v>43</v>
      </c>
      <c r="B44">
        <v>606</v>
      </c>
    </row>
    <row r="45" spans="1:2" x14ac:dyDescent="0.25">
      <c r="A45" t="s">
        <v>44</v>
      </c>
      <c r="B45">
        <v>338</v>
      </c>
    </row>
    <row r="46" spans="1:2" x14ac:dyDescent="0.25">
      <c r="A46" t="s">
        <v>45</v>
      </c>
      <c r="B46">
        <v>28</v>
      </c>
    </row>
    <row r="47" spans="1:2" x14ac:dyDescent="0.25">
      <c r="A47" t="s">
        <v>46</v>
      </c>
      <c r="B47">
        <v>18</v>
      </c>
    </row>
    <row r="48" spans="1:2" x14ac:dyDescent="0.25">
      <c r="A48" t="s">
        <v>47</v>
      </c>
      <c r="B48">
        <v>67</v>
      </c>
    </row>
    <row r="49" spans="1:2" x14ac:dyDescent="0.25">
      <c r="A49" t="s">
        <v>48</v>
      </c>
      <c r="B49">
        <v>1801</v>
      </c>
    </row>
    <row r="50" spans="1:2" x14ac:dyDescent="0.25">
      <c r="A50" t="s">
        <v>49</v>
      </c>
      <c r="B50">
        <v>431</v>
      </c>
    </row>
    <row r="51" spans="1:2" x14ac:dyDescent="0.25">
      <c r="A51" t="s">
        <v>50</v>
      </c>
      <c r="B51">
        <v>603</v>
      </c>
    </row>
    <row r="52" spans="1:2" x14ac:dyDescent="0.25">
      <c r="A52" t="s">
        <v>51</v>
      </c>
      <c r="B52">
        <v>7</v>
      </c>
    </row>
    <row r="53" spans="1:2" x14ac:dyDescent="0.25">
      <c r="A53" t="s">
        <v>52</v>
      </c>
      <c r="B53">
        <v>67</v>
      </c>
    </row>
    <row r="54" spans="1:2" x14ac:dyDescent="0.25">
      <c r="A54" t="s">
        <v>53</v>
      </c>
      <c r="B54">
        <v>4</v>
      </c>
    </row>
    <row r="55" spans="1:2" x14ac:dyDescent="0.25">
      <c r="A55" t="s">
        <v>54</v>
      </c>
      <c r="B55">
        <v>164</v>
      </c>
    </row>
    <row r="56" spans="1:2" x14ac:dyDescent="0.25">
      <c r="A56" t="s">
        <v>55</v>
      </c>
      <c r="B56">
        <v>1</v>
      </c>
    </row>
    <row r="57" spans="1:2" x14ac:dyDescent="0.25">
      <c r="A57" t="s">
        <v>56</v>
      </c>
      <c r="B57">
        <v>19</v>
      </c>
    </row>
    <row r="58" spans="1:2" x14ac:dyDescent="0.25">
      <c r="A58" t="s">
        <v>57</v>
      </c>
      <c r="B58">
        <v>2764</v>
      </c>
    </row>
    <row r="59" spans="1:2" x14ac:dyDescent="0.25">
      <c r="A59" t="s">
        <v>58</v>
      </c>
      <c r="B59">
        <v>33</v>
      </c>
    </row>
    <row r="60" spans="1:2" x14ac:dyDescent="0.25">
      <c r="A60" t="s">
        <v>59</v>
      </c>
      <c r="B60">
        <v>35</v>
      </c>
    </row>
    <row r="61" spans="1:2" x14ac:dyDescent="0.25">
      <c r="A61" t="s">
        <v>60</v>
      </c>
      <c r="B61">
        <v>162</v>
      </c>
    </row>
    <row r="62" spans="1:2" x14ac:dyDescent="0.25">
      <c r="A62" t="s">
        <v>61</v>
      </c>
      <c r="B62">
        <v>10</v>
      </c>
    </row>
    <row r="63" spans="1:2" x14ac:dyDescent="0.25">
      <c r="A63" t="s">
        <v>62</v>
      </c>
      <c r="B63">
        <v>103</v>
      </c>
    </row>
    <row r="64" spans="1:2" x14ac:dyDescent="0.25">
      <c r="A64" t="s">
        <v>63</v>
      </c>
      <c r="B64">
        <v>64</v>
      </c>
    </row>
    <row r="65" spans="1:3" x14ac:dyDescent="0.25">
      <c r="A65" t="s">
        <v>64</v>
      </c>
      <c r="B65">
        <v>1</v>
      </c>
    </row>
    <row r="66" spans="1:3" x14ac:dyDescent="0.25">
      <c r="A66" t="s">
        <v>65</v>
      </c>
      <c r="B66">
        <v>30</v>
      </c>
    </row>
    <row r="67" spans="1:3" x14ac:dyDescent="0.25">
      <c r="A67" t="s">
        <v>66</v>
      </c>
      <c r="B67">
        <v>38</v>
      </c>
    </row>
    <row r="68" spans="1:3" x14ac:dyDescent="0.25">
      <c r="A68" t="s">
        <v>67</v>
      </c>
      <c r="B68">
        <v>326</v>
      </c>
    </row>
    <row r="69" spans="1:3" x14ac:dyDescent="0.25">
      <c r="A69" t="s">
        <v>68</v>
      </c>
      <c r="B69">
        <v>40</v>
      </c>
    </row>
    <row r="70" spans="1:3" x14ac:dyDescent="0.25">
      <c r="A70" t="s">
        <v>69</v>
      </c>
      <c r="B70">
        <v>35</v>
      </c>
    </row>
    <row r="71" spans="1:3" x14ac:dyDescent="0.25">
      <c r="A71" t="s">
        <v>70</v>
      </c>
      <c r="B71">
        <v>16</v>
      </c>
    </row>
    <row r="73" spans="1:3" x14ac:dyDescent="0.25">
      <c r="A73" s="3" t="s">
        <v>4</v>
      </c>
      <c r="B73" s="3" t="s">
        <v>5</v>
      </c>
      <c r="C73" s="3" t="s">
        <v>3</v>
      </c>
    </row>
    <row r="74" spans="1:3" x14ac:dyDescent="0.25">
      <c r="A74" t="s">
        <v>73</v>
      </c>
      <c r="B74">
        <v>4892</v>
      </c>
      <c r="C74">
        <v>5271.89</v>
      </c>
    </row>
    <row r="75" spans="1:3" x14ac:dyDescent="0.25">
      <c r="A75" t="s">
        <v>74</v>
      </c>
      <c r="B75">
        <v>21374</v>
      </c>
      <c r="C75">
        <v>55263.366000000002</v>
      </c>
    </row>
    <row r="76" spans="1:3" x14ac:dyDescent="0.25">
      <c r="A76" t="s">
        <v>75</v>
      </c>
      <c r="B76">
        <v>1236</v>
      </c>
      <c r="C76">
        <v>441.53500000000003</v>
      </c>
    </row>
    <row r="77" spans="1:3" x14ac:dyDescent="0.25">
      <c r="A77" t="s">
        <v>76</v>
      </c>
      <c r="B77">
        <v>4519</v>
      </c>
      <c r="C77">
        <v>4890.9309999999996</v>
      </c>
    </row>
    <row r="79" spans="1:3" x14ac:dyDescent="0.25">
      <c r="A79" s="3" t="s">
        <v>2</v>
      </c>
      <c r="B79" s="3" t="s">
        <v>5</v>
      </c>
      <c r="C79" s="3" t="s">
        <v>3</v>
      </c>
    </row>
    <row r="80" spans="1:3" x14ac:dyDescent="0.25">
      <c r="A80" t="s">
        <v>78</v>
      </c>
      <c r="B80">
        <v>31</v>
      </c>
      <c r="C80">
        <v>9.34</v>
      </c>
    </row>
    <row r="81" spans="1:3" x14ac:dyDescent="0.25">
      <c r="A81" t="s">
        <v>79</v>
      </c>
      <c r="B81">
        <v>134</v>
      </c>
      <c r="C81">
        <v>33.86</v>
      </c>
    </row>
    <row r="82" spans="1:3" x14ac:dyDescent="0.25">
      <c r="A82" t="s">
        <v>80</v>
      </c>
      <c r="B82">
        <v>467</v>
      </c>
      <c r="C82">
        <v>462.36700000000002</v>
      </c>
    </row>
    <row r="83" spans="1:3" x14ac:dyDescent="0.25">
      <c r="A83" t="s">
        <v>81</v>
      </c>
      <c r="B83">
        <v>5018</v>
      </c>
      <c r="C83">
        <v>5282.585</v>
      </c>
    </row>
    <row r="84" spans="1:3" x14ac:dyDescent="0.25">
      <c r="A84" t="s">
        <v>82</v>
      </c>
      <c r="B84">
        <v>4982</v>
      </c>
      <c r="C84">
        <v>8082.3530000000001</v>
      </c>
    </row>
    <row r="85" spans="1:3" x14ac:dyDescent="0.25">
      <c r="A85" t="s">
        <v>83</v>
      </c>
      <c r="B85">
        <v>478</v>
      </c>
      <c r="C85">
        <v>500.46800000000002</v>
      </c>
    </row>
    <row r="86" spans="1:3" x14ac:dyDescent="0.25">
      <c r="A86" t="s">
        <v>84</v>
      </c>
      <c r="B86">
        <v>853</v>
      </c>
      <c r="C86">
        <v>1689.45</v>
      </c>
    </row>
    <row r="87" spans="1:3" x14ac:dyDescent="0.25">
      <c r="A87" t="s">
        <v>85</v>
      </c>
      <c r="B87">
        <v>13321</v>
      </c>
      <c r="C87">
        <v>30090.883999999998</v>
      </c>
    </row>
    <row r="88" spans="1:3" x14ac:dyDescent="0.25">
      <c r="A88" t="s">
        <v>86</v>
      </c>
      <c r="B88">
        <v>3421</v>
      </c>
      <c r="C88">
        <v>9006.3240000000005</v>
      </c>
    </row>
    <row r="89" spans="1:3" x14ac:dyDescent="0.25">
      <c r="A89" t="s">
        <v>87</v>
      </c>
      <c r="B89">
        <v>1731</v>
      </c>
      <c r="C89">
        <v>5093.45</v>
      </c>
    </row>
    <row r="90" spans="1:3" x14ac:dyDescent="0.25">
      <c r="A90" t="s">
        <v>88</v>
      </c>
      <c r="B90">
        <v>1533</v>
      </c>
      <c r="C90">
        <v>5276.8530000000001</v>
      </c>
    </row>
    <row r="91" spans="1:3" x14ac:dyDescent="0.25">
      <c r="A91" t="s">
        <v>89</v>
      </c>
      <c r="B91">
        <v>9</v>
      </c>
      <c r="C91">
        <v>39.368000000000002</v>
      </c>
    </row>
    <row r="92" spans="1:3" x14ac:dyDescent="0.25">
      <c r="A92" t="s">
        <v>90</v>
      </c>
      <c r="B92">
        <v>20</v>
      </c>
      <c r="C92">
        <v>96.128</v>
      </c>
    </row>
    <row r="93" spans="1:3" x14ac:dyDescent="0.25">
      <c r="A93" t="s">
        <v>91</v>
      </c>
      <c r="B93">
        <v>25</v>
      </c>
      <c r="C93">
        <v>204.292</v>
      </c>
    </row>
    <row r="95" spans="1:3" x14ac:dyDescent="0.25">
      <c r="A95" s="3" t="s">
        <v>1</v>
      </c>
      <c r="B95" s="3" t="s">
        <v>0</v>
      </c>
      <c r="C95" s="3" t="s">
        <v>3</v>
      </c>
    </row>
    <row r="96" spans="1:3" x14ac:dyDescent="0.25">
      <c r="A96" t="s">
        <v>94</v>
      </c>
      <c r="B96">
        <v>9</v>
      </c>
      <c r="C96">
        <v>27.32</v>
      </c>
    </row>
    <row r="97" spans="1:3" x14ac:dyDescent="0.25">
      <c r="A97" t="s">
        <v>95</v>
      </c>
      <c r="B97">
        <v>4</v>
      </c>
      <c r="C97">
        <v>7.92</v>
      </c>
    </row>
    <row r="98" spans="1:3" x14ac:dyDescent="0.25">
      <c r="A98" t="s">
        <v>96</v>
      </c>
      <c r="B98">
        <v>9</v>
      </c>
      <c r="C98">
        <v>20.16</v>
      </c>
    </row>
    <row r="99" spans="1:3" x14ac:dyDescent="0.25">
      <c r="A99" t="s">
        <v>97</v>
      </c>
      <c r="B99">
        <v>9</v>
      </c>
      <c r="C99">
        <v>20.16</v>
      </c>
    </row>
    <row r="100" spans="1:3" x14ac:dyDescent="0.25">
      <c r="A100" t="s">
        <v>98</v>
      </c>
      <c r="B100">
        <v>10</v>
      </c>
      <c r="C100">
        <v>23.533999999999999</v>
      </c>
    </row>
    <row r="101" spans="1:3" x14ac:dyDescent="0.25">
      <c r="A101" t="s">
        <v>99</v>
      </c>
      <c r="B101">
        <v>25</v>
      </c>
      <c r="C101">
        <v>57.487000000000002</v>
      </c>
    </row>
    <row r="102" spans="1:3" x14ac:dyDescent="0.25">
      <c r="A102" t="s">
        <v>100</v>
      </c>
      <c r="B102">
        <v>11</v>
      </c>
      <c r="C102">
        <v>29.984000000000002</v>
      </c>
    </row>
    <row r="103" spans="1:3" x14ac:dyDescent="0.25">
      <c r="A103" t="s">
        <v>101</v>
      </c>
      <c r="B103">
        <v>21</v>
      </c>
      <c r="C103">
        <v>54.488</v>
      </c>
    </row>
    <row r="104" spans="1:3" x14ac:dyDescent="0.25">
      <c r="A104" t="s">
        <v>102</v>
      </c>
      <c r="B104">
        <v>35</v>
      </c>
      <c r="C104">
        <v>79.209000000000003</v>
      </c>
    </row>
    <row r="105" spans="1:3" x14ac:dyDescent="0.25">
      <c r="A105" t="s">
        <v>103</v>
      </c>
      <c r="B105">
        <v>26</v>
      </c>
      <c r="C105">
        <v>66.314999999999998</v>
      </c>
    </row>
    <row r="106" spans="1:3" x14ac:dyDescent="0.25">
      <c r="A106" t="s">
        <v>104</v>
      </c>
      <c r="B106">
        <v>18</v>
      </c>
      <c r="C106">
        <v>41.085999999999999</v>
      </c>
    </row>
    <row r="107" spans="1:3" x14ac:dyDescent="0.25">
      <c r="A107" t="s">
        <v>105</v>
      </c>
      <c r="B107">
        <v>22</v>
      </c>
      <c r="C107">
        <v>56.484000000000002</v>
      </c>
    </row>
    <row r="108" spans="1:3" x14ac:dyDescent="0.25">
      <c r="A108" t="s">
        <v>106</v>
      </c>
      <c r="B108">
        <v>31</v>
      </c>
      <c r="C108">
        <v>58.55</v>
      </c>
    </row>
    <row r="109" spans="1:3" x14ac:dyDescent="0.25">
      <c r="A109" t="s">
        <v>107</v>
      </c>
      <c r="B109">
        <v>17</v>
      </c>
      <c r="C109">
        <v>40.286000000000001</v>
      </c>
    </row>
    <row r="110" spans="1:3" x14ac:dyDescent="0.25">
      <c r="A110" t="s">
        <v>108</v>
      </c>
      <c r="B110">
        <v>11</v>
      </c>
      <c r="C110">
        <v>18.303000000000001</v>
      </c>
    </row>
    <row r="111" spans="1:3" x14ac:dyDescent="0.25">
      <c r="A111" t="s">
        <v>109</v>
      </c>
      <c r="B111">
        <v>10</v>
      </c>
      <c r="C111">
        <v>19.335999999999999</v>
      </c>
    </row>
    <row r="112" spans="1:3" x14ac:dyDescent="0.25">
      <c r="A112" t="s">
        <v>110</v>
      </c>
      <c r="B112">
        <v>23</v>
      </c>
      <c r="C112">
        <v>52.427</v>
      </c>
    </row>
    <row r="113" spans="1:3" x14ac:dyDescent="0.25">
      <c r="A113" t="s">
        <v>111</v>
      </c>
      <c r="B113">
        <v>11</v>
      </c>
      <c r="C113">
        <v>29.984000000000002</v>
      </c>
    </row>
    <row r="114" spans="1:3" x14ac:dyDescent="0.25">
      <c r="A114" t="s">
        <v>112</v>
      </c>
      <c r="B114">
        <v>21</v>
      </c>
      <c r="C114">
        <v>54.488</v>
      </c>
    </row>
    <row r="115" spans="1:3" x14ac:dyDescent="0.25">
      <c r="A115" t="s">
        <v>113</v>
      </c>
      <c r="B115">
        <v>35</v>
      </c>
      <c r="C115">
        <v>79.209000000000003</v>
      </c>
    </row>
    <row r="116" spans="1:3" x14ac:dyDescent="0.25">
      <c r="A116" t="s">
        <v>114</v>
      </c>
      <c r="B116">
        <v>26</v>
      </c>
      <c r="C116">
        <v>66.314999999999998</v>
      </c>
    </row>
    <row r="117" spans="1:3" x14ac:dyDescent="0.25">
      <c r="A117" t="s">
        <v>115</v>
      </c>
      <c r="B117">
        <v>11</v>
      </c>
      <c r="C117">
        <v>22.693999999999999</v>
      </c>
    </row>
    <row r="118" spans="1:3" x14ac:dyDescent="0.25">
      <c r="A118" t="s">
        <v>116</v>
      </c>
      <c r="B118">
        <v>8</v>
      </c>
      <c r="C118">
        <v>23.456</v>
      </c>
    </row>
    <row r="119" spans="1:3" x14ac:dyDescent="0.25">
      <c r="A119" t="s">
        <v>117</v>
      </c>
      <c r="B119">
        <v>27</v>
      </c>
      <c r="C119">
        <v>48.43</v>
      </c>
    </row>
    <row r="120" spans="1:3" x14ac:dyDescent="0.25">
      <c r="A120" t="s">
        <v>118</v>
      </c>
      <c r="B120">
        <v>15</v>
      </c>
      <c r="C120">
        <v>28.422999999999998</v>
      </c>
    </row>
    <row r="121" spans="1:3" x14ac:dyDescent="0.25">
      <c r="A121" t="s">
        <v>119</v>
      </c>
      <c r="B121">
        <v>12</v>
      </c>
      <c r="C121">
        <v>24.396000000000001</v>
      </c>
    </row>
    <row r="122" spans="1:3" x14ac:dyDescent="0.25">
      <c r="A122" t="s">
        <v>120</v>
      </c>
      <c r="B122">
        <v>15</v>
      </c>
      <c r="C122">
        <v>34.421999999999997</v>
      </c>
    </row>
    <row r="123" spans="1:3" x14ac:dyDescent="0.25">
      <c r="A123" t="s">
        <v>121</v>
      </c>
      <c r="B123">
        <v>13</v>
      </c>
      <c r="C123">
        <v>23.363</v>
      </c>
    </row>
    <row r="124" spans="1:3" x14ac:dyDescent="0.25">
      <c r="A124" t="s">
        <v>122</v>
      </c>
      <c r="B124">
        <v>12</v>
      </c>
      <c r="C124">
        <v>24.396000000000001</v>
      </c>
    </row>
    <row r="125" spans="1:3" x14ac:dyDescent="0.25">
      <c r="A125" t="s">
        <v>123</v>
      </c>
      <c r="B125">
        <v>11</v>
      </c>
      <c r="C125">
        <v>29.984000000000002</v>
      </c>
    </row>
    <row r="126" spans="1:3" x14ac:dyDescent="0.25">
      <c r="A126" t="s">
        <v>124</v>
      </c>
      <c r="B126">
        <v>21</v>
      </c>
      <c r="C126">
        <v>54.488</v>
      </c>
    </row>
    <row r="127" spans="1:3" x14ac:dyDescent="0.25">
      <c r="A127" t="s">
        <v>125</v>
      </c>
      <c r="B127">
        <v>30</v>
      </c>
      <c r="C127">
        <v>65.153999999999996</v>
      </c>
    </row>
    <row r="128" spans="1:3" x14ac:dyDescent="0.25">
      <c r="A128" t="s">
        <v>126</v>
      </c>
      <c r="B128">
        <v>31</v>
      </c>
      <c r="C128">
        <v>80.67</v>
      </c>
    </row>
    <row r="129" spans="1:3" x14ac:dyDescent="0.25">
      <c r="A129" t="s">
        <v>127</v>
      </c>
      <c r="B129">
        <v>11</v>
      </c>
      <c r="C129">
        <v>22.693999999999999</v>
      </c>
    </row>
    <row r="130" spans="1:3" x14ac:dyDescent="0.25">
      <c r="A130" t="s">
        <v>128</v>
      </c>
      <c r="B130">
        <v>6</v>
      </c>
      <c r="C130">
        <v>17.591999999999999</v>
      </c>
    </row>
    <row r="131" spans="1:3" x14ac:dyDescent="0.25">
      <c r="A131" t="s">
        <v>129</v>
      </c>
      <c r="B131">
        <v>27</v>
      </c>
      <c r="C131">
        <v>48.43</v>
      </c>
    </row>
    <row r="132" spans="1:3" x14ac:dyDescent="0.25">
      <c r="A132" t="s">
        <v>130</v>
      </c>
      <c r="B132">
        <v>15</v>
      </c>
      <c r="C132">
        <v>34.421999999999997</v>
      </c>
    </row>
    <row r="133" spans="1:3" x14ac:dyDescent="0.25">
      <c r="A133" t="s">
        <v>131</v>
      </c>
      <c r="B133">
        <v>10</v>
      </c>
      <c r="C133">
        <v>26.670999999999999</v>
      </c>
    </row>
    <row r="134" spans="1:3" x14ac:dyDescent="0.25">
      <c r="A134" t="s">
        <v>132</v>
      </c>
      <c r="B134">
        <v>23</v>
      </c>
      <c r="C134">
        <v>68.271000000000001</v>
      </c>
    </row>
    <row r="135" spans="1:3" x14ac:dyDescent="0.25">
      <c r="A135" t="s">
        <v>133</v>
      </c>
      <c r="B135">
        <v>31</v>
      </c>
      <c r="C135">
        <v>83.326999999999998</v>
      </c>
    </row>
    <row r="136" spans="1:3" x14ac:dyDescent="0.25">
      <c r="A136" t="s">
        <v>134</v>
      </c>
      <c r="B136">
        <v>24</v>
      </c>
      <c r="C136">
        <v>65.617000000000004</v>
      </c>
    </row>
    <row r="137" spans="1:3" x14ac:dyDescent="0.25">
      <c r="A137" t="s">
        <v>135</v>
      </c>
      <c r="B137">
        <v>39</v>
      </c>
      <c r="C137">
        <v>104.913</v>
      </c>
    </row>
    <row r="138" spans="1:3" x14ac:dyDescent="0.25">
      <c r="A138" t="s">
        <v>136</v>
      </c>
      <c r="B138">
        <v>9</v>
      </c>
      <c r="C138">
        <v>25.170999999999999</v>
      </c>
    </row>
    <row r="139" spans="1:3" x14ac:dyDescent="0.25">
      <c r="A139" t="s">
        <v>137</v>
      </c>
      <c r="B139">
        <v>14</v>
      </c>
      <c r="C139">
        <v>33.57</v>
      </c>
    </row>
    <row r="140" spans="1:3" x14ac:dyDescent="0.25">
      <c r="A140" t="s">
        <v>138</v>
      </c>
      <c r="B140">
        <v>34</v>
      </c>
      <c r="C140">
        <v>84.754000000000005</v>
      </c>
    </row>
    <row r="141" spans="1:3" x14ac:dyDescent="0.25">
      <c r="A141" t="s">
        <v>139</v>
      </c>
      <c r="B141">
        <v>21</v>
      </c>
      <c r="C141">
        <v>50.792000000000002</v>
      </c>
    </row>
    <row r="142" spans="1:3" x14ac:dyDescent="0.25">
      <c r="A142" t="s">
        <v>140</v>
      </c>
      <c r="B142">
        <v>13</v>
      </c>
      <c r="C142">
        <v>23.363</v>
      </c>
    </row>
    <row r="143" spans="1:3" x14ac:dyDescent="0.25">
      <c r="A143" t="s">
        <v>141</v>
      </c>
      <c r="B143">
        <v>10</v>
      </c>
      <c r="C143">
        <v>19.335999999999999</v>
      </c>
    </row>
    <row r="144" spans="1:3" x14ac:dyDescent="0.25">
      <c r="A144" t="s">
        <v>142</v>
      </c>
      <c r="B144">
        <v>4</v>
      </c>
      <c r="C144">
        <v>10.119999999999999</v>
      </c>
    </row>
    <row r="145" spans="1:3" x14ac:dyDescent="0.25">
      <c r="A145" t="s">
        <v>143</v>
      </c>
      <c r="B145">
        <v>15</v>
      </c>
      <c r="C145">
        <v>32.085000000000001</v>
      </c>
    </row>
    <row r="146" spans="1:3" x14ac:dyDescent="0.25">
      <c r="A146" t="s">
        <v>144</v>
      </c>
      <c r="B146">
        <v>11</v>
      </c>
      <c r="C146">
        <v>30.06</v>
      </c>
    </row>
    <row r="147" spans="1:3" x14ac:dyDescent="0.25">
      <c r="A147" t="s">
        <v>145</v>
      </c>
      <c r="B147">
        <v>10</v>
      </c>
      <c r="C147">
        <v>29.475000000000001</v>
      </c>
    </row>
    <row r="148" spans="1:3" x14ac:dyDescent="0.25">
      <c r="A148" t="s">
        <v>146</v>
      </c>
      <c r="B148">
        <v>11</v>
      </c>
      <c r="C148">
        <v>30.06</v>
      </c>
    </row>
    <row r="149" spans="1:3" x14ac:dyDescent="0.25">
      <c r="A149" t="s">
        <v>147</v>
      </c>
      <c r="B149">
        <v>10</v>
      </c>
      <c r="C149">
        <v>29.475000000000001</v>
      </c>
    </row>
    <row r="150" spans="1:3" x14ac:dyDescent="0.25">
      <c r="A150" t="s">
        <v>148</v>
      </c>
      <c r="B150">
        <v>24</v>
      </c>
      <c r="C150">
        <v>62.347999999999999</v>
      </c>
    </row>
    <row r="151" spans="1:3" x14ac:dyDescent="0.25">
      <c r="A151" t="s">
        <v>149</v>
      </c>
      <c r="B151">
        <v>6</v>
      </c>
      <c r="C151">
        <v>17.591999999999999</v>
      </c>
    </row>
    <row r="152" spans="1:3" x14ac:dyDescent="0.25">
      <c r="A152" t="s">
        <v>150</v>
      </c>
      <c r="B152">
        <v>4</v>
      </c>
      <c r="C152">
        <v>11.728</v>
      </c>
    </row>
    <row r="153" spans="1:3" x14ac:dyDescent="0.25">
      <c r="A153" t="s">
        <v>151</v>
      </c>
      <c r="B153">
        <v>28</v>
      </c>
      <c r="C153">
        <v>68.849000000000004</v>
      </c>
    </row>
    <row r="154" spans="1:3" x14ac:dyDescent="0.25">
      <c r="A154" t="s">
        <v>152</v>
      </c>
      <c r="B154">
        <v>17</v>
      </c>
      <c r="C154">
        <v>38.779000000000003</v>
      </c>
    </row>
    <row r="155" spans="1:3" x14ac:dyDescent="0.25">
      <c r="A155" t="s">
        <v>153</v>
      </c>
      <c r="B155">
        <v>11</v>
      </c>
      <c r="C155">
        <v>29.984000000000002</v>
      </c>
    </row>
    <row r="156" spans="1:3" x14ac:dyDescent="0.25">
      <c r="A156" t="s">
        <v>154</v>
      </c>
      <c r="B156">
        <v>21</v>
      </c>
      <c r="C156">
        <v>54.488</v>
      </c>
    </row>
    <row r="157" spans="1:3" x14ac:dyDescent="0.25">
      <c r="A157" t="s">
        <v>155</v>
      </c>
      <c r="B157">
        <v>41</v>
      </c>
      <c r="C157">
        <v>103.746</v>
      </c>
    </row>
    <row r="158" spans="1:3" x14ac:dyDescent="0.25">
      <c r="A158" t="s">
        <v>156</v>
      </c>
      <c r="B158">
        <v>14</v>
      </c>
      <c r="C158">
        <v>31.088000000000001</v>
      </c>
    </row>
    <row r="159" spans="1:3" x14ac:dyDescent="0.25">
      <c r="A159" t="s">
        <v>157</v>
      </c>
      <c r="B159">
        <v>10</v>
      </c>
      <c r="C159">
        <v>24.08</v>
      </c>
    </row>
    <row r="160" spans="1:3" x14ac:dyDescent="0.25">
      <c r="A160" t="s">
        <v>158</v>
      </c>
      <c r="B160">
        <v>19</v>
      </c>
      <c r="C160">
        <v>40.469000000000001</v>
      </c>
    </row>
    <row r="161" spans="1:3" x14ac:dyDescent="0.25">
      <c r="A161" t="s">
        <v>159</v>
      </c>
      <c r="B161">
        <v>14</v>
      </c>
      <c r="C161">
        <v>32.520000000000003</v>
      </c>
    </row>
    <row r="162" spans="1:3" x14ac:dyDescent="0.25">
      <c r="A162" t="s">
        <v>160</v>
      </c>
      <c r="B162">
        <v>16</v>
      </c>
      <c r="C162">
        <v>32.316000000000003</v>
      </c>
    </row>
    <row r="163" spans="1:3" x14ac:dyDescent="0.25">
      <c r="A163" t="s">
        <v>161</v>
      </c>
      <c r="B163">
        <v>12</v>
      </c>
      <c r="C163">
        <v>28.329000000000001</v>
      </c>
    </row>
    <row r="164" spans="1:3" x14ac:dyDescent="0.25">
      <c r="A164" t="s">
        <v>162</v>
      </c>
      <c r="B164">
        <v>24</v>
      </c>
      <c r="C164">
        <v>48.628</v>
      </c>
    </row>
    <row r="165" spans="1:3" x14ac:dyDescent="0.25">
      <c r="A165" t="s">
        <v>163</v>
      </c>
      <c r="B165">
        <v>18</v>
      </c>
      <c r="C165">
        <v>37.408000000000001</v>
      </c>
    </row>
    <row r="166" spans="1:3" x14ac:dyDescent="0.25">
      <c r="A166" t="s">
        <v>164</v>
      </c>
      <c r="B166">
        <v>18</v>
      </c>
      <c r="C166">
        <v>34.508000000000003</v>
      </c>
    </row>
    <row r="167" spans="1:3" x14ac:dyDescent="0.25">
      <c r="A167" t="s">
        <v>165</v>
      </c>
      <c r="B167">
        <v>6</v>
      </c>
      <c r="C167">
        <v>15.18</v>
      </c>
    </row>
    <row r="168" spans="1:3" x14ac:dyDescent="0.25">
      <c r="A168" t="s">
        <v>166</v>
      </c>
      <c r="B168">
        <v>15</v>
      </c>
      <c r="C168">
        <v>32.085000000000001</v>
      </c>
    </row>
    <row r="169" spans="1:3" x14ac:dyDescent="0.25">
      <c r="A169" t="s">
        <v>167</v>
      </c>
      <c r="B169">
        <v>25</v>
      </c>
      <c r="C169">
        <v>54.908999999999999</v>
      </c>
    </row>
    <row r="170" spans="1:3" x14ac:dyDescent="0.25">
      <c r="A170" t="s">
        <v>168</v>
      </c>
      <c r="B170">
        <v>21</v>
      </c>
      <c r="C170">
        <v>49.134999999999998</v>
      </c>
    </row>
    <row r="171" spans="1:3" x14ac:dyDescent="0.25">
      <c r="A171" t="s">
        <v>169</v>
      </c>
      <c r="B171">
        <v>9</v>
      </c>
      <c r="C171">
        <v>8.2739999999999991</v>
      </c>
    </row>
    <row r="172" spans="1:3" x14ac:dyDescent="0.25">
      <c r="A172" t="s">
        <v>170</v>
      </c>
      <c r="B172">
        <v>12</v>
      </c>
      <c r="C172">
        <v>32.822000000000003</v>
      </c>
    </row>
    <row r="173" spans="1:3" x14ac:dyDescent="0.25">
      <c r="A173" t="s">
        <v>171</v>
      </c>
      <c r="B173">
        <v>22</v>
      </c>
      <c r="C173">
        <v>49.518000000000001</v>
      </c>
    </row>
    <row r="174" spans="1:3" x14ac:dyDescent="0.25">
      <c r="A174" t="s">
        <v>172</v>
      </c>
      <c r="B174">
        <v>24</v>
      </c>
      <c r="C174">
        <v>55.835000000000001</v>
      </c>
    </row>
    <row r="175" spans="1:3" x14ac:dyDescent="0.25">
      <c r="A175" t="s">
        <v>173</v>
      </c>
      <c r="B175">
        <v>42</v>
      </c>
      <c r="C175">
        <v>81.412000000000006</v>
      </c>
    </row>
    <row r="176" spans="1:3" x14ac:dyDescent="0.25">
      <c r="A176" t="s">
        <v>174</v>
      </c>
      <c r="B176">
        <v>19</v>
      </c>
      <c r="C176">
        <v>37.706000000000003</v>
      </c>
    </row>
    <row r="177" spans="1:3" x14ac:dyDescent="0.25">
      <c r="A177" t="s">
        <v>175</v>
      </c>
      <c r="B177">
        <v>36</v>
      </c>
      <c r="C177">
        <v>68.236000000000004</v>
      </c>
    </row>
    <row r="178" spans="1:3" x14ac:dyDescent="0.25">
      <c r="A178" t="s">
        <v>176</v>
      </c>
      <c r="B178">
        <v>23</v>
      </c>
      <c r="C178">
        <v>52.427</v>
      </c>
    </row>
    <row r="179" spans="1:3" x14ac:dyDescent="0.25">
      <c r="A179" t="s">
        <v>177</v>
      </c>
      <c r="B179">
        <v>43</v>
      </c>
      <c r="C179">
        <v>103.69499999999999</v>
      </c>
    </row>
    <row r="180" spans="1:3" x14ac:dyDescent="0.25">
      <c r="A180" t="s">
        <v>178</v>
      </c>
      <c r="B180">
        <v>22</v>
      </c>
      <c r="C180">
        <v>47.527999999999999</v>
      </c>
    </row>
    <row r="181" spans="1:3" x14ac:dyDescent="0.25">
      <c r="A181" t="s">
        <v>179</v>
      </c>
      <c r="B181">
        <v>10</v>
      </c>
      <c r="C181">
        <v>16.614000000000001</v>
      </c>
    </row>
    <row r="182" spans="1:3" x14ac:dyDescent="0.25">
      <c r="A182" t="s">
        <v>180</v>
      </c>
      <c r="B182">
        <v>14</v>
      </c>
      <c r="C182">
        <v>27.288</v>
      </c>
    </row>
    <row r="183" spans="1:3" x14ac:dyDescent="0.25">
      <c r="A183" t="s">
        <v>181</v>
      </c>
      <c r="B183">
        <v>10</v>
      </c>
      <c r="C183">
        <v>16.614000000000001</v>
      </c>
    </row>
    <row r="184" spans="1:3" x14ac:dyDescent="0.25">
      <c r="A184" t="s">
        <v>182</v>
      </c>
      <c r="B184">
        <v>22</v>
      </c>
      <c r="C184">
        <v>57.953000000000003</v>
      </c>
    </row>
    <row r="185" spans="1:3" x14ac:dyDescent="0.25">
      <c r="A185" t="s">
        <v>183</v>
      </c>
      <c r="B185">
        <v>18</v>
      </c>
      <c r="C185">
        <v>49.21</v>
      </c>
    </row>
    <row r="186" spans="1:3" x14ac:dyDescent="0.25">
      <c r="A186" t="s">
        <v>184</v>
      </c>
      <c r="B186">
        <v>16</v>
      </c>
      <c r="C186">
        <v>44.834000000000003</v>
      </c>
    </row>
    <row r="187" spans="1:3" x14ac:dyDescent="0.25">
      <c r="A187" t="s">
        <v>185</v>
      </c>
      <c r="B187">
        <v>4</v>
      </c>
      <c r="C187">
        <v>11.728</v>
      </c>
    </row>
    <row r="188" spans="1:3" x14ac:dyDescent="0.25">
      <c r="A188" t="s">
        <v>186</v>
      </c>
      <c r="B188">
        <v>28</v>
      </c>
      <c r="C188">
        <v>64.599999999999994</v>
      </c>
    </row>
    <row r="189" spans="1:3" x14ac:dyDescent="0.25">
      <c r="A189" t="s">
        <v>187</v>
      </c>
      <c r="B189">
        <v>21</v>
      </c>
      <c r="C189">
        <v>53.12</v>
      </c>
    </row>
    <row r="190" spans="1:3" x14ac:dyDescent="0.25">
      <c r="A190" t="s">
        <v>188</v>
      </c>
      <c r="B190">
        <v>17</v>
      </c>
      <c r="C190">
        <v>41.597999999999999</v>
      </c>
    </row>
    <row r="191" spans="1:3" x14ac:dyDescent="0.25">
      <c r="A191" t="s">
        <v>189</v>
      </c>
      <c r="B191">
        <v>21</v>
      </c>
      <c r="C191">
        <v>50.732999999999997</v>
      </c>
    </row>
    <row r="192" spans="1:3" x14ac:dyDescent="0.25">
      <c r="A192" t="s">
        <v>190</v>
      </c>
      <c r="B192">
        <v>10</v>
      </c>
      <c r="C192">
        <v>17.135999999999999</v>
      </c>
    </row>
    <row r="193" spans="1:3" x14ac:dyDescent="0.25">
      <c r="A193" t="s">
        <v>191</v>
      </c>
      <c r="B193">
        <v>9</v>
      </c>
      <c r="C193">
        <v>19.207000000000001</v>
      </c>
    </row>
    <row r="194" spans="1:3" x14ac:dyDescent="0.25">
      <c r="A194" t="s">
        <v>192</v>
      </c>
      <c r="B194">
        <v>19</v>
      </c>
      <c r="C194">
        <v>40.134999999999998</v>
      </c>
    </row>
    <row r="195" spans="1:3" x14ac:dyDescent="0.25">
      <c r="A195" t="s">
        <v>193</v>
      </c>
      <c r="B195">
        <v>6</v>
      </c>
      <c r="C195">
        <v>15.18</v>
      </c>
    </row>
    <row r="196" spans="1:3" x14ac:dyDescent="0.25">
      <c r="A196" t="s">
        <v>194</v>
      </c>
      <c r="B196">
        <v>15</v>
      </c>
      <c r="C196">
        <v>32.085000000000001</v>
      </c>
    </row>
    <row r="197" spans="1:3" x14ac:dyDescent="0.25">
      <c r="A197" t="s">
        <v>195</v>
      </c>
      <c r="B197">
        <v>17</v>
      </c>
      <c r="C197">
        <v>46.584000000000003</v>
      </c>
    </row>
    <row r="198" spans="1:3" x14ac:dyDescent="0.25">
      <c r="A198" t="s">
        <v>196</v>
      </c>
      <c r="B198">
        <v>23</v>
      </c>
      <c r="C198">
        <v>54.448999999999998</v>
      </c>
    </row>
    <row r="199" spans="1:3" x14ac:dyDescent="0.25">
      <c r="A199" t="s">
        <v>197</v>
      </c>
      <c r="B199">
        <v>22</v>
      </c>
      <c r="C199">
        <v>50.372</v>
      </c>
    </row>
    <row r="200" spans="1:3" x14ac:dyDescent="0.25">
      <c r="A200" t="s">
        <v>198</v>
      </c>
      <c r="B200">
        <v>20</v>
      </c>
      <c r="C200">
        <v>43.987000000000002</v>
      </c>
    </row>
    <row r="201" spans="1:3" x14ac:dyDescent="0.25">
      <c r="A201" t="s">
        <v>199</v>
      </c>
      <c r="B201">
        <v>28</v>
      </c>
      <c r="C201">
        <v>60.014000000000003</v>
      </c>
    </row>
    <row r="202" spans="1:3" x14ac:dyDescent="0.25">
      <c r="A202" t="s">
        <v>200</v>
      </c>
      <c r="B202">
        <v>10</v>
      </c>
      <c r="C202">
        <v>23.768000000000001</v>
      </c>
    </row>
    <row r="203" spans="1:3" x14ac:dyDescent="0.25">
      <c r="A203" t="s">
        <v>201</v>
      </c>
      <c r="B203">
        <v>12</v>
      </c>
      <c r="C203">
        <v>22.864000000000001</v>
      </c>
    </row>
    <row r="204" spans="1:3" x14ac:dyDescent="0.25">
      <c r="A204" t="s">
        <v>202</v>
      </c>
      <c r="B204">
        <v>11</v>
      </c>
      <c r="C204">
        <v>22.067</v>
      </c>
    </row>
    <row r="205" spans="1:3" x14ac:dyDescent="0.25">
      <c r="A205" t="s">
        <v>203</v>
      </c>
      <c r="B205">
        <v>10</v>
      </c>
      <c r="C205">
        <v>17.135999999999999</v>
      </c>
    </row>
    <row r="206" spans="1:3" x14ac:dyDescent="0.25">
      <c r="A206" t="s">
        <v>204</v>
      </c>
      <c r="B206">
        <v>19</v>
      </c>
      <c r="C206">
        <v>44.506999999999998</v>
      </c>
    </row>
    <row r="207" spans="1:3" x14ac:dyDescent="0.25">
      <c r="A207" t="s">
        <v>205</v>
      </c>
      <c r="B207">
        <v>15</v>
      </c>
      <c r="C207">
        <v>27.39</v>
      </c>
    </row>
    <row r="208" spans="1:3" x14ac:dyDescent="0.25">
      <c r="A208" t="s">
        <v>206</v>
      </c>
      <c r="B208">
        <v>10</v>
      </c>
      <c r="C208">
        <v>25.3</v>
      </c>
    </row>
    <row r="209" spans="1:3" x14ac:dyDescent="0.25">
      <c r="A209" t="s">
        <v>207</v>
      </c>
      <c r="B209">
        <v>9</v>
      </c>
      <c r="C209">
        <v>16.905000000000001</v>
      </c>
    </row>
    <row r="210" spans="1:3" x14ac:dyDescent="0.25">
      <c r="A210" t="s">
        <v>208</v>
      </c>
      <c r="B210">
        <v>38</v>
      </c>
      <c r="C210">
        <v>39.743000000000002</v>
      </c>
    </row>
    <row r="211" spans="1:3" x14ac:dyDescent="0.25">
      <c r="A211" t="s">
        <v>209</v>
      </c>
      <c r="B211">
        <v>25</v>
      </c>
      <c r="C211">
        <v>38.543999999999997</v>
      </c>
    </row>
    <row r="212" spans="1:3" x14ac:dyDescent="0.25">
      <c r="A212" t="s">
        <v>210</v>
      </c>
      <c r="B212">
        <v>29</v>
      </c>
      <c r="C212">
        <v>27.876000000000001</v>
      </c>
    </row>
    <row r="213" spans="1:3" x14ac:dyDescent="0.25">
      <c r="A213" t="s">
        <v>211</v>
      </c>
      <c r="B213">
        <v>2</v>
      </c>
      <c r="C213">
        <v>1.982</v>
      </c>
    </row>
    <row r="214" spans="1:3" x14ac:dyDescent="0.25">
      <c r="A214" t="s">
        <v>212</v>
      </c>
      <c r="B214">
        <v>12</v>
      </c>
      <c r="C214">
        <v>11.891999999999999</v>
      </c>
    </row>
    <row r="215" spans="1:3" x14ac:dyDescent="0.25">
      <c r="A215" t="s">
        <v>213</v>
      </c>
      <c r="B215">
        <v>35</v>
      </c>
      <c r="C215">
        <v>74.546999999999997</v>
      </c>
    </row>
    <row r="216" spans="1:3" x14ac:dyDescent="0.25">
      <c r="A216" t="s">
        <v>214</v>
      </c>
      <c r="B216">
        <v>14</v>
      </c>
      <c r="C216">
        <v>25.047000000000001</v>
      </c>
    </row>
    <row r="217" spans="1:3" x14ac:dyDescent="0.25">
      <c r="A217" t="s">
        <v>215</v>
      </c>
      <c r="B217">
        <v>21</v>
      </c>
      <c r="C217">
        <v>37.003</v>
      </c>
    </row>
    <row r="218" spans="1:3" x14ac:dyDescent="0.25">
      <c r="A218" t="s">
        <v>216</v>
      </c>
      <c r="B218">
        <v>17</v>
      </c>
      <c r="C218">
        <v>36.57</v>
      </c>
    </row>
    <row r="219" spans="1:3" x14ac:dyDescent="0.25">
      <c r="A219" t="s">
        <v>217</v>
      </c>
      <c r="B219">
        <v>12</v>
      </c>
      <c r="C219">
        <v>26.736000000000001</v>
      </c>
    </row>
    <row r="220" spans="1:3" x14ac:dyDescent="0.25">
      <c r="A220" t="s">
        <v>218</v>
      </c>
      <c r="B220">
        <v>14</v>
      </c>
      <c r="C220">
        <v>31.795999999999999</v>
      </c>
    </row>
    <row r="221" spans="1:3" x14ac:dyDescent="0.25">
      <c r="A221" t="s">
        <v>219</v>
      </c>
      <c r="B221">
        <v>12</v>
      </c>
      <c r="C221">
        <v>26.736000000000001</v>
      </c>
    </row>
    <row r="222" spans="1:3" x14ac:dyDescent="0.25">
      <c r="A222" t="s">
        <v>220</v>
      </c>
      <c r="B222">
        <v>20</v>
      </c>
      <c r="C222">
        <v>37.35</v>
      </c>
    </row>
    <row r="223" spans="1:3" x14ac:dyDescent="0.25">
      <c r="A223" t="s">
        <v>221</v>
      </c>
      <c r="B223">
        <v>12</v>
      </c>
      <c r="C223">
        <v>27.483000000000001</v>
      </c>
    </row>
    <row r="224" spans="1:3" x14ac:dyDescent="0.25">
      <c r="A224" t="s">
        <v>222</v>
      </c>
      <c r="B224">
        <v>12</v>
      </c>
      <c r="C224">
        <v>27.483000000000001</v>
      </c>
    </row>
    <row r="225" spans="1:3" x14ac:dyDescent="0.25">
      <c r="A225" t="s">
        <v>223</v>
      </c>
      <c r="B225">
        <v>16</v>
      </c>
      <c r="C225">
        <v>37.603000000000002</v>
      </c>
    </row>
    <row r="226" spans="1:3" x14ac:dyDescent="0.25">
      <c r="A226" t="s">
        <v>224</v>
      </c>
      <c r="B226">
        <v>10</v>
      </c>
      <c r="C226">
        <v>23.268999999999998</v>
      </c>
    </row>
    <row r="227" spans="1:3" x14ac:dyDescent="0.25">
      <c r="A227" t="s">
        <v>225</v>
      </c>
      <c r="B227">
        <v>6</v>
      </c>
      <c r="C227">
        <v>13.648</v>
      </c>
    </row>
    <row r="228" spans="1:3" x14ac:dyDescent="0.25">
      <c r="A228" t="s">
        <v>226</v>
      </c>
      <c r="B228">
        <v>28</v>
      </c>
      <c r="C228">
        <v>50.564</v>
      </c>
    </row>
    <row r="229" spans="1:3" x14ac:dyDescent="0.25">
      <c r="A229" t="s">
        <v>227</v>
      </c>
      <c r="B229">
        <v>38</v>
      </c>
      <c r="C229">
        <v>71.075000000000003</v>
      </c>
    </row>
    <row r="230" spans="1:3" x14ac:dyDescent="0.25">
      <c r="A230" t="s">
        <v>228</v>
      </c>
      <c r="B230">
        <v>16</v>
      </c>
      <c r="C230">
        <v>45.12</v>
      </c>
    </row>
    <row r="231" spans="1:3" x14ac:dyDescent="0.25">
      <c r="A231" t="s">
        <v>229</v>
      </c>
      <c r="B231">
        <v>16</v>
      </c>
      <c r="C231">
        <v>41.508000000000003</v>
      </c>
    </row>
    <row r="232" spans="1:3" x14ac:dyDescent="0.25">
      <c r="A232" t="s">
        <v>230</v>
      </c>
      <c r="B232">
        <v>35</v>
      </c>
      <c r="C232">
        <v>81.213999999999999</v>
      </c>
    </row>
    <row r="233" spans="1:3" x14ac:dyDescent="0.25">
      <c r="A233" t="s">
        <v>231</v>
      </c>
      <c r="B233">
        <v>10</v>
      </c>
      <c r="C233">
        <v>29.32</v>
      </c>
    </row>
    <row r="234" spans="1:3" x14ac:dyDescent="0.25">
      <c r="A234" t="s">
        <v>232</v>
      </c>
      <c r="B234">
        <v>41</v>
      </c>
      <c r="C234">
        <v>90.68</v>
      </c>
    </row>
    <row r="235" spans="1:3" x14ac:dyDescent="0.25">
      <c r="A235" t="s">
        <v>233</v>
      </c>
      <c r="B235">
        <v>22</v>
      </c>
      <c r="C235">
        <v>45.765999999999998</v>
      </c>
    </row>
    <row r="236" spans="1:3" x14ac:dyDescent="0.25">
      <c r="A236" t="s">
        <v>234</v>
      </c>
      <c r="B236">
        <v>28</v>
      </c>
      <c r="C236">
        <v>55.755000000000003</v>
      </c>
    </row>
    <row r="237" spans="1:3" x14ac:dyDescent="0.25">
      <c r="A237" t="s">
        <v>235</v>
      </c>
      <c r="B237">
        <v>18</v>
      </c>
      <c r="C237">
        <v>50.582000000000001</v>
      </c>
    </row>
    <row r="238" spans="1:3" x14ac:dyDescent="0.25">
      <c r="A238" t="s">
        <v>236</v>
      </c>
      <c r="B238">
        <v>11</v>
      </c>
      <c r="C238">
        <v>32.252000000000002</v>
      </c>
    </row>
    <row r="239" spans="1:3" x14ac:dyDescent="0.25">
      <c r="A239" t="s">
        <v>237</v>
      </c>
      <c r="B239">
        <v>30</v>
      </c>
      <c r="C239">
        <v>74.484999999999999</v>
      </c>
    </row>
    <row r="240" spans="1:3" x14ac:dyDescent="0.25">
      <c r="A240" t="s">
        <v>238</v>
      </c>
      <c r="B240">
        <v>29</v>
      </c>
      <c r="C240">
        <v>40.601999999999997</v>
      </c>
    </row>
    <row r="241" spans="1:3" x14ac:dyDescent="0.25">
      <c r="A241" t="s">
        <v>239</v>
      </c>
      <c r="B241">
        <v>17</v>
      </c>
      <c r="C241">
        <v>18.36</v>
      </c>
    </row>
    <row r="242" spans="1:3" x14ac:dyDescent="0.25">
      <c r="A242" t="s">
        <v>240</v>
      </c>
      <c r="B242">
        <v>21</v>
      </c>
      <c r="C242">
        <v>33.561999999999998</v>
      </c>
    </row>
    <row r="243" spans="1:3" x14ac:dyDescent="0.25">
      <c r="A243" t="s">
        <v>241</v>
      </c>
      <c r="B243">
        <v>25</v>
      </c>
      <c r="C243">
        <v>25.4</v>
      </c>
    </row>
    <row r="244" spans="1:3" x14ac:dyDescent="0.25">
      <c r="A244" t="s">
        <v>242</v>
      </c>
      <c r="B244">
        <v>16</v>
      </c>
      <c r="C244">
        <v>40.479999999999997</v>
      </c>
    </row>
    <row r="245" spans="1:3" x14ac:dyDescent="0.25">
      <c r="A245" t="s">
        <v>243</v>
      </c>
      <c r="B245">
        <v>17</v>
      </c>
      <c r="C245">
        <v>20.542000000000002</v>
      </c>
    </row>
    <row r="246" spans="1:3" x14ac:dyDescent="0.25">
      <c r="A246" t="s">
        <v>244</v>
      </c>
      <c r="B246">
        <v>19</v>
      </c>
      <c r="C246">
        <v>18.920000000000002</v>
      </c>
    </row>
    <row r="247" spans="1:3" x14ac:dyDescent="0.25">
      <c r="A247" t="s">
        <v>245</v>
      </c>
      <c r="B247">
        <v>21</v>
      </c>
      <c r="C247">
        <v>30.661999999999999</v>
      </c>
    </row>
    <row r="248" spans="1:3" x14ac:dyDescent="0.25">
      <c r="A248" t="s">
        <v>246</v>
      </c>
      <c r="B248">
        <v>6</v>
      </c>
      <c r="C248">
        <v>15.18</v>
      </c>
    </row>
    <row r="249" spans="1:3" x14ac:dyDescent="0.25">
      <c r="A249" t="s">
        <v>247</v>
      </c>
      <c r="B249">
        <v>19</v>
      </c>
      <c r="C249">
        <v>18.920000000000002</v>
      </c>
    </row>
    <row r="250" spans="1:3" x14ac:dyDescent="0.25">
      <c r="A250" t="s">
        <v>248</v>
      </c>
      <c r="B250">
        <v>10</v>
      </c>
      <c r="C250">
        <v>25.3</v>
      </c>
    </row>
    <row r="251" spans="1:3" x14ac:dyDescent="0.25">
      <c r="A251" t="s">
        <v>249</v>
      </c>
      <c r="B251">
        <v>17</v>
      </c>
      <c r="C251">
        <v>20.542000000000002</v>
      </c>
    </row>
    <row r="252" spans="1:3" x14ac:dyDescent="0.25">
      <c r="A252" t="s">
        <v>250</v>
      </c>
      <c r="B252">
        <v>19</v>
      </c>
      <c r="C252">
        <v>18.920000000000002</v>
      </c>
    </row>
    <row r="253" spans="1:3" x14ac:dyDescent="0.25">
      <c r="A253" t="s">
        <v>251</v>
      </c>
      <c r="B253">
        <v>16</v>
      </c>
      <c r="C253">
        <v>39.381999999999998</v>
      </c>
    </row>
    <row r="254" spans="1:3" x14ac:dyDescent="0.25">
      <c r="A254" t="s">
        <v>252</v>
      </c>
      <c r="B254">
        <v>19</v>
      </c>
      <c r="C254">
        <v>22.702000000000002</v>
      </c>
    </row>
    <row r="255" spans="1:3" x14ac:dyDescent="0.25">
      <c r="A255" t="s">
        <v>253</v>
      </c>
      <c r="B255">
        <v>10</v>
      </c>
      <c r="C255">
        <v>25.3</v>
      </c>
    </row>
    <row r="256" spans="1:3" x14ac:dyDescent="0.25">
      <c r="A256" t="s">
        <v>254</v>
      </c>
      <c r="B256">
        <v>19</v>
      </c>
      <c r="C256">
        <v>18.920000000000002</v>
      </c>
    </row>
    <row r="257" spans="1:3" x14ac:dyDescent="0.25">
      <c r="A257" t="s">
        <v>255</v>
      </c>
      <c r="B257">
        <v>34</v>
      </c>
      <c r="C257">
        <v>82.402000000000001</v>
      </c>
    </row>
    <row r="258" spans="1:3" x14ac:dyDescent="0.25">
      <c r="A258" t="s">
        <v>256</v>
      </c>
      <c r="B258">
        <v>38</v>
      </c>
      <c r="C258">
        <v>33.491999999999997</v>
      </c>
    </row>
    <row r="259" spans="1:3" x14ac:dyDescent="0.25">
      <c r="A259" t="s">
        <v>257</v>
      </c>
      <c r="B259">
        <v>6</v>
      </c>
      <c r="C259">
        <v>6.48</v>
      </c>
    </row>
    <row r="260" spans="1:3" x14ac:dyDescent="0.25">
      <c r="A260" t="s">
        <v>258</v>
      </c>
      <c r="B260">
        <v>8</v>
      </c>
      <c r="C260">
        <v>19.686</v>
      </c>
    </row>
    <row r="261" spans="1:3" x14ac:dyDescent="0.25">
      <c r="A261" t="s">
        <v>259</v>
      </c>
      <c r="B261">
        <v>25</v>
      </c>
      <c r="C261">
        <v>25.236000000000001</v>
      </c>
    </row>
    <row r="262" spans="1:3" x14ac:dyDescent="0.25">
      <c r="A262" t="s">
        <v>260</v>
      </c>
      <c r="B262">
        <v>13</v>
      </c>
      <c r="C262">
        <v>14.04</v>
      </c>
    </row>
    <row r="263" spans="1:3" x14ac:dyDescent="0.25">
      <c r="A263" t="s">
        <v>261</v>
      </c>
      <c r="B263">
        <v>17</v>
      </c>
      <c r="C263">
        <v>18.196000000000002</v>
      </c>
    </row>
    <row r="264" spans="1:3" x14ac:dyDescent="0.25">
      <c r="A264" t="s">
        <v>262</v>
      </c>
      <c r="B264">
        <v>12</v>
      </c>
      <c r="C264">
        <v>29.806000000000001</v>
      </c>
    </row>
    <row r="265" spans="1:3" x14ac:dyDescent="0.25">
      <c r="A265" t="s">
        <v>263</v>
      </c>
      <c r="B265">
        <v>23</v>
      </c>
      <c r="C265">
        <v>17.456</v>
      </c>
    </row>
    <row r="266" spans="1:3" x14ac:dyDescent="0.25">
      <c r="A266" t="s">
        <v>264</v>
      </c>
      <c r="B266">
        <v>40</v>
      </c>
      <c r="C266">
        <v>78.703999999999994</v>
      </c>
    </row>
    <row r="267" spans="1:3" x14ac:dyDescent="0.25">
      <c r="A267" t="s">
        <v>265</v>
      </c>
      <c r="B267">
        <v>19</v>
      </c>
      <c r="C267">
        <v>18.920000000000002</v>
      </c>
    </row>
    <row r="268" spans="1:3" x14ac:dyDescent="0.25">
      <c r="A268" t="s">
        <v>266</v>
      </c>
      <c r="B268">
        <v>14</v>
      </c>
      <c r="C268">
        <v>35.42</v>
      </c>
    </row>
    <row r="269" spans="1:3" x14ac:dyDescent="0.25">
      <c r="A269" t="s">
        <v>267</v>
      </c>
      <c r="B269">
        <v>17</v>
      </c>
      <c r="C269">
        <v>20.542000000000002</v>
      </c>
    </row>
    <row r="270" spans="1:3" x14ac:dyDescent="0.25">
      <c r="A270" t="s">
        <v>268</v>
      </c>
      <c r="B270">
        <v>19</v>
      </c>
      <c r="C270">
        <v>18.920000000000002</v>
      </c>
    </row>
    <row r="271" spans="1:3" x14ac:dyDescent="0.25">
      <c r="A271" t="s">
        <v>269</v>
      </c>
      <c r="B271">
        <v>12</v>
      </c>
      <c r="C271">
        <v>30.36</v>
      </c>
    </row>
    <row r="272" spans="1:3" x14ac:dyDescent="0.25">
      <c r="A272" t="s">
        <v>270</v>
      </c>
      <c r="B272">
        <v>17</v>
      </c>
      <c r="C272">
        <v>20.542000000000002</v>
      </c>
    </row>
    <row r="273" spans="1:3" x14ac:dyDescent="0.25">
      <c r="A273" t="s">
        <v>271</v>
      </c>
      <c r="B273">
        <v>19</v>
      </c>
      <c r="C273">
        <v>18.920000000000002</v>
      </c>
    </row>
    <row r="274" spans="1:3" x14ac:dyDescent="0.25">
      <c r="A274" t="s">
        <v>272</v>
      </c>
      <c r="B274">
        <v>27</v>
      </c>
      <c r="C274">
        <v>40.042000000000002</v>
      </c>
    </row>
    <row r="275" spans="1:3" x14ac:dyDescent="0.25">
      <c r="A275" t="s">
        <v>273</v>
      </c>
      <c r="B275">
        <v>21</v>
      </c>
      <c r="C275">
        <v>21.08</v>
      </c>
    </row>
    <row r="276" spans="1:3" x14ac:dyDescent="0.25">
      <c r="A276" t="s">
        <v>274</v>
      </c>
      <c r="B276">
        <v>14</v>
      </c>
      <c r="C276">
        <v>34.322000000000003</v>
      </c>
    </row>
    <row r="277" spans="1:3" x14ac:dyDescent="0.25">
      <c r="A277" t="s">
        <v>275</v>
      </c>
      <c r="B277">
        <v>14</v>
      </c>
      <c r="C277">
        <v>34.322000000000003</v>
      </c>
    </row>
    <row r="278" spans="1:3" x14ac:dyDescent="0.25">
      <c r="A278" t="s">
        <v>276</v>
      </c>
      <c r="B278">
        <v>27</v>
      </c>
      <c r="C278">
        <v>67.756</v>
      </c>
    </row>
    <row r="279" spans="1:3" x14ac:dyDescent="0.25">
      <c r="A279" t="s">
        <v>277</v>
      </c>
      <c r="B279">
        <v>21</v>
      </c>
      <c r="C279">
        <v>20.916</v>
      </c>
    </row>
    <row r="280" spans="1:3" x14ac:dyDescent="0.25">
      <c r="A280" t="s">
        <v>278</v>
      </c>
      <c r="B280">
        <v>8</v>
      </c>
      <c r="C280">
        <v>8.64</v>
      </c>
    </row>
    <row r="281" spans="1:3" x14ac:dyDescent="0.25">
      <c r="A281" t="s">
        <v>279</v>
      </c>
      <c r="B281">
        <v>6</v>
      </c>
      <c r="C281">
        <v>6.48</v>
      </c>
    </row>
    <row r="282" spans="1:3" x14ac:dyDescent="0.25">
      <c r="A282" t="s">
        <v>280</v>
      </c>
      <c r="B282">
        <v>31</v>
      </c>
      <c r="C282">
        <v>55.962000000000003</v>
      </c>
    </row>
    <row r="283" spans="1:3" x14ac:dyDescent="0.25">
      <c r="A283" t="s">
        <v>281</v>
      </c>
      <c r="B283">
        <v>19</v>
      </c>
      <c r="C283">
        <v>18.920000000000002</v>
      </c>
    </row>
    <row r="284" spans="1:3" x14ac:dyDescent="0.25">
      <c r="A284" t="s">
        <v>282</v>
      </c>
      <c r="B284">
        <v>19</v>
      </c>
      <c r="C284">
        <v>18.920000000000002</v>
      </c>
    </row>
    <row r="285" spans="1:3" x14ac:dyDescent="0.25">
      <c r="A285" t="s">
        <v>283</v>
      </c>
      <c r="B285">
        <v>9</v>
      </c>
      <c r="C285">
        <v>22.77</v>
      </c>
    </row>
    <row r="286" spans="1:3" x14ac:dyDescent="0.25">
      <c r="A286" t="s">
        <v>284</v>
      </c>
      <c r="B286">
        <v>29</v>
      </c>
      <c r="C286">
        <v>48.002000000000002</v>
      </c>
    </row>
    <row r="287" spans="1:3" x14ac:dyDescent="0.25">
      <c r="A287" t="s">
        <v>285</v>
      </c>
      <c r="B287">
        <v>19</v>
      </c>
      <c r="C287">
        <v>22.335999999999999</v>
      </c>
    </row>
    <row r="288" spans="1:3" x14ac:dyDescent="0.25">
      <c r="A288" t="s">
        <v>286</v>
      </c>
      <c r="B288">
        <v>12</v>
      </c>
      <c r="C288">
        <v>29.994</v>
      </c>
    </row>
    <row r="289" spans="1:3" x14ac:dyDescent="0.25">
      <c r="A289" t="s">
        <v>287</v>
      </c>
      <c r="B289">
        <v>19</v>
      </c>
      <c r="C289">
        <v>18.920000000000002</v>
      </c>
    </row>
    <row r="290" spans="1:3" x14ac:dyDescent="0.25">
      <c r="A290" t="s">
        <v>288</v>
      </c>
      <c r="B290">
        <v>19</v>
      </c>
      <c r="C290">
        <v>22.335999999999999</v>
      </c>
    </row>
    <row r="291" spans="1:3" x14ac:dyDescent="0.25">
      <c r="A291" t="s">
        <v>289</v>
      </c>
      <c r="B291">
        <v>12</v>
      </c>
      <c r="C291">
        <v>29.994</v>
      </c>
    </row>
    <row r="292" spans="1:3" x14ac:dyDescent="0.25">
      <c r="A292" t="s">
        <v>290</v>
      </c>
      <c r="B292">
        <v>19</v>
      </c>
      <c r="C292">
        <v>18.920000000000002</v>
      </c>
    </row>
    <row r="293" spans="1:3" x14ac:dyDescent="0.25">
      <c r="A293" t="s">
        <v>291</v>
      </c>
      <c r="B293">
        <v>30</v>
      </c>
      <c r="C293">
        <v>78.159000000000006</v>
      </c>
    </row>
    <row r="294" spans="1:3" x14ac:dyDescent="0.25">
      <c r="A294" t="s">
        <v>292</v>
      </c>
      <c r="B294">
        <v>7</v>
      </c>
      <c r="C294">
        <v>16.37</v>
      </c>
    </row>
    <row r="295" spans="1:3" x14ac:dyDescent="0.25">
      <c r="A295" t="s">
        <v>293</v>
      </c>
      <c r="B295">
        <v>12</v>
      </c>
      <c r="C295">
        <v>29.262</v>
      </c>
    </row>
    <row r="296" spans="1:3" x14ac:dyDescent="0.25">
      <c r="A296" t="s">
        <v>294</v>
      </c>
      <c r="B296">
        <v>12</v>
      </c>
      <c r="C296">
        <v>29.262</v>
      </c>
    </row>
    <row r="297" spans="1:3" x14ac:dyDescent="0.25">
      <c r="A297" t="s">
        <v>295</v>
      </c>
      <c r="B297">
        <v>16</v>
      </c>
      <c r="C297">
        <v>39.381999999999998</v>
      </c>
    </row>
    <row r="298" spans="1:3" x14ac:dyDescent="0.25">
      <c r="A298" t="s">
        <v>296</v>
      </c>
      <c r="B298">
        <v>21</v>
      </c>
      <c r="C298">
        <v>33.561999999999998</v>
      </c>
    </row>
    <row r="299" spans="1:3" x14ac:dyDescent="0.25">
      <c r="A299" t="s">
        <v>297</v>
      </c>
      <c r="B299">
        <v>21</v>
      </c>
      <c r="C299">
        <v>21.08</v>
      </c>
    </row>
    <row r="300" spans="1:3" x14ac:dyDescent="0.25">
      <c r="A300" t="s">
        <v>298</v>
      </c>
      <c r="B300">
        <v>8</v>
      </c>
      <c r="C300">
        <v>20.239999999999998</v>
      </c>
    </row>
    <row r="301" spans="1:3" x14ac:dyDescent="0.25">
      <c r="A301" t="s">
        <v>299</v>
      </c>
      <c r="B301">
        <v>15</v>
      </c>
      <c r="C301">
        <v>18.382000000000001</v>
      </c>
    </row>
    <row r="302" spans="1:3" x14ac:dyDescent="0.25">
      <c r="A302" t="s">
        <v>300</v>
      </c>
      <c r="B302">
        <v>21</v>
      </c>
      <c r="C302">
        <v>21.08</v>
      </c>
    </row>
    <row r="303" spans="1:3" x14ac:dyDescent="0.25">
      <c r="A303" t="s">
        <v>301</v>
      </c>
      <c r="B303">
        <v>8</v>
      </c>
      <c r="C303">
        <v>20.239999999999998</v>
      </c>
    </row>
    <row r="304" spans="1:3" x14ac:dyDescent="0.25">
      <c r="A304" t="s">
        <v>302</v>
      </c>
      <c r="B304">
        <v>15</v>
      </c>
      <c r="C304">
        <v>18.382000000000001</v>
      </c>
    </row>
    <row r="305" spans="1:3" x14ac:dyDescent="0.25">
      <c r="A305" t="s">
        <v>303</v>
      </c>
      <c r="B305">
        <v>21</v>
      </c>
      <c r="C305">
        <v>21.08</v>
      </c>
    </row>
    <row r="306" spans="1:3" x14ac:dyDescent="0.25">
      <c r="A306" t="s">
        <v>304</v>
      </c>
      <c r="B306">
        <v>14</v>
      </c>
      <c r="C306">
        <v>30.295999999999999</v>
      </c>
    </row>
    <row r="307" spans="1:3" x14ac:dyDescent="0.25">
      <c r="A307" t="s">
        <v>305</v>
      </c>
      <c r="B307">
        <v>19</v>
      </c>
      <c r="C307">
        <v>26.672000000000001</v>
      </c>
    </row>
    <row r="308" spans="1:3" x14ac:dyDescent="0.25">
      <c r="A308" t="s">
        <v>306</v>
      </c>
      <c r="B308">
        <v>19</v>
      </c>
      <c r="C308">
        <v>18.920000000000002</v>
      </c>
    </row>
    <row r="309" spans="1:3" x14ac:dyDescent="0.25">
      <c r="A309" t="s">
        <v>307</v>
      </c>
      <c r="B309">
        <v>12</v>
      </c>
      <c r="C309">
        <v>29.806000000000001</v>
      </c>
    </row>
    <row r="310" spans="1:3" x14ac:dyDescent="0.25">
      <c r="A310" t="s">
        <v>308</v>
      </c>
      <c r="B310">
        <v>21</v>
      </c>
      <c r="C310">
        <v>20.916</v>
      </c>
    </row>
    <row r="311" spans="1:3" x14ac:dyDescent="0.25">
      <c r="A311" t="s">
        <v>309</v>
      </c>
      <c r="B311">
        <v>8</v>
      </c>
      <c r="C311">
        <v>8.64</v>
      </c>
    </row>
    <row r="312" spans="1:3" x14ac:dyDescent="0.25">
      <c r="A312" t="s">
        <v>310</v>
      </c>
      <c r="B312">
        <v>6</v>
      </c>
      <c r="C312">
        <v>6.48</v>
      </c>
    </row>
    <row r="313" spans="1:3" x14ac:dyDescent="0.25">
      <c r="A313" t="s">
        <v>311</v>
      </c>
      <c r="B313">
        <v>10</v>
      </c>
      <c r="C313">
        <v>18.946000000000002</v>
      </c>
    </row>
    <row r="314" spans="1:3" x14ac:dyDescent="0.25">
      <c r="A314" t="s">
        <v>312</v>
      </c>
      <c r="B314">
        <v>21</v>
      </c>
      <c r="C314">
        <v>20.916</v>
      </c>
    </row>
    <row r="315" spans="1:3" x14ac:dyDescent="0.25">
      <c r="A315" t="s">
        <v>313</v>
      </c>
      <c r="B315">
        <v>13</v>
      </c>
      <c r="C315">
        <v>14.04</v>
      </c>
    </row>
    <row r="316" spans="1:3" x14ac:dyDescent="0.25">
      <c r="A316" t="s">
        <v>314</v>
      </c>
      <c r="B316">
        <v>12</v>
      </c>
      <c r="C316">
        <v>29.806000000000001</v>
      </c>
    </row>
    <row r="317" spans="1:3" x14ac:dyDescent="0.25">
      <c r="A317" t="s">
        <v>315</v>
      </c>
      <c r="B317">
        <v>24</v>
      </c>
      <c r="C317">
        <v>24.155999999999999</v>
      </c>
    </row>
    <row r="318" spans="1:3" x14ac:dyDescent="0.25">
      <c r="A318" t="s">
        <v>316</v>
      </c>
      <c r="B318">
        <v>8</v>
      </c>
      <c r="C318">
        <v>8.64</v>
      </c>
    </row>
    <row r="319" spans="1:3" x14ac:dyDescent="0.25">
      <c r="A319" t="s">
        <v>317</v>
      </c>
      <c r="B319">
        <v>6</v>
      </c>
      <c r="C319">
        <v>6.48</v>
      </c>
    </row>
    <row r="320" spans="1:3" x14ac:dyDescent="0.25">
      <c r="A320" t="s">
        <v>318</v>
      </c>
      <c r="B320">
        <v>18</v>
      </c>
      <c r="C320">
        <v>44.985999999999997</v>
      </c>
    </row>
    <row r="321" spans="1:3" x14ac:dyDescent="0.25">
      <c r="A321" t="s">
        <v>319</v>
      </c>
      <c r="B321">
        <v>24</v>
      </c>
      <c r="C321">
        <v>24.155999999999999</v>
      </c>
    </row>
    <row r="322" spans="1:3" x14ac:dyDescent="0.25">
      <c r="A322" t="s">
        <v>320</v>
      </c>
      <c r="B322">
        <v>8</v>
      </c>
      <c r="C322">
        <v>8.64</v>
      </c>
    </row>
    <row r="323" spans="1:3" x14ac:dyDescent="0.25">
      <c r="A323" t="s">
        <v>321</v>
      </c>
      <c r="B323">
        <v>6</v>
      </c>
      <c r="C323">
        <v>6.48</v>
      </c>
    </row>
    <row r="324" spans="1:3" x14ac:dyDescent="0.25">
      <c r="A324" t="s">
        <v>322</v>
      </c>
      <c r="B324">
        <v>20</v>
      </c>
      <c r="C324">
        <v>36.79</v>
      </c>
    </row>
    <row r="325" spans="1:3" x14ac:dyDescent="0.25">
      <c r="A325" t="s">
        <v>323</v>
      </c>
      <c r="B325">
        <v>22</v>
      </c>
      <c r="C325">
        <v>22.16</v>
      </c>
    </row>
    <row r="326" spans="1:3" x14ac:dyDescent="0.25">
      <c r="A326" t="s">
        <v>324</v>
      </c>
      <c r="B326">
        <v>6</v>
      </c>
      <c r="C326">
        <v>6.48</v>
      </c>
    </row>
    <row r="327" spans="1:3" x14ac:dyDescent="0.25">
      <c r="A327" t="s">
        <v>325</v>
      </c>
      <c r="B327">
        <v>17</v>
      </c>
      <c r="C327">
        <v>18.196000000000002</v>
      </c>
    </row>
    <row r="328" spans="1:3" x14ac:dyDescent="0.25">
      <c r="A328" t="s">
        <v>326</v>
      </c>
      <c r="B328">
        <v>12</v>
      </c>
      <c r="C328">
        <v>29.806000000000001</v>
      </c>
    </row>
    <row r="329" spans="1:3" x14ac:dyDescent="0.25">
      <c r="A329" t="s">
        <v>327</v>
      </c>
      <c r="B329">
        <v>27</v>
      </c>
      <c r="C329">
        <v>21.776</v>
      </c>
    </row>
    <row r="330" spans="1:3" x14ac:dyDescent="0.25">
      <c r="A330" t="s">
        <v>328</v>
      </c>
      <c r="B330">
        <v>25</v>
      </c>
      <c r="C330">
        <v>37.881999999999998</v>
      </c>
    </row>
    <row r="331" spans="1:3" x14ac:dyDescent="0.25">
      <c r="A331" t="s">
        <v>329</v>
      </c>
      <c r="B331">
        <v>19</v>
      </c>
      <c r="C331">
        <v>18.920000000000002</v>
      </c>
    </row>
    <row r="332" spans="1:3" x14ac:dyDescent="0.25">
      <c r="A332" t="s">
        <v>330</v>
      </c>
      <c r="B332">
        <v>11</v>
      </c>
      <c r="C332">
        <v>24.765999999999998</v>
      </c>
    </row>
    <row r="333" spans="1:3" x14ac:dyDescent="0.25">
      <c r="A333" t="s">
        <v>331</v>
      </c>
      <c r="B333">
        <v>7</v>
      </c>
      <c r="C333">
        <v>14.646000000000001</v>
      </c>
    </row>
    <row r="334" spans="1:3" x14ac:dyDescent="0.25">
      <c r="A334" t="s">
        <v>332</v>
      </c>
      <c r="B334">
        <v>3</v>
      </c>
      <c r="C334">
        <v>4.5259999999999998</v>
      </c>
    </row>
    <row r="335" spans="1:3" x14ac:dyDescent="0.25">
      <c r="A335" t="s">
        <v>333</v>
      </c>
      <c r="B335">
        <v>3</v>
      </c>
      <c r="C335">
        <v>4.5259999999999998</v>
      </c>
    </row>
    <row r="336" spans="1:3" x14ac:dyDescent="0.25">
      <c r="A336" t="s">
        <v>334</v>
      </c>
      <c r="B336">
        <v>5</v>
      </c>
      <c r="C336">
        <v>9.5860000000000003</v>
      </c>
    </row>
    <row r="337" spans="1:3" x14ac:dyDescent="0.25">
      <c r="A337" t="s">
        <v>335</v>
      </c>
      <c r="B337">
        <v>3</v>
      </c>
      <c r="C337">
        <v>4.5259999999999998</v>
      </c>
    </row>
    <row r="338" spans="1:3" x14ac:dyDescent="0.25">
      <c r="A338" t="s">
        <v>336</v>
      </c>
      <c r="B338">
        <v>11</v>
      </c>
      <c r="C338">
        <v>24.765999999999998</v>
      </c>
    </row>
    <row r="339" spans="1:3" x14ac:dyDescent="0.25">
      <c r="A339" t="s">
        <v>337</v>
      </c>
      <c r="B339">
        <v>3</v>
      </c>
      <c r="C339">
        <v>4.5259999999999998</v>
      </c>
    </row>
    <row r="340" spans="1:3" x14ac:dyDescent="0.25">
      <c r="A340" t="s">
        <v>338</v>
      </c>
      <c r="B340">
        <v>14</v>
      </c>
      <c r="C340">
        <v>35.42</v>
      </c>
    </row>
    <row r="341" spans="1:3" x14ac:dyDescent="0.25">
      <c r="A341" t="s">
        <v>339</v>
      </c>
      <c r="B341">
        <v>21</v>
      </c>
      <c r="C341">
        <v>27.762</v>
      </c>
    </row>
    <row r="342" spans="1:3" x14ac:dyDescent="0.25">
      <c r="A342" t="s">
        <v>340</v>
      </c>
      <c r="B342">
        <v>19</v>
      </c>
      <c r="C342">
        <v>18.920000000000002</v>
      </c>
    </row>
    <row r="343" spans="1:3" x14ac:dyDescent="0.25">
      <c r="A343" t="s">
        <v>341</v>
      </c>
      <c r="B343">
        <v>3</v>
      </c>
      <c r="C343">
        <v>4.5259999999999998</v>
      </c>
    </row>
    <row r="344" spans="1:3" x14ac:dyDescent="0.25">
      <c r="A344" t="s">
        <v>342</v>
      </c>
      <c r="B344">
        <v>7</v>
      </c>
      <c r="C344">
        <v>14.646000000000001</v>
      </c>
    </row>
    <row r="345" spans="1:3" x14ac:dyDescent="0.25">
      <c r="A345" t="s">
        <v>343</v>
      </c>
      <c r="B345">
        <v>7</v>
      </c>
      <c r="C345">
        <v>14.646000000000001</v>
      </c>
    </row>
    <row r="346" spans="1:3" x14ac:dyDescent="0.25">
      <c r="A346" t="s">
        <v>344</v>
      </c>
      <c r="B346">
        <v>9</v>
      </c>
      <c r="C346">
        <v>19.706</v>
      </c>
    </row>
    <row r="347" spans="1:3" x14ac:dyDescent="0.25">
      <c r="A347" t="s">
        <v>345</v>
      </c>
      <c r="B347">
        <v>9</v>
      </c>
      <c r="C347">
        <v>19.706</v>
      </c>
    </row>
    <row r="348" spans="1:3" x14ac:dyDescent="0.25">
      <c r="A348" t="s">
        <v>346</v>
      </c>
      <c r="B348">
        <v>9</v>
      </c>
      <c r="C348">
        <v>19.706</v>
      </c>
    </row>
    <row r="349" spans="1:3" x14ac:dyDescent="0.25">
      <c r="A349" t="s">
        <v>347</v>
      </c>
      <c r="B349">
        <v>9</v>
      </c>
      <c r="C349">
        <v>19.706</v>
      </c>
    </row>
    <row r="350" spans="1:3" x14ac:dyDescent="0.25">
      <c r="A350" t="s">
        <v>348</v>
      </c>
      <c r="B350">
        <v>9</v>
      </c>
      <c r="C350">
        <v>19.706</v>
      </c>
    </row>
    <row r="351" spans="1:3" x14ac:dyDescent="0.25">
      <c r="A351" t="s">
        <v>349</v>
      </c>
      <c r="B351">
        <v>9</v>
      </c>
      <c r="C351">
        <v>19.706</v>
      </c>
    </row>
    <row r="352" spans="1:3" x14ac:dyDescent="0.25">
      <c r="A352" t="s">
        <v>350</v>
      </c>
      <c r="B352">
        <v>7</v>
      </c>
      <c r="C352">
        <v>14.646000000000001</v>
      </c>
    </row>
    <row r="353" spans="1:3" x14ac:dyDescent="0.25">
      <c r="A353" t="s">
        <v>351</v>
      </c>
      <c r="B353">
        <v>11</v>
      </c>
      <c r="C353">
        <v>24.765999999999998</v>
      </c>
    </row>
    <row r="354" spans="1:3" x14ac:dyDescent="0.25">
      <c r="A354" t="s">
        <v>352</v>
      </c>
      <c r="B354">
        <v>9</v>
      </c>
      <c r="C354">
        <v>19.706</v>
      </c>
    </row>
    <row r="355" spans="1:3" x14ac:dyDescent="0.25">
      <c r="A355" t="s">
        <v>353</v>
      </c>
      <c r="B355">
        <v>4</v>
      </c>
      <c r="C355">
        <v>10.119999999999999</v>
      </c>
    </row>
    <row r="356" spans="1:3" x14ac:dyDescent="0.25">
      <c r="A356" t="s">
        <v>354</v>
      </c>
      <c r="B356">
        <v>13</v>
      </c>
      <c r="C356">
        <v>34.095999999999997</v>
      </c>
    </row>
    <row r="357" spans="1:3" x14ac:dyDescent="0.25">
      <c r="A357" t="s">
        <v>355</v>
      </c>
      <c r="B357">
        <v>21</v>
      </c>
      <c r="C357">
        <v>44.817999999999998</v>
      </c>
    </row>
    <row r="358" spans="1:3" x14ac:dyDescent="0.25">
      <c r="A358" t="s">
        <v>356</v>
      </c>
      <c r="B358">
        <v>20</v>
      </c>
      <c r="C358">
        <v>43.777000000000001</v>
      </c>
    </row>
    <row r="359" spans="1:3" x14ac:dyDescent="0.25">
      <c r="A359" t="s">
        <v>357</v>
      </c>
      <c r="B359">
        <v>12</v>
      </c>
      <c r="C359">
        <v>30.762</v>
      </c>
    </row>
    <row r="360" spans="1:3" x14ac:dyDescent="0.25">
      <c r="A360" t="s">
        <v>358</v>
      </c>
      <c r="B360">
        <v>31</v>
      </c>
      <c r="C360">
        <v>76.661000000000001</v>
      </c>
    </row>
    <row r="361" spans="1:3" x14ac:dyDescent="0.25">
      <c r="A361" t="s">
        <v>359</v>
      </c>
      <c r="B361">
        <v>23</v>
      </c>
      <c r="C361">
        <v>48.488</v>
      </c>
    </row>
    <row r="362" spans="1:3" x14ac:dyDescent="0.25">
      <c r="A362" t="s">
        <v>360</v>
      </c>
      <c r="B362">
        <v>9</v>
      </c>
      <c r="C362">
        <v>17.207999999999998</v>
      </c>
    </row>
    <row r="363" spans="1:3" x14ac:dyDescent="0.25">
      <c r="A363" t="s">
        <v>361</v>
      </c>
      <c r="B363">
        <v>8</v>
      </c>
      <c r="C363">
        <v>20.239999999999998</v>
      </c>
    </row>
    <row r="364" spans="1:3" x14ac:dyDescent="0.25">
      <c r="A364" t="s">
        <v>362</v>
      </c>
      <c r="B364">
        <v>5</v>
      </c>
      <c r="C364">
        <v>9.5860000000000003</v>
      </c>
    </row>
    <row r="365" spans="1:3" x14ac:dyDescent="0.25">
      <c r="A365" t="s">
        <v>363</v>
      </c>
      <c r="B365">
        <v>7</v>
      </c>
      <c r="C365">
        <v>14.646000000000001</v>
      </c>
    </row>
    <row r="366" spans="1:3" x14ac:dyDescent="0.25">
      <c r="A366" t="s">
        <v>364</v>
      </c>
      <c r="B366">
        <v>5</v>
      </c>
      <c r="C366">
        <v>9.5860000000000003</v>
      </c>
    </row>
    <row r="367" spans="1:3" x14ac:dyDescent="0.25">
      <c r="A367" t="s">
        <v>365</v>
      </c>
      <c r="B367">
        <v>5</v>
      </c>
      <c r="C367">
        <v>9.5860000000000003</v>
      </c>
    </row>
    <row r="368" spans="1:3" x14ac:dyDescent="0.25">
      <c r="A368" t="s">
        <v>366</v>
      </c>
      <c r="B368">
        <v>10</v>
      </c>
      <c r="C368">
        <v>22.556999999999999</v>
      </c>
    </row>
    <row r="369" spans="1:3" x14ac:dyDescent="0.25">
      <c r="A369" t="s">
        <v>367</v>
      </c>
      <c r="B369">
        <v>10</v>
      </c>
      <c r="C369">
        <v>22.556999999999999</v>
      </c>
    </row>
    <row r="370" spans="1:3" x14ac:dyDescent="0.25">
      <c r="A370" t="s">
        <v>368</v>
      </c>
      <c r="B370">
        <v>10</v>
      </c>
      <c r="C370">
        <v>22.556999999999999</v>
      </c>
    </row>
    <row r="371" spans="1:3" x14ac:dyDescent="0.25">
      <c r="A371" t="s">
        <v>369</v>
      </c>
      <c r="B371">
        <v>10</v>
      </c>
      <c r="C371">
        <v>22.556999999999999</v>
      </c>
    </row>
    <row r="372" spans="1:3" x14ac:dyDescent="0.25">
      <c r="A372" t="s">
        <v>370</v>
      </c>
      <c r="B372">
        <v>10</v>
      </c>
      <c r="C372">
        <v>22.556999999999999</v>
      </c>
    </row>
    <row r="373" spans="1:3" x14ac:dyDescent="0.25">
      <c r="A373" t="s">
        <v>371</v>
      </c>
      <c r="B373">
        <v>10</v>
      </c>
      <c r="C373">
        <v>22.556999999999999</v>
      </c>
    </row>
    <row r="374" spans="1:3" x14ac:dyDescent="0.25">
      <c r="A374" t="s">
        <v>372</v>
      </c>
      <c r="B374">
        <v>37</v>
      </c>
      <c r="C374">
        <v>50.054000000000002</v>
      </c>
    </row>
    <row r="375" spans="1:3" x14ac:dyDescent="0.25">
      <c r="A375" t="s">
        <v>373</v>
      </c>
      <c r="B375">
        <v>37</v>
      </c>
      <c r="C375">
        <v>41.173999999999999</v>
      </c>
    </row>
    <row r="376" spans="1:3" x14ac:dyDescent="0.25">
      <c r="A376" t="s">
        <v>374</v>
      </c>
      <c r="B376">
        <v>26</v>
      </c>
      <c r="C376">
        <v>77.238</v>
      </c>
    </row>
    <row r="377" spans="1:3" x14ac:dyDescent="0.25">
      <c r="A377" t="s">
        <v>375</v>
      </c>
      <c r="B377">
        <v>16</v>
      </c>
      <c r="C377">
        <v>45.548000000000002</v>
      </c>
    </row>
    <row r="378" spans="1:3" x14ac:dyDescent="0.25">
      <c r="A378" t="s">
        <v>376</v>
      </c>
      <c r="B378">
        <v>21</v>
      </c>
      <c r="C378">
        <v>54.628999999999998</v>
      </c>
    </row>
    <row r="379" spans="1:3" x14ac:dyDescent="0.25">
      <c r="A379" t="s">
        <v>377</v>
      </c>
      <c r="B379">
        <v>19</v>
      </c>
      <c r="C379">
        <v>63.073999999999998</v>
      </c>
    </row>
    <row r="380" spans="1:3" x14ac:dyDescent="0.25">
      <c r="A380" t="s">
        <v>378</v>
      </c>
      <c r="B380">
        <v>33</v>
      </c>
      <c r="C380">
        <v>102.982</v>
      </c>
    </row>
    <row r="381" spans="1:3" x14ac:dyDescent="0.25">
      <c r="A381" t="s">
        <v>379</v>
      </c>
      <c r="B381">
        <v>7</v>
      </c>
      <c r="C381">
        <v>14.147</v>
      </c>
    </row>
    <row r="382" spans="1:3" x14ac:dyDescent="0.25">
      <c r="A382" t="s">
        <v>380</v>
      </c>
      <c r="B382">
        <v>25</v>
      </c>
      <c r="C382">
        <v>58.362000000000002</v>
      </c>
    </row>
    <row r="383" spans="1:3" x14ac:dyDescent="0.25">
      <c r="A383" t="s">
        <v>381</v>
      </c>
      <c r="B383">
        <v>11</v>
      </c>
      <c r="C383">
        <v>34.320999999999998</v>
      </c>
    </row>
    <row r="384" spans="1:3" x14ac:dyDescent="0.25">
      <c r="A384" t="s">
        <v>382</v>
      </c>
      <c r="B384">
        <v>11</v>
      </c>
      <c r="C384">
        <v>24.266999999999999</v>
      </c>
    </row>
    <row r="385" spans="1:3" x14ac:dyDescent="0.25">
      <c r="A385" t="s">
        <v>383</v>
      </c>
      <c r="B385">
        <v>24</v>
      </c>
      <c r="C385">
        <v>81.192999999999998</v>
      </c>
    </row>
    <row r="386" spans="1:3" x14ac:dyDescent="0.25">
      <c r="A386" t="s">
        <v>384</v>
      </c>
      <c r="B386">
        <v>20</v>
      </c>
      <c r="C386">
        <v>57.161999999999999</v>
      </c>
    </row>
    <row r="387" spans="1:3" x14ac:dyDescent="0.25">
      <c r="A387" t="s">
        <v>385</v>
      </c>
      <c r="B387">
        <v>36</v>
      </c>
      <c r="C387">
        <v>109.283</v>
      </c>
    </row>
    <row r="388" spans="1:3" x14ac:dyDescent="0.25">
      <c r="A388" t="s">
        <v>386</v>
      </c>
      <c r="B388">
        <v>17</v>
      </c>
      <c r="C388">
        <v>51.548999999999999</v>
      </c>
    </row>
    <row r="389" spans="1:3" x14ac:dyDescent="0.25">
      <c r="A389" t="s">
        <v>387</v>
      </c>
      <c r="B389">
        <v>12</v>
      </c>
      <c r="C389">
        <v>29.574000000000002</v>
      </c>
    </row>
    <row r="390" spans="1:3" x14ac:dyDescent="0.25">
      <c r="A390" t="s">
        <v>388</v>
      </c>
      <c r="B390">
        <v>24</v>
      </c>
      <c r="C390">
        <v>69.733000000000004</v>
      </c>
    </row>
    <row r="391" spans="1:3" x14ac:dyDescent="0.25">
      <c r="A391" t="s">
        <v>389</v>
      </c>
      <c r="B391">
        <v>33</v>
      </c>
      <c r="C391">
        <v>97.781000000000006</v>
      </c>
    </row>
    <row r="392" spans="1:3" x14ac:dyDescent="0.25">
      <c r="A392" t="s">
        <v>390</v>
      </c>
      <c r="B392">
        <v>10</v>
      </c>
      <c r="C392">
        <v>29.32</v>
      </c>
    </row>
    <row r="393" spans="1:3" x14ac:dyDescent="0.25">
      <c r="A393" t="s">
        <v>391</v>
      </c>
      <c r="B393">
        <v>24</v>
      </c>
      <c r="C393">
        <v>61.058</v>
      </c>
    </row>
    <row r="394" spans="1:3" x14ac:dyDescent="0.25">
      <c r="A394" t="s">
        <v>392</v>
      </c>
      <c r="B394">
        <v>16</v>
      </c>
      <c r="C394">
        <v>33.488</v>
      </c>
    </row>
    <row r="395" spans="1:3" x14ac:dyDescent="0.25">
      <c r="A395" t="s">
        <v>393</v>
      </c>
      <c r="B395">
        <v>4</v>
      </c>
      <c r="C395">
        <v>21.213999999999999</v>
      </c>
    </row>
    <row r="396" spans="1:3" x14ac:dyDescent="0.25">
      <c r="A396" t="s">
        <v>394</v>
      </c>
      <c r="B396">
        <v>26</v>
      </c>
      <c r="C396">
        <v>63.984999999999999</v>
      </c>
    </row>
    <row r="397" spans="1:3" x14ac:dyDescent="0.25">
      <c r="A397" t="s">
        <v>395</v>
      </c>
      <c r="B397">
        <v>19</v>
      </c>
      <c r="C397">
        <v>63.073999999999998</v>
      </c>
    </row>
    <row r="398" spans="1:3" x14ac:dyDescent="0.25">
      <c r="A398" t="s">
        <v>396</v>
      </c>
      <c r="B398">
        <v>24</v>
      </c>
      <c r="C398">
        <v>81.192999999999998</v>
      </c>
    </row>
    <row r="399" spans="1:3" x14ac:dyDescent="0.25">
      <c r="A399" t="s">
        <v>397</v>
      </c>
      <c r="B399">
        <v>20</v>
      </c>
      <c r="C399">
        <v>57.161999999999999</v>
      </c>
    </row>
    <row r="400" spans="1:3" x14ac:dyDescent="0.25">
      <c r="A400" t="s">
        <v>398</v>
      </c>
      <c r="B400">
        <v>24</v>
      </c>
      <c r="C400">
        <v>69.733000000000004</v>
      </c>
    </row>
    <row r="401" spans="1:3" x14ac:dyDescent="0.25">
      <c r="A401" t="s">
        <v>399</v>
      </c>
      <c r="B401">
        <v>33</v>
      </c>
      <c r="C401">
        <v>97.781000000000006</v>
      </c>
    </row>
    <row r="402" spans="1:3" x14ac:dyDescent="0.25">
      <c r="A402" t="s">
        <v>400</v>
      </c>
      <c r="B402">
        <v>19</v>
      </c>
      <c r="C402">
        <v>64.713999999999999</v>
      </c>
    </row>
    <row r="403" spans="1:3" x14ac:dyDescent="0.25">
      <c r="A403" t="s">
        <v>401</v>
      </c>
      <c r="B403">
        <v>35</v>
      </c>
      <c r="C403">
        <v>104.127</v>
      </c>
    </row>
    <row r="404" spans="1:3" x14ac:dyDescent="0.25">
      <c r="A404" t="s">
        <v>402</v>
      </c>
      <c r="B404">
        <v>37</v>
      </c>
      <c r="C404">
        <v>109.66800000000001</v>
      </c>
    </row>
    <row r="405" spans="1:3" x14ac:dyDescent="0.25">
      <c r="A405" t="s">
        <v>403</v>
      </c>
      <c r="B405">
        <v>20</v>
      </c>
      <c r="C405">
        <v>48.898000000000003</v>
      </c>
    </row>
    <row r="406" spans="1:3" x14ac:dyDescent="0.25">
      <c r="A406" t="s">
        <v>404</v>
      </c>
      <c r="B406">
        <v>11</v>
      </c>
      <c r="C406">
        <v>43.170999999999999</v>
      </c>
    </row>
    <row r="407" spans="1:3" x14ac:dyDescent="0.25">
      <c r="A407" t="s">
        <v>405</v>
      </c>
      <c r="B407">
        <v>33</v>
      </c>
      <c r="C407">
        <v>84.834000000000003</v>
      </c>
    </row>
    <row r="408" spans="1:3" x14ac:dyDescent="0.25">
      <c r="A408" t="s">
        <v>406</v>
      </c>
      <c r="B408">
        <v>20</v>
      </c>
      <c r="C408">
        <v>37.902000000000001</v>
      </c>
    </row>
    <row r="409" spans="1:3" x14ac:dyDescent="0.25">
      <c r="A409" t="s">
        <v>407</v>
      </c>
      <c r="B409">
        <v>4</v>
      </c>
      <c r="C409">
        <v>21.213999999999999</v>
      </c>
    </row>
    <row r="410" spans="1:3" x14ac:dyDescent="0.25">
      <c r="A410" t="s">
        <v>408</v>
      </c>
      <c r="B410">
        <v>25</v>
      </c>
      <c r="C410">
        <v>45.591000000000001</v>
      </c>
    </row>
    <row r="411" spans="1:3" x14ac:dyDescent="0.25">
      <c r="A411" t="s">
        <v>409</v>
      </c>
      <c r="B411">
        <v>25</v>
      </c>
      <c r="C411">
        <v>45.591000000000001</v>
      </c>
    </row>
    <row r="412" spans="1:3" x14ac:dyDescent="0.25">
      <c r="A412" t="s">
        <v>410</v>
      </c>
      <c r="B412">
        <v>14</v>
      </c>
      <c r="C412">
        <v>27.425000000000001</v>
      </c>
    </row>
    <row r="413" spans="1:3" x14ac:dyDescent="0.25">
      <c r="A413" t="s">
        <v>411</v>
      </c>
      <c r="B413">
        <v>21</v>
      </c>
      <c r="C413">
        <v>44.499000000000002</v>
      </c>
    </row>
    <row r="414" spans="1:3" x14ac:dyDescent="0.25">
      <c r="A414" t="s">
        <v>412</v>
      </c>
      <c r="B414">
        <v>27</v>
      </c>
      <c r="C414">
        <v>50.651000000000003</v>
      </c>
    </row>
    <row r="415" spans="1:3" x14ac:dyDescent="0.25">
      <c r="A415" t="s">
        <v>413</v>
      </c>
      <c r="B415">
        <v>27</v>
      </c>
      <c r="C415">
        <v>50.651000000000003</v>
      </c>
    </row>
    <row r="416" spans="1:3" x14ac:dyDescent="0.25">
      <c r="A416" t="s">
        <v>414</v>
      </c>
      <c r="B416">
        <v>13</v>
      </c>
      <c r="C416">
        <v>37.866</v>
      </c>
    </row>
    <row r="417" spans="1:3" x14ac:dyDescent="0.25">
      <c r="A417" t="s">
        <v>415</v>
      </c>
      <c r="B417">
        <v>20</v>
      </c>
      <c r="C417">
        <v>49.746000000000002</v>
      </c>
    </row>
    <row r="418" spans="1:3" x14ac:dyDescent="0.25">
      <c r="A418" t="s">
        <v>416</v>
      </c>
      <c r="B418">
        <v>14</v>
      </c>
      <c r="C418">
        <v>38.686</v>
      </c>
    </row>
    <row r="419" spans="1:3" x14ac:dyDescent="0.25">
      <c r="A419" t="s">
        <v>417</v>
      </c>
      <c r="B419">
        <v>12</v>
      </c>
      <c r="C419">
        <v>27.706</v>
      </c>
    </row>
    <row r="420" spans="1:3" x14ac:dyDescent="0.25">
      <c r="A420" t="s">
        <v>418</v>
      </c>
      <c r="B420">
        <v>26</v>
      </c>
      <c r="C420">
        <v>63.631999999999998</v>
      </c>
    </row>
    <row r="421" spans="1:3" x14ac:dyDescent="0.25">
      <c r="A421" t="s">
        <v>419</v>
      </c>
      <c r="B421">
        <v>22</v>
      </c>
      <c r="C421">
        <v>57.167000000000002</v>
      </c>
    </row>
    <row r="422" spans="1:3" x14ac:dyDescent="0.25">
      <c r="A422" t="s">
        <v>420</v>
      </c>
      <c r="B422">
        <v>27</v>
      </c>
      <c r="C422">
        <v>59.856000000000002</v>
      </c>
    </row>
    <row r="423" spans="1:3" x14ac:dyDescent="0.25">
      <c r="A423" t="s">
        <v>421</v>
      </c>
      <c r="B423">
        <v>34</v>
      </c>
      <c r="C423">
        <v>73.731999999999999</v>
      </c>
    </row>
    <row r="424" spans="1:3" x14ac:dyDescent="0.25">
      <c r="A424" t="s">
        <v>422</v>
      </c>
      <c r="B424">
        <v>20</v>
      </c>
      <c r="C424">
        <v>40.415999999999997</v>
      </c>
    </row>
    <row r="425" spans="1:3" x14ac:dyDescent="0.25">
      <c r="A425" t="s">
        <v>423</v>
      </c>
      <c r="B425">
        <v>12</v>
      </c>
      <c r="C425">
        <v>35.183999999999997</v>
      </c>
    </row>
    <row r="426" spans="1:3" x14ac:dyDescent="0.25">
      <c r="A426" t="s">
        <v>424</v>
      </c>
      <c r="B426">
        <v>6</v>
      </c>
      <c r="C426">
        <v>17.591999999999999</v>
      </c>
    </row>
    <row r="427" spans="1:3" x14ac:dyDescent="0.25">
      <c r="A427" t="s">
        <v>425</v>
      </c>
      <c r="B427">
        <v>26</v>
      </c>
      <c r="C427">
        <v>56.752000000000002</v>
      </c>
    </row>
    <row r="428" spans="1:3" x14ac:dyDescent="0.25">
      <c r="A428" t="s">
        <v>426</v>
      </c>
      <c r="B428">
        <v>8</v>
      </c>
      <c r="C428">
        <v>14.276</v>
      </c>
    </row>
    <row r="429" spans="1:3" x14ac:dyDescent="0.25">
      <c r="A429" t="s">
        <v>427</v>
      </c>
      <c r="B429">
        <v>13</v>
      </c>
      <c r="C429">
        <v>37.866</v>
      </c>
    </row>
    <row r="430" spans="1:3" x14ac:dyDescent="0.25">
      <c r="A430" t="s">
        <v>428</v>
      </c>
      <c r="B430">
        <v>20</v>
      </c>
      <c r="C430">
        <v>49.746000000000002</v>
      </c>
    </row>
    <row r="431" spans="1:3" x14ac:dyDescent="0.25">
      <c r="A431" t="s">
        <v>429</v>
      </c>
      <c r="B431">
        <v>18</v>
      </c>
      <c r="C431">
        <v>45.439</v>
      </c>
    </row>
    <row r="432" spans="1:3" x14ac:dyDescent="0.25">
      <c r="A432" t="s">
        <v>430</v>
      </c>
      <c r="B432">
        <v>16</v>
      </c>
      <c r="C432">
        <v>37.923999999999999</v>
      </c>
    </row>
    <row r="433" spans="1:3" x14ac:dyDescent="0.25">
      <c r="A433" t="s">
        <v>431</v>
      </c>
      <c r="B433">
        <v>28</v>
      </c>
      <c r="C433">
        <v>60.155999999999999</v>
      </c>
    </row>
    <row r="434" spans="1:3" x14ac:dyDescent="0.25">
      <c r="A434" t="s">
        <v>432</v>
      </c>
      <c r="B434">
        <v>30</v>
      </c>
      <c r="C434">
        <v>63.612000000000002</v>
      </c>
    </row>
    <row r="435" spans="1:3" x14ac:dyDescent="0.25">
      <c r="A435" t="s">
        <v>433</v>
      </c>
      <c r="B435">
        <v>20</v>
      </c>
      <c r="C435">
        <v>40.415999999999997</v>
      </c>
    </row>
    <row r="436" spans="1:3" x14ac:dyDescent="0.25">
      <c r="A436" t="s">
        <v>434</v>
      </c>
      <c r="B436">
        <v>12</v>
      </c>
      <c r="C436">
        <v>35.183999999999997</v>
      </c>
    </row>
    <row r="437" spans="1:3" x14ac:dyDescent="0.25">
      <c r="A437" t="s">
        <v>435</v>
      </c>
      <c r="B437">
        <v>20</v>
      </c>
      <c r="C437">
        <v>41.572000000000003</v>
      </c>
    </row>
    <row r="438" spans="1:3" x14ac:dyDescent="0.25">
      <c r="A438" t="s">
        <v>436</v>
      </c>
      <c r="B438">
        <v>8</v>
      </c>
      <c r="C438">
        <v>14.276</v>
      </c>
    </row>
    <row r="439" spans="1:3" x14ac:dyDescent="0.25">
      <c r="A439" t="s">
        <v>437</v>
      </c>
      <c r="B439">
        <v>9</v>
      </c>
      <c r="C439">
        <v>16.143000000000001</v>
      </c>
    </row>
    <row r="440" spans="1:3" x14ac:dyDescent="0.25">
      <c r="A440" t="s">
        <v>438</v>
      </c>
      <c r="B440">
        <v>26</v>
      </c>
      <c r="C440">
        <v>49.652999999999999</v>
      </c>
    </row>
    <row r="441" spans="1:3" x14ac:dyDescent="0.25">
      <c r="A441" t="s">
        <v>439</v>
      </c>
      <c r="B441">
        <v>6</v>
      </c>
      <c r="C441">
        <v>15.18</v>
      </c>
    </row>
    <row r="442" spans="1:3" x14ac:dyDescent="0.25">
      <c r="A442" t="s">
        <v>440</v>
      </c>
      <c r="B442">
        <v>11</v>
      </c>
      <c r="C442">
        <v>21.23</v>
      </c>
    </row>
    <row r="443" spans="1:3" x14ac:dyDescent="0.25">
      <c r="A443" t="s">
        <v>441</v>
      </c>
      <c r="B443">
        <v>15</v>
      </c>
      <c r="C443">
        <v>28.422999999999998</v>
      </c>
    </row>
    <row r="444" spans="1:3" x14ac:dyDescent="0.25">
      <c r="A444" t="s">
        <v>442</v>
      </c>
      <c r="B444">
        <v>8</v>
      </c>
      <c r="C444">
        <v>20.239999999999998</v>
      </c>
    </row>
    <row r="445" spans="1:3" x14ac:dyDescent="0.25">
      <c r="A445" t="s">
        <v>443</v>
      </c>
      <c r="B445">
        <v>25</v>
      </c>
      <c r="C445">
        <v>47.759</v>
      </c>
    </row>
    <row r="446" spans="1:3" x14ac:dyDescent="0.25">
      <c r="A446" t="s">
        <v>444</v>
      </c>
      <c r="B446">
        <v>8</v>
      </c>
      <c r="C446">
        <v>20.239999999999998</v>
      </c>
    </row>
    <row r="447" spans="1:3" x14ac:dyDescent="0.25">
      <c r="A447" t="s">
        <v>445</v>
      </c>
      <c r="B447">
        <v>33</v>
      </c>
      <c r="C447">
        <v>65.906999999999996</v>
      </c>
    </row>
    <row r="448" spans="1:3" x14ac:dyDescent="0.25">
      <c r="A448" t="s">
        <v>446</v>
      </c>
      <c r="B448">
        <v>10</v>
      </c>
      <c r="C448">
        <v>25.3</v>
      </c>
    </row>
    <row r="449" spans="1:3" x14ac:dyDescent="0.25">
      <c r="A449" t="s">
        <v>447</v>
      </c>
      <c r="B449">
        <v>25</v>
      </c>
      <c r="C449">
        <v>58.362000000000002</v>
      </c>
    </row>
    <row r="450" spans="1:3" x14ac:dyDescent="0.25">
      <c r="A450" t="s">
        <v>448</v>
      </c>
      <c r="B450">
        <v>26</v>
      </c>
      <c r="C450">
        <v>57.616</v>
      </c>
    </row>
    <row r="451" spans="1:3" x14ac:dyDescent="0.25">
      <c r="A451" t="s">
        <v>449</v>
      </c>
      <c r="B451">
        <v>12</v>
      </c>
      <c r="C451">
        <v>25.096</v>
      </c>
    </row>
    <row r="452" spans="1:3" x14ac:dyDescent="0.25">
      <c r="A452" t="s">
        <v>450</v>
      </c>
      <c r="B452">
        <v>5</v>
      </c>
      <c r="C452">
        <v>5.75</v>
      </c>
    </row>
    <row r="453" spans="1:3" x14ac:dyDescent="0.25">
      <c r="A453" t="s">
        <v>451</v>
      </c>
      <c r="B453">
        <v>11</v>
      </c>
      <c r="C453">
        <v>10.6</v>
      </c>
    </row>
    <row r="454" spans="1:3" x14ac:dyDescent="0.25">
      <c r="A454" t="s">
        <v>452</v>
      </c>
      <c r="B454">
        <v>13</v>
      </c>
      <c r="C454">
        <v>9.74</v>
      </c>
    </row>
    <row r="455" spans="1:3" x14ac:dyDescent="0.25">
      <c r="A455" t="s">
        <v>453</v>
      </c>
      <c r="B455">
        <v>5</v>
      </c>
      <c r="C455">
        <v>3.95</v>
      </c>
    </row>
    <row r="456" spans="1:3" x14ac:dyDescent="0.25">
      <c r="A456" t="s">
        <v>454</v>
      </c>
      <c r="B456">
        <v>10</v>
      </c>
      <c r="C456">
        <v>7.3</v>
      </c>
    </row>
    <row r="457" spans="1:3" x14ac:dyDescent="0.25">
      <c r="A457" t="s">
        <v>455</v>
      </c>
      <c r="B457">
        <v>10</v>
      </c>
      <c r="C457">
        <v>7</v>
      </c>
    </row>
    <row r="458" spans="1:3" x14ac:dyDescent="0.25">
      <c r="A458" t="s">
        <v>456</v>
      </c>
      <c r="B458">
        <v>9</v>
      </c>
      <c r="C458">
        <v>6.35</v>
      </c>
    </row>
    <row r="459" spans="1:3" x14ac:dyDescent="0.25">
      <c r="A459" t="s">
        <v>457</v>
      </c>
      <c r="B459">
        <v>3</v>
      </c>
      <c r="C459">
        <v>2.1</v>
      </c>
    </row>
    <row r="460" spans="1:3" x14ac:dyDescent="0.25">
      <c r="A460" t="s">
        <v>458</v>
      </c>
      <c r="B460">
        <v>6</v>
      </c>
      <c r="C460">
        <v>4.2</v>
      </c>
    </row>
    <row r="461" spans="1:3" x14ac:dyDescent="0.25">
      <c r="A461" t="s">
        <v>459</v>
      </c>
      <c r="B461">
        <v>7</v>
      </c>
      <c r="C461">
        <v>4.9000000000000004</v>
      </c>
    </row>
    <row r="462" spans="1:3" x14ac:dyDescent="0.25">
      <c r="A462" t="s">
        <v>460</v>
      </c>
      <c r="B462">
        <v>13</v>
      </c>
      <c r="C462">
        <v>10.09</v>
      </c>
    </row>
    <row r="463" spans="1:3" x14ac:dyDescent="0.25">
      <c r="A463" t="s">
        <v>461</v>
      </c>
      <c r="B463">
        <v>9</v>
      </c>
      <c r="C463">
        <v>7.35</v>
      </c>
    </row>
    <row r="464" spans="1:3" x14ac:dyDescent="0.25">
      <c r="A464" t="s">
        <v>462</v>
      </c>
      <c r="B464">
        <v>7</v>
      </c>
      <c r="C464">
        <v>4.9000000000000004</v>
      </c>
    </row>
    <row r="465" spans="1:3" x14ac:dyDescent="0.25">
      <c r="A465" t="s">
        <v>463</v>
      </c>
      <c r="B465">
        <v>8</v>
      </c>
      <c r="C465">
        <v>5.6</v>
      </c>
    </row>
    <row r="466" spans="1:3" x14ac:dyDescent="0.25">
      <c r="A466" t="s">
        <v>464</v>
      </c>
      <c r="B466">
        <v>4</v>
      </c>
      <c r="C466">
        <v>2.8</v>
      </c>
    </row>
    <row r="467" spans="1:3" x14ac:dyDescent="0.25">
      <c r="A467" t="s">
        <v>465</v>
      </c>
      <c r="B467">
        <v>15</v>
      </c>
      <c r="C467">
        <v>9.75</v>
      </c>
    </row>
    <row r="468" spans="1:3" x14ac:dyDescent="0.25">
      <c r="A468" t="s">
        <v>466</v>
      </c>
      <c r="B468">
        <v>9</v>
      </c>
      <c r="C468">
        <v>19.536000000000001</v>
      </c>
    </row>
    <row r="469" spans="1:3" x14ac:dyDescent="0.25">
      <c r="A469" t="s">
        <v>467</v>
      </c>
      <c r="B469">
        <v>52</v>
      </c>
      <c r="C469">
        <v>53.5</v>
      </c>
    </row>
    <row r="470" spans="1:3" x14ac:dyDescent="0.25">
      <c r="A470" t="s">
        <v>468</v>
      </c>
      <c r="B470">
        <v>24</v>
      </c>
      <c r="C470">
        <v>27.95</v>
      </c>
    </row>
    <row r="471" spans="1:3" x14ac:dyDescent="0.25">
      <c r="A471" t="s">
        <v>469</v>
      </c>
      <c r="B471">
        <v>26</v>
      </c>
      <c r="C471">
        <v>57.648000000000003</v>
      </c>
    </row>
    <row r="472" spans="1:3" x14ac:dyDescent="0.25">
      <c r="A472" t="s">
        <v>470</v>
      </c>
      <c r="B472">
        <v>30</v>
      </c>
      <c r="C472">
        <v>55.819000000000003</v>
      </c>
    </row>
    <row r="473" spans="1:3" x14ac:dyDescent="0.25">
      <c r="A473" t="s">
        <v>471</v>
      </c>
      <c r="B473">
        <v>24</v>
      </c>
      <c r="C473">
        <v>51.024000000000001</v>
      </c>
    </row>
    <row r="474" spans="1:3" x14ac:dyDescent="0.25">
      <c r="A474" t="s">
        <v>472</v>
      </c>
      <c r="B474">
        <v>6</v>
      </c>
      <c r="C474">
        <v>9.2159999999999993</v>
      </c>
    </row>
    <row r="475" spans="1:3" x14ac:dyDescent="0.25">
      <c r="A475" t="s">
        <v>473</v>
      </c>
      <c r="B475">
        <v>34</v>
      </c>
      <c r="C475">
        <v>66.441000000000003</v>
      </c>
    </row>
    <row r="476" spans="1:3" x14ac:dyDescent="0.25">
      <c r="A476" t="s">
        <v>474</v>
      </c>
      <c r="B476">
        <v>26</v>
      </c>
      <c r="C476">
        <v>56.253</v>
      </c>
    </row>
    <row r="477" spans="1:3" x14ac:dyDescent="0.25">
      <c r="A477" t="s">
        <v>475</v>
      </c>
      <c r="B477">
        <v>24</v>
      </c>
      <c r="C477">
        <v>50.536999999999999</v>
      </c>
    </row>
    <row r="478" spans="1:3" x14ac:dyDescent="0.25">
      <c r="A478" t="s">
        <v>476</v>
      </c>
      <c r="B478">
        <v>15</v>
      </c>
      <c r="C478">
        <v>29.463999999999999</v>
      </c>
    </row>
    <row r="479" spans="1:3" x14ac:dyDescent="0.25">
      <c r="A479" t="s">
        <v>477</v>
      </c>
      <c r="B479">
        <v>29</v>
      </c>
      <c r="C479">
        <v>62.539000000000001</v>
      </c>
    </row>
    <row r="480" spans="1:3" x14ac:dyDescent="0.25">
      <c r="A480" t="s">
        <v>478</v>
      </c>
      <c r="B480">
        <v>20</v>
      </c>
      <c r="C480">
        <v>50.374000000000002</v>
      </c>
    </row>
    <row r="481" spans="1:3" x14ac:dyDescent="0.25">
      <c r="A481" t="s">
        <v>479</v>
      </c>
      <c r="B481">
        <v>18</v>
      </c>
      <c r="C481">
        <v>44.795000000000002</v>
      </c>
    </row>
    <row r="482" spans="1:3" x14ac:dyDescent="0.25">
      <c r="A482" t="s">
        <v>480</v>
      </c>
      <c r="B482">
        <v>15</v>
      </c>
      <c r="C482">
        <v>40.72</v>
      </c>
    </row>
    <row r="483" spans="1:3" x14ac:dyDescent="0.25">
      <c r="A483" t="s">
        <v>481</v>
      </c>
      <c r="B483">
        <v>20</v>
      </c>
      <c r="C483">
        <v>45.021000000000001</v>
      </c>
    </row>
    <row r="484" spans="1:3" x14ac:dyDescent="0.25">
      <c r="A484" t="s">
        <v>482</v>
      </c>
      <c r="B484">
        <v>26</v>
      </c>
      <c r="C484">
        <v>54.552</v>
      </c>
    </row>
    <row r="485" spans="1:3" x14ac:dyDescent="0.25">
      <c r="A485" t="s">
        <v>483</v>
      </c>
      <c r="B485">
        <v>14</v>
      </c>
      <c r="C485">
        <v>34.981000000000002</v>
      </c>
    </row>
    <row r="486" spans="1:3" x14ac:dyDescent="0.25">
      <c r="A486" t="s">
        <v>484</v>
      </c>
      <c r="B486">
        <v>30</v>
      </c>
      <c r="C486">
        <v>64.84</v>
      </c>
    </row>
    <row r="487" spans="1:3" x14ac:dyDescent="0.25">
      <c r="A487" t="s">
        <v>485</v>
      </c>
      <c r="B487">
        <v>22</v>
      </c>
      <c r="C487">
        <v>51.54</v>
      </c>
    </row>
    <row r="488" spans="1:3" x14ac:dyDescent="0.25">
      <c r="A488" t="s">
        <v>486</v>
      </c>
      <c r="B488">
        <v>22</v>
      </c>
      <c r="C488">
        <v>50.41</v>
      </c>
    </row>
    <row r="489" spans="1:3" x14ac:dyDescent="0.25">
      <c r="A489" t="s">
        <v>487</v>
      </c>
      <c r="B489">
        <v>14</v>
      </c>
      <c r="C489">
        <v>32.356000000000002</v>
      </c>
    </row>
    <row r="490" spans="1:3" x14ac:dyDescent="0.25">
      <c r="A490" t="s">
        <v>488</v>
      </c>
      <c r="B490">
        <v>18</v>
      </c>
      <c r="C490">
        <v>34.508000000000003</v>
      </c>
    </row>
    <row r="491" spans="1:3" x14ac:dyDescent="0.25">
      <c r="A491" t="s">
        <v>489</v>
      </c>
      <c r="B491">
        <v>6</v>
      </c>
      <c r="C491">
        <v>15.18</v>
      </c>
    </row>
    <row r="492" spans="1:3" x14ac:dyDescent="0.25">
      <c r="A492" t="s">
        <v>490</v>
      </c>
      <c r="B492">
        <v>12</v>
      </c>
      <c r="C492">
        <v>26.324999999999999</v>
      </c>
    </row>
    <row r="493" spans="1:3" x14ac:dyDescent="0.25">
      <c r="A493" t="s">
        <v>491</v>
      </c>
      <c r="B493">
        <v>39</v>
      </c>
      <c r="C493">
        <v>75.825999999999993</v>
      </c>
    </row>
    <row r="494" spans="1:3" x14ac:dyDescent="0.25">
      <c r="A494" t="s">
        <v>492</v>
      </c>
      <c r="B494">
        <v>25</v>
      </c>
      <c r="C494">
        <v>54.908999999999999</v>
      </c>
    </row>
    <row r="495" spans="1:3" x14ac:dyDescent="0.25">
      <c r="A495" t="s">
        <v>493</v>
      </c>
      <c r="B495">
        <v>21</v>
      </c>
      <c r="C495">
        <v>49.134999999999998</v>
      </c>
    </row>
    <row r="496" spans="1:3" x14ac:dyDescent="0.25">
      <c r="A496" t="s">
        <v>494</v>
      </c>
      <c r="B496">
        <v>9</v>
      </c>
      <c r="C496">
        <v>8.2739999999999991</v>
      </c>
    </row>
    <row r="497" spans="1:3" x14ac:dyDescent="0.25">
      <c r="A497" t="s">
        <v>495</v>
      </c>
      <c r="B497">
        <v>4</v>
      </c>
      <c r="C497">
        <v>10.119999999999999</v>
      </c>
    </row>
    <row r="498" spans="1:3" x14ac:dyDescent="0.25">
      <c r="A498" t="s">
        <v>496</v>
      </c>
      <c r="B498">
        <v>20</v>
      </c>
      <c r="C498">
        <v>35.881</v>
      </c>
    </row>
    <row r="499" spans="1:3" x14ac:dyDescent="0.25">
      <c r="A499" t="s">
        <v>497</v>
      </c>
      <c r="B499">
        <v>24</v>
      </c>
      <c r="C499">
        <v>48.128999999999998</v>
      </c>
    </row>
    <row r="500" spans="1:3" x14ac:dyDescent="0.25">
      <c r="A500" t="s">
        <v>498</v>
      </c>
      <c r="B500">
        <v>27</v>
      </c>
      <c r="C500">
        <v>51.792000000000002</v>
      </c>
    </row>
    <row r="501" spans="1:3" x14ac:dyDescent="0.25">
      <c r="A501" t="s">
        <v>499</v>
      </c>
      <c r="B501">
        <v>9</v>
      </c>
      <c r="C501">
        <v>20.16</v>
      </c>
    </row>
    <row r="502" spans="1:3" x14ac:dyDescent="0.25">
      <c r="A502" t="s">
        <v>500</v>
      </c>
      <c r="B502">
        <v>9</v>
      </c>
      <c r="C502">
        <v>20.16</v>
      </c>
    </row>
    <row r="503" spans="1:3" x14ac:dyDescent="0.25">
      <c r="A503" t="s">
        <v>501</v>
      </c>
      <c r="B503">
        <v>24</v>
      </c>
      <c r="C503">
        <v>62.347999999999999</v>
      </c>
    </row>
    <row r="504" spans="1:3" x14ac:dyDescent="0.25">
      <c r="A504" t="s">
        <v>502</v>
      </c>
      <c r="B504">
        <v>11</v>
      </c>
      <c r="C504">
        <v>31.350999999999999</v>
      </c>
    </row>
    <row r="505" spans="1:3" x14ac:dyDescent="0.25">
      <c r="A505" t="s">
        <v>503</v>
      </c>
      <c r="B505">
        <v>25</v>
      </c>
      <c r="C505">
        <v>75.938999999999993</v>
      </c>
    </row>
    <row r="506" spans="1:3" x14ac:dyDescent="0.25">
      <c r="A506" t="s">
        <v>504</v>
      </c>
      <c r="B506">
        <v>28</v>
      </c>
      <c r="C506">
        <v>66.537000000000006</v>
      </c>
    </row>
    <row r="507" spans="1:3" x14ac:dyDescent="0.25">
      <c r="A507" t="s">
        <v>505</v>
      </c>
      <c r="B507">
        <v>25</v>
      </c>
      <c r="C507">
        <v>63.863</v>
      </c>
    </row>
    <row r="508" spans="1:3" x14ac:dyDescent="0.25">
      <c r="A508" t="s">
        <v>506</v>
      </c>
      <c r="B508">
        <v>12</v>
      </c>
      <c r="C508">
        <v>27.015999999999998</v>
      </c>
    </row>
    <row r="509" spans="1:3" x14ac:dyDescent="0.25">
      <c r="A509" t="s">
        <v>507</v>
      </c>
      <c r="B509">
        <v>49</v>
      </c>
      <c r="C509">
        <v>127.202</v>
      </c>
    </row>
    <row r="510" spans="1:3" x14ac:dyDescent="0.25">
      <c r="A510" t="s">
        <v>508</v>
      </c>
      <c r="B510">
        <v>11</v>
      </c>
      <c r="C510">
        <v>18.303000000000001</v>
      </c>
    </row>
    <row r="511" spans="1:3" x14ac:dyDescent="0.25">
      <c r="A511" t="s">
        <v>509</v>
      </c>
      <c r="B511">
        <v>12</v>
      </c>
      <c r="C511">
        <v>24.396000000000001</v>
      </c>
    </row>
    <row r="512" spans="1:3" x14ac:dyDescent="0.25">
      <c r="A512" t="s">
        <v>510</v>
      </c>
      <c r="B512">
        <v>12</v>
      </c>
      <c r="C512">
        <v>22.196000000000002</v>
      </c>
    </row>
    <row r="513" spans="1:3" x14ac:dyDescent="0.25">
      <c r="A513" t="s">
        <v>511</v>
      </c>
      <c r="B513">
        <v>32</v>
      </c>
      <c r="C513">
        <v>66.837000000000003</v>
      </c>
    </row>
    <row r="514" spans="1:3" x14ac:dyDescent="0.25">
      <c r="A514" t="s">
        <v>512</v>
      </c>
      <c r="B514">
        <v>2</v>
      </c>
      <c r="C514">
        <v>5.0599999999999996</v>
      </c>
    </row>
    <row r="515" spans="1:3" x14ac:dyDescent="0.25">
      <c r="A515" t="s">
        <v>513</v>
      </c>
      <c r="B515">
        <v>15</v>
      </c>
      <c r="C515">
        <v>32.085000000000001</v>
      </c>
    </row>
    <row r="516" spans="1:3" x14ac:dyDescent="0.25">
      <c r="A516" t="s">
        <v>514</v>
      </c>
      <c r="B516">
        <v>11</v>
      </c>
      <c r="C516">
        <v>31.350999999999999</v>
      </c>
    </row>
    <row r="517" spans="1:3" x14ac:dyDescent="0.25">
      <c r="A517" t="s">
        <v>515</v>
      </c>
      <c r="B517">
        <v>25</v>
      </c>
      <c r="C517">
        <v>75.938999999999993</v>
      </c>
    </row>
    <row r="518" spans="1:3" x14ac:dyDescent="0.25">
      <c r="A518" t="s">
        <v>516</v>
      </c>
      <c r="B518">
        <v>28</v>
      </c>
      <c r="C518">
        <v>66.537000000000006</v>
      </c>
    </row>
    <row r="519" spans="1:3" x14ac:dyDescent="0.25">
      <c r="A519" t="s">
        <v>517</v>
      </c>
      <c r="B519">
        <v>13</v>
      </c>
      <c r="C519">
        <v>36.015999999999998</v>
      </c>
    </row>
    <row r="520" spans="1:3" x14ac:dyDescent="0.25">
      <c r="A520" t="s">
        <v>518</v>
      </c>
      <c r="B520">
        <v>20</v>
      </c>
      <c r="C520">
        <v>40.945</v>
      </c>
    </row>
    <row r="521" spans="1:3" x14ac:dyDescent="0.25">
      <c r="A521" t="s">
        <v>519</v>
      </c>
      <c r="B521">
        <v>4</v>
      </c>
      <c r="C521">
        <v>10.119999999999999</v>
      </c>
    </row>
    <row r="522" spans="1:3" x14ac:dyDescent="0.25">
      <c r="A522" t="s">
        <v>520</v>
      </c>
      <c r="B522">
        <v>15</v>
      </c>
      <c r="C522">
        <v>32.085000000000001</v>
      </c>
    </row>
    <row r="523" spans="1:3" x14ac:dyDescent="0.25">
      <c r="A523" t="s">
        <v>521</v>
      </c>
      <c r="B523">
        <v>10</v>
      </c>
      <c r="C523">
        <v>17.135999999999999</v>
      </c>
    </row>
    <row r="524" spans="1:3" x14ac:dyDescent="0.25">
      <c r="A524" t="s">
        <v>522</v>
      </c>
      <c r="B524">
        <v>32</v>
      </c>
      <c r="C524">
        <v>66.837000000000003</v>
      </c>
    </row>
    <row r="525" spans="1:3" x14ac:dyDescent="0.25">
      <c r="A525" t="s">
        <v>523</v>
      </c>
      <c r="B525">
        <v>17</v>
      </c>
      <c r="C525">
        <v>33.482999999999997</v>
      </c>
    </row>
    <row r="526" spans="1:3" x14ac:dyDescent="0.25">
      <c r="A526" t="s">
        <v>524</v>
      </c>
      <c r="B526">
        <v>12</v>
      </c>
      <c r="C526">
        <v>24.396000000000001</v>
      </c>
    </row>
    <row r="527" spans="1:3" x14ac:dyDescent="0.25">
      <c r="A527" t="s">
        <v>525</v>
      </c>
      <c r="B527">
        <v>23</v>
      </c>
      <c r="C527">
        <v>49.045000000000002</v>
      </c>
    </row>
    <row r="528" spans="1:3" x14ac:dyDescent="0.25">
      <c r="A528" t="s">
        <v>526</v>
      </c>
      <c r="B528">
        <v>19</v>
      </c>
      <c r="C528">
        <v>43.271000000000001</v>
      </c>
    </row>
    <row r="529" spans="1:3" x14ac:dyDescent="0.25">
      <c r="A529" t="s">
        <v>527</v>
      </c>
      <c r="B529">
        <v>9</v>
      </c>
      <c r="C529">
        <v>8.2739999999999991</v>
      </c>
    </row>
    <row r="530" spans="1:3" x14ac:dyDescent="0.25">
      <c r="A530" t="s">
        <v>528</v>
      </c>
      <c r="B530">
        <v>14</v>
      </c>
      <c r="C530">
        <v>35.39</v>
      </c>
    </row>
    <row r="531" spans="1:3" x14ac:dyDescent="0.25">
      <c r="A531" t="s">
        <v>529</v>
      </c>
      <c r="B531">
        <v>10</v>
      </c>
      <c r="C531">
        <v>26.957999999999998</v>
      </c>
    </row>
    <row r="532" spans="1:3" x14ac:dyDescent="0.25">
      <c r="A532" t="s">
        <v>530</v>
      </c>
      <c r="B532">
        <v>15</v>
      </c>
      <c r="C532">
        <v>36.783999999999999</v>
      </c>
    </row>
    <row r="533" spans="1:3" x14ac:dyDescent="0.25">
      <c r="A533" t="s">
        <v>531</v>
      </c>
      <c r="B533">
        <v>47</v>
      </c>
      <c r="C533">
        <v>89.801000000000002</v>
      </c>
    </row>
    <row r="534" spans="1:3" x14ac:dyDescent="0.25">
      <c r="A534" t="s">
        <v>532</v>
      </c>
      <c r="B534">
        <v>26</v>
      </c>
      <c r="C534">
        <v>62.347999999999999</v>
      </c>
    </row>
    <row r="535" spans="1:3" x14ac:dyDescent="0.25">
      <c r="A535" t="s">
        <v>533</v>
      </c>
      <c r="B535">
        <v>20</v>
      </c>
      <c r="C535">
        <v>48.055</v>
      </c>
    </row>
    <row r="536" spans="1:3" x14ac:dyDescent="0.25">
      <c r="A536" t="s">
        <v>534</v>
      </c>
      <c r="B536">
        <v>9</v>
      </c>
      <c r="C536">
        <v>20.16</v>
      </c>
    </row>
    <row r="537" spans="1:3" x14ac:dyDescent="0.25">
      <c r="A537" t="s">
        <v>535</v>
      </c>
      <c r="B537">
        <v>6</v>
      </c>
      <c r="C537">
        <v>15.18</v>
      </c>
    </row>
    <row r="538" spans="1:3" x14ac:dyDescent="0.25">
      <c r="A538" t="s">
        <v>536</v>
      </c>
      <c r="B538">
        <v>47</v>
      </c>
      <c r="C538">
        <v>98.155000000000001</v>
      </c>
    </row>
    <row r="539" spans="1:3" x14ac:dyDescent="0.25">
      <c r="A539" t="s">
        <v>537</v>
      </c>
      <c r="B539">
        <v>18</v>
      </c>
      <c r="C539">
        <v>41.713999999999999</v>
      </c>
    </row>
    <row r="540" spans="1:3" x14ac:dyDescent="0.25">
      <c r="A540" t="s">
        <v>538</v>
      </c>
      <c r="B540">
        <v>18</v>
      </c>
      <c r="C540">
        <v>49.21</v>
      </c>
    </row>
    <row r="541" spans="1:3" x14ac:dyDescent="0.25">
      <c r="A541" t="s">
        <v>539</v>
      </c>
      <c r="B541">
        <v>16</v>
      </c>
      <c r="C541">
        <v>44.834000000000003</v>
      </c>
    </row>
    <row r="542" spans="1:3" x14ac:dyDescent="0.25">
      <c r="A542" t="s">
        <v>540</v>
      </c>
      <c r="B542">
        <v>16</v>
      </c>
      <c r="C542">
        <v>32.347999999999999</v>
      </c>
    </row>
    <row r="543" spans="1:3" x14ac:dyDescent="0.25">
      <c r="A543" t="s">
        <v>541</v>
      </c>
      <c r="B543">
        <v>10</v>
      </c>
      <c r="C543">
        <v>16.614000000000001</v>
      </c>
    </row>
    <row r="544" spans="1:3" x14ac:dyDescent="0.25">
      <c r="A544" t="s">
        <v>542</v>
      </c>
      <c r="B544">
        <v>20</v>
      </c>
      <c r="C544">
        <v>49.023000000000003</v>
      </c>
    </row>
    <row r="545" spans="1:3" x14ac:dyDescent="0.25">
      <c r="A545" t="s">
        <v>543</v>
      </c>
      <c r="B545">
        <v>13</v>
      </c>
      <c r="C545">
        <v>28.209</v>
      </c>
    </row>
    <row r="546" spans="1:3" x14ac:dyDescent="0.25">
      <c r="A546" t="s">
        <v>544</v>
      </c>
      <c r="B546">
        <v>16</v>
      </c>
      <c r="C546">
        <v>43.401000000000003</v>
      </c>
    </row>
    <row r="547" spans="1:3" x14ac:dyDescent="0.25">
      <c r="A547" t="s">
        <v>545</v>
      </c>
      <c r="B547">
        <v>9</v>
      </c>
      <c r="C547">
        <v>18.954000000000001</v>
      </c>
    </row>
    <row r="548" spans="1:3" x14ac:dyDescent="0.25">
      <c r="A548" t="s">
        <v>546</v>
      </c>
      <c r="B548">
        <v>10</v>
      </c>
      <c r="C548">
        <v>21.553999999999998</v>
      </c>
    </row>
    <row r="549" spans="1:3" x14ac:dyDescent="0.25">
      <c r="A549" t="s">
        <v>547</v>
      </c>
      <c r="B549">
        <v>6</v>
      </c>
      <c r="C549">
        <v>15.518000000000001</v>
      </c>
    </row>
    <row r="550" spans="1:3" x14ac:dyDescent="0.25">
      <c r="A550" t="s">
        <v>548</v>
      </c>
      <c r="B550">
        <v>17</v>
      </c>
      <c r="C550">
        <v>42.648000000000003</v>
      </c>
    </row>
    <row r="551" spans="1:3" x14ac:dyDescent="0.25">
      <c r="A551" t="s">
        <v>549</v>
      </c>
      <c r="B551">
        <v>15</v>
      </c>
      <c r="C551">
        <v>36.783999999999999</v>
      </c>
    </row>
    <row r="552" spans="1:3" x14ac:dyDescent="0.25">
      <c r="A552" t="s">
        <v>550</v>
      </c>
      <c r="B552">
        <v>22</v>
      </c>
      <c r="C552">
        <v>49.863999999999997</v>
      </c>
    </row>
    <row r="553" spans="1:3" x14ac:dyDescent="0.25">
      <c r="A553" t="s">
        <v>551</v>
      </c>
      <c r="B553">
        <v>12</v>
      </c>
      <c r="C553">
        <v>35.183999999999997</v>
      </c>
    </row>
    <row r="554" spans="1:3" x14ac:dyDescent="0.25">
      <c r="A554" t="s">
        <v>552</v>
      </c>
      <c r="B554">
        <v>19</v>
      </c>
      <c r="C554">
        <v>42.204999999999998</v>
      </c>
    </row>
    <row r="555" spans="1:3" x14ac:dyDescent="0.25">
      <c r="A555" t="s">
        <v>553</v>
      </c>
      <c r="B555">
        <v>19</v>
      </c>
      <c r="C555">
        <v>36.343000000000004</v>
      </c>
    </row>
    <row r="556" spans="1:3" x14ac:dyDescent="0.25">
      <c r="A556" t="s">
        <v>554</v>
      </c>
      <c r="B556">
        <v>14</v>
      </c>
      <c r="C556">
        <v>27.266999999999999</v>
      </c>
    </row>
    <row r="557" spans="1:3" x14ac:dyDescent="0.25">
      <c r="A557" t="s">
        <v>555</v>
      </c>
      <c r="B557">
        <v>16</v>
      </c>
      <c r="C557">
        <v>37.521999999999998</v>
      </c>
    </row>
    <row r="558" spans="1:3" x14ac:dyDescent="0.25">
      <c r="A558" t="s">
        <v>556</v>
      </c>
      <c r="B558">
        <v>25</v>
      </c>
      <c r="C558">
        <v>54.908999999999999</v>
      </c>
    </row>
    <row r="559" spans="1:3" x14ac:dyDescent="0.25">
      <c r="A559" t="s">
        <v>557</v>
      </c>
      <c r="B559">
        <v>21</v>
      </c>
      <c r="C559">
        <v>49.134999999999998</v>
      </c>
    </row>
    <row r="560" spans="1:3" x14ac:dyDescent="0.25">
      <c r="A560" t="s">
        <v>558</v>
      </c>
      <c r="B560">
        <v>9</v>
      </c>
      <c r="C560">
        <v>8.2739999999999991</v>
      </c>
    </row>
    <row r="561" spans="1:3" x14ac:dyDescent="0.25">
      <c r="A561" t="s">
        <v>559</v>
      </c>
      <c r="B561">
        <v>18</v>
      </c>
      <c r="C561">
        <v>50.414000000000001</v>
      </c>
    </row>
    <row r="562" spans="1:3" x14ac:dyDescent="0.25">
      <c r="A562" t="s">
        <v>560</v>
      </c>
      <c r="B562">
        <v>6</v>
      </c>
      <c r="C562">
        <v>15.8</v>
      </c>
    </row>
    <row r="563" spans="1:3" x14ac:dyDescent="0.25">
      <c r="A563" t="s">
        <v>561</v>
      </c>
      <c r="B563">
        <v>16</v>
      </c>
      <c r="C563">
        <v>34.311999999999998</v>
      </c>
    </row>
    <row r="564" spans="1:3" x14ac:dyDescent="0.25">
      <c r="A564" t="s">
        <v>562</v>
      </c>
      <c r="B564">
        <v>49</v>
      </c>
      <c r="C564">
        <v>95.263000000000005</v>
      </c>
    </row>
    <row r="565" spans="1:3" x14ac:dyDescent="0.25">
      <c r="A565" t="s">
        <v>563</v>
      </c>
      <c r="B565">
        <v>6</v>
      </c>
      <c r="C565">
        <v>17.591999999999999</v>
      </c>
    </row>
    <row r="566" spans="1:3" x14ac:dyDescent="0.25">
      <c r="A566" t="s">
        <v>564</v>
      </c>
      <c r="B566">
        <v>2</v>
      </c>
      <c r="C566">
        <v>1.49</v>
      </c>
    </row>
    <row r="567" spans="1:3" x14ac:dyDescent="0.25">
      <c r="A567" t="s">
        <v>565</v>
      </c>
      <c r="B567">
        <v>17</v>
      </c>
      <c r="C567">
        <v>19.93</v>
      </c>
    </row>
    <row r="568" spans="1:3" x14ac:dyDescent="0.25">
      <c r="A568" t="s">
        <v>566</v>
      </c>
      <c r="B568">
        <v>11</v>
      </c>
      <c r="C568">
        <v>14.39</v>
      </c>
    </row>
    <row r="569" spans="1:3" x14ac:dyDescent="0.25">
      <c r="A569" t="s">
        <v>567</v>
      </c>
      <c r="B569">
        <v>36</v>
      </c>
      <c r="C569">
        <v>51.811999999999998</v>
      </c>
    </row>
    <row r="570" spans="1:3" x14ac:dyDescent="0.25">
      <c r="A570" t="s">
        <v>568</v>
      </c>
      <c r="B570">
        <v>26</v>
      </c>
      <c r="C570">
        <v>24.882000000000001</v>
      </c>
    </row>
    <row r="571" spans="1:3" x14ac:dyDescent="0.25">
      <c r="A571" t="s">
        <v>569</v>
      </c>
      <c r="B571">
        <v>8</v>
      </c>
      <c r="C571">
        <v>7.5220000000000002</v>
      </c>
    </row>
    <row r="572" spans="1:3" x14ac:dyDescent="0.25">
      <c r="A572" t="s">
        <v>570</v>
      </c>
      <c r="B572">
        <v>12</v>
      </c>
      <c r="C572">
        <v>11.5</v>
      </c>
    </row>
    <row r="573" spans="1:3" x14ac:dyDescent="0.25">
      <c r="A573" t="s">
        <v>571</v>
      </c>
      <c r="B573">
        <v>35</v>
      </c>
      <c r="C573">
        <v>74.546999999999997</v>
      </c>
    </row>
    <row r="574" spans="1:3" x14ac:dyDescent="0.25">
      <c r="A574" t="s">
        <v>572</v>
      </c>
      <c r="B574">
        <v>9</v>
      </c>
      <c r="C574">
        <v>22.954999999999998</v>
      </c>
    </row>
    <row r="575" spans="1:3" x14ac:dyDescent="0.25">
      <c r="A575" t="s">
        <v>573</v>
      </c>
      <c r="B575">
        <v>35</v>
      </c>
      <c r="C575">
        <v>67.864999999999995</v>
      </c>
    </row>
    <row r="576" spans="1:3" x14ac:dyDescent="0.25">
      <c r="A576" t="s">
        <v>574</v>
      </c>
      <c r="B576">
        <v>24</v>
      </c>
      <c r="C576">
        <v>47.558999999999997</v>
      </c>
    </row>
    <row r="577" spans="1:3" x14ac:dyDescent="0.25">
      <c r="A577" t="s">
        <v>575</v>
      </c>
      <c r="B577">
        <v>28</v>
      </c>
      <c r="C577">
        <v>45.228999999999999</v>
      </c>
    </row>
    <row r="578" spans="1:3" x14ac:dyDescent="0.25">
      <c r="A578" t="s">
        <v>576</v>
      </c>
      <c r="B578">
        <v>17</v>
      </c>
      <c r="C578">
        <v>33.332000000000001</v>
      </c>
    </row>
    <row r="579" spans="1:3" x14ac:dyDescent="0.25">
      <c r="A579" t="s">
        <v>577</v>
      </c>
      <c r="B579">
        <v>31</v>
      </c>
      <c r="C579">
        <v>61.533000000000001</v>
      </c>
    </row>
    <row r="580" spans="1:3" x14ac:dyDescent="0.25">
      <c r="A580" t="s">
        <v>578</v>
      </c>
      <c r="B580">
        <v>33</v>
      </c>
      <c r="C580">
        <v>66.593000000000004</v>
      </c>
    </row>
    <row r="581" spans="1:3" x14ac:dyDescent="0.25">
      <c r="A581" t="s">
        <v>579</v>
      </c>
      <c r="B581">
        <v>13</v>
      </c>
      <c r="C581">
        <v>36.344000000000001</v>
      </c>
    </row>
    <row r="582" spans="1:3" x14ac:dyDescent="0.25">
      <c r="A582" t="s">
        <v>580</v>
      </c>
      <c r="B582">
        <v>25</v>
      </c>
      <c r="C582">
        <v>64.677000000000007</v>
      </c>
    </row>
    <row r="583" spans="1:3" x14ac:dyDescent="0.25">
      <c r="A583" t="s">
        <v>581</v>
      </c>
      <c r="B583">
        <v>32</v>
      </c>
      <c r="C583">
        <v>69.126000000000005</v>
      </c>
    </row>
    <row r="584" spans="1:3" x14ac:dyDescent="0.25">
      <c r="A584" t="s">
        <v>582</v>
      </c>
      <c r="B584">
        <v>28</v>
      </c>
      <c r="C584">
        <v>63.116999999999997</v>
      </c>
    </row>
    <row r="585" spans="1:3" x14ac:dyDescent="0.25">
      <c r="A585" t="s">
        <v>583</v>
      </c>
      <c r="B585">
        <v>13</v>
      </c>
      <c r="C585">
        <v>33.962000000000003</v>
      </c>
    </row>
    <row r="586" spans="1:3" x14ac:dyDescent="0.25">
      <c r="A586" t="s">
        <v>584</v>
      </c>
      <c r="B586">
        <v>18</v>
      </c>
      <c r="C586">
        <v>37.375999999999998</v>
      </c>
    </row>
    <row r="587" spans="1:3" x14ac:dyDescent="0.25">
      <c r="A587" t="s">
        <v>585</v>
      </c>
      <c r="B587">
        <v>34</v>
      </c>
      <c r="C587">
        <v>70.433000000000007</v>
      </c>
    </row>
    <row r="588" spans="1:3" x14ac:dyDescent="0.25">
      <c r="A588" t="s">
        <v>586</v>
      </c>
      <c r="B588">
        <v>10</v>
      </c>
      <c r="C588">
        <v>25.3</v>
      </c>
    </row>
    <row r="589" spans="1:3" x14ac:dyDescent="0.25">
      <c r="A589" t="s">
        <v>587</v>
      </c>
      <c r="B589">
        <v>11</v>
      </c>
      <c r="C589">
        <v>21.965</v>
      </c>
    </row>
    <row r="590" spans="1:3" x14ac:dyDescent="0.25">
      <c r="A590" t="s">
        <v>588</v>
      </c>
      <c r="B590">
        <v>35</v>
      </c>
      <c r="C590">
        <v>67.132999999999996</v>
      </c>
    </row>
    <row r="591" spans="1:3" x14ac:dyDescent="0.25">
      <c r="A591" t="s">
        <v>589</v>
      </c>
      <c r="B591">
        <v>35</v>
      </c>
      <c r="C591">
        <v>67.864999999999995</v>
      </c>
    </row>
    <row r="592" spans="1:3" x14ac:dyDescent="0.25">
      <c r="A592" t="s">
        <v>590</v>
      </c>
      <c r="B592">
        <v>17</v>
      </c>
      <c r="C592">
        <v>31.794</v>
      </c>
    </row>
    <row r="593" spans="1:3" x14ac:dyDescent="0.25">
      <c r="A593" t="s">
        <v>591</v>
      </c>
      <c r="B593">
        <v>37</v>
      </c>
      <c r="C593">
        <v>72.192999999999998</v>
      </c>
    </row>
    <row r="594" spans="1:3" x14ac:dyDescent="0.25">
      <c r="A594" t="s">
        <v>592</v>
      </c>
      <c r="B594">
        <v>19</v>
      </c>
      <c r="C594">
        <v>32.279000000000003</v>
      </c>
    </row>
    <row r="595" spans="1:3" x14ac:dyDescent="0.25">
      <c r="A595" t="s">
        <v>593</v>
      </c>
      <c r="B595">
        <v>19</v>
      </c>
      <c r="C595">
        <v>32.279000000000003</v>
      </c>
    </row>
    <row r="596" spans="1:3" x14ac:dyDescent="0.25">
      <c r="A596" t="s">
        <v>594</v>
      </c>
      <c r="B596">
        <v>27</v>
      </c>
      <c r="C596">
        <v>60.773000000000003</v>
      </c>
    </row>
    <row r="597" spans="1:3" x14ac:dyDescent="0.25">
      <c r="A597" t="s">
        <v>595</v>
      </c>
      <c r="B597">
        <v>19</v>
      </c>
      <c r="C597">
        <v>43.271000000000001</v>
      </c>
    </row>
    <row r="598" spans="1:3" x14ac:dyDescent="0.25">
      <c r="A598" t="s">
        <v>596</v>
      </c>
      <c r="B598">
        <v>9</v>
      </c>
      <c r="C598">
        <v>8.2739999999999991</v>
      </c>
    </row>
    <row r="599" spans="1:3" x14ac:dyDescent="0.25">
      <c r="A599" t="s">
        <v>597</v>
      </c>
      <c r="B599">
        <v>20</v>
      </c>
      <c r="C599">
        <v>50.377000000000002</v>
      </c>
    </row>
    <row r="600" spans="1:3" x14ac:dyDescent="0.25">
      <c r="A600" t="s">
        <v>598</v>
      </c>
      <c r="B600">
        <v>40</v>
      </c>
      <c r="C600">
        <v>75.653999999999996</v>
      </c>
    </row>
    <row r="601" spans="1:3" x14ac:dyDescent="0.25">
      <c r="A601" t="s">
        <v>599</v>
      </c>
      <c r="B601">
        <v>27</v>
      </c>
      <c r="C601">
        <v>64.239000000000004</v>
      </c>
    </row>
    <row r="602" spans="1:3" x14ac:dyDescent="0.25">
      <c r="A602" t="s">
        <v>600</v>
      </c>
      <c r="B602">
        <v>31</v>
      </c>
      <c r="C602">
        <v>79.465999999999994</v>
      </c>
    </row>
    <row r="603" spans="1:3" x14ac:dyDescent="0.25">
      <c r="A603" t="s">
        <v>601</v>
      </c>
      <c r="B603">
        <v>25</v>
      </c>
      <c r="C603">
        <v>57.131</v>
      </c>
    </row>
    <row r="604" spans="1:3" x14ac:dyDescent="0.25">
      <c r="A604" t="s">
        <v>602</v>
      </c>
      <c r="B604">
        <v>9</v>
      </c>
      <c r="C604">
        <v>23.623999999999999</v>
      </c>
    </row>
    <row r="605" spans="1:3" x14ac:dyDescent="0.25">
      <c r="A605" t="s">
        <v>603</v>
      </c>
      <c r="B605">
        <v>21</v>
      </c>
      <c r="C605">
        <v>52.868000000000002</v>
      </c>
    </row>
    <row r="606" spans="1:3" x14ac:dyDescent="0.25">
      <c r="A606" t="s">
        <v>604</v>
      </c>
      <c r="B606">
        <v>28</v>
      </c>
      <c r="C606">
        <v>60.155999999999999</v>
      </c>
    </row>
    <row r="607" spans="1:3" x14ac:dyDescent="0.25">
      <c r="A607" t="s">
        <v>605</v>
      </c>
      <c r="B607">
        <v>12</v>
      </c>
      <c r="C607">
        <v>29.920999999999999</v>
      </c>
    </row>
    <row r="608" spans="1:3" x14ac:dyDescent="0.25">
      <c r="A608" t="s">
        <v>606</v>
      </c>
      <c r="B608">
        <v>39</v>
      </c>
      <c r="C608">
        <v>91.834999999999994</v>
      </c>
    </row>
    <row r="609" spans="1:3" x14ac:dyDescent="0.25">
      <c r="A609" t="s">
        <v>607</v>
      </c>
      <c r="B609">
        <v>16</v>
      </c>
      <c r="C609">
        <v>31.452000000000002</v>
      </c>
    </row>
    <row r="610" spans="1:3" x14ac:dyDescent="0.25">
      <c r="A610" t="s">
        <v>608</v>
      </c>
      <c r="B610">
        <v>12</v>
      </c>
      <c r="C610">
        <v>24.396000000000001</v>
      </c>
    </row>
    <row r="611" spans="1:3" x14ac:dyDescent="0.25">
      <c r="A611" t="s">
        <v>609</v>
      </c>
      <c r="B611">
        <v>14</v>
      </c>
      <c r="C611">
        <v>27.256</v>
      </c>
    </row>
    <row r="612" spans="1:3" x14ac:dyDescent="0.25">
      <c r="A612" t="s">
        <v>610</v>
      </c>
      <c r="B612">
        <v>32</v>
      </c>
      <c r="C612">
        <v>66.837000000000003</v>
      </c>
    </row>
    <row r="613" spans="1:3" x14ac:dyDescent="0.25">
      <c r="A613" t="s">
        <v>611</v>
      </c>
      <c r="B613">
        <v>2</v>
      </c>
      <c r="C613">
        <v>5.0599999999999996</v>
      </c>
    </row>
    <row r="614" spans="1:3" x14ac:dyDescent="0.25">
      <c r="A614" t="s">
        <v>612</v>
      </c>
      <c r="B614">
        <v>15</v>
      </c>
      <c r="C614">
        <v>32.085000000000001</v>
      </c>
    </row>
    <row r="615" spans="1:3" x14ac:dyDescent="0.25">
      <c r="A615" t="s">
        <v>613</v>
      </c>
      <c r="B615">
        <v>25</v>
      </c>
      <c r="C615">
        <v>54.908999999999999</v>
      </c>
    </row>
    <row r="616" spans="1:3" x14ac:dyDescent="0.25">
      <c r="A616" t="s">
        <v>614</v>
      </c>
      <c r="B616">
        <v>21</v>
      </c>
      <c r="C616">
        <v>49.134999999999998</v>
      </c>
    </row>
    <row r="617" spans="1:3" x14ac:dyDescent="0.25">
      <c r="A617" t="s">
        <v>615</v>
      </c>
      <c r="B617">
        <v>9</v>
      </c>
      <c r="C617">
        <v>8.2739999999999991</v>
      </c>
    </row>
    <row r="618" spans="1:3" x14ac:dyDescent="0.25">
      <c r="A618" t="s">
        <v>616</v>
      </c>
      <c r="B618">
        <v>13</v>
      </c>
      <c r="C618">
        <v>31.358000000000001</v>
      </c>
    </row>
    <row r="619" spans="1:3" x14ac:dyDescent="0.25">
      <c r="A619" t="s">
        <v>617</v>
      </c>
      <c r="B619">
        <v>23</v>
      </c>
      <c r="C619">
        <v>40.499000000000002</v>
      </c>
    </row>
    <row r="620" spans="1:3" x14ac:dyDescent="0.25">
      <c r="A620" t="s">
        <v>618</v>
      </c>
      <c r="B620">
        <v>30</v>
      </c>
      <c r="C620">
        <v>63.308999999999997</v>
      </c>
    </row>
    <row r="621" spans="1:3" x14ac:dyDescent="0.25">
      <c r="A621" t="s">
        <v>619</v>
      </c>
      <c r="B621">
        <v>26</v>
      </c>
      <c r="C621">
        <v>51.491999999999997</v>
      </c>
    </row>
    <row r="622" spans="1:3" x14ac:dyDescent="0.25">
      <c r="A622" t="s">
        <v>620</v>
      </c>
      <c r="B622">
        <v>9</v>
      </c>
      <c r="C622">
        <v>20.16</v>
      </c>
    </row>
    <row r="623" spans="1:3" x14ac:dyDescent="0.25">
      <c r="A623" t="s">
        <v>621</v>
      </c>
      <c r="B623">
        <v>18</v>
      </c>
      <c r="C623">
        <v>36.512</v>
      </c>
    </row>
    <row r="624" spans="1:3" x14ac:dyDescent="0.25">
      <c r="A624" t="s">
        <v>622</v>
      </c>
      <c r="B624">
        <v>6</v>
      </c>
      <c r="C624">
        <v>9.2159999999999993</v>
      </c>
    </row>
    <row r="625" spans="1:3" x14ac:dyDescent="0.25">
      <c r="A625" t="s">
        <v>623</v>
      </c>
      <c r="B625">
        <v>13</v>
      </c>
      <c r="C625">
        <v>36.344000000000001</v>
      </c>
    </row>
    <row r="626" spans="1:3" x14ac:dyDescent="0.25">
      <c r="A626" t="s">
        <v>624</v>
      </c>
      <c r="B626">
        <v>21</v>
      </c>
      <c r="C626">
        <v>54.488</v>
      </c>
    </row>
    <row r="627" spans="1:3" x14ac:dyDescent="0.25">
      <c r="A627" t="s">
        <v>625</v>
      </c>
      <c r="B627">
        <v>29</v>
      </c>
      <c r="C627">
        <v>66.837000000000003</v>
      </c>
    </row>
    <row r="628" spans="1:3" x14ac:dyDescent="0.25">
      <c r="A628" t="s">
        <v>626</v>
      </c>
      <c r="B628">
        <v>17</v>
      </c>
      <c r="C628">
        <v>43.863999999999997</v>
      </c>
    </row>
    <row r="629" spans="1:3" x14ac:dyDescent="0.25">
      <c r="A629" t="s">
        <v>627</v>
      </c>
      <c r="B629">
        <v>26</v>
      </c>
      <c r="C629">
        <v>57.002000000000002</v>
      </c>
    </row>
    <row r="630" spans="1:3" x14ac:dyDescent="0.25">
      <c r="A630" t="s">
        <v>628</v>
      </c>
      <c r="B630">
        <v>20</v>
      </c>
      <c r="C630">
        <v>43.085999999999999</v>
      </c>
    </row>
    <row r="631" spans="1:3" x14ac:dyDescent="0.25">
      <c r="A631" t="s">
        <v>629</v>
      </c>
      <c r="B631">
        <v>30</v>
      </c>
      <c r="C631">
        <v>61.777000000000001</v>
      </c>
    </row>
    <row r="632" spans="1:3" x14ac:dyDescent="0.25">
      <c r="A632" t="s">
        <v>630</v>
      </c>
      <c r="B632">
        <v>8</v>
      </c>
      <c r="C632">
        <v>20.239999999999998</v>
      </c>
    </row>
    <row r="633" spans="1:3" x14ac:dyDescent="0.25">
      <c r="A633" t="s">
        <v>631</v>
      </c>
      <c r="B633">
        <v>15</v>
      </c>
      <c r="C633">
        <v>32.085000000000001</v>
      </c>
    </row>
    <row r="634" spans="1:3" x14ac:dyDescent="0.25">
      <c r="A634" t="s">
        <v>632</v>
      </c>
      <c r="B634">
        <v>25</v>
      </c>
      <c r="C634">
        <v>54.908999999999999</v>
      </c>
    </row>
    <row r="635" spans="1:3" x14ac:dyDescent="0.25">
      <c r="A635" t="s">
        <v>633</v>
      </c>
      <c r="B635">
        <v>21</v>
      </c>
      <c r="C635">
        <v>49.134999999999998</v>
      </c>
    </row>
    <row r="636" spans="1:3" x14ac:dyDescent="0.25">
      <c r="A636" t="s">
        <v>634</v>
      </c>
      <c r="B636">
        <v>9</v>
      </c>
      <c r="C636">
        <v>8.2739999999999991</v>
      </c>
    </row>
    <row r="637" spans="1:3" x14ac:dyDescent="0.25">
      <c r="A637" t="s">
        <v>635</v>
      </c>
      <c r="B637">
        <v>16</v>
      </c>
      <c r="C637">
        <v>39.146000000000001</v>
      </c>
    </row>
    <row r="638" spans="1:3" x14ac:dyDescent="0.25">
      <c r="A638" t="s">
        <v>636</v>
      </c>
      <c r="B638">
        <v>22</v>
      </c>
      <c r="C638">
        <v>56.484000000000002</v>
      </c>
    </row>
    <row r="639" spans="1:3" x14ac:dyDescent="0.25">
      <c r="A639" t="s">
        <v>637</v>
      </c>
      <c r="B639">
        <v>34</v>
      </c>
      <c r="C639">
        <v>79.751000000000005</v>
      </c>
    </row>
    <row r="640" spans="1:3" x14ac:dyDescent="0.25">
      <c r="A640" t="s">
        <v>638</v>
      </c>
      <c r="B640">
        <v>42</v>
      </c>
      <c r="C640">
        <v>81.412000000000006</v>
      </c>
    </row>
    <row r="641" spans="1:3" x14ac:dyDescent="0.25">
      <c r="A641" t="s">
        <v>639</v>
      </c>
      <c r="B641">
        <v>14</v>
      </c>
      <c r="C641">
        <v>33.281999999999996</v>
      </c>
    </row>
    <row r="642" spans="1:3" x14ac:dyDescent="0.25">
      <c r="A642" t="s">
        <v>640</v>
      </c>
      <c r="B642">
        <v>18</v>
      </c>
      <c r="C642">
        <v>37.520000000000003</v>
      </c>
    </row>
    <row r="643" spans="1:3" x14ac:dyDescent="0.25">
      <c r="A643" t="s">
        <v>641</v>
      </c>
      <c r="B643">
        <v>20</v>
      </c>
      <c r="C643">
        <v>36.646000000000001</v>
      </c>
    </row>
    <row r="644" spans="1:3" x14ac:dyDescent="0.25">
      <c r="A644" t="s">
        <v>642</v>
      </c>
      <c r="B644">
        <v>20</v>
      </c>
      <c r="C644">
        <v>36.646000000000001</v>
      </c>
    </row>
    <row r="645" spans="1:3" x14ac:dyDescent="0.25">
      <c r="A645" t="s">
        <v>643</v>
      </c>
      <c r="B645">
        <v>16</v>
      </c>
      <c r="C645">
        <v>25.643999999999998</v>
      </c>
    </row>
    <row r="646" spans="1:3" x14ac:dyDescent="0.25">
      <c r="A646" t="s">
        <v>644</v>
      </c>
      <c r="B646">
        <v>16</v>
      </c>
      <c r="C646">
        <v>25.643999999999998</v>
      </c>
    </row>
    <row r="647" spans="1:3" x14ac:dyDescent="0.25">
      <c r="A647" t="s">
        <v>645</v>
      </c>
      <c r="B647">
        <v>34</v>
      </c>
      <c r="C647">
        <v>10.77</v>
      </c>
    </row>
    <row r="648" spans="1:3" x14ac:dyDescent="0.25">
      <c r="A648" t="s">
        <v>646</v>
      </c>
      <c r="B648">
        <v>18</v>
      </c>
      <c r="C648">
        <v>32.317999999999998</v>
      </c>
    </row>
    <row r="649" spans="1:3" x14ac:dyDescent="0.25">
      <c r="A649" t="s">
        <v>647</v>
      </c>
      <c r="B649">
        <v>39</v>
      </c>
      <c r="C649">
        <v>105.598</v>
      </c>
    </row>
    <row r="650" spans="1:3" x14ac:dyDescent="0.25">
      <c r="A650" t="s">
        <v>648</v>
      </c>
      <c r="B650">
        <v>39</v>
      </c>
      <c r="C650">
        <v>78.186000000000007</v>
      </c>
    </row>
    <row r="651" spans="1:3" x14ac:dyDescent="0.25">
      <c r="A651" t="s">
        <v>649</v>
      </c>
      <c r="B651">
        <v>30</v>
      </c>
      <c r="C651">
        <v>56.872999999999998</v>
      </c>
    </row>
    <row r="652" spans="1:3" x14ac:dyDescent="0.25">
      <c r="A652" t="s">
        <v>650</v>
      </c>
      <c r="B652">
        <v>23</v>
      </c>
      <c r="C652">
        <v>42.37</v>
      </c>
    </row>
    <row r="653" spans="1:3" x14ac:dyDescent="0.25">
      <c r="A653" t="s">
        <v>651</v>
      </c>
      <c r="B653">
        <v>24</v>
      </c>
      <c r="C653">
        <v>42.67</v>
      </c>
    </row>
    <row r="654" spans="1:3" x14ac:dyDescent="0.25">
      <c r="A654" t="s">
        <v>652</v>
      </c>
      <c r="B654">
        <v>24</v>
      </c>
      <c r="C654">
        <v>42.67</v>
      </c>
    </row>
    <row r="655" spans="1:3" x14ac:dyDescent="0.25">
      <c r="A655" t="s">
        <v>653</v>
      </c>
      <c r="B655">
        <v>28</v>
      </c>
      <c r="C655">
        <v>52.79</v>
      </c>
    </row>
    <row r="656" spans="1:3" x14ac:dyDescent="0.25">
      <c r="A656" t="s">
        <v>654</v>
      </c>
      <c r="B656">
        <v>21</v>
      </c>
      <c r="C656">
        <v>37.31</v>
      </c>
    </row>
    <row r="657" spans="1:3" x14ac:dyDescent="0.25">
      <c r="A657" t="s">
        <v>655</v>
      </c>
      <c r="B657">
        <v>24</v>
      </c>
      <c r="C657">
        <v>42.67</v>
      </c>
    </row>
    <row r="658" spans="1:3" x14ac:dyDescent="0.25">
      <c r="A658" t="s">
        <v>656</v>
      </c>
      <c r="B658">
        <v>26</v>
      </c>
      <c r="C658">
        <v>47.73</v>
      </c>
    </row>
    <row r="659" spans="1:3" x14ac:dyDescent="0.25">
      <c r="A659" t="s">
        <v>657</v>
      </c>
      <c r="B659">
        <v>29</v>
      </c>
      <c r="C659">
        <v>55.95</v>
      </c>
    </row>
    <row r="660" spans="1:3" x14ac:dyDescent="0.25">
      <c r="A660" t="s">
        <v>658</v>
      </c>
      <c r="B660">
        <v>32</v>
      </c>
      <c r="C660">
        <v>77.872</v>
      </c>
    </row>
    <row r="661" spans="1:3" x14ac:dyDescent="0.25">
      <c r="A661" t="s">
        <v>659</v>
      </c>
      <c r="B661">
        <v>30</v>
      </c>
      <c r="C661">
        <v>56.872999999999998</v>
      </c>
    </row>
    <row r="662" spans="1:3" x14ac:dyDescent="0.25">
      <c r="A662" t="s">
        <v>660</v>
      </c>
      <c r="B662">
        <v>16</v>
      </c>
      <c r="C662">
        <v>30.661000000000001</v>
      </c>
    </row>
    <row r="663" spans="1:3" x14ac:dyDescent="0.25">
      <c r="A663" t="s">
        <v>661</v>
      </c>
      <c r="B663">
        <v>24</v>
      </c>
      <c r="C663">
        <v>47.524999999999999</v>
      </c>
    </row>
    <row r="664" spans="1:3" x14ac:dyDescent="0.25">
      <c r="A664" t="s">
        <v>662</v>
      </c>
      <c r="B664">
        <v>26</v>
      </c>
      <c r="C664">
        <v>47.73</v>
      </c>
    </row>
    <row r="665" spans="1:3" x14ac:dyDescent="0.25">
      <c r="A665" t="s">
        <v>663</v>
      </c>
      <c r="B665">
        <v>32</v>
      </c>
      <c r="C665">
        <v>61.933</v>
      </c>
    </row>
    <row r="666" spans="1:3" x14ac:dyDescent="0.25">
      <c r="A666" t="s">
        <v>664</v>
      </c>
      <c r="B666">
        <v>35</v>
      </c>
      <c r="C666">
        <v>68.066000000000003</v>
      </c>
    </row>
    <row r="667" spans="1:3" x14ac:dyDescent="0.25">
      <c r="A667" t="s">
        <v>665</v>
      </c>
      <c r="B667">
        <v>37</v>
      </c>
      <c r="C667">
        <v>81.376000000000005</v>
      </c>
    </row>
    <row r="668" spans="1:3" x14ac:dyDescent="0.25">
      <c r="A668" t="s">
        <v>666</v>
      </c>
      <c r="B668">
        <v>20</v>
      </c>
      <c r="C668">
        <v>48.569000000000003</v>
      </c>
    </row>
    <row r="669" spans="1:3" x14ac:dyDescent="0.25">
      <c r="A669" t="s">
        <v>667</v>
      </c>
      <c r="B669">
        <v>32</v>
      </c>
      <c r="C669">
        <v>61.933</v>
      </c>
    </row>
    <row r="670" spans="1:3" x14ac:dyDescent="0.25">
      <c r="A670" t="s">
        <v>668</v>
      </c>
      <c r="B670">
        <v>35</v>
      </c>
      <c r="C670">
        <v>68.066000000000003</v>
      </c>
    </row>
    <row r="671" spans="1:3" x14ac:dyDescent="0.25">
      <c r="A671" t="s">
        <v>669</v>
      </c>
      <c r="B671">
        <v>24</v>
      </c>
      <c r="C671">
        <v>42.67</v>
      </c>
    </row>
    <row r="672" spans="1:3" x14ac:dyDescent="0.25">
      <c r="A672" t="s">
        <v>670</v>
      </c>
      <c r="B672">
        <v>24</v>
      </c>
      <c r="C672">
        <v>42.67</v>
      </c>
    </row>
    <row r="673" spans="1:3" x14ac:dyDescent="0.25">
      <c r="A673" t="s">
        <v>671</v>
      </c>
      <c r="B673">
        <v>24</v>
      </c>
      <c r="C673">
        <v>42.67</v>
      </c>
    </row>
    <row r="674" spans="1:3" x14ac:dyDescent="0.25">
      <c r="A674" t="s">
        <v>672</v>
      </c>
      <c r="B674">
        <v>24</v>
      </c>
      <c r="C674">
        <v>42.67</v>
      </c>
    </row>
    <row r="675" spans="1:3" x14ac:dyDescent="0.25">
      <c r="A675" t="s">
        <v>673</v>
      </c>
      <c r="B675">
        <v>24</v>
      </c>
      <c r="C675">
        <v>42.67</v>
      </c>
    </row>
    <row r="676" spans="1:3" x14ac:dyDescent="0.25">
      <c r="A676" t="s">
        <v>674</v>
      </c>
      <c r="B676">
        <v>24</v>
      </c>
      <c r="C676">
        <v>42.67</v>
      </c>
    </row>
    <row r="677" spans="1:3" x14ac:dyDescent="0.25">
      <c r="A677" t="s">
        <v>675</v>
      </c>
      <c r="B677">
        <v>28</v>
      </c>
      <c r="C677">
        <v>67.751999999999995</v>
      </c>
    </row>
    <row r="678" spans="1:3" x14ac:dyDescent="0.25">
      <c r="A678" t="s">
        <v>676</v>
      </c>
      <c r="B678">
        <v>29</v>
      </c>
      <c r="C678">
        <v>55.95</v>
      </c>
    </row>
    <row r="679" spans="1:3" x14ac:dyDescent="0.25">
      <c r="A679" t="s">
        <v>677</v>
      </c>
      <c r="B679">
        <v>31</v>
      </c>
      <c r="C679">
        <v>61.01</v>
      </c>
    </row>
    <row r="680" spans="1:3" x14ac:dyDescent="0.25">
      <c r="A680" t="s">
        <v>678</v>
      </c>
      <c r="B680">
        <v>10</v>
      </c>
      <c r="C680">
        <v>25.3</v>
      </c>
    </row>
    <row r="681" spans="1:3" x14ac:dyDescent="0.25">
      <c r="A681" t="s">
        <v>679</v>
      </c>
      <c r="B681">
        <v>18</v>
      </c>
      <c r="C681">
        <v>42.451999999999998</v>
      </c>
    </row>
    <row r="682" spans="1:3" x14ac:dyDescent="0.25">
      <c r="A682" t="s">
        <v>680</v>
      </c>
      <c r="B682">
        <v>24</v>
      </c>
      <c r="C682">
        <v>42.67</v>
      </c>
    </row>
    <row r="683" spans="1:3" x14ac:dyDescent="0.25">
      <c r="A683" t="s">
        <v>681</v>
      </c>
      <c r="B683">
        <v>24</v>
      </c>
      <c r="C683">
        <v>42.67</v>
      </c>
    </row>
    <row r="684" spans="1:3" x14ac:dyDescent="0.25">
      <c r="A684" t="s">
        <v>682</v>
      </c>
      <c r="B684">
        <v>23</v>
      </c>
      <c r="C684">
        <v>42.37</v>
      </c>
    </row>
    <row r="685" spans="1:3" x14ac:dyDescent="0.25">
      <c r="A685" t="s">
        <v>683</v>
      </c>
      <c r="B685">
        <v>24</v>
      </c>
      <c r="C685">
        <v>42.67</v>
      </c>
    </row>
    <row r="686" spans="1:3" x14ac:dyDescent="0.25">
      <c r="A686" t="s">
        <v>684</v>
      </c>
      <c r="B686">
        <v>28</v>
      </c>
      <c r="C686">
        <v>51.813000000000002</v>
      </c>
    </row>
    <row r="687" spans="1:3" x14ac:dyDescent="0.25">
      <c r="A687" t="s">
        <v>685</v>
      </c>
      <c r="B687">
        <v>35</v>
      </c>
      <c r="C687">
        <v>68.066000000000003</v>
      </c>
    </row>
    <row r="688" spans="1:3" x14ac:dyDescent="0.25">
      <c r="A688" t="s">
        <v>686</v>
      </c>
      <c r="B688">
        <v>23</v>
      </c>
      <c r="C688">
        <v>46.734000000000002</v>
      </c>
    </row>
    <row r="689" spans="1:3" x14ac:dyDescent="0.25">
      <c r="A689" t="s">
        <v>687</v>
      </c>
      <c r="B689">
        <v>34</v>
      </c>
      <c r="C689">
        <v>66.992999999999995</v>
      </c>
    </row>
    <row r="690" spans="1:3" x14ac:dyDescent="0.25">
      <c r="A690" t="s">
        <v>688</v>
      </c>
      <c r="B690">
        <v>18</v>
      </c>
      <c r="C690">
        <v>36.512</v>
      </c>
    </row>
    <row r="691" spans="1:3" x14ac:dyDescent="0.25">
      <c r="A691" t="s">
        <v>689</v>
      </c>
      <c r="B691">
        <v>24</v>
      </c>
      <c r="C691">
        <v>42.67</v>
      </c>
    </row>
    <row r="692" spans="1:3" x14ac:dyDescent="0.25">
      <c r="A692" t="s">
        <v>690</v>
      </c>
      <c r="B692">
        <v>24</v>
      </c>
      <c r="C692">
        <v>42.67</v>
      </c>
    </row>
    <row r="693" spans="1:3" x14ac:dyDescent="0.25">
      <c r="A693" t="s">
        <v>691</v>
      </c>
      <c r="B693">
        <v>24</v>
      </c>
      <c r="C693">
        <v>42.67</v>
      </c>
    </row>
    <row r="694" spans="1:3" x14ac:dyDescent="0.25">
      <c r="A694" t="s">
        <v>692</v>
      </c>
      <c r="B694">
        <v>26</v>
      </c>
      <c r="C694">
        <v>51.66</v>
      </c>
    </row>
    <row r="695" spans="1:3" x14ac:dyDescent="0.25">
      <c r="A695" t="s">
        <v>693</v>
      </c>
      <c r="B695">
        <v>35</v>
      </c>
      <c r="C695">
        <v>71.13</v>
      </c>
    </row>
    <row r="696" spans="1:3" x14ac:dyDescent="0.25">
      <c r="A696" t="s">
        <v>694</v>
      </c>
      <c r="B696">
        <v>31</v>
      </c>
      <c r="C696">
        <v>61.01</v>
      </c>
    </row>
    <row r="697" spans="1:3" x14ac:dyDescent="0.25">
      <c r="A697" t="s">
        <v>695</v>
      </c>
      <c r="B697">
        <v>28</v>
      </c>
      <c r="C697">
        <v>67.751999999999995</v>
      </c>
    </row>
    <row r="698" spans="1:3" x14ac:dyDescent="0.25">
      <c r="A698" t="s">
        <v>696</v>
      </c>
      <c r="B698">
        <v>11</v>
      </c>
      <c r="C698">
        <v>34.979999999999997</v>
      </c>
    </row>
    <row r="699" spans="1:3" x14ac:dyDescent="0.25">
      <c r="A699" t="s">
        <v>697</v>
      </c>
      <c r="B699">
        <v>19</v>
      </c>
      <c r="C699">
        <v>50.042999999999999</v>
      </c>
    </row>
    <row r="700" spans="1:3" x14ac:dyDescent="0.25">
      <c r="A700" t="s">
        <v>698</v>
      </c>
      <c r="B700">
        <v>16</v>
      </c>
      <c r="C700">
        <v>49.41</v>
      </c>
    </row>
    <row r="701" spans="1:3" x14ac:dyDescent="0.25">
      <c r="A701" t="s">
        <v>699</v>
      </c>
      <c r="B701">
        <v>14</v>
      </c>
      <c r="C701">
        <v>33.389000000000003</v>
      </c>
    </row>
    <row r="702" spans="1:3" x14ac:dyDescent="0.25">
      <c r="A702" t="s">
        <v>700</v>
      </c>
      <c r="B702">
        <v>12</v>
      </c>
      <c r="C702">
        <v>28.329000000000001</v>
      </c>
    </row>
    <row r="703" spans="1:3" x14ac:dyDescent="0.25">
      <c r="A703" t="s">
        <v>701</v>
      </c>
      <c r="B703">
        <v>12</v>
      </c>
      <c r="C703">
        <v>28.329000000000001</v>
      </c>
    </row>
    <row r="704" spans="1:3" x14ac:dyDescent="0.25">
      <c r="A704" t="s">
        <v>702</v>
      </c>
      <c r="B704">
        <v>10</v>
      </c>
      <c r="C704">
        <v>23.268999999999998</v>
      </c>
    </row>
    <row r="705" spans="1:3" x14ac:dyDescent="0.25">
      <c r="A705" t="s">
        <v>703</v>
      </c>
      <c r="B705">
        <v>10</v>
      </c>
      <c r="C705">
        <v>23.268999999999998</v>
      </c>
    </row>
    <row r="706" spans="1:3" x14ac:dyDescent="0.25">
      <c r="A706" t="s">
        <v>704</v>
      </c>
      <c r="B706">
        <v>10</v>
      </c>
      <c r="C706">
        <v>23.268999999999998</v>
      </c>
    </row>
    <row r="707" spans="1:3" x14ac:dyDescent="0.25">
      <c r="A707" t="s">
        <v>705</v>
      </c>
      <c r="B707">
        <v>10</v>
      </c>
      <c r="C707">
        <v>23.268999999999998</v>
      </c>
    </row>
    <row r="708" spans="1:3" x14ac:dyDescent="0.25">
      <c r="A708" t="s">
        <v>706</v>
      </c>
      <c r="B708">
        <v>10</v>
      </c>
      <c r="C708">
        <v>23.268999999999998</v>
      </c>
    </row>
    <row r="709" spans="1:3" x14ac:dyDescent="0.25">
      <c r="A709" t="s">
        <v>707</v>
      </c>
      <c r="B709">
        <v>10</v>
      </c>
      <c r="C709">
        <v>23.268999999999998</v>
      </c>
    </row>
    <row r="710" spans="1:3" x14ac:dyDescent="0.25">
      <c r="A710" t="s">
        <v>708</v>
      </c>
      <c r="B710">
        <v>10</v>
      </c>
      <c r="C710">
        <v>23.268999999999998</v>
      </c>
    </row>
    <row r="711" spans="1:3" x14ac:dyDescent="0.25">
      <c r="A711" t="s">
        <v>709</v>
      </c>
      <c r="B711">
        <v>8</v>
      </c>
      <c r="C711">
        <v>18.209</v>
      </c>
    </row>
    <row r="712" spans="1:3" x14ac:dyDescent="0.25">
      <c r="A712" t="s">
        <v>710</v>
      </c>
      <c r="B712">
        <v>12</v>
      </c>
      <c r="C712">
        <v>28.329000000000001</v>
      </c>
    </row>
    <row r="713" spans="1:3" x14ac:dyDescent="0.25">
      <c r="A713" t="s">
        <v>711</v>
      </c>
      <c r="B713">
        <v>16</v>
      </c>
      <c r="C713">
        <v>38.448999999999998</v>
      </c>
    </row>
    <row r="714" spans="1:3" x14ac:dyDescent="0.25">
      <c r="A714" t="s">
        <v>712</v>
      </c>
      <c r="B714">
        <v>14</v>
      </c>
      <c r="C714">
        <v>33.389000000000003</v>
      </c>
    </row>
    <row r="715" spans="1:3" x14ac:dyDescent="0.25">
      <c r="A715" t="s">
        <v>713</v>
      </c>
      <c r="B715">
        <v>12</v>
      </c>
      <c r="C715">
        <v>28.329000000000001</v>
      </c>
    </row>
    <row r="716" spans="1:3" x14ac:dyDescent="0.25">
      <c r="A716" t="s">
        <v>714</v>
      </c>
      <c r="B716">
        <v>12</v>
      </c>
      <c r="C716">
        <v>28.329000000000001</v>
      </c>
    </row>
    <row r="717" spans="1:3" x14ac:dyDescent="0.25">
      <c r="A717" t="s">
        <v>715</v>
      </c>
      <c r="B717">
        <v>10</v>
      </c>
      <c r="C717">
        <v>23.268999999999998</v>
      </c>
    </row>
    <row r="718" spans="1:3" x14ac:dyDescent="0.25">
      <c r="A718" t="s">
        <v>716</v>
      </c>
      <c r="B718">
        <v>30</v>
      </c>
      <c r="C718">
        <v>77.924999999999997</v>
      </c>
    </row>
    <row r="719" spans="1:3" x14ac:dyDescent="0.25">
      <c r="A719" t="s">
        <v>717</v>
      </c>
      <c r="B719">
        <v>14</v>
      </c>
      <c r="C719">
        <v>32.122</v>
      </c>
    </row>
    <row r="720" spans="1:3" x14ac:dyDescent="0.25">
      <c r="A720" t="s">
        <v>718</v>
      </c>
      <c r="B720">
        <v>8</v>
      </c>
      <c r="C720">
        <v>18.209</v>
      </c>
    </row>
    <row r="721" spans="1:3" x14ac:dyDescent="0.25">
      <c r="A721" t="s">
        <v>719</v>
      </c>
      <c r="B721">
        <v>8</v>
      </c>
      <c r="C721">
        <v>18.209</v>
      </c>
    </row>
    <row r="722" spans="1:3" x14ac:dyDescent="0.25">
      <c r="A722" t="s">
        <v>720</v>
      </c>
      <c r="B722">
        <v>10</v>
      </c>
      <c r="C722">
        <v>23.268999999999998</v>
      </c>
    </row>
    <row r="723" spans="1:3" x14ac:dyDescent="0.25">
      <c r="A723" t="s">
        <v>721</v>
      </c>
      <c r="B723">
        <v>16</v>
      </c>
      <c r="C723">
        <v>45.12</v>
      </c>
    </row>
    <row r="724" spans="1:3" x14ac:dyDescent="0.25">
      <c r="A724" t="s">
        <v>722</v>
      </c>
      <c r="B724">
        <v>30</v>
      </c>
      <c r="C724">
        <v>78.159000000000006</v>
      </c>
    </row>
    <row r="725" spans="1:3" x14ac:dyDescent="0.25">
      <c r="A725" t="s">
        <v>723</v>
      </c>
      <c r="B725">
        <v>8</v>
      </c>
      <c r="C725">
        <v>2.5960000000000001</v>
      </c>
    </row>
    <row r="726" spans="1:3" x14ac:dyDescent="0.25">
      <c r="A726" t="s">
        <v>724</v>
      </c>
      <c r="B726">
        <v>14</v>
      </c>
      <c r="C726">
        <v>33.389000000000003</v>
      </c>
    </row>
    <row r="727" spans="1:3" x14ac:dyDescent="0.25">
      <c r="A727" t="s">
        <v>725</v>
      </c>
      <c r="B727">
        <v>21</v>
      </c>
      <c r="C727">
        <v>48.103000000000002</v>
      </c>
    </row>
    <row r="728" spans="1:3" x14ac:dyDescent="0.25">
      <c r="A728" t="s">
        <v>726</v>
      </c>
      <c r="B728">
        <v>14</v>
      </c>
      <c r="C728">
        <v>35.42</v>
      </c>
    </row>
    <row r="729" spans="1:3" x14ac:dyDescent="0.25">
      <c r="A729" t="s">
        <v>727</v>
      </c>
      <c r="B729">
        <v>25</v>
      </c>
      <c r="C729">
        <v>50.134</v>
      </c>
    </row>
    <row r="730" spans="1:3" x14ac:dyDescent="0.25">
      <c r="A730" t="s">
        <v>728</v>
      </c>
      <c r="B730">
        <v>8</v>
      </c>
      <c r="C730">
        <v>20.239999999999998</v>
      </c>
    </row>
    <row r="731" spans="1:3" x14ac:dyDescent="0.25">
      <c r="A731" t="s">
        <v>729</v>
      </c>
      <c r="B731">
        <v>25</v>
      </c>
      <c r="C731">
        <v>50.134</v>
      </c>
    </row>
    <row r="732" spans="1:3" x14ac:dyDescent="0.25">
      <c r="A732" t="s">
        <v>730</v>
      </c>
      <c r="B732">
        <v>17</v>
      </c>
      <c r="C732">
        <v>33.655999999999999</v>
      </c>
    </row>
    <row r="733" spans="1:3" x14ac:dyDescent="0.25">
      <c r="A733" t="s">
        <v>731</v>
      </c>
      <c r="B733">
        <v>23</v>
      </c>
      <c r="C733">
        <v>49.503</v>
      </c>
    </row>
    <row r="734" spans="1:3" x14ac:dyDescent="0.25">
      <c r="A734" t="s">
        <v>732</v>
      </c>
      <c r="B734">
        <v>23</v>
      </c>
      <c r="C734">
        <v>50.533000000000001</v>
      </c>
    </row>
    <row r="735" spans="1:3" x14ac:dyDescent="0.25">
      <c r="A735" t="s">
        <v>733</v>
      </c>
      <c r="B735">
        <v>21</v>
      </c>
      <c r="C735">
        <v>45.472999999999999</v>
      </c>
    </row>
    <row r="736" spans="1:3" x14ac:dyDescent="0.25">
      <c r="A736" t="s">
        <v>734</v>
      </c>
      <c r="B736">
        <v>25</v>
      </c>
      <c r="C736">
        <v>55.593000000000004</v>
      </c>
    </row>
    <row r="737" spans="1:3" x14ac:dyDescent="0.25">
      <c r="A737" t="s">
        <v>735</v>
      </c>
      <c r="B737">
        <v>23</v>
      </c>
      <c r="C737">
        <v>50.533000000000001</v>
      </c>
    </row>
    <row r="738" spans="1:3" x14ac:dyDescent="0.25">
      <c r="A738" t="s">
        <v>736</v>
      </c>
      <c r="B738">
        <v>14</v>
      </c>
      <c r="C738">
        <v>33.389000000000003</v>
      </c>
    </row>
    <row r="739" spans="1:3" x14ac:dyDescent="0.25">
      <c r="A739" t="s">
        <v>737</v>
      </c>
      <c r="B739">
        <v>21</v>
      </c>
      <c r="C739">
        <v>45.472999999999999</v>
      </c>
    </row>
    <row r="740" spans="1:3" x14ac:dyDescent="0.25">
      <c r="A740" t="s">
        <v>738</v>
      </c>
      <c r="B740">
        <v>26</v>
      </c>
      <c r="C740">
        <v>62.716000000000001</v>
      </c>
    </row>
    <row r="741" spans="1:3" x14ac:dyDescent="0.25">
      <c r="A741" t="s">
        <v>739</v>
      </c>
      <c r="B741">
        <v>19</v>
      </c>
      <c r="C741">
        <v>43.476999999999997</v>
      </c>
    </row>
    <row r="742" spans="1:3" x14ac:dyDescent="0.25">
      <c r="A742" t="s">
        <v>740</v>
      </c>
      <c r="B742">
        <v>14</v>
      </c>
      <c r="C742">
        <v>27.425000000000001</v>
      </c>
    </row>
    <row r="743" spans="1:3" x14ac:dyDescent="0.25">
      <c r="A743" t="s">
        <v>741</v>
      </c>
      <c r="B743">
        <v>19</v>
      </c>
      <c r="C743">
        <v>40.412999999999997</v>
      </c>
    </row>
    <row r="744" spans="1:3" x14ac:dyDescent="0.25">
      <c r="A744" t="s">
        <v>742</v>
      </c>
      <c r="B744">
        <v>22</v>
      </c>
      <c r="C744">
        <v>47.664999999999999</v>
      </c>
    </row>
    <row r="745" spans="1:3" x14ac:dyDescent="0.25">
      <c r="A745" t="s">
        <v>743</v>
      </c>
      <c r="B745">
        <v>21</v>
      </c>
      <c r="C745">
        <v>45.472999999999999</v>
      </c>
    </row>
    <row r="746" spans="1:3" x14ac:dyDescent="0.25">
      <c r="A746" t="s">
        <v>744</v>
      </c>
      <c r="B746">
        <v>18</v>
      </c>
      <c r="C746">
        <v>37.545000000000002</v>
      </c>
    </row>
    <row r="747" spans="1:3" x14ac:dyDescent="0.25">
      <c r="A747" t="s">
        <v>745</v>
      </c>
      <c r="B747">
        <v>24</v>
      </c>
      <c r="C747">
        <v>53.223999999999997</v>
      </c>
    </row>
    <row r="748" spans="1:3" x14ac:dyDescent="0.25">
      <c r="A748" t="s">
        <v>746</v>
      </c>
      <c r="B748">
        <v>34</v>
      </c>
      <c r="C748">
        <v>71.340999999999994</v>
      </c>
    </row>
    <row r="749" spans="1:3" x14ac:dyDescent="0.25">
      <c r="A749" t="s">
        <v>747</v>
      </c>
      <c r="B749">
        <v>31</v>
      </c>
      <c r="C749">
        <v>63.844000000000001</v>
      </c>
    </row>
    <row r="750" spans="1:3" x14ac:dyDescent="0.25">
      <c r="A750" t="s">
        <v>748</v>
      </c>
      <c r="B750">
        <v>39</v>
      </c>
      <c r="C750">
        <v>81.162000000000006</v>
      </c>
    </row>
    <row r="751" spans="1:3" x14ac:dyDescent="0.25">
      <c r="A751" t="s">
        <v>749</v>
      </c>
      <c r="B751">
        <v>37</v>
      </c>
      <c r="C751">
        <v>76.102000000000004</v>
      </c>
    </row>
    <row r="752" spans="1:3" x14ac:dyDescent="0.25">
      <c r="A752" t="s">
        <v>750</v>
      </c>
      <c r="B752">
        <v>35</v>
      </c>
      <c r="C752">
        <v>70.31</v>
      </c>
    </row>
    <row r="753" spans="1:3" x14ac:dyDescent="0.25">
      <c r="A753" t="s">
        <v>751</v>
      </c>
      <c r="B753">
        <v>37</v>
      </c>
      <c r="C753">
        <v>76.102000000000004</v>
      </c>
    </row>
    <row r="754" spans="1:3" x14ac:dyDescent="0.25">
      <c r="A754" t="s">
        <v>752</v>
      </c>
      <c r="B754">
        <v>21</v>
      </c>
      <c r="C754">
        <v>45.906999999999996</v>
      </c>
    </row>
    <row r="755" spans="1:3" x14ac:dyDescent="0.25">
      <c r="A755" t="s">
        <v>753</v>
      </c>
      <c r="B755">
        <v>21</v>
      </c>
      <c r="C755">
        <v>45.906999999999996</v>
      </c>
    </row>
    <row r="756" spans="1:3" x14ac:dyDescent="0.25">
      <c r="A756" t="s">
        <v>754</v>
      </c>
      <c r="B756">
        <v>45</v>
      </c>
      <c r="C756">
        <v>93.578999999999994</v>
      </c>
    </row>
    <row r="757" spans="1:3" x14ac:dyDescent="0.25">
      <c r="A757" t="s">
        <v>755</v>
      </c>
      <c r="B757">
        <v>8</v>
      </c>
      <c r="C757">
        <v>20.239999999999998</v>
      </c>
    </row>
    <row r="758" spans="1:3" x14ac:dyDescent="0.25">
      <c r="A758" t="s">
        <v>756</v>
      </c>
      <c r="B758">
        <v>33</v>
      </c>
      <c r="C758">
        <v>65.25</v>
      </c>
    </row>
    <row r="759" spans="1:3" x14ac:dyDescent="0.25">
      <c r="A759" t="s">
        <v>757</v>
      </c>
      <c r="B759">
        <v>10</v>
      </c>
      <c r="C759">
        <v>25.3</v>
      </c>
    </row>
    <row r="760" spans="1:3" x14ac:dyDescent="0.25">
      <c r="A760" t="s">
        <v>758</v>
      </c>
      <c r="B760">
        <v>33</v>
      </c>
      <c r="C760">
        <v>65.25</v>
      </c>
    </row>
    <row r="761" spans="1:3" x14ac:dyDescent="0.25">
      <c r="A761" t="s">
        <v>759</v>
      </c>
      <c r="B761">
        <v>19</v>
      </c>
      <c r="C761">
        <v>43.042999999999999</v>
      </c>
    </row>
    <row r="762" spans="1:3" x14ac:dyDescent="0.25">
      <c r="A762" t="s">
        <v>760</v>
      </c>
      <c r="B762">
        <v>17</v>
      </c>
      <c r="C762">
        <v>32.89</v>
      </c>
    </row>
    <row r="763" spans="1:3" x14ac:dyDescent="0.25">
      <c r="A763" t="s">
        <v>761</v>
      </c>
      <c r="B763">
        <v>21</v>
      </c>
      <c r="C763">
        <v>45.174999999999997</v>
      </c>
    </row>
    <row r="764" spans="1:3" x14ac:dyDescent="0.25">
      <c r="A764" t="s">
        <v>762</v>
      </c>
      <c r="B764">
        <v>22</v>
      </c>
      <c r="C764">
        <v>43.344000000000001</v>
      </c>
    </row>
    <row r="765" spans="1:3" x14ac:dyDescent="0.25">
      <c r="A765" t="s">
        <v>763</v>
      </c>
      <c r="B765">
        <v>21</v>
      </c>
      <c r="C765">
        <v>45.906999999999996</v>
      </c>
    </row>
    <row r="766" spans="1:3" x14ac:dyDescent="0.25">
      <c r="A766" t="s">
        <v>764</v>
      </c>
      <c r="B766">
        <v>22</v>
      </c>
      <c r="C766">
        <v>44.076000000000001</v>
      </c>
    </row>
    <row r="767" spans="1:3" x14ac:dyDescent="0.25">
      <c r="A767" t="s">
        <v>765</v>
      </c>
      <c r="B767">
        <v>37</v>
      </c>
      <c r="C767">
        <v>76.834000000000003</v>
      </c>
    </row>
    <row r="768" spans="1:3" x14ac:dyDescent="0.25">
      <c r="A768" t="s">
        <v>766</v>
      </c>
      <c r="B768">
        <v>13</v>
      </c>
      <c r="C768">
        <v>28.297000000000001</v>
      </c>
    </row>
    <row r="769" spans="1:3" x14ac:dyDescent="0.25">
      <c r="A769" t="s">
        <v>767</v>
      </c>
      <c r="B769">
        <v>21</v>
      </c>
      <c r="C769">
        <v>45.472999999999999</v>
      </c>
    </row>
    <row r="770" spans="1:3" x14ac:dyDescent="0.25">
      <c r="A770" t="s">
        <v>768</v>
      </c>
      <c r="B770">
        <v>17</v>
      </c>
      <c r="C770">
        <v>35.353000000000002</v>
      </c>
    </row>
    <row r="771" spans="1:3" x14ac:dyDescent="0.25">
      <c r="A771" t="s">
        <v>769</v>
      </c>
      <c r="B771">
        <v>17</v>
      </c>
      <c r="C771">
        <v>35.353000000000002</v>
      </c>
    </row>
    <row r="772" spans="1:3" x14ac:dyDescent="0.25">
      <c r="A772" t="s">
        <v>770</v>
      </c>
      <c r="B772">
        <v>19</v>
      </c>
      <c r="C772">
        <v>40.412999999999997</v>
      </c>
    </row>
    <row r="773" spans="1:3" x14ac:dyDescent="0.25">
      <c r="A773" t="s">
        <v>771</v>
      </c>
      <c r="B773">
        <v>17</v>
      </c>
      <c r="C773">
        <v>35.353000000000002</v>
      </c>
    </row>
    <row r="774" spans="1:3" x14ac:dyDescent="0.25">
      <c r="A774" t="s">
        <v>772</v>
      </c>
      <c r="B774">
        <v>23</v>
      </c>
      <c r="C774">
        <v>50.533000000000001</v>
      </c>
    </row>
    <row r="775" spans="1:3" x14ac:dyDescent="0.25">
      <c r="A775" t="s">
        <v>773</v>
      </c>
      <c r="B775">
        <v>3</v>
      </c>
      <c r="C775">
        <v>4.5259999999999998</v>
      </c>
    </row>
    <row r="776" spans="1:3" x14ac:dyDescent="0.25">
      <c r="A776" t="s">
        <v>774</v>
      </c>
      <c r="B776">
        <v>23</v>
      </c>
      <c r="C776">
        <v>50.533000000000001</v>
      </c>
    </row>
    <row r="777" spans="1:3" x14ac:dyDescent="0.25">
      <c r="A777" t="s">
        <v>775</v>
      </c>
      <c r="B777">
        <v>38</v>
      </c>
      <c r="C777">
        <v>79.432000000000002</v>
      </c>
    </row>
    <row r="778" spans="1:3" x14ac:dyDescent="0.25">
      <c r="A778" t="s">
        <v>776</v>
      </c>
      <c r="B778">
        <v>2</v>
      </c>
      <c r="C778">
        <v>1.982</v>
      </c>
    </row>
    <row r="779" spans="1:3" x14ac:dyDescent="0.25">
      <c r="A779" t="s">
        <v>777</v>
      </c>
      <c r="B779">
        <v>14</v>
      </c>
      <c r="C779">
        <v>27.425000000000001</v>
      </c>
    </row>
    <row r="780" spans="1:3" x14ac:dyDescent="0.25">
      <c r="A780" t="s">
        <v>778</v>
      </c>
      <c r="B780">
        <v>16</v>
      </c>
      <c r="C780">
        <v>32.484999999999999</v>
      </c>
    </row>
    <row r="781" spans="1:3" x14ac:dyDescent="0.25">
      <c r="A781" t="s">
        <v>779</v>
      </c>
      <c r="B781">
        <v>13</v>
      </c>
      <c r="C781">
        <v>25.393999999999998</v>
      </c>
    </row>
    <row r="782" spans="1:3" x14ac:dyDescent="0.25">
      <c r="A782" t="s">
        <v>780</v>
      </c>
      <c r="B782">
        <v>22</v>
      </c>
      <c r="C782">
        <v>47.664999999999999</v>
      </c>
    </row>
    <row r="783" spans="1:3" x14ac:dyDescent="0.25">
      <c r="A783" t="s">
        <v>781</v>
      </c>
      <c r="B783">
        <v>14</v>
      </c>
      <c r="C783">
        <v>27.425000000000001</v>
      </c>
    </row>
    <row r="784" spans="1:3" x14ac:dyDescent="0.25">
      <c r="A784" t="s">
        <v>782</v>
      </c>
      <c r="B784">
        <v>4</v>
      </c>
      <c r="C784">
        <v>10.119999999999999</v>
      </c>
    </row>
    <row r="785" spans="1:3" x14ac:dyDescent="0.25">
      <c r="A785" t="s">
        <v>783</v>
      </c>
      <c r="B785">
        <v>22</v>
      </c>
      <c r="C785">
        <v>40.741999999999997</v>
      </c>
    </row>
    <row r="786" spans="1:3" x14ac:dyDescent="0.25">
      <c r="A786" t="s">
        <v>784</v>
      </c>
      <c r="B786">
        <v>14</v>
      </c>
      <c r="C786">
        <v>25.567</v>
      </c>
    </row>
    <row r="787" spans="1:3" x14ac:dyDescent="0.25">
      <c r="A787" t="s">
        <v>785</v>
      </c>
      <c r="B787">
        <v>18</v>
      </c>
      <c r="C787">
        <v>37.545000000000002</v>
      </c>
    </row>
    <row r="788" spans="1:3" x14ac:dyDescent="0.25">
      <c r="A788" t="s">
        <v>786</v>
      </c>
      <c r="B788">
        <v>22</v>
      </c>
      <c r="C788">
        <v>47.664999999999999</v>
      </c>
    </row>
    <row r="789" spans="1:3" x14ac:dyDescent="0.25">
      <c r="A789" t="s">
        <v>787</v>
      </c>
      <c r="B789">
        <v>6</v>
      </c>
      <c r="C789">
        <v>13.148999999999999</v>
      </c>
    </row>
    <row r="790" spans="1:3" x14ac:dyDescent="0.25">
      <c r="A790" t="s">
        <v>788</v>
      </c>
      <c r="B790">
        <v>31</v>
      </c>
      <c r="C790">
        <v>65.781999999999996</v>
      </c>
    </row>
    <row r="791" spans="1:3" x14ac:dyDescent="0.25">
      <c r="A791" t="s">
        <v>789</v>
      </c>
      <c r="B791">
        <v>17</v>
      </c>
      <c r="C791">
        <v>33.238999999999997</v>
      </c>
    </row>
    <row r="792" spans="1:3" x14ac:dyDescent="0.25">
      <c r="A792" t="s">
        <v>790</v>
      </c>
      <c r="B792">
        <v>12</v>
      </c>
      <c r="C792">
        <v>28.329000000000001</v>
      </c>
    </row>
    <row r="793" spans="1:3" x14ac:dyDescent="0.25">
      <c r="A793" t="s">
        <v>791</v>
      </c>
      <c r="B793">
        <v>28</v>
      </c>
      <c r="C793">
        <v>58.192</v>
      </c>
    </row>
    <row r="794" spans="1:3" x14ac:dyDescent="0.25">
      <c r="A794" t="s">
        <v>792</v>
      </c>
      <c r="B794">
        <v>10</v>
      </c>
      <c r="C794">
        <v>22.536999999999999</v>
      </c>
    </row>
    <row r="795" spans="1:3" x14ac:dyDescent="0.25">
      <c r="A795" t="s">
        <v>793</v>
      </c>
      <c r="B795">
        <v>3</v>
      </c>
      <c r="C795">
        <v>4.5259999999999998</v>
      </c>
    </row>
    <row r="796" spans="1:3" x14ac:dyDescent="0.25">
      <c r="A796" t="s">
        <v>794</v>
      </c>
      <c r="B796">
        <v>10</v>
      </c>
      <c r="C796">
        <v>26.518999999999998</v>
      </c>
    </row>
    <row r="797" spans="1:3" x14ac:dyDescent="0.25">
      <c r="A797" t="s">
        <v>795</v>
      </c>
      <c r="B797">
        <v>24</v>
      </c>
      <c r="C797">
        <v>62.058</v>
      </c>
    </row>
    <row r="798" spans="1:3" x14ac:dyDescent="0.25">
      <c r="A798" t="s">
        <v>796</v>
      </c>
      <c r="B798">
        <v>35</v>
      </c>
      <c r="C798">
        <v>70.31</v>
      </c>
    </row>
    <row r="799" spans="1:3" x14ac:dyDescent="0.25">
      <c r="A799" t="s">
        <v>797</v>
      </c>
      <c r="B799">
        <v>35</v>
      </c>
      <c r="C799">
        <v>71.774000000000001</v>
      </c>
    </row>
    <row r="800" spans="1:3" x14ac:dyDescent="0.25">
      <c r="A800" t="s">
        <v>798</v>
      </c>
      <c r="B800">
        <v>33</v>
      </c>
      <c r="C800">
        <v>66.713999999999999</v>
      </c>
    </row>
    <row r="801" spans="1:3" x14ac:dyDescent="0.25">
      <c r="A801" t="s">
        <v>799</v>
      </c>
      <c r="B801">
        <v>32</v>
      </c>
      <c r="C801">
        <v>66.414000000000001</v>
      </c>
    </row>
    <row r="802" spans="1:3" x14ac:dyDescent="0.25">
      <c r="A802" t="s">
        <v>800</v>
      </c>
      <c r="B802">
        <v>33</v>
      </c>
      <c r="C802">
        <v>66.713999999999999</v>
      </c>
    </row>
    <row r="803" spans="1:3" x14ac:dyDescent="0.25">
      <c r="A803" t="s">
        <v>801</v>
      </c>
      <c r="B803">
        <v>17</v>
      </c>
      <c r="C803">
        <v>35.353000000000002</v>
      </c>
    </row>
    <row r="804" spans="1:3" x14ac:dyDescent="0.25">
      <c r="A804" t="s">
        <v>802</v>
      </c>
      <c r="B804">
        <v>4</v>
      </c>
      <c r="C804">
        <v>10.119999999999999</v>
      </c>
    </row>
    <row r="805" spans="1:3" x14ac:dyDescent="0.25">
      <c r="A805" t="s">
        <v>803</v>
      </c>
      <c r="B805">
        <v>15</v>
      </c>
      <c r="C805">
        <v>30.292999999999999</v>
      </c>
    </row>
    <row r="806" spans="1:3" x14ac:dyDescent="0.25">
      <c r="A806" t="s">
        <v>804</v>
      </c>
      <c r="B806">
        <v>17</v>
      </c>
      <c r="C806">
        <v>35.353000000000002</v>
      </c>
    </row>
    <row r="807" spans="1:3" x14ac:dyDescent="0.25">
      <c r="A807" t="s">
        <v>805</v>
      </c>
      <c r="B807">
        <v>17</v>
      </c>
      <c r="C807">
        <v>35.353000000000002</v>
      </c>
    </row>
    <row r="808" spans="1:3" x14ac:dyDescent="0.25">
      <c r="A808" t="s">
        <v>806</v>
      </c>
      <c r="B808">
        <v>22</v>
      </c>
      <c r="C808">
        <v>47.664999999999999</v>
      </c>
    </row>
    <row r="809" spans="1:3" x14ac:dyDescent="0.25">
      <c r="A809" t="s">
        <v>807</v>
      </c>
      <c r="B809">
        <v>44</v>
      </c>
      <c r="C809">
        <v>95.828999999999994</v>
      </c>
    </row>
    <row r="810" spans="1:3" x14ac:dyDescent="0.25">
      <c r="A810" t="s">
        <v>808</v>
      </c>
      <c r="B810">
        <v>35</v>
      </c>
      <c r="C810">
        <v>70.31</v>
      </c>
    </row>
    <row r="811" spans="1:3" x14ac:dyDescent="0.25">
      <c r="A811" t="s">
        <v>809</v>
      </c>
      <c r="B811">
        <v>22</v>
      </c>
      <c r="C811">
        <v>47.664999999999999</v>
      </c>
    </row>
    <row r="812" spans="1:3" x14ac:dyDescent="0.25">
      <c r="A812" t="s">
        <v>810</v>
      </c>
      <c r="B812">
        <v>33</v>
      </c>
      <c r="C812">
        <v>66.713999999999999</v>
      </c>
    </row>
    <row r="813" spans="1:3" x14ac:dyDescent="0.25">
      <c r="A813" t="s">
        <v>811</v>
      </c>
      <c r="B813">
        <v>22</v>
      </c>
      <c r="C813">
        <v>47.664999999999999</v>
      </c>
    </row>
    <row r="814" spans="1:3" x14ac:dyDescent="0.25">
      <c r="A814" t="s">
        <v>812</v>
      </c>
      <c r="B814">
        <v>33</v>
      </c>
      <c r="C814">
        <v>66.713999999999999</v>
      </c>
    </row>
    <row r="815" spans="1:3" x14ac:dyDescent="0.25">
      <c r="A815" t="s">
        <v>813</v>
      </c>
      <c r="B815">
        <v>36</v>
      </c>
      <c r="C815">
        <v>76.400999999999996</v>
      </c>
    </row>
    <row r="816" spans="1:3" x14ac:dyDescent="0.25">
      <c r="A816" t="s">
        <v>814</v>
      </c>
      <c r="B816">
        <v>34</v>
      </c>
      <c r="C816">
        <v>71.340999999999994</v>
      </c>
    </row>
    <row r="817" spans="1:3" x14ac:dyDescent="0.25">
      <c r="A817" t="s">
        <v>815</v>
      </c>
      <c r="B817">
        <v>9</v>
      </c>
      <c r="C817">
        <v>22.954999999999998</v>
      </c>
    </row>
    <row r="818" spans="1:3" x14ac:dyDescent="0.25">
      <c r="A818" t="s">
        <v>816</v>
      </c>
      <c r="B818">
        <v>35</v>
      </c>
      <c r="C818">
        <v>67.864999999999995</v>
      </c>
    </row>
    <row r="819" spans="1:3" x14ac:dyDescent="0.25">
      <c r="A819" t="s">
        <v>817</v>
      </c>
      <c r="B819">
        <v>22</v>
      </c>
      <c r="C819">
        <v>42.499000000000002</v>
      </c>
    </row>
    <row r="820" spans="1:3" x14ac:dyDescent="0.25">
      <c r="A820" t="s">
        <v>818</v>
      </c>
      <c r="B820">
        <v>21</v>
      </c>
      <c r="C820">
        <v>40.539000000000001</v>
      </c>
    </row>
    <row r="821" spans="1:3" x14ac:dyDescent="0.25">
      <c r="A821" t="s">
        <v>819</v>
      </c>
      <c r="B821">
        <v>30</v>
      </c>
      <c r="C821">
        <v>58.633000000000003</v>
      </c>
    </row>
    <row r="822" spans="1:3" x14ac:dyDescent="0.25">
      <c r="A822" t="s">
        <v>820</v>
      </c>
      <c r="B822">
        <v>30</v>
      </c>
      <c r="C822">
        <v>58.633000000000003</v>
      </c>
    </row>
    <row r="823" spans="1:3" x14ac:dyDescent="0.25">
      <c r="A823" t="s">
        <v>821</v>
      </c>
      <c r="B823">
        <v>13</v>
      </c>
      <c r="C823">
        <v>36.344000000000001</v>
      </c>
    </row>
    <row r="824" spans="1:3" x14ac:dyDescent="0.25">
      <c r="A824" t="s">
        <v>822</v>
      </c>
      <c r="B824">
        <v>23</v>
      </c>
      <c r="C824">
        <v>60.847999999999999</v>
      </c>
    </row>
    <row r="825" spans="1:3" x14ac:dyDescent="0.25">
      <c r="A825" t="s">
        <v>823</v>
      </c>
      <c r="B825">
        <v>29</v>
      </c>
      <c r="C825">
        <v>61.295999999999999</v>
      </c>
    </row>
    <row r="826" spans="1:3" x14ac:dyDescent="0.25">
      <c r="A826" t="s">
        <v>824</v>
      </c>
      <c r="B826">
        <v>13</v>
      </c>
      <c r="C826">
        <v>30.611000000000001</v>
      </c>
    </row>
    <row r="827" spans="1:3" x14ac:dyDescent="0.25">
      <c r="A827" t="s">
        <v>825</v>
      </c>
      <c r="B827">
        <v>13</v>
      </c>
      <c r="C827">
        <v>28.155999999999999</v>
      </c>
    </row>
    <row r="828" spans="1:3" x14ac:dyDescent="0.25">
      <c r="A828" t="s">
        <v>826</v>
      </c>
      <c r="B828">
        <v>10</v>
      </c>
      <c r="C828">
        <v>29.32</v>
      </c>
    </row>
    <row r="829" spans="1:3" x14ac:dyDescent="0.25">
      <c r="A829" t="s">
        <v>827</v>
      </c>
      <c r="B829">
        <v>27</v>
      </c>
      <c r="C829">
        <v>55.119</v>
      </c>
    </row>
    <row r="830" spans="1:3" x14ac:dyDescent="0.25">
      <c r="A830" t="s">
        <v>828</v>
      </c>
      <c r="B830">
        <v>14</v>
      </c>
      <c r="C830">
        <v>27.266999999999999</v>
      </c>
    </row>
    <row r="831" spans="1:3" x14ac:dyDescent="0.25">
      <c r="A831" t="s">
        <v>829</v>
      </c>
      <c r="B831">
        <v>10</v>
      </c>
      <c r="C831">
        <v>25.3</v>
      </c>
    </row>
    <row r="832" spans="1:3" x14ac:dyDescent="0.25">
      <c r="A832" t="s">
        <v>830</v>
      </c>
      <c r="B832">
        <v>9</v>
      </c>
      <c r="C832">
        <v>16.905000000000001</v>
      </c>
    </row>
    <row r="833" spans="1:3" x14ac:dyDescent="0.25">
      <c r="A833" t="s">
        <v>831</v>
      </c>
      <c r="B833">
        <v>12</v>
      </c>
      <c r="C833">
        <v>30.36</v>
      </c>
    </row>
    <row r="834" spans="1:3" x14ac:dyDescent="0.25">
      <c r="A834" t="s">
        <v>832</v>
      </c>
      <c r="B834">
        <v>14</v>
      </c>
      <c r="C834">
        <v>35.42</v>
      </c>
    </row>
    <row r="835" spans="1:3" x14ac:dyDescent="0.25">
      <c r="A835" t="s">
        <v>833</v>
      </c>
      <c r="B835">
        <v>29</v>
      </c>
      <c r="C835">
        <v>51.953000000000003</v>
      </c>
    </row>
    <row r="836" spans="1:3" x14ac:dyDescent="0.25">
      <c r="A836" t="s">
        <v>834</v>
      </c>
      <c r="B836">
        <v>35</v>
      </c>
      <c r="C836">
        <v>67.864999999999995</v>
      </c>
    </row>
    <row r="837" spans="1:3" x14ac:dyDescent="0.25">
      <c r="A837" t="s">
        <v>835</v>
      </c>
      <c r="B837">
        <v>15</v>
      </c>
      <c r="C837">
        <v>27.466000000000001</v>
      </c>
    </row>
    <row r="838" spans="1:3" x14ac:dyDescent="0.25">
      <c r="A838" t="s">
        <v>836</v>
      </c>
      <c r="B838">
        <v>39</v>
      </c>
      <c r="C838">
        <v>77.253</v>
      </c>
    </row>
    <row r="839" spans="1:3" x14ac:dyDescent="0.25">
      <c r="A839" t="s">
        <v>837</v>
      </c>
      <c r="B839">
        <v>19</v>
      </c>
      <c r="C839">
        <v>32.279000000000003</v>
      </c>
    </row>
    <row r="840" spans="1:3" x14ac:dyDescent="0.25">
      <c r="A840" t="s">
        <v>838</v>
      </c>
      <c r="B840">
        <v>19</v>
      </c>
      <c r="C840">
        <v>32.279000000000003</v>
      </c>
    </row>
    <row r="841" spans="1:3" x14ac:dyDescent="0.25">
      <c r="A841" t="s">
        <v>839</v>
      </c>
      <c r="B841">
        <v>27</v>
      </c>
      <c r="C841">
        <v>60.773000000000003</v>
      </c>
    </row>
    <row r="842" spans="1:3" x14ac:dyDescent="0.25">
      <c r="A842" t="s">
        <v>840</v>
      </c>
      <c r="B842">
        <v>18</v>
      </c>
      <c r="C842">
        <v>42.912999999999997</v>
      </c>
    </row>
    <row r="843" spans="1:3" x14ac:dyDescent="0.25">
      <c r="A843" t="s">
        <v>841</v>
      </c>
      <c r="B843">
        <v>9</v>
      </c>
      <c r="C843">
        <v>8.2739999999999991</v>
      </c>
    </row>
    <row r="844" spans="1:3" x14ac:dyDescent="0.25">
      <c r="A844" t="s">
        <v>842</v>
      </c>
      <c r="B844">
        <v>19</v>
      </c>
      <c r="C844">
        <v>47.709000000000003</v>
      </c>
    </row>
    <row r="845" spans="1:3" x14ac:dyDescent="0.25">
      <c r="A845" t="s">
        <v>843</v>
      </c>
      <c r="B845">
        <v>22</v>
      </c>
      <c r="C845">
        <v>50.767000000000003</v>
      </c>
    </row>
    <row r="846" spans="1:3" x14ac:dyDescent="0.25">
      <c r="A846" t="s">
        <v>844</v>
      </c>
      <c r="B846">
        <v>10</v>
      </c>
      <c r="C846">
        <v>31.8</v>
      </c>
    </row>
    <row r="847" spans="1:3" x14ac:dyDescent="0.25">
      <c r="A847" t="s">
        <v>845</v>
      </c>
      <c r="B847">
        <v>40</v>
      </c>
      <c r="C847">
        <v>75.653999999999996</v>
      </c>
    </row>
    <row r="848" spans="1:3" x14ac:dyDescent="0.25">
      <c r="A848" t="s">
        <v>846</v>
      </c>
      <c r="B848">
        <v>29</v>
      </c>
      <c r="C848">
        <v>73.105999999999995</v>
      </c>
    </row>
    <row r="849" spans="1:3" x14ac:dyDescent="0.25">
      <c r="A849" t="s">
        <v>847</v>
      </c>
      <c r="B849">
        <v>14</v>
      </c>
      <c r="C849">
        <v>19.411999999999999</v>
      </c>
    </row>
    <row r="850" spans="1:3" x14ac:dyDescent="0.25">
      <c r="A850" t="s">
        <v>848</v>
      </c>
      <c r="B850">
        <v>11</v>
      </c>
      <c r="C850">
        <v>15.791</v>
      </c>
    </row>
    <row r="851" spans="1:3" x14ac:dyDescent="0.25">
      <c r="A851" t="s">
        <v>849</v>
      </c>
      <c r="B851">
        <v>38</v>
      </c>
      <c r="C851">
        <v>49.53</v>
      </c>
    </row>
    <row r="852" spans="1:3" x14ac:dyDescent="0.25">
      <c r="A852" t="s">
        <v>850</v>
      </c>
      <c r="B852">
        <v>37</v>
      </c>
      <c r="C852">
        <v>39.799999999999997</v>
      </c>
    </row>
    <row r="853" spans="1:3" x14ac:dyDescent="0.25">
      <c r="A853" t="s">
        <v>851</v>
      </c>
      <c r="B853">
        <v>15</v>
      </c>
      <c r="C853">
        <v>18.010999999999999</v>
      </c>
    </row>
    <row r="854" spans="1:3" x14ac:dyDescent="0.25">
      <c r="A854" t="s">
        <v>852</v>
      </c>
      <c r="B854">
        <v>15</v>
      </c>
      <c r="C854">
        <v>43.255000000000003</v>
      </c>
    </row>
    <row r="855" spans="1:3" x14ac:dyDescent="0.25">
      <c r="A855" t="s">
        <v>853</v>
      </c>
      <c r="B855">
        <v>7</v>
      </c>
      <c r="C855">
        <v>14.348000000000001</v>
      </c>
    </row>
    <row r="856" spans="1:3" x14ac:dyDescent="0.25">
      <c r="A856" t="s">
        <v>854</v>
      </c>
      <c r="B856">
        <v>11</v>
      </c>
      <c r="C856">
        <v>24.349</v>
      </c>
    </row>
    <row r="857" spans="1:3" x14ac:dyDescent="0.25">
      <c r="A857" t="s">
        <v>855</v>
      </c>
      <c r="B857">
        <v>15</v>
      </c>
      <c r="C857">
        <v>32.347999999999999</v>
      </c>
    </row>
    <row r="858" spans="1:3" x14ac:dyDescent="0.25">
      <c r="A858" t="s">
        <v>856</v>
      </c>
      <c r="B858">
        <v>15</v>
      </c>
      <c r="C858">
        <v>32.347999999999999</v>
      </c>
    </row>
    <row r="859" spans="1:3" x14ac:dyDescent="0.25">
      <c r="A859" t="s">
        <v>857</v>
      </c>
      <c r="B859">
        <v>26</v>
      </c>
      <c r="C859">
        <v>72.012</v>
      </c>
    </row>
    <row r="860" spans="1:3" x14ac:dyDescent="0.25">
      <c r="A860" t="s">
        <v>858</v>
      </c>
      <c r="B860">
        <v>15</v>
      </c>
      <c r="C860">
        <v>32.347999999999999</v>
      </c>
    </row>
    <row r="861" spans="1:3" x14ac:dyDescent="0.25">
      <c r="A861" t="s">
        <v>859</v>
      </c>
      <c r="B861">
        <v>19</v>
      </c>
      <c r="C861">
        <v>49.421999999999997</v>
      </c>
    </row>
    <row r="862" spans="1:3" x14ac:dyDescent="0.25">
      <c r="A862" t="s">
        <v>860</v>
      </c>
      <c r="B862">
        <v>17</v>
      </c>
      <c r="C862">
        <v>32.369999999999997</v>
      </c>
    </row>
    <row r="863" spans="1:3" x14ac:dyDescent="0.25">
      <c r="A863" t="s">
        <v>861</v>
      </c>
      <c r="B863">
        <v>25</v>
      </c>
      <c r="C863">
        <v>67.876999999999995</v>
      </c>
    </row>
    <row r="864" spans="1:3" x14ac:dyDescent="0.25">
      <c r="A864" t="s">
        <v>862</v>
      </c>
      <c r="B864">
        <v>17</v>
      </c>
      <c r="C864">
        <v>45.92</v>
      </c>
    </row>
    <row r="865" spans="1:3" x14ac:dyDescent="0.25">
      <c r="A865" t="s">
        <v>863</v>
      </c>
      <c r="B865">
        <v>16</v>
      </c>
      <c r="C865">
        <v>32.654000000000003</v>
      </c>
    </row>
    <row r="866" spans="1:3" x14ac:dyDescent="0.25">
      <c r="A866" t="s">
        <v>864</v>
      </c>
      <c r="B866">
        <v>23</v>
      </c>
      <c r="C866">
        <v>63.548999999999999</v>
      </c>
    </row>
    <row r="867" spans="1:3" x14ac:dyDescent="0.25">
      <c r="A867" t="s">
        <v>865</v>
      </c>
      <c r="B867">
        <v>15</v>
      </c>
      <c r="C867">
        <v>40.055999999999997</v>
      </c>
    </row>
    <row r="868" spans="1:3" x14ac:dyDescent="0.25">
      <c r="A868" t="s">
        <v>866</v>
      </c>
      <c r="B868">
        <v>16</v>
      </c>
      <c r="C868">
        <v>32.654000000000003</v>
      </c>
    </row>
    <row r="869" spans="1:3" x14ac:dyDescent="0.25">
      <c r="A869" t="s">
        <v>867</v>
      </c>
      <c r="B869">
        <v>21</v>
      </c>
      <c r="C869">
        <v>55.881</v>
      </c>
    </row>
    <row r="870" spans="1:3" x14ac:dyDescent="0.25">
      <c r="A870" t="s">
        <v>868</v>
      </c>
      <c r="B870">
        <v>23</v>
      </c>
      <c r="C870">
        <v>46.463000000000001</v>
      </c>
    </row>
    <row r="871" spans="1:3" x14ac:dyDescent="0.25">
      <c r="A871" t="s">
        <v>869</v>
      </c>
      <c r="B871">
        <v>15</v>
      </c>
      <c r="C871">
        <v>26.222999999999999</v>
      </c>
    </row>
    <row r="872" spans="1:3" x14ac:dyDescent="0.25">
      <c r="A872" t="s">
        <v>870</v>
      </c>
      <c r="B872">
        <v>12</v>
      </c>
      <c r="C872">
        <v>30.36</v>
      </c>
    </row>
    <row r="873" spans="1:3" x14ac:dyDescent="0.25">
      <c r="A873" t="s">
        <v>871</v>
      </c>
      <c r="B873">
        <v>27</v>
      </c>
      <c r="C873">
        <v>56.582999999999998</v>
      </c>
    </row>
    <row r="874" spans="1:3" x14ac:dyDescent="0.25">
      <c r="A874" t="s">
        <v>872</v>
      </c>
      <c r="B874">
        <v>23</v>
      </c>
      <c r="C874">
        <v>46.463000000000001</v>
      </c>
    </row>
    <row r="875" spans="1:3" x14ac:dyDescent="0.25">
      <c r="A875" t="s">
        <v>873</v>
      </c>
      <c r="B875">
        <v>27</v>
      </c>
      <c r="C875">
        <v>56.582999999999998</v>
      </c>
    </row>
    <row r="876" spans="1:3" x14ac:dyDescent="0.25">
      <c r="A876" t="s">
        <v>874</v>
      </c>
      <c r="B876">
        <v>29</v>
      </c>
      <c r="C876">
        <v>61.643000000000001</v>
      </c>
    </row>
    <row r="877" spans="1:3" x14ac:dyDescent="0.25">
      <c r="A877" t="s">
        <v>875</v>
      </c>
      <c r="B877">
        <v>10</v>
      </c>
      <c r="C877">
        <v>25.3</v>
      </c>
    </row>
    <row r="878" spans="1:3" x14ac:dyDescent="0.25">
      <c r="A878" t="s">
        <v>876</v>
      </c>
      <c r="B878">
        <v>2</v>
      </c>
      <c r="C878">
        <v>5.0599999999999996</v>
      </c>
    </row>
    <row r="879" spans="1:3" x14ac:dyDescent="0.25">
      <c r="A879" t="s">
        <v>877</v>
      </c>
      <c r="B879">
        <v>15</v>
      </c>
      <c r="C879">
        <v>26.222999999999999</v>
      </c>
    </row>
    <row r="880" spans="1:3" x14ac:dyDescent="0.25">
      <c r="A880" t="s">
        <v>878</v>
      </c>
      <c r="B880">
        <v>15</v>
      </c>
      <c r="C880">
        <v>26.222999999999999</v>
      </c>
    </row>
    <row r="881" spans="1:3" x14ac:dyDescent="0.25">
      <c r="A881" t="s">
        <v>879</v>
      </c>
      <c r="B881">
        <v>6</v>
      </c>
      <c r="C881">
        <v>15.18</v>
      </c>
    </row>
    <row r="882" spans="1:3" x14ac:dyDescent="0.25">
      <c r="A882" t="s">
        <v>880</v>
      </c>
      <c r="B882">
        <v>25</v>
      </c>
      <c r="C882">
        <v>55.753999999999998</v>
      </c>
    </row>
    <row r="883" spans="1:3" x14ac:dyDescent="0.25">
      <c r="A883" t="s">
        <v>881</v>
      </c>
      <c r="B883">
        <v>14</v>
      </c>
      <c r="C883">
        <v>24.062999999999999</v>
      </c>
    </row>
    <row r="884" spans="1:3" x14ac:dyDescent="0.25">
      <c r="A884" t="s">
        <v>882</v>
      </c>
      <c r="B884">
        <v>12</v>
      </c>
      <c r="C884">
        <v>30.620999999999999</v>
      </c>
    </row>
    <row r="885" spans="1:3" x14ac:dyDescent="0.25">
      <c r="A885" t="s">
        <v>883</v>
      </c>
      <c r="B885">
        <v>26</v>
      </c>
      <c r="C885">
        <v>79.680999999999997</v>
      </c>
    </row>
    <row r="886" spans="1:3" x14ac:dyDescent="0.25">
      <c r="A886" t="s">
        <v>884</v>
      </c>
      <c r="B886">
        <v>31</v>
      </c>
      <c r="C886">
        <v>63.627000000000002</v>
      </c>
    </row>
    <row r="887" spans="1:3" x14ac:dyDescent="0.25">
      <c r="A887" t="s">
        <v>885</v>
      </c>
      <c r="B887">
        <v>11</v>
      </c>
      <c r="C887">
        <v>20.334</v>
      </c>
    </row>
    <row r="888" spans="1:3" x14ac:dyDescent="0.25">
      <c r="A888" t="s">
        <v>886</v>
      </c>
      <c r="B888">
        <v>14</v>
      </c>
      <c r="C888">
        <v>31.189</v>
      </c>
    </row>
    <row r="889" spans="1:3" x14ac:dyDescent="0.25">
      <c r="A889" t="s">
        <v>887</v>
      </c>
      <c r="B889">
        <v>11</v>
      </c>
      <c r="C889">
        <v>20.334</v>
      </c>
    </row>
    <row r="890" spans="1:3" x14ac:dyDescent="0.25">
      <c r="A890" t="s">
        <v>888</v>
      </c>
      <c r="B890">
        <v>14</v>
      </c>
      <c r="C890">
        <v>31.189</v>
      </c>
    </row>
    <row r="891" spans="1:3" x14ac:dyDescent="0.25">
      <c r="A891" t="s">
        <v>889</v>
      </c>
      <c r="B891">
        <v>31</v>
      </c>
      <c r="C891">
        <v>63.438000000000002</v>
      </c>
    </row>
    <row r="892" spans="1:3" x14ac:dyDescent="0.25">
      <c r="A892" t="s">
        <v>890</v>
      </c>
      <c r="B892">
        <v>33</v>
      </c>
      <c r="C892">
        <v>68.498000000000005</v>
      </c>
    </row>
    <row r="893" spans="1:3" x14ac:dyDescent="0.25">
      <c r="A893" t="s">
        <v>891</v>
      </c>
      <c r="B893">
        <v>16</v>
      </c>
      <c r="C893">
        <v>36.249000000000002</v>
      </c>
    </row>
    <row r="894" spans="1:3" x14ac:dyDescent="0.25">
      <c r="A894" t="s">
        <v>892</v>
      </c>
      <c r="B894">
        <v>9</v>
      </c>
      <c r="C894">
        <v>15.273999999999999</v>
      </c>
    </row>
    <row r="895" spans="1:3" x14ac:dyDescent="0.25">
      <c r="A895" t="s">
        <v>893</v>
      </c>
      <c r="B895">
        <v>17</v>
      </c>
      <c r="C895">
        <v>31.283000000000001</v>
      </c>
    </row>
    <row r="896" spans="1:3" x14ac:dyDescent="0.25">
      <c r="A896" t="s">
        <v>894</v>
      </c>
      <c r="B896">
        <v>6</v>
      </c>
      <c r="C896">
        <v>15.18</v>
      </c>
    </row>
    <row r="897" spans="1:3" x14ac:dyDescent="0.25">
      <c r="A897" t="s">
        <v>895</v>
      </c>
      <c r="B897">
        <v>13</v>
      </c>
      <c r="C897">
        <v>21.163</v>
      </c>
    </row>
    <row r="898" spans="1:3" x14ac:dyDescent="0.25">
      <c r="A898" t="s">
        <v>896</v>
      </c>
      <c r="B898">
        <v>8</v>
      </c>
      <c r="C898">
        <v>20.239999999999998</v>
      </c>
    </row>
    <row r="899" spans="1:3" x14ac:dyDescent="0.25">
      <c r="A899" t="s">
        <v>897</v>
      </c>
      <c r="B899">
        <v>13</v>
      </c>
      <c r="C899">
        <v>23.363</v>
      </c>
    </row>
    <row r="900" spans="1:3" x14ac:dyDescent="0.25">
      <c r="A900" t="s">
        <v>898</v>
      </c>
      <c r="B900">
        <v>10</v>
      </c>
      <c r="C900">
        <v>23.1</v>
      </c>
    </row>
    <row r="901" spans="1:3" x14ac:dyDescent="0.25">
      <c r="A901" t="s">
        <v>899</v>
      </c>
      <c r="B901">
        <v>27</v>
      </c>
      <c r="C901">
        <v>56.582999999999998</v>
      </c>
    </row>
    <row r="902" spans="1:3" x14ac:dyDescent="0.25">
      <c r="A902" t="s">
        <v>900</v>
      </c>
      <c r="B902">
        <v>12</v>
      </c>
      <c r="C902">
        <v>28.827999999999999</v>
      </c>
    </row>
    <row r="903" spans="1:3" x14ac:dyDescent="0.25">
      <c r="A903" t="s">
        <v>901</v>
      </c>
      <c r="B903">
        <v>32</v>
      </c>
      <c r="C903">
        <v>67.575999999999993</v>
      </c>
    </row>
    <row r="904" spans="1:3" x14ac:dyDescent="0.25">
      <c r="A904" t="s">
        <v>902</v>
      </c>
      <c r="B904">
        <v>26</v>
      </c>
      <c r="C904">
        <v>55.911999999999999</v>
      </c>
    </row>
    <row r="905" spans="1:3" x14ac:dyDescent="0.25">
      <c r="A905" t="s">
        <v>903</v>
      </c>
      <c r="B905">
        <v>19</v>
      </c>
      <c r="C905">
        <v>36.343000000000004</v>
      </c>
    </row>
    <row r="906" spans="1:3" x14ac:dyDescent="0.25">
      <c r="A906" t="s">
        <v>904</v>
      </c>
      <c r="B906">
        <v>4</v>
      </c>
      <c r="C906">
        <v>10.119999999999999</v>
      </c>
    </row>
    <row r="907" spans="1:3" x14ac:dyDescent="0.25">
      <c r="A907" t="s">
        <v>905</v>
      </c>
      <c r="B907">
        <v>23</v>
      </c>
      <c r="C907">
        <v>46.463000000000001</v>
      </c>
    </row>
    <row r="908" spans="1:3" x14ac:dyDescent="0.25">
      <c r="A908" t="s">
        <v>906</v>
      </c>
      <c r="B908">
        <v>5</v>
      </c>
      <c r="C908">
        <v>12.65</v>
      </c>
    </row>
    <row r="909" spans="1:3" x14ac:dyDescent="0.25">
      <c r="A909" t="s">
        <v>907</v>
      </c>
      <c r="B909">
        <v>19</v>
      </c>
      <c r="C909">
        <v>36.343000000000004</v>
      </c>
    </row>
    <row r="910" spans="1:3" x14ac:dyDescent="0.25">
      <c r="A910" t="s">
        <v>908</v>
      </c>
      <c r="B910">
        <v>4</v>
      </c>
      <c r="C910">
        <v>10.119999999999999</v>
      </c>
    </row>
    <row r="911" spans="1:3" x14ac:dyDescent="0.25">
      <c r="A911" t="s">
        <v>909</v>
      </c>
      <c r="B911">
        <v>23</v>
      </c>
      <c r="C911">
        <v>46.463000000000001</v>
      </c>
    </row>
    <row r="912" spans="1:3" x14ac:dyDescent="0.25">
      <c r="A912" t="s">
        <v>910</v>
      </c>
      <c r="B912">
        <v>17</v>
      </c>
      <c r="C912">
        <v>31.283000000000001</v>
      </c>
    </row>
    <row r="913" spans="1:3" x14ac:dyDescent="0.25">
      <c r="A913" t="s">
        <v>911</v>
      </c>
      <c r="B913">
        <v>6</v>
      </c>
      <c r="C913">
        <v>15.18</v>
      </c>
    </row>
    <row r="914" spans="1:3" x14ac:dyDescent="0.25">
      <c r="A914" t="s">
        <v>912</v>
      </c>
      <c r="B914">
        <v>23</v>
      </c>
      <c r="C914">
        <v>46.463000000000001</v>
      </c>
    </row>
    <row r="915" spans="1:3" x14ac:dyDescent="0.25">
      <c r="A915" t="s">
        <v>913</v>
      </c>
      <c r="B915">
        <v>11</v>
      </c>
      <c r="C915">
        <v>27.83</v>
      </c>
    </row>
    <row r="916" spans="1:3" x14ac:dyDescent="0.25">
      <c r="A916" t="s">
        <v>914</v>
      </c>
      <c r="B916">
        <v>16</v>
      </c>
      <c r="C916">
        <v>29.123000000000001</v>
      </c>
    </row>
    <row r="917" spans="1:3" x14ac:dyDescent="0.25">
      <c r="A917" t="s">
        <v>915</v>
      </c>
      <c r="B917">
        <v>4</v>
      </c>
      <c r="C917">
        <v>10.119999999999999</v>
      </c>
    </row>
    <row r="918" spans="1:3" x14ac:dyDescent="0.25">
      <c r="A918" t="s">
        <v>916</v>
      </c>
      <c r="B918">
        <v>15</v>
      </c>
      <c r="C918">
        <v>33.432000000000002</v>
      </c>
    </row>
    <row r="919" spans="1:3" x14ac:dyDescent="0.25">
      <c r="A919" t="s">
        <v>917</v>
      </c>
      <c r="B919">
        <v>17</v>
      </c>
      <c r="C919">
        <v>31.283000000000001</v>
      </c>
    </row>
    <row r="920" spans="1:3" x14ac:dyDescent="0.25">
      <c r="A920" t="s">
        <v>918</v>
      </c>
      <c r="B920">
        <v>6</v>
      </c>
      <c r="C920">
        <v>15.18</v>
      </c>
    </row>
    <row r="921" spans="1:3" x14ac:dyDescent="0.25">
      <c r="A921" t="s">
        <v>919</v>
      </c>
      <c r="B921">
        <v>9</v>
      </c>
      <c r="C921">
        <v>21.238</v>
      </c>
    </row>
    <row r="922" spans="1:3" x14ac:dyDescent="0.25">
      <c r="A922" t="s">
        <v>920</v>
      </c>
      <c r="B922">
        <v>12</v>
      </c>
      <c r="C922">
        <v>19.003</v>
      </c>
    </row>
    <row r="923" spans="1:3" x14ac:dyDescent="0.25">
      <c r="A923" t="s">
        <v>921</v>
      </c>
      <c r="B923">
        <v>6</v>
      </c>
      <c r="C923">
        <v>17.190000000000001</v>
      </c>
    </row>
    <row r="924" spans="1:3" x14ac:dyDescent="0.25">
      <c r="A924" t="s">
        <v>922</v>
      </c>
      <c r="B924">
        <v>6</v>
      </c>
      <c r="C924">
        <v>14.186</v>
      </c>
    </row>
    <row r="925" spans="1:3" x14ac:dyDescent="0.25">
      <c r="A925" t="s">
        <v>923</v>
      </c>
      <c r="B925">
        <v>6</v>
      </c>
      <c r="C925">
        <v>16.385999999999999</v>
      </c>
    </row>
    <row r="926" spans="1:3" x14ac:dyDescent="0.25">
      <c r="A926" t="s">
        <v>924</v>
      </c>
      <c r="B926">
        <v>6</v>
      </c>
      <c r="C926">
        <v>6.95</v>
      </c>
    </row>
    <row r="927" spans="1:3" x14ac:dyDescent="0.25">
      <c r="A927" t="s">
        <v>925</v>
      </c>
      <c r="B927">
        <v>24</v>
      </c>
      <c r="C927">
        <v>50.524999999999999</v>
      </c>
    </row>
    <row r="928" spans="1:3" x14ac:dyDescent="0.25">
      <c r="A928" t="s">
        <v>926</v>
      </c>
      <c r="B928">
        <v>18</v>
      </c>
      <c r="C928">
        <v>38.750999999999998</v>
      </c>
    </row>
    <row r="929" spans="1:3" x14ac:dyDescent="0.25">
      <c r="A929" t="s">
        <v>927</v>
      </c>
      <c r="B929">
        <v>15</v>
      </c>
      <c r="C929">
        <v>33.432000000000002</v>
      </c>
    </row>
    <row r="930" spans="1:3" x14ac:dyDescent="0.25">
      <c r="A930" t="s">
        <v>928</v>
      </c>
      <c r="B930">
        <v>15</v>
      </c>
      <c r="C930">
        <v>33.432000000000002</v>
      </c>
    </row>
    <row r="931" spans="1:3" x14ac:dyDescent="0.25">
      <c r="A931" t="s">
        <v>929</v>
      </c>
      <c r="B931">
        <v>22</v>
      </c>
      <c r="C931">
        <v>45.465000000000003</v>
      </c>
    </row>
    <row r="932" spans="1:3" x14ac:dyDescent="0.25">
      <c r="A932" t="s">
        <v>930</v>
      </c>
      <c r="B932">
        <v>11</v>
      </c>
      <c r="C932">
        <v>22.437000000000001</v>
      </c>
    </row>
    <row r="933" spans="1:3" x14ac:dyDescent="0.25">
      <c r="A933" t="s">
        <v>931</v>
      </c>
      <c r="B933">
        <v>14</v>
      </c>
      <c r="C933">
        <v>25.225000000000001</v>
      </c>
    </row>
    <row r="934" spans="1:3" x14ac:dyDescent="0.25">
      <c r="A934" t="s">
        <v>932</v>
      </c>
      <c r="B934">
        <v>14</v>
      </c>
      <c r="C934">
        <v>25.225000000000001</v>
      </c>
    </row>
    <row r="935" spans="1:3" x14ac:dyDescent="0.25">
      <c r="A935" t="s">
        <v>933</v>
      </c>
      <c r="B935">
        <v>14</v>
      </c>
      <c r="C935">
        <v>25.225000000000001</v>
      </c>
    </row>
    <row r="936" spans="1:3" x14ac:dyDescent="0.25">
      <c r="A936" t="s">
        <v>934</v>
      </c>
      <c r="B936">
        <v>11</v>
      </c>
      <c r="C936">
        <v>22.437000000000001</v>
      </c>
    </row>
    <row r="937" spans="1:3" x14ac:dyDescent="0.25">
      <c r="A937" t="s">
        <v>935</v>
      </c>
      <c r="B937">
        <v>8</v>
      </c>
      <c r="C937">
        <v>20.239999999999998</v>
      </c>
    </row>
    <row r="938" spans="1:3" x14ac:dyDescent="0.25">
      <c r="A938" t="s">
        <v>936</v>
      </c>
      <c r="B938">
        <v>6</v>
      </c>
      <c r="C938">
        <v>15.18</v>
      </c>
    </row>
    <row r="939" spans="1:3" x14ac:dyDescent="0.25">
      <c r="A939" t="s">
        <v>937</v>
      </c>
      <c r="B939">
        <v>8</v>
      </c>
      <c r="C939">
        <v>20.239999999999998</v>
      </c>
    </row>
    <row r="940" spans="1:3" x14ac:dyDescent="0.25">
      <c r="A940" t="s">
        <v>938</v>
      </c>
      <c r="B940">
        <v>26</v>
      </c>
      <c r="C940">
        <v>55.585000000000001</v>
      </c>
    </row>
    <row r="941" spans="1:3" x14ac:dyDescent="0.25">
      <c r="A941" t="s">
        <v>939</v>
      </c>
      <c r="B941">
        <v>11</v>
      </c>
      <c r="C941">
        <v>22.437000000000001</v>
      </c>
    </row>
    <row r="942" spans="1:3" x14ac:dyDescent="0.25">
      <c r="A942" t="s">
        <v>940</v>
      </c>
      <c r="B942">
        <v>17</v>
      </c>
      <c r="C942">
        <v>38.491999999999997</v>
      </c>
    </row>
    <row r="943" spans="1:3" x14ac:dyDescent="0.25">
      <c r="A943" t="s">
        <v>941</v>
      </c>
      <c r="B943">
        <v>29</v>
      </c>
      <c r="C943">
        <v>59.298999999999999</v>
      </c>
    </row>
    <row r="944" spans="1:3" x14ac:dyDescent="0.25">
      <c r="A944" t="s">
        <v>942</v>
      </c>
      <c r="B944">
        <v>29</v>
      </c>
      <c r="C944">
        <v>59.298999999999999</v>
      </c>
    </row>
    <row r="945" spans="1:3" x14ac:dyDescent="0.25">
      <c r="A945" t="s">
        <v>943</v>
      </c>
      <c r="B945">
        <v>18</v>
      </c>
      <c r="C945">
        <v>48.216000000000001</v>
      </c>
    </row>
    <row r="946" spans="1:3" x14ac:dyDescent="0.25">
      <c r="A946" t="s">
        <v>944</v>
      </c>
      <c r="B946">
        <v>18</v>
      </c>
      <c r="C946">
        <v>41.423999999999999</v>
      </c>
    </row>
    <row r="947" spans="1:3" x14ac:dyDescent="0.25">
      <c r="A947" t="s">
        <v>945</v>
      </c>
      <c r="B947">
        <v>10</v>
      </c>
      <c r="C947">
        <v>17.305</v>
      </c>
    </row>
    <row r="948" spans="1:3" x14ac:dyDescent="0.25">
      <c r="A948" t="s">
        <v>946</v>
      </c>
      <c r="B948">
        <v>6</v>
      </c>
      <c r="C948">
        <v>15.18</v>
      </c>
    </row>
    <row r="949" spans="1:3" x14ac:dyDescent="0.25">
      <c r="A949" t="s">
        <v>947</v>
      </c>
      <c r="B949">
        <v>13</v>
      </c>
      <c r="C949">
        <v>25.393999999999998</v>
      </c>
    </row>
    <row r="950" spans="1:3" x14ac:dyDescent="0.25">
      <c r="A950" t="s">
        <v>948</v>
      </c>
      <c r="B950">
        <v>24</v>
      </c>
      <c r="C950">
        <v>51.420999999999999</v>
      </c>
    </row>
    <row r="951" spans="1:3" x14ac:dyDescent="0.25">
      <c r="A951" t="s">
        <v>949</v>
      </c>
      <c r="B951">
        <v>17</v>
      </c>
      <c r="C951">
        <v>37.616999999999997</v>
      </c>
    </row>
    <row r="952" spans="1:3" x14ac:dyDescent="0.25">
      <c r="A952" t="s">
        <v>950</v>
      </c>
      <c r="B952">
        <v>15</v>
      </c>
      <c r="C952">
        <v>32.557000000000002</v>
      </c>
    </row>
    <row r="953" spans="1:3" x14ac:dyDescent="0.25">
      <c r="A953" t="s">
        <v>951</v>
      </c>
      <c r="B953">
        <v>15</v>
      </c>
      <c r="C953">
        <v>29.786000000000001</v>
      </c>
    </row>
    <row r="954" spans="1:3" x14ac:dyDescent="0.25">
      <c r="A954" t="s">
        <v>952</v>
      </c>
      <c r="B954">
        <v>30</v>
      </c>
      <c r="C954">
        <v>65.704999999999998</v>
      </c>
    </row>
    <row r="955" spans="1:3" x14ac:dyDescent="0.25">
      <c r="A955" t="s">
        <v>953</v>
      </c>
      <c r="B955">
        <v>14</v>
      </c>
      <c r="C955">
        <v>27.425000000000001</v>
      </c>
    </row>
    <row r="956" spans="1:3" x14ac:dyDescent="0.25">
      <c r="A956" t="s">
        <v>954</v>
      </c>
      <c r="B956">
        <v>9</v>
      </c>
      <c r="C956">
        <v>20.283000000000001</v>
      </c>
    </row>
    <row r="957" spans="1:3" x14ac:dyDescent="0.25">
      <c r="A957" t="s">
        <v>955</v>
      </c>
      <c r="B957">
        <v>18</v>
      </c>
      <c r="C957">
        <v>41.308999999999997</v>
      </c>
    </row>
    <row r="958" spans="1:3" x14ac:dyDescent="0.25">
      <c r="A958" t="s">
        <v>956</v>
      </c>
      <c r="B958">
        <v>10</v>
      </c>
      <c r="C958">
        <v>23.268999999999998</v>
      </c>
    </row>
    <row r="959" spans="1:3" x14ac:dyDescent="0.25">
      <c r="A959" t="s">
        <v>957</v>
      </c>
      <c r="B959">
        <v>7</v>
      </c>
      <c r="C959">
        <v>14.348000000000001</v>
      </c>
    </row>
    <row r="960" spans="1:3" x14ac:dyDescent="0.25">
      <c r="A960" t="s">
        <v>958</v>
      </c>
      <c r="B960">
        <v>24</v>
      </c>
      <c r="C960">
        <v>50.524999999999999</v>
      </c>
    </row>
    <row r="961" spans="1:3" x14ac:dyDescent="0.25">
      <c r="A961" t="s">
        <v>959</v>
      </c>
      <c r="B961">
        <v>10</v>
      </c>
      <c r="C961">
        <v>23.268999999999998</v>
      </c>
    </row>
    <row r="962" spans="1:3" x14ac:dyDescent="0.25">
      <c r="A962" t="s">
        <v>960</v>
      </c>
      <c r="B962">
        <v>7</v>
      </c>
      <c r="C962">
        <v>14.348000000000001</v>
      </c>
    </row>
    <row r="963" spans="1:3" x14ac:dyDescent="0.25">
      <c r="A963" t="s">
        <v>961</v>
      </c>
      <c r="B963">
        <v>24</v>
      </c>
      <c r="C963">
        <v>51.420999999999999</v>
      </c>
    </row>
    <row r="964" spans="1:3" x14ac:dyDescent="0.25">
      <c r="A964" t="s">
        <v>962</v>
      </c>
      <c r="B964">
        <v>11</v>
      </c>
      <c r="C964">
        <v>19.666</v>
      </c>
    </row>
    <row r="965" spans="1:3" x14ac:dyDescent="0.25">
      <c r="A965" t="s">
        <v>963</v>
      </c>
      <c r="B965">
        <v>10</v>
      </c>
      <c r="C965">
        <v>23.268999999999998</v>
      </c>
    </row>
    <row r="966" spans="1:3" x14ac:dyDescent="0.25">
      <c r="A966" t="s">
        <v>964</v>
      </c>
      <c r="B966">
        <v>13</v>
      </c>
      <c r="C966">
        <v>27.497</v>
      </c>
    </row>
    <row r="967" spans="1:3" x14ac:dyDescent="0.25">
      <c r="A967" t="s">
        <v>965</v>
      </c>
      <c r="B967">
        <v>17</v>
      </c>
      <c r="C967">
        <v>40.322000000000003</v>
      </c>
    </row>
    <row r="968" spans="1:3" x14ac:dyDescent="0.25">
      <c r="A968" t="s">
        <v>966</v>
      </c>
      <c r="B968">
        <v>18</v>
      </c>
      <c r="C968">
        <v>38.441000000000003</v>
      </c>
    </row>
    <row r="969" spans="1:3" x14ac:dyDescent="0.25">
      <c r="A969" t="s">
        <v>967</v>
      </c>
      <c r="B969">
        <v>20</v>
      </c>
      <c r="C969">
        <v>40.405000000000001</v>
      </c>
    </row>
    <row r="970" spans="1:3" x14ac:dyDescent="0.25">
      <c r="A970" t="s">
        <v>968</v>
      </c>
      <c r="B970">
        <v>22</v>
      </c>
      <c r="C970">
        <v>45.465000000000003</v>
      </c>
    </row>
    <row r="971" spans="1:3" x14ac:dyDescent="0.25">
      <c r="A971" t="s">
        <v>969</v>
      </c>
      <c r="B971">
        <v>8</v>
      </c>
      <c r="C971">
        <v>18.209</v>
      </c>
    </row>
    <row r="972" spans="1:3" x14ac:dyDescent="0.25">
      <c r="A972" t="s">
        <v>970</v>
      </c>
      <c r="B972">
        <v>13</v>
      </c>
      <c r="C972">
        <v>27.497</v>
      </c>
    </row>
    <row r="973" spans="1:3" x14ac:dyDescent="0.25">
      <c r="A973" t="s">
        <v>971</v>
      </c>
      <c r="B973">
        <v>22</v>
      </c>
      <c r="C973">
        <v>45.465000000000003</v>
      </c>
    </row>
    <row r="974" spans="1:3" x14ac:dyDescent="0.25">
      <c r="A974" t="s">
        <v>972</v>
      </c>
      <c r="B974">
        <v>8</v>
      </c>
      <c r="C974">
        <v>18.209</v>
      </c>
    </row>
    <row r="975" spans="1:3" x14ac:dyDescent="0.25">
      <c r="A975" t="s">
        <v>973</v>
      </c>
      <c r="B975">
        <v>13</v>
      </c>
      <c r="C975">
        <v>27.497</v>
      </c>
    </row>
    <row r="976" spans="1:3" x14ac:dyDescent="0.25">
      <c r="A976" t="s">
        <v>974</v>
      </c>
      <c r="B976">
        <v>24</v>
      </c>
      <c r="C976">
        <v>50.524999999999999</v>
      </c>
    </row>
    <row r="977" spans="1:3" x14ac:dyDescent="0.25">
      <c r="A977" t="s">
        <v>975</v>
      </c>
      <c r="B977">
        <v>8</v>
      </c>
      <c r="C977">
        <v>18.209</v>
      </c>
    </row>
    <row r="978" spans="1:3" x14ac:dyDescent="0.25">
      <c r="A978" t="s">
        <v>976</v>
      </c>
      <c r="B978">
        <v>13</v>
      </c>
      <c r="C978">
        <v>27.497</v>
      </c>
    </row>
    <row r="979" spans="1:3" x14ac:dyDescent="0.25">
      <c r="A979" t="s">
        <v>977</v>
      </c>
      <c r="B979">
        <v>12</v>
      </c>
      <c r="C979">
        <v>30.36</v>
      </c>
    </row>
    <row r="980" spans="1:3" x14ac:dyDescent="0.25">
      <c r="A980" t="s">
        <v>978</v>
      </c>
      <c r="B980">
        <v>6</v>
      </c>
      <c r="C980">
        <v>13.148999999999999</v>
      </c>
    </row>
    <row r="981" spans="1:3" x14ac:dyDescent="0.25">
      <c r="A981" t="s">
        <v>979</v>
      </c>
      <c r="B981">
        <v>14</v>
      </c>
      <c r="C981">
        <v>25.225000000000001</v>
      </c>
    </row>
    <row r="982" spans="1:3" x14ac:dyDescent="0.25">
      <c r="A982" t="s">
        <v>980</v>
      </c>
      <c r="B982">
        <v>13</v>
      </c>
      <c r="C982">
        <v>27.497</v>
      </c>
    </row>
    <row r="983" spans="1:3" x14ac:dyDescent="0.25">
      <c r="A983" t="s">
        <v>981</v>
      </c>
      <c r="B983">
        <v>12</v>
      </c>
      <c r="C983">
        <v>30.36</v>
      </c>
    </row>
    <row r="984" spans="1:3" x14ac:dyDescent="0.25">
      <c r="A984" t="s">
        <v>982</v>
      </c>
      <c r="B984">
        <v>8</v>
      </c>
      <c r="C984">
        <v>18.209</v>
      </c>
    </row>
    <row r="985" spans="1:3" x14ac:dyDescent="0.25">
      <c r="A985" t="s">
        <v>983</v>
      </c>
      <c r="B985">
        <v>14</v>
      </c>
      <c r="C985">
        <v>25.225000000000001</v>
      </c>
    </row>
    <row r="986" spans="1:3" x14ac:dyDescent="0.25">
      <c r="A986" t="s">
        <v>984</v>
      </c>
      <c r="B986">
        <v>13</v>
      </c>
      <c r="C986">
        <v>27.497</v>
      </c>
    </row>
    <row r="987" spans="1:3" x14ac:dyDescent="0.25">
      <c r="A987" t="s">
        <v>985</v>
      </c>
      <c r="B987">
        <v>12</v>
      </c>
      <c r="C987">
        <v>30.36</v>
      </c>
    </row>
    <row r="988" spans="1:3" x14ac:dyDescent="0.25">
      <c r="A988" t="s">
        <v>986</v>
      </c>
      <c r="B988">
        <v>8</v>
      </c>
      <c r="C988">
        <v>18.209</v>
      </c>
    </row>
    <row r="989" spans="1:3" x14ac:dyDescent="0.25">
      <c r="A989" t="s">
        <v>987</v>
      </c>
      <c r="B989">
        <v>14</v>
      </c>
      <c r="C989">
        <v>25.225000000000001</v>
      </c>
    </row>
    <row r="990" spans="1:3" x14ac:dyDescent="0.25">
      <c r="A990" t="s">
        <v>988</v>
      </c>
      <c r="B990">
        <v>13</v>
      </c>
      <c r="C990">
        <v>27.497</v>
      </c>
    </row>
    <row r="991" spans="1:3" x14ac:dyDescent="0.25">
      <c r="A991" t="s">
        <v>989</v>
      </c>
      <c r="B991">
        <v>12</v>
      </c>
      <c r="C991">
        <v>28.329000000000001</v>
      </c>
    </row>
    <row r="992" spans="1:3" x14ac:dyDescent="0.25">
      <c r="A992" t="s">
        <v>990</v>
      </c>
      <c r="B992">
        <v>22</v>
      </c>
      <c r="C992">
        <v>45.465000000000003</v>
      </c>
    </row>
    <row r="993" spans="1:3" x14ac:dyDescent="0.25">
      <c r="A993" t="s">
        <v>991</v>
      </c>
      <c r="B993">
        <v>13</v>
      </c>
      <c r="C993">
        <v>27.497</v>
      </c>
    </row>
    <row r="994" spans="1:3" x14ac:dyDescent="0.25">
      <c r="A994" t="s">
        <v>992</v>
      </c>
      <c r="B994">
        <v>30</v>
      </c>
      <c r="C994">
        <v>57.947000000000003</v>
      </c>
    </row>
    <row r="995" spans="1:3" x14ac:dyDescent="0.25">
      <c r="A995" t="s">
        <v>993</v>
      </c>
      <c r="B995">
        <v>13</v>
      </c>
      <c r="C995">
        <v>41.988999999999997</v>
      </c>
    </row>
    <row r="996" spans="1:3" x14ac:dyDescent="0.25">
      <c r="A996" t="s">
        <v>994</v>
      </c>
      <c r="B996">
        <v>14</v>
      </c>
      <c r="C996">
        <v>33.420999999999999</v>
      </c>
    </row>
    <row r="997" spans="1:3" x14ac:dyDescent="0.25">
      <c r="A997" t="s">
        <v>995</v>
      </c>
      <c r="B997">
        <v>50</v>
      </c>
      <c r="C997">
        <v>155.995</v>
      </c>
    </row>
    <row r="998" spans="1:3" x14ac:dyDescent="0.25">
      <c r="A998" t="s">
        <v>996</v>
      </c>
      <c r="B998">
        <v>15</v>
      </c>
      <c r="C998">
        <v>48.847999999999999</v>
      </c>
    </row>
    <row r="999" spans="1:3" x14ac:dyDescent="0.25">
      <c r="A999" t="s">
        <v>997</v>
      </c>
      <c r="B999">
        <v>23</v>
      </c>
      <c r="C999">
        <v>75.018000000000001</v>
      </c>
    </row>
    <row r="1000" spans="1:3" x14ac:dyDescent="0.25">
      <c r="A1000" t="s">
        <v>998</v>
      </c>
      <c r="B1000">
        <v>30</v>
      </c>
      <c r="C1000">
        <v>58.445999999999998</v>
      </c>
    </row>
    <row r="1001" spans="1:3" x14ac:dyDescent="0.25">
      <c r="A1001" t="s">
        <v>999</v>
      </c>
      <c r="B1001">
        <v>30</v>
      </c>
      <c r="C1001">
        <v>58.445999999999998</v>
      </c>
    </row>
    <row r="1002" spans="1:3" x14ac:dyDescent="0.25">
      <c r="A1002" t="s">
        <v>1000</v>
      </c>
      <c r="B1002">
        <v>11</v>
      </c>
      <c r="C1002">
        <v>21.817</v>
      </c>
    </row>
    <row r="1003" spans="1:3" x14ac:dyDescent="0.25">
      <c r="A1003" t="s">
        <v>1001</v>
      </c>
      <c r="B1003">
        <v>20</v>
      </c>
      <c r="C1003">
        <v>39.746000000000002</v>
      </c>
    </row>
    <row r="1004" spans="1:3" x14ac:dyDescent="0.25">
      <c r="A1004" t="s">
        <v>1002</v>
      </c>
      <c r="B1004">
        <v>25</v>
      </c>
      <c r="C1004">
        <v>64.070999999999998</v>
      </c>
    </row>
    <row r="1005" spans="1:3" x14ac:dyDescent="0.25">
      <c r="A1005" t="s">
        <v>1003</v>
      </c>
      <c r="B1005">
        <v>20</v>
      </c>
      <c r="C1005">
        <v>39.746000000000002</v>
      </c>
    </row>
    <row r="1006" spans="1:3" x14ac:dyDescent="0.25">
      <c r="A1006" t="s">
        <v>1004</v>
      </c>
      <c r="B1006">
        <v>26</v>
      </c>
      <c r="C1006">
        <v>72.043999999999997</v>
      </c>
    </row>
    <row r="1007" spans="1:3" x14ac:dyDescent="0.25">
      <c r="A1007" t="s">
        <v>1005</v>
      </c>
      <c r="B1007">
        <v>19</v>
      </c>
      <c r="C1007">
        <v>50.228999999999999</v>
      </c>
    </row>
    <row r="1008" spans="1:3" x14ac:dyDescent="0.25">
      <c r="A1008" t="s">
        <v>1006</v>
      </c>
      <c r="B1008">
        <v>21</v>
      </c>
      <c r="C1008">
        <v>61.115000000000002</v>
      </c>
    </row>
    <row r="1009" spans="1:3" x14ac:dyDescent="0.25">
      <c r="A1009" t="s">
        <v>1007</v>
      </c>
      <c r="B1009">
        <v>18</v>
      </c>
      <c r="C1009">
        <v>56.493000000000002</v>
      </c>
    </row>
    <row r="1010" spans="1:3" x14ac:dyDescent="0.25">
      <c r="A1010" t="s">
        <v>1008</v>
      </c>
      <c r="B1010">
        <v>19</v>
      </c>
      <c r="C1010">
        <v>55.024000000000001</v>
      </c>
    </row>
    <row r="1011" spans="1:3" x14ac:dyDescent="0.25">
      <c r="A1011" t="s">
        <v>1009</v>
      </c>
      <c r="B1011">
        <v>15</v>
      </c>
      <c r="C1011">
        <v>35.771000000000001</v>
      </c>
    </row>
    <row r="1012" spans="1:3" x14ac:dyDescent="0.25">
      <c r="A1012" t="s">
        <v>1010</v>
      </c>
      <c r="B1012">
        <v>26</v>
      </c>
      <c r="C1012">
        <v>88.073999999999998</v>
      </c>
    </row>
    <row r="1013" spans="1:3" x14ac:dyDescent="0.25">
      <c r="A1013" t="s">
        <v>1011</v>
      </c>
      <c r="B1013">
        <v>21</v>
      </c>
      <c r="C1013">
        <v>59.573999999999998</v>
      </c>
    </row>
    <row r="1014" spans="1:3" x14ac:dyDescent="0.25">
      <c r="A1014" t="s">
        <v>1012</v>
      </c>
      <c r="B1014">
        <v>4</v>
      </c>
      <c r="C1014">
        <v>11.728</v>
      </c>
    </row>
    <row r="1015" spans="1:3" x14ac:dyDescent="0.25">
      <c r="A1015" t="s">
        <v>1013</v>
      </c>
      <c r="B1015">
        <v>23</v>
      </c>
      <c r="C1015">
        <v>60.917999999999999</v>
      </c>
    </row>
    <row r="1016" spans="1:3" x14ac:dyDescent="0.25">
      <c r="A1016" t="s">
        <v>1014</v>
      </c>
      <c r="B1016">
        <v>21</v>
      </c>
      <c r="C1016">
        <v>39.101999999999997</v>
      </c>
    </row>
    <row r="1017" spans="1:3" x14ac:dyDescent="0.25">
      <c r="A1017" t="s">
        <v>1015</v>
      </c>
      <c r="B1017">
        <v>23</v>
      </c>
      <c r="C1017">
        <v>67.474999999999994</v>
      </c>
    </row>
    <row r="1018" spans="1:3" x14ac:dyDescent="0.25">
      <c r="A1018" t="s">
        <v>1016</v>
      </c>
      <c r="B1018">
        <v>25</v>
      </c>
      <c r="C1018">
        <v>69.965000000000003</v>
      </c>
    </row>
    <row r="1019" spans="1:3" x14ac:dyDescent="0.25">
      <c r="A1019" t="s">
        <v>1017</v>
      </c>
      <c r="B1019">
        <v>23</v>
      </c>
      <c r="C1019">
        <v>75.018000000000001</v>
      </c>
    </row>
    <row r="1020" spans="1:3" x14ac:dyDescent="0.25">
      <c r="A1020" t="s">
        <v>1018</v>
      </c>
      <c r="B1020">
        <v>18</v>
      </c>
      <c r="C1020">
        <v>56.493000000000002</v>
      </c>
    </row>
    <row r="1021" spans="1:3" x14ac:dyDescent="0.25">
      <c r="A1021" t="s">
        <v>1019</v>
      </c>
      <c r="B1021">
        <v>19</v>
      </c>
      <c r="C1021">
        <v>55.024000000000001</v>
      </c>
    </row>
    <row r="1022" spans="1:3" x14ac:dyDescent="0.25">
      <c r="A1022" t="s">
        <v>1020</v>
      </c>
      <c r="B1022">
        <v>29</v>
      </c>
      <c r="C1022">
        <v>91.698999999999998</v>
      </c>
    </row>
    <row r="1023" spans="1:3" x14ac:dyDescent="0.25">
      <c r="A1023" t="s">
        <v>1021</v>
      </c>
      <c r="B1023">
        <v>4</v>
      </c>
      <c r="C1023">
        <v>8.0890000000000004</v>
      </c>
    </row>
    <row r="1024" spans="1:3" x14ac:dyDescent="0.25">
      <c r="A1024" t="s">
        <v>1022</v>
      </c>
      <c r="B1024">
        <v>37</v>
      </c>
      <c r="C1024">
        <v>93.778000000000006</v>
      </c>
    </row>
    <row r="1025" spans="1:3" x14ac:dyDescent="0.25">
      <c r="A1025" t="s">
        <v>1023</v>
      </c>
      <c r="B1025">
        <v>11</v>
      </c>
      <c r="C1025">
        <v>40.478000000000002</v>
      </c>
    </row>
    <row r="1026" spans="1:3" x14ac:dyDescent="0.25">
      <c r="A1026" t="s">
        <v>1024</v>
      </c>
      <c r="B1026">
        <v>21</v>
      </c>
      <c r="C1026">
        <v>61.84</v>
      </c>
    </row>
    <row r="1027" spans="1:3" x14ac:dyDescent="0.25">
      <c r="A1027" t="s">
        <v>1025</v>
      </c>
      <c r="B1027">
        <v>34</v>
      </c>
      <c r="C1027">
        <v>89.082999999999998</v>
      </c>
    </row>
    <row r="1028" spans="1:3" x14ac:dyDescent="0.25">
      <c r="A1028" t="s">
        <v>1026</v>
      </c>
      <c r="B1028">
        <v>12</v>
      </c>
      <c r="C1028">
        <v>36.085999999999999</v>
      </c>
    </row>
    <row r="1029" spans="1:3" x14ac:dyDescent="0.25">
      <c r="A1029" t="s">
        <v>1027</v>
      </c>
      <c r="B1029">
        <v>27</v>
      </c>
      <c r="C1029">
        <v>65.168000000000006</v>
      </c>
    </row>
    <row r="1030" spans="1:3" x14ac:dyDescent="0.25">
      <c r="A1030" t="s">
        <v>1028</v>
      </c>
      <c r="B1030">
        <v>16</v>
      </c>
      <c r="C1030">
        <v>31.978000000000002</v>
      </c>
    </row>
    <row r="1031" spans="1:3" x14ac:dyDescent="0.25">
      <c r="A1031" t="s">
        <v>1029</v>
      </c>
      <c r="B1031">
        <v>14</v>
      </c>
      <c r="C1031">
        <v>40.948999999999998</v>
      </c>
    </row>
    <row r="1032" spans="1:3" x14ac:dyDescent="0.25">
      <c r="A1032" t="s">
        <v>1030</v>
      </c>
      <c r="B1032">
        <v>27</v>
      </c>
      <c r="C1032">
        <v>75.403999999999996</v>
      </c>
    </row>
    <row r="1033" spans="1:3" x14ac:dyDescent="0.25">
      <c r="A1033" t="s">
        <v>1031</v>
      </c>
      <c r="B1033">
        <v>23</v>
      </c>
      <c r="C1033">
        <v>53.594000000000001</v>
      </c>
    </row>
    <row r="1034" spans="1:3" x14ac:dyDescent="0.25">
      <c r="A1034" t="s">
        <v>1032</v>
      </c>
      <c r="B1034">
        <v>21</v>
      </c>
      <c r="C1034">
        <v>38.534999999999997</v>
      </c>
    </row>
    <row r="1035" spans="1:3" x14ac:dyDescent="0.25">
      <c r="A1035" t="s">
        <v>1033</v>
      </c>
      <c r="B1035">
        <v>24</v>
      </c>
      <c r="C1035">
        <v>54.591999999999999</v>
      </c>
    </row>
    <row r="1036" spans="1:3" x14ac:dyDescent="0.25">
      <c r="A1036" t="s">
        <v>1034</v>
      </c>
      <c r="B1036">
        <v>20</v>
      </c>
      <c r="C1036">
        <v>37.536999999999999</v>
      </c>
    </row>
    <row r="1037" spans="1:3" x14ac:dyDescent="0.25">
      <c r="A1037" t="s">
        <v>1035</v>
      </c>
      <c r="B1037">
        <v>22</v>
      </c>
      <c r="C1037">
        <v>41.564</v>
      </c>
    </row>
    <row r="1038" spans="1:3" x14ac:dyDescent="0.25">
      <c r="A1038" t="s">
        <v>1036</v>
      </c>
      <c r="B1038">
        <v>25</v>
      </c>
      <c r="C1038">
        <v>49.625999999999998</v>
      </c>
    </row>
    <row r="1039" spans="1:3" x14ac:dyDescent="0.25">
      <c r="A1039" t="s">
        <v>1037</v>
      </c>
      <c r="B1039">
        <v>8</v>
      </c>
      <c r="C1039">
        <v>17.175999999999998</v>
      </c>
    </row>
    <row r="1040" spans="1:3" x14ac:dyDescent="0.25">
      <c r="A1040" t="s">
        <v>1038</v>
      </c>
      <c r="B1040">
        <v>24</v>
      </c>
      <c r="C1040">
        <v>47.656999999999996</v>
      </c>
    </row>
    <row r="1041" spans="1:3" x14ac:dyDescent="0.25">
      <c r="A1041" t="s">
        <v>1039</v>
      </c>
      <c r="B1041">
        <v>32</v>
      </c>
      <c r="C1041">
        <v>65.804000000000002</v>
      </c>
    </row>
    <row r="1042" spans="1:3" x14ac:dyDescent="0.25">
      <c r="A1042" t="s">
        <v>1040</v>
      </c>
      <c r="B1042">
        <v>27</v>
      </c>
      <c r="C1042">
        <v>53.715000000000003</v>
      </c>
    </row>
    <row r="1043" spans="1:3" x14ac:dyDescent="0.25">
      <c r="A1043" t="s">
        <v>1041</v>
      </c>
      <c r="B1043">
        <v>27</v>
      </c>
      <c r="C1043">
        <v>61.683</v>
      </c>
    </row>
    <row r="1044" spans="1:3" x14ac:dyDescent="0.25">
      <c r="A1044" t="s">
        <v>1042</v>
      </c>
      <c r="B1044">
        <v>49</v>
      </c>
      <c r="C1044">
        <v>105.27800000000001</v>
      </c>
    </row>
    <row r="1045" spans="1:3" x14ac:dyDescent="0.25">
      <c r="A1045" t="s">
        <v>1043</v>
      </c>
      <c r="B1045">
        <v>30</v>
      </c>
      <c r="C1045">
        <v>64.677000000000007</v>
      </c>
    </row>
    <row r="1046" spans="1:3" x14ac:dyDescent="0.25">
      <c r="A1046" t="s">
        <v>1044</v>
      </c>
      <c r="B1046">
        <v>26</v>
      </c>
      <c r="C1046">
        <v>52.716999999999999</v>
      </c>
    </row>
    <row r="1047" spans="1:3" x14ac:dyDescent="0.25">
      <c r="A1047" t="s">
        <v>1045</v>
      </c>
      <c r="B1047">
        <v>6</v>
      </c>
      <c r="C1047">
        <v>15.18</v>
      </c>
    </row>
    <row r="1048" spans="1:3" x14ac:dyDescent="0.25">
      <c r="A1048" t="s">
        <v>1046</v>
      </c>
      <c r="B1048">
        <v>23</v>
      </c>
      <c r="C1048">
        <v>50.53</v>
      </c>
    </row>
    <row r="1049" spans="1:3" x14ac:dyDescent="0.25">
      <c r="A1049" t="s">
        <v>1047</v>
      </c>
      <c r="B1049">
        <v>4</v>
      </c>
      <c r="C1049">
        <v>10.119999999999999</v>
      </c>
    </row>
    <row r="1050" spans="1:3" x14ac:dyDescent="0.25">
      <c r="A1050" t="s">
        <v>1048</v>
      </c>
      <c r="B1050">
        <v>28</v>
      </c>
      <c r="C1050">
        <v>56.744</v>
      </c>
    </row>
    <row r="1051" spans="1:3" x14ac:dyDescent="0.25">
      <c r="A1051" t="s">
        <v>1049</v>
      </c>
      <c r="B1051">
        <v>8</v>
      </c>
      <c r="C1051">
        <v>20.239999999999998</v>
      </c>
    </row>
    <row r="1052" spans="1:3" x14ac:dyDescent="0.25">
      <c r="A1052" t="s">
        <v>1050</v>
      </c>
      <c r="B1052">
        <v>51</v>
      </c>
      <c r="C1052">
        <v>106.378</v>
      </c>
    </row>
    <row r="1053" spans="1:3" x14ac:dyDescent="0.25">
      <c r="A1053" t="s">
        <v>1051</v>
      </c>
      <c r="B1053">
        <v>8</v>
      </c>
      <c r="C1053">
        <v>20.239999999999998</v>
      </c>
    </row>
    <row r="1054" spans="1:3" x14ac:dyDescent="0.25">
      <c r="A1054" t="s">
        <v>1052</v>
      </c>
      <c r="B1054">
        <v>26</v>
      </c>
      <c r="C1054">
        <v>54.926000000000002</v>
      </c>
    </row>
    <row r="1055" spans="1:3" x14ac:dyDescent="0.25">
      <c r="A1055" t="s">
        <v>1053</v>
      </c>
      <c r="B1055">
        <v>44</v>
      </c>
      <c r="C1055">
        <v>94.429000000000002</v>
      </c>
    </row>
    <row r="1056" spans="1:3" x14ac:dyDescent="0.25">
      <c r="A1056" t="s">
        <v>1054</v>
      </c>
      <c r="B1056">
        <v>8</v>
      </c>
      <c r="C1056">
        <v>22.334</v>
      </c>
    </row>
    <row r="1057" spans="1:3" x14ac:dyDescent="0.25">
      <c r="A1057" t="s">
        <v>1055</v>
      </c>
      <c r="B1057">
        <v>8</v>
      </c>
      <c r="C1057">
        <v>22.334</v>
      </c>
    </row>
    <row r="1058" spans="1:3" x14ac:dyDescent="0.25">
      <c r="A1058" t="s">
        <v>1056</v>
      </c>
      <c r="B1058">
        <v>2</v>
      </c>
      <c r="C1058">
        <v>3.5019999999999998</v>
      </c>
    </row>
    <row r="1059" spans="1:3" x14ac:dyDescent="0.25">
      <c r="A1059" t="s">
        <v>1057</v>
      </c>
      <c r="B1059">
        <v>1</v>
      </c>
      <c r="C1059">
        <v>0.4</v>
      </c>
    </row>
    <row r="1060" spans="1:3" x14ac:dyDescent="0.25">
      <c r="A1060" t="s">
        <v>1058</v>
      </c>
      <c r="B1060">
        <v>2</v>
      </c>
      <c r="C1060">
        <v>1.4</v>
      </c>
    </row>
    <row r="1061" spans="1:3" x14ac:dyDescent="0.25">
      <c r="A1061" t="s">
        <v>1059</v>
      </c>
      <c r="B1061">
        <v>9</v>
      </c>
      <c r="C1061">
        <v>20.506</v>
      </c>
    </row>
    <row r="1062" spans="1:3" x14ac:dyDescent="0.25">
      <c r="A1062" t="s">
        <v>1060</v>
      </c>
      <c r="B1062">
        <v>16</v>
      </c>
      <c r="C1062">
        <v>31.753</v>
      </c>
    </row>
    <row r="1063" spans="1:3" x14ac:dyDescent="0.25">
      <c r="A1063" t="s">
        <v>1061</v>
      </c>
      <c r="B1063">
        <v>24</v>
      </c>
      <c r="C1063">
        <v>63.914000000000001</v>
      </c>
    </row>
    <row r="1064" spans="1:3" x14ac:dyDescent="0.25">
      <c r="A1064" t="s">
        <v>1062</v>
      </c>
      <c r="B1064">
        <v>11</v>
      </c>
      <c r="C1064">
        <v>25.565999999999999</v>
      </c>
    </row>
    <row r="1065" spans="1:3" x14ac:dyDescent="0.25">
      <c r="A1065" t="s">
        <v>1063</v>
      </c>
      <c r="B1065">
        <v>18</v>
      </c>
      <c r="C1065">
        <v>36.813000000000002</v>
      </c>
    </row>
    <row r="1066" spans="1:3" x14ac:dyDescent="0.25">
      <c r="A1066" t="s">
        <v>1064</v>
      </c>
      <c r="B1066">
        <v>4</v>
      </c>
      <c r="C1066">
        <v>12.72</v>
      </c>
    </row>
    <row r="1067" spans="1:3" x14ac:dyDescent="0.25">
      <c r="A1067" t="s">
        <v>1065</v>
      </c>
      <c r="B1067">
        <v>6</v>
      </c>
      <c r="C1067">
        <v>19.079999999999998</v>
      </c>
    </row>
    <row r="1068" spans="1:3" x14ac:dyDescent="0.25">
      <c r="A1068" t="s">
        <v>1066</v>
      </c>
      <c r="B1068">
        <v>6</v>
      </c>
      <c r="C1068">
        <v>12.417</v>
      </c>
    </row>
    <row r="1069" spans="1:3" x14ac:dyDescent="0.25">
      <c r="A1069" t="s">
        <v>1067</v>
      </c>
      <c r="B1069">
        <v>16</v>
      </c>
      <c r="C1069">
        <v>41.378</v>
      </c>
    </row>
    <row r="1070" spans="1:3" x14ac:dyDescent="0.25">
      <c r="A1070" t="s">
        <v>1068</v>
      </c>
      <c r="B1070">
        <v>16</v>
      </c>
      <c r="C1070">
        <v>41.378</v>
      </c>
    </row>
    <row r="1071" spans="1:3" x14ac:dyDescent="0.25">
      <c r="A1071" t="s">
        <v>1069</v>
      </c>
      <c r="B1071">
        <v>18</v>
      </c>
      <c r="C1071">
        <v>37.709000000000003</v>
      </c>
    </row>
    <row r="1072" spans="1:3" x14ac:dyDescent="0.25">
      <c r="A1072" t="s">
        <v>1070</v>
      </c>
      <c r="B1072">
        <v>6</v>
      </c>
      <c r="C1072">
        <v>15.18</v>
      </c>
    </row>
    <row r="1073" spans="1:3" x14ac:dyDescent="0.25">
      <c r="A1073" t="s">
        <v>1071</v>
      </c>
      <c r="B1073">
        <v>18</v>
      </c>
      <c r="C1073">
        <v>43.99</v>
      </c>
    </row>
    <row r="1074" spans="1:3" x14ac:dyDescent="0.25">
      <c r="A1074" t="s">
        <v>1072</v>
      </c>
      <c r="B1074">
        <v>13</v>
      </c>
      <c r="C1074">
        <v>15.87</v>
      </c>
    </row>
    <row r="1075" spans="1:3" x14ac:dyDescent="0.25">
      <c r="A1075" t="s">
        <v>1073</v>
      </c>
      <c r="B1075">
        <v>21</v>
      </c>
      <c r="C1075">
        <v>65.254000000000005</v>
      </c>
    </row>
    <row r="1076" spans="1:3" x14ac:dyDescent="0.25">
      <c r="A1076" t="s">
        <v>1074</v>
      </c>
      <c r="B1076">
        <v>9</v>
      </c>
      <c r="C1076">
        <v>20.506</v>
      </c>
    </row>
    <row r="1077" spans="1:3" x14ac:dyDescent="0.25">
      <c r="A1077" t="s">
        <v>1075</v>
      </c>
      <c r="B1077">
        <v>21</v>
      </c>
      <c r="C1077">
        <v>65.254000000000005</v>
      </c>
    </row>
    <row r="1078" spans="1:3" x14ac:dyDescent="0.25">
      <c r="A1078" t="s">
        <v>1076</v>
      </c>
      <c r="B1078">
        <v>9</v>
      </c>
      <c r="C1078">
        <v>20.506</v>
      </c>
    </row>
    <row r="1079" spans="1:3" x14ac:dyDescent="0.25">
      <c r="A1079" t="s">
        <v>1077</v>
      </c>
      <c r="B1079">
        <v>27</v>
      </c>
      <c r="C1079">
        <v>88.257999999999996</v>
      </c>
    </row>
    <row r="1080" spans="1:3" x14ac:dyDescent="0.25">
      <c r="A1080" t="s">
        <v>1078</v>
      </c>
      <c r="B1080">
        <v>25</v>
      </c>
      <c r="C1080">
        <v>80.59</v>
      </c>
    </row>
    <row r="1081" spans="1:3" x14ac:dyDescent="0.25">
      <c r="A1081" t="s">
        <v>1079</v>
      </c>
      <c r="B1081">
        <v>23</v>
      </c>
      <c r="C1081">
        <v>72.921999999999997</v>
      </c>
    </row>
    <row r="1082" spans="1:3" x14ac:dyDescent="0.25">
      <c r="A1082" t="s">
        <v>1080</v>
      </c>
      <c r="B1082">
        <v>27</v>
      </c>
      <c r="C1082">
        <v>88.257999999999996</v>
      </c>
    </row>
    <row r="1083" spans="1:3" x14ac:dyDescent="0.25">
      <c r="A1083" t="s">
        <v>1081</v>
      </c>
      <c r="B1083">
        <v>9</v>
      </c>
      <c r="C1083">
        <v>20.506</v>
      </c>
    </row>
    <row r="1084" spans="1:3" x14ac:dyDescent="0.25">
      <c r="A1084" t="s">
        <v>1082</v>
      </c>
      <c r="B1084">
        <v>23</v>
      </c>
      <c r="C1084">
        <v>72.921999999999997</v>
      </c>
    </row>
    <row r="1085" spans="1:3" x14ac:dyDescent="0.25">
      <c r="A1085" t="s">
        <v>1083</v>
      </c>
      <c r="B1085">
        <v>7</v>
      </c>
      <c r="C1085">
        <v>18.731999999999999</v>
      </c>
    </row>
    <row r="1086" spans="1:3" x14ac:dyDescent="0.25">
      <c r="A1086" t="s">
        <v>1084</v>
      </c>
      <c r="B1086">
        <v>9</v>
      </c>
      <c r="C1086">
        <v>20.506</v>
      </c>
    </row>
    <row r="1087" spans="1:3" x14ac:dyDescent="0.25">
      <c r="A1087" t="s">
        <v>1085</v>
      </c>
      <c r="B1087">
        <v>12</v>
      </c>
      <c r="C1087">
        <v>27.597000000000001</v>
      </c>
    </row>
    <row r="1088" spans="1:3" x14ac:dyDescent="0.25">
      <c r="A1088" t="s">
        <v>1086</v>
      </c>
      <c r="B1088">
        <v>23</v>
      </c>
      <c r="C1088">
        <v>72.921999999999997</v>
      </c>
    </row>
    <row r="1089" spans="1:3" x14ac:dyDescent="0.25">
      <c r="A1089" t="s">
        <v>1087</v>
      </c>
      <c r="B1089">
        <v>9</v>
      </c>
      <c r="C1089">
        <v>20.506</v>
      </c>
    </row>
    <row r="1090" spans="1:3" x14ac:dyDescent="0.25">
      <c r="A1090" t="s">
        <v>1088</v>
      </c>
      <c r="B1090">
        <v>7</v>
      </c>
      <c r="C1090">
        <v>18.731999999999999</v>
      </c>
    </row>
    <row r="1091" spans="1:3" x14ac:dyDescent="0.25">
      <c r="A1091" t="s">
        <v>1089</v>
      </c>
      <c r="B1091">
        <v>14</v>
      </c>
      <c r="C1091">
        <v>32.656999999999996</v>
      </c>
    </row>
    <row r="1092" spans="1:3" x14ac:dyDescent="0.25">
      <c r="A1092" t="s">
        <v>1090</v>
      </c>
      <c r="B1092">
        <v>23</v>
      </c>
      <c r="C1092">
        <v>60.734000000000002</v>
      </c>
    </row>
    <row r="1093" spans="1:3" x14ac:dyDescent="0.25">
      <c r="A1093" t="s">
        <v>1091</v>
      </c>
      <c r="B1093">
        <v>16</v>
      </c>
      <c r="C1093">
        <v>31.753</v>
      </c>
    </row>
    <row r="1094" spans="1:3" x14ac:dyDescent="0.25">
      <c r="A1094" t="s">
        <v>1092</v>
      </c>
      <c r="B1094">
        <v>21</v>
      </c>
      <c r="C1094">
        <v>54.374000000000002</v>
      </c>
    </row>
    <row r="1095" spans="1:3" x14ac:dyDescent="0.25">
      <c r="A1095" t="s">
        <v>1093</v>
      </c>
      <c r="B1095">
        <v>18</v>
      </c>
      <c r="C1095">
        <v>50.222999999999999</v>
      </c>
    </row>
    <row r="1096" spans="1:3" x14ac:dyDescent="0.25">
      <c r="A1096" t="s">
        <v>1094</v>
      </c>
      <c r="B1096">
        <v>14</v>
      </c>
      <c r="C1096">
        <v>39.030999999999999</v>
      </c>
    </row>
    <row r="1097" spans="1:3" x14ac:dyDescent="0.25">
      <c r="A1097" t="s">
        <v>1095</v>
      </c>
      <c r="B1097">
        <v>11</v>
      </c>
      <c r="C1097">
        <v>25.565999999999999</v>
      </c>
    </row>
    <row r="1098" spans="1:3" x14ac:dyDescent="0.25">
      <c r="A1098" t="s">
        <v>1096</v>
      </c>
      <c r="B1098">
        <v>10</v>
      </c>
      <c r="C1098">
        <v>22.536999999999999</v>
      </c>
    </row>
    <row r="1099" spans="1:3" x14ac:dyDescent="0.25">
      <c r="A1099" t="s">
        <v>1097</v>
      </c>
      <c r="B1099">
        <v>23</v>
      </c>
      <c r="C1099">
        <v>72.921999999999997</v>
      </c>
    </row>
    <row r="1100" spans="1:3" x14ac:dyDescent="0.25">
      <c r="A1100" t="s">
        <v>1098</v>
      </c>
      <c r="B1100">
        <v>9</v>
      </c>
      <c r="C1100">
        <v>20.506</v>
      </c>
    </row>
    <row r="1101" spans="1:3" x14ac:dyDescent="0.25">
      <c r="A1101" t="s">
        <v>1099</v>
      </c>
      <c r="B1101">
        <v>25</v>
      </c>
      <c r="C1101">
        <v>80.59</v>
      </c>
    </row>
    <row r="1102" spans="1:3" x14ac:dyDescent="0.25">
      <c r="A1102" t="s">
        <v>1100</v>
      </c>
      <c r="B1102">
        <v>16</v>
      </c>
      <c r="C1102">
        <v>31.753</v>
      </c>
    </row>
    <row r="1103" spans="1:3" x14ac:dyDescent="0.25">
      <c r="A1103" t="s">
        <v>1101</v>
      </c>
      <c r="B1103">
        <v>23</v>
      </c>
      <c r="C1103">
        <v>60.734000000000002</v>
      </c>
    </row>
    <row r="1104" spans="1:3" x14ac:dyDescent="0.25">
      <c r="A1104" t="s">
        <v>1102</v>
      </c>
      <c r="B1104">
        <v>9</v>
      </c>
      <c r="C1104">
        <v>20.506</v>
      </c>
    </row>
    <row r="1105" spans="1:3" x14ac:dyDescent="0.25">
      <c r="A1105" t="s">
        <v>1103</v>
      </c>
      <c r="B1105">
        <v>19</v>
      </c>
      <c r="C1105">
        <v>57.585999999999999</v>
      </c>
    </row>
    <row r="1106" spans="1:3" x14ac:dyDescent="0.25">
      <c r="A1106" t="s">
        <v>1104</v>
      </c>
      <c r="B1106">
        <v>9</v>
      </c>
      <c r="C1106">
        <v>20.506</v>
      </c>
    </row>
    <row r="1107" spans="1:3" x14ac:dyDescent="0.25">
      <c r="A1107" t="s">
        <v>1105</v>
      </c>
      <c r="B1107">
        <v>21</v>
      </c>
      <c r="C1107">
        <v>63.731999999999999</v>
      </c>
    </row>
    <row r="1108" spans="1:3" x14ac:dyDescent="0.25">
      <c r="A1108" t="s">
        <v>1106</v>
      </c>
      <c r="B1108">
        <v>14</v>
      </c>
      <c r="C1108">
        <v>27.425000000000001</v>
      </c>
    </row>
    <row r="1109" spans="1:3" x14ac:dyDescent="0.25">
      <c r="A1109" t="s">
        <v>1107</v>
      </c>
      <c r="B1109">
        <v>12</v>
      </c>
      <c r="C1109">
        <v>15.35</v>
      </c>
    </row>
    <row r="1110" spans="1:3" x14ac:dyDescent="0.25">
      <c r="A1110" t="s">
        <v>1108</v>
      </c>
      <c r="B1110">
        <v>13</v>
      </c>
      <c r="C1110">
        <v>28.795999999999999</v>
      </c>
    </row>
    <row r="1111" spans="1:3" x14ac:dyDescent="0.25">
      <c r="A1111" t="s">
        <v>1109</v>
      </c>
      <c r="B1111">
        <v>23</v>
      </c>
      <c r="C1111">
        <v>72.921999999999997</v>
      </c>
    </row>
    <row r="1112" spans="1:3" x14ac:dyDescent="0.25">
      <c r="A1112" t="s">
        <v>1110</v>
      </c>
      <c r="B1112">
        <v>9</v>
      </c>
      <c r="C1112">
        <v>20.506</v>
      </c>
    </row>
    <row r="1113" spans="1:3" x14ac:dyDescent="0.25">
      <c r="A1113" t="s">
        <v>1111</v>
      </c>
      <c r="B1113">
        <v>23</v>
      </c>
      <c r="C1113">
        <v>72.921999999999997</v>
      </c>
    </row>
    <row r="1114" spans="1:3" x14ac:dyDescent="0.25">
      <c r="A1114" t="s">
        <v>1112</v>
      </c>
      <c r="B1114">
        <v>9</v>
      </c>
      <c r="C1114">
        <v>20.506</v>
      </c>
    </row>
    <row r="1115" spans="1:3" x14ac:dyDescent="0.25">
      <c r="A1115" t="s">
        <v>1113</v>
      </c>
      <c r="B1115">
        <v>8</v>
      </c>
      <c r="C1115">
        <v>15.647</v>
      </c>
    </row>
    <row r="1116" spans="1:3" x14ac:dyDescent="0.25">
      <c r="A1116" t="s">
        <v>1114</v>
      </c>
      <c r="B1116">
        <v>6</v>
      </c>
      <c r="C1116">
        <v>11.319000000000001</v>
      </c>
    </row>
    <row r="1117" spans="1:3" x14ac:dyDescent="0.25">
      <c r="A1117" t="s">
        <v>1115</v>
      </c>
      <c r="B1117">
        <v>12</v>
      </c>
      <c r="C1117">
        <v>23.260999999999999</v>
      </c>
    </row>
    <row r="1118" spans="1:3" x14ac:dyDescent="0.25">
      <c r="A1118" t="s">
        <v>1116</v>
      </c>
      <c r="B1118">
        <v>8</v>
      </c>
      <c r="C1118">
        <v>21.094000000000001</v>
      </c>
    </row>
    <row r="1119" spans="1:3" x14ac:dyDescent="0.25">
      <c r="A1119" t="s">
        <v>1117</v>
      </c>
      <c r="B1119">
        <v>8</v>
      </c>
      <c r="C1119">
        <v>21.094000000000001</v>
      </c>
    </row>
    <row r="1120" spans="1:3" x14ac:dyDescent="0.25">
      <c r="A1120" t="s">
        <v>1118</v>
      </c>
      <c r="B1120">
        <v>8</v>
      </c>
      <c r="C1120">
        <v>21.094000000000001</v>
      </c>
    </row>
    <row r="1121" spans="1:3" x14ac:dyDescent="0.25">
      <c r="A1121" t="s">
        <v>1119</v>
      </c>
      <c r="B1121">
        <v>4</v>
      </c>
      <c r="C1121">
        <v>8.0890000000000004</v>
      </c>
    </row>
    <row r="1122" spans="1:3" x14ac:dyDescent="0.25">
      <c r="A1122" t="s">
        <v>1120</v>
      </c>
      <c r="B1122">
        <v>8</v>
      </c>
      <c r="C1122">
        <v>21.094000000000001</v>
      </c>
    </row>
    <row r="1123" spans="1:3" x14ac:dyDescent="0.25">
      <c r="A1123" t="s">
        <v>1121</v>
      </c>
      <c r="B1123">
        <v>8</v>
      </c>
      <c r="C1123">
        <v>21.094000000000001</v>
      </c>
    </row>
    <row r="1124" spans="1:3" x14ac:dyDescent="0.25">
      <c r="A1124" t="s">
        <v>1122</v>
      </c>
      <c r="B1124">
        <v>8</v>
      </c>
      <c r="C1124">
        <v>21.094000000000001</v>
      </c>
    </row>
    <row r="1125" spans="1:3" x14ac:dyDescent="0.25">
      <c r="A1125" t="s">
        <v>1123</v>
      </c>
      <c r="B1125">
        <v>8</v>
      </c>
      <c r="C1125">
        <v>21.094000000000001</v>
      </c>
    </row>
    <row r="1126" spans="1:3" x14ac:dyDescent="0.25">
      <c r="A1126" t="s">
        <v>1124</v>
      </c>
      <c r="B1126">
        <v>8</v>
      </c>
      <c r="C1126">
        <v>18.251000000000001</v>
      </c>
    </row>
    <row r="1127" spans="1:3" x14ac:dyDescent="0.25">
      <c r="A1127" t="s">
        <v>1125</v>
      </c>
      <c r="B1127">
        <v>6</v>
      </c>
      <c r="C1127">
        <v>15.974</v>
      </c>
    </row>
    <row r="1128" spans="1:3" x14ac:dyDescent="0.25">
      <c r="A1128" t="s">
        <v>1126</v>
      </c>
      <c r="B1128">
        <v>16</v>
      </c>
      <c r="C1128">
        <v>31.753</v>
      </c>
    </row>
    <row r="1129" spans="1:3" x14ac:dyDescent="0.25">
      <c r="A1129" t="s">
        <v>1127</v>
      </c>
      <c r="B1129">
        <v>23</v>
      </c>
      <c r="C1129">
        <v>72.921999999999997</v>
      </c>
    </row>
    <row r="1130" spans="1:3" x14ac:dyDescent="0.25">
      <c r="A1130" t="s">
        <v>1128</v>
      </c>
      <c r="B1130">
        <v>9</v>
      </c>
      <c r="C1130">
        <v>20.506</v>
      </c>
    </row>
    <row r="1131" spans="1:3" x14ac:dyDescent="0.25">
      <c r="A1131" t="s">
        <v>1129</v>
      </c>
      <c r="B1131">
        <v>16</v>
      </c>
      <c r="C1131">
        <v>31.753</v>
      </c>
    </row>
    <row r="1132" spans="1:3" x14ac:dyDescent="0.25">
      <c r="A1132" t="s">
        <v>1130</v>
      </c>
      <c r="B1132">
        <v>23</v>
      </c>
      <c r="C1132">
        <v>72.921999999999997</v>
      </c>
    </row>
    <row r="1133" spans="1:3" x14ac:dyDescent="0.25">
      <c r="A1133" t="s">
        <v>1131</v>
      </c>
      <c r="B1133">
        <v>9</v>
      </c>
      <c r="C1133">
        <v>20.506</v>
      </c>
    </row>
    <row r="1134" spans="1:3" x14ac:dyDescent="0.25">
      <c r="A1134" t="s">
        <v>1132</v>
      </c>
      <c r="B1134">
        <v>16</v>
      </c>
      <c r="C1134">
        <v>31.753</v>
      </c>
    </row>
    <row r="1135" spans="1:3" x14ac:dyDescent="0.25">
      <c r="A1135" t="s">
        <v>1133</v>
      </c>
      <c r="B1135">
        <v>23</v>
      </c>
      <c r="C1135">
        <v>72.921999999999997</v>
      </c>
    </row>
    <row r="1136" spans="1:3" x14ac:dyDescent="0.25">
      <c r="A1136" t="s">
        <v>1134</v>
      </c>
      <c r="B1136">
        <v>9</v>
      </c>
      <c r="C1136">
        <v>20.506</v>
      </c>
    </row>
    <row r="1137" spans="1:3" x14ac:dyDescent="0.25">
      <c r="A1137" t="s">
        <v>1135</v>
      </c>
      <c r="B1137">
        <v>21</v>
      </c>
      <c r="C1137">
        <v>65.254000000000005</v>
      </c>
    </row>
    <row r="1138" spans="1:3" x14ac:dyDescent="0.25">
      <c r="A1138" t="s">
        <v>1136</v>
      </c>
      <c r="B1138">
        <v>9</v>
      </c>
      <c r="C1138">
        <v>20.506</v>
      </c>
    </row>
    <row r="1139" spans="1:3" x14ac:dyDescent="0.25">
      <c r="A1139" t="s">
        <v>1137</v>
      </c>
      <c r="B1139">
        <v>9</v>
      </c>
      <c r="C1139">
        <v>20.506</v>
      </c>
    </row>
    <row r="1140" spans="1:3" x14ac:dyDescent="0.25">
      <c r="A1140" t="s">
        <v>1138</v>
      </c>
      <c r="B1140">
        <v>23</v>
      </c>
      <c r="C1140">
        <v>72.921999999999997</v>
      </c>
    </row>
    <row r="1141" spans="1:3" x14ac:dyDescent="0.25">
      <c r="A1141" t="s">
        <v>1139</v>
      </c>
      <c r="B1141">
        <v>9</v>
      </c>
      <c r="C1141">
        <v>20.506</v>
      </c>
    </row>
    <row r="1142" spans="1:3" x14ac:dyDescent="0.25">
      <c r="A1142" t="s">
        <v>1140</v>
      </c>
      <c r="B1142">
        <v>23</v>
      </c>
      <c r="C1142">
        <v>72.921999999999997</v>
      </c>
    </row>
    <row r="1143" spans="1:3" x14ac:dyDescent="0.25">
      <c r="A1143" t="s">
        <v>1141</v>
      </c>
      <c r="B1143">
        <v>13</v>
      </c>
      <c r="C1143">
        <v>31.501000000000001</v>
      </c>
    </row>
    <row r="1144" spans="1:3" x14ac:dyDescent="0.25">
      <c r="A1144" t="s">
        <v>1142</v>
      </c>
      <c r="B1144">
        <v>23</v>
      </c>
      <c r="C1144">
        <v>60.734000000000002</v>
      </c>
    </row>
    <row r="1145" spans="1:3" x14ac:dyDescent="0.25">
      <c r="A1145" t="s">
        <v>1143</v>
      </c>
      <c r="B1145">
        <v>23</v>
      </c>
      <c r="C1145">
        <v>72.832999999999998</v>
      </c>
    </row>
    <row r="1146" spans="1:3" x14ac:dyDescent="0.25">
      <c r="A1146" t="s">
        <v>1144</v>
      </c>
      <c r="B1146">
        <v>10</v>
      </c>
      <c r="C1146">
        <v>21.206</v>
      </c>
    </row>
    <row r="1147" spans="1:3" x14ac:dyDescent="0.25">
      <c r="A1147" t="s">
        <v>1145</v>
      </c>
      <c r="B1147">
        <v>8</v>
      </c>
      <c r="C1147">
        <v>21.094000000000001</v>
      </c>
    </row>
    <row r="1148" spans="1:3" x14ac:dyDescent="0.25">
      <c r="A1148" t="s">
        <v>1146</v>
      </c>
      <c r="B1148">
        <v>8</v>
      </c>
      <c r="C1148">
        <v>21.094000000000001</v>
      </c>
    </row>
    <row r="1149" spans="1:3" x14ac:dyDescent="0.25">
      <c r="A1149" t="s">
        <v>1147</v>
      </c>
      <c r="B1149">
        <v>12</v>
      </c>
      <c r="C1149">
        <v>32.822000000000003</v>
      </c>
    </row>
    <row r="1150" spans="1:3" x14ac:dyDescent="0.25">
      <c r="A1150" t="s">
        <v>1148</v>
      </c>
      <c r="B1150">
        <v>8</v>
      </c>
      <c r="C1150">
        <v>21.094000000000001</v>
      </c>
    </row>
    <row r="1151" spans="1:3" x14ac:dyDescent="0.25">
      <c r="A1151" t="s">
        <v>1149</v>
      </c>
      <c r="B1151">
        <v>10</v>
      </c>
      <c r="C1151">
        <v>22.529</v>
      </c>
    </row>
    <row r="1152" spans="1:3" x14ac:dyDescent="0.25">
      <c r="A1152" t="s">
        <v>1150</v>
      </c>
      <c r="B1152">
        <v>6</v>
      </c>
      <c r="C1152">
        <v>14.355</v>
      </c>
    </row>
    <row r="1153" spans="1:3" x14ac:dyDescent="0.25">
      <c r="A1153" t="s">
        <v>1151</v>
      </c>
      <c r="B1153">
        <v>26</v>
      </c>
      <c r="C1153">
        <v>23.509</v>
      </c>
    </row>
    <row r="1154" spans="1:3" x14ac:dyDescent="0.25">
      <c r="A1154" t="s">
        <v>1152</v>
      </c>
      <c r="B1154">
        <v>28</v>
      </c>
      <c r="C1154">
        <v>35.799999999999997</v>
      </c>
    </row>
    <row r="1155" spans="1:3" x14ac:dyDescent="0.25">
      <c r="A1155" t="s">
        <v>1153</v>
      </c>
      <c r="B1155">
        <v>26</v>
      </c>
      <c r="C1155">
        <v>23.509</v>
      </c>
    </row>
    <row r="1156" spans="1:3" x14ac:dyDescent="0.25">
      <c r="A1156" t="s">
        <v>1154</v>
      </c>
      <c r="B1156">
        <v>26</v>
      </c>
      <c r="C1156">
        <v>23.509</v>
      </c>
    </row>
    <row r="1157" spans="1:3" x14ac:dyDescent="0.25">
      <c r="A1157" t="s">
        <v>1155</v>
      </c>
      <c r="B1157">
        <v>42</v>
      </c>
      <c r="C1157">
        <v>76.840999999999994</v>
      </c>
    </row>
    <row r="1158" spans="1:3" x14ac:dyDescent="0.25">
      <c r="A1158" t="s">
        <v>1156</v>
      </c>
      <c r="B1158">
        <v>33</v>
      </c>
      <c r="C1158">
        <v>44.41</v>
      </c>
    </row>
    <row r="1159" spans="1:3" x14ac:dyDescent="0.25">
      <c r="A1159" t="s">
        <v>1157</v>
      </c>
      <c r="B1159">
        <v>4</v>
      </c>
      <c r="C1159">
        <v>5.72</v>
      </c>
    </row>
    <row r="1160" spans="1:3" x14ac:dyDescent="0.25">
      <c r="A1160" t="s">
        <v>1158</v>
      </c>
      <c r="B1160">
        <v>22</v>
      </c>
      <c r="C1160">
        <v>27.22</v>
      </c>
    </row>
    <row r="1161" spans="1:3" x14ac:dyDescent="0.25">
      <c r="A1161" t="s">
        <v>1159</v>
      </c>
      <c r="B1161">
        <v>16</v>
      </c>
      <c r="C1161">
        <v>19.75</v>
      </c>
    </row>
    <row r="1162" spans="1:3" x14ac:dyDescent="0.25">
      <c r="A1162" t="s">
        <v>1160</v>
      </c>
      <c r="B1162">
        <v>13</v>
      </c>
      <c r="C1162">
        <v>17.27</v>
      </c>
    </row>
    <row r="1163" spans="1:3" x14ac:dyDescent="0.25">
      <c r="A1163" t="s">
        <v>1161</v>
      </c>
      <c r="B1163">
        <v>16</v>
      </c>
      <c r="C1163">
        <v>21.42</v>
      </c>
    </row>
    <row r="1164" spans="1:3" x14ac:dyDescent="0.25">
      <c r="A1164" t="s">
        <v>1162</v>
      </c>
      <c r="B1164">
        <v>20</v>
      </c>
      <c r="C1164">
        <v>24.36</v>
      </c>
    </row>
    <row r="1165" spans="1:3" x14ac:dyDescent="0.25">
      <c r="A1165" t="s">
        <v>1163</v>
      </c>
      <c r="B1165">
        <v>25</v>
      </c>
      <c r="C1165">
        <v>32.97</v>
      </c>
    </row>
    <row r="1166" spans="1:3" x14ac:dyDescent="0.25">
      <c r="A1166" t="s">
        <v>1164</v>
      </c>
      <c r="B1166">
        <v>24</v>
      </c>
      <c r="C1166">
        <v>30.08</v>
      </c>
    </row>
    <row r="1167" spans="1:3" x14ac:dyDescent="0.25">
      <c r="A1167" t="s">
        <v>1165</v>
      </c>
      <c r="B1167">
        <v>27</v>
      </c>
      <c r="C1167">
        <v>35.83</v>
      </c>
    </row>
    <row r="1168" spans="1:3" x14ac:dyDescent="0.25">
      <c r="A1168" t="s">
        <v>1166</v>
      </c>
      <c r="B1168">
        <v>16</v>
      </c>
      <c r="C1168">
        <v>21.8</v>
      </c>
    </row>
    <row r="1169" spans="1:3" x14ac:dyDescent="0.25">
      <c r="A1169" t="s">
        <v>1167</v>
      </c>
      <c r="B1169">
        <v>15</v>
      </c>
      <c r="C1169">
        <v>16.86</v>
      </c>
    </row>
    <row r="1170" spans="1:3" x14ac:dyDescent="0.25">
      <c r="A1170" t="s">
        <v>1168</v>
      </c>
      <c r="B1170">
        <v>26</v>
      </c>
      <c r="C1170">
        <v>34.4</v>
      </c>
    </row>
    <row r="1171" spans="1:3" x14ac:dyDescent="0.25">
      <c r="A1171" t="s">
        <v>1169</v>
      </c>
      <c r="B1171">
        <v>34</v>
      </c>
      <c r="C1171">
        <v>44.38</v>
      </c>
    </row>
    <row r="1172" spans="1:3" x14ac:dyDescent="0.25">
      <c r="A1172" t="s">
        <v>1170</v>
      </c>
      <c r="B1172">
        <v>28</v>
      </c>
      <c r="C1172">
        <v>35.799999999999997</v>
      </c>
    </row>
    <row r="1173" spans="1:3" x14ac:dyDescent="0.25">
      <c r="A1173" t="s">
        <v>1171</v>
      </c>
      <c r="B1173">
        <v>29</v>
      </c>
      <c r="C1173">
        <v>38.69</v>
      </c>
    </row>
    <row r="1174" spans="1:3" x14ac:dyDescent="0.25">
      <c r="A1174" t="s">
        <v>1172</v>
      </c>
      <c r="B1174">
        <v>23</v>
      </c>
      <c r="C1174">
        <v>30.11</v>
      </c>
    </row>
    <row r="1175" spans="1:3" x14ac:dyDescent="0.25">
      <c r="A1175" t="s">
        <v>1173</v>
      </c>
      <c r="B1175">
        <v>26</v>
      </c>
      <c r="C1175">
        <v>32.94</v>
      </c>
    </row>
    <row r="1176" spans="1:3" x14ac:dyDescent="0.25">
      <c r="A1176" t="s">
        <v>1174</v>
      </c>
      <c r="B1176">
        <v>25</v>
      </c>
      <c r="C1176">
        <v>32.97</v>
      </c>
    </row>
    <row r="1177" spans="1:3" x14ac:dyDescent="0.25">
      <c r="A1177" t="s">
        <v>1175</v>
      </c>
      <c r="B1177">
        <v>22</v>
      </c>
      <c r="C1177">
        <v>27.22</v>
      </c>
    </row>
    <row r="1178" spans="1:3" x14ac:dyDescent="0.25">
      <c r="A1178" t="s">
        <v>1176</v>
      </c>
      <c r="B1178">
        <v>15</v>
      </c>
      <c r="C1178">
        <v>20.37</v>
      </c>
    </row>
    <row r="1179" spans="1:3" x14ac:dyDescent="0.25">
      <c r="A1179" t="s">
        <v>1177</v>
      </c>
      <c r="B1179">
        <v>16</v>
      </c>
      <c r="C1179">
        <v>19.75</v>
      </c>
    </row>
    <row r="1180" spans="1:3" x14ac:dyDescent="0.25">
      <c r="A1180" t="s">
        <v>1178</v>
      </c>
      <c r="B1180">
        <v>12</v>
      </c>
      <c r="C1180">
        <v>17.16</v>
      </c>
    </row>
    <row r="1181" spans="1:3" x14ac:dyDescent="0.25">
      <c r="A1181" t="s">
        <v>1179</v>
      </c>
      <c r="B1181">
        <v>25</v>
      </c>
      <c r="C1181">
        <v>31.51</v>
      </c>
    </row>
    <row r="1182" spans="1:3" x14ac:dyDescent="0.25">
      <c r="A1182" t="s">
        <v>1180</v>
      </c>
      <c r="B1182">
        <v>14</v>
      </c>
      <c r="C1182">
        <v>18.940000000000001</v>
      </c>
    </row>
    <row r="1183" spans="1:3" x14ac:dyDescent="0.25">
      <c r="A1183" t="s">
        <v>1181</v>
      </c>
      <c r="B1183">
        <v>43</v>
      </c>
      <c r="C1183">
        <v>52.02</v>
      </c>
    </row>
    <row r="1184" spans="1:3" x14ac:dyDescent="0.25">
      <c r="A1184" t="s">
        <v>1182</v>
      </c>
      <c r="B1184">
        <v>6</v>
      </c>
      <c r="C1184">
        <v>8.58</v>
      </c>
    </row>
    <row r="1185" spans="1:3" x14ac:dyDescent="0.25">
      <c r="A1185" t="s">
        <v>1183</v>
      </c>
      <c r="B1185">
        <v>27</v>
      </c>
      <c r="C1185">
        <v>35.83</v>
      </c>
    </row>
    <row r="1186" spans="1:3" x14ac:dyDescent="0.25">
      <c r="A1186" t="s">
        <v>1184</v>
      </c>
      <c r="B1186">
        <v>12</v>
      </c>
      <c r="C1186">
        <v>17.16</v>
      </c>
    </row>
    <row r="1187" spans="1:3" x14ac:dyDescent="0.25">
      <c r="A1187" t="s">
        <v>1185</v>
      </c>
      <c r="B1187">
        <v>16</v>
      </c>
      <c r="C1187">
        <v>18.64</v>
      </c>
    </row>
    <row r="1188" spans="1:3" x14ac:dyDescent="0.25">
      <c r="A1188" t="s">
        <v>1186</v>
      </c>
      <c r="B1188">
        <v>21</v>
      </c>
      <c r="C1188">
        <v>27.25</v>
      </c>
    </row>
    <row r="1189" spans="1:3" x14ac:dyDescent="0.25">
      <c r="A1189" t="s">
        <v>1187</v>
      </c>
      <c r="B1189">
        <v>31</v>
      </c>
      <c r="C1189">
        <v>35.473999999999997</v>
      </c>
    </row>
    <row r="1190" spans="1:3" x14ac:dyDescent="0.25">
      <c r="A1190" t="s">
        <v>1188</v>
      </c>
      <c r="B1190">
        <v>21</v>
      </c>
      <c r="C1190">
        <v>27.25</v>
      </c>
    </row>
    <row r="1191" spans="1:3" x14ac:dyDescent="0.25">
      <c r="A1191" t="s">
        <v>1189</v>
      </c>
      <c r="B1191">
        <v>26</v>
      </c>
      <c r="C1191">
        <v>30.824999999999999</v>
      </c>
    </row>
    <row r="1192" spans="1:3" x14ac:dyDescent="0.25">
      <c r="A1192" t="s">
        <v>1190</v>
      </c>
      <c r="B1192">
        <v>31</v>
      </c>
      <c r="C1192">
        <v>35.473999999999997</v>
      </c>
    </row>
    <row r="1193" spans="1:3" x14ac:dyDescent="0.25">
      <c r="A1193" t="s">
        <v>1191</v>
      </c>
      <c r="B1193">
        <v>14</v>
      </c>
      <c r="C1193">
        <v>10.24</v>
      </c>
    </row>
    <row r="1194" spans="1:3" x14ac:dyDescent="0.25">
      <c r="A1194" t="s">
        <v>1192</v>
      </c>
      <c r="B1194">
        <v>10</v>
      </c>
      <c r="C1194">
        <v>14.3</v>
      </c>
    </row>
    <row r="1195" spans="1:3" x14ac:dyDescent="0.25">
      <c r="A1195" t="s">
        <v>1193</v>
      </c>
      <c r="B1195">
        <v>20</v>
      </c>
      <c r="C1195">
        <v>24.36</v>
      </c>
    </row>
    <row r="1196" spans="1:3" x14ac:dyDescent="0.25">
      <c r="A1196" t="s">
        <v>1194</v>
      </c>
      <c r="B1196">
        <v>14</v>
      </c>
      <c r="C1196">
        <v>11.72</v>
      </c>
    </row>
    <row r="1197" spans="1:3" x14ac:dyDescent="0.25">
      <c r="A1197" t="s">
        <v>1195</v>
      </c>
      <c r="B1197">
        <v>16</v>
      </c>
      <c r="C1197">
        <v>12.22</v>
      </c>
    </row>
    <row r="1198" spans="1:3" x14ac:dyDescent="0.25">
      <c r="A1198" t="s">
        <v>1196</v>
      </c>
      <c r="B1198">
        <v>14</v>
      </c>
      <c r="C1198">
        <v>10.24</v>
      </c>
    </row>
    <row r="1199" spans="1:3" x14ac:dyDescent="0.25">
      <c r="A1199" t="s">
        <v>1197</v>
      </c>
      <c r="B1199">
        <v>14</v>
      </c>
      <c r="C1199">
        <v>11.72</v>
      </c>
    </row>
    <row r="1200" spans="1:3" x14ac:dyDescent="0.25">
      <c r="A1200" t="s">
        <v>1198</v>
      </c>
      <c r="B1200">
        <v>14</v>
      </c>
      <c r="C1200">
        <v>11.77</v>
      </c>
    </row>
    <row r="1201" spans="1:3" x14ac:dyDescent="0.25">
      <c r="A1201" t="s">
        <v>1199</v>
      </c>
      <c r="B1201">
        <v>14</v>
      </c>
      <c r="C1201">
        <v>11.72</v>
      </c>
    </row>
    <row r="1202" spans="1:3" x14ac:dyDescent="0.25">
      <c r="A1202" t="s">
        <v>1200</v>
      </c>
      <c r="B1202">
        <v>14</v>
      </c>
      <c r="C1202">
        <v>11.72</v>
      </c>
    </row>
    <row r="1203" spans="1:3" x14ac:dyDescent="0.25">
      <c r="A1203" t="s">
        <v>1201</v>
      </c>
      <c r="B1203">
        <v>14</v>
      </c>
      <c r="C1203">
        <v>11.77</v>
      </c>
    </row>
    <row r="1204" spans="1:3" x14ac:dyDescent="0.25">
      <c r="A1204" t="s">
        <v>1202</v>
      </c>
      <c r="B1204">
        <v>14</v>
      </c>
      <c r="C1204">
        <v>10.24</v>
      </c>
    </row>
    <row r="1205" spans="1:3" x14ac:dyDescent="0.25">
      <c r="A1205" t="s">
        <v>1203</v>
      </c>
      <c r="B1205">
        <v>14</v>
      </c>
      <c r="C1205">
        <v>11.72</v>
      </c>
    </row>
    <row r="1206" spans="1:3" x14ac:dyDescent="0.25">
      <c r="A1206" t="s">
        <v>1204</v>
      </c>
      <c r="B1206">
        <v>14</v>
      </c>
      <c r="C1206">
        <v>11.72</v>
      </c>
    </row>
    <row r="1207" spans="1:3" x14ac:dyDescent="0.25">
      <c r="A1207" t="s">
        <v>1205</v>
      </c>
      <c r="B1207">
        <v>14</v>
      </c>
      <c r="C1207">
        <v>11.83</v>
      </c>
    </row>
    <row r="1208" spans="1:3" x14ac:dyDescent="0.25">
      <c r="A1208" t="s">
        <v>1206</v>
      </c>
      <c r="B1208">
        <v>14</v>
      </c>
      <c r="C1208">
        <v>11.83</v>
      </c>
    </row>
    <row r="1209" spans="1:3" x14ac:dyDescent="0.25">
      <c r="A1209" t="s">
        <v>1207</v>
      </c>
      <c r="B1209">
        <v>14</v>
      </c>
      <c r="C1209">
        <v>9.6379999999999999</v>
      </c>
    </row>
    <row r="1210" spans="1:3" x14ac:dyDescent="0.25">
      <c r="A1210" t="s">
        <v>1208</v>
      </c>
      <c r="B1210">
        <v>14</v>
      </c>
      <c r="C1210">
        <v>10.24</v>
      </c>
    </row>
    <row r="1211" spans="1:3" x14ac:dyDescent="0.25">
      <c r="A1211" t="s">
        <v>1209</v>
      </c>
      <c r="B1211">
        <v>18</v>
      </c>
      <c r="C1211">
        <v>21.5</v>
      </c>
    </row>
    <row r="1212" spans="1:3" x14ac:dyDescent="0.25">
      <c r="A1212" t="s">
        <v>1210</v>
      </c>
      <c r="B1212">
        <v>8</v>
      </c>
      <c r="C1212">
        <v>11.44</v>
      </c>
    </row>
    <row r="1213" spans="1:3" x14ac:dyDescent="0.25">
      <c r="A1213" t="s">
        <v>1211</v>
      </c>
      <c r="B1213">
        <v>24</v>
      </c>
      <c r="C1213">
        <v>30.08</v>
      </c>
    </row>
    <row r="1214" spans="1:3" x14ac:dyDescent="0.25">
      <c r="A1214" t="s">
        <v>1212</v>
      </c>
      <c r="B1214">
        <v>31</v>
      </c>
      <c r="C1214">
        <v>40.090000000000003</v>
      </c>
    </row>
    <row r="1215" spans="1:3" x14ac:dyDescent="0.25">
      <c r="A1215" t="s">
        <v>1213</v>
      </c>
      <c r="B1215">
        <v>26</v>
      </c>
      <c r="C1215">
        <v>32.94</v>
      </c>
    </row>
    <row r="1216" spans="1:3" x14ac:dyDescent="0.25">
      <c r="A1216" t="s">
        <v>1214</v>
      </c>
      <c r="B1216">
        <v>22</v>
      </c>
      <c r="C1216">
        <v>27.22</v>
      </c>
    </row>
    <row r="1217" spans="1:3" x14ac:dyDescent="0.25">
      <c r="A1217" t="s">
        <v>1215</v>
      </c>
      <c r="B1217">
        <v>18</v>
      </c>
      <c r="C1217">
        <v>21.5</v>
      </c>
    </row>
    <row r="1218" spans="1:3" x14ac:dyDescent="0.25">
      <c r="A1218" t="s">
        <v>1216</v>
      </c>
      <c r="B1218">
        <v>6</v>
      </c>
      <c r="C1218">
        <v>8.58</v>
      </c>
    </row>
    <row r="1219" spans="1:3" x14ac:dyDescent="0.25">
      <c r="A1219" t="s">
        <v>1217</v>
      </c>
      <c r="B1219">
        <v>14</v>
      </c>
      <c r="C1219">
        <v>10.24</v>
      </c>
    </row>
    <row r="1220" spans="1:3" x14ac:dyDescent="0.25">
      <c r="A1220" t="s">
        <v>1218</v>
      </c>
      <c r="B1220">
        <v>14</v>
      </c>
      <c r="C1220">
        <v>11.72</v>
      </c>
    </row>
    <row r="1221" spans="1:3" x14ac:dyDescent="0.25">
      <c r="A1221" t="s">
        <v>1219</v>
      </c>
      <c r="B1221">
        <v>14</v>
      </c>
      <c r="C1221">
        <v>11.112</v>
      </c>
    </row>
    <row r="1222" spans="1:3" x14ac:dyDescent="0.25">
      <c r="A1222" t="s">
        <v>1220</v>
      </c>
      <c r="B1222">
        <v>14</v>
      </c>
      <c r="C1222">
        <v>11.112</v>
      </c>
    </row>
    <row r="1223" spans="1:3" x14ac:dyDescent="0.25">
      <c r="A1223" t="s">
        <v>1221</v>
      </c>
      <c r="B1223">
        <v>26</v>
      </c>
      <c r="C1223">
        <v>21.187999999999999</v>
      </c>
    </row>
    <row r="1224" spans="1:3" x14ac:dyDescent="0.25">
      <c r="A1224" t="s">
        <v>1222</v>
      </c>
      <c r="B1224">
        <v>26</v>
      </c>
      <c r="C1224">
        <v>21.187999999999999</v>
      </c>
    </row>
    <row r="1225" spans="1:3" x14ac:dyDescent="0.25">
      <c r="A1225" t="s">
        <v>1223</v>
      </c>
      <c r="B1225">
        <v>30</v>
      </c>
      <c r="C1225">
        <v>24.986000000000001</v>
      </c>
    </row>
    <row r="1226" spans="1:3" x14ac:dyDescent="0.25">
      <c r="A1226" t="s">
        <v>1224</v>
      </c>
      <c r="B1226">
        <v>20</v>
      </c>
      <c r="C1226">
        <v>15.41</v>
      </c>
    </row>
    <row r="1227" spans="1:3" x14ac:dyDescent="0.25">
      <c r="A1227" t="s">
        <v>1225</v>
      </c>
      <c r="B1227">
        <v>25</v>
      </c>
      <c r="C1227">
        <v>20.004999999999999</v>
      </c>
    </row>
    <row r="1228" spans="1:3" x14ac:dyDescent="0.25">
      <c r="A1228" t="s">
        <v>1226</v>
      </c>
      <c r="B1228">
        <v>20</v>
      </c>
      <c r="C1228">
        <v>15.41</v>
      </c>
    </row>
    <row r="1229" spans="1:3" x14ac:dyDescent="0.25">
      <c r="A1229" t="s">
        <v>1227</v>
      </c>
      <c r="B1229">
        <v>14</v>
      </c>
      <c r="C1229">
        <v>11.72</v>
      </c>
    </row>
    <row r="1230" spans="1:3" x14ac:dyDescent="0.25">
      <c r="A1230" t="s">
        <v>1228</v>
      </c>
      <c r="B1230">
        <v>14</v>
      </c>
      <c r="C1230">
        <v>16.89</v>
      </c>
    </row>
    <row r="1231" spans="1:3" x14ac:dyDescent="0.25">
      <c r="A1231" t="s">
        <v>1229</v>
      </c>
      <c r="B1231">
        <v>16</v>
      </c>
      <c r="C1231">
        <v>19.75</v>
      </c>
    </row>
    <row r="1232" spans="1:3" x14ac:dyDescent="0.25">
      <c r="A1232" t="s">
        <v>1230</v>
      </c>
      <c r="B1232">
        <v>26</v>
      </c>
      <c r="C1232">
        <v>23.509</v>
      </c>
    </row>
    <row r="1233" spans="1:3" x14ac:dyDescent="0.25">
      <c r="A1233" t="s">
        <v>1231</v>
      </c>
      <c r="B1233">
        <v>26</v>
      </c>
      <c r="C1233">
        <v>23.509</v>
      </c>
    </row>
    <row r="1234" spans="1:3" x14ac:dyDescent="0.25">
      <c r="A1234" t="s">
        <v>1232</v>
      </c>
      <c r="B1234">
        <v>26</v>
      </c>
      <c r="C1234">
        <v>23.509</v>
      </c>
    </row>
    <row r="1235" spans="1:3" x14ac:dyDescent="0.25">
      <c r="A1235" t="s">
        <v>1233</v>
      </c>
      <c r="B1235">
        <v>26</v>
      </c>
      <c r="C1235">
        <v>32.94</v>
      </c>
    </row>
    <row r="1236" spans="1:3" x14ac:dyDescent="0.25">
      <c r="A1236" t="s">
        <v>1234</v>
      </c>
      <c r="B1236">
        <v>10</v>
      </c>
      <c r="C1236">
        <v>10.18</v>
      </c>
    </row>
    <row r="1237" spans="1:3" x14ac:dyDescent="0.25">
      <c r="A1237" t="s">
        <v>1235</v>
      </c>
      <c r="B1237">
        <v>12</v>
      </c>
      <c r="C1237">
        <v>16.079999999999998</v>
      </c>
    </row>
    <row r="1238" spans="1:3" x14ac:dyDescent="0.25">
      <c r="A1238" t="s">
        <v>1236</v>
      </c>
      <c r="B1238">
        <v>33</v>
      </c>
      <c r="C1238">
        <v>44.41</v>
      </c>
    </row>
    <row r="1239" spans="1:3" x14ac:dyDescent="0.25">
      <c r="A1239" t="s">
        <v>1237</v>
      </c>
      <c r="B1239">
        <v>18</v>
      </c>
      <c r="C1239">
        <v>21.5</v>
      </c>
    </row>
    <row r="1240" spans="1:3" x14ac:dyDescent="0.25">
      <c r="A1240" t="s">
        <v>1238</v>
      </c>
      <c r="B1240">
        <v>26</v>
      </c>
      <c r="C1240">
        <v>32.94</v>
      </c>
    </row>
    <row r="1241" spans="1:3" x14ac:dyDescent="0.25">
      <c r="A1241" t="s">
        <v>1239</v>
      </c>
      <c r="B1241">
        <v>12</v>
      </c>
      <c r="C1241">
        <v>16.079999999999998</v>
      </c>
    </row>
    <row r="1242" spans="1:3" x14ac:dyDescent="0.25">
      <c r="A1242" t="s">
        <v>1240</v>
      </c>
      <c r="B1242">
        <v>26</v>
      </c>
      <c r="C1242">
        <v>32.94</v>
      </c>
    </row>
    <row r="1243" spans="1:3" x14ac:dyDescent="0.25">
      <c r="A1243" t="s">
        <v>1241</v>
      </c>
      <c r="B1243">
        <v>14</v>
      </c>
      <c r="C1243">
        <v>18.940000000000001</v>
      </c>
    </row>
    <row r="1244" spans="1:3" x14ac:dyDescent="0.25">
      <c r="A1244" t="s">
        <v>1242</v>
      </c>
      <c r="B1244">
        <v>31</v>
      </c>
      <c r="C1244">
        <v>34.54</v>
      </c>
    </row>
    <row r="1245" spans="1:3" x14ac:dyDescent="0.25">
      <c r="A1245" t="s">
        <v>1243</v>
      </c>
      <c r="B1245">
        <v>31</v>
      </c>
      <c r="C1245">
        <v>34.54</v>
      </c>
    </row>
    <row r="1246" spans="1:3" x14ac:dyDescent="0.25">
      <c r="A1246" t="s">
        <v>1244</v>
      </c>
      <c r="B1246">
        <v>14</v>
      </c>
      <c r="C1246">
        <v>11.83</v>
      </c>
    </row>
    <row r="1247" spans="1:3" x14ac:dyDescent="0.25">
      <c r="A1247" t="s">
        <v>1245</v>
      </c>
      <c r="B1247">
        <v>37</v>
      </c>
      <c r="C1247">
        <v>43.12</v>
      </c>
    </row>
    <row r="1248" spans="1:3" x14ac:dyDescent="0.25">
      <c r="A1248" t="s">
        <v>1246</v>
      </c>
      <c r="B1248">
        <v>28</v>
      </c>
      <c r="C1248">
        <v>24.59</v>
      </c>
    </row>
    <row r="1249" spans="1:3" x14ac:dyDescent="0.25">
      <c r="A1249" t="s">
        <v>1247</v>
      </c>
      <c r="B1249">
        <v>14</v>
      </c>
      <c r="C1249">
        <v>11.77</v>
      </c>
    </row>
    <row r="1250" spans="1:3" x14ac:dyDescent="0.25">
      <c r="A1250" t="s">
        <v>1248</v>
      </c>
      <c r="B1250">
        <v>14</v>
      </c>
      <c r="C1250">
        <v>11.72</v>
      </c>
    </row>
    <row r="1251" spans="1:3" x14ac:dyDescent="0.25">
      <c r="A1251" t="s">
        <v>1249</v>
      </c>
      <c r="B1251">
        <v>14</v>
      </c>
      <c r="C1251">
        <v>11.77</v>
      </c>
    </row>
    <row r="1252" spans="1:3" x14ac:dyDescent="0.25">
      <c r="A1252" t="s">
        <v>1250</v>
      </c>
      <c r="B1252">
        <v>14</v>
      </c>
      <c r="C1252">
        <v>11.72</v>
      </c>
    </row>
    <row r="1253" spans="1:3" x14ac:dyDescent="0.25">
      <c r="A1253" t="s">
        <v>1251</v>
      </c>
      <c r="B1253">
        <v>14</v>
      </c>
      <c r="C1253">
        <v>10.17</v>
      </c>
    </row>
    <row r="1254" spans="1:3" x14ac:dyDescent="0.25">
      <c r="A1254" t="s">
        <v>1252</v>
      </c>
      <c r="B1254">
        <v>14</v>
      </c>
      <c r="C1254">
        <v>10.24</v>
      </c>
    </row>
    <row r="1255" spans="1:3" x14ac:dyDescent="0.25">
      <c r="A1255" t="s">
        <v>1253</v>
      </c>
      <c r="B1255">
        <v>14</v>
      </c>
      <c r="C1255">
        <v>10.17</v>
      </c>
    </row>
    <row r="1256" spans="1:3" x14ac:dyDescent="0.25">
      <c r="A1256" t="s">
        <v>1254</v>
      </c>
      <c r="B1256">
        <v>14</v>
      </c>
      <c r="C1256">
        <v>11.83</v>
      </c>
    </row>
    <row r="1257" spans="1:3" x14ac:dyDescent="0.25">
      <c r="A1257" t="s">
        <v>1255</v>
      </c>
      <c r="B1257">
        <v>14</v>
      </c>
      <c r="C1257">
        <v>11.83</v>
      </c>
    </row>
    <row r="1258" spans="1:3" x14ac:dyDescent="0.25">
      <c r="A1258" t="s">
        <v>1256</v>
      </c>
      <c r="B1258">
        <v>14</v>
      </c>
      <c r="C1258">
        <v>11.72</v>
      </c>
    </row>
    <row r="1259" spans="1:3" x14ac:dyDescent="0.25">
      <c r="A1259" t="s">
        <v>1257</v>
      </c>
      <c r="B1259">
        <v>24</v>
      </c>
      <c r="C1259">
        <v>20.49</v>
      </c>
    </row>
    <row r="1260" spans="1:3" x14ac:dyDescent="0.25">
      <c r="A1260" t="s">
        <v>1258</v>
      </c>
      <c r="B1260">
        <v>28</v>
      </c>
      <c r="C1260">
        <v>24.59</v>
      </c>
    </row>
    <row r="1261" spans="1:3" x14ac:dyDescent="0.25">
      <c r="A1261" t="s">
        <v>1259</v>
      </c>
      <c r="B1261">
        <v>24</v>
      </c>
      <c r="C1261">
        <v>20.49</v>
      </c>
    </row>
    <row r="1262" spans="1:3" x14ac:dyDescent="0.25">
      <c r="A1262" t="s">
        <v>1260</v>
      </c>
      <c r="B1262">
        <v>24</v>
      </c>
      <c r="C1262">
        <v>20.49</v>
      </c>
    </row>
    <row r="1263" spans="1:3" x14ac:dyDescent="0.25">
      <c r="A1263" t="s">
        <v>1261</v>
      </c>
      <c r="B1263">
        <v>26</v>
      </c>
      <c r="C1263">
        <v>22.54</v>
      </c>
    </row>
    <row r="1264" spans="1:3" x14ac:dyDescent="0.25">
      <c r="A1264" t="s">
        <v>1262</v>
      </c>
      <c r="B1264">
        <v>24</v>
      </c>
      <c r="C1264">
        <v>20.49</v>
      </c>
    </row>
    <row r="1265" spans="1:3" x14ac:dyDescent="0.25">
      <c r="A1265" t="s">
        <v>1263</v>
      </c>
      <c r="B1265">
        <v>26</v>
      </c>
      <c r="C1265">
        <v>22.54</v>
      </c>
    </row>
    <row r="1266" spans="1:3" x14ac:dyDescent="0.25">
      <c r="A1266" t="s">
        <v>1264</v>
      </c>
      <c r="B1266">
        <v>24</v>
      </c>
      <c r="C1266">
        <v>20.420000000000002</v>
      </c>
    </row>
    <row r="1267" spans="1:3" x14ac:dyDescent="0.25">
      <c r="A1267" t="s">
        <v>1265</v>
      </c>
      <c r="B1267">
        <v>24</v>
      </c>
      <c r="C1267">
        <v>20.49</v>
      </c>
    </row>
    <row r="1268" spans="1:3" x14ac:dyDescent="0.25">
      <c r="A1268" t="s">
        <v>1266</v>
      </c>
      <c r="B1268">
        <v>24</v>
      </c>
      <c r="C1268">
        <v>20.49</v>
      </c>
    </row>
    <row r="1269" spans="1:3" x14ac:dyDescent="0.25">
      <c r="A1269" t="s">
        <v>1267</v>
      </c>
      <c r="B1269">
        <v>24</v>
      </c>
      <c r="C1269">
        <v>20.49</v>
      </c>
    </row>
    <row r="1270" spans="1:3" x14ac:dyDescent="0.25">
      <c r="A1270" t="s">
        <v>1268</v>
      </c>
      <c r="B1270">
        <v>24</v>
      </c>
      <c r="C1270">
        <v>19.262</v>
      </c>
    </row>
    <row r="1271" spans="1:3" x14ac:dyDescent="0.25">
      <c r="A1271" t="s">
        <v>1269</v>
      </c>
      <c r="B1271">
        <v>24</v>
      </c>
      <c r="C1271">
        <v>19.262</v>
      </c>
    </row>
    <row r="1272" spans="1:3" x14ac:dyDescent="0.25">
      <c r="A1272" t="s">
        <v>1270</v>
      </c>
      <c r="B1272">
        <v>26</v>
      </c>
      <c r="C1272">
        <v>21.187999999999999</v>
      </c>
    </row>
    <row r="1273" spans="1:3" x14ac:dyDescent="0.25">
      <c r="A1273" t="s">
        <v>1271</v>
      </c>
      <c r="B1273">
        <v>24</v>
      </c>
      <c r="C1273">
        <v>20.49</v>
      </c>
    </row>
    <row r="1274" spans="1:3" x14ac:dyDescent="0.25">
      <c r="A1274" t="s">
        <v>1272</v>
      </c>
      <c r="B1274">
        <v>20</v>
      </c>
      <c r="C1274">
        <v>15.41</v>
      </c>
    </row>
    <row r="1275" spans="1:3" x14ac:dyDescent="0.25">
      <c r="A1275" t="s">
        <v>1273</v>
      </c>
      <c r="B1275">
        <v>26</v>
      </c>
      <c r="C1275">
        <v>22.54</v>
      </c>
    </row>
    <row r="1276" spans="1:3" x14ac:dyDescent="0.25">
      <c r="A1276" t="s">
        <v>1274</v>
      </c>
      <c r="B1276">
        <v>24</v>
      </c>
      <c r="C1276">
        <v>20.49</v>
      </c>
    </row>
    <row r="1277" spans="1:3" x14ac:dyDescent="0.25">
      <c r="A1277" t="s">
        <v>1275</v>
      </c>
      <c r="B1277">
        <v>22</v>
      </c>
      <c r="C1277">
        <v>18.440000000000001</v>
      </c>
    </row>
    <row r="1278" spans="1:3" x14ac:dyDescent="0.25">
      <c r="A1278" t="s">
        <v>1276</v>
      </c>
      <c r="B1278">
        <v>26</v>
      </c>
      <c r="C1278">
        <v>21.187999999999999</v>
      </c>
    </row>
    <row r="1279" spans="1:3" x14ac:dyDescent="0.25">
      <c r="A1279" t="s">
        <v>1277</v>
      </c>
      <c r="B1279">
        <v>34</v>
      </c>
      <c r="C1279">
        <v>28.891999999999999</v>
      </c>
    </row>
    <row r="1280" spans="1:3" x14ac:dyDescent="0.25">
      <c r="A1280" t="s">
        <v>1278</v>
      </c>
      <c r="B1280">
        <v>18</v>
      </c>
      <c r="C1280">
        <v>13.484</v>
      </c>
    </row>
    <row r="1281" spans="1:3" x14ac:dyDescent="0.25">
      <c r="A1281" t="s">
        <v>1279</v>
      </c>
      <c r="B1281">
        <v>18</v>
      </c>
      <c r="C1281">
        <v>13.484</v>
      </c>
    </row>
    <row r="1282" spans="1:3" x14ac:dyDescent="0.25">
      <c r="A1282" t="s">
        <v>1280</v>
      </c>
      <c r="B1282">
        <v>18</v>
      </c>
      <c r="C1282">
        <v>13.484</v>
      </c>
    </row>
    <row r="1283" spans="1:3" x14ac:dyDescent="0.25">
      <c r="A1283" t="s">
        <v>1281</v>
      </c>
      <c r="B1283">
        <v>12</v>
      </c>
      <c r="C1283">
        <v>9.3000000000000007</v>
      </c>
    </row>
    <row r="1284" spans="1:3" x14ac:dyDescent="0.25">
      <c r="A1284" t="s">
        <v>1282</v>
      </c>
      <c r="B1284">
        <v>14</v>
      </c>
      <c r="C1284">
        <v>11.72</v>
      </c>
    </row>
    <row r="1285" spans="1:3" x14ac:dyDescent="0.25">
      <c r="A1285" t="s">
        <v>1283</v>
      </c>
      <c r="B1285">
        <v>26</v>
      </c>
      <c r="C1285">
        <v>21.187999999999999</v>
      </c>
    </row>
    <row r="1286" spans="1:3" x14ac:dyDescent="0.25">
      <c r="A1286" t="s">
        <v>1284</v>
      </c>
      <c r="B1286">
        <v>24</v>
      </c>
      <c r="C1286">
        <v>19.262</v>
      </c>
    </row>
    <row r="1287" spans="1:3" x14ac:dyDescent="0.25">
      <c r="A1287" t="s">
        <v>1285</v>
      </c>
      <c r="B1287">
        <v>11</v>
      </c>
      <c r="C1287">
        <v>23.803999999999998</v>
      </c>
    </row>
    <row r="1288" spans="1:3" x14ac:dyDescent="0.25">
      <c r="A1288" t="s">
        <v>1286</v>
      </c>
      <c r="B1288">
        <v>11</v>
      </c>
      <c r="C1288">
        <v>23.803999999999998</v>
      </c>
    </row>
    <row r="1289" spans="1:3" x14ac:dyDescent="0.25">
      <c r="A1289" t="s">
        <v>1287</v>
      </c>
      <c r="B1289">
        <v>11</v>
      </c>
      <c r="C1289">
        <v>23.803999999999998</v>
      </c>
    </row>
    <row r="1290" spans="1:3" x14ac:dyDescent="0.25">
      <c r="A1290" t="s">
        <v>1288</v>
      </c>
      <c r="B1290">
        <v>11</v>
      </c>
      <c r="C1290">
        <v>23.803999999999998</v>
      </c>
    </row>
    <row r="1291" spans="1:3" x14ac:dyDescent="0.25">
      <c r="A1291" t="s">
        <v>1289</v>
      </c>
      <c r="B1291">
        <v>11</v>
      </c>
      <c r="C1291">
        <v>23.803999999999998</v>
      </c>
    </row>
    <row r="1292" spans="1:3" x14ac:dyDescent="0.25">
      <c r="A1292" t="s">
        <v>1290</v>
      </c>
      <c r="B1292">
        <v>11</v>
      </c>
      <c r="C1292">
        <v>23.803999999999998</v>
      </c>
    </row>
    <row r="1293" spans="1:3" x14ac:dyDescent="0.25">
      <c r="A1293" t="s">
        <v>1291</v>
      </c>
      <c r="B1293">
        <v>11</v>
      </c>
      <c r="C1293">
        <v>23.803999999999998</v>
      </c>
    </row>
    <row r="1294" spans="1:3" x14ac:dyDescent="0.25">
      <c r="A1294" t="s">
        <v>1292</v>
      </c>
      <c r="B1294">
        <v>11</v>
      </c>
      <c r="C1294">
        <v>23.803999999999998</v>
      </c>
    </row>
    <row r="1295" spans="1:3" x14ac:dyDescent="0.25">
      <c r="A1295" t="s">
        <v>1293</v>
      </c>
      <c r="B1295">
        <v>11</v>
      </c>
      <c r="C1295">
        <v>23.803999999999998</v>
      </c>
    </row>
    <row r="1296" spans="1:3" x14ac:dyDescent="0.25">
      <c r="A1296" t="s">
        <v>1294</v>
      </c>
      <c r="B1296">
        <v>11</v>
      </c>
      <c r="C1296">
        <v>23.803999999999998</v>
      </c>
    </row>
    <row r="1297" spans="1:3" x14ac:dyDescent="0.25">
      <c r="A1297" t="s">
        <v>1295</v>
      </c>
      <c r="B1297">
        <v>23</v>
      </c>
      <c r="C1297">
        <v>49.771999999999998</v>
      </c>
    </row>
    <row r="1298" spans="1:3" x14ac:dyDescent="0.25">
      <c r="A1298" t="s">
        <v>1296</v>
      </c>
      <c r="B1298">
        <v>23</v>
      </c>
      <c r="C1298">
        <v>49.771999999999998</v>
      </c>
    </row>
    <row r="1299" spans="1:3" x14ac:dyDescent="0.25">
      <c r="A1299" t="s">
        <v>1297</v>
      </c>
      <c r="B1299">
        <v>9</v>
      </c>
      <c r="C1299">
        <v>19.475999999999999</v>
      </c>
    </row>
    <row r="1300" spans="1:3" x14ac:dyDescent="0.25">
      <c r="A1300" t="s">
        <v>1298</v>
      </c>
      <c r="B1300">
        <v>13</v>
      </c>
      <c r="C1300">
        <v>28.132000000000001</v>
      </c>
    </row>
    <row r="1301" spans="1:3" x14ac:dyDescent="0.25">
      <c r="A1301" t="s">
        <v>1299</v>
      </c>
      <c r="B1301">
        <v>13</v>
      </c>
      <c r="C1301">
        <v>28.132000000000001</v>
      </c>
    </row>
    <row r="1302" spans="1:3" x14ac:dyDescent="0.25">
      <c r="A1302" t="s">
        <v>1300</v>
      </c>
      <c r="B1302">
        <v>11</v>
      </c>
      <c r="C1302">
        <v>23.803999999999998</v>
      </c>
    </row>
    <row r="1303" spans="1:3" x14ac:dyDescent="0.25">
      <c r="A1303" t="s">
        <v>1301</v>
      </c>
      <c r="B1303">
        <v>9</v>
      </c>
      <c r="C1303">
        <v>19.475999999999999</v>
      </c>
    </row>
    <row r="1304" spans="1:3" x14ac:dyDescent="0.25">
      <c r="A1304" t="s">
        <v>1302</v>
      </c>
      <c r="B1304">
        <v>11</v>
      </c>
      <c r="C1304">
        <v>23.803999999999998</v>
      </c>
    </row>
    <row r="1305" spans="1:3" x14ac:dyDescent="0.25">
      <c r="A1305" t="s">
        <v>1303</v>
      </c>
      <c r="B1305">
        <v>11</v>
      </c>
      <c r="C1305">
        <v>23.803999999999998</v>
      </c>
    </row>
    <row r="1306" spans="1:3" x14ac:dyDescent="0.25">
      <c r="A1306" t="s">
        <v>1304</v>
      </c>
      <c r="B1306">
        <v>11</v>
      </c>
      <c r="C1306">
        <v>23.803999999999998</v>
      </c>
    </row>
    <row r="1307" spans="1:3" x14ac:dyDescent="0.25">
      <c r="A1307" t="s">
        <v>1305</v>
      </c>
      <c r="B1307">
        <v>11</v>
      </c>
      <c r="C1307">
        <v>23.803999999999998</v>
      </c>
    </row>
    <row r="1308" spans="1:3" x14ac:dyDescent="0.25">
      <c r="A1308" t="s">
        <v>1306</v>
      </c>
      <c r="B1308">
        <v>23</v>
      </c>
      <c r="C1308">
        <v>49.771999999999998</v>
      </c>
    </row>
    <row r="1309" spans="1:3" x14ac:dyDescent="0.25">
      <c r="A1309" t="s">
        <v>1307</v>
      </c>
      <c r="B1309">
        <v>23</v>
      </c>
      <c r="C1309">
        <v>49.771999999999998</v>
      </c>
    </row>
    <row r="1310" spans="1:3" x14ac:dyDescent="0.25">
      <c r="A1310" t="s">
        <v>1308</v>
      </c>
      <c r="B1310">
        <v>11</v>
      </c>
      <c r="C1310">
        <v>23.803999999999998</v>
      </c>
    </row>
    <row r="1311" spans="1:3" x14ac:dyDescent="0.25">
      <c r="A1311" t="s">
        <v>1309</v>
      </c>
      <c r="B1311">
        <v>9</v>
      </c>
      <c r="C1311">
        <v>19.475999999999999</v>
      </c>
    </row>
    <row r="1312" spans="1:3" x14ac:dyDescent="0.25">
      <c r="A1312" t="s">
        <v>1310</v>
      </c>
      <c r="B1312">
        <v>11</v>
      </c>
      <c r="C1312">
        <v>23.803999999999998</v>
      </c>
    </row>
    <row r="1313" spans="1:3" x14ac:dyDescent="0.25">
      <c r="A1313" t="s">
        <v>1311</v>
      </c>
      <c r="B1313">
        <v>11</v>
      </c>
      <c r="C1313">
        <v>23.803999999999998</v>
      </c>
    </row>
    <row r="1314" spans="1:3" x14ac:dyDescent="0.25">
      <c r="A1314" t="s">
        <v>1312</v>
      </c>
      <c r="B1314">
        <v>23</v>
      </c>
      <c r="C1314">
        <v>49.771999999999998</v>
      </c>
    </row>
    <row r="1315" spans="1:3" x14ac:dyDescent="0.25">
      <c r="A1315" t="s">
        <v>1313</v>
      </c>
      <c r="B1315">
        <v>23</v>
      </c>
      <c r="C1315">
        <v>49.771999999999998</v>
      </c>
    </row>
    <row r="1316" spans="1:3" x14ac:dyDescent="0.25">
      <c r="A1316" t="s">
        <v>1314</v>
      </c>
      <c r="B1316">
        <v>2</v>
      </c>
      <c r="C1316">
        <v>2.0499999999999998</v>
      </c>
    </row>
    <row r="1317" spans="1:3" x14ac:dyDescent="0.25">
      <c r="A1317" t="s">
        <v>1315</v>
      </c>
      <c r="B1317">
        <v>2</v>
      </c>
      <c r="C1317">
        <v>2.0499999999999998</v>
      </c>
    </row>
    <row r="1318" spans="1:3" x14ac:dyDescent="0.25">
      <c r="A1318" t="s">
        <v>1316</v>
      </c>
      <c r="B1318">
        <v>2</v>
      </c>
      <c r="C1318">
        <v>2.0499999999999998</v>
      </c>
    </row>
    <row r="1319" spans="1:3" x14ac:dyDescent="0.25">
      <c r="A1319" t="s">
        <v>1317</v>
      </c>
      <c r="B1319">
        <v>2</v>
      </c>
      <c r="C1319">
        <v>2.0499999999999998</v>
      </c>
    </row>
    <row r="1320" spans="1:3" x14ac:dyDescent="0.25">
      <c r="A1320" t="s">
        <v>1318</v>
      </c>
      <c r="B1320">
        <v>2</v>
      </c>
      <c r="C1320">
        <v>2.0499999999999998</v>
      </c>
    </row>
    <row r="1321" spans="1:3" x14ac:dyDescent="0.25">
      <c r="A1321" t="s">
        <v>1319</v>
      </c>
      <c r="B1321">
        <v>2</v>
      </c>
      <c r="C1321">
        <v>2.0499999999999998</v>
      </c>
    </row>
    <row r="1322" spans="1:3" x14ac:dyDescent="0.25">
      <c r="A1322" t="s">
        <v>1320</v>
      </c>
      <c r="B1322">
        <v>2</v>
      </c>
      <c r="C1322">
        <v>2.0499999999999998</v>
      </c>
    </row>
    <row r="1323" spans="1:3" x14ac:dyDescent="0.25">
      <c r="A1323" t="s">
        <v>1321</v>
      </c>
      <c r="B1323">
        <v>2</v>
      </c>
      <c r="C1323">
        <v>2.0499999999999998</v>
      </c>
    </row>
    <row r="1324" spans="1:3" x14ac:dyDescent="0.25">
      <c r="A1324" t="s">
        <v>1322</v>
      </c>
      <c r="B1324">
        <v>2</v>
      </c>
      <c r="C1324">
        <v>2.0499999999999998</v>
      </c>
    </row>
    <row r="1325" spans="1:3" x14ac:dyDescent="0.25">
      <c r="A1325" t="s">
        <v>1323</v>
      </c>
      <c r="B1325">
        <v>2</v>
      </c>
      <c r="C1325">
        <v>2.0499999999999998</v>
      </c>
    </row>
    <row r="1326" spans="1:3" x14ac:dyDescent="0.25">
      <c r="A1326" t="s">
        <v>1324</v>
      </c>
      <c r="B1326">
        <v>2</v>
      </c>
      <c r="C1326">
        <v>2.0499999999999998</v>
      </c>
    </row>
    <row r="1327" spans="1:3" x14ac:dyDescent="0.25">
      <c r="A1327" t="s">
        <v>1325</v>
      </c>
      <c r="B1327">
        <v>4</v>
      </c>
      <c r="C1327">
        <v>4.0999999999999996</v>
      </c>
    </row>
    <row r="1328" spans="1:3" x14ac:dyDescent="0.25">
      <c r="A1328" t="s">
        <v>1326</v>
      </c>
      <c r="B1328">
        <v>2</v>
      </c>
      <c r="C1328">
        <v>2.0499999999999998</v>
      </c>
    </row>
    <row r="1329" spans="1:3" x14ac:dyDescent="0.25">
      <c r="A1329" t="s">
        <v>1327</v>
      </c>
      <c r="B1329">
        <v>2</v>
      </c>
      <c r="C1329">
        <v>2.0499999999999998</v>
      </c>
    </row>
    <row r="1330" spans="1:3" x14ac:dyDescent="0.25">
      <c r="A1330" t="s">
        <v>1328</v>
      </c>
      <c r="B1330">
        <v>2</v>
      </c>
      <c r="C1330">
        <v>1.9259999999999999</v>
      </c>
    </row>
    <row r="1331" spans="1:3" x14ac:dyDescent="0.25">
      <c r="A1331" t="s">
        <v>1329</v>
      </c>
      <c r="B1331">
        <v>2</v>
      </c>
      <c r="C1331">
        <v>2.0499999999999998</v>
      </c>
    </row>
    <row r="1332" spans="1:3" x14ac:dyDescent="0.25">
      <c r="A1332" t="s">
        <v>1330</v>
      </c>
      <c r="B1332">
        <v>2</v>
      </c>
      <c r="C1332">
        <v>2.0499999999999998</v>
      </c>
    </row>
    <row r="1333" spans="1:3" x14ac:dyDescent="0.25">
      <c r="A1333" t="s">
        <v>1331</v>
      </c>
      <c r="B1333">
        <v>2</v>
      </c>
      <c r="C1333">
        <v>2.0499999999999998</v>
      </c>
    </row>
    <row r="1334" spans="1:3" x14ac:dyDescent="0.25">
      <c r="A1334" t="s">
        <v>1332</v>
      </c>
      <c r="B1334">
        <v>2</v>
      </c>
      <c r="C1334">
        <v>1.9259999999999999</v>
      </c>
    </row>
    <row r="1335" spans="1:3" x14ac:dyDescent="0.25">
      <c r="A1335" t="s">
        <v>1333</v>
      </c>
      <c r="B1335">
        <v>2</v>
      </c>
      <c r="C1335">
        <v>1.9259999999999999</v>
      </c>
    </row>
    <row r="1336" spans="1:3" x14ac:dyDescent="0.25">
      <c r="A1336" t="s">
        <v>1334</v>
      </c>
      <c r="B1336">
        <v>2</v>
      </c>
      <c r="C1336">
        <v>1.9259999999999999</v>
      </c>
    </row>
    <row r="1337" spans="1:3" x14ac:dyDescent="0.25">
      <c r="A1337" t="s">
        <v>1335</v>
      </c>
      <c r="B1337">
        <v>2</v>
      </c>
      <c r="C1337">
        <v>1.9259999999999999</v>
      </c>
    </row>
    <row r="1338" spans="1:3" x14ac:dyDescent="0.25">
      <c r="A1338" t="s">
        <v>1336</v>
      </c>
      <c r="B1338">
        <v>2</v>
      </c>
      <c r="C1338">
        <v>1.9259999999999999</v>
      </c>
    </row>
    <row r="1339" spans="1:3" x14ac:dyDescent="0.25">
      <c r="A1339" t="s">
        <v>1337</v>
      </c>
      <c r="B1339">
        <v>2</v>
      </c>
      <c r="C1339">
        <v>1.9259999999999999</v>
      </c>
    </row>
    <row r="1340" spans="1:3" x14ac:dyDescent="0.25">
      <c r="A1340" t="s">
        <v>1338</v>
      </c>
      <c r="B1340">
        <v>2</v>
      </c>
      <c r="C1340">
        <v>1.9259999999999999</v>
      </c>
    </row>
    <row r="1341" spans="1:3" x14ac:dyDescent="0.25">
      <c r="A1341" t="s">
        <v>1339</v>
      </c>
      <c r="B1341">
        <v>2</v>
      </c>
      <c r="C1341">
        <v>1.9259999999999999</v>
      </c>
    </row>
    <row r="1342" spans="1:3" x14ac:dyDescent="0.25">
      <c r="A1342" t="s">
        <v>1340</v>
      </c>
      <c r="B1342">
        <v>2</v>
      </c>
      <c r="C1342">
        <v>2.0499999999999998</v>
      </c>
    </row>
    <row r="1343" spans="1:3" x14ac:dyDescent="0.25">
      <c r="A1343" t="s">
        <v>1341</v>
      </c>
      <c r="B1343">
        <v>2</v>
      </c>
      <c r="C1343">
        <v>2.0499999999999998</v>
      </c>
    </row>
    <row r="1344" spans="1:3" x14ac:dyDescent="0.25">
      <c r="A1344" t="s">
        <v>1342</v>
      </c>
      <c r="B1344">
        <v>2</v>
      </c>
      <c r="C1344">
        <v>2.0499999999999998</v>
      </c>
    </row>
    <row r="1345" spans="1:3" x14ac:dyDescent="0.25">
      <c r="A1345" t="s">
        <v>1343</v>
      </c>
      <c r="B1345">
        <v>2</v>
      </c>
      <c r="C1345">
        <v>2.0499999999999998</v>
      </c>
    </row>
    <row r="1346" spans="1:3" x14ac:dyDescent="0.25">
      <c r="A1346" t="s">
        <v>1344</v>
      </c>
      <c r="B1346">
        <v>2</v>
      </c>
      <c r="C1346">
        <v>2.0499999999999998</v>
      </c>
    </row>
    <row r="1347" spans="1:3" x14ac:dyDescent="0.25">
      <c r="A1347" t="s">
        <v>1345</v>
      </c>
      <c r="B1347">
        <v>2</v>
      </c>
      <c r="C1347">
        <v>2.0499999999999998</v>
      </c>
    </row>
    <row r="1348" spans="1:3" x14ac:dyDescent="0.25">
      <c r="A1348" t="s">
        <v>1346</v>
      </c>
      <c r="B1348">
        <v>2</v>
      </c>
      <c r="C1348">
        <v>2.0499999999999998</v>
      </c>
    </row>
    <row r="1349" spans="1:3" x14ac:dyDescent="0.25">
      <c r="A1349" t="s">
        <v>1347</v>
      </c>
      <c r="B1349">
        <v>2</v>
      </c>
      <c r="C1349">
        <v>2.0499999999999998</v>
      </c>
    </row>
    <row r="1350" spans="1:3" x14ac:dyDescent="0.25">
      <c r="A1350" t="s">
        <v>1348</v>
      </c>
      <c r="B1350">
        <v>2</v>
      </c>
      <c r="C1350">
        <v>2.0499999999999998</v>
      </c>
    </row>
    <row r="1351" spans="1:3" x14ac:dyDescent="0.25">
      <c r="A1351" t="s">
        <v>1349</v>
      </c>
      <c r="B1351">
        <v>2</v>
      </c>
      <c r="C1351">
        <v>2.0499999999999998</v>
      </c>
    </row>
    <row r="1352" spans="1:3" x14ac:dyDescent="0.25">
      <c r="A1352" t="s">
        <v>1350</v>
      </c>
      <c r="B1352">
        <v>2</v>
      </c>
      <c r="C1352">
        <v>2.0499999999999998</v>
      </c>
    </row>
    <row r="1353" spans="1:3" x14ac:dyDescent="0.25">
      <c r="A1353" t="s">
        <v>1351</v>
      </c>
      <c r="B1353">
        <v>2</v>
      </c>
      <c r="C1353">
        <v>2.0499999999999998</v>
      </c>
    </row>
    <row r="1354" spans="1:3" x14ac:dyDescent="0.25">
      <c r="A1354" t="s">
        <v>1352</v>
      </c>
      <c r="B1354">
        <v>2</v>
      </c>
      <c r="C1354">
        <v>2.0499999999999998</v>
      </c>
    </row>
    <row r="1355" spans="1:3" x14ac:dyDescent="0.25">
      <c r="A1355" t="s">
        <v>1353</v>
      </c>
      <c r="B1355">
        <v>2</v>
      </c>
      <c r="C1355">
        <v>2.0499999999999998</v>
      </c>
    </row>
    <row r="1356" spans="1:3" x14ac:dyDescent="0.25">
      <c r="A1356" t="s">
        <v>1354</v>
      </c>
      <c r="B1356">
        <v>2</v>
      </c>
      <c r="C1356">
        <v>2.0499999999999998</v>
      </c>
    </row>
    <row r="1357" spans="1:3" x14ac:dyDescent="0.25">
      <c r="A1357" t="s">
        <v>1355</v>
      </c>
      <c r="B1357">
        <v>2</v>
      </c>
      <c r="C1357">
        <v>2.0499999999999998</v>
      </c>
    </row>
    <row r="1358" spans="1:3" x14ac:dyDescent="0.25">
      <c r="A1358" t="s">
        <v>1356</v>
      </c>
      <c r="B1358">
        <v>2</v>
      </c>
      <c r="C1358">
        <v>2.0499999999999998</v>
      </c>
    </row>
    <row r="1359" spans="1:3" x14ac:dyDescent="0.25">
      <c r="A1359" t="s">
        <v>1357</v>
      </c>
      <c r="B1359">
        <v>2</v>
      </c>
      <c r="C1359">
        <v>2.0499999999999998</v>
      </c>
    </row>
    <row r="1360" spans="1:3" x14ac:dyDescent="0.25">
      <c r="A1360" t="s">
        <v>1358</v>
      </c>
      <c r="B1360">
        <v>2</v>
      </c>
      <c r="C1360">
        <v>2.0499999999999998</v>
      </c>
    </row>
    <row r="1361" spans="1:3" x14ac:dyDescent="0.25">
      <c r="A1361" t="s">
        <v>1359</v>
      </c>
      <c r="B1361">
        <v>2</v>
      </c>
      <c r="C1361">
        <v>2.0499999999999998</v>
      </c>
    </row>
    <row r="1362" spans="1:3" x14ac:dyDescent="0.25">
      <c r="A1362" t="s">
        <v>1360</v>
      </c>
      <c r="B1362">
        <v>2</v>
      </c>
      <c r="C1362">
        <v>2.0499999999999998</v>
      </c>
    </row>
    <row r="1363" spans="1:3" x14ac:dyDescent="0.25">
      <c r="A1363" t="s">
        <v>1361</v>
      </c>
      <c r="B1363">
        <v>2</v>
      </c>
      <c r="C1363">
        <v>2.0499999999999998</v>
      </c>
    </row>
    <row r="1364" spans="1:3" x14ac:dyDescent="0.25">
      <c r="A1364" t="s">
        <v>1362</v>
      </c>
      <c r="B1364">
        <v>2</v>
      </c>
      <c r="C1364">
        <v>2.0499999999999998</v>
      </c>
    </row>
    <row r="1365" spans="1:3" x14ac:dyDescent="0.25">
      <c r="A1365" t="s">
        <v>1363</v>
      </c>
      <c r="B1365">
        <v>2</v>
      </c>
      <c r="C1365">
        <v>2.0499999999999998</v>
      </c>
    </row>
    <row r="1366" spans="1:3" x14ac:dyDescent="0.25">
      <c r="A1366" t="s">
        <v>1364</v>
      </c>
      <c r="B1366">
        <v>2</v>
      </c>
      <c r="C1366">
        <v>1.9259999999999999</v>
      </c>
    </row>
    <row r="1367" spans="1:3" x14ac:dyDescent="0.25">
      <c r="A1367" t="s">
        <v>1365</v>
      </c>
      <c r="B1367">
        <v>2</v>
      </c>
      <c r="C1367">
        <v>1.9259999999999999</v>
      </c>
    </row>
    <row r="1368" spans="1:3" x14ac:dyDescent="0.25">
      <c r="A1368" t="s">
        <v>1366</v>
      </c>
      <c r="B1368">
        <v>2</v>
      </c>
      <c r="C1368">
        <v>1.9259999999999999</v>
      </c>
    </row>
    <row r="1369" spans="1:3" x14ac:dyDescent="0.25">
      <c r="A1369" t="s">
        <v>1367</v>
      </c>
      <c r="B1369">
        <v>2</v>
      </c>
      <c r="C1369">
        <v>2.0499999999999998</v>
      </c>
    </row>
    <row r="1370" spans="1:3" x14ac:dyDescent="0.25">
      <c r="A1370" t="s">
        <v>1368</v>
      </c>
      <c r="B1370">
        <v>2</v>
      </c>
      <c r="C1370">
        <v>1.9259999999999999</v>
      </c>
    </row>
    <row r="1371" spans="1:3" x14ac:dyDescent="0.25">
      <c r="A1371" t="s">
        <v>1369</v>
      </c>
      <c r="B1371">
        <v>2</v>
      </c>
      <c r="C1371">
        <v>2.0499999999999998</v>
      </c>
    </row>
    <row r="1372" spans="1:3" x14ac:dyDescent="0.25">
      <c r="A1372" t="s">
        <v>1370</v>
      </c>
      <c r="B1372">
        <v>2</v>
      </c>
      <c r="C1372">
        <v>2.0499999999999998</v>
      </c>
    </row>
    <row r="1373" spans="1:3" x14ac:dyDescent="0.25">
      <c r="A1373" t="s">
        <v>1371</v>
      </c>
      <c r="B1373">
        <v>2</v>
      </c>
      <c r="C1373">
        <v>2.0499999999999998</v>
      </c>
    </row>
    <row r="1374" spans="1:3" x14ac:dyDescent="0.25">
      <c r="A1374" t="s">
        <v>1372</v>
      </c>
      <c r="B1374">
        <v>2</v>
      </c>
      <c r="C1374">
        <v>1.9259999999999999</v>
      </c>
    </row>
    <row r="1375" spans="1:3" x14ac:dyDescent="0.25">
      <c r="A1375" t="s">
        <v>1373</v>
      </c>
      <c r="B1375">
        <v>2</v>
      </c>
      <c r="C1375">
        <v>1.9259999999999999</v>
      </c>
    </row>
    <row r="1376" spans="1:3" x14ac:dyDescent="0.25">
      <c r="A1376" t="s">
        <v>1374</v>
      </c>
      <c r="B1376">
        <v>2</v>
      </c>
      <c r="C1376">
        <v>1.9259999999999999</v>
      </c>
    </row>
    <row r="1377" spans="1:3" x14ac:dyDescent="0.25">
      <c r="A1377" t="s">
        <v>1375</v>
      </c>
      <c r="B1377">
        <v>2</v>
      </c>
      <c r="C1377">
        <v>1.9259999999999999</v>
      </c>
    </row>
    <row r="1378" spans="1:3" x14ac:dyDescent="0.25">
      <c r="A1378" t="s">
        <v>1376</v>
      </c>
      <c r="B1378">
        <v>2</v>
      </c>
      <c r="C1378">
        <v>1.9259999999999999</v>
      </c>
    </row>
    <row r="1379" spans="1:3" x14ac:dyDescent="0.25">
      <c r="A1379" t="s">
        <v>1377</v>
      </c>
      <c r="B1379">
        <v>2</v>
      </c>
      <c r="C1379">
        <v>2.0499999999999998</v>
      </c>
    </row>
    <row r="1380" spans="1:3" x14ac:dyDescent="0.25">
      <c r="A1380" t="s">
        <v>1378</v>
      </c>
      <c r="B1380">
        <v>2</v>
      </c>
      <c r="C1380">
        <v>2.0499999999999998</v>
      </c>
    </row>
    <row r="1381" spans="1:3" x14ac:dyDescent="0.25">
      <c r="A1381" t="s">
        <v>1379</v>
      </c>
      <c r="B1381">
        <v>2</v>
      </c>
      <c r="C1381">
        <v>1.9259999999999999</v>
      </c>
    </row>
    <row r="1382" spans="1:3" x14ac:dyDescent="0.25">
      <c r="A1382" t="s">
        <v>1380</v>
      </c>
      <c r="B1382">
        <v>2</v>
      </c>
      <c r="C1382">
        <v>1.9259999999999999</v>
      </c>
    </row>
    <row r="1383" spans="1:3" x14ac:dyDescent="0.25">
      <c r="A1383" t="s">
        <v>1381</v>
      </c>
      <c r="B1383">
        <v>49</v>
      </c>
      <c r="C1383">
        <v>120.88500000000001</v>
      </c>
    </row>
    <row r="1384" spans="1:3" x14ac:dyDescent="0.25">
      <c r="A1384" t="s">
        <v>1382</v>
      </c>
      <c r="B1384">
        <v>51</v>
      </c>
      <c r="C1384">
        <v>126.749</v>
      </c>
    </row>
    <row r="1385" spans="1:3" x14ac:dyDescent="0.25">
      <c r="A1385" t="s">
        <v>1383</v>
      </c>
      <c r="B1385">
        <v>42</v>
      </c>
      <c r="C1385">
        <v>105.70699999999999</v>
      </c>
    </row>
    <row r="1386" spans="1:3" x14ac:dyDescent="0.25">
      <c r="A1386" t="s">
        <v>1384</v>
      </c>
      <c r="B1386">
        <v>11</v>
      </c>
      <c r="C1386">
        <v>31.350999999999999</v>
      </c>
    </row>
    <row r="1387" spans="1:3" x14ac:dyDescent="0.25">
      <c r="A1387" t="s">
        <v>1385</v>
      </c>
      <c r="B1387">
        <v>23</v>
      </c>
      <c r="C1387">
        <v>68.271000000000001</v>
      </c>
    </row>
    <row r="1388" spans="1:3" x14ac:dyDescent="0.25">
      <c r="A1388" t="s">
        <v>1386</v>
      </c>
      <c r="B1388">
        <v>29</v>
      </c>
      <c r="C1388">
        <v>66.837000000000003</v>
      </c>
    </row>
    <row r="1389" spans="1:3" x14ac:dyDescent="0.25">
      <c r="A1389" t="s">
        <v>1387</v>
      </c>
      <c r="B1389">
        <v>13</v>
      </c>
      <c r="C1389">
        <v>36.82</v>
      </c>
    </row>
    <row r="1390" spans="1:3" x14ac:dyDescent="0.25">
      <c r="A1390" t="s">
        <v>1388</v>
      </c>
      <c r="B1390">
        <v>30</v>
      </c>
      <c r="C1390">
        <v>77.41</v>
      </c>
    </row>
    <row r="1391" spans="1:3" x14ac:dyDescent="0.25">
      <c r="A1391" t="s">
        <v>1389</v>
      </c>
      <c r="B1391">
        <v>33</v>
      </c>
      <c r="C1391">
        <v>73.126000000000005</v>
      </c>
    </row>
    <row r="1392" spans="1:3" x14ac:dyDescent="0.25">
      <c r="A1392" t="s">
        <v>1390</v>
      </c>
      <c r="B1392">
        <v>6</v>
      </c>
      <c r="C1392">
        <v>15.18</v>
      </c>
    </row>
    <row r="1393" spans="1:3" x14ac:dyDescent="0.25">
      <c r="A1393" t="s">
        <v>1391</v>
      </c>
      <c r="B1393">
        <v>9</v>
      </c>
      <c r="C1393">
        <v>16.905000000000001</v>
      </c>
    </row>
    <row r="1394" spans="1:3" x14ac:dyDescent="0.25">
      <c r="A1394" t="s">
        <v>1392</v>
      </c>
      <c r="B1394">
        <v>20</v>
      </c>
      <c r="C1394">
        <v>42.468000000000004</v>
      </c>
    </row>
    <row r="1395" spans="1:3" x14ac:dyDescent="0.25">
      <c r="A1395" t="s">
        <v>1393</v>
      </c>
      <c r="B1395">
        <v>14</v>
      </c>
      <c r="C1395">
        <v>24.388000000000002</v>
      </c>
    </row>
    <row r="1396" spans="1:3" x14ac:dyDescent="0.25">
      <c r="A1396" t="s">
        <v>1394</v>
      </c>
      <c r="B1396">
        <v>11</v>
      </c>
      <c r="C1396">
        <v>31.350999999999999</v>
      </c>
    </row>
    <row r="1397" spans="1:3" x14ac:dyDescent="0.25">
      <c r="A1397" t="s">
        <v>1395</v>
      </c>
      <c r="B1397">
        <v>23</v>
      </c>
      <c r="C1397">
        <v>68.271000000000001</v>
      </c>
    </row>
    <row r="1398" spans="1:3" x14ac:dyDescent="0.25">
      <c r="A1398" t="s">
        <v>1396</v>
      </c>
      <c r="B1398">
        <v>29</v>
      </c>
      <c r="C1398">
        <v>66.837000000000003</v>
      </c>
    </row>
    <row r="1399" spans="1:3" x14ac:dyDescent="0.25">
      <c r="A1399" t="s">
        <v>1397</v>
      </c>
      <c r="B1399">
        <v>13</v>
      </c>
      <c r="C1399">
        <v>36.82</v>
      </c>
    </row>
    <row r="1400" spans="1:3" x14ac:dyDescent="0.25">
      <c r="A1400" t="s">
        <v>1398</v>
      </c>
      <c r="B1400">
        <v>28</v>
      </c>
      <c r="C1400">
        <v>69.471999999999994</v>
      </c>
    </row>
    <row r="1401" spans="1:3" x14ac:dyDescent="0.25">
      <c r="A1401" t="s">
        <v>1399</v>
      </c>
      <c r="B1401">
        <v>33</v>
      </c>
      <c r="C1401">
        <v>73.126000000000005</v>
      </c>
    </row>
    <row r="1402" spans="1:3" x14ac:dyDescent="0.25">
      <c r="A1402" t="s">
        <v>1400</v>
      </c>
      <c r="B1402">
        <v>6</v>
      </c>
      <c r="C1402">
        <v>15.18</v>
      </c>
    </row>
    <row r="1403" spans="1:3" x14ac:dyDescent="0.25">
      <c r="A1403" t="s">
        <v>1401</v>
      </c>
      <c r="B1403">
        <v>9</v>
      </c>
      <c r="C1403">
        <v>16.905000000000001</v>
      </c>
    </row>
    <row r="1404" spans="1:3" x14ac:dyDescent="0.25">
      <c r="A1404" t="s">
        <v>1402</v>
      </c>
      <c r="B1404">
        <v>22</v>
      </c>
      <c r="C1404">
        <v>47.527999999999999</v>
      </c>
    </row>
    <row r="1405" spans="1:3" x14ac:dyDescent="0.25">
      <c r="A1405" t="s">
        <v>1403</v>
      </c>
      <c r="B1405">
        <v>14</v>
      </c>
      <c r="C1405">
        <v>24.388000000000002</v>
      </c>
    </row>
    <row r="1406" spans="1:3" x14ac:dyDescent="0.25">
      <c r="A1406" t="s">
        <v>1404</v>
      </c>
      <c r="B1406">
        <v>11</v>
      </c>
      <c r="C1406">
        <v>31.350999999999999</v>
      </c>
    </row>
    <row r="1407" spans="1:3" x14ac:dyDescent="0.25">
      <c r="A1407" t="s">
        <v>1405</v>
      </c>
      <c r="B1407">
        <v>23</v>
      </c>
      <c r="C1407">
        <v>68.271000000000001</v>
      </c>
    </row>
    <row r="1408" spans="1:3" x14ac:dyDescent="0.25">
      <c r="A1408" t="s">
        <v>1406</v>
      </c>
      <c r="B1408">
        <v>29</v>
      </c>
      <c r="C1408">
        <v>66.837000000000003</v>
      </c>
    </row>
    <row r="1409" spans="1:3" x14ac:dyDescent="0.25">
      <c r="A1409" t="s">
        <v>1407</v>
      </c>
      <c r="B1409">
        <v>13</v>
      </c>
      <c r="C1409">
        <v>36.417999999999999</v>
      </c>
    </row>
    <row r="1410" spans="1:3" x14ac:dyDescent="0.25">
      <c r="A1410" t="s">
        <v>1408</v>
      </c>
      <c r="B1410">
        <v>24</v>
      </c>
      <c r="C1410">
        <v>57.744</v>
      </c>
    </row>
    <row r="1411" spans="1:3" x14ac:dyDescent="0.25">
      <c r="A1411" t="s">
        <v>1409</v>
      </c>
      <c r="B1411">
        <v>35</v>
      </c>
      <c r="C1411">
        <v>69.566000000000003</v>
      </c>
    </row>
    <row r="1412" spans="1:3" x14ac:dyDescent="0.25">
      <c r="A1412" t="s">
        <v>1410</v>
      </c>
      <c r="B1412">
        <v>10</v>
      </c>
      <c r="C1412">
        <v>25.3</v>
      </c>
    </row>
    <row r="1413" spans="1:3" x14ac:dyDescent="0.25">
      <c r="A1413" t="s">
        <v>1411</v>
      </c>
      <c r="B1413">
        <v>9</v>
      </c>
      <c r="C1413">
        <v>16.905000000000001</v>
      </c>
    </row>
    <row r="1414" spans="1:3" x14ac:dyDescent="0.25">
      <c r="A1414" t="s">
        <v>1412</v>
      </c>
      <c r="B1414">
        <v>20</v>
      </c>
      <c r="C1414">
        <v>42.468000000000004</v>
      </c>
    </row>
    <row r="1415" spans="1:3" x14ac:dyDescent="0.25">
      <c r="A1415" t="s">
        <v>1413</v>
      </c>
      <c r="B1415">
        <v>10</v>
      </c>
      <c r="C1415">
        <v>19.335999999999999</v>
      </c>
    </row>
    <row r="1416" spans="1:3" x14ac:dyDescent="0.25">
      <c r="A1416" t="s">
        <v>1414</v>
      </c>
      <c r="B1416">
        <v>27</v>
      </c>
      <c r="C1416">
        <v>70.822999999999993</v>
      </c>
    </row>
    <row r="1417" spans="1:3" x14ac:dyDescent="0.25">
      <c r="A1417" t="s">
        <v>1415</v>
      </c>
      <c r="B1417">
        <v>5</v>
      </c>
      <c r="C1417">
        <v>13.648999999999999</v>
      </c>
    </row>
    <row r="1418" spans="1:3" x14ac:dyDescent="0.25">
      <c r="A1418" t="s">
        <v>1416</v>
      </c>
      <c r="B1418">
        <v>29</v>
      </c>
      <c r="C1418">
        <v>66.837000000000003</v>
      </c>
    </row>
    <row r="1419" spans="1:3" x14ac:dyDescent="0.25">
      <c r="A1419" t="s">
        <v>1417</v>
      </c>
      <c r="B1419">
        <v>13</v>
      </c>
      <c r="C1419">
        <v>36.417999999999999</v>
      </c>
    </row>
    <row r="1420" spans="1:3" x14ac:dyDescent="0.25">
      <c r="A1420" t="s">
        <v>1418</v>
      </c>
      <c r="B1420">
        <v>29</v>
      </c>
      <c r="C1420">
        <v>72.346000000000004</v>
      </c>
    </row>
    <row r="1421" spans="1:3" x14ac:dyDescent="0.25">
      <c r="A1421" t="s">
        <v>1419</v>
      </c>
      <c r="B1421">
        <v>22</v>
      </c>
      <c r="C1421">
        <v>48.392000000000003</v>
      </c>
    </row>
    <row r="1422" spans="1:3" x14ac:dyDescent="0.25">
      <c r="A1422" t="s">
        <v>1420</v>
      </c>
      <c r="B1422">
        <v>10</v>
      </c>
      <c r="C1422">
        <v>23.268999999999998</v>
      </c>
    </row>
    <row r="1423" spans="1:3" x14ac:dyDescent="0.25">
      <c r="A1423" t="s">
        <v>1421</v>
      </c>
      <c r="B1423">
        <v>24</v>
      </c>
      <c r="C1423">
        <v>48.628</v>
      </c>
    </row>
    <row r="1424" spans="1:3" x14ac:dyDescent="0.25">
      <c r="A1424" t="s">
        <v>1422</v>
      </c>
      <c r="B1424">
        <v>10</v>
      </c>
      <c r="C1424">
        <v>25.3</v>
      </c>
    </row>
    <row r="1425" spans="1:3" x14ac:dyDescent="0.25">
      <c r="A1425" t="s">
        <v>1423</v>
      </c>
      <c r="B1425">
        <v>15</v>
      </c>
      <c r="C1425">
        <v>32.085000000000001</v>
      </c>
    </row>
    <row r="1426" spans="1:3" x14ac:dyDescent="0.25">
      <c r="A1426" t="s">
        <v>1424</v>
      </c>
      <c r="B1426">
        <v>22</v>
      </c>
      <c r="C1426">
        <v>47.527999999999999</v>
      </c>
    </row>
    <row r="1427" spans="1:3" x14ac:dyDescent="0.25">
      <c r="A1427" t="s">
        <v>1425</v>
      </c>
      <c r="B1427">
        <v>14</v>
      </c>
      <c r="C1427">
        <v>24.388000000000002</v>
      </c>
    </row>
    <row r="1428" spans="1:3" x14ac:dyDescent="0.25">
      <c r="A1428" t="s">
        <v>1426</v>
      </c>
      <c r="B1428">
        <v>32</v>
      </c>
      <c r="C1428">
        <v>86.341999999999999</v>
      </c>
    </row>
    <row r="1429" spans="1:3" x14ac:dyDescent="0.25">
      <c r="A1429" t="s">
        <v>1427</v>
      </c>
      <c r="B1429">
        <v>29</v>
      </c>
      <c r="C1429">
        <v>66.837000000000003</v>
      </c>
    </row>
    <row r="1430" spans="1:3" x14ac:dyDescent="0.25">
      <c r="A1430" t="s">
        <v>1428</v>
      </c>
      <c r="B1430">
        <v>13</v>
      </c>
      <c r="C1430">
        <v>36.417999999999999</v>
      </c>
    </row>
    <row r="1431" spans="1:3" x14ac:dyDescent="0.25">
      <c r="A1431" t="s">
        <v>1429</v>
      </c>
      <c r="B1431">
        <v>24</v>
      </c>
      <c r="C1431">
        <v>57.744</v>
      </c>
    </row>
    <row r="1432" spans="1:3" x14ac:dyDescent="0.25">
      <c r="A1432" t="s">
        <v>1430</v>
      </c>
      <c r="B1432">
        <v>18</v>
      </c>
      <c r="C1432">
        <v>38.271999999999998</v>
      </c>
    </row>
    <row r="1433" spans="1:3" x14ac:dyDescent="0.25">
      <c r="A1433" t="s">
        <v>1431</v>
      </c>
      <c r="B1433">
        <v>10</v>
      </c>
      <c r="C1433">
        <v>23.268999999999998</v>
      </c>
    </row>
    <row r="1434" spans="1:3" x14ac:dyDescent="0.25">
      <c r="A1434" t="s">
        <v>1432</v>
      </c>
      <c r="B1434">
        <v>24</v>
      </c>
      <c r="C1434">
        <v>48.628</v>
      </c>
    </row>
    <row r="1435" spans="1:3" x14ac:dyDescent="0.25">
      <c r="A1435" t="s">
        <v>1433</v>
      </c>
      <c r="B1435">
        <v>20</v>
      </c>
      <c r="C1435">
        <v>42.468000000000004</v>
      </c>
    </row>
    <row r="1436" spans="1:3" x14ac:dyDescent="0.25">
      <c r="A1436" t="s">
        <v>1434</v>
      </c>
      <c r="B1436">
        <v>14</v>
      </c>
      <c r="C1436">
        <v>24.388000000000002</v>
      </c>
    </row>
    <row r="1437" spans="1:3" x14ac:dyDescent="0.25">
      <c r="A1437" t="s">
        <v>1435</v>
      </c>
      <c r="B1437">
        <v>8</v>
      </c>
      <c r="C1437">
        <v>20.239999999999998</v>
      </c>
    </row>
    <row r="1438" spans="1:3" x14ac:dyDescent="0.25">
      <c r="A1438" t="s">
        <v>1436</v>
      </c>
      <c r="B1438">
        <v>15</v>
      </c>
      <c r="C1438">
        <v>32.085000000000001</v>
      </c>
    </row>
    <row r="1439" spans="1:3" x14ac:dyDescent="0.25">
      <c r="A1439" t="s">
        <v>1437</v>
      </c>
      <c r="B1439">
        <v>11</v>
      </c>
      <c r="C1439">
        <v>31.853999999999999</v>
      </c>
    </row>
    <row r="1440" spans="1:3" x14ac:dyDescent="0.25">
      <c r="A1440" t="s">
        <v>1438</v>
      </c>
      <c r="B1440">
        <v>21</v>
      </c>
      <c r="C1440">
        <v>54.488</v>
      </c>
    </row>
    <row r="1441" spans="1:3" x14ac:dyDescent="0.25">
      <c r="A1441" t="s">
        <v>1439</v>
      </c>
      <c r="B1441">
        <v>29</v>
      </c>
      <c r="C1441">
        <v>66.837000000000003</v>
      </c>
    </row>
    <row r="1442" spans="1:3" x14ac:dyDescent="0.25">
      <c r="A1442" t="s">
        <v>1440</v>
      </c>
      <c r="B1442">
        <v>13</v>
      </c>
      <c r="C1442">
        <v>36.417999999999999</v>
      </c>
    </row>
    <row r="1443" spans="1:3" x14ac:dyDescent="0.25">
      <c r="A1443" t="s">
        <v>1441</v>
      </c>
      <c r="B1443">
        <v>24</v>
      </c>
      <c r="C1443">
        <v>57.744</v>
      </c>
    </row>
    <row r="1444" spans="1:3" x14ac:dyDescent="0.25">
      <c r="A1444" t="s">
        <v>1442</v>
      </c>
      <c r="B1444">
        <v>20</v>
      </c>
      <c r="C1444">
        <v>43.332000000000001</v>
      </c>
    </row>
    <row r="1445" spans="1:3" x14ac:dyDescent="0.25">
      <c r="A1445" t="s">
        <v>1443</v>
      </c>
      <c r="B1445">
        <v>10</v>
      </c>
      <c r="C1445">
        <v>23.268999999999998</v>
      </c>
    </row>
    <row r="1446" spans="1:3" x14ac:dyDescent="0.25">
      <c r="A1446" t="s">
        <v>1444</v>
      </c>
      <c r="B1446">
        <v>24</v>
      </c>
      <c r="C1446">
        <v>48.628</v>
      </c>
    </row>
    <row r="1447" spans="1:3" x14ac:dyDescent="0.25">
      <c r="A1447" t="s">
        <v>1445</v>
      </c>
      <c r="B1447">
        <v>22</v>
      </c>
      <c r="C1447">
        <v>47.527999999999999</v>
      </c>
    </row>
    <row r="1448" spans="1:3" x14ac:dyDescent="0.25">
      <c r="A1448" t="s">
        <v>1446</v>
      </c>
      <c r="B1448">
        <v>14</v>
      </c>
      <c r="C1448">
        <v>24.388000000000002</v>
      </c>
    </row>
    <row r="1449" spans="1:3" x14ac:dyDescent="0.25">
      <c r="A1449" t="s">
        <v>1447</v>
      </c>
      <c r="B1449">
        <v>8</v>
      </c>
      <c r="C1449">
        <v>20.239999999999998</v>
      </c>
    </row>
    <row r="1450" spans="1:3" x14ac:dyDescent="0.25">
      <c r="A1450" t="s">
        <v>1448</v>
      </c>
      <c r="B1450">
        <v>15</v>
      </c>
      <c r="C1450">
        <v>32.085000000000001</v>
      </c>
    </row>
    <row r="1451" spans="1:3" x14ac:dyDescent="0.25">
      <c r="A1451" t="s">
        <v>1449</v>
      </c>
      <c r="B1451">
        <v>18</v>
      </c>
      <c r="C1451">
        <v>45.997999999999998</v>
      </c>
    </row>
    <row r="1452" spans="1:3" x14ac:dyDescent="0.25">
      <c r="A1452" t="s">
        <v>1450</v>
      </c>
      <c r="B1452">
        <v>14</v>
      </c>
      <c r="C1452">
        <v>38.473999999999997</v>
      </c>
    </row>
    <row r="1453" spans="1:3" x14ac:dyDescent="0.25">
      <c r="A1453" t="s">
        <v>1451</v>
      </c>
      <c r="B1453">
        <v>30</v>
      </c>
      <c r="C1453">
        <v>70.872</v>
      </c>
    </row>
    <row r="1454" spans="1:3" x14ac:dyDescent="0.25">
      <c r="A1454" t="s">
        <v>1452</v>
      </c>
      <c r="B1454">
        <v>36</v>
      </c>
      <c r="C1454">
        <v>91.287000000000006</v>
      </c>
    </row>
    <row r="1455" spans="1:3" x14ac:dyDescent="0.25">
      <c r="A1455" t="s">
        <v>1453</v>
      </c>
      <c r="B1455">
        <v>12</v>
      </c>
      <c r="C1455">
        <v>24.396000000000001</v>
      </c>
    </row>
    <row r="1456" spans="1:3" x14ac:dyDescent="0.25">
      <c r="A1456" t="s">
        <v>1454</v>
      </c>
      <c r="B1456">
        <v>30</v>
      </c>
      <c r="C1456">
        <v>61.777000000000001</v>
      </c>
    </row>
    <row r="1457" spans="1:3" x14ac:dyDescent="0.25">
      <c r="A1457" t="s">
        <v>1455</v>
      </c>
      <c r="B1457">
        <v>18</v>
      </c>
      <c r="C1457">
        <v>30.547999999999998</v>
      </c>
    </row>
    <row r="1458" spans="1:3" x14ac:dyDescent="0.25">
      <c r="A1458" t="s">
        <v>1456</v>
      </c>
      <c r="B1458">
        <v>8</v>
      </c>
      <c r="C1458">
        <v>14.276</v>
      </c>
    </row>
    <row r="1459" spans="1:3" x14ac:dyDescent="0.25">
      <c r="A1459" t="s">
        <v>1457</v>
      </c>
      <c r="B1459">
        <v>10</v>
      </c>
      <c r="C1459">
        <v>21.265000000000001</v>
      </c>
    </row>
    <row r="1460" spans="1:3" x14ac:dyDescent="0.25">
      <c r="A1460" t="s">
        <v>1458</v>
      </c>
      <c r="B1460">
        <v>2</v>
      </c>
      <c r="C1460">
        <v>5.0599999999999996</v>
      </c>
    </row>
    <row r="1461" spans="1:3" x14ac:dyDescent="0.25">
      <c r="A1461" t="s">
        <v>1459</v>
      </c>
      <c r="B1461">
        <v>21</v>
      </c>
      <c r="C1461">
        <v>43.180999999999997</v>
      </c>
    </row>
    <row r="1462" spans="1:3" x14ac:dyDescent="0.25">
      <c r="A1462" t="s">
        <v>1460</v>
      </c>
      <c r="B1462">
        <v>24</v>
      </c>
      <c r="C1462">
        <v>60.505000000000003</v>
      </c>
    </row>
    <row r="1463" spans="1:3" x14ac:dyDescent="0.25">
      <c r="A1463" t="s">
        <v>1461</v>
      </c>
      <c r="B1463">
        <v>9</v>
      </c>
      <c r="C1463">
        <v>8.2739999999999991</v>
      </c>
    </row>
    <row r="1464" spans="1:3" x14ac:dyDescent="0.25">
      <c r="A1464" t="s">
        <v>1462</v>
      </c>
      <c r="B1464">
        <v>27</v>
      </c>
      <c r="C1464">
        <v>51.877000000000002</v>
      </c>
    </row>
    <row r="1465" spans="1:3" x14ac:dyDescent="0.25">
      <c r="A1465" t="s">
        <v>1463</v>
      </c>
      <c r="B1465">
        <v>32</v>
      </c>
      <c r="C1465">
        <v>66.241</v>
      </c>
    </row>
    <row r="1466" spans="1:3" x14ac:dyDescent="0.25">
      <c r="A1466" t="s">
        <v>1464</v>
      </c>
      <c r="B1466">
        <v>8</v>
      </c>
      <c r="C1466">
        <v>20.239999999999998</v>
      </c>
    </row>
    <row r="1467" spans="1:3" x14ac:dyDescent="0.25">
      <c r="A1467" t="s">
        <v>1465</v>
      </c>
      <c r="B1467">
        <v>24</v>
      </c>
      <c r="C1467">
        <v>48.128999999999998</v>
      </c>
    </row>
    <row r="1468" spans="1:3" x14ac:dyDescent="0.25">
      <c r="A1468" t="s">
        <v>1466</v>
      </c>
      <c r="B1468">
        <v>21</v>
      </c>
      <c r="C1468">
        <v>43.180999999999997</v>
      </c>
    </row>
    <row r="1469" spans="1:3" x14ac:dyDescent="0.25">
      <c r="A1469" t="s">
        <v>1467</v>
      </c>
      <c r="B1469">
        <v>24</v>
      </c>
      <c r="C1469">
        <v>60.505000000000003</v>
      </c>
    </row>
    <row r="1470" spans="1:3" x14ac:dyDescent="0.25">
      <c r="A1470" t="s">
        <v>1468</v>
      </c>
      <c r="B1470">
        <v>9</v>
      </c>
      <c r="C1470">
        <v>8.2739999999999991</v>
      </c>
    </row>
    <row r="1471" spans="1:3" x14ac:dyDescent="0.25">
      <c r="A1471" t="s">
        <v>1469</v>
      </c>
      <c r="B1471">
        <v>12</v>
      </c>
      <c r="C1471">
        <v>28.329000000000001</v>
      </c>
    </row>
    <row r="1472" spans="1:3" x14ac:dyDescent="0.25">
      <c r="A1472" t="s">
        <v>1470</v>
      </c>
      <c r="B1472">
        <v>27</v>
      </c>
      <c r="C1472">
        <v>51.877000000000002</v>
      </c>
    </row>
    <row r="1473" spans="1:3" x14ac:dyDescent="0.25">
      <c r="A1473" t="s">
        <v>1471</v>
      </c>
      <c r="B1473">
        <v>20</v>
      </c>
      <c r="C1473">
        <v>37.911999999999999</v>
      </c>
    </row>
    <row r="1474" spans="1:3" x14ac:dyDescent="0.25">
      <c r="A1474" t="s">
        <v>1472</v>
      </c>
      <c r="B1474">
        <v>8</v>
      </c>
      <c r="C1474">
        <v>20.239999999999998</v>
      </c>
    </row>
    <row r="1475" spans="1:3" x14ac:dyDescent="0.25">
      <c r="A1475" t="s">
        <v>1473</v>
      </c>
      <c r="B1475">
        <v>24</v>
      </c>
      <c r="C1475">
        <v>48.128999999999998</v>
      </c>
    </row>
    <row r="1476" spans="1:3" x14ac:dyDescent="0.25">
      <c r="A1476" t="s">
        <v>1474</v>
      </c>
      <c r="B1476">
        <v>21</v>
      </c>
      <c r="C1476">
        <v>43.180999999999997</v>
      </c>
    </row>
    <row r="1477" spans="1:3" x14ac:dyDescent="0.25">
      <c r="A1477" t="s">
        <v>1475</v>
      </c>
      <c r="B1477">
        <v>24</v>
      </c>
      <c r="C1477">
        <v>60.505000000000003</v>
      </c>
    </row>
    <row r="1478" spans="1:3" x14ac:dyDescent="0.25">
      <c r="A1478" t="s">
        <v>1476</v>
      </c>
      <c r="B1478">
        <v>9</v>
      </c>
      <c r="C1478">
        <v>8.2739999999999991</v>
      </c>
    </row>
    <row r="1479" spans="1:3" x14ac:dyDescent="0.25">
      <c r="A1479" t="s">
        <v>1477</v>
      </c>
      <c r="B1479">
        <v>12</v>
      </c>
      <c r="C1479">
        <v>28.329000000000001</v>
      </c>
    </row>
    <row r="1480" spans="1:3" x14ac:dyDescent="0.25">
      <c r="A1480" t="s">
        <v>1478</v>
      </c>
      <c r="B1480">
        <v>27</v>
      </c>
      <c r="C1480">
        <v>51.877000000000002</v>
      </c>
    </row>
    <row r="1481" spans="1:3" x14ac:dyDescent="0.25">
      <c r="A1481" t="s">
        <v>1479</v>
      </c>
      <c r="B1481">
        <v>21</v>
      </c>
      <c r="C1481">
        <v>40.072000000000003</v>
      </c>
    </row>
    <row r="1482" spans="1:3" x14ac:dyDescent="0.25">
      <c r="A1482" t="s">
        <v>1480</v>
      </c>
      <c r="B1482">
        <v>8</v>
      </c>
      <c r="C1482">
        <v>20.239999999999998</v>
      </c>
    </row>
    <row r="1483" spans="1:3" x14ac:dyDescent="0.25">
      <c r="A1483" t="s">
        <v>1481</v>
      </c>
      <c r="B1483">
        <v>24</v>
      </c>
      <c r="C1483">
        <v>48.128999999999998</v>
      </c>
    </row>
    <row r="1484" spans="1:3" x14ac:dyDescent="0.25">
      <c r="A1484" t="s">
        <v>1482</v>
      </c>
      <c r="B1484">
        <v>21</v>
      </c>
      <c r="C1484">
        <v>43.180999999999997</v>
      </c>
    </row>
    <row r="1485" spans="1:3" x14ac:dyDescent="0.25">
      <c r="A1485" t="s">
        <v>1483</v>
      </c>
      <c r="B1485">
        <v>9</v>
      </c>
      <c r="C1485">
        <v>8.2739999999999991</v>
      </c>
    </row>
    <row r="1486" spans="1:3" x14ac:dyDescent="0.25">
      <c r="A1486" t="s">
        <v>1484</v>
      </c>
      <c r="B1486">
        <v>24</v>
      </c>
      <c r="C1486">
        <v>60.505000000000003</v>
      </c>
    </row>
    <row r="1487" spans="1:3" x14ac:dyDescent="0.25">
      <c r="A1487" t="s">
        <v>1485</v>
      </c>
      <c r="B1487">
        <v>10</v>
      </c>
      <c r="C1487">
        <v>23.268999999999998</v>
      </c>
    </row>
    <row r="1488" spans="1:3" x14ac:dyDescent="0.25">
      <c r="A1488" t="s">
        <v>1486</v>
      </c>
      <c r="B1488">
        <v>27</v>
      </c>
      <c r="C1488">
        <v>51.792000000000002</v>
      </c>
    </row>
    <row r="1489" spans="1:3" x14ac:dyDescent="0.25">
      <c r="A1489" t="s">
        <v>1487</v>
      </c>
      <c r="B1489">
        <v>8</v>
      </c>
      <c r="C1489">
        <v>20.239999999999998</v>
      </c>
    </row>
    <row r="1490" spans="1:3" x14ac:dyDescent="0.25">
      <c r="A1490" t="s">
        <v>1488</v>
      </c>
      <c r="B1490">
        <v>24</v>
      </c>
      <c r="C1490">
        <v>48.128999999999998</v>
      </c>
    </row>
    <row r="1491" spans="1:3" x14ac:dyDescent="0.25">
      <c r="A1491" t="s">
        <v>1489</v>
      </c>
      <c r="B1491">
        <v>21</v>
      </c>
      <c r="C1491">
        <v>40.072000000000003</v>
      </c>
    </row>
    <row r="1492" spans="1:3" x14ac:dyDescent="0.25">
      <c r="A1492" t="s">
        <v>1490</v>
      </c>
      <c r="B1492">
        <v>25</v>
      </c>
      <c r="C1492">
        <v>54.908999999999999</v>
      </c>
    </row>
    <row r="1493" spans="1:3" x14ac:dyDescent="0.25">
      <c r="A1493" t="s">
        <v>1491</v>
      </c>
      <c r="B1493">
        <v>20</v>
      </c>
      <c r="C1493">
        <v>48.777000000000001</v>
      </c>
    </row>
    <row r="1494" spans="1:3" x14ac:dyDescent="0.25">
      <c r="A1494" t="s">
        <v>1492</v>
      </c>
      <c r="B1494">
        <v>9</v>
      </c>
      <c r="C1494">
        <v>8.2739999999999991</v>
      </c>
    </row>
    <row r="1495" spans="1:3" x14ac:dyDescent="0.25">
      <c r="A1495" t="s">
        <v>1493</v>
      </c>
      <c r="B1495">
        <v>17</v>
      </c>
      <c r="C1495">
        <v>39.447000000000003</v>
      </c>
    </row>
    <row r="1496" spans="1:3" x14ac:dyDescent="0.25">
      <c r="A1496" t="s">
        <v>1494</v>
      </c>
      <c r="B1496">
        <v>32</v>
      </c>
      <c r="C1496">
        <v>66.241</v>
      </c>
    </row>
    <row r="1497" spans="1:3" x14ac:dyDescent="0.25">
      <c r="A1497" t="s">
        <v>1495</v>
      </c>
      <c r="B1497">
        <v>40</v>
      </c>
      <c r="C1497">
        <v>75.653999999999996</v>
      </c>
    </row>
    <row r="1498" spans="1:3" x14ac:dyDescent="0.25">
      <c r="A1498" t="s">
        <v>1496</v>
      </c>
      <c r="B1498">
        <v>21</v>
      </c>
      <c r="C1498">
        <v>43.180999999999997</v>
      </c>
    </row>
    <row r="1499" spans="1:3" x14ac:dyDescent="0.25">
      <c r="A1499" t="s">
        <v>1497</v>
      </c>
      <c r="B1499">
        <v>24</v>
      </c>
      <c r="C1499">
        <v>60.505000000000003</v>
      </c>
    </row>
    <row r="1500" spans="1:3" x14ac:dyDescent="0.25">
      <c r="A1500" t="s">
        <v>1498</v>
      </c>
      <c r="B1500">
        <v>9</v>
      </c>
      <c r="C1500">
        <v>8.2739999999999991</v>
      </c>
    </row>
    <row r="1501" spans="1:3" x14ac:dyDescent="0.25">
      <c r="A1501" t="s">
        <v>1499</v>
      </c>
      <c r="B1501">
        <v>19</v>
      </c>
      <c r="C1501">
        <v>37.212000000000003</v>
      </c>
    </row>
    <row r="1502" spans="1:3" x14ac:dyDescent="0.25">
      <c r="A1502" t="s">
        <v>1500</v>
      </c>
      <c r="B1502">
        <v>10</v>
      </c>
      <c r="C1502">
        <v>23.268999999999998</v>
      </c>
    </row>
    <row r="1503" spans="1:3" x14ac:dyDescent="0.25">
      <c r="A1503" t="s">
        <v>1501</v>
      </c>
      <c r="B1503">
        <v>28</v>
      </c>
      <c r="C1503">
        <v>58.249000000000002</v>
      </c>
    </row>
    <row r="1504" spans="1:3" x14ac:dyDescent="0.25">
      <c r="A1504" t="s">
        <v>1502</v>
      </c>
      <c r="B1504">
        <v>27</v>
      </c>
      <c r="C1504">
        <v>51.792000000000002</v>
      </c>
    </row>
    <row r="1505" spans="1:3" x14ac:dyDescent="0.25">
      <c r="A1505" t="s">
        <v>1503</v>
      </c>
      <c r="B1505">
        <v>21</v>
      </c>
      <c r="C1505">
        <v>43.180999999999997</v>
      </c>
    </row>
    <row r="1506" spans="1:3" x14ac:dyDescent="0.25">
      <c r="A1506" t="s">
        <v>1504</v>
      </c>
      <c r="B1506">
        <v>24</v>
      </c>
      <c r="C1506">
        <v>60.505000000000003</v>
      </c>
    </row>
    <row r="1507" spans="1:3" x14ac:dyDescent="0.25">
      <c r="A1507" t="s">
        <v>1505</v>
      </c>
      <c r="B1507">
        <v>9</v>
      </c>
      <c r="C1507">
        <v>8.2739999999999991</v>
      </c>
    </row>
    <row r="1508" spans="1:3" x14ac:dyDescent="0.25">
      <c r="A1508" t="s">
        <v>1506</v>
      </c>
      <c r="B1508">
        <v>19</v>
      </c>
      <c r="C1508">
        <v>37.212000000000003</v>
      </c>
    </row>
    <row r="1509" spans="1:3" x14ac:dyDescent="0.25">
      <c r="A1509" t="s">
        <v>1507</v>
      </c>
      <c r="B1509">
        <v>12</v>
      </c>
      <c r="C1509">
        <v>28.329000000000001</v>
      </c>
    </row>
    <row r="1510" spans="1:3" x14ac:dyDescent="0.25">
      <c r="A1510" t="s">
        <v>1508</v>
      </c>
      <c r="B1510">
        <v>28</v>
      </c>
      <c r="C1510">
        <v>58.249000000000002</v>
      </c>
    </row>
    <row r="1511" spans="1:3" x14ac:dyDescent="0.25">
      <c r="A1511" t="s">
        <v>1509</v>
      </c>
      <c r="B1511">
        <v>27</v>
      </c>
      <c r="C1511">
        <v>51.792000000000002</v>
      </c>
    </row>
    <row r="1512" spans="1:3" x14ac:dyDescent="0.25">
      <c r="A1512" t="s">
        <v>1510</v>
      </c>
      <c r="B1512">
        <v>15</v>
      </c>
      <c r="C1512">
        <v>44.573999999999998</v>
      </c>
    </row>
    <row r="1513" spans="1:3" x14ac:dyDescent="0.25">
      <c r="A1513" t="s">
        <v>1511</v>
      </c>
      <c r="B1513">
        <v>21</v>
      </c>
      <c r="C1513">
        <v>49.567</v>
      </c>
    </row>
    <row r="1514" spans="1:3" x14ac:dyDescent="0.25">
      <c r="A1514" t="s">
        <v>1512</v>
      </c>
      <c r="B1514">
        <v>7</v>
      </c>
      <c r="C1514">
        <v>16.178000000000001</v>
      </c>
    </row>
    <row r="1515" spans="1:3" x14ac:dyDescent="0.25">
      <c r="A1515" t="s">
        <v>1513</v>
      </c>
      <c r="B1515">
        <v>6</v>
      </c>
      <c r="C1515">
        <v>16.754999999999999</v>
      </c>
    </row>
    <row r="1516" spans="1:3" x14ac:dyDescent="0.25">
      <c r="A1516" t="s">
        <v>1514</v>
      </c>
      <c r="B1516">
        <v>39</v>
      </c>
      <c r="C1516">
        <v>99.875</v>
      </c>
    </row>
    <row r="1517" spans="1:3" x14ac:dyDescent="0.25">
      <c r="A1517" t="s">
        <v>1515</v>
      </c>
      <c r="B1517">
        <v>13</v>
      </c>
      <c r="C1517">
        <v>39.555999999999997</v>
      </c>
    </row>
    <row r="1518" spans="1:3" x14ac:dyDescent="0.25">
      <c r="A1518" t="s">
        <v>1516</v>
      </c>
      <c r="B1518">
        <v>27</v>
      </c>
      <c r="C1518">
        <v>73.567999999999998</v>
      </c>
    </row>
    <row r="1519" spans="1:3" x14ac:dyDescent="0.25">
      <c r="A1519" t="s">
        <v>1517</v>
      </c>
      <c r="B1519">
        <v>11</v>
      </c>
      <c r="C1519">
        <v>21.866</v>
      </c>
    </row>
    <row r="1520" spans="1:3" x14ac:dyDescent="0.25">
      <c r="A1520" t="s">
        <v>1518</v>
      </c>
      <c r="B1520">
        <v>28</v>
      </c>
      <c r="C1520">
        <v>66.893000000000001</v>
      </c>
    </row>
    <row r="1521" spans="1:3" x14ac:dyDescent="0.25">
      <c r="A1521" t="s">
        <v>1519</v>
      </c>
      <c r="B1521">
        <v>33</v>
      </c>
      <c r="C1521">
        <v>85.650999999999996</v>
      </c>
    </row>
    <row r="1522" spans="1:3" x14ac:dyDescent="0.25">
      <c r="A1522" t="s">
        <v>1520</v>
      </c>
      <c r="B1522">
        <v>32</v>
      </c>
      <c r="C1522">
        <v>65.968000000000004</v>
      </c>
    </row>
    <row r="1523" spans="1:3" x14ac:dyDescent="0.25">
      <c r="A1523" t="s">
        <v>1521</v>
      </c>
      <c r="B1523">
        <v>28</v>
      </c>
      <c r="C1523">
        <v>66.813000000000002</v>
      </c>
    </row>
    <row r="1524" spans="1:3" x14ac:dyDescent="0.25">
      <c r="A1524" t="s">
        <v>1522</v>
      </c>
      <c r="B1524">
        <v>51</v>
      </c>
      <c r="C1524">
        <v>101.474</v>
      </c>
    </row>
    <row r="1525" spans="1:3" x14ac:dyDescent="0.25">
      <c r="A1525" t="s">
        <v>1523</v>
      </c>
      <c r="B1525">
        <v>23</v>
      </c>
      <c r="C1525">
        <v>52.807000000000002</v>
      </c>
    </row>
    <row r="1526" spans="1:3" x14ac:dyDescent="0.25">
      <c r="A1526" t="s">
        <v>1524</v>
      </c>
      <c r="B1526">
        <v>11</v>
      </c>
      <c r="C1526">
        <v>26.477</v>
      </c>
    </row>
    <row r="1527" spans="1:3" x14ac:dyDescent="0.25">
      <c r="A1527" t="s">
        <v>1525</v>
      </c>
      <c r="B1527">
        <v>26</v>
      </c>
      <c r="C1527">
        <v>62.817999999999998</v>
      </c>
    </row>
    <row r="1528" spans="1:3" x14ac:dyDescent="0.25">
      <c r="A1528" t="s">
        <v>1526</v>
      </c>
      <c r="B1528">
        <v>15</v>
      </c>
      <c r="C1528">
        <v>43.905000000000001</v>
      </c>
    </row>
    <row r="1529" spans="1:3" x14ac:dyDescent="0.25">
      <c r="A1529" t="s">
        <v>1527</v>
      </c>
      <c r="B1529">
        <v>8</v>
      </c>
      <c r="C1529">
        <v>14.276</v>
      </c>
    </row>
    <row r="1530" spans="1:3" x14ac:dyDescent="0.25">
      <c r="A1530" t="s">
        <v>1528</v>
      </c>
      <c r="B1530">
        <v>20</v>
      </c>
      <c r="C1530">
        <v>42.468000000000004</v>
      </c>
    </row>
    <row r="1531" spans="1:3" x14ac:dyDescent="0.25">
      <c r="A1531" t="s">
        <v>1529</v>
      </c>
      <c r="B1531">
        <v>13</v>
      </c>
      <c r="C1531">
        <v>29.158000000000001</v>
      </c>
    </row>
    <row r="1532" spans="1:3" x14ac:dyDescent="0.25">
      <c r="A1532" t="s">
        <v>1530</v>
      </c>
      <c r="B1532">
        <v>39</v>
      </c>
      <c r="C1532">
        <v>85.046000000000006</v>
      </c>
    </row>
    <row r="1533" spans="1:3" x14ac:dyDescent="0.25">
      <c r="A1533" t="s">
        <v>1531</v>
      </c>
      <c r="B1533">
        <v>7</v>
      </c>
      <c r="C1533">
        <v>11.845000000000001</v>
      </c>
    </row>
    <row r="1534" spans="1:3" x14ac:dyDescent="0.25">
      <c r="A1534" t="s">
        <v>1532</v>
      </c>
      <c r="B1534">
        <v>14</v>
      </c>
      <c r="C1534">
        <v>35.42</v>
      </c>
    </row>
    <row r="1535" spans="1:3" x14ac:dyDescent="0.25">
      <c r="A1535" t="s">
        <v>1533</v>
      </c>
      <c r="B1535">
        <v>13</v>
      </c>
      <c r="C1535">
        <v>39.555999999999997</v>
      </c>
    </row>
    <row r="1536" spans="1:3" x14ac:dyDescent="0.25">
      <c r="A1536" t="s">
        <v>1534</v>
      </c>
      <c r="B1536">
        <v>27</v>
      </c>
      <c r="C1536">
        <v>73.567999999999998</v>
      </c>
    </row>
    <row r="1537" spans="1:3" x14ac:dyDescent="0.25">
      <c r="A1537" t="s">
        <v>1535</v>
      </c>
      <c r="B1537">
        <v>40</v>
      </c>
      <c r="C1537">
        <v>99.046999999999997</v>
      </c>
    </row>
    <row r="1538" spans="1:3" x14ac:dyDescent="0.25">
      <c r="A1538" t="s">
        <v>1536</v>
      </c>
      <c r="B1538">
        <v>29</v>
      </c>
      <c r="C1538">
        <v>64.381</v>
      </c>
    </row>
    <row r="1539" spans="1:3" x14ac:dyDescent="0.25">
      <c r="A1539" t="s">
        <v>1537</v>
      </c>
      <c r="B1539">
        <v>13</v>
      </c>
      <c r="C1539">
        <v>24.895</v>
      </c>
    </row>
    <row r="1540" spans="1:3" x14ac:dyDescent="0.25">
      <c r="A1540" t="s">
        <v>1538</v>
      </c>
      <c r="B1540">
        <v>8</v>
      </c>
      <c r="C1540">
        <v>14.276</v>
      </c>
    </row>
    <row r="1541" spans="1:3" x14ac:dyDescent="0.25">
      <c r="A1541" t="s">
        <v>1539</v>
      </c>
      <c r="B1541">
        <v>23</v>
      </c>
      <c r="C1541">
        <v>52.807000000000002</v>
      </c>
    </row>
    <row r="1542" spans="1:3" x14ac:dyDescent="0.25">
      <c r="A1542" t="s">
        <v>1540</v>
      </c>
      <c r="B1542">
        <v>11</v>
      </c>
      <c r="C1542">
        <v>26.477</v>
      </c>
    </row>
    <row r="1543" spans="1:3" x14ac:dyDescent="0.25">
      <c r="A1543" t="s">
        <v>1541</v>
      </c>
      <c r="B1543">
        <v>26</v>
      </c>
      <c r="C1543">
        <v>62.817999999999998</v>
      </c>
    </row>
    <row r="1544" spans="1:3" x14ac:dyDescent="0.25">
      <c r="A1544" t="s">
        <v>1542</v>
      </c>
      <c r="B1544">
        <v>9</v>
      </c>
      <c r="C1544">
        <v>24.824999999999999</v>
      </c>
    </row>
    <row r="1545" spans="1:3" x14ac:dyDescent="0.25">
      <c r="A1545" t="s">
        <v>1543</v>
      </c>
      <c r="B1545">
        <v>8</v>
      </c>
      <c r="C1545">
        <v>14.276</v>
      </c>
    </row>
    <row r="1546" spans="1:3" x14ac:dyDescent="0.25">
      <c r="A1546" t="s">
        <v>1544</v>
      </c>
      <c r="B1546">
        <v>18</v>
      </c>
      <c r="C1546">
        <v>37.408000000000001</v>
      </c>
    </row>
    <row r="1547" spans="1:3" x14ac:dyDescent="0.25">
      <c r="A1547" t="s">
        <v>1545</v>
      </c>
      <c r="B1547">
        <v>27</v>
      </c>
      <c r="C1547">
        <v>64.566000000000003</v>
      </c>
    </row>
    <row r="1548" spans="1:3" x14ac:dyDescent="0.25">
      <c r="A1548" t="s">
        <v>1546</v>
      </c>
      <c r="B1548">
        <v>16</v>
      </c>
      <c r="C1548">
        <v>45.42</v>
      </c>
    </row>
    <row r="1549" spans="1:3" x14ac:dyDescent="0.25">
      <c r="A1549" t="s">
        <v>1547</v>
      </c>
      <c r="B1549">
        <v>11</v>
      </c>
      <c r="C1549">
        <v>21.965</v>
      </c>
    </row>
    <row r="1550" spans="1:3" x14ac:dyDescent="0.25">
      <c r="A1550" t="s">
        <v>1548</v>
      </c>
      <c r="B1550">
        <v>10</v>
      </c>
      <c r="C1550">
        <v>25.3</v>
      </c>
    </row>
    <row r="1551" spans="1:3" x14ac:dyDescent="0.25">
      <c r="A1551" t="s">
        <v>1549</v>
      </c>
      <c r="B1551">
        <v>21</v>
      </c>
      <c r="C1551">
        <v>49.567</v>
      </c>
    </row>
    <row r="1552" spans="1:3" x14ac:dyDescent="0.25">
      <c r="A1552" t="s">
        <v>1550</v>
      </c>
      <c r="B1552">
        <v>8</v>
      </c>
      <c r="C1552">
        <v>23.114999999999998</v>
      </c>
    </row>
    <row r="1553" spans="1:3" x14ac:dyDescent="0.25">
      <c r="A1553" t="s">
        <v>1551</v>
      </c>
      <c r="B1553">
        <v>6</v>
      </c>
      <c r="C1553">
        <v>15.23</v>
      </c>
    </row>
    <row r="1554" spans="1:3" x14ac:dyDescent="0.25">
      <c r="A1554" t="s">
        <v>1552</v>
      </c>
      <c r="B1554">
        <v>28</v>
      </c>
      <c r="C1554">
        <v>68.72</v>
      </c>
    </row>
    <row r="1555" spans="1:3" x14ac:dyDescent="0.25">
      <c r="A1555" t="s">
        <v>1553</v>
      </c>
      <c r="B1555">
        <v>35</v>
      </c>
      <c r="C1555">
        <v>82.313000000000002</v>
      </c>
    </row>
    <row r="1556" spans="1:3" x14ac:dyDescent="0.25">
      <c r="A1556" t="s">
        <v>1554</v>
      </c>
      <c r="B1556">
        <v>6</v>
      </c>
      <c r="C1556">
        <v>15.18</v>
      </c>
    </row>
    <row r="1557" spans="1:3" x14ac:dyDescent="0.25">
      <c r="A1557" t="s">
        <v>1555</v>
      </c>
      <c r="B1557">
        <v>20</v>
      </c>
      <c r="C1557">
        <v>41.572000000000003</v>
      </c>
    </row>
    <row r="1558" spans="1:3" x14ac:dyDescent="0.25">
      <c r="A1558" t="s">
        <v>1556</v>
      </c>
      <c r="B1558">
        <v>17</v>
      </c>
      <c r="C1558">
        <v>49.064</v>
      </c>
    </row>
    <row r="1559" spans="1:3" x14ac:dyDescent="0.25">
      <c r="A1559" t="s">
        <v>1557</v>
      </c>
      <c r="B1559">
        <v>19</v>
      </c>
      <c r="C1559">
        <v>46.508000000000003</v>
      </c>
    </row>
    <row r="1560" spans="1:3" x14ac:dyDescent="0.25">
      <c r="A1560" t="s">
        <v>1558</v>
      </c>
      <c r="B1560">
        <v>31</v>
      </c>
      <c r="C1560">
        <v>73.552999999999997</v>
      </c>
    </row>
    <row r="1561" spans="1:3" x14ac:dyDescent="0.25">
      <c r="A1561" t="s">
        <v>1559</v>
      </c>
      <c r="B1561">
        <v>24</v>
      </c>
      <c r="C1561">
        <v>55.975999999999999</v>
      </c>
    </row>
    <row r="1562" spans="1:3" x14ac:dyDescent="0.25">
      <c r="A1562" t="s">
        <v>1560</v>
      </c>
      <c r="B1562">
        <v>10</v>
      </c>
      <c r="C1562">
        <v>26.957999999999998</v>
      </c>
    </row>
    <row r="1563" spans="1:3" x14ac:dyDescent="0.25">
      <c r="A1563" t="s">
        <v>1561</v>
      </c>
      <c r="B1563">
        <v>33</v>
      </c>
      <c r="C1563">
        <v>94.177999999999997</v>
      </c>
    </row>
    <row r="1564" spans="1:3" x14ac:dyDescent="0.25">
      <c r="A1564" t="s">
        <v>1562</v>
      </c>
      <c r="B1564">
        <v>32</v>
      </c>
      <c r="C1564">
        <v>65.616</v>
      </c>
    </row>
    <row r="1565" spans="1:3" x14ac:dyDescent="0.25">
      <c r="A1565" t="s">
        <v>1563</v>
      </c>
      <c r="B1565">
        <v>26</v>
      </c>
      <c r="C1565">
        <v>50.482999999999997</v>
      </c>
    </row>
    <row r="1566" spans="1:3" x14ac:dyDescent="0.25">
      <c r="A1566" t="s">
        <v>1564</v>
      </c>
      <c r="B1566">
        <v>10</v>
      </c>
      <c r="C1566">
        <v>17.135999999999999</v>
      </c>
    </row>
    <row r="1567" spans="1:3" x14ac:dyDescent="0.25">
      <c r="A1567" t="s">
        <v>1565</v>
      </c>
      <c r="B1567">
        <v>14</v>
      </c>
      <c r="C1567">
        <v>35.42</v>
      </c>
    </row>
    <row r="1568" spans="1:3" x14ac:dyDescent="0.25">
      <c r="A1568" t="s">
        <v>1566</v>
      </c>
      <c r="B1568">
        <v>6</v>
      </c>
      <c r="C1568">
        <v>15.18</v>
      </c>
    </row>
    <row r="1569" spans="1:3" x14ac:dyDescent="0.25">
      <c r="A1569" t="s">
        <v>1567</v>
      </c>
      <c r="B1569">
        <v>10</v>
      </c>
      <c r="C1569">
        <v>17.135999999999999</v>
      </c>
    </row>
    <row r="1570" spans="1:3" x14ac:dyDescent="0.25">
      <c r="A1570" t="s">
        <v>1568</v>
      </c>
      <c r="B1570">
        <v>14</v>
      </c>
      <c r="C1570">
        <v>30.352</v>
      </c>
    </row>
    <row r="1571" spans="1:3" x14ac:dyDescent="0.25">
      <c r="A1571" t="s">
        <v>1569</v>
      </c>
      <c r="B1571">
        <v>42</v>
      </c>
      <c r="C1571">
        <v>79.608000000000004</v>
      </c>
    </row>
    <row r="1572" spans="1:3" x14ac:dyDescent="0.25">
      <c r="A1572" t="s">
        <v>1570</v>
      </c>
      <c r="B1572">
        <v>20</v>
      </c>
      <c r="C1572">
        <v>41.572000000000003</v>
      </c>
    </row>
    <row r="1573" spans="1:3" x14ac:dyDescent="0.25">
      <c r="A1573" t="s">
        <v>1571</v>
      </c>
      <c r="B1573">
        <v>42</v>
      </c>
      <c r="C1573">
        <v>79.608000000000004</v>
      </c>
    </row>
    <row r="1574" spans="1:3" x14ac:dyDescent="0.25">
      <c r="A1574" t="s">
        <v>1572</v>
      </c>
      <c r="B1574">
        <v>24</v>
      </c>
      <c r="C1574">
        <v>50.584000000000003</v>
      </c>
    </row>
    <row r="1575" spans="1:3" x14ac:dyDescent="0.25">
      <c r="A1575" t="s">
        <v>1573</v>
      </c>
      <c r="B1575">
        <v>27</v>
      </c>
      <c r="C1575">
        <v>46.356000000000002</v>
      </c>
    </row>
    <row r="1576" spans="1:3" x14ac:dyDescent="0.25">
      <c r="A1576" t="s">
        <v>1574</v>
      </c>
      <c r="B1576">
        <v>24</v>
      </c>
      <c r="C1576">
        <v>49.688000000000002</v>
      </c>
    </row>
    <row r="1577" spans="1:3" x14ac:dyDescent="0.25">
      <c r="A1577" t="s">
        <v>1575</v>
      </c>
      <c r="B1577">
        <v>27</v>
      </c>
      <c r="C1577">
        <v>46.356000000000002</v>
      </c>
    </row>
    <row r="1578" spans="1:3" x14ac:dyDescent="0.25">
      <c r="A1578" t="s">
        <v>1576</v>
      </c>
      <c r="B1578">
        <v>27</v>
      </c>
      <c r="C1578">
        <v>46.356000000000002</v>
      </c>
    </row>
    <row r="1579" spans="1:3" x14ac:dyDescent="0.25">
      <c r="A1579" t="s">
        <v>1577</v>
      </c>
      <c r="B1579">
        <v>30</v>
      </c>
      <c r="C1579">
        <v>61.804000000000002</v>
      </c>
    </row>
    <row r="1580" spans="1:3" x14ac:dyDescent="0.25">
      <c r="A1580" t="s">
        <v>1578</v>
      </c>
      <c r="B1580">
        <v>35</v>
      </c>
      <c r="C1580">
        <v>80.418000000000006</v>
      </c>
    </row>
    <row r="1581" spans="1:3" x14ac:dyDescent="0.25">
      <c r="A1581" t="s">
        <v>1579</v>
      </c>
      <c r="B1581">
        <v>36</v>
      </c>
      <c r="C1581">
        <v>64.427999999999997</v>
      </c>
    </row>
    <row r="1582" spans="1:3" x14ac:dyDescent="0.25">
      <c r="A1582" t="s">
        <v>1580</v>
      </c>
      <c r="B1582">
        <v>16</v>
      </c>
      <c r="C1582">
        <v>34.515999999999998</v>
      </c>
    </row>
    <row r="1583" spans="1:3" x14ac:dyDescent="0.25">
      <c r="A1583" t="s">
        <v>1581</v>
      </c>
      <c r="B1583">
        <v>2</v>
      </c>
      <c r="C1583">
        <v>5.0599999999999996</v>
      </c>
    </row>
    <row r="1584" spans="1:3" x14ac:dyDescent="0.25">
      <c r="A1584" t="s">
        <v>1582</v>
      </c>
      <c r="B1584">
        <v>20</v>
      </c>
      <c r="C1584">
        <v>41.572000000000003</v>
      </c>
    </row>
    <row r="1585" spans="1:3" x14ac:dyDescent="0.25">
      <c r="A1585" t="s">
        <v>1583</v>
      </c>
      <c r="B1585">
        <v>19</v>
      </c>
      <c r="C1585">
        <v>37.212000000000003</v>
      </c>
    </row>
    <row r="1586" spans="1:3" x14ac:dyDescent="0.25">
      <c r="A1586" t="s">
        <v>1584</v>
      </c>
      <c r="B1586">
        <v>17</v>
      </c>
      <c r="C1586">
        <v>32.152000000000001</v>
      </c>
    </row>
    <row r="1587" spans="1:3" x14ac:dyDescent="0.25">
      <c r="A1587" t="s">
        <v>1585</v>
      </c>
      <c r="B1587">
        <v>22</v>
      </c>
      <c r="C1587">
        <v>44.432000000000002</v>
      </c>
    </row>
    <row r="1588" spans="1:3" x14ac:dyDescent="0.25">
      <c r="A1588" t="s">
        <v>1586</v>
      </c>
      <c r="B1588">
        <v>20</v>
      </c>
      <c r="C1588">
        <v>43.332000000000001</v>
      </c>
    </row>
    <row r="1589" spans="1:3" x14ac:dyDescent="0.25">
      <c r="A1589" t="s">
        <v>1587</v>
      </c>
      <c r="B1589">
        <v>12</v>
      </c>
      <c r="C1589">
        <v>30.36</v>
      </c>
    </row>
    <row r="1590" spans="1:3" x14ac:dyDescent="0.25">
      <c r="A1590" t="s">
        <v>1588</v>
      </c>
      <c r="B1590">
        <v>8</v>
      </c>
      <c r="C1590">
        <v>14.276</v>
      </c>
    </row>
    <row r="1591" spans="1:3" x14ac:dyDescent="0.25">
      <c r="A1591" t="s">
        <v>1589</v>
      </c>
      <c r="B1591">
        <v>16</v>
      </c>
      <c r="C1591">
        <v>32.316000000000003</v>
      </c>
    </row>
    <row r="1592" spans="1:3" x14ac:dyDescent="0.25">
      <c r="A1592" t="s">
        <v>1590</v>
      </c>
      <c r="B1592">
        <v>24</v>
      </c>
      <c r="C1592">
        <v>54.756</v>
      </c>
    </row>
    <row r="1593" spans="1:3" x14ac:dyDescent="0.25">
      <c r="A1593" t="s">
        <v>1591</v>
      </c>
      <c r="B1593">
        <v>25</v>
      </c>
      <c r="C1593">
        <v>53.287999999999997</v>
      </c>
    </row>
    <row r="1594" spans="1:3" x14ac:dyDescent="0.25">
      <c r="A1594" t="s">
        <v>1592</v>
      </c>
      <c r="B1594">
        <v>23</v>
      </c>
      <c r="C1594">
        <v>48.228000000000002</v>
      </c>
    </row>
    <row r="1595" spans="1:3" x14ac:dyDescent="0.25">
      <c r="A1595" t="s">
        <v>1593</v>
      </c>
      <c r="B1595">
        <v>31</v>
      </c>
      <c r="C1595">
        <v>58.570999999999998</v>
      </c>
    </row>
    <row r="1596" spans="1:3" x14ac:dyDescent="0.25">
      <c r="A1596" t="s">
        <v>1594</v>
      </c>
      <c r="B1596">
        <v>29</v>
      </c>
      <c r="C1596">
        <v>62.512</v>
      </c>
    </row>
    <row r="1597" spans="1:3" x14ac:dyDescent="0.25">
      <c r="A1597" t="s">
        <v>1595</v>
      </c>
      <c r="B1597">
        <v>17</v>
      </c>
      <c r="C1597">
        <v>32.152000000000001</v>
      </c>
    </row>
    <row r="1598" spans="1:3" x14ac:dyDescent="0.25">
      <c r="A1598" t="s">
        <v>1596</v>
      </c>
      <c r="B1598">
        <v>17</v>
      </c>
      <c r="C1598">
        <v>32.152000000000001</v>
      </c>
    </row>
    <row r="1599" spans="1:3" x14ac:dyDescent="0.25">
      <c r="A1599" t="s">
        <v>1597</v>
      </c>
      <c r="B1599">
        <v>23</v>
      </c>
      <c r="C1599">
        <v>47.332000000000001</v>
      </c>
    </row>
    <row r="1600" spans="1:3" x14ac:dyDescent="0.25">
      <c r="A1600" t="s">
        <v>1598</v>
      </c>
      <c r="B1600">
        <v>8</v>
      </c>
      <c r="C1600">
        <v>20.239999999999998</v>
      </c>
    </row>
    <row r="1601" spans="1:3" x14ac:dyDescent="0.25">
      <c r="A1601" t="s">
        <v>1599</v>
      </c>
      <c r="B1601">
        <v>6</v>
      </c>
      <c r="C1601">
        <v>15.18</v>
      </c>
    </row>
    <row r="1602" spans="1:3" x14ac:dyDescent="0.25">
      <c r="A1602" t="s">
        <v>1600</v>
      </c>
      <c r="B1602">
        <v>7</v>
      </c>
      <c r="C1602">
        <v>8.1829999999999998</v>
      </c>
    </row>
    <row r="1603" spans="1:3" x14ac:dyDescent="0.25">
      <c r="A1603" t="s">
        <v>1601</v>
      </c>
      <c r="B1603">
        <v>27</v>
      </c>
      <c r="C1603">
        <v>51.488</v>
      </c>
    </row>
    <row r="1604" spans="1:3" x14ac:dyDescent="0.25">
      <c r="A1604" t="s">
        <v>1602</v>
      </c>
      <c r="B1604">
        <v>8</v>
      </c>
      <c r="C1604">
        <v>14.976000000000001</v>
      </c>
    </row>
    <row r="1605" spans="1:3" x14ac:dyDescent="0.25">
      <c r="A1605" t="s">
        <v>1603</v>
      </c>
      <c r="B1605">
        <v>18</v>
      </c>
      <c r="C1605">
        <v>40.472000000000001</v>
      </c>
    </row>
    <row r="1606" spans="1:3" x14ac:dyDescent="0.25">
      <c r="A1606" t="s">
        <v>1604</v>
      </c>
      <c r="B1606">
        <v>8</v>
      </c>
      <c r="C1606">
        <v>20.239999999999998</v>
      </c>
    </row>
    <row r="1607" spans="1:3" x14ac:dyDescent="0.25">
      <c r="A1607" t="s">
        <v>1605</v>
      </c>
      <c r="B1607">
        <v>26</v>
      </c>
      <c r="C1607">
        <v>55.448</v>
      </c>
    </row>
    <row r="1608" spans="1:3" x14ac:dyDescent="0.25">
      <c r="A1608" t="s">
        <v>1606</v>
      </c>
      <c r="B1608">
        <v>6</v>
      </c>
      <c r="C1608">
        <v>15.18</v>
      </c>
    </row>
    <row r="1609" spans="1:3" x14ac:dyDescent="0.25">
      <c r="A1609" t="s">
        <v>1607</v>
      </c>
      <c r="B1609">
        <v>18</v>
      </c>
      <c r="C1609">
        <v>34.311999999999998</v>
      </c>
    </row>
    <row r="1610" spans="1:3" x14ac:dyDescent="0.25">
      <c r="A1610" t="s">
        <v>1608</v>
      </c>
      <c r="B1610">
        <v>17</v>
      </c>
      <c r="C1610">
        <v>32.152000000000001</v>
      </c>
    </row>
    <row r="1611" spans="1:3" x14ac:dyDescent="0.25">
      <c r="A1611" t="s">
        <v>1609</v>
      </c>
      <c r="B1611">
        <v>8</v>
      </c>
      <c r="C1611">
        <v>17.853000000000002</v>
      </c>
    </row>
    <row r="1612" spans="1:3" x14ac:dyDescent="0.25">
      <c r="A1612" t="s">
        <v>1610</v>
      </c>
      <c r="B1612">
        <v>10</v>
      </c>
      <c r="C1612">
        <v>22.913</v>
      </c>
    </row>
    <row r="1613" spans="1:3" x14ac:dyDescent="0.25">
      <c r="A1613" t="s">
        <v>1611</v>
      </c>
      <c r="B1613">
        <v>8</v>
      </c>
      <c r="C1613">
        <v>17.853000000000002</v>
      </c>
    </row>
    <row r="1614" spans="1:3" x14ac:dyDescent="0.25">
      <c r="A1614" t="s">
        <v>1612</v>
      </c>
      <c r="B1614">
        <v>12</v>
      </c>
      <c r="C1614">
        <v>27.617000000000001</v>
      </c>
    </row>
    <row r="1615" spans="1:3" x14ac:dyDescent="0.25">
      <c r="A1615" t="s">
        <v>1613</v>
      </c>
      <c r="B1615">
        <v>12</v>
      </c>
      <c r="C1615">
        <v>27.972999999999999</v>
      </c>
    </row>
    <row r="1616" spans="1:3" x14ac:dyDescent="0.25">
      <c r="A1616" t="s">
        <v>1614</v>
      </c>
      <c r="B1616">
        <v>14</v>
      </c>
      <c r="C1616">
        <v>33.033000000000001</v>
      </c>
    </row>
    <row r="1617" spans="1:3" x14ac:dyDescent="0.25">
      <c r="A1617" t="s">
        <v>1615</v>
      </c>
      <c r="B1617">
        <v>8</v>
      </c>
      <c r="C1617">
        <v>17.853000000000002</v>
      </c>
    </row>
    <row r="1618" spans="1:3" x14ac:dyDescent="0.25">
      <c r="A1618" t="s">
        <v>1616</v>
      </c>
      <c r="B1618">
        <v>10</v>
      </c>
      <c r="C1618">
        <v>22.556999999999999</v>
      </c>
    </row>
    <row r="1619" spans="1:3" x14ac:dyDescent="0.25">
      <c r="A1619" t="s">
        <v>1617</v>
      </c>
      <c r="B1619">
        <v>10</v>
      </c>
      <c r="C1619">
        <v>22.556999999999999</v>
      </c>
    </row>
    <row r="1620" spans="1:3" x14ac:dyDescent="0.25">
      <c r="A1620" t="s">
        <v>1618</v>
      </c>
      <c r="B1620">
        <v>10</v>
      </c>
      <c r="C1620">
        <v>22.556999999999999</v>
      </c>
    </row>
    <row r="1621" spans="1:3" x14ac:dyDescent="0.25">
      <c r="A1621" t="s">
        <v>1619</v>
      </c>
      <c r="B1621">
        <v>8</v>
      </c>
      <c r="C1621">
        <v>17.853000000000002</v>
      </c>
    </row>
    <row r="1622" spans="1:3" x14ac:dyDescent="0.25">
      <c r="A1622" t="s">
        <v>1620</v>
      </c>
      <c r="B1622">
        <v>8</v>
      </c>
      <c r="C1622">
        <v>17.853000000000002</v>
      </c>
    </row>
    <row r="1623" spans="1:3" x14ac:dyDescent="0.25">
      <c r="A1623" t="s">
        <v>1621</v>
      </c>
      <c r="B1623">
        <v>8</v>
      </c>
      <c r="C1623">
        <v>17.853000000000002</v>
      </c>
    </row>
    <row r="1624" spans="1:3" x14ac:dyDescent="0.25">
      <c r="A1624" t="s">
        <v>1622</v>
      </c>
      <c r="B1624">
        <v>8</v>
      </c>
      <c r="C1624">
        <v>17.853000000000002</v>
      </c>
    </row>
    <row r="1625" spans="1:3" x14ac:dyDescent="0.25">
      <c r="A1625" t="s">
        <v>1623</v>
      </c>
      <c r="B1625">
        <v>8</v>
      </c>
      <c r="C1625">
        <v>17.853000000000002</v>
      </c>
    </row>
    <row r="1626" spans="1:3" x14ac:dyDescent="0.25">
      <c r="A1626" t="s">
        <v>1624</v>
      </c>
      <c r="B1626">
        <v>12</v>
      </c>
      <c r="C1626">
        <v>27.972999999999999</v>
      </c>
    </row>
    <row r="1627" spans="1:3" x14ac:dyDescent="0.25">
      <c r="A1627" t="s">
        <v>1625</v>
      </c>
      <c r="B1627">
        <v>14</v>
      </c>
      <c r="C1627">
        <v>33.033000000000001</v>
      </c>
    </row>
    <row r="1628" spans="1:3" x14ac:dyDescent="0.25">
      <c r="A1628" t="s">
        <v>1626</v>
      </c>
      <c r="B1628">
        <v>8</v>
      </c>
      <c r="C1628">
        <v>17.853000000000002</v>
      </c>
    </row>
    <row r="1629" spans="1:3" x14ac:dyDescent="0.25">
      <c r="A1629" t="s">
        <v>1627</v>
      </c>
      <c r="B1629">
        <v>10</v>
      </c>
      <c r="C1629">
        <v>22.913</v>
      </c>
    </row>
    <row r="1630" spans="1:3" x14ac:dyDescent="0.25">
      <c r="A1630" t="s">
        <v>1628</v>
      </c>
      <c r="B1630">
        <v>10</v>
      </c>
      <c r="C1630">
        <v>22.913</v>
      </c>
    </row>
    <row r="1631" spans="1:3" x14ac:dyDescent="0.25">
      <c r="A1631" t="s">
        <v>1629</v>
      </c>
      <c r="B1631">
        <v>10</v>
      </c>
      <c r="C1631">
        <v>22.913</v>
      </c>
    </row>
    <row r="1632" spans="1:3" x14ac:dyDescent="0.25">
      <c r="A1632" t="s">
        <v>1630</v>
      </c>
      <c r="B1632">
        <v>12</v>
      </c>
      <c r="C1632">
        <v>27.972999999999999</v>
      </c>
    </row>
    <row r="1633" spans="1:3" x14ac:dyDescent="0.25">
      <c r="A1633" t="s">
        <v>1631</v>
      </c>
      <c r="B1633">
        <v>14</v>
      </c>
      <c r="C1633">
        <v>33.033000000000001</v>
      </c>
    </row>
    <row r="1634" spans="1:3" x14ac:dyDescent="0.25">
      <c r="A1634" t="s">
        <v>1632</v>
      </c>
      <c r="B1634">
        <v>23</v>
      </c>
      <c r="C1634">
        <v>73.742000000000004</v>
      </c>
    </row>
    <row r="1635" spans="1:3" x14ac:dyDescent="0.25">
      <c r="A1635" t="s">
        <v>1633</v>
      </c>
      <c r="B1635">
        <v>37</v>
      </c>
      <c r="C1635">
        <v>114.41</v>
      </c>
    </row>
    <row r="1636" spans="1:3" x14ac:dyDescent="0.25">
      <c r="A1636" t="s">
        <v>1634</v>
      </c>
      <c r="B1636">
        <v>23</v>
      </c>
      <c r="C1636">
        <v>51.048999999999999</v>
      </c>
    </row>
    <row r="1637" spans="1:3" x14ac:dyDescent="0.25">
      <c r="A1637" t="s">
        <v>1635</v>
      </c>
      <c r="B1637">
        <v>15</v>
      </c>
      <c r="C1637">
        <v>48.381</v>
      </c>
    </row>
    <row r="1638" spans="1:3" x14ac:dyDescent="0.25">
      <c r="A1638" t="s">
        <v>1636</v>
      </c>
      <c r="B1638">
        <v>13</v>
      </c>
      <c r="C1638">
        <v>41.18</v>
      </c>
    </row>
    <row r="1639" spans="1:3" x14ac:dyDescent="0.25">
      <c r="A1639" t="s">
        <v>1637</v>
      </c>
      <c r="B1639">
        <v>15</v>
      </c>
      <c r="C1639">
        <v>36.622999999999998</v>
      </c>
    </row>
    <row r="1640" spans="1:3" x14ac:dyDescent="0.25">
      <c r="A1640" t="s">
        <v>1638</v>
      </c>
      <c r="B1640">
        <v>21</v>
      </c>
      <c r="C1640">
        <v>39.698</v>
      </c>
    </row>
    <row r="1641" spans="1:3" x14ac:dyDescent="0.25">
      <c r="A1641" t="s">
        <v>1639</v>
      </c>
      <c r="B1641">
        <v>29</v>
      </c>
      <c r="C1641">
        <v>71.721000000000004</v>
      </c>
    </row>
    <row r="1642" spans="1:3" x14ac:dyDescent="0.25">
      <c r="A1642" t="s">
        <v>1640</v>
      </c>
      <c r="B1642">
        <v>21</v>
      </c>
      <c r="C1642">
        <v>39.698</v>
      </c>
    </row>
    <row r="1643" spans="1:3" x14ac:dyDescent="0.25">
      <c r="A1643" t="s">
        <v>1641</v>
      </c>
      <c r="B1643">
        <v>21</v>
      </c>
      <c r="C1643">
        <v>39.698</v>
      </c>
    </row>
    <row r="1644" spans="1:3" x14ac:dyDescent="0.25">
      <c r="A1644" t="s">
        <v>1642</v>
      </c>
      <c r="B1644">
        <v>21</v>
      </c>
      <c r="C1644">
        <v>39.698</v>
      </c>
    </row>
    <row r="1645" spans="1:3" x14ac:dyDescent="0.25">
      <c r="A1645" t="s">
        <v>1643</v>
      </c>
      <c r="B1645">
        <v>21</v>
      </c>
      <c r="C1645">
        <v>39.698</v>
      </c>
    </row>
    <row r="1646" spans="1:3" x14ac:dyDescent="0.25">
      <c r="A1646" t="s">
        <v>1644</v>
      </c>
      <c r="B1646">
        <v>21</v>
      </c>
      <c r="C1646">
        <v>39.698</v>
      </c>
    </row>
    <row r="1647" spans="1:3" x14ac:dyDescent="0.25">
      <c r="A1647" t="s">
        <v>1645</v>
      </c>
      <c r="B1647">
        <v>23</v>
      </c>
      <c r="C1647">
        <v>49.392000000000003</v>
      </c>
    </row>
    <row r="1648" spans="1:3" x14ac:dyDescent="0.25">
      <c r="A1648" t="s">
        <v>1646</v>
      </c>
      <c r="B1648">
        <v>34</v>
      </c>
      <c r="C1648">
        <v>62.725000000000001</v>
      </c>
    </row>
    <row r="1649" spans="1:3" x14ac:dyDescent="0.25">
      <c r="A1649" t="s">
        <v>1647</v>
      </c>
      <c r="B1649">
        <v>9</v>
      </c>
      <c r="C1649">
        <v>28.978000000000002</v>
      </c>
    </row>
    <row r="1650" spans="1:3" x14ac:dyDescent="0.25">
      <c r="A1650" t="s">
        <v>1648</v>
      </c>
      <c r="B1650">
        <v>13</v>
      </c>
      <c r="C1650">
        <v>24.428999999999998</v>
      </c>
    </row>
    <row r="1651" spans="1:3" x14ac:dyDescent="0.25">
      <c r="A1651" t="s">
        <v>1649</v>
      </c>
      <c r="B1651">
        <v>6</v>
      </c>
      <c r="C1651">
        <v>15.18</v>
      </c>
    </row>
    <row r="1652" spans="1:3" x14ac:dyDescent="0.25">
      <c r="A1652" t="s">
        <v>1650</v>
      </c>
      <c r="B1652">
        <v>6</v>
      </c>
      <c r="C1652">
        <v>15.18</v>
      </c>
    </row>
    <row r="1653" spans="1:3" x14ac:dyDescent="0.25">
      <c r="A1653" t="s">
        <v>1651</v>
      </c>
      <c r="B1653">
        <v>7</v>
      </c>
      <c r="C1653">
        <v>8.1829999999999998</v>
      </c>
    </row>
    <row r="1654" spans="1:3" x14ac:dyDescent="0.25">
      <c r="A1654" t="s">
        <v>1652</v>
      </c>
      <c r="B1654">
        <v>50</v>
      </c>
      <c r="C1654">
        <v>127.02800000000001</v>
      </c>
    </row>
    <row r="1655" spans="1:3" x14ac:dyDescent="0.25">
      <c r="A1655" t="s">
        <v>1653</v>
      </c>
      <c r="B1655">
        <v>38</v>
      </c>
      <c r="C1655">
        <v>74.049000000000007</v>
      </c>
    </row>
    <row r="1656" spans="1:3" x14ac:dyDescent="0.25">
      <c r="A1656" t="s">
        <v>1654</v>
      </c>
      <c r="B1656">
        <v>18</v>
      </c>
      <c r="C1656">
        <v>56.607999999999997</v>
      </c>
    </row>
    <row r="1657" spans="1:3" x14ac:dyDescent="0.25">
      <c r="A1657" t="s">
        <v>1655</v>
      </c>
      <c r="B1657">
        <v>17</v>
      </c>
      <c r="C1657">
        <v>54.354999999999997</v>
      </c>
    </row>
    <row r="1658" spans="1:3" x14ac:dyDescent="0.25">
      <c r="A1658" t="s">
        <v>1656</v>
      </c>
      <c r="B1658">
        <v>20</v>
      </c>
      <c r="C1658">
        <v>57.503999999999998</v>
      </c>
    </row>
    <row r="1659" spans="1:3" x14ac:dyDescent="0.25">
      <c r="A1659" t="s">
        <v>1657</v>
      </c>
      <c r="B1659">
        <v>29</v>
      </c>
      <c r="C1659">
        <v>78.524000000000001</v>
      </c>
    </row>
    <row r="1660" spans="1:3" x14ac:dyDescent="0.25">
      <c r="A1660" t="s">
        <v>1658</v>
      </c>
      <c r="B1660">
        <v>35</v>
      </c>
      <c r="C1660">
        <v>103.886</v>
      </c>
    </row>
    <row r="1661" spans="1:3" x14ac:dyDescent="0.25">
      <c r="A1661" t="s">
        <v>1659</v>
      </c>
      <c r="B1661">
        <v>10</v>
      </c>
      <c r="C1661">
        <v>30.222000000000001</v>
      </c>
    </row>
    <row r="1662" spans="1:3" x14ac:dyDescent="0.25">
      <c r="A1662" t="s">
        <v>1660</v>
      </c>
      <c r="B1662">
        <v>27</v>
      </c>
      <c r="C1662">
        <v>64.581999999999994</v>
      </c>
    </row>
    <row r="1663" spans="1:3" x14ac:dyDescent="0.25">
      <c r="A1663" t="s">
        <v>1661</v>
      </c>
      <c r="B1663">
        <v>26</v>
      </c>
      <c r="C1663">
        <v>49.932000000000002</v>
      </c>
    </row>
    <row r="1664" spans="1:3" x14ac:dyDescent="0.25">
      <c r="A1664" t="s">
        <v>1662</v>
      </c>
      <c r="B1664">
        <v>20</v>
      </c>
      <c r="C1664">
        <v>36.503999999999998</v>
      </c>
    </row>
    <row r="1665" spans="1:3" x14ac:dyDescent="0.25">
      <c r="A1665" t="s">
        <v>1663</v>
      </c>
      <c r="B1665">
        <v>22</v>
      </c>
      <c r="C1665">
        <v>41.564</v>
      </c>
    </row>
    <row r="1666" spans="1:3" x14ac:dyDescent="0.25">
      <c r="A1666" t="s">
        <v>1664</v>
      </c>
      <c r="B1666">
        <v>18</v>
      </c>
      <c r="C1666">
        <v>32.476999999999997</v>
      </c>
    </row>
    <row r="1667" spans="1:3" x14ac:dyDescent="0.25">
      <c r="A1667" t="s">
        <v>1665</v>
      </c>
      <c r="B1667">
        <v>19</v>
      </c>
      <c r="C1667">
        <v>38.515000000000001</v>
      </c>
    </row>
    <row r="1668" spans="1:3" x14ac:dyDescent="0.25">
      <c r="A1668" t="s">
        <v>1666</v>
      </c>
      <c r="B1668">
        <v>28</v>
      </c>
      <c r="C1668">
        <v>56.744</v>
      </c>
    </row>
    <row r="1669" spans="1:3" x14ac:dyDescent="0.25">
      <c r="A1669" t="s">
        <v>1667</v>
      </c>
      <c r="B1669">
        <v>27</v>
      </c>
      <c r="C1669">
        <v>53.715000000000003</v>
      </c>
    </row>
    <row r="1670" spans="1:3" x14ac:dyDescent="0.25">
      <c r="A1670" t="s">
        <v>1668</v>
      </c>
      <c r="B1670">
        <v>23</v>
      </c>
      <c r="C1670">
        <v>43.594999999999999</v>
      </c>
    </row>
    <row r="1671" spans="1:3" x14ac:dyDescent="0.25">
      <c r="A1671" t="s">
        <v>1669</v>
      </c>
      <c r="B1671">
        <v>10</v>
      </c>
      <c r="C1671">
        <v>25.3</v>
      </c>
    </row>
    <row r="1672" spans="1:3" x14ac:dyDescent="0.25">
      <c r="A1672" t="s">
        <v>1670</v>
      </c>
      <c r="B1672">
        <v>41</v>
      </c>
      <c r="C1672">
        <v>76.182000000000002</v>
      </c>
    </row>
    <row r="1673" spans="1:3" x14ac:dyDescent="0.25">
      <c r="A1673" t="s">
        <v>1671</v>
      </c>
      <c r="B1673">
        <v>4</v>
      </c>
      <c r="C1673">
        <v>10.119999999999999</v>
      </c>
    </row>
    <row r="1674" spans="1:3" x14ac:dyDescent="0.25">
      <c r="A1674" t="s">
        <v>1672</v>
      </c>
      <c r="B1674">
        <v>35</v>
      </c>
      <c r="C1674">
        <v>61.384999999999998</v>
      </c>
    </row>
    <row r="1675" spans="1:3" x14ac:dyDescent="0.25">
      <c r="A1675" t="s">
        <v>1673</v>
      </c>
      <c r="B1675">
        <v>16</v>
      </c>
      <c r="C1675">
        <v>35.411999999999999</v>
      </c>
    </row>
    <row r="1676" spans="1:3" x14ac:dyDescent="0.25">
      <c r="A1676" t="s">
        <v>1674</v>
      </c>
      <c r="B1676">
        <v>40</v>
      </c>
      <c r="C1676">
        <v>73.281999999999996</v>
      </c>
    </row>
    <row r="1677" spans="1:3" x14ac:dyDescent="0.25">
      <c r="A1677" t="s">
        <v>1675</v>
      </c>
      <c r="B1677">
        <v>17</v>
      </c>
      <c r="C1677">
        <v>33.482999999999997</v>
      </c>
    </row>
    <row r="1678" spans="1:3" x14ac:dyDescent="0.25">
      <c r="A1678" t="s">
        <v>1676</v>
      </c>
      <c r="B1678">
        <v>20</v>
      </c>
      <c r="C1678">
        <v>39.372</v>
      </c>
    </row>
    <row r="1679" spans="1:3" x14ac:dyDescent="0.25">
      <c r="A1679" t="s">
        <v>1677</v>
      </c>
      <c r="B1679">
        <v>27</v>
      </c>
      <c r="C1679">
        <v>50.786000000000001</v>
      </c>
    </row>
    <row r="1680" spans="1:3" x14ac:dyDescent="0.25">
      <c r="A1680" t="s">
        <v>1678</v>
      </c>
      <c r="B1680">
        <v>19</v>
      </c>
      <c r="C1680">
        <v>37.212000000000003</v>
      </c>
    </row>
    <row r="1681" spans="1:3" x14ac:dyDescent="0.25">
      <c r="A1681" t="s">
        <v>1679</v>
      </c>
      <c r="B1681">
        <v>27</v>
      </c>
      <c r="C1681">
        <v>50.786000000000001</v>
      </c>
    </row>
    <row r="1682" spans="1:3" x14ac:dyDescent="0.25">
      <c r="A1682" t="s">
        <v>1680</v>
      </c>
      <c r="B1682">
        <v>16</v>
      </c>
      <c r="C1682">
        <v>29.251999999999999</v>
      </c>
    </row>
    <row r="1683" spans="1:3" x14ac:dyDescent="0.25">
      <c r="A1683" t="s">
        <v>1681</v>
      </c>
      <c r="B1683">
        <v>27</v>
      </c>
      <c r="C1683">
        <v>50.786000000000001</v>
      </c>
    </row>
    <row r="1684" spans="1:3" x14ac:dyDescent="0.25">
      <c r="A1684" t="s">
        <v>1682</v>
      </c>
      <c r="B1684">
        <v>23</v>
      </c>
      <c r="C1684">
        <v>46.962000000000003</v>
      </c>
    </row>
    <row r="1685" spans="1:3" x14ac:dyDescent="0.25">
      <c r="A1685" t="s">
        <v>1683</v>
      </c>
      <c r="B1685">
        <v>27</v>
      </c>
      <c r="C1685">
        <v>48.555999999999997</v>
      </c>
    </row>
    <row r="1686" spans="1:3" x14ac:dyDescent="0.25">
      <c r="A1686" t="s">
        <v>1684</v>
      </c>
      <c r="B1686">
        <v>34</v>
      </c>
      <c r="C1686">
        <v>65.554000000000002</v>
      </c>
    </row>
    <row r="1687" spans="1:3" x14ac:dyDescent="0.25">
      <c r="A1687" t="s">
        <v>1685</v>
      </c>
      <c r="B1687">
        <v>20</v>
      </c>
      <c r="C1687">
        <v>43.332000000000001</v>
      </c>
    </row>
    <row r="1688" spans="1:3" x14ac:dyDescent="0.25">
      <c r="A1688" t="s">
        <v>1686</v>
      </c>
      <c r="B1688">
        <v>30</v>
      </c>
      <c r="C1688">
        <v>56.146000000000001</v>
      </c>
    </row>
    <row r="1689" spans="1:3" x14ac:dyDescent="0.25">
      <c r="A1689" t="s">
        <v>1687</v>
      </c>
      <c r="B1689">
        <v>18</v>
      </c>
      <c r="C1689">
        <v>37.375999999999998</v>
      </c>
    </row>
    <row r="1690" spans="1:3" x14ac:dyDescent="0.25">
      <c r="A1690" t="s">
        <v>1688</v>
      </c>
      <c r="B1690">
        <v>42</v>
      </c>
      <c r="C1690">
        <v>78.341999999999999</v>
      </c>
    </row>
    <row r="1691" spans="1:3" x14ac:dyDescent="0.25">
      <c r="A1691" t="s">
        <v>1689</v>
      </c>
      <c r="B1691">
        <v>51</v>
      </c>
      <c r="C1691">
        <v>101.482</v>
      </c>
    </row>
    <row r="1692" spans="1:3" x14ac:dyDescent="0.25">
      <c r="A1692" t="s">
        <v>1690</v>
      </c>
      <c r="B1692">
        <v>21</v>
      </c>
      <c r="C1692">
        <v>44.499000000000002</v>
      </c>
    </row>
    <row r="1693" spans="1:3" x14ac:dyDescent="0.25">
      <c r="A1693" t="s">
        <v>1691</v>
      </c>
      <c r="B1693">
        <v>17</v>
      </c>
      <c r="C1693">
        <v>29.62</v>
      </c>
    </row>
    <row r="1694" spans="1:3" x14ac:dyDescent="0.25">
      <c r="A1694" t="s">
        <v>1692</v>
      </c>
      <c r="B1694">
        <v>15</v>
      </c>
      <c r="C1694">
        <v>27.355</v>
      </c>
    </row>
    <row r="1695" spans="1:3" x14ac:dyDescent="0.25">
      <c r="A1695" t="s">
        <v>1693</v>
      </c>
      <c r="B1695">
        <v>19</v>
      </c>
      <c r="C1695">
        <v>39.439</v>
      </c>
    </row>
    <row r="1696" spans="1:3" x14ac:dyDescent="0.25">
      <c r="A1696" t="s">
        <v>1694</v>
      </c>
      <c r="B1696">
        <v>31</v>
      </c>
      <c r="C1696">
        <v>54.814999999999998</v>
      </c>
    </row>
    <row r="1697" spans="1:3" x14ac:dyDescent="0.25">
      <c r="A1697" t="s">
        <v>1695</v>
      </c>
      <c r="B1697">
        <v>29</v>
      </c>
      <c r="C1697">
        <v>53.511000000000003</v>
      </c>
    </row>
    <row r="1698" spans="1:3" x14ac:dyDescent="0.25">
      <c r="A1698" t="s">
        <v>1696</v>
      </c>
      <c r="B1698">
        <v>34</v>
      </c>
      <c r="C1698">
        <v>65.197999999999993</v>
      </c>
    </row>
    <row r="1699" spans="1:3" x14ac:dyDescent="0.25">
      <c r="A1699" t="s">
        <v>1697</v>
      </c>
      <c r="B1699">
        <v>26</v>
      </c>
      <c r="C1699">
        <v>54.552</v>
      </c>
    </row>
    <row r="1700" spans="1:3" x14ac:dyDescent="0.25">
      <c r="A1700" t="s">
        <v>1698</v>
      </c>
      <c r="B1700">
        <v>28</v>
      </c>
      <c r="C1700">
        <v>51.085999999999999</v>
      </c>
    </row>
    <row r="1701" spans="1:3" x14ac:dyDescent="0.25">
      <c r="A1701" t="s">
        <v>1699</v>
      </c>
      <c r="B1701">
        <v>20</v>
      </c>
      <c r="C1701">
        <v>39.372</v>
      </c>
    </row>
    <row r="1702" spans="1:3" x14ac:dyDescent="0.25">
      <c r="A1702" t="s">
        <v>1700</v>
      </c>
      <c r="B1702">
        <v>27</v>
      </c>
      <c r="C1702">
        <v>50.786000000000001</v>
      </c>
    </row>
    <row r="1703" spans="1:3" x14ac:dyDescent="0.25">
      <c r="A1703" t="s">
        <v>1701</v>
      </c>
      <c r="B1703">
        <v>20</v>
      </c>
      <c r="C1703">
        <v>39.372</v>
      </c>
    </row>
    <row r="1704" spans="1:3" x14ac:dyDescent="0.25">
      <c r="A1704" t="s">
        <v>1702</v>
      </c>
      <c r="B1704">
        <v>27</v>
      </c>
      <c r="C1704">
        <v>50.786000000000001</v>
      </c>
    </row>
    <row r="1705" spans="1:3" x14ac:dyDescent="0.25">
      <c r="A1705" t="s">
        <v>1703</v>
      </c>
      <c r="B1705">
        <v>26</v>
      </c>
      <c r="C1705">
        <v>52.716999999999999</v>
      </c>
    </row>
    <row r="1706" spans="1:3" x14ac:dyDescent="0.25">
      <c r="A1706" t="s">
        <v>1704</v>
      </c>
      <c r="B1706">
        <v>6</v>
      </c>
      <c r="C1706">
        <v>15.18</v>
      </c>
    </row>
    <row r="1707" spans="1:3" x14ac:dyDescent="0.25">
      <c r="A1707" t="s">
        <v>1705</v>
      </c>
      <c r="B1707">
        <v>22</v>
      </c>
      <c r="C1707">
        <v>42.597000000000001</v>
      </c>
    </row>
    <row r="1708" spans="1:3" x14ac:dyDescent="0.25">
      <c r="A1708" t="s">
        <v>1706</v>
      </c>
      <c r="B1708">
        <v>4</v>
      </c>
      <c r="C1708">
        <v>10.119999999999999</v>
      </c>
    </row>
    <row r="1709" spans="1:3" x14ac:dyDescent="0.25">
      <c r="A1709" t="s">
        <v>1707</v>
      </c>
      <c r="B1709">
        <v>8</v>
      </c>
      <c r="C1709">
        <v>20.239999999999998</v>
      </c>
    </row>
    <row r="1710" spans="1:3" x14ac:dyDescent="0.25">
      <c r="A1710" t="s">
        <v>1708</v>
      </c>
      <c r="B1710">
        <v>22</v>
      </c>
      <c r="C1710">
        <v>41.701000000000001</v>
      </c>
    </row>
    <row r="1711" spans="1:3" x14ac:dyDescent="0.25">
      <c r="A1711" t="s">
        <v>1709</v>
      </c>
      <c r="B1711">
        <v>8</v>
      </c>
      <c r="C1711">
        <v>20.239999999999998</v>
      </c>
    </row>
    <row r="1712" spans="1:3" x14ac:dyDescent="0.25">
      <c r="A1712" t="s">
        <v>1710</v>
      </c>
      <c r="B1712">
        <v>20</v>
      </c>
      <c r="C1712">
        <v>41.572000000000003</v>
      </c>
    </row>
    <row r="1713" spans="1:3" x14ac:dyDescent="0.25">
      <c r="A1713" t="s">
        <v>1711</v>
      </c>
      <c r="B1713">
        <v>8</v>
      </c>
      <c r="C1713">
        <v>20.239999999999998</v>
      </c>
    </row>
    <row r="1714" spans="1:3" x14ac:dyDescent="0.25">
      <c r="A1714" t="s">
        <v>1712</v>
      </c>
      <c r="B1714">
        <v>30</v>
      </c>
      <c r="C1714">
        <v>53.945999999999998</v>
      </c>
    </row>
    <row r="1715" spans="1:3" x14ac:dyDescent="0.25">
      <c r="A1715" t="s">
        <v>1713</v>
      </c>
      <c r="B1715">
        <v>6</v>
      </c>
      <c r="C1715">
        <v>15.18</v>
      </c>
    </row>
    <row r="1716" spans="1:3" x14ac:dyDescent="0.25">
      <c r="A1716" t="s">
        <v>1714</v>
      </c>
      <c r="B1716">
        <v>7</v>
      </c>
      <c r="C1716">
        <v>8.1829999999999998</v>
      </c>
    </row>
    <row r="1717" spans="1:3" x14ac:dyDescent="0.25">
      <c r="A1717" t="s">
        <v>1715</v>
      </c>
      <c r="B1717">
        <v>18</v>
      </c>
      <c r="C1717">
        <v>36.512</v>
      </c>
    </row>
    <row r="1718" spans="1:3" x14ac:dyDescent="0.25">
      <c r="A1718" t="s">
        <v>1716</v>
      </c>
      <c r="B1718">
        <v>35</v>
      </c>
      <c r="C1718">
        <v>61.002000000000002</v>
      </c>
    </row>
    <row r="1719" spans="1:3" x14ac:dyDescent="0.25">
      <c r="A1719" t="s">
        <v>1717</v>
      </c>
      <c r="B1719">
        <v>27</v>
      </c>
      <c r="C1719">
        <v>50.786000000000001</v>
      </c>
    </row>
    <row r="1720" spans="1:3" x14ac:dyDescent="0.25">
      <c r="A1720" t="s">
        <v>1718</v>
      </c>
      <c r="B1720">
        <v>24</v>
      </c>
      <c r="C1720">
        <v>50.387999999999998</v>
      </c>
    </row>
    <row r="1721" spans="1:3" x14ac:dyDescent="0.25">
      <c r="A1721" t="s">
        <v>1719</v>
      </c>
      <c r="B1721">
        <v>8</v>
      </c>
      <c r="C1721">
        <v>20.239999999999998</v>
      </c>
    </row>
    <row r="1722" spans="1:3" x14ac:dyDescent="0.25">
      <c r="A1722" t="s">
        <v>1720</v>
      </c>
      <c r="B1722">
        <v>27</v>
      </c>
      <c r="C1722">
        <v>50.786000000000001</v>
      </c>
    </row>
    <row r="1723" spans="1:3" x14ac:dyDescent="0.25">
      <c r="A1723" t="s">
        <v>1721</v>
      </c>
      <c r="B1723">
        <v>24</v>
      </c>
      <c r="C1723">
        <v>50.387999999999998</v>
      </c>
    </row>
    <row r="1724" spans="1:3" x14ac:dyDescent="0.25">
      <c r="A1724" t="s">
        <v>1722</v>
      </c>
      <c r="B1724">
        <v>6</v>
      </c>
      <c r="C1724">
        <v>15.18</v>
      </c>
    </row>
    <row r="1725" spans="1:3" x14ac:dyDescent="0.25">
      <c r="A1725" t="s">
        <v>1723</v>
      </c>
      <c r="B1725">
        <v>28</v>
      </c>
      <c r="C1725">
        <v>51.085999999999999</v>
      </c>
    </row>
    <row r="1726" spans="1:3" x14ac:dyDescent="0.25">
      <c r="A1726" t="s">
        <v>1724</v>
      </c>
      <c r="B1726">
        <v>14</v>
      </c>
      <c r="C1726">
        <v>24.192</v>
      </c>
    </row>
    <row r="1727" spans="1:3" x14ac:dyDescent="0.25">
      <c r="A1727" t="s">
        <v>1725</v>
      </c>
      <c r="B1727">
        <v>16</v>
      </c>
      <c r="C1727">
        <v>31.452000000000002</v>
      </c>
    </row>
    <row r="1728" spans="1:3" x14ac:dyDescent="0.25">
      <c r="A1728" t="s">
        <v>1726</v>
      </c>
      <c r="B1728">
        <v>30</v>
      </c>
      <c r="C1728">
        <v>53.945999999999998</v>
      </c>
    </row>
    <row r="1729" spans="1:3" x14ac:dyDescent="0.25">
      <c r="A1729" t="s">
        <v>1727</v>
      </c>
      <c r="B1729">
        <v>39</v>
      </c>
      <c r="C1729">
        <v>81.778999999999996</v>
      </c>
    </row>
    <row r="1730" spans="1:3" x14ac:dyDescent="0.25">
      <c r="A1730" t="s">
        <v>1728</v>
      </c>
      <c r="B1730">
        <v>12</v>
      </c>
      <c r="C1730">
        <v>30.36</v>
      </c>
    </row>
    <row r="1731" spans="1:3" x14ac:dyDescent="0.25">
      <c r="A1731" t="s">
        <v>1729</v>
      </c>
      <c r="B1731">
        <v>33</v>
      </c>
      <c r="C1731">
        <v>66.298000000000002</v>
      </c>
    </row>
    <row r="1732" spans="1:3" x14ac:dyDescent="0.25">
      <c r="A1732" t="s">
        <v>1730</v>
      </c>
      <c r="B1732">
        <v>8</v>
      </c>
      <c r="C1732">
        <v>27.864000000000001</v>
      </c>
    </row>
    <row r="1733" spans="1:3" x14ac:dyDescent="0.25">
      <c r="A1733" t="s">
        <v>1731</v>
      </c>
      <c r="B1733">
        <v>41</v>
      </c>
      <c r="C1733">
        <v>113.387</v>
      </c>
    </row>
    <row r="1734" spans="1:3" x14ac:dyDescent="0.25">
      <c r="A1734" t="s">
        <v>1732</v>
      </c>
      <c r="B1734">
        <v>24</v>
      </c>
      <c r="C1734">
        <v>75.275999999999996</v>
      </c>
    </row>
    <row r="1735" spans="1:3" x14ac:dyDescent="0.25">
      <c r="A1735" t="s">
        <v>1733</v>
      </c>
      <c r="B1735">
        <v>11</v>
      </c>
      <c r="C1735">
        <v>36.674999999999997</v>
      </c>
    </row>
    <row r="1736" spans="1:3" x14ac:dyDescent="0.25">
      <c r="A1736" t="s">
        <v>1734</v>
      </c>
      <c r="B1736">
        <v>37</v>
      </c>
      <c r="C1736">
        <v>103.614</v>
      </c>
    </row>
    <row r="1737" spans="1:3" x14ac:dyDescent="0.25">
      <c r="A1737" t="s">
        <v>1735</v>
      </c>
      <c r="B1737">
        <v>22</v>
      </c>
      <c r="C1737">
        <v>62.456000000000003</v>
      </c>
    </row>
    <row r="1738" spans="1:3" x14ac:dyDescent="0.25">
      <c r="A1738" t="s">
        <v>1736</v>
      </c>
      <c r="B1738">
        <v>8</v>
      </c>
      <c r="C1738">
        <v>27.864000000000001</v>
      </c>
    </row>
    <row r="1739" spans="1:3" x14ac:dyDescent="0.25">
      <c r="A1739" t="s">
        <v>1737</v>
      </c>
      <c r="B1739">
        <v>21</v>
      </c>
      <c r="C1739">
        <v>67.611999999999995</v>
      </c>
    </row>
    <row r="1740" spans="1:3" x14ac:dyDescent="0.25">
      <c r="A1740" t="s">
        <v>1738</v>
      </c>
      <c r="B1740">
        <v>19</v>
      </c>
      <c r="C1740">
        <v>57.158999999999999</v>
      </c>
    </row>
    <row r="1741" spans="1:3" x14ac:dyDescent="0.25">
      <c r="A1741" t="s">
        <v>1739</v>
      </c>
      <c r="B1741">
        <v>20</v>
      </c>
      <c r="C1741">
        <v>59.482999999999997</v>
      </c>
    </row>
    <row r="1742" spans="1:3" x14ac:dyDescent="0.25">
      <c r="A1742" t="s">
        <v>1740</v>
      </c>
      <c r="B1742">
        <v>52</v>
      </c>
      <c r="C1742">
        <v>133.81100000000001</v>
      </c>
    </row>
    <row r="1743" spans="1:3" x14ac:dyDescent="0.25">
      <c r="A1743" t="s">
        <v>1741</v>
      </c>
      <c r="B1743">
        <v>18</v>
      </c>
      <c r="C1743">
        <v>58.17</v>
      </c>
    </row>
    <row r="1744" spans="1:3" x14ac:dyDescent="0.25">
      <c r="A1744" t="s">
        <v>1742</v>
      </c>
      <c r="B1744">
        <v>2</v>
      </c>
      <c r="C1744">
        <v>6.9660000000000002</v>
      </c>
    </row>
    <row r="1745" spans="1:3" x14ac:dyDescent="0.25">
      <c r="A1745" t="s">
        <v>1743</v>
      </c>
      <c r="B1745">
        <v>25</v>
      </c>
      <c r="C1745">
        <v>65.564999999999998</v>
      </c>
    </row>
    <row r="1746" spans="1:3" x14ac:dyDescent="0.25">
      <c r="A1746" t="s">
        <v>1744</v>
      </c>
      <c r="B1746">
        <v>20</v>
      </c>
      <c r="C1746">
        <v>59.908000000000001</v>
      </c>
    </row>
    <row r="1747" spans="1:3" x14ac:dyDescent="0.25">
      <c r="A1747" t="s">
        <v>1745</v>
      </c>
      <c r="B1747">
        <v>15</v>
      </c>
      <c r="C1747">
        <v>43.152000000000001</v>
      </c>
    </row>
    <row r="1748" spans="1:3" x14ac:dyDescent="0.25">
      <c r="A1748" t="s">
        <v>1746</v>
      </c>
      <c r="B1748">
        <v>16</v>
      </c>
      <c r="C1748">
        <v>40.228999999999999</v>
      </c>
    </row>
    <row r="1749" spans="1:3" x14ac:dyDescent="0.25">
      <c r="A1749" t="s">
        <v>1747</v>
      </c>
      <c r="B1749">
        <v>39</v>
      </c>
      <c r="C1749">
        <v>109.935</v>
      </c>
    </row>
    <row r="1750" spans="1:3" x14ac:dyDescent="0.25">
      <c r="A1750" t="s">
        <v>1748</v>
      </c>
      <c r="B1750">
        <v>20</v>
      </c>
      <c r="C1750">
        <v>48.85</v>
      </c>
    </row>
    <row r="1751" spans="1:3" x14ac:dyDescent="0.25">
      <c r="A1751" t="s">
        <v>1749</v>
      </c>
      <c r="B1751">
        <v>2</v>
      </c>
      <c r="C1751">
        <v>2.1</v>
      </c>
    </row>
    <row r="1752" spans="1:3" x14ac:dyDescent="0.25">
      <c r="A1752" t="s">
        <v>1750</v>
      </c>
      <c r="B1752">
        <v>23</v>
      </c>
      <c r="C1752">
        <v>21.535</v>
      </c>
    </row>
    <row r="1753" spans="1:3" x14ac:dyDescent="0.25">
      <c r="A1753" t="s">
        <v>1751</v>
      </c>
      <c r="B1753">
        <v>20</v>
      </c>
      <c r="C1753">
        <v>43.27</v>
      </c>
    </row>
    <row r="1754" spans="1:3" x14ac:dyDescent="0.25">
      <c r="A1754" t="s">
        <v>1752</v>
      </c>
      <c r="B1754">
        <v>21</v>
      </c>
      <c r="C1754">
        <v>43.97</v>
      </c>
    </row>
    <row r="1755" spans="1:3" x14ac:dyDescent="0.25">
      <c r="A1755" t="s">
        <v>1753</v>
      </c>
      <c r="B1755">
        <v>23</v>
      </c>
      <c r="C1755">
        <v>21.535</v>
      </c>
    </row>
    <row r="1756" spans="1:3" x14ac:dyDescent="0.25">
      <c r="A1756" t="s">
        <v>1754</v>
      </c>
      <c r="B1756">
        <v>7</v>
      </c>
      <c r="C1756">
        <v>6.3739999999999997</v>
      </c>
    </row>
    <row r="1757" spans="1:3" x14ac:dyDescent="0.25">
      <c r="A1757" t="s">
        <v>1755</v>
      </c>
      <c r="B1757">
        <v>4</v>
      </c>
      <c r="C1757">
        <v>6.032</v>
      </c>
    </row>
    <row r="1758" spans="1:3" x14ac:dyDescent="0.25">
      <c r="A1758" t="s">
        <v>1756</v>
      </c>
      <c r="B1758">
        <v>4</v>
      </c>
      <c r="C1758">
        <v>3.4119999999999999</v>
      </c>
    </row>
    <row r="1759" spans="1:3" x14ac:dyDescent="0.25">
      <c r="A1759" t="s">
        <v>1757</v>
      </c>
      <c r="B1759">
        <v>4</v>
      </c>
      <c r="C1759">
        <v>6.032</v>
      </c>
    </row>
    <row r="1760" spans="1:3" x14ac:dyDescent="0.25">
      <c r="A1760" t="s">
        <v>1758</v>
      </c>
      <c r="B1760">
        <v>2</v>
      </c>
      <c r="C1760">
        <v>5.0599999999999996</v>
      </c>
    </row>
    <row r="1761" spans="1:3" x14ac:dyDescent="0.25">
      <c r="A1761" t="s">
        <v>1759</v>
      </c>
      <c r="B1761">
        <v>2</v>
      </c>
      <c r="C1761">
        <v>2.86</v>
      </c>
    </row>
    <row r="1762" spans="1:3" x14ac:dyDescent="0.25">
      <c r="A1762" t="s">
        <v>1760</v>
      </c>
      <c r="B1762">
        <v>4</v>
      </c>
      <c r="C1762">
        <v>6.032</v>
      </c>
    </row>
    <row r="1763" spans="1:3" x14ac:dyDescent="0.25">
      <c r="A1763" t="s">
        <v>1761</v>
      </c>
      <c r="B1763">
        <v>4</v>
      </c>
      <c r="C1763">
        <v>6.032</v>
      </c>
    </row>
    <row r="1764" spans="1:3" x14ac:dyDescent="0.25">
      <c r="A1764" t="s">
        <v>1762</v>
      </c>
      <c r="B1764">
        <v>7</v>
      </c>
      <c r="C1764">
        <v>6.3739999999999997</v>
      </c>
    </row>
    <row r="1765" spans="1:3" x14ac:dyDescent="0.25">
      <c r="A1765" t="s">
        <v>1763</v>
      </c>
      <c r="B1765">
        <v>4</v>
      </c>
      <c r="C1765">
        <v>6.032</v>
      </c>
    </row>
    <row r="1766" spans="1:3" x14ac:dyDescent="0.25">
      <c r="A1766" t="s">
        <v>1764</v>
      </c>
      <c r="B1766">
        <v>4</v>
      </c>
      <c r="C1766">
        <v>6.032</v>
      </c>
    </row>
    <row r="1767" spans="1:3" x14ac:dyDescent="0.25">
      <c r="A1767" t="s">
        <v>1765</v>
      </c>
      <c r="B1767">
        <v>2</v>
      </c>
      <c r="C1767">
        <v>5.0599999999999996</v>
      </c>
    </row>
    <row r="1768" spans="1:3" x14ac:dyDescent="0.25">
      <c r="A1768" t="s">
        <v>1766</v>
      </c>
      <c r="B1768">
        <v>8</v>
      </c>
      <c r="C1768">
        <v>10.263</v>
      </c>
    </row>
    <row r="1769" spans="1:3" x14ac:dyDescent="0.25">
      <c r="A1769" t="s">
        <v>1767</v>
      </c>
      <c r="B1769">
        <v>4</v>
      </c>
      <c r="C1769">
        <v>6.032</v>
      </c>
    </row>
    <row r="1770" spans="1:3" x14ac:dyDescent="0.25">
      <c r="A1770" t="s">
        <v>1768</v>
      </c>
      <c r="B1770">
        <v>11</v>
      </c>
      <c r="C1770">
        <v>16.494</v>
      </c>
    </row>
    <row r="1771" spans="1:3" x14ac:dyDescent="0.25">
      <c r="A1771" t="s">
        <v>1769</v>
      </c>
      <c r="B1771">
        <v>4</v>
      </c>
      <c r="C1771">
        <v>6.032</v>
      </c>
    </row>
    <row r="1772" spans="1:3" x14ac:dyDescent="0.25">
      <c r="A1772" t="s">
        <v>1770</v>
      </c>
      <c r="B1772">
        <v>14</v>
      </c>
      <c r="C1772">
        <v>32.356000000000002</v>
      </c>
    </row>
    <row r="1773" spans="1:3" x14ac:dyDescent="0.25">
      <c r="A1773" t="s">
        <v>1771</v>
      </c>
      <c r="B1773">
        <v>4</v>
      </c>
      <c r="C1773">
        <v>6.032</v>
      </c>
    </row>
    <row r="1774" spans="1:3" x14ac:dyDescent="0.25">
      <c r="A1774" t="s">
        <v>1772</v>
      </c>
      <c r="B1774">
        <v>4</v>
      </c>
      <c r="C1774">
        <v>6.032</v>
      </c>
    </row>
    <row r="1775" spans="1:3" x14ac:dyDescent="0.25">
      <c r="A1775" t="s">
        <v>1773</v>
      </c>
      <c r="B1775">
        <v>4</v>
      </c>
      <c r="C1775">
        <v>6.032</v>
      </c>
    </row>
    <row r="1776" spans="1:3" x14ac:dyDescent="0.25">
      <c r="A1776" t="s">
        <v>1774</v>
      </c>
      <c r="B1776">
        <v>4</v>
      </c>
      <c r="C1776">
        <v>6.032</v>
      </c>
    </row>
    <row r="1777" spans="1:3" x14ac:dyDescent="0.25">
      <c r="A1777" t="s">
        <v>1775</v>
      </c>
      <c r="B1777">
        <v>6</v>
      </c>
      <c r="C1777">
        <v>6.335</v>
      </c>
    </row>
    <row r="1778" spans="1:3" x14ac:dyDescent="0.25">
      <c r="A1778" t="s">
        <v>1776</v>
      </c>
      <c r="B1778">
        <v>4</v>
      </c>
      <c r="C1778">
        <v>6.032</v>
      </c>
    </row>
    <row r="1779" spans="1:3" x14ac:dyDescent="0.25">
      <c r="A1779" t="s">
        <v>1777</v>
      </c>
      <c r="B1779">
        <v>7</v>
      </c>
      <c r="C1779">
        <v>9.2420000000000009</v>
      </c>
    </row>
    <row r="1780" spans="1:3" x14ac:dyDescent="0.25">
      <c r="A1780" t="s">
        <v>1778</v>
      </c>
      <c r="B1780">
        <v>14</v>
      </c>
      <c r="C1780">
        <v>32.356000000000002</v>
      </c>
    </row>
    <row r="1781" spans="1:3" x14ac:dyDescent="0.25">
      <c r="A1781" t="s">
        <v>1779</v>
      </c>
      <c r="B1781">
        <v>4</v>
      </c>
      <c r="C1781">
        <v>6.032</v>
      </c>
    </row>
    <row r="1782" spans="1:3" x14ac:dyDescent="0.25">
      <c r="A1782" t="s">
        <v>1780</v>
      </c>
      <c r="B1782">
        <v>2</v>
      </c>
      <c r="C1782">
        <v>5.0599999999999996</v>
      </c>
    </row>
    <row r="1783" spans="1:3" x14ac:dyDescent="0.25">
      <c r="A1783" t="s">
        <v>1781</v>
      </c>
      <c r="B1783">
        <v>4</v>
      </c>
      <c r="C1783">
        <v>6.032</v>
      </c>
    </row>
    <row r="1784" spans="1:3" x14ac:dyDescent="0.25">
      <c r="A1784" t="s">
        <v>1782</v>
      </c>
      <c r="B1784">
        <v>2</v>
      </c>
      <c r="C1784">
        <v>5.0599999999999996</v>
      </c>
    </row>
    <row r="1785" spans="1:3" x14ac:dyDescent="0.25">
      <c r="A1785" t="s">
        <v>1783</v>
      </c>
      <c r="B1785">
        <v>4</v>
      </c>
      <c r="C1785">
        <v>6.032</v>
      </c>
    </row>
    <row r="1786" spans="1:3" x14ac:dyDescent="0.25">
      <c r="A1786" t="s">
        <v>1784</v>
      </c>
      <c r="B1786">
        <v>4</v>
      </c>
      <c r="C1786">
        <v>3.2120000000000002</v>
      </c>
    </row>
    <row r="1787" spans="1:3" x14ac:dyDescent="0.25">
      <c r="A1787" t="s">
        <v>1785</v>
      </c>
      <c r="B1787">
        <v>16</v>
      </c>
      <c r="C1787">
        <v>37.415999999999997</v>
      </c>
    </row>
    <row r="1788" spans="1:3" x14ac:dyDescent="0.25">
      <c r="A1788" t="s">
        <v>1786</v>
      </c>
      <c r="B1788">
        <v>7</v>
      </c>
      <c r="C1788">
        <v>6.3739999999999997</v>
      </c>
    </row>
    <row r="1789" spans="1:3" x14ac:dyDescent="0.25">
      <c r="A1789" t="s">
        <v>1787</v>
      </c>
      <c r="B1789">
        <v>7</v>
      </c>
      <c r="C1789">
        <v>6.3739999999999997</v>
      </c>
    </row>
    <row r="1790" spans="1:3" x14ac:dyDescent="0.25">
      <c r="A1790" t="s">
        <v>1788</v>
      </c>
      <c r="B1790">
        <v>7</v>
      </c>
      <c r="C1790">
        <v>6.3739999999999997</v>
      </c>
    </row>
    <row r="1791" spans="1:3" x14ac:dyDescent="0.25">
      <c r="A1791" t="s">
        <v>1789</v>
      </c>
      <c r="B1791">
        <v>14</v>
      </c>
      <c r="C1791">
        <v>32.356000000000002</v>
      </c>
    </row>
    <row r="1792" spans="1:3" x14ac:dyDescent="0.25">
      <c r="A1792" t="s">
        <v>1790</v>
      </c>
      <c r="B1792">
        <v>4</v>
      </c>
      <c r="C1792">
        <v>6.7279999999999998</v>
      </c>
    </row>
    <row r="1793" spans="1:3" x14ac:dyDescent="0.25">
      <c r="A1793" t="s">
        <v>1791</v>
      </c>
      <c r="B1793">
        <v>4</v>
      </c>
      <c r="C1793">
        <v>6.7279999999999998</v>
      </c>
    </row>
    <row r="1794" spans="1:3" x14ac:dyDescent="0.25">
      <c r="A1794" t="s">
        <v>1792</v>
      </c>
      <c r="B1794">
        <v>4</v>
      </c>
      <c r="C1794">
        <v>6.7279999999999998</v>
      </c>
    </row>
    <row r="1795" spans="1:3" x14ac:dyDescent="0.25">
      <c r="A1795" t="s">
        <v>1793</v>
      </c>
      <c r="B1795">
        <v>4</v>
      </c>
      <c r="C1795">
        <v>6.7279999999999998</v>
      </c>
    </row>
    <row r="1796" spans="1:3" x14ac:dyDescent="0.25">
      <c r="A1796" t="s">
        <v>1794</v>
      </c>
      <c r="B1796">
        <v>4</v>
      </c>
      <c r="C1796">
        <v>6.7279999999999998</v>
      </c>
    </row>
    <row r="1797" spans="1:3" x14ac:dyDescent="0.25">
      <c r="A1797" t="s">
        <v>1795</v>
      </c>
      <c r="B1797">
        <v>4</v>
      </c>
      <c r="C1797">
        <v>6.7279999999999998</v>
      </c>
    </row>
    <row r="1798" spans="1:3" x14ac:dyDescent="0.25">
      <c r="A1798" t="s">
        <v>1796</v>
      </c>
      <c r="B1798">
        <v>4</v>
      </c>
      <c r="C1798">
        <v>6.7279999999999998</v>
      </c>
    </row>
    <row r="1799" spans="1:3" x14ac:dyDescent="0.25">
      <c r="A1799" t="s">
        <v>1797</v>
      </c>
      <c r="B1799">
        <v>4</v>
      </c>
      <c r="C1799">
        <v>6.7279999999999998</v>
      </c>
    </row>
    <row r="1800" spans="1:3" x14ac:dyDescent="0.25">
      <c r="A1800" t="s">
        <v>1798</v>
      </c>
      <c r="B1800">
        <v>4</v>
      </c>
      <c r="C1800">
        <v>6.7279999999999998</v>
      </c>
    </row>
    <row r="1801" spans="1:3" x14ac:dyDescent="0.25">
      <c r="A1801" t="s">
        <v>1799</v>
      </c>
      <c r="B1801">
        <v>4</v>
      </c>
      <c r="C1801">
        <v>6.7279999999999998</v>
      </c>
    </row>
    <row r="1802" spans="1:3" x14ac:dyDescent="0.25">
      <c r="A1802" t="s">
        <v>1800</v>
      </c>
      <c r="B1802">
        <v>4</v>
      </c>
      <c r="C1802">
        <v>6.7279999999999998</v>
      </c>
    </row>
    <row r="1803" spans="1:3" x14ac:dyDescent="0.25">
      <c r="A1803" t="s">
        <v>1801</v>
      </c>
      <c r="B1803">
        <v>4</v>
      </c>
      <c r="C1803">
        <v>6.7279999999999998</v>
      </c>
    </row>
    <row r="1804" spans="1:3" x14ac:dyDescent="0.25">
      <c r="A1804" t="s">
        <v>1802</v>
      </c>
      <c r="B1804">
        <v>4</v>
      </c>
      <c r="C1804">
        <v>6.7279999999999998</v>
      </c>
    </row>
    <row r="1805" spans="1:3" x14ac:dyDescent="0.25">
      <c r="A1805" t="s">
        <v>1803</v>
      </c>
      <c r="B1805">
        <v>4</v>
      </c>
      <c r="C1805">
        <v>6.7279999999999998</v>
      </c>
    </row>
    <row r="1806" spans="1:3" x14ac:dyDescent="0.25">
      <c r="A1806" t="s">
        <v>1804</v>
      </c>
      <c r="B1806">
        <v>6</v>
      </c>
      <c r="C1806">
        <v>9.4220000000000006</v>
      </c>
    </row>
    <row r="1807" spans="1:3" x14ac:dyDescent="0.25">
      <c r="A1807" t="s">
        <v>1805</v>
      </c>
      <c r="B1807">
        <v>6</v>
      </c>
      <c r="C1807">
        <v>9.4220000000000006</v>
      </c>
    </row>
    <row r="1808" spans="1:3" x14ac:dyDescent="0.25">
      <c r="A1808" t="s">
        <v>1806</v>
      </c>
      <c r="B1808">
        <v>4</v>
      </c>
      <c r="C1808">
        <v>6.7279999999999998</v>
      </c>
    </row>
    <row r="1809" spans="1:3" x14ac:dyDescent="0.25">
      <c r="A1809" t="s">
        <v>1807</v>
      </c>
      <c r="B1809">
        <v>4</v>
      </c>
      <c r="C1809">
        <v>6.7279999999999998</v>
      </c>
    </row>
    <row r="1810" spans="1:3" x14ac:dyDescent="0.25">
      <c r="A1810" t="s">
        <v>1808</v>
      </c>
      <c r="B1810">
        <v>4</v>
      </c>
      <c r="C1810">
        <v>6.7279999999999998</v>
      </c>
    </row>
    <row r="1811" spans="1:3" x14ac:dyDescent="0.25">
      <c r="A1811" t="s">
        <v>1809</v>
      </c>
      <c r="B1811">
        <v>4</v>
      </c>
      <c r="C1811">
        <v>6.7279999999999998</v>
      </c>
    </row>
    <row r="1812" spans="1:3" x14ac:dyDescent="0.25">
      <c r="A1812" t="s">
        <v>1810</v>
      </c>
      <c r="B1812">
        <v>4</v>
      </c>
      <c r="C1812">
        <v>6.7279999999999998</v>
      </c>
    </row>
    <row r="1813" spans="1:3" x14ac:dyDescent="0.25">
      <c r="A1813" t="s">
        <v>1811</v>
      </c>
      <c r="B1813">
        <v>4</v>
      </c>
      <c r="C1813">
        <v>6.7279999999999998</v>
      </c>
    </row>
    <row r="1814" spans="1:3" x14ac:dyDescent="0.25">
      <c r="A1814" t="s">
        <v>1812</v>
      </c>
      <c r="B1814">
        <v>4</v>
      </c>
      <c r="C1814">
        <v>6.7279999999999998</v>
      </c>
    </row>
    <row r="1815" spans="1:3" x14ac:dyDescent="0.25">
      <c r="A1815" t="s">
        <v>1813</v>
      </c>
      <c r="B1815">
        <v>4</v>
      </c>
      <c r="C1815">
        <v>6.7279999999999998</v>
      </c>
    </row>
    <row r="1816" spans="1:3" x14ac:dyDescent="0.25">
      <c r="A1816" t="s">
        <v>1814</v>
      </c>
      <c r="B1816">
        <v>4</v>
      </c>
      <c r="C1816">
        <v>6.7279999999999998</v>
      </c>
    </row>
    <row r="1817" spans="1:3" x14ac:dyDescent="0.25">
      <c r="A1817" t="s">
        <v>1815</v>
      </c>
      <c r="B1817">
        <v>4</v>
      </c>
      <c r="C1817">
        <v>6.7279999999999998</v>
      </c>
    </row>
    <row r="1818" spans="1:3" x14ac:dyDescent="0.25">
      <c r="A1818" t="s">
        <v>1816</v>
      </c>
      <c r="B1818">
        <v>4</v>
      </c>
      <c r="C1818">
        <v>6.7279999999999998</v>
      </c>
    </row>
    <row r="1819" spans="1:3" x14ac:dyDescent="0.25">
      <c r="A1819" t="s">
        <v>1817</v>
      </c>
      <c r="B1819">
        <v>4</v>
      </c>
      <c r="C1819">
        <v>6.7279999999999998</v>
      </c>
    </row>
    <row r="1820" spans="1:3" x14ac:dyDescent="0.25">
      <c r="A1820" t="s">
        <v>1818</v>
      </c>
      <c r="B1820">
        <v>6</v>
      </c>
      <c r="C1820">
        <v>6.3979999999999997</v>
      </c>
    </row>
    <row r="1821" spans="1:3" x14ac:dyDescent="0.25">
      <c r="A1821" t="s">
        <v>1819</v>
      </c>
      <c r="B1821">
        <v>6</v>
      </c>
      <c r="C1821">
        <v>6.3979999999999997</v>
      </c>
    </row>
    <row r="1822" spans="1:3" x14ac:dyDescent="0.25">
      <c r="A1822" t="s">
        <v>1820</v>
      </c>
      <c r="B1822">
        <v>6</v>
      </c>
      <c r="C1822">
        <v>6.3979999999999997</v>
      </c>
    </row>
    <row r="1823" spans="1:3" x14ac:dyDescent="0.25">
      <c r="A1823" t="s">
        <v>1821</v>
      </c>
      <c r="B1823">
        <v>6</v>
      </c>
      <c r="C1823">
        <v>6.3979999999999997</v>
      </c>
    </row>
    <row r="1824" spans="1:3" x14ac:dyDescent="0.25">
      <c r="A1824" t="s">
        <v>1822</v>
      </c>
      <c r="B1824">
        <v>6</v>
      </c>
      <c r="C1824">
        <v>9.4220000000000006</v>
      </c>
    </row>
    <row r="1825" spans="1:3" x14ac:dyDescent="0.25">
      <c r="A1825" t="s">
        <v>1823</v>
      </c>
      <c r="B1825">
        <v>6</v>
      </c>
      <c r="C1825">
        <v>9.4220000000000006</v>
      </c>
    </row>
    <row r="1826" spans="1:3" x14ac:dyDescent="0.25">
      <c r="A1826" t="s">
        <v>1824</v>
      </c>
      <c r="B1826">
        <v>6</v>
      </c>
      <c r="C1826">
        <v>9.4220000000000006</v>
      </c>
    </row>
    <row r="1827" spans="1:3" x14ac:dyDescent="0.25">
      <c r="A1827" t="s">
        <v>1825</v>
      </c>
      <c r="B1827">
        <v>6</v>
      </c>
      <c r="C1827">
        <v>9.4220000000000006</v>
      </c>
    </row>
    <row r="1828" spans="1:3" x14ac:dyDescent="0.25">
      <c r="A1828" t="s">
        <v>1826</v>
      </c>
      <c r="B1828">
        <v>6</v>
      </c>
      <c r="C1828">
        <v>9.4220000000000006</v>
      </c>
    </row>
    <row r="1829" spans="1:3" x14ac:dyDescent="0.25">
      <c r="A1829" t="s">
        <v>1827</v>
      </c>
      <c r="B1829">
        <v>6</v>
      </c>
      <c r="C1829">
        <v>9.4220000000000006</v>
      </c>
    </row>
    <row r="1830" spans="1:3" x14ac:dyDescent="0.25">
      <c r="A1830" t="s">
        <v>1828</v>
      </c>
      <c r="B1830">
        <v>4</v>
      </c>
      <c r="C1830">
        <v>6.7279999999999998</v>
      </c>
    </row>
    <row r="1831" spans="1:3" x14ac:dyDescent="0.25">
      <c r="A1831" t="s">
        <v>1829</v>
      </c>
      <c r="B1831">
        <v>4</v>
      </c>
      <c r="C1831">
        <v>6.7279999999999998</v>
      </c>
    </row>
    <row r="1832" spans="1:3" x14ac:dyDescent="0.25">
      <c r="A1832" t="s">
        <v>1830</v>
      </c>
      <c r="B1832">
        <v>6</v>
      </c>
      <c r="C1832">
        <v>6.3979999999999997</v>
      </c>
    </row>
    <row r="1833" spans="1:3" x14ac:dyDescent="0.25">
      <c r="A1833" t="s">
        <v>1831</v>
      </c>
      <c r="B1833">
        <v>6</v>
      </c>
      <c r="C1833">
        <v>6.3979999999999997</v>
      </c>
    </row>
    <row r="1834" spans="1:3" x14ac:dyDescent="0.25">
      <c r="A1834" t="s">
        <v>1832</v>
      </c>
      <c r="B1834">
        <v>27</v>
      </c>
      <c r="C1834">
        <v>63.421999999999997</v>
      </c>
    </row>
    <row r="1835" spans="1:3" x14ac:dyDescent="0.25">
      <c r="A1835" t="s">
        <v>1833</v>
      </c>
      <c r="B1835">
        <v>13</v>
      </c>
      <c r="C1835">
        <v>35.448999999999998</v>
      </c>
    </row>
    <row r="1836" spans="1:3" x14ac:dyDescent="0.25">
      <c r="A1836" t="s">
        <v>1834</v>
      </c>
      <c r="B1836">
        <v>23</v>
      </c>
      <c r="C1836">
        <v>54.448999999999998</v>
      </c>
    </row>
    <row r="1837" spans="1:3" x14ac:dyDescent="0.25">
      <c r="A1837" t="s">
        <v>1835</v>
      </c>
      <c r="B1837">
        <v>11</v>
      </c>
      <c r="C1837">
        <v>21.965</v>
      </c>
    </row>
    <row r="1838" spans="1:3" x14ac:dyDescent="0.25">
      <c r="A1838" t="s">
        <v>1836</v>
      </c>
      <c r="B1838">
        <v>23</v>
      </c>
      <c r="C1838">
        <v>53.02</v>
      </c>
    </row>
    <row r="1839" spans="1:3" x14ac:dyDescent="0.25">
      <c r="A1839" t="s">
        <v>1837</v>
      </c>
      <c r="B1839">
        <v>39</v>
      </c>
      <c r="C1839">
        <v>80.978999999999999</v>
      </c>
    </row>
    <row r="1840" spans="1:3" x14ac:dyDescent="0.25">
      <c r="A1840" t="s">
        <v>1838</v>
      </c>
      <c r="B1840">
        <v>31</v>
      </c>
      <c r="C1840">
        <v>65.623999999999995</v>
      </c>
    </row>
    <row r="1841" spans="1:3" x14ac:dyDescent="0.25">
      <c r="A1841" t="s">
        <v>1839</v>
      </c>
      <c r="B1841">
        <v>20</v>
      </c>
      <c r="C1841">
        <v>43.332000000000001</v>
      </c>
    </row>
    <row r="1842" spans="1:3" x14ac:dyDescent="0.25">
      <c r="A1842" t="s">
        <v>1840</v>
      </c>
      <c r="B1842">
        <v>8</v>
      </c>
      <c r="C1842">
        <v>20.239999999999998</v>
      </c>
    </row>
    <row r="1843" spans="1:3" x14ac:dyDescent="0.25">
      <c r="A1843" t="s">
        <v>1841</v>
      </c>
      <c r="B1843">
        <v>10</v>
      </c>
      <c r="C1843">
        <v>23.268999999999998</v>
      </c>
    </row>
    <row r="1844" spans="1:3" x14ac:dyDescent="0.25">
      <c r="A1844" t="s">
        <v>1842</v>
      </c>
      <c r="B1844">
        <v>46</v>
      </c>
      <c r="C1844">
        <v>93.683000000000007</v>
      </c>
    </row>
    <row r="1845" spans="1:3" x14ac:dyDescent="0.25">
      <c r="A1845" t="s">
        <v>1843</v>
      </c>
      <c r="B1845">
        <v>2</v>
      </c>
      <c r="C1845">
        <v>2.86</v>
      </c>
    </row>
    <row r="1846" spans="1:3" x14ac:dyDescent="0.25">
      <c r="A1846" t="s">
        <v>1844</v>
      </c>
      <c r="B1846">
        <v>4</v>
      </c>
      <c r="C1846">
        <v>6.032</v>
      </c>
    </row>
    <row r="1847" spans="1:3" x14ac:dyDescent="0.25">
      <c r="A1847" t="s">
        <v>1845</v>
      </c>
      <c r="B1847">
        <v>4</v>
      </c>
      <c r="C1847">
        <v>6.032</v>
      </c>
    </row>
    <row r="1848" spans="1:3" x14ac:dyDescent="0.25">
      <c r="A1848" t="s">
        <v>1846</v>
      </c>
      <c r="B1848">
        <v>4</v>
      </c>
      <c r="C1848">
        <v>6.032</v>
      </c>
    </row>
    <row r="1849" spans="1:3" x14ac:dyDescent="0.25">
      <c r="A1849" t="s">
        <v>1847</v>
      </c>
      <c r="B1849">
        <v>8</v>
      </c>
      <c r="C1849">
        <v>10.263</v>
      </c>
    </row>
    <row r="1850" spans="1:3" x14ac:dyDescent="0.25">
      <c r="A1850" t="s">
        <v>1848</v>
      </c>
      <c r="B1850">
        <v>4</v>
      </c>
      <c r="C1850">
        <v>6.032</v>
      </c>
    </row>
    <row r="1851" spans="1:3" x14ac:dyDescent="0.25">
      <c r="A1851" t="s">
        <v>1849</v>
      </c>
      <c r="B1851">
        <v>4</v>
      </c>
      <c r="C1851">
        <v>6.032</v>
      </c>
    </row>
    <row r="1852" spans="1:3" x14ac:dyDescent="0.25">
      <c r="A1852" t="s">
        <v>1850</v>
      </c>
      <c r="B1852">
        <v>4</v>
      </c>
      <c r="C1852">
        <v>6.032</v>
      </c>
    </row>
    <row r="1853" spans="1:3" x14ac:dyDescent="0.25">
      <c r="A1853" t="s">
        <v>1851</v>
      </c>
      <c r="B1853">
        <v>4</v>
      </c>
      <c r="C1853">
        <v>6.032</v>
      </c>
    </row>
    <row r="1854" spans="1:3" x14ac:dyDescent="0.25">
      <c r="A1854" t="s">
        <v>1852</v>
      </c>
      <c r="B1854">
        <v>4</v>
      </c>
      <c r="C1854">
        <v>6.032</v>
      </c>
    </row>
    <row r="1855" spans="1:3" x14ac:dyDescent="0.25">
      <c r="A1855" t="s">
        <v>1853</v>
      </c>
      <c r="B1855">
        <v>4</v>
      </c>
      <c r="C1855">
        <v>6.032</v>
      </c>
    </row>
    <row r="1856" spans="1:3" x14ac:dyDescent="0.25">
      <c r="A1856" t="s">
        <v>1854</v>
      </c>
      <c r="B1856">
        <v>4</v>
      </c>
      <c r="C1856">
        <v>6.032</v>
      </c>
    </row>
    <row r="1857" spans="1:3" x14ac:dyDescent="0.25">
      <c r="A1857" t="s">
        <v>1855</v>
      </c>
      <c r="B1857">
        <v>4</v>
      </c>
      <c r="C1857">
        <v>6.032</v>
      </c>
    </row>
    <row r="1858" spans="1:3" x14ac:dyDescent="0.25">
      <c r="A1858" t="s">
        <v>1856</v>
      </c>
      <c r="B1858">
        <v>4</v>
      </c>
      <c r="C1858">
        <v>6.032</v>
      </c>
    </row>
    <row r="1859" spans="1:3" x14ac:dyDescent="0.25">
      <c r="A1859" t="s">
        <v>1857</v>
      </c>
      <c r="B1859">
        <v>4</v>
      </c>
      <c r="C1859">
        <v>6.032</v>
      </c>
    </row>
    <row r="1860" spans="1:3" x14ac:dyDescent="0.25">
      <c r="A1860" t="s">
        <v>1858</v>
      </c>
      <c r="B1860">
        <v>7</v>
      </c>
      <c r="C1860">
        <v>9.2420000000000009</v>
      </c>
    </row>
    <row r="1861" spans="1:3" x14ac:dyDescent="0.25">
      <c r="A1861" t="s">
        <v>1859</v>
      </c>
      <c r="B1861">
        <v>4</v>
      </c>
      <c r="C1861">
        <v>6.032</v>
      </c>
    </row>
    <row r="1862" spans="1:3" x14ac:dyDescent="0.25">
      <c r="A1862" t="s">
        <v>1860</v>
      </c>
      <c r="B1862">
        <v>4</v>
      </c>
      <c r="C1862">
        <v>6.032</v>
      </c>
    </row>
    <row r="1863" spans="1:3" x14ac:dyDescent="0.25">
      <c r="A1863" t="s">
        <v>1861</v>
      </c>
      <c r="B1863">
        <v>4</v>
      </c>
      <c r="C1863">
        <v>6.032</v>
      </c>
    </row>
    <row r="1864" spans="1:3" x14ac:dyDescent="0.25">
      <c r="A1864" t="s">
        <v>1862</v>
      </c>
      <c r="B1864">
        <v>5</v>
      </c>
      <c r="C1864">
        <v>6.8810000000000002</v>
      </c>
    </row>
    <row r="1865" spans="1:3" x14ac:dyDescent="0.25">
      <c r="A1865" t="s">
        <v>1863</v>
      </c>
      <c r="B1865">
        <v>4</v>
      </c>
      <c r="C1865">
        <v>6.032</v>
      </c>
    </row>
    <row r="1866" spans="1:3" x14ac:dyDescent="0.25">
      <c r="A1866" t="s">
        <v>1864</v>
      </c>
      <c r="B1866">
        <v>4</v>
      </c>
      <c r="C1866">
        <v>6.032</v>
      </c>
    </row>
    <row r="1867" spans="1:3" x14ac:dyDescent="0.25">
      <c r="A1867" t="s">
        <v>1865</v>
      </c>
      <c r="B1867">
        <v>4</v>
      </c>
      <c r="C1867">
        <v>6.032</v>
      </c>
    </row>
    <row r="1868" spans="1:3" x14ac:dyDescent="0.25">
      <c r="A1868" t="s">
        <v>1866</v>
      </c>
      <c r="B1868">
        <v>4</v>
      </c>
      <c r="C1868">
        <v>6.032</v>
      </c>
    </row>
    <row r="1869" spans="1:3" x14ac:dyDescent="0.25">
      <c r="A1869" t="s">
        <v>1867</v>
      </c>
      <c r="B1869">
        <v>7</v>
      </c>
      <c r="C1869">
        <v>6.3739999999999997</v>
      </c>
    </row>
    <row r="1870" spans="1:3" x14ac:dyDescent="0.25">
      <c r="A1870" t="s">
        <v>1868</v>
      </c>
      <c r="B1870">
        <v>7</v>
      </c>
      <c r="C1870">
        <v>6.3739999999999997</v>
      </c>
    </row>
    <row r="1871" spans="1:3" x14ac:dyDescent="0.25">
      <c r="A1871" t="s">
        <v>1869</v>
      </c>
      <c r="B1871">
        <v>7</v>
      </c>
      <c r="C1871">
        <v>6.3739999999999997</v>
      </c>
    </row>
    <row r="1872" spans="1:3" x14ac:dyDescent="0.25">
      <c r="A1872" t="s">
        <v>1870</v>
      </c>
      <c r="B1872">
        <v>4</v>
      </c>
      <c r="C1872">
        <v>6.7279999999999998</v>
      </c>
    </row>
    <row r="1873" spans="1:3" x14ac:dyDescent="0.25">
      <c r="A1873" t="s">
        <v>1871</v>
      </c>
      <c r="B1873">
        <v>4</v>
      </c>
      <c r="C1873">
        <v>6.7279999999999998</v>
      </c>
    </row>
    <row r="1874" spans="1:3" x14ac:dyDescent="0.25">
      <c r="A1874" t="s">
        <v>1872</v>
      </c>
      <c r="B1874">
        <v>4</v>
      </c>
      <c r="C1874">
        <v>6.7279999999999998</v>
      </c>
    </row>
    <row r="1875" spans="1:3" x14ac:dyDescent="0.25">
      <c r="A1875" t="s">
        <v>1873</v>
      </c>
      <c r="B1875">
        <v>4</v>
      </c>
      <c r="C1875">
        <v>6.7279999999999998</v>
      </c>
    </row>
    <row r="1876" spans="1:3" x14ac:dyDescent="0.25">
      <c r="A1876" t="s">
        <v>1874</v>
      </c>
      <c r="B1876">
        <v>4</v>
      </c>
      <c r="C1876">
        <v>6.7279999999999998</v>
      </c>
    </row>
    <row r="1877" spans="1:3" x14ac:dyDescent="0.25">
      <c r="A1877" t="s">
        <v>1875</v>
      </c>
      <c r="B1877">
        <v>4</v>
      </c>
      <c r="C1877">
        <v>6.7279999999999998</v>
      </c>
    </row>
    <row r="1878" spans="1:3" x14ac:dyDescent="0.25">
      <c r="A1878" t="s">
        <v>1876</v>
      </c>
      <c r="B1878">
        <v>4</v>
      </c>
      <c r="C1878">
        <v>6.7279999999999998</v>
      </c>
    </row>
    <row r="1879" spans="1:3" x14ac:dyDescent="0.25">
      <c r="A1879" t="s">
        <v>1877</v>
      </c>
      <c r="B1879">
        <v>4</v>
      </c>
      <c r="C1879">
        <v>6.7279999999999998</v>
      </c>
    </row>
    <row r="1880" spans="1:3" x14ac:dyDescent="0.25">
      <c r="A1880" t="s">
        <v>1878</v>
      </c>
      <c r="B1880">
        <v>4</v>
      </c>
      <c r="C1880">
        <v>6.7279999999999998</v>
      </c>
    </row>
    <row r="1881" spans="1:3" x14ac:dyDescent="0.25">
      <c r="A1881" t="s">
        <v>1879</v>
      </c>
      <c r="B1881">
        <v>4</v>
      </c>
      <c r="C1881">
        <v>6.7279999999999998</v>
      </c>
    </row>
    <row r="1882" spans="1:3" x14ac:dyDescent="0.25">
      <c r="A1882" t="s">
        <v>1880</v>
      </c>
      <c r="B1882">
        <v>4</v>
      </c>
      <c r="C1882">
        <v>6.7279999999999998</v>
      </c>
    </row>
    <row r="1883" spans="1:3" x14ac:dyDescent="0.25">
      <c r="A1883" t="s">
        <v>1881</v>
      </c>
      <c r="B1883">
        <v>4</v>
      </c>
      <c r="C1883">
        <v>6.7279999999999998</v>
      </c>
    </row>
    <row r="1884" spans="1:3" x14ac:dyDescent="0.25">
      <c r="A1884" t="s">
        <v>1882</v>
      </c>
      <c r="B1884">
        <v>4</v>
      </c>
      <c r="C1884">
        <v>6.7279999999999998</v>
      </c>
    </row>
    <row r="1885" spans="1:3" x14ac:dyDescent="0.25">
      <c r="A1885" t="s">
        <v>1883</v>
      </c>
      <c r="B1885">
        <v>4</v>
      </c>
      <c r="C1885">
        <v>6.7279999999999998</v>
      </c>
    </row>
    <row r="1886" spans="1:3" x14ac:dyDescent="0.25">
      <c r="A1886" t="s">
        <v>1884</v>
      </c>
      <c r="B1886">
        <v>6</v>
      </c>
      <c r="C1886">
        <v>9.4220000000000006</v>
      </c>
    </row>
    <row r="1887" spans="1:3" x14ac:dyDescent="0.25">
      <c r="A1887" t="s">
        <v>1885</v>
      </c>
      <c r="B1887">
        <v>6</v>
      </c>
      <c r="C1887">
        <v>9.4220000000000006</v>
      </c>
    </row>
    <row r="1888" spans="1:3" x14ac:dyDescent="0.25">
      <c r="A1888" t="s">
        <v>1886</v>
      </c>
      <c r="B1888">
        <v>4</v>
      </c>
      <c r="C1888">
        <v>6.7279999999999998</v>
      </c>
    </row>
    <row r="1889" spans="1:3" x14ac:dyDescent="0.25">
      <c r="A1889" t="s">
        <v>1887</v>
      </c>
      <c r="B1889">
        <v>4</v>
      </c>
      <c r="C1889">
        <v>6.7279999999999998</v>
      </c>
    </row>
    <row r="1890" spans="1:3" x14ac:dyDescent="0.25">
      <c r="A1890" t="s">
        <v>1888</v>
      </c>
      <c r="B1890">
        <v>4</v>
      </c>
      <c r="C1890">
        <v>6.7279999999999998</v>
      </c>
    </row>
    <row r="1891" spans="1:3" x14ac:dyDescent="0.25">
      <c r="A1891" t="s">
        <v>1889</v>
      </c>
      <c r="B1891">
        <v>4</v>
      </c>
      <c r="C1891">
        <v>6.7279999999999998</v>
      </c>
    </row>
    <row r="1892" spans="1:3" x14ac:dyDescent="0.25">
      <c r="A1892" t="s">
        <v>1890</v>
      </c>
      <c r="B1892">
        <v>4</v>
      </c>
      <c r="C1892">
        <v>6.7279999999999998</v>
      </c>
    </row>
    <row r="1893" spans="1:3" x14ac:dyDescent="0.25">
      <c r="A1893" t="s">
        <v>1891</v>
      </c>
      <c r="B1893">
        <v>4</v>
      </c>
      <c r="C1893">
        <v>6.7279999999999998</v>
      </c>
    </row>
    <row r="1894" spans="1:3" x14ac:dyDescent="0.25">
      <c r="A1894" t="s">
        <v>1892</v>
      </c>
      <c r="B1894">
        <v>4</v>
      </c>
      <c r="C1894">
        <v>6.7279999999999998</v>
      </c>
    </row>
    <row r="1895" spans="1:3" x14ac:dyDescent="0.25">
      <c r="A1895" t="s">
        <v>1893</v>
      </c>
      <c r="B1895">
        <v>4</v>
      </c>
      <c r="C1895">
        <v>6.7279999999999998</v>
      </c>
    </row>
    <row r="1896" spans="1:3" x14ac:dyDescent="0.25">
      <c r="A1896" t="s">
        <v>1894</v>
      </c>
      <c r="B1896">
        <v>4</v>
      </c>
      <c r="C1896">
        <v>6.7279999999999998</v>
      </c>
    </row>
    <row r="1897" spans="1:3" x14ac:dyDescent="0.25">
      <c r="A1897" t="s">
        <v>1895</v>
      </c>
      <c r="B1897">
        <v>4</v>
      </c>
      <c r="C1897">
        <v>6.7279999999999998</v>
      </c>
    </row>
    <row r="1898" spans="1:3" x14ac:dyDescent="0.25">
      <c r="A1898" t="s">
        <v>1896</v>
      </c>
      <c r="B1898">
        <v>4</v>
      </c>
      <c r="C1898">
        <v>6.7279999999999998</v>
      </c>
    </row>
    <row r="1899" spans="1:3" x14ac:dyDescent="0.25">
      <c r="A1899" t="s">
        <v>1897</v>
      </c>
      <c r="B1899">
        <v>4</v>
      </c>
      <c r="C1899">
        <v>6.7279999999999998</v>
      </c>
    </row>
    <row r="1900" spans="1:3" x14ac:dyDescent="0.25">
      <c r="A1900" t="s">
        <v>1898</v>
      </c>
      <c r="B1900">
        <v>6</v>
      </c>
      <c r="C1900">
        <v>6.3979999999999997</v>
      </c>
    </row>
    <row r="1901" spans="1:3" x14ac:dyDescent="0.25">
      <c r="A1901" t="s">
        <v>1899</v>
      </c>
      <c r="B1901">
        <v>6</v>
      </c>
      <c r="C1901">
        <v>6.3979999999999997</v>
      </c>
    </row>
    <row r="1902" spans="1:3" x14ac:dyDescent="0.25">
      <c r="A1902" t="s">
        <v>1900</v>
      </c>
      <c r="B1902">
        <v>6</v>
      </c>
      <c r="C1902">
        <v>6.3979999999999997</v>
      </c>
    </row>
    <row r="1903" spans="1:3" x14ac:dyDescent="0.25">
      <c r="A1903" t="s">
        <v>1901</v>
      </c>
      <c r="B1903">
        <v>6</v>
      </c>
      <c r="C1903">
        <v>6.3979999999999997</v>
      </c>
    </row>
    <row r="1904" spans="1:3" x14ac:dyDescent="0.25">
      <c r="A1904" t="s">
        <v>1902</v>
      </c>
      <c r="B1904">
        <v>6</v>
      </c>
      <c r="C1904">
        <v>9.4220000000000006</v>
      </c>
    </row>
    <row r="1905" spans="1:3" x14ac:dyDescent="0.25">
      <c r="A1905" t="s">
        <v>1903</v>
      </c>
      <c r="B1905">
        <v>6</v>
      </c>
      <c r="C1905">
        <v>9.4220000000000006</v>
      </c>
    </row>
    <row r="1906" spans="1:3" x14ac:dyDescent="0.25">
      <c r="A1906" t="s">
        <v>1904</v>
      </c>
      <c r="B1906">
        <v>6</v>
      </c>
      <c r="C1906">
        <v>9.4220000000000006</v>
      </c>
    </row>
    <row r="1907" spans="1:3" x14ac:dyDescent="0.25">
      <c r="A1907" t="s">
        <v>1905</v>
      </c>
      <c r="B1907">
        <v>6</v>
      </c>
      <c r="C1907">
        <v>9.4220000000000006</v>
      </c>
    </row>
    <row r="1908" spans="1:3" x14ac:dyDescent="0.25">
      <c r="A1908" t="s">
        <v>1906</v>
      </c>
      <c r="B1908">
        <v>6</v>
      </c>
      <c r="C1908">
        <v>9.4220000000000006</v>
      </c>
    </row>
    <row r="1909" spans="1:3" x14ac:dyDescent="0.25">
      <c r="A1909" t="s">
        <v>1907</v>
      </c>
      <c r="B1909">
        <v>6</v>
      </c>
      <c r="C1909">
        <v>9.4220000000000006</v>
      </c>
    </row>
    <row r="1910" spans="1:3" x14ac:dyDescent="0.25">
      <c r="A1910" t="s">
        <v>1908</v>
      </c>
      <c r="B1910">
        <v>4</v>
      </c>
      <c r="C1910">
        <v>6.7279999999999998</v>
      </c>
    </row>
    <row r="1911" spans="1:3" x14ac:dyDescent="0.25">
      <c r="A1911" t="s">
        <v>1909</v>
      </c>
      <c r="B1911">
        <v>4</v>
      </c>
      <c r="C1911">
        <v>6.7279999999999998</v>
      </c>
    </row>
    <row r="1912" spans="1:3" x14ac:dyDescent="0.25">
      <c r="A1912" t="s">
        <v>1910</v>
      </c>
      <c r="B1912">
        <v>6</v>
      </c>
      <c r="C1912">
        <v>6.3979999999999997</v>
      </c>
    </row>
    <row r="1913" spans="1:3" x14ac:dyDescent="0.25">
      <c r="A1913" t="s">
        <v>1911</v>
      </c>
      <c r="B1913">
        <v>6</v>
      </c>
      <c r="C1913">
        <v>6.3979999999999997</v>
      </c>
    </row>
    <row r="1914" spans="1:3" x14ac:dyDescent="0.25">
      <c r="A1914" t="s">
        <v>1912</v>
      </c>
      <c r="B1914">
        <v>5</v>
      </c>
      <c r="C1914">
        <v>6.3819999999999997</v>
      </c>
    </row>
    <row r="1915" spans="1:3" x14ac:dyDescent="0.25">
      <c r="A1915" t="s">
        <v>1913</v>
      </c>
      <c r="B1915">
        <v>8</v>
      </c>
      <c r="C1915">
        <v>7.8179999999999996</v>
      </c>
    </row>
    <row r="1916" spans="1:3" x14ac:dyDescent="0.25">
      <c r="A1916" t="s">
        <v>1914</v>
      </c>
      <c r="B1916">
        <v>5</v>
      </c>
      <c r="C1916">
        <v>5.2119999999999997</v>
      </c>
    </row>
    <row r="1917" spans="1:3" x14ac:dyDescent="0.25">
      <c r="A1917" t="s">
        <v>1915</v>
      </c>
      <c r="B1917">
        <v>8</v>
      </c>
      <c r="C1917">
        <v>7.8179999999999996</v>
      </c>
    </row>
    <row r="1918" spans="1:3" x14ac:dyDescent="0.25">
      <c r="A1918" t="s">
        <v>1916</v>
      </c>
      <c r="B1918">
        <v>8</v>
      </c>
      <c r="C1918">
        <v>7.8179999999999996</v>
      </c>
    </row>
    <row r="1919" spans="1:3" x14ac:dyDescent="0.25">
      <c r="A1919" t="s">
        <v>1917</v>
      </c>
      <c r="B1919">
        <v>8</v>
      </c>
      <c r="C1919">
        <v>7.8179999999999996</v>
      </c>
    </row>
    <row r="1920" spans="1:3" x14ac:dyDescent="0.25">
      <c r="A1920" t="s">
        <v>1918</v>
      </c>
      <c r="B1920">
        <v>8</v>
      </c>
      <c r="C1920">
        <v>7.8179999999999996</v>
      </c>
    </row>
    <row r="1921" spans="1:3" x14ac:dyDescent="0.25">
      <c r="A1921" t="s">
        <v>1919</v>
      </c>
      <c r="B1921">
        <v>8</v>
      </c>
      <c r="C1921">
        <v>7.8179999999999996</v>
      </c>
    </row>
    <row r="1922" spans="1:3" x14ac:dyDescent="0.25">
      <c r="A1922" t="s">
        <v>1920</v>
      </c>
      <c r="B1922">
        <v>8</v>
      </c>
      <c r="C1922">
        <v>7.8179999999999996</v>
      </c>
    </row>
    <row r="1923" spans="1:3" x14ac:dyDescent="0.25">
      <c r="A1923" t="s">
        <v>1921</v>
      </c>
      <c r="B1923">
        <v>8</v>
      </c>
      <c r="C1923">
        <v>7.8179999999999996</v>
      </c>
    </row>
    <row r="1924" spans="1:3" x14ac:dyDescent="0.25">
      <c r="A1924" t="s">
        <v>1922</v>
      </c>
      <c r="B1924">
        <v>8</v>
      </c>
      <c r="C1924">
        <v>7.8179999999999996</v>
      </c>
    </row>
    <row r="1925" spans="1:3" x14ac:dyDescent="0.25">
      <c r="A1925" t="s">
        <v>1923</v>
      </c>
      <c r="B1925">
        <v>14</v>
      </c>
      <c r="C1925">
        <v>22.998000000000001</v>
      </c>
    </row>
    <row r="1926" spans="1:3" x14ac:dyDescent="0.25">
      <c r="A1926" t="s">
        <v>1924</v>
      </c>
      <c r="B1926">
        <v>8</v>
      </c>
      <c r="C1926">
        <v>7.8179999999999996</v>
      </c>
    </row>
    <row r="1927" spans="1:3" x14ac:dyDescent="0.25">
      <c r="A1927" t="s">
        <v>1925</v>
      </c>
      <c r="B1927">
        <v>8</v>
      </c>
      <c r="C1927">
        <v>7.8179999999999996</v>
      </c>
    </row>
    <row r="1928" spans="1:3" x14ac:dyDescent="0.25">
      <c r="A1928" t="s">
        <v>1926</v>
      </c>
      <c r="B1928">
        <v>10</v>
      </c>
      <c r="C1928">
        <v>12.29</v>
      </c>
    </row>
    <row r="1929" spans="1:3" x14ac:dyDescent="0.25">
      <c r="A1929" t="s">
        <v>1927</v>
      </c>
      <c r="B1929">
        <v>10</v>
      </c>
      <c r="C1929">
        <v>14.696</v>
      </c>
    </row>
    <row r="1930" spans="1:3" x14ac:dyDescent="0.25">
      <c r="A1930" t="s">
        <v>1928</v>
      </c>
      <c r="B1930">
        <v>10</v>
      </c>
      <c r="C1930">
        <v>14.696</v>
      </c>
    </row>
    <row r="1931" spans="1:3" x14ac:dyDescent="0.25">
      <c r="A1931" t="s">
        <v>1929</v>
      </c>
      <c r="B1931">
        <v>10</v>
      </c>
      <c r="C1931">
        <v>14.696</v>
      </c>
    </row>
    <row r="1932" spans="1:3" x14ac:dyDescent="0.25">
      <c r="A1932" t="s">
        <v>1930</v>
      </c>
      <c r="B1932">
        <v>10</v>
      </c>
      <c r="C1932">
        <v>14.696</v>
      </c>
    </row>
    <row r="1933" spans="1:3" x14ac:dyDescent="0.25">
      <c r="A1933" t="s">
        <v>1931</v>
      </c>
      <c r="B1933">
        <v>10</v>
      </c>
      <c r="C1933">
        <v>14.696</v>
      </c>
    </row>
    <row r="1934" spans="1:3" x14ac:dyDescent="0.25">
      <c r="A1934" t="s">
        <v>1932</v>
      </c>
      <c r="B1934">
        <v>8</v>
      </c>
      <c r="C1934">
        <v>7.8179999999999996</v>
      </c>
    </row>
    <row r="1935" spans="1:3" x14ac:dyDescent="0.25">
      <c r="A1935" t="s">
        <v>1933</v>
      </c>
      <c r="B1935">
        <v>10</v>
      </c>
      <c r="C1935">
        <v>12.09</v>
      </c>
    </row>
    <row r="1936" spans="1:3" x14ac:dyDescent="0.25">
      <c r="A1936" t="s">
        <v>1934</v>
      </c>
      <c r="B1936">
        <v>8</v>
      </c>
      <c r="C1936">
        <v>7.8179999999999996</v>
      </c>
    </row>
    <row r="1937" spans="1:3" x14ac:dyDescent="0.25">
      <c r="A1937" t="s">
        <v>1935</v>
      </c>
      <c r="B1937">
        <v>8</v>
      </c>
      <c r="C1937">
        <v>7.8179999999999996</v>
      </c>
    </row>
    <row r="1938" spans="1:3" x14ac:dyDescent="0.25">
      <c r="A1938" t="s">
        <v>1936</v>
      </c>
      <c r="B1938">
        <v>11</v>
      </c>
      <c r="C1938">
        <v>10.423999999999999</v>
      </c>
    </row>
    <row r="1939" spans="1:3" x14ac:dyDescent="0.25">
      <c r="A1939" t="s">
        <v>1937</v>
      </c>
      <c r="B1939">
        <v>8</v>
      </c>
      <c r="C1939">
        <v>7.8179999999999996</v>
      </c>
    </row>
    <row r="1940" spans="1:3" x14ac:dyDescent="0.25">
      <c r="A1940" t="s">
        <v>1938</v>
      </c>
      <c r="B1940">
        <v>8</v>
      </c>
      <c r="C1940">
        <v>7.8179999999999996</v>
      </c>
    </row>
    <row r="1941" spans="1:3" x14ac:dyDescent="0.25">
      <c r="A1941" t="s">
        <v>1939</v>
      </c>
      <c r="B1941">
        <v>8</v>
      </c>
      <c r="C1941">
        <v>7.8179999999999996</v>
      </c>
    </row>
    <row r="1942" spans="1:3" x14ac:dyDescent="0.25">
      <c r="A1942" t="s">
        <v>1940</v>
      </c>
      <c r="B1942">
        <v>16</v>
      </c>
      <c r="C1942">
        <v>37.415999999999997</v>
      </c>
    </row>
    <row r="1943" spans="1:3" x14ac:dyDescent="0.25">
      <c r="A1943" t="s">
        <v>1941</v>
      </c>
      <c r="B1943">
        <v>9</v>
      </c>
      <c r="C1943">
        <v>11.27</v>
      </c>
    </row>
    <row r="1944" spans="1:3" x14ac:dyDescent="0.25">
      <c r="A1944" t="s">
        <v>1942</v>
      </c>
      <c r="B1944">
        <v>10</v>
      </c>
      <c r="C1944">
        <v>14.696</v>
      </c>
    </row>
    <row r="1945" spans="1:3" x14ac:dyDescent="0.25">
      <c r="A1945" t="s">
        <v>1943</v>
      </c>
      <c r="B1945">
        <v>9</v>
      </c>
      <c r="C1945">
        <v>11.27</v>
      </c>
    </row>
    <row r="1946" spans="1:3" x14ac:dyDescent="0.25">
      <c r="A1946" t="s">
        <v>1944</v>
      </c>
      <c r="B1946">
        <v>4</v>
      </c>
      <c r="C1946">
        <v>4.72</v>
      </c>
    </row>
    <row r="1947" spans="1:3" x14ac:dyDescent="0.25">
      <c r="A1947" t="s">
        <v>1945</v>
      </c>
      <c r="B1947">
        <v>17</v>
      </c>
      <c r="C1947">
        <v>19.137</v>
      </c>
    </row>
    <row r="1948" spans="1:3" x14ac:dyDescent="0.25">
      <c r="A1948" t="s">
        <v>1946</v>
      </c>
      <c r="B1948">
        <v>3</v>
      </c>
      <c r="C1948">
        <v>2.6059999999999999</v>
      </c>
    </row>
    <row r="1949" spans="1:3" x14ac:dyDescent="0.25">
      <c r="A1949" t="s">
        <v>1947</v>
      </c>
      <c r="B1949">
        <v>19</v>
      </c>
      <c r="C1949">
        <v>21.753</v>
      </c>
    </row>
    <row r="1950" spans="1:3" x14ac:dyDescent="0.25">
      <c r="A1950" t="s">
        <v>1948</v>
      </c>
      <c r="B1950">
        <v>8</v>
      </c>
      <c r="C1950">
        <v>10.752000000000001</v>
      </c>
    </row>
    <row r="1951" spans="1:3" x14ac:dyDescent="0.25">
      <c r="A1951" t="s">
        <v>1949</v>
      </c>
      <c r="B1951">
        <v>17</v>
      </c>
      <c r="C1951">
        <v>19.137</v>
      </c>
    </row>
    <row r="1952" spans="1:3" x14ac:dyDescent="0.25">
      <c r="A1952" t="s">
        <v>1950</v>
      </c>
      <c r="B1952">
        <v>17</v>
      </c>
      <c r="C1952">
        <v>19.137</v>
      </c>
    </row>
    <row r="1953" spans="1:3" x14ac:dyDescent="0.25">
      <c r="A1953" t="s">
        <v>1951</v>
      </c>
      <c r="B1953">
        <v>17</v>
      </c>
      <c r="C1953">
        <v>19.137</v>
      </c>
    </row>
    <row r="1954" spans="1:3" x14ac:dyDescent="0.25">
      <c r="A1954" t="s">
        <v>1952</v>
      </c>
      <c r="B1954">
        <v>8</v>
      </c>
      <c r="C1954">
        <v>10.752000000000001</v>
      </c>
    </row>
    <row r="1955" spans="1:3" x14ac:dyDescent="0.25">
      <c r="A1955" t="s">
        <v>1953</v>
      </c>
      <c r="B1955">
        <v>8</v>
      </c>
      <c r="C1955">
        <v>12.064</v>
      </c>
    </row>
    <row r="1956" spans="1:3" x14ac:dyDescent="0.25">
      <c r="A1956" t="s">
        <v>1954</v>
      </c>
      <c r="B1956">
        <v>19</v>
      </c>
      <c r="C1956">
        <v>21.753</v>
      </c>
    </row>
    <row r="1957" spans="1:3" x14ac:dyDescent="0.25">
      <c r="A1957" t="s">
        <v>1955</v>
      </c>
      <c r="B1957">
        <v>16</v>
      </c>
      <c r="C1957">
        <v>19.353999999999999</v>
      </c>
    </row>
    <row r="1958" spans="1:3" x14ac:dyDescent="0.25">
      <c r="A1958" t="s">
        <v>1956</v>
      </c>
      <c r="B1958">
        <v>17</v>
      </c>
      <c r="C1958">
        <v>19.137</v>
      </c>
    </row>
    <row r="1959" spans="1:3" x14ac:dyDescent="0.25">
      <c r="A1959" t="s">
        <v>1957</v>
      </c>
      <c r="B1959">
        <v>7</v>
      </c>
      <c r="C1959">
        <v>7.3259999999999996</v>
      </c>
    </row>
    <row r="1960" spans="1:3" x14ac:dyDescent="0.25">
      <c r="A1960" t="s">
        <v>1958</v>
      </c>
      <c r="B1960">
        <v>19</v>
      </c>
      <c r="C1960">
        <v>21.753</v>
      </c>
    </row>
    <row r="1961" spans="1:3" x14ac:dyDescent="0.25">
      <c r="A1961" t="s">
        <v>1959</v>
      </c>
      <c r="B1961">
        <v>17</v>
      </c>
      <c r="C1961">
        <v>24.326000000000001</v>
      </c>
    </row>
    <row r="1962" spans="1:3" x14ac:dyDescent="0.25">
      <c r="A1962" t="s">
        <v>1960</v>
      </c>
      <c r="B1962">
        <v>19</v>
      </c>
      <c r="C1962">
        <v>22.189</v>
      </c>
    </row>
    <row r="1963" spans="1:3" x14ac:dyDescent="0.25">
      <c r="A1963" t="s">
        <v>1961</v>
      </c>
      <c r="B1963">
        <v>6</v>
      </c>
      <c r="C1963">
        <v>8.73</v>
      </c>
    </row>
    <row r="1964" spans="1:3" x14ac:dyDescent="0.25">
      <c r="A1964" t="s">
        <v>1962</v>
      </c>
      <c r="B1964">
        <v>29</v>
      </c>
      <c r="C1964">
        <v>34.128999999999998</v>
      </c>
    </row>
    <row r="1965" spans="1:3" x14ac:dyDescent="0.25">
      <c r="A1965" t="s">
        <v>1963</v>
      </c>
      <c r="B1965">
        <v>4</v>
      </c>
      <c r="C1965">
        <v>4.72</v>
      </c>
    </row>
    <row r="1966" spans="1:3" x14ac:dyDescent="0.25">
      <c r="A1966" t="s">
        <v>1964</v>
      </c>
      <c r="B1966">
        <v>17</v>
      </c>
      <c r="C1966">
        <v>19.137</v>
      </c>
    </row>
    <row r="1967" spans="1:3" x14ac:dyDescent="0.25">
      <c r="A1967" t="s">
        <v>1965</v>
      </c>
      <c r="B1967">
        <v>17</v>
      </c>
      <c r="C1967">
        <v>18.899999999999999</v>
      </c>
    </row>
    <row r="1968" spans="1:3" x14ac:dyDescent="0.25">
      <c r="A1968" t="s">
        <v>1966</v>
      </c>
      <c r="B1968">
        <v>14</v>
      </c>
      <c r="C1968">
        <v>12.775</v>
      </c>
    </row>
    <row r="1969" spans="1:3" x14ac:dyDescent="0.25">
      <c r="A1969" t="s">
        <v>1967</v>
      </c>
      <c r="B1969">
        <v>8</v>
      </c>
      <c r="C1969">
        <v>10.752000000000001</v>
      </c>
    </row>
    <row r="1970" spans="1:3" x14ac:dyDescent="0.25">
      <c r="A1970" t="s">
        <v>1968</v>
      </c>
      <c r="B1970">
        <v>17</v>
      </c>
      <c r="C1970">
        <v>19.137</v>
      </c>
    </row>
    <row r="1971" spans="1:3" x14ac:dyDescent="0.25">
      <c r="A1971" t="s">
        <v>1969</v>
      </c>
      <c r="B1971">
        <v>17</v>
      </c>
      <c r="C1971">
        <v>19.137</v>
      </c>
    </row>
    <row r="1972" spans="1:3" x14ac:dyDescent="0.25">
      <c r="A1972" t="s">
        <v>1970</v>
      </c>
      <c r="B1972">
        <v>21</v>
      </c>
      <c r="C1972">
        <v>23.856999999999999</v>
      </c>
    </row>
    <row r="1973" spans="1:3" x14ac:dyDescent="0.25">
      <c r="A1973" t="s">
        <v>1971</v>
      </c>
      <c r="B1973">
        <v>17</v>
      </c>
      <c r="C1973">
        <v>19.137</v>
      </c>
    </row>
    <row r="1974" spans="1:3" x14ac:dyDescent="0.25">
      <c r="A1974" t="s">
        <v>1972</v>
      </c>
      <c r="B1974">
        <v>9</v>
      </c>
      <c r="C1974">
        <v>11.574</v>
      </c>
    </row>
    <row r="1975" spans="1:3" x14ac:dyDescent="0.25">
      <c r="A1975" t="s">
        <v>1973</v>
      </c>
      <c r="B1975">
        <v>14</v>
      </c>
      <c r="C1975">
        <v>12.775</v>
      </c>
    </row>
    <row r="1976" spans="1:3" x14ac:dyDescent="0.25">
      <c r="A1976" t="s">
        <v>1974</v>
      </c>
      <c r="B1976">
        <v>4</v>
      </c>
      <c r="C1976">
        <v>6.032</v>
      </c>
    </row>
    <row r="1977" spans="1:3" x14ac:dyDescent="0.25">
      <c r="A1977" t="s">
        <v>1975</v>
      </c>
      <c r="B1977">
        <v>17</v>
      </c>
      <c r="C1977">
        <v>19.137</v>
      </c>
    </row>
    <row r="1978" spans="1:3" x14ac:dyDescent="0.25">
      <c r="A1978" t="s">
        <v>1976</v>
      </c>
      <c r="B1978">
        <v>7</v>
      </c>
      <c r="C1978">
        <v>7.3259999999999996</v>
      </c>
    </row>
    <row r="1979" spans="1:3" x14ac:dyDescent="0.25">
      <c r="A1979" t="s">
        <v>1977</v>
      </c>
      <c r="B1979">
        <v>17</v>
      </c>
      <c r="C1979">
        <v>19.137</v>
      </c>
    </row>
    <row r="1980" spans="1:3" x14ac:dyDescent="0.25">
      <c r="A1980" t="s">
        <v>1978</v>
      </c>
      <c r="B1980">
        <v>7</v>
      </c>
      <c r="C1980">
        <v>7.3259999999999996</v>
      </c>
    </row>
    <row r="1981" spans="1:3" x14ac:dyDescent="0.25">
      <c r="A1981" t="s">
        <v>1979</v>
      </c>
      <c r="B1981">
        <v>17</v>
      </c>
      <c r="C1981">
        <v>19.137</v>
      </c>
    </row>
    <row r="1982" spans="1:3" x14ac:dyDescent="0.25">
      <c r="A1982" t="s">
        <v>1980</v>
      </c>
      <c r="B1982">
        <v>8</v>
      </c>
      <c r="C1982">
        <v>11.082000000000001</v>
      </c>
    </row>
    <row r="1983" spans="1:3" x14ac:dyDescent="0.25">
      <c r="A1983" t="s">
        <v>1981</v>
      </c>
      <c r="B1983">
        <v>16</v>
      </c>
      <c r="C1983">
        <v>15.391</v>
      </c>
    </row>
    <row r="1984" spans="1:3" x14ac:dyDescent="0.25">
      <c r="A1984" t="s">
        <v>1982</v>
      </c>
      <c r="B1984">
        <v>6</v>
      </c>
      <c r="C1984">
        <v>8.73</v>
      </c>
    </row>
    <row r="1985" spans="1:3" x14ac:dyDescent="0.25">
      <c r="A1985" t="s">
        <v>1983</v>
      </c>
      <c r="B1985">
        <v>23</v>
      </c>
      <c r="C1985">
        <v>26.280999999999999</v>
      </c>
    </row>
    <row r="1986" spans="1:3" x14ac:dyDescent="0.25">
      <c r="A1986" t="s">
        <v>1984</v>
      </c>
      <c r="B1986">
        <v>8</v>
      </c>
      <c r="C1986">
        <v>11.082000000000001</v>
      </c>
    </row>
    <row r="1987" spans="1:3" x14ac:dyDescent="0.25">
      <c r="A1987" t="s">
        <v>1985</v>
      </c>
      <c r="B1987">
        <v>18</v>
      </c>
      <c r="C1987">
        <v>18.007000000000001</v>
      </c>
    </row>
    <row r="1988" spans="1:3" x14ac:dyDescent="0.25">
      <c r="A1988" t="s">
        <v>1986</v>
      </c>
      <c r="B1988">
        <v>6</v>
      </c>
      <c r="C1988">
        <v>8.73</v>
      </c>
    </row>
    <row r="1989" spans="1:3" x14ac:dyDescent="0.25">
      <c r="A1989" t="s">
        <v>1987</v>
      </c>
      <c r="B1989">
        <v>23</v>
      </c>
      <c r="C1989">
        <v>26.280999999999999</v>
      </c>
    </row>
    <row r="1990" spans="1:3" x14ac:dyDescent="0.25">
      <c r="A1990" t="s">
        <v>1988</v>
      </c>
      <c r="B1990">
        <v>17</v>
      </c>
      <c r="C1990">
        <v>19.137</v>
      </c>
    </row>
    <row r="1991" spans="1:3" x14ac:dyDescent="0.25">
      <c r="A1991" t="s">
        <v>1989</v>
      </c>
      <c r="B1991">
        <v>21</v>
      </c>
      <c r="C1991">
        <v>23.856999999999999</v>
      </c>
    </row>
    <row r="1992" spans="1:3" x14ac:dyDescent="0.25">
      <c r="A1992" t="s">
        <v>1990</v>
      </c>
      <c r="B1992">
        <v>23</v>
      </c>
      <c r="C1992">
        <v>26.472999999999999</v>
      </c>
    </row>
    <row r="1993" spans="1:3" x14ac:dyDescent="0.25">
      <c r="A1993" t="s">
        <v>1991</v>
      </c>
      <c r="B1993">
        <v>8</v>
      </c>
      <c r="C1993">
        <v>11.082000000000001</v>
      </c>
    </row>
    <row r="1994" spans="1:3" x14ac:dyDescent="0.25">
      <c r="A1994" t="s">
        <v>1992</v>
      </c>
      <c r="B1994">
        <v>16</v>
      </c>
      <c r="C1994">
        <v>15.113</v>
      </c>
    </row>
    <row r="1995" spans="1:3" x14ac:dyDescent="0.25">
      <c r="A1995" t="s">
        <v>1993</v>
      </c>
      <c r="B1995">
        <v>13</v>
      </c>
      <c r="C1995">
        <v>12.074999999999999</v>
      </c>
    </row>
    <row r="1996" spans="1:3" x14ac:dyDescent="0.25">
      <c r="A1996" t="s">
        <v>1994</v>
      </c>
      <c r="B1996">
        <v>9</v>
      </c>
      <c r="C1996">
        <v>11.782</v>
      </c>
    </row>
    <row r="1997" spans="1:3" x14ac:dyDescent="0.25">
      <c r="A1997" t="s">
        <v>1995</v>
      </c>
      <c r="B1997">
        <v>4</v>
      </c>
      <c r="C1997">
        <v>4.72</v>
      </c>
    </row>
    <row r="1998" spans="1:3" x14ac:dyDescent="0.25">
      <c r="A1998" t="s">
        <v>1996</v>
      </c>
      <c r="B1998">
        <v>17</v>
      </c>
      <c r="C1998">
        <v>19.137</v>
      </c>
    </row>
    <row r="1999" spans="1:3" x14ac:dyDescent="0.25">
      <c r="A1999" t="s">
        <v>1997</v>
      </c>
      <c r="B1999">
        <v>6</v>
      </c>
      <c r="C1999">
        <v>8.73</v>
      </c>
    </row>
    <row r="2000" spans="1:3" x14ac:dyDescent="0.25">
      <c r="A2000" t="s">
        <v>1998</v>
      </c>
      <c r="B2000">
        <v>27</v>
      </c>
      <c r="C2000">
        <v>31.513000000000002</v>
      </c>
    </row>
    <row r="2001" spans="1:3" x14ac:dyDescent="0.25">
      <c r="A2001" t="s">
        <v>1999</v>
      </c>
      <c r="B2001">
        <v>4</v>
      </c>
      <c r="C2001">
        <v>4.72</v>
      </c>
    </row>
    <row r="2002" spans="1:3" x14ac:dyDescent="0.25">
      <c r="A2002" t="s">
        <v>2000</v>
      </c>
      <c r="B2002">
        <v>17</v>
      </c>
      <c r="C2002">
        <v>19.137</v>
      </c>
    </row>
    <row r="2003" spans="1:3" x14ac:dyDescent="0.25">
      <c r="A2003" t="s">
        <v>2001</v>
      </c>
      <c r="B2003">
        <v>6</v>
      </c>
      <c r="C2003">
        <v>8.73</v>
      </c>
    </row>
    <row r="2004" spans="1:3" x14ac:dyDescent="0.25">
      <c r="A2004" t="s">
        <v>2002</v>
      </c>
      <c r="B2004">
        <v>29</v>
      </c>
      <c r="C2004">
        <v>34.128999999999998</v>
      </c>
    </row>
    <row r="2005" spans="1:3" x14ac:dyDescent="0.25">
      <c r="A2005" t="s">
        <v>2003</v>
      </c>
      <c r="B2005">
        <v>46</v>
      </c>
      <c r="C2005">
        <v>117.806</v>
      </c>
    </row>
    <row r="2006" spans="1:3" x14ac:dyDescent="0.25">
      <c r="A2006" t="s">
        <v>2004</v>
      </c>
      <c r="B2006">
        <v>24</v>
      </c>
      <c r="C2006">
        <v>56.982999999999997</v>
      </c>
    </row>
    <row r="2007" spans="1:3" x14ac:dyDescent="0.25">
      <c r="A2007" t="s">
        <v>2005</v>
      </c>
      <c r="B2007">
        <v>15</v>
      </c>
      <c r="C2007">
        <v>40.72</v>
      </c>
    </row>
    <row r="2008" spans="1:3" x14ac:dyDescent="0.25">
      <c r="A2008" t="s">
        <v>2006</v>
      </c>
      <c r="B2008">
        <v>25</v>
      </c>
      <c r="C2008">
        <v>53.78</v>
      </c>
    </row>
    <row r="2009" spans="1:3" x14ac:dyDescent="0.25">
      <c r="A2009" t="s">
        <v>2007</v>
      </c>
      <c r="B2009">
        <v>35</v>
      </c>
      <c r="C2009">
        <v>67.840999999999994</v>
      </c>
    </row>
    <row r="2010" spans="1:3" x14ac:dyDescent="0.25">
      <c r="A2010" t="s">
        <v>2008</v>
      </c>
      <c r="B2010">
        <v>12</v>
      </c>
      <c r="C2010">
        <v>28.329000000000001</v>
      </c>
    </row>
    <row r="2011" spans="1:3" x14ac:dyDescent="0.25">
      <c r="A2011" t="s">
        <v>2009</v>
      </c>
      <c r="B2011">
        <v>20</v>
      </c>
      <c r="C2011">
        <v>46.87</v>
      </c>
    </row>
    <row r="2012" spans="1:3" x14ac:dyDescent="0.25">
      <c r="A2012" t="s">
        <v>2010</v>
      </c>
      <c r="B2012">
        <v>16</v>
      </c>
      <c r="C2012">
        <v>32.316000000000003</v>
      </c>
    </row>
    <row r="2013" spans="1:3" x14ac:dyDescent="0.25">
      <c r="A2013" t="s">
        <v>2011</v>
      </c>
      <c r="B2013">
        <v>24</v>
      </c>
      <c r="C2013">
        <v>44.572000000000003</v>
      </c>
    </row>
    <row r="2014" spans="1:3" x14ac:dyDescent="0.25">
      <c r="A2014" t="s">
        <v>2012</v>
      </c>
      <c r="B2014">
        <v>25</v>
      </c>
      <c r="C2014">
        <v>41.625999999999998</v>
      </c>
    </row>
    <row r="2015" spans="1:3" x14ac:dyDescent="0.25">
      <c r="A2015" t="s">
        <v>2013</v>
      </c>
      <c r="B2015">
        <v>38</v>
      </c>
      <c r="C2015">
        <v>80.346000000000004</v>
      </c>
    </row>
    <row r="2016" spans="1:3" x14ac:dyDescent="0.25">
      <c r="A2016" t="s">
        <v>2014</v>
      </c>
      <c r="B2016">
        <v>4</v>
      </c>
      <c r="C2016">
        <v>8.5879999999999992</v>
      </c>
    </row>
    <row r="2017" spans="1:3" x14ac:dyDescent="0.25">
      <c r="A2017" t="s">
        <v>2015</v>
      </c>
      <c r="B2017">
        <v>10</v>
      </c>
      <c r="C2017">
        <v>25.396000000000001</v>
      </c>
    </row>
    <row r="2018" spans="1:3" x14ac:dyDescent="0.25">
      <c r="A2018" t="s">
        <v>2016</v>
      </c>
      <c r="B2018">
        <v>6</v>
      </c>
      <c r="C2018">
        <v>16.754999999999999</v>
      </c>
    </row>
    <row r="2019" spans="1:3" x14ac:dyDescent="0.25">
      <c r="A2019" t="s">
        <v>2017</v>
      </c>
      <c r="B2019">
        <v>22</v>
      </c>
      <c r="C2019">
        <v>54.293999999999997</v>
      </c>
    </row>
    <row r="2020" spans="1:3" x14ac:dyDescent="0.25">
      <c r="A2020" t="s">
        <v>2018</v>
      </c>
      <c r="B2020">
        <v>12</v>
      </c>
      <c r="C2020">
        <v>96.396000000000001</v>
      </c>
    </row>
    <row r="2021" spans="1:3" x14ac:dyDescent="0.25">
      <c r="A2021" t="s">
        <v>2019</v>
      </c>
      <c r="B2021">
        <v>12</v>
      </c>
      <c r="C2021">
        <v>96.396000000000001</v>
      </c>
    </row>
    <row r="2022" spans="1:3" x14ac:dyDescent="0.25">
      <c r="A2022" t="s">
        <v>2020</v>
      </c>
      <c r="B2022">
        <v>18</v>
      </c>
      <c r="C2022">
        <v>48.34</v>
      </c>
    </row>
    <row r="2023" spans="1:3" x14ac:dyDescent="0.25">
      <c r="A2023" t="s">
        <v>2021</v>
      </c>
      <c r="B2023">
        <v>7</v>
      </c>
      <c r="C2023">
        <v>18.731999999999999</v>
      </c>
    </row>
    <row r="2024" spans="1:3" x14ac:dyDescent="0.25">
      <c r="A2024" t="s">
        <v>2022</v>
      </c>
      <c r="B2024">
        <v>7</v>
      </c>
      <c r="C2024">
        <v>18.731999999999999</v>
      </c>
    </row>
    <row r="2025" spans="1:3" x14ac:dyDescent="0.25">
      <c r="A2025" t="s">
        <v>2023</v>
      </c>
      <c r="B2025">
        <v>10</v>
      </c>
      <c r="C2025">
        <v>29.227</v>
      </c>
    </row>
    <row r="2026" spans="1:3" x14ac:dyDescent="0.25">
      <c r="A2026" t="s">
        <v>2024</v>
      </c>
      <c r="B2026">
        <v>10</v>
      </c>
      <c r="C2026">
        <v>29.227</v>
      </c>
    </row>
    <row r="2027" spans="1:3" x14ac:dyDescent="0.25">
      <c r="A2027" t="s">
        <v>2025</v>
      </c>
      <c r="B2027">
        <v>6</v>
      </c>
      <c r="C2027">
        <v>15.23</v>
      </c>
    </row>
    <row r="2028" spans="1:3" x14ac:dyDescent="0.25">
      <c r="A2028" t="s">
        <v>2026</v>
      </c>
      <c r="B2028">
        <v>19</v>
      </c>
      <c r="C2028">
        <v>46.082000000000001</v>
      </c>
    </row>
    <row r="2029" spans="1:3" x14ac:dyDescent="0.25">
      <c r="A2029" t="s">
        <v>2027</v>
      </c>
      <c r="B2029">
        <v>20</v>
      </c>
      <c r="C2029">
        <v>54.204000000000001</v>
      </c>
    </row>
    <row r="2030" spans="1:3" x14ac:dyDescent="0.25">
      <c r="A2030" t="s">
        <v>2028</v>
      </c>
      <c r="B2030">
        <v>24</v>
      </c>
      <c r="C2030">
        <v>51.4</v>
      </c>
    </row>
    <row r="2031" spans="1:3" x14ac:dyDescent="0.25">
      <c r="A2031" t="s">
        <v>2029</v>
      </c>
      <c r="B2031">
        <v>12</v>
      </c>
      <c r="C2031">
        <v>28.329000000000001</v>
      </c>
    </row>
  </sheetData>
  <pageMargins left="0.75" right="0.75" top="0.75" bottom="0.5" header="0.5" footer="0.7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674A1-8C52-4C78-9798-0B77E6B31ED9}">
  <dimension ref="A1:C27"/>
  <sheetViews>
    <sheetView workbookViewId="0">
      <selection activeCell="A2" sqref="A2:C14"/>
    </sheetView>
  </sheetViews>
  <sheetFormatPr defaultRowHeight="15" x14ac:dyDescent="0.25"/>
  <cols>
    <col min="1" max="1" width="16.42578125" bestFit="1" customWidth="1"/>
  </cols>
  <sheetData>
    <row r="1" spans="1:3" x14ac:dyDescent="0.25">
      <c r="A1" t="s">
        <v>2263</v>
      </c>
      <c r="B1" t="s">
        <v>2264</v>
      </c>
      <c r="C1" t="s">
        <v>2265</v>
      </c>
    </row>
    <row r="2" spans="1:3" x14ac:dyDescent="0.25">
      <c r="A2">
        <v>0.5</v>
      </c>
      <c r="B2">
        <v>0.21</v>
      </c>
      <c r="C2">
        <v>0.21</v>
      </c>
    </row>
    <row r="3" spans="1:3" x14ac:dyDescent="0.25">
      <c r="A3">
        <v>0.75</v>
      </c>
      <c r="B3">
        <v>0.23</v>
      </c>
      <c r="C3">
        <v>0.21</v>
      </c>
    </row>
    <row r="4" spans="1:3" x14ac:dyDescent="0.25">
      <c r="A4">
        <v>1.25</v>
      </c>
      <c r="B4">
        <v>0.26</v>
      </c>
      <c r="C4">
        <v>0.21</v>
      </c>
    </row>
    <row r="5" spans="1:3" x14ac:dyDescent="0.25">
      <c r="A5">
        <v>1.5</v>
      </c>
      <c r="B5">
        <v>0.3</v>
      </c>
      <c r="C5">
        <v>0.21</v>
      </c>
    </row>
    <row r="6" spans="1:3" x14ac:dyDescent="0.25">
      <c r="A6">
        <v>1</v>
      </c>
      <c r="B6">
        <v>0.42</v>
      </c>
      <c r="C6">
        <v>0.21</v>
      </c>
    </row>
    <row r="7" spans="1:3" x14ac:dyDescent="0.25">
      <c r="A7">
        <v>2</v>
      </c>
      <c r="B7">
        <v>0.84</v>
      </c>
      <c r="C7">
        <v>0.66</v>
      </c>
    </row>
    <row r="8" spans="1:3" x14ac:dyDescent="0.25">
      <c r="A8">
        <v>3</v>
      </c>
      <c r="B8">
        <v>1</v>
      </c>
      <c r="C8">
        <v>0.95</v>
      </c>
    </row>
    <row r="9" spans="1:3" x14ac:dyDescent="0.25">
      <c r="A9">
        <v>4</v>
      </c>
      <c r="B9">
        <v>1.36</v>
      </c>
      <c r="C9">
        <v>1.31</v>
      </c>
    </row>
    <row r="10" spans="1:3" x14ac:dyDescent="0.25">
      <c r="A10">
        <v>6</v>
      </c>
      <c r="B10">
        <v>1.73</v>
      </c>
      <c r="C10">
        <v>1.74</v>
      </c>
    </row>
    <row r="11" spans="1:3" x14ac:dyDescent="0.25">
      <c r="A11">
        <v>12</v>
      </c>
      <c r="B11">
        <v>3.4</v>
      </c>
      <c r="C11">
        <v>2.4500000000000002</v>
      </c>
    </row>
    <row r="12" spans="1:3" x14ac:dyDescent="0.25">
      <c r="A12">
        <v>8</v>
      </c>
      <c r="B12">
        <v>2.19</v>
      </c>
      <c r="C12">
        <v>1.98</v>
      </c>
    </row>
    <row r="13" spans="1:3" x14ac:dyDescent="0.25">
      <c r="A13">
        <v>10</v>
      </c>
      <c r="B13">
        <v>2.77</v>
      </c>
      <c r="C13">
        <v>2.67</v>
      </c>
    </row>
    <row r="14" spans="1:3" x14ac:dyDescent="0.25">
      <c r="A14">
        <v>14</v>
      </c>
      <c r="B14">
        <v>3.97</v>
      </c>
      <c r="C14">
        <v>2.67</v>
      </c>
    </row>
    <row r="20" spans="1:2" x14ac:dyDescent="0.25">
      <c r="A20" t="s">
        <v>2266</v>
      </c>
    </row>
    <row r="21" spans="1:2" x14ac:dyDescent="0.25">
      <c r="A21" t="s">
        <v>2267</v>
      </c>
      <c r="B21">
        <v>0.47</v>
      </c>
    </row>
    <row r="22" spans="1:2" ht="45" x14ac:dyDescent="0.25">
      <c r="A22" s="126" t="s">
        <v>2268</v>
      </c>
      <c r="B22">
        <v>0.8</v>
      </c>
    </row>
    <row r="23" spans="1:2" x14ac:dyDescent="0.25">
      <c r="A23" t="s">
        <v>2269</v>
      </c>
      <c r="B23">
        <v>0.05</v>
      </c>
    </row>
    <row r="24" spans="1:2" x14ac:dyDescent="0.25">
      <c r="A24" t="s">
        <v>2270</v>
      </c>
      <c r="B24">
        <v>0</v>
      </c>
    </row>
    <row r="25" spans="1:2" x14ac:dyDescent="0.25">
      <c r="A25" t="s">
        <v>2271</v>
      </c>
      <c r="B25">
        <v>1.3</v>
      </c>
    </row>
    <row r="26" spans="1:2" ht="30" x14ac:dyDescent="0.25">
      <c r="A26" s="126" t="s">
        <v>2272</v>
      </c>
      <c r="B26">
        <v>1.03</v>
      </c>
    </row>
    <row r="27" spans="1:2" x14ac:dyDescent="0.25">
      <c r="A27" t="s">
        <v>2193</v>
      </c>
      <c r="B27">
        <v>1.1399999999999999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8217A-1BC1-457F-BF0C-175080BACED9}">
  <dimension ref="A1:F68"/>
  <sheetViews>
    <sheetView topLeftCell="A26" workbookViewId="0">
      <selection activeCell="A26" sqref="A26:XFD26"/>
    </sheetView>
  </sheetViews>
  <sheetFormatPr defaultRowHeight="15" x14ac:dyDescent="0.25"/>
  <cols>
    <col min="2" max="2" width="12.85546875" bestFit="1" customWidth="1"/>
    <col min="3" max="3" width="81.5703125" bestFit="1" customWidth="1"/>
  </cols>
  <sheetData>
    <row r="1" spans="1:4" x14ac:dyDescent="0.25">
      <c r="A1" t="s">
        <v>2122</v>
      </c>
      <c r="B1" t="s">
        <v>2123</v>
      </c>
      <c r="C1" t="s">
        <v>2124</v>
      </c>
      <c r="D1" t="s">
        <v>2125</v>
      </c>
    </row>
    <row r="2" spans="1:4" x14ac:dyDescent="0.25">
      <c r="A2" t="s">
        <v>13</v>
      </c>
      <c r="B2" t="s">
        <v>2126</v>
      </c>
      <c r="C2" t="s">
        <v>2097</v>
      </c>
      <c r="D2" t="s">
        <v>2127</v>
      </c>
    </row>
    <row r="3" spans="1:4" x14ac:dyDescent="0.25">
      <c r="A3" t="s">
        <v>14</v>
      </c>
      <c r="B3" t="s">
        <v>2128</v>
      </c>
      <c r="C3" t="s">
        <v>2070</v>
      </c>
      <c r="D3" t="s">
        <v>2127</v>
      </c>
    </row>
    <row r="4" spans="1:4" x14ac:dyDescent="0.25">
      <c r="A4" t="s">
        <v>15</v>
      </c>
      <c r="B4" t="s">
        <v>15</v>
      </c>
      <c r="C4" t="s">
        <v>2057</v>
      </c>
    </row>
    <row r="5" spans="1:4" x14ac:dyDescent="0.25">
      <c r="A5" t="s">
        <v>16</v>
      </c>
      <c r="B5" t="s">
        <v>2129</v>
      </c>
      <c r="C5" t="s">
        <v>2109</v>
      </c>
      <c r="D5" t="s">
        <v>2130</v>
      </c>
    </row>
    <row r="6" spans="1:4" x14ac:dyDescent="0.25">
      <c r="A6" t="s">
        <v>17</v>
      </c>
      <c r="B6" t="s">
        <v>2131</v>
      </c>
      <c r="C6" t="s">
        <v>2098</v>
      </c>
    </row>
    <row r="7" spans="1:4" x14ac:dyDescent="0.25">
      <c r="A7" t="s">
        <v>73</v>
      </c>
      <c r="B7" t="s">
        <v>73</v>
      </c>
      <c r="C7" t="s">
        <v>2102</v>
      </c>
    </row>
    <row r="8" spans="1:4" x14ac:dyDescent="0.25">
      <c r="A8" t="s">
        <v>74</v>
      </c>
      <c r="B8" t="s">
        <v>74</v>
      </c>
      <c r="C8" t="s">
        <v>2103</v>
      </c>
    </row>
    <row r="9" spans="1:4" x14ac:dyDescent="0.25">
      <c r="A9" t="s">
        <v>18</v>
      </c>
      <c r="B9" t="s">
        <v>18</v>
      </c>
      <c r="C9" t="s">
        <v>2064</v>
      </c>
    </row>
    <row r="10" spans="1:4" x14ac:dyDescent="0.25">
      <c r="A10" t="s">
        <v>19</v>
      </c>
      <c r="B10" t="s">
        <v>19</v>
      </c>
      <c r="C10" t="s">
        <v>2080</v>
      </c>
    </row>
    <row r="11" spans="1:4" x14ac:dyDescent="0.25">
      <c r="A11" t="s">
        <v>20</v>
      </c>
      <c r="B11" t="s">
        <v>2132</v>
      </c>
      <c r="C11" t="s">
        <v>2067</v>
      </c>
    </row>
    <row r="12" spans="1:4" x14ac:dyDescent="0.25">
      <c r="A12" t="s">
        <v>21</v>
      </c>
      <c r="B12" t="s">
        <v>21</v>
      </c>
      <c r="C12" t="s">
        <v>2081</v>
      </c>
    </row>
    <row r="13" spans="1:4" x14ac:dyDescent="0.25">
      <c r="A13" t="s">
        <v>22</v>
      </c>
      <c r="B13" t="s">
        <v>2133</v>
      </c>
      <c r="C13" t="s">
        <v>2087</v>
      </c>
    </row>
    <row r="14" spans="1:4" x14ac:dyDescent="0.25">
      <c r="A14" t="s">
        <v>23</v>
      </c>
      <c r="B14" t="s">
        <v>24</v>
      </c>
      <c r="C14" t="s">
        <v>2077</v>
      </c>
      <c r="D14" t="s">
        <v>2134</v>
      </c>
    </row>
    <row r="15" spans="1:4" x14ac:dyDescent="0.25">
      <c r="A15" t="s">
        <v>24</v>
      </c>
      <c r="B15" t="s">
        <v>24</v>
      </c>
      <c r="C15" t="s">
        <v>2072</v>
      </c>
    </row>
    <row r="16" spans="1:4" x14ac:dyDescent="0.25">
      <c r="A16" s="2" t="s">
        <v>27</v>
      </c>
      <c r="B16" t="s">
        <v>24</v>
      </c>
      <c r="C16" s="2" t="s">
        <v>2051</v>
      </c>
    </row>
    <row r="17" spans="1:6" x14ac:dyDescent="0.25">
      <c r="A17" s="2" t="s">
        <v>26</v>
      </c>
      <c r="B17" t="s">
        <v>24</v>
      </c>
      <c r="C17" s="2" t="s">
        <v>2052</v>
      </c>
    </row>
    <row r="18" spans="1:6" x14ac:dyDescent="0.25">
      <c r="A18" t="s">
        <v>25</v>
      </c>
      <c r="B18" t="s">
        <v>25</v>
      </c>
      <c r="C18" t="s">
        <v>2104</v>
      </c>
      <c r="F18">
        <v>43526</v>
      </c>
    </row>
    <row r="19" spans="1:6" x14ac:dyDescent="0.25">
      <c r="A19" t="s">
        <v>28</v>
      </c>
      <c r="B19" t="s">
        <v>24</v>
      </c>
      <c r="C19" t="s">
        <v>2059</v>
      </c>
      <c r="F19" s="4" t="s">
        <v>2135</v>
      </c>
    </row>
    <row r="20" spans="1:6" x14ac:dyDescent="0.25">
      <c r="A20" t="s">
        <v>29</v>
      </c>
      <c r="B20" t="s">
        <v>2136</v>
      </c>
      <c r="C20" t="s">
        <v>2137</v>
      </c>
    </row>
    <row r="21" spans="1:6" x14ac:dyDescent="0.25">
      <c r="A21" t="s">
        <v>30</v>
      </c>
      <c r="B21" t="s">
        <v>30</v>
      </c>
      <c r="C21" t="s">
        <v>2138</v>
      </c>
      <c r="D21" t="s">
        <v>2139</v>
      </c>
    </row>
    <row r="22" spans="1:6" x14ac:dyDescent="0.25">
      <c r="A22" t="s">
        <v>31</v>
      </c>
      <c r="B22" t="s">
        <v>2140</v>
      </c>
      <c r="C22" t="s">
        <v>2105</v>
      </c>
      <c r="D22" t="s">
        <v>2141</v>
      </c>
    </row>
    <row r="23" spans="1:6" x14ac:dyDescent="0.25">
      <c r="A23" t="s">
        <v>32</v>
      </c>
      <c r="B23" t="s">
        <v>2133</v>
      </c>
      <c r="C23" t="s">
        <v>2082</v>
      </c>
    </row>
    <row r="24" spans="1:6" x14ac:dyDescent="0.25">
      <c r="A24" t="s">
        <v>2049</v>
      </c>
      <c r="B24" t="s">
        <v>2049</v>
      </c>
      <c r="C24" t="s">
        <v>2091</v>
      </c>
    </row>
    <row r="25" spans="1:6" x14ac:dyDescent="0.25">
      <c r="A25" t="s">
        <v>33</v>
      </c>
      <c r="B25" t="s">
        <v>2131</v>
      </c>
      <c r="C25" t="s">
        <v>2117</v>
      </c>
    </row>
    <row r="26" spans="1:6" x14ac:dyDescent="0.25">
      <c r="A26" t="s">
        <v>34</v>
      </c>
      <c r="B26" t="s">
        <v>34</v>
      </c>
      <c r="C26" t="s">
        <v>2058</v>
      </c>
    </row>
    <row r="27" spans="1:6" x14ac:dyDescent="0.25">
      <c r="A27" t="s">
        <v>35</v>
      </c>
      <c r="B27" t="s">
        <v>15</v>
      </c>
      <c r="C27" t="s">
        <v>2061</v>
      </c>
    </row>
    <row r="28" spans="1:6" x14ac:dyDescent="0.25">
      <c r="A28" t="s">
        <v>36</v>
      </c>
      <c r="B28" t="s">
        <v>2129</v>
      </c>
      <c r="C28" t="s">
        <v>2112</v>
      </c>
      <c r="D28" t="s">
        <v>2130</v>
      </c>
    </row>
    <row r="29" spans="1:6" x14ac:dyDescent="0.25">
      <c r="A29" t="s">
        <v>37</v>
      </c>
      <c r="B29" t="s">
        <v>37</v>
      </c>
      <c r="C29" t="s">
        <v>2078</v>
      </c>
    </row>
    <row r="30" spans="1:6" x14ac:dyDescent="0.25">
      <c r="A30" t="s">
        <v>38</v>
      </c>
      <c r="B30" t="s">
        <v>2129</v>
      </c>
      <c r="C30" t="s">
        <v>2111</v>
      </c>
      <c r="D30" t="s">
        <v>2130</v>
      </c>
    </row>
    <row r="31" spans="1:6" x14ac:dyDescent="0.25">
      <c r="A31" t="s">
        <v>39</v>
      </c>
      <c r="B31" t="s">
        <v>39</v>
      </c>
      <c r="C31" t="s">
        <v>2066</v>
      </c>
    </row>
    <row r="32" spans="1:6" x14ac:dyDescent="0.25">
      <c r="A32" t="s">
        <v>2096</v>
      </c>
      <c r="B32" t="s">
        <v>74</v>
      </c>
      <c r="C32" t="s">
        <v>2106</v>
      </c>
      <c r="D32" t="s">
        <v>2142</v>
      </c>
    </row>
    <row r="33" spans="1:4" x14ac:dyDescent="0.25">
      <c r="A33" t="s">
        <v>40</v>
      </c>
      <c r="B33" t="s">
        <v>40</v>
      </c>
      <c r="C33" t="s">
        <v>2063</v>
      </c>
      <c r="D33" t="s">
        <v>2143</v>
      </c>
    </row>
    <row r="34" spans="1:4" x14ac:dyDescent="0.25">
      <c r="A34" t="s">
        <v>41</v>
      </c>
      <c r="B34" t="s">
        <v>41</v>
      </c>
      <c r="C34" t="s">
        <v>2074</v>
      </c>
    </row>
    <row r="35" spans="1:4" x14ac:dyDescent="0.25">
      <c r="A35" t="s">
        <v>42</v>
      </c>
      <c r="B35" t="s">
        <v>42</v>
      </c>
      <c r="C35" t="s">
        <v>2107</v>
      </c>
    </row>
    <row r="36" spans="1:4" x14ac:dyDescent="0.25">
      <c r="A36" t="s">
        <v>43</v>
      </c>
      <c r="B36" t="s">
        <v>2144</v>
      </c>
      <c r="C36" t="s">
        <v>2079</v>
      </c>
      <c r="D36" t="s">
        <v>2145</v>
      </c>
    </row>
    <row r="37" spans="1:4" x14ac:dyDescent="0.25">
      <c r="A37" t="s">
        <v>44</v>
      </c>
      <c r="B37" t="s">
        <v>2146</v>
      </c>
      <c r="C37" t="s">
        <v>2085</v>
      </c>
    </row>
    <row r="38" spans="1:4" x14ac:dyDescent="0.25">
      <c r="A38" t="s">
        <v>45</v>
      </c>
      <c r="B38" t="s">
        <v>2133</v>
      </c>
      <c r="C38" t="s">
        <v>2090</v>
      </c>
    </row>
    <row r="39" spans="1:4" x14ac:dyDescent="0.25">
      <c r="A39" t="s">
        <v>75</v>
      </c>
      <c r="B39" t="s">
        <v>2094</v>
      </c>
      <c r="C39" t="s">
        <v>2068</v>
      </c>
    </row>
    <row r="40" spans="1:4" x14ac:dyDescent="0.25">
      <c r="A40" t="s">
        <v>46</v>
      </c>
      <c r="B40" t="s">
        <v>46</v>
      </c>
      <c r="C40" t="s">
        <v>2089</v>
      </c>
      <c r="D40" t="s">
        <v>2142</v>
      </c>
    </row>
    <row r="41" spans="1:4" x14ac:dyDescent="0.25">
      <c r="A41" t="s">
        <v>2120</v>
      </c>
      <c r="B41" t="s">
        <v>2147</v>
      </c>
      <c r="C41" t="s">
        <v>2121</v>
      </c>
      <c r="D41" t="s">
        <v>2148</v>
      </c>
    </row>
    <row r="42" spans="1:4" x14ac:dyDescent="0.25">
      <c r="A42" t="s">
        <v>47</v>
      </c>
      <c r="B42" t="s">
        <v>2149</v>
      </c>
      <c r="C42" t="s">
        <v>2099</v>
      </c>
    </row>
    <row r="43" spans="1:4" x14ac:dyDescent="0.25">
      <c r="A43" t="s">
        <v>48</v>
      </c>
      <c r="B43" t="s">
        <v>48</v>
      </c>
      <c r="C43" t="s">
        <v>2062</v>
      </c>
    </row>
    <row r="44" spans="1:4" x14ac:dyDescent="0.25">
      <c r="A44" t="s">
        <v>76</v>
      </c>
      <c r="B44" t="s">
        <v>76</v>
      </c>
      <c r="C44" t="s">
        <v>2110</v>
      </c>
    </row>
    <row r="45" spans="1:4" x14ac:dyDescent="0.25">
      <c r="A45" t="s">
        <v>49</v>
      </c>
      <c r="B45" t="s">
        <v>49</v>
      </c>
      <c r="C45" t="s">
        <v>2075</v>
      </c>
    </row>
    <row r="46" spans="1:4" x14ac:dyDescent="0.25">
      <c r="A46" t="s">
        <v>50</v>
      </c>
      <c r="B46" t="s">
        <v>50</v>
      </c>
      <c r="C46" t="s">
        <v>2073</v>
      </c>
    </row>
    <row r="47" spans="1:4" x14ac:dyDescent="0.25">
      <c r="A47" t="s">
        <v>2094</v>
      </c>
      <c r="B47" t="s">
        <v>2094</v>
      </c>
      <c r="C47" t="s">
        <v>2069</v>
      </c>
    </row>
    <row r="48" spans="1:4" x14ac:dyDescent="0.25">
      <c r="A48" t="s">
        <v>51</v>
      </c>
      <c r="B48" t="s">
        <v>51</v>
      </c>
      <c r="C48" t="s">
        <v>2115</v>
      </c>
      <c r="D48" t="s">
        <v>2142</v>
      </c>
    </row>
    <row r="49" spans="1:4" x14ac:dyDescent="0.25">
      <c r="A49" t="s">
        <v>52</v>
      </c>
      <c r="B49" t="s">
        <v>2133</v>
      </c>
      <c r="C49" t="s">
        <v>2065</v>
      </c>
    </row>
    <row r="50" spans="1:4" x14ac:dyDescent="0.25">
      <c r="A50" t="s">
        <v>53</v>
      </c>
      <c r="B50" t="s">
        <v>53</v>
      </c>
      <c r="C50" t="s">
        <v>2150</v>
      </c>
    </row>
    <row r="51" spans="1:4" x14ac:dyDescent="0.25">
      <c r="A51" t="s">
        <v>54</v>
      </c>
      <c r="B51" t="s">
        <v>54</v>
      </c>
      <c r="C51" t="s">
        <v>2119</v>
      </c>
    </row>
    <row r="52" spans="1:4" x14ac:dyDescent="0.25">
      <c r="A52" t="s">
        <v>56</v>
      </c>
      <c r="B52" t="s">
        <v>2151</v>
      </c>
      <c r="C52" t="s">
        <v>2092</v>
      </c>
      <c r="D52" t="s">
        <v>2152</v>
      </c>
    </row>
    <row r="53" spans="1:4" x14ac:dyDescent="0.25">
      <c r="A53" t="s">
        <v>2153</v>
      </c>
      <c r="B53" t="s">
        <v>2151</v>
      </c>
      <c r="C53" t="s">
        <v>2100</v>
      </c>
      <c r="D53" t="s">
        <v>2152</v>
      </c>
    </row>
    <row r="54" spans="1:4" x14ac:dyDescent="0.25">
      <c r="A54" t="s">
        <v>57</v>
      </c>
      <c r="B54" t="s">
        <v>2154</v>
      </c>
      <c r="C54" t="s">
        <v>2071</v>
      </c>
      <c r="D54" t="s">
        <v>2152</v>
      </c>
    </row>
    <row r="55" spans="1:4" x14ac:dyDescent="0.25">
      <c r="A55" t="s">
        <v>58</v>
      </c>
      <c r="B55" t="s">
        <v>2155</v>
      </c>
      <c r="C55" t="s">
        <v>2084</v>
      </c>
      <c r="D55" t="s">
        <v>2152</v>
      </c>
    </row>
    <row r="56" spans="1:4" x14ac:dyDescent="0.25">
      <c r="A56" t="s">
        <v>59</v>
      </c>
      <c r="B56" t="s">
        <v>2156</v>
      </c>
      <c r="C56" t="s">
        <v>2114</v>
      </c>
      <c r="D56" t="s">
        <v>2152</v>
      </c>
    </row>
    <row r="57" spans="1:4" x14ac:dyDescent="0.25">
      <c r="A57" t="s">
        <v>60</v>
      </c>
      <c r="B57" t="s">
        <v>2157</v>
      </c>
      <c r="C57" t="s">
        <v>2101</v>
      </c>
      <c r="D57" t="s">
        <v>2152</v>
      </c>
    </row>
    <row r="58" spans="1:4" x14ac:dyDescent="0.25">
      <c r="A58" t="s">
        <v>61</v>
      </c>
      <c r="B58" t="s">
        <v>2158</v>
      </c>
      <c r="C58" t="s">
        <v>2093</v>
      </c>
      <c r="D58" t="s">
        <v>2152</v>
      </c>
    </row>
    <row r="59" spans="1:4" x14ac:dyDescent="0.25">
      <c r="A59" t="s">
        <v>62</v>
      </c>
      <c r="B59" t="s">
        <v>2156</v>
      </c>
      <c r="C59" t="s">
        <v>2055</v>
      </c>
      <c r="D59" t="s">
        <v>2152</v>
      </c>
    </row>
    <row r="60" spans="1:4" x14ac:dyDescent="0.25">
      <c r="A60" t="s">
        <v>63</v>
      </c>
      <c r="B60" t="s">
        <v>2156</v>
      </c>
      <c r="C60" t="s">
        <v>2060</v>
      </c>
      <c r="D60" t="s">
        <v>2152</v>
      </c>
    </row>
    <row r="61" spans="1:4" x14ac:dyDescent="0.25">
      <c r="A61" t="s">
        <v>64</v>
      </c>
      <c r="B61" t="s">
        <v>2159</v>
      </c>
      <c r="C61" t="s">
        <v>2095</v>
      </c>
      <c r="D61" t="s">
        <v>2152</v>
      </c>
    </row>
    <row r="62" spans="1:4" x14ac:dyDescent="0.25">
      <c r="A62" t="s">
        <v>65</v>
      </c>
      <c r="B62" t="s">
        <v>2160</v>
      </c>
      <c r="C62" t="s">
        <v>2113</v>
      </c>
      <c r="D62" t="s">
        <v>2161</v>
      </c>
    </row>
    <row r="63" spans="1:4" x14ac:dyDescent="0.25">
      <c r="A63" t="s">
        <v>66</v>
      </c>
      <c r="B63" t="s">
        <v>2133</v>
      </c>
      <c r="C63" t="s">
        <v>2083</v>
      </c>
    </row>
    <row r="64" spans="1:4" x14ac:dyDescent="0.25">
      <c r="A64" t="s">
        <v>67</v>
      </c>
      <c r="B64" t="s">
        <v>2155</v>
      </c>
      <c r="C64" t="s">
        <v>2076</v>
      </c>
    </row>
    <row r="65" spans="1:4" x14ac:dyDescent="0.25">
      <c r="A65" t="s">
        <v>68</v>
      </c>
      <c r="B65" t="s">
        <v>2159</v>
      </c>
      <c r="C65" t="s">
        <v>2108</v>
      </c>
    </row>
    <row r="66" spans="1:4" x14ac:dyDescent="0.25">
      <c r="A66" t="s">
        <v>69</v>
      </c>
      <c r="B66" t="s">
        <v>2133</v>
      </c>
      <c r="C66" t="s">
        <v>2116</v>
      </c>
    </row>
    <row r="67" spans="1:4" x14ac:dyDescent="0.25">
      <c r="A67" t="s">
        <v>70</v>
      </c>
      <c r="B67" t="s">
        <v>70</v>
      </c>
      <c r="C67" t="s">
        <v>2088</v>
      </c>
      <c r="D67" t="s">
        <v>2142</v>
      </c>
    </row>
    <row r="68" spans="1:4" x14ac:dyDescent="0.25">
      <c r="A68" t="s">
        <v>2086</v>
      </c>
      <c r="B68" t="s">
        <v>2086</v>
      </c>
    </row>
  </sheetData>
  <autoFilter ref="A1:D67" xr:uid="{0B7C4459-71E2-4FFB-9C86-BAEB232B9580}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E7D10-707D-4BB0-AE0C-F4154BDE84BF}">
  <sheetPr>
    <pageSetUpPr fitToPage="1"/>
  </sheetPr>
  <dimension ref="A1:CG42"/>
  <sheetViews>
    <sheetView view="pageBreakPreview" zoomScale="70" zoomScaleNormal="70" zoomScaleSheetLayoutView="70" workbookViewId="0">
      <pane xSplit="3" ySplit="4" topLeftCell="AR5" activePane="bottomRight" state="frozen"/>
      <selection pane="topRight" activeCell="D1" sqref="D1"/>
      <selection pane="bottomLeft" activeCell="A9" sqref="A9"/>
      <selection pane="bottomRight" activeCell="Y37" sqref="Y37"/>
    </sheetView>
  </sheetViews>
  <sheetFormatPr defaultRowHeight="15" x14ac:dyDescent="0.25"/>
  <cols>
    <col min="1" max="1" width="9.7109375" customWidth="1"/>
    <col min="2" max="2" width="9.7109375" style="5" customWidth="1"/>
    <col min="3" max="3" width="8.7109375" customWidth="1"/>
    <col min="4" max="4" width="9.28515625" style="125" customWidth="1"/>
    <col min="5" max="5" width="10.7109375" customWidth="1"/>
    <col min="6" max="6" width="16.140625" customWidth="1"/>
    <col min="7" max="7" width="10.28515625" style="5" bestFit="1" customWidth="1"/>
    <col min="8" max="8" width="10.7109375" style="6" bestFit="1" customWidth="1"/>
    <col min="9" max="9" width="4.28515625" style="5" bestFit="1" customWidth="1"/>
    <col min="10" max="10" width="10.28515625" style="5" bestFit="1" customWidth="1"/>
    <col min="11" max="11" width="10.7109375" style="6" bestFit="1" customWidth="1"/>
    <col min="12" max="12" width="4.28515625" style="5" bestFit="1" customWidth="1"/>
    <col min="13" max="13" width="10.28515625" style="5" bestFit="1" customWidth="1"/>
    <col min="14" max="14" width="10.7109375" style="6" bestFit="1" customWidth="1"/>
    <col min="15" max="15" width="4.28515625" style="5" bestFit="1" customWidth="1"/>
    <col min="16" max="16" width="10.28515625" style="5" bestFit="1" customWidth="1"/>
    <col min="17" max="17" width="10.7109375" style="6" bestFit="1" customWidth="1"/>
    <col min="18" max="18" width="4.28515625" style="5" bestFit="1" customWidth="1"/>
    <col min="19" max="19" width="10.28515625" style="5" bestFit="1" customWidth="1"/>
    <col min="20" max="20" width="10.7109375" style="6" bestFit="1" customWidth="1"/>
    <col min="21" max="21" width="4.28515625" style="5" bestFit="1" customWidth="1"/>
    <col min="22" max="22" width="10.28515625" style="5" bestFit="1" customWidth="1"/>
    <col min="23" max="23" width="10.7109375" style="6" bestFit="1" customWidth="1"/>
    <col min="24" max="24" width="4.28515625" style="5" bestFit="1" customWidth="1"/>
    <col min="25" max="25" width="10.28515625" style="5" bestFit="1" customWidth="1"/>
    <col min="26" max="26" width="10.7109375" style="6" bestFit="1" customWidth="1"/>
    <col min="27" max="27" width="4.28515625" style="5" bestFit="1" customWidth="1"/>
    <col min="28" max="28" width="10.28515625" style="5" bestFit="1" customWidth="1"/>
    <col min="29" max="29" width="10.7109375" style="6" bestFit="1" customWidth="1"/>
    <col min="30" max="30" width="4.28515625" style="5" bestFit="1" customWidth="1"/>
    <col min="31" max="31" width="10.28515625" style="5" bestFit="1" customWidth="1"/>
    <col min="32" max="32" width="10.7109375" style="6" bestFit="1" customWidth="1"/>
    <col min="33" max="33" width="4.28515625" style="5" bestFit="1" customWidth="1"/>
    <col min="34" max="34" width="10.28515625" style="5" bestFit="1" customWidth="1"/>
    <col min="35" max="35" width="10.7109375" style="6" bestFit="1" customWidth="1"/>
    <col min="36" max="36" width="4.28515625" style="5" bestFit="1" customWidth="1"/>
    <col min="37" max="37" width="10.28515625" style="5" bestFit="1" customWidth="1"/>
    <col min="38" max="38" width="10.7109375" style="6" bestFit="1" customWidth="1"/>
    <col min="39" max="39" width="4.28515625" style="5" bestFit="1" customWidth="1"/>
    <col min="40" max="40" width="10.28515625" style="5" bestFit="1" customWidth="1"/>
    <col min="41" max="41" width="10.7109375" style="6" bestFit="1" customWidth="1"/>
    <col min="42" max="42" width="5.7109375" style="5" bestFit="1" customWidth="1"/>
    <col min="43" max="43" width="10.7109375" style="5" customWidth="1"/>
    <col min="44" max="44" width="10.7109375" style="6" bestFit="1" customWidth="1"/>
    <col min="45" max="45" width="6.42578125" style="5" customWidth="1"/>
    <col min="46" max="46" width="10.28515625" style="5" customWidth="1"/>
    <col min="47" max="47" width="8" style="6" customWidth="1"/>
    <col min="48" max="48" width="8.7109375" style="5" customWidth="1"/>
    <col min="49" max="49" width="10.28515625" style="5" customWidth="1"/>
    <col min="50" max="50" width="8" style="6" customWidth="1"/>
    <col min="51" max="51" width="7.42578125" style="6" customWidth="1"/>
    <col min="52" max="52" width="10.7109375" style="6" customWidth="1"/>
    <col min="53" max="53" width="9.7109375" style="6" customWidth="1"/>
    <col min="54" max="54" width="9" style="6" customWidth="1"/>
    <col min="55" max="55" width="9.7109375" style="6" customWidth="1"/>
    <col min="56" max="56" width="8.28515625" style="6" customWidth="1"/>
    <col min="57" max="57" width="10.28515625" style="6" customWidth="1"/>
    <col min="58" max="58" width="10.7109375" style="6" customWidth="1"/>
    <col min="59" max="59" width="8.28515625" style="6" customWidth="1"/>
    <col min="60" max="60" width="9.7109375" style="6" customWidth="1"/>
    <col min="61" max="61" width="15.7109375" style="6" bestFit="1" customWidth="1"/>
    <col min="62" max="62" width="14" style="6" customWidth="1"/>
    <col min="63" max="63" width="9.42578125" style="6" customWidth="1"/>
    <col min="64" max="64" width="14.7109375" style="6" customWidth="1"/>
    <col min="65" max="65" width="10.7109375" style="6" customWidth="1"/>
    <col min="66" max="66" width="11.42578125" style="6" bestFit="1" customWidth="1"/>
    <col min="67" max="67" width="10.85546875" style="6" bestFit="1" customWidth="1"/>
    <col min="68" max="68" width="11" style="6" bestFit="1" customWidth="1"/>
    <col min="69" max="69" width="12" style="7" bestFit="1" customWidth="1"/>
    <col min="70" max="70" width="10.7109375" style="6" customWidth="1"/>
    <col min="71" max="71" width="13.42578125" style="7" bestFit="1" customWidth="1"/>
    <col min="72" max="72" width="7.7109375" style="6" customWidth="1"/>
    <col min="73" max="73" width="15.7109375" style="6" bestFit="1" customWidth="1"/>
    <col min="74" max="74" width="7.7109375" style="6" customWidth="1"/>
    <col min="75" max="75" width="10.7109375" style="6" customWidth="1"/>
    <col min="76" max="76" width="12.5703125" style="6" customWidth="1"/>
    <col min="77" max="77" width="13.7109375" style="6" customWidth="1"/>
    <col min="78" max="78" width="16.42578125" style="6" customWidth="1"/>
    <col min="79" max="79" width="26.5703125" style="5" customWidth="1"/>
    <col min="80" max="83" width="27.28515625" style="5" customWidth="1"/>
    <col min="84" max="84" width="18.7109375" style="5" customWidth="1"/>
  </cols>
  <sheetData>
    <row r="1" spans="1:84" ht="15" customHeight="1" thickBot="1" x14ac:dyDescent="0.3">
      <c r="A1" s="144"/>
      <c r="B1" s="144"/>
      <c r="C1" s="145"/>
      <c r="D1" s="145"/>
      <c r="E1" s="8"/>
      <c r="F1" s="9"/>
      <c r="BO1" s="10">
        <v>0.47</v>
      </c>
      <c r="BQ1" s="10">
        <v>0.08</v>
      </c>
      <c r="BS1" s="10">
        <v>0.05</v>
      </c>
      <c r="BU1" s="10">
        <v>0.71</v>
      </c>
      <c r="BX1" s="10">
        <v>0.6</v>
      </c>
      <c r="BY1" s="10">
        <v>0.4</v>
      </c>
      <c r="BZ1" s="11">
        <v>0.9</v>
      </c>
      <c r="CA1" s="12">
        <v>1.3</v>
      </c>
      <c r="CB1" s="12">
        <v>1.2</v>
      </c>
      <c r="CC1" s="13">
        <v>1.17</v>
      </c>
      <c r="CD1" s="7"/>
      <c r="CE1" s="7"/>
    </row>
    <row r="2" spans="1:84" s="14" customFormat="1" ht="15" customHeight="1" thickBot="1" x14ac:dyDescent="0.3">
      <c r="A2" s="146"/>
      <c r="B2" s="146"/>
      <c r="C2" s="146"/>
      <c r="D2" s="146"/>
      <c r="E2" s="146"/>
      <c r="F2" s="146"/>
      <c r="G2" s="147" t="s">
        <v>2168</v>
      </c>
      <c r="H2" s="148"/>
      <c r="I2" s="147" t="s">
        <v>2169</v>
      </c>
      <c r="J2" s="143"/>
      <c r="K2" s="148"/>
      <c r="L2" s="138" t="s">
        <v>2170</v>
      </c>
      <c r="M2" s="143"/>
      <c r="N2" s="139"/>
      <c r="O2" s="138" t="s">
        <v>2171</v>
      </c>
      <c r="P2" s="143"/>
      <c r="Q2" s="139"/>
      <c r="R2" s="138" t="s">
        <v>2172</v>
      </c>
      <c r="S2" s="143"/>
      <c r="T2" s="139"/>
      <c r="U2" s="138" t="s">
        <v>2173</v>
      </c>
      <c r="V2" s="143"/>
      <c r="W2" s="139"/>
      <c r="X2" s="138" t="s">
        <v>2174</v>
      </c>
      <c r="Y2" s="143"/>
      <c r="Z2" s="139"/>
      <c r="AA2" s="138" t="s">
        <v>2175</v>
      </c>
      <c r="AB2" s="143"/>
      <c r="AC2" s="139"/>
      <c r="AD2" s="138" t="s">
        <v>2176</v>
      </c>
      <c r="AE2" s="143"/>
      <c r="AF2" s="139"/>
      <c r="AG2" s="138" t="s">
        <v>2177</v>
      </c>
      <c r="AH2" s="143"/>
      <c r="AI2" s="139"/>
      <c r="AJ2" s="138" t="s">
        <v>2178</v>
      </c>
      <c r="AK2" s="143"/>
      <c r="AL2" s="139"/>
      <c r="AM2" s="138" t="s">
        <v>2179</v>
      </c>
      <c r="AN2" s="143"/>
      <c r="AO2" s="139"/>
      <c r="AP2" s="138" t="s">
        <v>2180</v>
      </c>
      <c r="AQ2" s="143"/>
      <c r="AR2" s="139"/>
      <c r="AS2" s="138" t="s">
        <v>2138</v>
      </c>
      <c r="AT2" s="143"/>
      <c r="AU2" s="139"/>
      <c r="AV2" s="138" t="s">
        <v>2181</v>
      </c>
      <c r="AW2" s="143"/>
      <c r="AX2" s="139"/>
      <c r="AY2" s="138" t="s">
        <v>2182</v>
      </c>
      <c r="AZ2" s="143"/>
      <c r="BA2" s="143"/>
      <c r="BB2" s="139"/>
      <c r="BC2" s="138" t="s">
        <v>2183</v>
      </c>
      <c r="BD2" s="143"/>
      <c r="BE2" s="139"/>
      <c r="BF2" s="143" t="s">
        <v>2184</v>
      </c>
      <c r="BG2" s="143"/>
      <c r="BH2" s="139"/>
      <c r="BI2" s="16" t="s">
        <v>2185</v>
      </c>
      <c r="BJ2" s="138" t="s">
        <v>2186</v>
      </c>
      <c r="BK2" s="139"/>
      <c r="BL2" s="138" t="s">
        <v>2187</v>
      </c>
      <c r="BM2" s="139"/>
      <c r="BN2" s="15"/>
      <c r="BO2" s="138" t="s">
        <v>2188</v>
      </c>
      <c r="BP2" s="139"/>
      <c r="BQ2" s="138" t="s">
        <v>2189</v>
      </c>
      <c r="BR2" s="139"/>
      <c r="BS2" s="138" t="s">
        <v>2190</v>
      </c>
      <c r="BT2" s="139"/>
      <c r="BU2" s="138" t="s">
        <v>2191</v>
      </c>
      <c r="BV2" s="139"/>
      <c r="BW2" s="15"/>
      <c r="BX2" s="15"/>
      <c r="BY2" s="15"/>
      <c r="BZ2" s="15"/>
      <c r="CA2" s="17" t="s">
        <v>2192</v>
      </c>
      <c r="CB2" s="17" t="s">
        <v>2165</v>
      </c>
      <c r="CC2" s="17" t="s">
        <v>2193</v>
      </c>
      <c r="CD2" s="18"/>
      <c r="CE2" s="18"/>
      <c r="CF2" s="18"/>
    </row>
    <row r="3" spans="1:84" ht="41.25" customHeight="1" thickBot="1" x14ac:dyDescent="0.3">
      <c r="A3" s="5"/>
      <c r="B3" s="19"/>
      <c r="C3" s="19"/>
      <c r="D3" s="140" t="s">
        <v>2194</v>
      </c>
      <c r="E3" s="141"/>
      <c r="F3" s="142"/>
      <c r="G3" s="134" t="s">
        <v>2195</v>
      </c>
      <c r="H3" s="134"/>
      <c r="I3" s="134" t="s">
        <v>2195</v>
      </c>
      <c r="J3" s="134"/>
      <c r="K3" s="134"/>
      <c r="L3" s="135" t="s">
        <v>2195</v>
      </c>
      <c r="M3" s="136"/>
      <c r="N3" s="137"/>
      <c r="O3" s="135" t="s">
        <v>2195</v>
      </c>
      <c r="P3" s="136"/>
      <c r="Q3" s="137"/>
      <c r="R3" s="135" t="s">
        <v>2195</v>
      </c>
      <c r="S3" s="136"/>
      <c r="T3" s="137"/>
      <c r="U3" s="135" t="s">
        <v>2195</v>
      </c>
      <c r="V3" s="136"/>
      <c r="W3" s="137"/>
      <c r="X3" s="135" t="s">
        <v>2195</v>
      </c>
      <c r="Y3" s="136"/>
      <c r="Z3" s="137"/>
      <c r="AA3" s="135" t="s">
        <v>2195</v>
      </c>
      <c r="AB3" s="136"/>
      <c r="AC3" s="137"/>
      <c r="AD3" s="135" t="s">
        <v>2195</v>
      </c>
      <c r="AE3" s="136"/>
      <c r="AF3" s="137"/>
      <c r="AG3" s="135" t="s">
        <v>2195</v>
      </c>
      <c r="AH3" s="136"/>
      <c r="AI3" s="137"/>
      <c r="AJ3" s="135" t="s">
        <v>2195</v>
      </c>
      <c r="AK3" s="136"/>
      <c r="AL3" s="137"/>
      <c r="AM3" s="135" t="s">
        <v>2195</v>
      </c>
      <c r="AN3" s="136"/>
      <c r="AO3" s="137"/>
      <c r="AP3" s="135" t="s">
        <v>2195</v>
      </c>
      <c r="AQ3" s="136"/>
      <c r="AR3" s="137"/>
      <c r="AS3" s="135" t="s">
        <v>2195</v>
      </c>
      <c r="AT3" s="136"/>
      <c r="AU3" s="137"/>
      <c r="AV3" s="135" t="s">
        <v>2195</v>
      </c>
      <c r="AW3" s="136"/>
      <c r="AX3" s="137"/>
      <c r="AY3" s="133" t="s">
        <v>2195</v>
      </c>
      <c r="AZ3" s="133"/>
      <c r="BA3" s="133"/>
      <c r="BB3" s="133"/>
      <c r="BC3" s="133" t="s">
        <v>2195</v>
      </c>
      <c r="BD3" s="133"/>
      <c r="BE3" s="133"/>
      <c r="BF3" s="133" t="s">
        <v>2195</v>
      </c>
      <c r="BG3" s="133"/>
      <c r="BH3" s="133"/>
      <c r="BI3" s="22"/>
      <c r="BJ3" s="134" t="s">
        <v>2195</v>
      </c>
      <c r="BK3" s="134"/>
      <c r="BL3" s="133" t="s">
        <v>2196</v>
      </c>
      <c r="BM3" s="133"/>
      <c r="BN3" s="21"/>
      <c r="BO3" s="133" t="s">
        <v>2197</v>
      </c>
      <c r="BP3" s="133"/>
      <c r="BQ3" s="133" t="s">
        <v>2198</v>
      </c>
      <c r="BR3" s="133"/>
      <c r="BS3" s="133" t="s">
        <v>2199</v>
      </c>
      <c r="BT3" s="133"/>
      <c r="BU3" s="133" t="s">
        <v>2200</v>
      </c>
      <c r="BV3" s="133"/>
      <c r="BX3" s="21" t="s">
        <v>2201</v>
      </c>
      <c r="BY3" s="23" t="s">
        <v>2202</v>
      </c>
      <c r="BZ3" s="21" t="s">
        <v>2203</v>
      </c>
      <c r="CA3" s="20" t="s">
        <v>2204</v>
      </c>
      <c r="CB3" s="20" t="s">
        <v>2199</v>
      </c>
      <c r="CC3" s="20" t="s">
        <v>2199</v>
      </c>
      <c r="CD3" s="24"/>
      <c r="CE3" s="24"/>
    </row>
    <row r="4" spans="1:84" s="38" customFormat="1" ht="78" customHeight="1" thickBot="1" x14ac:dyDescent="0.3">
      <c r="A4" s="25" t="s">
        <v>2205</v>
      </c>
      <c r="B4" s="26" t="s">
        <v>2206</v>
      </c>
      <c r="C4" s="26" t="s">
        <v>2033</v>
      </c>
      <c r="D4" s="27" t="s">
        <v>2207</v>
      </c>
      <c r="E4" s="26" t="s">
        <v>2208</v>
      </c>
      <c r="F4" s="28" t="s">
        <v>2209</v>
      </c>
      <c r="G4" s="29" t="s">
        <v>2210</v>
      </c>
      <c r="H4" s="30" t="s">
        <v>2211</v>
      </c>
      <c r="I4" s="31" t="s">
        <v>2212</v>
      </c>
      <c r="J4" s="29" t="s">
        <v>2210</v>
      </c>
      <c r="K4" s="30" t="s">
        <v>2211</v>
      </c>
      <c r="L4" s="31" t="s">
        <v>2212</v>
      </c>
      <c r="M4" s="31" t="s">
        <v>2210</v>
      </c>
      <c r="N4" s="30" t="s">
        <v>2211</v>
      </c>
      <c r="O4" s="31" t="s">
        <v>2212</v>
      </c>
      <c r="P4" s="29" t="s">
        <v>2210</v>
      </c>
      <c r="Q4" s="30" t="s">
        <v>2211</v>
      </c>
      <c r="R4" s="31" t="s">
        <v>2212</v>
      </c>
      <c r="S4" s="29" t="s">
        <v>2210</v>
      </c>
      <c r="T4" s="30" t="s">
        <v>2211</v>
      </c>
      <c r="U4" s="31" t="s">
        <v>2212</v>
      </c>
      <c r="V4" s="29" t="s">
        <v>2210</v>
      </c>
      <c r="W4" s="30" t="s">
        <v>2211</v>
      </c>
      <c r="X4" s="31" t="s">
        <v>2212</v>
      </c>
      <c r="Y4" s="29" t="s">
        <v>2210</v>
      </c>
      <c r="Z4" s="30" t="s">
        <v>2211</v>
      </c>
      <c r="AA4" s="31" t="s">
        <v>2212</v>
      </c>
      <c r="AB4" s="29" t="s">
        <v>2210</v>
      </c>
      <c r="AC4" s="30" t="s">
        <v>2211</v>
      </c>
      <c r="AD4" s="31" t="s">
        <v>2212</v>
      </c>
      <c r="AE4" s="29" t="s">
        <v>2210</v>
      </c>
      <c r="AF4" s="30" t="s">
        <v>2211</v>
      </c>
      <c r="AG4" s="31" t="s">
        <v>2212</v>
      </c>
      <c r="AH4" s="29" t="s">
        <v>2210</v>
      </c>
      <c r="AI4" s="30" t="s">
        <v>2211</v>
      </c>
      <c r="AJ4" s="31" t="s">
        <v>2212</v>
      </c>
      <c r="AK4" s="31" t="s">
        <v>2210</v>
      </c>
      <c r="AL4" s="30" t="s">
        <v>2211</v>
      </c>
      <c r="AM4" s="31" t="s">
        <v>2212</v>
      </c>
      <c r="AN4" s="29" t="s">
        <v>2210</v>
      </c>
      <c r="AO4" s="30" t="s">
        <v>2211</v>
      </c>
      <c r="AP4" s="31" t="s">
        <v>2212</v>
      </c>
      <c r="AQ4" s="29" t="s">
        <v>2210</v>
      </c>
      <c r="AR4" s="30" t="s">
        <v>2211</v>
      </c>
      <c r="AS4" s="31" t="s">
        <v>2212</v>
      </c>
      <c r="AT4" s="29" t="s">
        <v>2210</v>
      </c>
      <c r="AU4" s="30" t="s">
        <v>2211</v>
      </c>
      <c r="AV4" s="31" t="s">
        <v>2212</v>
      </c>
      <c r="AW4" s="29" t="s">
        <v>2210</v>
      </c>
      <c r="AX4" s="30" t="s">
        <v>2211</v>
      </c>
      <c r="AY4" s="30" t="s">
        <v>2213</v>
      </c>
      <c r="AZ4" s="29" t="s">
        <v>2214</v>
      </c>
      <c r="BA4" s="32" t="s">
        <v>2215</v>
      </c>
      <c r="BB4" s="30" t="s">
        <v>2211</v>
      </c>
      <c r="BC4" s="30" t="s">
        <v>2212</v>
      </c>
      <c r="BD4" s="29" t="s">
        <v>2210</v>
      </c>
      <c r="BE4" s="30" t="s">
        <v>2211</v>
      </c>
      <c r="BF4" s="30" t="s">
        <v>2212</v>
      </c>
      <c r="BG4" s="29" t="s">
        <v>2210</v>
      </c>
      <c r="BH4" s="30" t="s">
        <v>2211</v>
      </c>
      <c r="BI4" s="33"/>
      <c r="BJ4" s="29" t="s">
        <v>2216</v>
      </c>
      <c r="BK4" s="30" t="s">
        <v>2211</v>
      </c>
      <c r="BL4" s="29" t="s">
        <v>2216</v>
      </c>
      <c r="BM4" s="30" t="s">
        <v>2211</v>
      </c>
      <c r="BN4" s="30" t="s">
        <v>2217</v>
      </c>
      <c r="BO4" s="29" t="s">
        <v>2218</v>
      </c>
      <c r="BP4" s="30" t="s">
        <v>2211</v>
      </c>
      <c r="BQ4" s="34" t="s">
        <v>2219</v>
      </c>
      <c r="BR4" s="30" t="s">
        <v>2211</v>
      </c>
      <c r="BS4" s="34" t="s">
        <v>2220</v>
      </c>
      <c r="BT4" s="30" t="s">
        <v>2211</v>
      </c>
      <c r="BU4" s="34" t="s">
        <v>2221</v>
      </c>
      <c r="BV4" s="30" t="s">
        <v>2222</v>
      </c>
      <c r="BW4" s="30" t="s">
        <v>2223</v>
      </c>
      <c r="BX4" s="30" t="s">
        <v>2224</v>
      </c>
      <c r="BY4" s="30" t="s">
        <v>2225</v>
      </c>
      <c r="BZ4" s="29" t="s">
        <v>2226</v>
      </c>
      <c r="CA4" s="29" t="s">
        <v>2227</v>
      </c>
      <c r="CB4" s="29" t="s">
        <v>2228</v>
      </c>
      <c r="CC4" s="29" t="s">
        <v>2228</v>
      </c>
      <c r="CD4" s="35" t="s">
        <v>2229</v>
      </c>
      <c r="CE4" s="36" t="s">
        <v>2230</v>
      </c>
      <c r="CF4" s="37" t="s">
        <v>2231</v>
      </c>
    </row>
    <row r="5" spans="1:84" ht="15" customHeight="1" x14ac:dyDescent="0.25">
      <c r="A5" s="39"/>
      <c r="B5" s="40" t="s">
        <v>2232</v>
      </c>
      <c r="C5" s="41">
        <v>2.5</v>
      </c>
      <c r="D5" s="42">
        <v>200</v>
      </c>
      <c r="E5" s="43"/>
      <c r="F5" s="44" t="s">
        <v>2233</v>
      </c>
      <c r="G5" s="45">
        <v>0.13</v>
      </c>
      <c r="H5" s="46">
        <f>ROUNDUP(G5*D5,0)</f>
        <v>26</v>
      </c>
      <c r="I5" s="45">
        <v>10</v>
      </c>
      <c r="J5" s="45">
        <v>0.09</v>
      </c>
      <c r="K5" s="46">
        <f>ROUNDUP(I5*J5,0)</f>
        <v>1</v>
      </c>
      <c r="L5" s="45">
        <v>10</v>
      </c>
      <c r="M5" s="45">
        <v>7.0000000000000007E-2</v>
      </c>
      <c r="N5" s="46">
        <f>ROUNDUP(M5*L5,0)</f>
        <v>1</v>
      </c>
      <c r="O5" s="45">
        <v>10</v>
      </c>
      <c r="P5" s="45">
        <v>0.08</v>
      </c>
      <c r="Q5" s="46">
        <f>ROUNDUP(P5*O5,0)</f>
        <v>1</v>
      </c>
      <c r="R5" s="45">
        <v>10</v>
      </c>
      <c r="S5" s="45">
        <v>0.13</v>
      </c>
      <c r="T5" s="46">
        <f>ROUNDUP(S5*R5,0)</f>
        <v>2</v>
      </c>
      <c r="U5" s="45">
        <v>10</v>
      </c>
      <c r="V5" s="45">
        <v>7.0000000000000007E-2</v>
      </c>
      <c r="W5" s="46">
        <f>ROUNDUP(V5*U5,0)</f>
        <v>1</v>
      </c>
      <c r="X5" s="45">
        <v>10</v>
      </c>
      <c r="Y5" s="45">
        <v>0.38</v>
      </c>
      <c r="Z5" s="46">
        <f>ROUNDUP(Y5*X5,0)</f>
        <v>4</v>
      </c>
      <c r="AA5" s="45">
        <v>10</v>
      </c>
      <c r="AB5" s="45">
        <v>0.18</v>
      </c>
      <c r="AC5" s="46">
        <f>ROUNDUP(AB5*AA5,0)</f>
        <v>2</v>
      </c>
      <c r="AD5" s="45">
        <v>10</v>
      </c>
      <c r="AE5" s="45"/>
      <c r="AF5" s="46">
        <f>ROUNDUP(AE5*AD5,0)</f>
        <v>0</v>
      </c>
      <c r="AG5" s="45"/>
      <c r="AH5" s="45"/>
      <c r="AI5" s="46">
        <f>ROUNDUP(AH5*AG5,0)</f>
        <v>0</v>
      </c>
      <c r="AJ5" s="45">
        <v>2</v>
      </c>
      <c r="AK5" s="45">
        <v>0.06</v>
      </c>
      <c r="AL5" s="46">
        <f>ROUNDUP(AK5*AJ5,0)</f>
        <v>1</v>
      </c>
      <c r="AM5" s="45"/>
      <c r="AN5" s="45"/>
      <c r="AO5" s="46">
        <f>ROUNDUP(AN5*AM5,0)</f>
        <v>0</v>
      </c>
      <c r="AP5" s="45"/>
      <c r="AQ5" s="45"/>
      <c r="AR5" s="46">
        <f>ROUNDUP(AQ5*AP5,0)</f>
        <v>0</v>
      </c>
      <c r="AS5" s="45"/>
      <c r="AT5" s="45"/>
      <c r="AU5" s="46">
        <f>ROUNDUP(AT5*AS5,0)</f>
        <v>0</v>
      </c>
      <c r="AV5" s="45">
        <f>AA5</f>
        <v>10</v>
      </c>
      <c r="AW5" s="45">
        <v>0.74</v>
      </c>
      <c r="AX5" s="46">
        <f>ROUNDUP(AW5*AV5,0)</f>
        <v>8</v>
      </c>
      <c r="AY5" s="47">
        <f>BC5+BF5</f>
        <v>132</v>
      </c>
      <c r="AZ5" s="48">
        <v>0.34499999999999997</v>
      </c>
      <c r="BA5" s="49">
        <f t="shared" ref="BA5:BA42" si="0">AZ5*C5</f>
        <v>0.86249999999999993</v>
      </c>
      <c r="BB5" s="46">
        <f>ROUNDUP(BA5*AY5,0)</f>
        <v>114</v>
      </c>
      <c r="BC5" s="46">
        <f>ROUNDUP(D5/20,0)</f>
        <v>10</v>
      </c>
      <c r="BD5" s="50">
        <v>1.71</v>
      </c>
      <c r="BE5" s="46">
        <f>ROUNDUP(BC5*BD5,0)</f>
        <v>18</v>
      </c>
      <c r="BF5" s="46">
        <f>(I5*2)+(L5*2)+(O5*1)+(R5*3)+(U5*2)+(AA5*1)+(AD5*1)+(AG5*2)+(AJ5*1)+(AM5*2)+(AP5*2)+(AS5*2)</f>
        <v>122</v>
      </c>
      <c r="BG5" s="50">
        <v>1.71</v>
      </c>
      <c r="BH5" s="46">
        <f>ROUNDUP(BF5*BG5,0)</f>
        <v>209</v>
      </c>
      <c r="BI5" s="51">
        <f>H5+K5+N5+Q5+T5+W5+Z5+AC5+AF5+AI5+AL5+AO5+AR5+AU5+AX5+BB5+BE5+BH5</f>
        <v>388</v>
      </c>
      <c r="BJ5" s="50"/>
      <c r="BK5" s="46">
        <f>ROUNDUP((BC5+BF5)*BJ5,0)</f>
        <v>0</v>
      </c>
      <c r="BL5" s="50"/>
      <c r="BM5" s="46">
        <f>ROUNDUP((BC5+BF5)*BL5,0)</f>
        <v>0</v>
      </c>
      <c r="BN5" s="46">
        <f>ROUNDUP(H5+K5+N5+Q5+T5+W5+Z5+AC5+AF5+AI5+AL5+AO5+AR5+AU5+AX5+BB5+BE5+BH5+BK5+BM5,0)</f>
        <v>388</v>
      </c>
      <c r="BO5" s="50">
        <f t="shared" ref="BO5:BO39" si="1">$BO$1</f>
        <v>0.47</v>
      </c>
      <c r="BP5" s="46">
        <f>ROUNDUP(BN5*BO5,0)</f>
        <v>183</v>
      </c>
      <c r="BQ5" s="52"/>
      <c r="BR5" s="46">
        <f>ROUNDUP(BN5*BQ5,0)</f>
        <v>0</v>
      </c>
      <c r="BS5" s="52">
        <f t="shared" ref="BS5:BS42" si="2">$BS$1</f>
        <v>0.05</v>
      </c>
      <c r="BT5" s="46">
        <f>ROUNDUP(BN5*BS5,0)</f>
        <v>20</v>
      </c>
      <c r="BU5" s="52"/>
      <c r="BV5" s="46">
        <f>BU5*BN5</f>
        <v>0</v>
      </c>
      <c r="BW5" s="46">
        <f>BN5+BP5+BR5+BT5</f>
        <v>591</v>
      </c>
      <c r="BX5" s="46">
        <f t="shared" ref="BX5:BX42" si="3">BW5*$BX$1</f>
        <v>354.59999999999997</v>
      </c>
      <c r="BY5" s="46">
        <f t="shared" ref="BY5:BY42" si="4">BW5*$BY$1</f>
        <v>236.4</v>
      </c>
      <c r="BZ5" s="47">
        <f t="shared" ref="BZ5:BZ42" si="5">BY5*$BZ$1</f>
        <v>212.76000000000002</v>
      </c>
      <c r="CA5" s="53">
        <f t="shared" ref="CA5:CA42" si="6">$CA$1</f>
        <v>1.3</v>
      </c>
      <c r="CB5" s="53">
        <f t="shared" ref="CB5:CB42" si="7">$CB$1</f>
        <v>1.2</v>
      </c>
      <c r="CC5" s="53">
        <f t="shared" ref="CC5:CC42" si="8">$CC$1</f>
        <v>1.17</v>
      </c>
      <c r="CD5" s="54">
        <f>CC5*CB5*CA5*BX5</f>
        <v>647.21591999999987</v>
      </c>
      <c r="CE5" s="55">
        <f>BZ5</f>
        <v>212.76000000000002</v>
      </c>
      <c r="CF5" s="56">
        <f>BW5*CA5*CB5</f>
        <v>921.96</v>
      </c>
    </row>
    <row r="6" spans="1:84" ht="15" customHeight="1" x14ac:dyDescent="0.25">
      <c r="A6" s="57"/>
      <c r="B6" s="58" t="s">
        <v>2232</v>
      </c>
      <c r="C6" s="59">
        <v>3</v>
      </c>
      <c r="D6" s="60"/>
      <c r="E6" s="61"/>
      <c r="F6" s="62" t="s">
        <v>2233</v>
      </c>
      <c r="G6" s="63">
        <v>0.16</v>
      </c>
      <c r="H6" s="64">
        <f t="shared" ref="H6:H42" si="9">ROUNDUP(G6*D6,0)</f>
        <v>0</v>
      </c>
      <c r="I6" s="63"/>
      <c r="J6" s="63">
        <v>0.12</v>
      </c>
      <c r="K6" s="64">
        <f t="shared" ref="K6:K42" si="10">ROUNDUP(I6*J6,0)</f>
        <v>0</v>
      </c>
      <c r="L6" s="63"/>
      <c r="M6" s="63">
        <v>0.08</v>
      </c>
      <c r="N6" s="64">
        <f t="shared" ref="N6:N42" si="11">ROUNDUP(M6*L6,0)</f>
        <v>0</v>
      </c>
      <c r="O6" s="63"/>
      <c r="P6" s="63">
        <v>0.11</v>
      </c>
      <c r="Q6" s="64">
        <f t="shared" ref="Q6:Q42" si="12">ROUNDUP(P6*O6,0)</f>
        <v>0</v>
      </c>
      <c r="R6" s="63"/>
      <c r="S6" s="63">
        <v>0.17</v>
      </c>
      <c r="T6" s="64">
        <f t="shared" ref="T6:T42" si="13">ROUNDUP(S6*R6,0)</f>
        <v>0</v>
      </c>
      <c r="U6" s="63"/>
      <c r="V6" s="63">
        <v>0.08</v>
      </c>
      <c r="W6" s="64">
        <f t="shared" ref="W6:W42" si="14">ROUNDUP(V6*U6,0)</f>
        <v>0</v>
      </c>
      <c r="X6" s="63"/>
      <c r="Y6" s="63">
        <v>0.41</v>
      </c>
      <c r="Z6" s="64">
        <f t="shared" ref="Z6:Z42" si="15">ROUNDUP(Y6*X6,0)</f>
        <v>0</v>
      </c>
      <c r="AA6" s="63"/>
      <c r="AB6" s="63">
        <v>0.22</v>
      </c>
      <c r="AC6" s="64">
        <f t="shared" ref="AC6:AC42" si="16">ROUNDUP(AB6*AA6,0)</f>
        <v>0</v>
      </c>
      <c r="AD6" s="63"/>
      <c r="AE6" s="63"/>
      <c r="AF6" s="64">
        <f t="shared" ref="AF6:AF42" si="17">ROUNDUP(AE6*AD6,0)</f>
        <v>0</v>
      </c>
      <c r="AG6" s="63"/>
      <c r="AH6" s="63"/>
      <c r="AI6" s="64">
        <f t="shared" ref="AI6:AI42" si="18">ROUNDUP(AH6*AG6,0)</f>
        <v>0</v>
      </c>
      <c r="AJ6" s="63"/>
      <c r="AK6" s="63">
        <v>7.0000000000000007E-2</v>
      </c>
      <c r="AL6" s="64">
        <f t="shared" ref="AL6:AL42" si="19">ROUNDUP(AK6*AJ6,0)</f>
        <v>0</v>
      </c>
      <c r="AM6" s="63"/>
      <c r="AN6" s="63"/>
      <c r="AO6" s="64">
        <f t="shared" ref="AO6:AO42" si="20">ROUNDUP(AN6*AM6,0)</f>
        <v>0</v>
      </c>
      <c r="AP6" s="63"/>
      <c r="AQ6" s="63"/>
      <c r="AR6" s="64">
        <f t="shared" ref="AR6:AR42" si="21">ROUNDUP(AQ6*AP6,0)</f>
        <v>0</v>
      </c>
      <c r="AS6" s="63"/>
      <c r="AT6" s="63"/>
      <c r="AU6" s="64">
        <f t="shared" ref="AU6:AU42" si="22">ROUNDUP(AT6*AS6,0)</f>
        <v>0</v>
      </c>
      <c r="AV6" s="63">
        <f>AA6</f>
        <v>0</v>
      </c>
      <c r="AW6" s="63">
        <v>0.71</v>
      </c>
      <c r="AX6" s="64">
        <f t="shared" ref="AX6:AX42" si="23">ROUNDUP(AW6*AV6,0)</f>
        <v>0</v>
      </c>
      <c r="AY6" s="65">
        <f t="shared" ref="AY6:AY42" si="24">BC6+BF6</f>
        <v>0</v>
      </c>
      <c r="AZ6" s="66">
        <v>0.34499999999999997</v>
      </c>
      <c r="BA6" s="67">
        <f t="shared" si="0"/>
        <v>1.0349999999999999</v>
      </c>
      <c r="BB6" s="64">
        <f t="shared" ref="BB6:BB42" si="25">ROUNDUP(BA6*AY6,0)</f>
        <v>0</v>
      </c>
      <c r="BC6" s="64">
        <f t="shared" ref="BC6:BC42" si="26">ROUNDUP(D6/20,0)</f>
        <v>0</v>
      </c>
      <c r="BD6" s="68">
        <v>1.79</v>
      </c>
      <c r="BE6" s="64">
        <f t="shared" ref="BE6:BE42" si="27">ROUNDUP(BC6*BD6,0)</f>
        <v>0</v>
      </c>
      <c r="BF6" s="64">
        <f t="shared" ref="BF6:BF42" si="28">(I6*2)+(L6*2)+(O6*1)+(R6*3)+(U6*2)+(AA6*1)+(AD6*1)+(AG6*2)+(AJ6*1)+(AM6*2)+(AP6*2)+(AS6*2)</f>
        <v>0</v>
      </c>
      <c r="BG6" s="68">
        <v>1.79</v>
      </c>
      <c r="BH6" s="64">
        <f t="shared" ref="BH6:BH42" si="29">ROUNDUP(BF6*BG6,0)</f>
        <v>0</v>
      </c>
      <c r="BI6" s="69">
        <f t="shared" ref="BI6:BI42" si="30">H6+K6+N6+Q6+T6+W6+Z6+AC6+AF6+AI6+AL6+AO6+AR6+AU6+AX6+BB6+BE6+BH6</f>
        <v>0</v>
      </c>
      <c r="BJ6" s="68"/>
      <c r="BK6" s="64">
        <f t="shared" ref="BK6:BK42" si="31">ROUNDUP((BC6+BF6)*BJ6,0)</f>
        <v>0</v>
      </c>
      <c r="BL6" s="68"/>
      <c r="BM6" s="64">
        <f t="shared" ref="BM6:BM42" si="32">ROUNDUP((BC6+BF6)*BL6,0)</f>
        <v>0</v>
      </c>
      <c r="BN6" s="64">
        <f t="shared" ref="BN6:BN42" si="33">ROUNDUP(H6+K6+N6+Q6+T6+W6+Z6+AC6+AF6+AI6+AL6+AO6+AR6+AU6+AX6+BB6+BE6+BH6+BK6+BM6,0)</f>
        <v>0</v>
      </c>
      <c r="BO6" s="68">
        <f t="shared" si="1"/>
        <v>0.47</v>
      </c>
      <c r="BP6" s="64">
        <f t="shared" ref="BP6:BP42" si="34">ROUNDUP(BN6*BO6,0)</f>
        <v>0</v>
      </c>
      <c r="BQ6" s="53"/>
      <c r="BR6" s="64">
        <f>ROUNDUP(BN6*BQ6,0)</f>
        <v>0</v>
      </c>
      <c r="BS6" s="53">
        <f t="shared" si="2"/>
        <v>0.05</v>
      </c>
      <c r="BT6" s="64">
        <f>ROUNDUP(BP6*BS6,0)</f>
        <v>0</v>
      </c>
      <c r="BU6" s="53"/>
      <c r="BV6" s="64">
        <f t="shared" ref="BV6:BV20" si="35">BU6*BN6</f>
        <v>0</v>
      </c>
      <c r="BW6" s="64">
        <f t="shared" ref="BW6:BW20" si="36">BN6+BR6</f>
        <v>0</v>
      </c>
      <c r="BX6" s="64">
        <f t="shared" si="3"/>
        <v>0</v>
      </c>
      <c r="BY6" s="64">
        <f t="shared" si="4"/>
        <v>0</v>
      </c>
      <c r="BZ6" s="65">
        <f t="shared" si="5"/>
        <v>0</v>
      </c>
      <c r="CA6" s="53">
        <f t="shared" si="6"/>
        <v>1.3</v>
      </c>
      <c r="CB6" s="53">
        <f t="shared" si="7"/>
        <v>1.2</v>
      </c>
      <c r="CC6" s="53">
        <f t="shared" si="8"/>
        <v>1.17</v>
      </c>
      <c r="CD6" s="70">
        <f t="shared" ref="CD6:CD20" si="37">CC6*CB6*CA6*BX6</f>
        <v>0</v>
      </c>
      <c r="CE6" s="71">
        <f t="shared" ref="CE6:CE20" si="38">BZ6</f>
        <v>0</v>
      </c>
      <c r="CF6" s="72">
        <f t="shared" ref="CF6:CF20" si="39">BW6*CA6*CB6</f>
        <v>0</v>
      </c>
    </row>
    <row r="7" spans="1:84" ht="15" customHeight="1" x14ac:dyDescent="0.25">
      <c r="A7" s="57"/>
      <c r="B7" s="58" t="s">
        <v>2232</v>
      </c>
      <c r="C7" s="59">
        <v>4</v>
      </c>
      <c r="D7" s="60"/>
      <c r="E7" s="61"/>
      <c r="F7" s="62" t="s">
        <v>2233</v>
      </c>
      <c r="G7" s="63">
        <v>0.21</v>
      </c>
      <c r="H7" s="64">
        <f t="shared" si="9"/>
        <v>0</v>
      </c>
      <c r="I7" s="63"/>
      <c r="J7" s="63">
        <v>0.18</v>
      </c>
      <c r="K7" s="64">
        <f t="shared" si="10"/>
        <v>0</v>
      </c>
      <c r="L7" s="63"/>
      <c r="M7" s="63">
        <v>0.11</v>
      </c>
      <c r="N7" s="64">
        <f t="shared" si="11"/>
        <v>0</v>
      </c>
      <c r="O7" s="63"/>
      <c r="P7" s="63">
        <v>0.14000000000000001</v>
      </c>
      <c r="Q7" s="64">
        <f t="shared" si="12"/>
        <v>0</v>
      </c>
      <c r="R7" s="63"/>
      <c r="S7" s="63">
        <v>0.24</v>
      </c>
      <c r="T7" s="64">
        <f t="shared" si="13"/>
        <v>0</v>
      </c>
      <c r="U7" s="63"/>
      <c r="V7" s="63">
        <v>0.1</v>
      </c>
      <c r="W7" s="64">
        <f t="shared" si="14"/>
        <v>0</v>
      </c>
      <c r="X7" s="63"/>
      <c r="Y7" s="63">
        <v>0.55000000000000004</v>
      </c>
      <c r="Z7" s="64">
        <f t="shared" si="15"/>
        <v>0</v>
      </c>
      <c r="AA7" s="63"/>
      <c r="AB7" s="63">
        <v>0.28999999999999998</v>
      </c>
      <c r="AC7" s="64">
        <f t="shared" si="16"/>
        <v>0</v>
      </c>
      <c r="AD7" s="63"/>
      <c r="AE7" s="63"/>
      <c r="AF7" s="64">
        <f t="shared" si="17"/>
        <v>0</v>
      </c>
      <c r="AG7" s="63"/>
      <c r="AH7" s="63"/>
      <c r="AI7" s="64">
        <f t="shared" si="18"/>
        <v>0</v>
      </c>
      <c r="AJ7" s="63"/>
      <c r="AK7" s="63">
        <v>0.08</v>
      </c>
      <c r="AL7" s="64">
        <f t="shared" si="19"/>
        <v>0</v>
      </c>
      <c r="AM7" s="63"/>
      <c r="AN7" s="63"/>
      <c r="AO7" s="64">
        <f t="shared" si="20"/>
        <v>0</v>
      </c>
      <c r="AP7" s="63"/>
      <c r="AQ7" s="63"/>
      <c r="AR7" s="64">
        <f t="shared" si="21"/>
        <v>0</v>
      </c>
      <c r="AS7" s="63"/>
      <c r="AT7" s="63"/>
      <c r="AU7" s="64">
        <f t="shared" si="22"/>
        <v>0</v>
      </c>
      <c r="AV7" s="63">
        <f t="shared" ref="AV7:AV42" si="40">AA7</f>
        <v>0</v>
      </c>
      <c r="AW7" s="63">
        <v>1.49</v>
      </c>
      <c r="AX7" s="64">
        <f t="shared" si="23"/>
        <v>0</v>
      </c>
      <c r="AY7" s="65">
        <f t="shared" si="24"/>
        <v>0</v>
      </c>
      <c r="AZ7" s="66">
        <v>0.34499999999999997</v>
      </c>
      <c r="BA7" s="67">
        <f t="shared" si="0"/>
        <v>1.38</v>
      </c>
      <c r="BB7" s="64">
        <f t="shared" si="25"/>
        <v>0</v>
      </c>
      <c r="BC7" s="64">
        <f t="shared" si="26"/>
        <v>0</v>
      </c>
      <c r="BD7" s="68">
        <v>2.21</v>
      </c>
      <c r="BE7" s="64">
        <f t="shared" si="27"/>
        <v>0</v>
      </c>
      <c r="BF7" s="64">
        <f t="shared" si="28"/>
        <v>0</v>
      </c>
      <c r="BG7" s="68">
        <v>2.21</v>
      </c>
      <c r="BH7" s="64">
        <f t="shared" si="29"/>
        <v>0</v>
      </c>
      <c r="BI7" s="69">
        <f t="shared" si="30"/>
        <v>0</v>
      </c>
      <c r="BJ7" s="68"/>
      <c r="BK7" s="64">
        <f t="shared" si="31"/>
        <v>0</v>
      </c>
      <c r="BL7" s="68"/>
      <c r="BM7" s="64">
        <f t="shared" si="32"/>
        <v>0</v>
      </c>
      <c r="BN7" s="64">
        <f t="shared" si="33"/>
        <v>0</v>
      </c>
      <c r="BO7" s="68">
        <f t="shared" si="1"/>
        <v>0.47</v>
      </c>
      <c r="BP7" s="64">
        <f t="shared" si="34"/>
        <v>0</v>
      </c>
      <c r="BQ7" s="53"/>
      <c r="BR7" s="64">
        <f>ROUNDUP(BN7*BQ7,0)</f>
        <v>0</v>
      </c>
      <c r="BS7" s="53">
        <f t="shared" si="2"/>
        <v>0.05</v>
      </c>
      <c r="BT7" s="64">
        <f>ROUNDUP(BP7*BS7,0)</f>
        <v>0</v>
      </c>
      <c r="BU7" s="53"/>
      <c r="BV7" s="64">
        <f t="shared" si="35"/>
        <v>0</v>
      </c>
      <c r="BW7" s="64">
        <f t="shared" si="36"/>
        <v>0</v>
      </c>
      <c r="BX7" s="64">
        <f t="shared" si="3"/>
        <v>0</v>
      </c>
      <c r="BY7" s="64">
        <f t="shared" si="4"/>
        <v>0</v>
      </c>
      <c r="BZ7" s="65">
        <f t="shared" si="5"/>
        <v>0</v>
      </c>
      <c r="CA7" s="53">
        <f t="shared" si="6"/>
        <v>1.3</v>
      </c>
      <c r="CB7" s="53">
        <f t="shared" si="7"/>
        <v>1.2</v>
      </c>
      <c r="CC7" s="53">
        <f t="shared" si="8"/>
        <v>1.17</v>
      </c>
      <c r="CD7" s="70">
        <f t="shared" si="37"/>
        <v>0</v>
      </c>
      <c r="CE7" s="71">
        <f t="shared" si="38"/>
        <v>0</v>
      </c>
      <c r="CF7" s="72">
        <f t="shared" si="39"/>
        <v>0</v>
      </c>
    </row>
    <row r="8" spans="1:84" x14ac:dyDescent="0.25">
      <c r="A8" s="57"/>
      <c r="B8" s="58" t="s">
        <v>2232</v>
      </c>
      <c r="C8" s="59">
        <v>6</v>
      </c>
      <c r="D8" s="60"/>
      <c r="E8" s="61"/>
      <c r="F8" s="62" t="s">
        <v>2233</v>
      </c>
      <c r="G8" s="63">
        <v>0.28000000000000003</v>
      </c>
      <c r="H8" s="64">
        <f t="shared" si="9"/>
        <v>0</v>
      </c>
      <c r="I8" s="63"/>
      <c r="J8" s="63">
        <v>0.41</v>
      </c>
      <c r="K8" s="64">
        <f t="shared" si="10"/>
        <v>0</v>
      </c>
      <c r="L8" s="63"/>
      <c r="M8" s="63">
        <v>0.23</v>
      </c>
      <c r="N8" s="64">
        <f t="shared" si="11"/>
        <v>0</v>
      </c>
      <c r="O8" s="63"/>
      <c r="P8" s="63">
        <v>0.23</v>
      </c>
      <c r="Q8" s="64">
        <f t="shared" si="12"/>
        <v>0</v>
      </c>
      <c r="R8" s="63"/>
      <c r="S8" s="63">
        <v>0.59</v>
      </c>
      <c r="T8" s="64">
        <f t="shared" si="13"/>
        <v>0</v>
      </c>
      <c r="U8" s="63"/>
      <c r="V8" s="63">
        <v>0.18</v>
      </c>
      <c r="W8" s="64">
        <f t="shared" si="14"/>
        <v>0</v>
      </c>
      <c r="X8" s="63"/>
      <c r="Y8" s="63">
        <v>0.8</v>
      </c>
      <c r="Z8" s="64">
        <f t="shared" si="15"/>
        <v>0</v>
      </c>
      <c r="AA8" s="63"/>
      <c r="AB8" s="63">
        <v>0.44</v>
      </c>
      <c r="AC8" s="64">
        <f t="shared" si="16"/>
        <v>0</v>
      </c>
      <c r="AD8" s="63"/>
      <c r="AE8" s="63"/>
      <c r="AF8" s="64">
        <f t="shared" si="17"/>
        <v>0</v>
      </c>
      <c r="AG8" s="63"/>
      <c r="AH8" s="63"/>
      <c r="AI8" s="64">
        <f t="shared" si="18"/>
        <v>0</v>
      </c>
      <c r="AJ8" s="63"/>
      <c r="AK8" s="63">
        <v>0.14000000000000001</v>
      </c>
      <c r="AL8" s="64">
        <f t="shared" si="19"/>
        <v>0</v>
      </c>
      <c r="AM8" s="63"/>
      <c r="AN8" s="63"/>
      <c r="AO8" s="64">
        <f t="shared" si="20"/>
        <v>0</v>
      </c>
      <c r="AP8" s="63"/>
      <c r="AQ8" s="63"/>
      <c r="AR8" s="64">
        <f t="shared" si="21"/>
        <v>0</v>
      </c>
      <c r="AS8" s="63"/>
      <c r="AT8" s="63"/>
      <c r="AU8" s="64">
        <f t="shared" si="22"/>
        <v>0</v>
      </c>
      <c r="AV8" s="63">
        <f t="shared" si="40"/>
        <v>0</v>
      </c>
      <c r="AW8" s="63">
        <v>1.63</v>
      </c>
      <c r="AX8" s="64">
        <f t="shared" si="23"/>
        <v>0</v>
      </c>
      <c r="AY8" s="65">
        <f t="shared" si="24"/>
        <v>0</v>
      </c>
      <c r="AZ8" s="66">
        <v>0.34499999999999997</v>
      </c>
      <c r="BA8" s="67">
        <f t="shared" si="0"/>
        <v>2.0699999999999998</v>
      </c>
      <c r="BB8" s="64">
        <f t="shared" si="25"/>
        <v>0</v>
      </c>
      <c r="BC8" s="64">
        <f t="shared" si="26"/>
        <v>0</v>
      </c>
      <c r="BD8" s="68">
        <v>2.8</v>
      </c>
      <c r="BE8" s="64">
        <f t="shared" si="27"/>
        <v>0</v>
      </c>
      <c r="BF8" s="64">
        <f t="shared" si="28"/>
        <v>0</v>
      </c>
      <c r="BG8" s="68">
        <v>2.8</v>
      </c>
      <c r="BH8" s="64">
        <f t="shared" si="29"/>
        <v>0</v>
      </c>
      <c r="BI8" s="69">
        <f t="shared" si="30"/>
        <v>0</v>
      </c>
      <c r="BJ8" s="68"/>
      <c r="BK8" s="64">
        <f t="shared" si="31"/>
        <v>0</v>
      </c>
      <c r="BL8" s="68"/>
      <c r="BM8" s="64">
        <f t="shared" si="32"/>
        <v>0</v>
      </c>
      <c r="BN8" s="64">
        <f t="shared" si="33"/>
        <v>0</v>
      </c>
      <c r="BO8" s="68">
        <f t="shared" si="1"/>
        <v>0.47</v>
      </c>
      <c r="BP8" s="64">
        <f t="shared" si="34"/>
        <v>0</v>
      </c>
      <c r="BQ8" s="53"/>
      <c r="BR8" s="64">
        <f>ROUNDUP(BN8*BQ8,0)</f>
        <v>0</v>
      </c>
      <c r="BS8" s="53">
        <f t="shared" si="2"/>
        <v>0.05</v>
      </c>
      <c r="BT8" s="64">
        <f>ROUNDUP(BP8*BS8,0)</f>
        <v>0</v>
      </c>
      <c r="BU8" s="53"/>
      <c r="BV8" s="64">
        <f t="shared" si="35"/>
        <v>0</v>
      </c>
      <c r="BW8" s="64">
        <f t="shared" si="36"/>
        <v>0</v>
      </c>
      <c r="BX8" s="64">
        <f t="shared" si="3"/>
        <v>0</v>
      </c>
      <c r="BY8" s="64">
        <f t="shared" si="4"/>
        <v>0</v>
      </c>
      <c r="BZ8" s="65">
        <f t="shared" si="5"/>
        <v>0</v>
      </c>
      <c r="CA8" s="53">
        <f t="shared" si="6"/>
        <v>1.3</v>
      </c>
      <c r="CB8" s="53">
        <f t="shared" si="7"/>
        <v>1.2</v>
      </c>
      <c r="CC8" s="53">
        <f t="shared" si="8"/>
        <v>1.17</v>
      </c>
      <c r="CD8" s="70">
        <f t="shared" si="37"/>
        <v>0</v>
      </c>
      <c r="CE8" s="71">
        <f t="shared" si="38"/>
        <v>0</v>
      </c>
      <c r="CF8" s="72">
        <f t="shared" si="39"/>
        <v>0</v>
      </c>
    </row>
    <row r="9" spans="1:84" s="73" customFormat="1" x14ac:dyDescent="0.25">
      <c r="A9" s="57"/>
      <c r="B9" s="58" t="s">
        <v>2232</v>
      </c>
      <c r="C9" s="59">
        <v>8</v>
      </c>
      <c r="D9" s="60"/>
      <c r="E9" s="61"/>
      <c r="F9" s="62" t="s">
        <v>2233</v>
      </c>
      <c r="G9" s="63">
        <v>0.34</v>
      </c>
      <c r="H9" s="64">
        <f t="shared" si="9"/>
        <v>0</v>
      </c>
      <c r="I9" s="63"/>
      <c r="J9" s="63">
        <v>0.77</v>
      </c>
      <c r="K9" s="64">
        <f t="shared" si="10"/>
        <v>0</v>
      </c>
      <c r="L9" s="63"/>
      <c r="M9" s="63">
        <v>0.41</v>
      </c>
      <c r="N9" s="64">
        <f t="shared" si="11"/>
        <v>0</v>
      </c>
      <c r="O9" s="63"/>
      <c r="P9" s="63">
        <v>0.39</v>
      </c>
      <c r="Q9" s="64">
        <f t="shared" si="12"/>
        <v>0</v>
      </c>
      <c r="R9" s="63"/>
      <c r="S9" s="63">
        <v>0.96</v>
      </c>
      <c r="T9" s="64">
        <f t="shared" si="13"/>
        <v>0</v>
      </c>
      <c r="U9" s="63"/>
      <c r="V9" s="63">
        <v>0.26</v>
      </c>
      <c r="W9" s="64">
        <f t="shared" si="14"/>
        <v>0</v>
      </c>
      <c r="X9" s="63"/>
      <c r="Y9" s="63">
        <v>1.19</v>
      </c>
      <c r="Z9" s="64">
        <f t="shared" si="15"/>
        <v>0</v>
      </c>
      <c r="AA9" s="63"/>
      <c r="AB9" s="63">
        <v>0.72</v>
      </c>
      <c r="AC9" s="64">
        <f t="shared" si="16"/>
        <v>0</v>
      </c>
      <c r="AD9" s="63"/>
      <c r="AE9" s="63"/>
      <c r="AF9" s="64">
        <f t="shared" si="17"/>
        <v>0</v>
      </c>
      <c r="AG9" s="63"/>
      <c r="AH9" s="63"/>
      <c r="AI9" s="64">
        <f t="shared" si="18"/>
        <v>0</v>
      </c>
      <c r="AJ9" s="63"/>
      <c r="AK9" s="63">
        <v>0.21</v>
      </c>
      <c r="AL9" s="64">
        <f t="shared" si="19"/>
        <v>0</v>
      </c>
      <c r="AM9" s="63"/>
      <c r="AN9" s="63"/>
      <c r="AO9" s="64">
        <f t="shared" si="20"/>
        <v>0</v>
      </c>
      <c r="AP9" s="63"/>
      <c r="AQ9" s="63"/>
      <c r="AR9" s="64">
        <f t="shared" si="21"/>
        <v>0</v>
      </c>
      <c r="AS9" s="63"/>
      <c r="AT9" s="63"/>
      <c r="AU9" s="64">
        <f t="shared" si="22"/>
        <v>0</v>
      </c>
      <c r="AV9" s="63">
        <f t="shared" si="40"/>
        <v>0</v>
      </c>
      <c r="AW9" s="63">
        <v>1.58</v>
      </c>
      <c r="AX9" s="64">
        <f t="shared" si="23"/>
        <v>0</v>
      </c>
      <c r="AY9" s="65">
        <f t="shared" si="24"/>
        <v>0</v>
      </c>
      <c r="AZ9" s="66">
        <v>0.34499999999999997</v>
      </c>
      <c r="BA9" s="67">
        <f t="shared" si="0"/>
        <v>2.76</v>
      </c>
      <c r="BB9" s="64">
        <f t="shared" si="25"/>
        <v>0</v>
      </c>
      <c r="BC9" s="64">
        <f t="shared" si="26"/>
        <v>0</v>
      </c>
      <c r="BD9" s="68">
        <v>3.5</v>
      </c>
      <c r="BE9" s="64">
        <f t="shared" si="27"/>
        <v>0</v>
      </c>
      <c r="BF9" s="64">
        <f t="shared" si="28"/>
        <v>0</v>
      </c>
      <c r="BG9" s="68">
        <v>3.5</v>
      </c>
      <c r="BH9" s="64">
        <f t="shared" si="29"/>
        <v>0</v>
      </c>
      <c r="BI9" s="69">
        <f t="shared" si="30"/>
        <v>0</v>
      </c>
      <c r="BJ9" s="68"/>
      <c r="BK9" s="64">
        <f t="shared" si="31"/>
        <v>0</v>
      </c>
      <c r="BL9" s="68"/>
      <c r="BM9" s="64">
        <f t="shared" si="32"/>
        <v>0</v>
      </c>
      <c r="BN9" s="64">
        <f t="shared" si="33"/>
        <v>0</v>
      </c>
      <c r="BO9" s="68">
        <f t="shared" si="1"/>
        <v>0.47</v>
      </c>
      <c r="BP9" s="64">
        <f t="shared" si="34"/>
        <v>0</v>
      </c>
      <c r="BQ9" s="53">
        <f t="shared" ref="BQ9:BQ20" si="41">$BQ$1</f>
        <v>0.08</v>
      </c>
      <c r="BR9" s="64">
        <f t="shared" ref="BR9:BR42" si="42">ROUNDUP(BN9*BQ9,0)</f>
        <v>0</v>
      </c>
      <c r="BS9" s="53">
        <f t="shared" si="2"/>
        <v>0.05</v>
      </c>
      <c r="BT9" s="64">
        <f t="shared" ref="BT9:BT20" si="43">ROUNDUP(BP9*BS9,0)</f>
        <v>0</v>
      </c>
      <c r="BU9" s="53"/>
      <c r="BV9" s="64">
        <f t="shared" si="35"/>
        <v>0</v>
      </c>
      <c r="BW9" s="64">
        <f t="shared" si="36"/>
        <v>0</v>
      </c>
      <c r="BX9" s="64">
        <f t="shared" si="3"/>
        <v>0</v>
      </c>
      <c r="BY9" s="64">
        <f t="shared" si="4"/>
        <v>0</v>
      </c>
      <c r="BZ9" s="65">
        <f t="shared" si="5"/>
        <v>0</v>
      </c>
      <c r="CA9" s="53">
        <f t="shared" si="6"/>
        <v>1.3</v>
      </c>
      <c r="CB9" s="53">
        <f t="shared" si="7"/>
        <v>1.2</v>
      </c>
      <c r="CC9" s="53">
        <f t="shared" si="8"/>
        <v>1.17</v>
      </c>
      <c r="CD9" s="70">
        <f t="shared" si="37"/>
        <v>0</v>
      </c>
      <c r="CE9" s="71">
        <f t="shared" si="38"/>
        <v>0</v>
      </c>
      <c r="CF9" s="72">
        <f t="shared" si="39"/>
        <v>0</v>
      </c>
    </row>
    <row r="10" spans="1:84" x14ac:dyDescent="0.25">
      <c r="A10" s="39"/>
      <c r="B10" s="40" t="s">
        <v>2232</v>
      </c>
      <c r="C10" s="41">
        <v>10</v>
      </c>
      <c r="D10" s="42"/>
      <c r="E10" s="43"/>
      <c r="F10" s="44" t="s">
        <v>2233</v>
      </c>
      <c r="G10" s="63">
        <v>0.42</v>
      </c>
      <c r="H10" s="64">
        <f t="shared" si="9"/>
        <v>0</v>
      </c>
      <c r="I10" s="63"/>
      <c r="J10" s="63">
        <v>1.32</v>
      </c>
      <c r="K10" s="64">
        <f t="shared" si="10"/>
        <v>0</v>
      </c>
      <c r="L10" s="63"/>
      <c r="M10" s="63">
        <v>0.68</v>
      </c>
      <c r="N10" s="64">
        <f t="shared" si="11"/>
        <v>0</v>
      </c>
      <c r="O10" s="63"/>
      <c r="P10" s="63">
        <v>0.59</v>
      </c>
      <c r="Q10" s="64">
        <f t="shared" si="12"/>
        <v>0</v>
      </c>
      <c r="R10" s="63"/>
      <c r="S10" s="63">
        <v>1.41</v>
      </c>
      <c r="T10" s="64">
        <f t="shared" si="13"/>
        <v>0</v>
      </c>
      <c r="U10" s="63"/>
      <c r="V10" s="63">
        <v>0.41</v>
      </c>
      <c r="W10" s="64">
        <f t="shared" si="14"/>
        <v>0</v>
      </c>
      <c r="X10" s="63"/>
      <c r="Y10" s="63">
        <v>1.54</v>
      </c>
      <c r="Z10" s="64">
        <f t="shared" si="15"/>
        <v>0</v>
      </c>
      <c r="AA10" s="63"/>
      <c r="AB10" s="63">
        <v>1.04</v>
      </c>
      <c r="AC10" s="64">
        <f t="shared" si="16"/>
        <v>0</v>
      </c>
      <c r="AD10" s="63"/>
      <c r="AE10" s="63"/>
      <c r="AF10" s="64">
        <f t="shared" si="17"/>
        <v>0</v>
      </c>
      <c r="AG10" s="63"/>
      <c r="AH10" s="63"/>
      <c r="AI10" s="64">
        <f t="shared" si="18"/>
        <v>0</v>
      </c>
      <c r="AJ10" s="63"/>
      <c r="AK10" s="63">
        <v>0.35</v>
      </c>
      <c r="AL10" s="64">
        <f t="shared" si="19"/>
        <v>0</v>
      </c>
      <c r="AM10" s="63"/>
      <c r="AN10" s="63"/>
      <c r="AO10" s="64">
        <f t="shared" si="20"/>
        <v>0</v>
      </c>
      <c r="AP10" s="63"/>
      <c r="AQ10" s="63"/>
      <c r="AR10" s="64">
        <f t="shared" si="21"/>
        <v>0</v>
      </c>
      <c r="AS10" s="63"/>
      <c r="AT10" s="63"/>
      <c r="AU10" s="64">
        <f t="shared" si="22"/>
        <v>0</v>
      </c>
      <c r="AV10" s="63">
        <f t="shared" si="40"/>
        <v>0</v>
      </c>
      <c r="AW10" s="63">
        <v>2.57</v>
      </c>
      <c r="AX10" s="64">
        <f t="shared" si="23"/>
        <v>0</v>
      </c>
      <c r="AY10" s="65">
        <f t="shared" si="24"/>
        <v>0</v>
      </c>
      <c r="AZ10" s="66">
        <v>0.34499999999999997</v>
      </c>
      <c r="BA10" s="67">
        <f t="shared" si="0"/>
        <v>3.4499999999999997</v>
      </c>
      <c r="BB10" s="64">
        <f t="shared" si="25"/>
        <v>0</v>
      </c>
      <c r="BC10" s="64">
        <f t="shared" si="26"/>
        <v>0</v>
      </c>
      <c r="BD10" s="68">
        <v>4.37</v>
      </c>
      <c r="BE10" s="64">
        <f t="shared" si="27"/>
        <v>0</v>
      </c>
      <c r="BF10" s="64">
        <f t="shared" si="28"/>
        <v>0</v>
      </c>
      <c r="BG10" s="68">
        <v>4.37</v>
      </c>
      <c r="BH10" s="64">
        <f t="shared" si="29"/>
        <v>0</v>
      </c>
      <c r="BI10" s="69">
        <f t="shared" si="30"/>
        <v>0</v>
      </c>
      <c r="BJ10" s="68"/>
      <c r="BK10" s="64">
        <f t="shared" si="31"/>
        <v>0</v>
      </c>
      <c r="BL10" s="68"/>
      <c r="BM10" s="64">
        <f t="shared" si="32"/>
        <v>0</v>
      </c>
      <c r="BN10" s="64">
        <f t="shared" si="33"/>
        <v>0</v>
      </c>
      <c r="BO10" s="68">
        <f t="shared" si="1"/>
        <v>0.47</v>
      </c>
      <c r="BP10" s="64">
        <f t="shared" si="34"/>
        <v>0</v>
      </c>
      <c r="BQ10" s="53">
        <f t="shared" si="41"/>
        <v>0.08</v>
      </c>
      <c r="BR10" s="64">
        <f t="shared" si="42"/>
        <v>0</v>
      </c>
      <c r="BS10" s="53">
        <f t="shared" si="2"/>
        <v>0.05</v>
      </c>
      <c r="BT10" s="64">
        <f t="shared" si="43"/>
        <v>0</v>
      </c>
      <c r="BU10" s="53"/>
      <c r="BV10" s="64">
        <f t="shared" si="35"/>
        <v>0</v>
      </c>
      <c r="BW10" s="64">
        <f t="shared" si="36"/>
        <v>0</v>
      </c>
      <c r="BX10" s="64">
        <f t="shared" si="3"/>
        <v>0</v>
      </c>
      <c r="BY10" s="64">
        <f t="shared" si="4"/>
        <v>0</v>
      </c>
      <c r="BZ10" s="65">
        <f t="shared" si="5"/>
        <v>0</v>
      </c>
      <c r="CA10" s="53">
        <f t="shared" si="6"/>
        <v>1.3</v>
      </c>
      <c r="CB10" s="53">
        <f t="shared" si="7"/>
        <v>1.2</v>
      </c>
      <c r="CC10" s="53">
        <f t="shared" si="8"/>
        <v>1.17</v>
      </c>
      <c r="CD10" s="70">
        <f t="shared" si="37"/>
        <v>0</v>
      </c>
      <c r="CE10" s="71">
        <f t="shared" si="38"/>
        <v>0</v>
      </c>
      <c r="CF10" s="72">
        <f t="shared" si="39"/>
        <v>0</v>
      </c>
    </row>
    <row r="11" spans="1:84" x14ac:dyDescent="0.25">
      <c r="A11" s="57"/>
      <c r="B11" s="58" t="s">
        <v>2232</v>
      </c>
      <c r="C11" s="59">
        <v>12</v>
      </c>
      <c r="D11" s="60"/>
      <c r="E11" s="61"/>
      <c r="F11" s="62" t="s">
        <v>2233</v>
      </c>
      <c r="G11" s="63">
        <v>0.48</v>
      </c>
      <c r="H11" s="64">
        <f t="shared" si="9"/>
        <v>0</v>
      </c>
      <c r="I11" s="63"/>
      <c r="J11" s="63">
        <v>1.92</v>
      </c>
      <c r="K11" s="64">
        <f t="shared" si="10"/>
        <v>0</v>
      </c>
      <c r="L11" s="63"/>
      <c r="M11" s="63">
        <v>0.98</v>
      </c>
      <c r="N11" s="64">
        <f t="shared" si="11"/>
        <v>0</v>
      </c>
      <c r="O11" s="63"/>
      <c r="P11" s="63">
        <v>0.93</v>
      </c>
      <c r="Q11" s="64">
        <f t="shared" si="12"/>
        <v>0</v>
      </c>
      <c r="R11" s="63"/>
      <c r="S11" s="63">
        <v>2.25</v>
      </c>
      <c r="T11" s="64">
        <f t="shared" si="13"/>
        <v>0</v>
      </c>
      <c r="U11" s="63"/>
      <c r="V11" s="63">
        <v>0.54</v>
      </c>
      <c r="W11" s="64">
        <f t="shared" si="14"/>
        <v>0</v>
      </c>
      <c r="X11" s="63"/>
      <c r="Y11" s="63">
        <v>2.2599999999999998</v>
      </c>
      <c r="Z11" s="64">
        <f t="shared" si="15"/>
        <v>0</v>
      </c>
      <c r="AA11" s="63"/>
      <c r="AB11" s="63">
        <v>1.54</v>
      </c>
      <c r="AC11" s="64">
        <f t="shared" si="16"/>
        <v>0</v>
      </c>
      <c r="AD11" s="74"/>
      <c r="AE11" s="63"/>
      <c r="AF11" s="64">
        <f t="shared" si="17"/>
        <v>0</v>
      </c>
      <c r="AG11" s="63"/>
      <c r="AH11" s="63"/>
      <c r="AI11" s="64">
        <f t="shared" si="18"/>
        <v>0</v>
      </c>
      <c r="AJ11" s="63"/>
      <c r="AK11" s="63">
        <v>0.48</v>
      </c>
      <c r="AL11" s="64">
        <f t="shared" si="19"/>
        <v>0</v>
      </c>
      <c r="AM11" s="63"/>
      <c r="AN11" s="63"/>
      <c r="AO11" s="64">
        <f t="shared" si="20"/>
        <v>0</v>
      </c>
      <c r="AP11" s="63"/>
      <c r="AQ11" s="63"/>
      <c r="AR11" s="64">
        <f t="shared" si="21"/>
        <v>0</v>
      </c>
      <c r="AS11" s="63"/>
      <c r="AT11" s="63"/>
      <c r="AU11" s="64">
        <f t="shared" si="22"/>
        <v>0</v>
      </c>
      <c r="AV11" s="63">
        <f t="shared" si="40"/>
        <v>0</v>
      </c>
      <c r="AW11" s="63">
        <v>2.54</v>
      </c>
      <c r="AX11" s="64">
        <f t="shared" si="23"/>
        <v>0</v>
      </c>
      <c r="AY11" s="65">
        <f t="shared" si="24"/>
        <v>0</v>
      </c>
      <c r="AZ11" s="66">
        <v>0.34499999999999997</v>
      </c>
      <c r="BA11" s="67">
        <f t="shared" si="0"/>
        <v>4.1399999999999997</v>
      </c>
      <c r="BB11" s="64">
        <f t="shared" si="25"/>
        <v>0</v>
      </c>
      <c r="BC11" s="64">
        <f t="shared" si="26"/>
        <v>0</v>
      </c>
      <c r="BD11" s="68">
        <v>5.24</v>
      </c>
      <c r="BE11" s="64">
        <f t="shared" si="27"/>
        <v>0</v>
      </c>
      <c r="BF11" s="64">
        <f t="shared" si="28"/>
        <v>0</v>
      </c>
      <c r="BG11" s="68">
        <v>5.24</v>
      </c>
      <c r="BH11" s="64">
        <f t="shared" si="29"/>
        <v>0</v>
      </c>
      <c r="BI11" s="69">
        <f t="shared" si="30"/>
        <v>0</v>
      </c>
      <c r="BJ11" s="68"/>
      <c r="BK11" s="64">
        <f t="shared" si="31"/>
        <v>0</v>
      </c>
      <c r="BL11" s="68"/>
      <c r="BM11" s="64">
        <f t="shared" si="32"/>
        <v>0</v>
      </c>
      <c r="BN11" s="64">
        <f t="shared" si="33"/>
        <v>0</v>
      </c>
      <c r="BO11" s="68">
        <f t="shared" si="1"/>
        <v>0.47</v>
      </c>
      <c r="BP11" s="64">
        <f t="shared" si="34"/>
        <v>0</v>
      </c>
      <c r="BQ11" s="53">
        <f t="shared" si="41"/>
        <v>0.08</v>
      </c>
      <c r="BR11" s="64">
        <f t="shared" si="42"/>
        <v>0</v>
      </c>
      <c r="BS11" s="53">
        <f t="shared" si="2"/>
        <v>0.05</v>
      </c>
      <c r="BT11" s="64">
        <f t="shared" si="43"/>
        <v>0</v>
      </c>
      <c r="BU11" s="53"/>
      <c r="BV11" s="64">
        <f t="shared" si="35"/>
        <v>0</v>
      </c>
      <c r="BW11" s="64">
        <f t="shared" si="36"/>
        <v>0</v>
      </c>
      <c r="BX11" s="64">
        <f t="shared" si="3"/>
        <v>0</v>
      </c>
      <c r="BY11" s="64">
        <f t="shared" si="4"/>
        <v>0</v>
      </c>
      <c r="BZ11" s="65">
        <f t="shared" si="5"/>
        <v>0</v>
      </c>
      <c r="CA11" s="53">
        <f t="shared" si="6"/>
        <v>1.3</v>
      </c>
      <c r="CB11" s="53">
        <f t="shared" si="7"/>
        <v>1.2</v>
      </c>
      <c r="CC11" s="53">
        <f t="shared" si="8"/>
        <v>1.17</v>
      </c>
      <c r="CD11" s="70">
        <f t="shared" si="37"/>
        <v>0</v>
      </c>
      <c r="CE11" s="71">
        <f t="shared" si="38"/>
        <v>0</v>
      </c>
      <c r="CF11" s="72">
        <f t="shared" si="39"/>
        <v>0</v>
      </c>
    </row>
    <row r="12" spans="1:84" x14ac:dyDescent="0.25">
      <c r="A12" s="57"/>
      <c r="B12" s="58" t="s">
        <v>2232</v>
      </c>
      <c r="C12" s="59">
        <v>14</v>
      </c>
      <c r="D12" s="60"/>
      <c r="E12" s="61"/>
      <c r="F12" s="62" t="s">
        <v>2233</v>
      </c>
      <c r="G12" s="63">
        <v>0.49</v>
      </c>
      <c r="H12" s="64">
        <f t="shared" si="9"/>
        <v>0</v>
      </c>
      <c r="I12" s="63"/>
      <c r="J12" s="63">
        <v>2.48</v>
      </c>
      <c r="K12" s="64">
        <f t="shared" si="10"/>
        <v>0</v>
      </c>
      <c r="L12" s="63"/>
      <c r="M12" s="63">
        <v>1.28</v>
      </c>
      <c r="N12" s="64">
        <f t="shared" si="11"/>
        <v>0</v>
      </c>
      <c r="O12" s="63"/>
      <c r="P12" s="63">
        <v>1.04</v>
      </c>
      <c r="Q12" s="64">
        <f t="shared" si="12"/>
        <v>0</v>
      </c>
      <c r="R12" s="63"/>
      <c r="S12" s="63">
        <v>3.44</v>
      </c>
      <c r="T12" s="64">
        <f t="shared" si="13"/>
        <v>0</v>
      </c>
      <c r="U12" s="63"/>
      <c r="V12" s="63">
        <v>0.93</v>
      </c>
      <c r="W12" s="64">
        <f t="shared" si="14"/>
        <v>0</v>
      </c>
      <c r="X12" s="63"/>
      <c r="Y12" s="63">
        <v>3.88</v>
      </c>
      <c r="Z12" s="64">
        <f t="shared" si="15"/>
        <v>0</v>
      </c>
      <c r="AA12" s="63"/>
      <c r="AB12" s="63">
        <v>2.06</v>
      </c>
      <c r="AC12" s="64">
        <f t="shared" si="16"/>
        <v>0</v>
      </c>
      <c r="AD12" s="74"/>
      <c r="AE12" s="63"/>
      <c r="AF12" s="64">
        <f t="shared" si="17"/>
        <v>0</v>
      </c>
      <c r="AG12" s="63"/>
      <c r="AH12" s="63"/>
      <c r="AI12" s="64">
        <f t="shared" si="18"/>
        <v>0</v>
      </c>
      <c r="AJ12" s="63"/>
      <c r="AK12" s="63">
        <v>0.56999999999999995</v>
      </c>
      <c r="AL12" s="64">
        <f t="shared" si="19"/>
        <v>0</v>
      </c>
      <c r="AM12" s="63"/>
      <c r="AN12" s="63"/>
      <c r="AO12" s="64">
        <f t="shared" si="20"/>
        <v>0</v>
      </c>
      <c r="AP12" s="63"/>
      <c r="AQ12" s="63"/>
      <c r="AR12" s="64">
        <f t="shared" si="21"/>
        <v>0</v>
      </c>
      <c r="AS12" s="63"/>
      <c r="AT12" s="63"/>
      <c r="AU12" s="64">
        <f t="shared" si="22"/>
        <v>0</v>
      </c>
      <c r="AV12" s="63">
        <f t="shared" si="40"/>
        <v>0</v>
      </c>
      <c r="AW12" s="63">
        <v>3.39</v>
      </c>
      <c r="AX12" s="64">
        <f t="shared" si="23"/>
        <v>0</v>
      </c>
      <c r="AY12" s="65">
        <f t="shared" si="24"/>
        <v>0</v>
      </c>
      <c r="AZ12" s="66">
        <v>0.34499999999999997</v>
      </c>
      <c r="BA12" s="67">
        <f t="shared" si="0"/>
        <v>4.83</v>
      </c>
      <c r="BB12" s="64">
        <f t="shared" si="25"/>
        <v>0</v>
      </c>
      <c r="BC12" s="64">
        <f t="shared" si="26"/>
        <v>0</v>
      </c>
      <c r="BD12" s="68">
        <v>6.12</v>
      </c>
      <c r="BE12" s="64">
        <f t="shared" si="27"/>
        <v>0</v>
      </c>
      <c r="BF12" s="64">
        <f t="shared" si="28"/>
        <v>0</v>
      </c>
      <c r="BG12" s="68">
        <v>6.12</v>
      </c>
      <c r="BH12" s="64">
        <f t="shared" si="29"/>
        <v>0</v>
      </c>
      <c r="BI12" s="69">
        <f t="shared" si="30"/>
        <v>0</v>
      </c>
      <c r="BJ12" s="68"/>
      <c r="BK12" s="64">
        <f t="shared" si="31"/>
        <v>0</v>
      </c>
      <c r="BL12" s="68"/>
      <c r="BM12" s="64">
        <f t="shared" si="32"/>
        <v>0</v>
      </c>
      <c r="BN12" s="64">
        <f t="shared" si="33"/>
        <v>0</v>
      </c>
      <c r="BO12" s="68">
        <f t="shared" si="1"/>
        <v>0.47</v>
      </c>
      <c r="BP12" s="64">
        <f t="shared" si="34"/>
        <v>0</v>
      </c>
      <c r="BQ12" s="53">
        <f t="shared" si="41"/>
        <v>0.08</v>
      </c>
      <c r="BR12" s="64">
        <f t="shared" si="42"/>
        <v>0</v>
      </c>
      <c r="BS12" s="53">
        <f t="shared" si="2"/>
        <v>0.05</v>
      </c>
      <c r="BT12" s="64">
        <f t="shared" si="43"/>
        <v>0</v>
      </c>
      <c r="BU12" s="53"/>
      <c r="BV12" s="64">
        <f t="shared" si="35"/>
        <v>0</v>
      </c>
      <c r="BW12" s="64">
        <f t="shared" si="36"/>
        <v>0</v>
      </c>
      <c r="BX12" s="64">
        <f t="shared" si="3"/>
        <v>0</v>
      </c>
      <c r="BY12" s="64">
        <f t="shared" si="4"/>
        <v>0</v>
      </c>
      <c r="BZ12" s="65">
        <f t="shared" si="5"/>
        <v>0</v>
      </c>
      <c r="CA12" s="53">
        <f t="shared" si="6"/>
        <v>1.3</v>
      </c>
      <c r="CB12" s="53">
        <f t="shared" si="7"/>
        <v>1.2</v>
      </c>
      <c r="CC12" s="53">
        <f t="shared" si="8"/>
        <v>1.17</v>
      </c>
      <c r="CD12" s="70">
        <f t="shared" si="37"/>
        <v>0</v>
      </c>
      <c r="CE12" s="71">
        <f t="shared" si="38"/>
        <v>0</v>
      </c>
      <c r="CF12" s="72">
        <f t="shared" si="39"/>
        <v>0</v>
      </c>
    </row>
    <row r="13" spans="1:84" x14ac:dyDescent="0.25">
      <c r="A13" s="57"/>
      <c r="B13" s="58" t="s">
        <v>2232</v>
      </c>
      <c r="C13" s="59">
        <v>16</v>
      </c>
      <c r="D13" s="60"/>
      <c r="E13" s="61"/>
      <c r="F13" s="62" t="s">
        <v>2233</v>
      </c>
      <c r="G13" s="63">
        <v>0.51</v>
      </c>
      <c r="H13" s="64">
        <f t="shared" si="9"/>
        <v>0</v>
      </c>
      <c r="I13" s="63"/>
      <c r="J13" s="63">
        <v>3.27</v>
      </c>
      <c r="K13" s="64">
        <f t="shared" si="10"/>
        <v>0</v>
      </c>
      <c r="L13" s="63"/>
      <c r="M13" s="63">
        <v>1.7</v>
      </c>
      <c r="N13" s="64">
        <f t="shared" si="11"/>
        <v>0</v>
      </c>
      <c r="O13" s="63"/>
      <c r="P13" s="63">
        <v>1.17</v>
      </c>
      <c r="Q13" s="64">
        <f t="shared" si="12"/>
        <v>0</v>
      </c>
      <c r="R13" s="63"/>
      <c r="S13" s="63">
        <v>3.68</v>
      </c>
      <c r="T13" s="64">
        <f t="shared" si="13"/>
        <v>0</v>
      </c>
      <c r="U13" s="63"/>
      <c r="V13" s="63">
        <v>1.1399999999999999</v>
      </c>
      <c r="W13" s="64">
        <f t="shared" si="14"/>
        <v>0</v>
      </c>
      <c r="X13" s="63"/>
      <c r="Y13" s="63">
        <v>4.7699999999999996</v>
      </c>
      <c r="Z13" s="64">
        <f t="shared" si="15"/>
        <v>0</v>
      </c>
      <c r="AA13" s="63"/>
      <c r="AB13" s="63">
        <v>2.66</v>
      </c>
      <c r="AC13" s="64">
        <f t="shared" si="16"/>
        <v>0</v>
      </c>
      <c r="AD13" s="74"/>
      <c r="AE13" s="63"/>
      <c r="AF13" s="64">
        <f t="shared" si="17"/>
        <v>0</v>
      </c>
      <c r="AG13" s="63"/>
      <c r="AH13" s="63"/>
      <c r="AI13" s="64">
        <f t="shared" si="18"/>
        <v>0</v>
      </c>
      <c r="AJ13" s="63"/>
      <c r="AK13" s="63">
        <v>0.72</v>
      </c>
      <c r="AL13" s="64">
        <f t="shared" si="19"/>
        <v>0</v>
      </c>
      <c r="AM13" s="63"/>
      <c r="AN13" s="63"/>
      <c r="AO13" s="64">
        <f t="shared" si="20"/>
        <v>0</v>
      </c>
      <c r="AP13" s="63"/>
      <c r="AQ13" s="63"/>
      <c r="AR13" s="64">
        <f t="shared" si="21"/>
        <v>0</v>
      </c>
      <c r="AS13" s="63"/>
      <c r="AT13" s="63"/>
      <c r="AU13" s="64">
        <f t="shared" si="22"/>
        <v>0</v>
      </c>
      <c r="AV13" s="63">
        <f t="shared" si="40"/>
        <v>0</v>
      </c>
      <c r="AW13" s="63">
        <v>3.87</v>
      </c>
      <c r="AX13" s="64">
        <f t="shared" si="23"/>
        <v>0</v>
      </c>
      <c r="AY13" s="65">
        <f t="shared" si="24"/>
        <v>0</v>
      </c>
      <c r="AZ13" s="66">
        <v>0.34499999999999997</v>
      </c>
      <c r="BA13" s="67">
        <f t="shared" si="0"/>
        <v>5.52</v>
      </c>
      <c r="BB13" s="64">
        <f t="shared" si="25"/>
        <v>0</v>
      </c>
      <c r="BC13" s="64">
        <f t="shared" si="26"/>
        <v>0</v>
      </c>
      <c r="BD13" s="68">
        <v>6.99</v>
      </c>
      <c r="BE13" s="64">
        <f t="shared" si="27"/>
        <v>0</v>
      </c>
      <c r="BF13" s="64">
        <f t="shared" si="28"/>
        <v>0</v>
      </c>
      <c r="BG13" s="68">
        <v>6.99</v>
      </c>
      <c r="BH13" s="64">
        <f t="shared" si="29"/>
        <v>0</v>
      </c>
      <c r="BI13" s="69">
        <f t="shared" si="30"/>
        <v>0</v>
      </c>
      <c r="BJ13" s="68"/>
      <c r="BK13" s="64">
        <f t="shared" si="31"/>
        <v>0</v>
      </c>
      <c r="BL13" s="68"/>
      <c r="BM13" s="64">
        <f t="shared" si="32"/>
        <v>0</v>
      </c>
      <c r="BN13" s="64">
        <f t="shared" si="33"/>
        <v>0</v>
      </c>
      <c r="BO13" s="68">
        <f t="shared" si="1"/>
        <v>0.47</v>
      </c>
      <c r="BP13" s="64">
        <f t="shared" si="34"/>
        <v>0</v>
      </c>
      <c r="BQ13" s="53">
        <f t="shared" si="41"/>
        <v>0.08</v>
      </c>
      <c r="BR13" s="64">
        <f t="shared" si="42"/>
        <v>0</v>
      </c>
      <c r="BS13" s="53">
        <f t="shared" si="2"/>
        <v>0.05</v>
      </c>
      <c r="BT13" s="64">
        <f t="shared" si="43"/>
        <v>0</v>
      </c>
      <c r="BU13" s="53"/>
      <c r="BV13" s="64">
        <f t="shared" si="35"/>
        <v>0</v>
      </c>
      <c r="BW13" s="64">
        <f t="shared" si="36"/>
        <v>0</v>
      </c>
      <c r="BX13" s="64">
        <f t="shared" si="3"/>
        <v>0</v>
      </c>
      <c r="BY13" s="64">
        <f t="shared" si="4"/>
        <v>0</v>
      </c>
      <c r="BZ13" s="65">
        <f t="shared" si="5"/>
        <v>0</v>
      </c>
      <c r="CA13" s="53">
        <f t="shared" si="6"/>
        <v>1.3</v>
      </c>
      <c r="CB13" s="53">
        <f t="shared" si="7"/>
        <v>1.2</v>
      </c>
      <c r="CC13" s="53">
        <f t="shared" si="8"/>
        <v>1.17</v>
      </c>
      <c r="CD13" s="70">
        <f t="shared" si="37"/>
        <v>0</v>
      </c>
      <c r="CE13" s="71">
        <f t="shared" si="38"/>
        <v>0</v>
      </c>
      <c r="CF13" s="72">
        <f t="shared" si="39"/>
        <v>0</v>
      </c>
    </row>
    <row r="14" spans="1:84" s="73" customFormat="1" x14ac:dyDescent="0.25">
      <c r="A14" s="57"/>
      <c r="B14" s="58" t="s">
        <v>2232</v>
      </c>
      <c r="C14" s="59">
        <v>18</v>
      </c>
      <c r="D14" s="60"/>
      <c r="E14" s="61"/>
      <c r="F14" s="62" t="s">
        <v>2233</v>
      </c>
      <c r="G14" s="63">
        <v>0.52</v>
      </c>
      <c r="H14" s="64">
        <f t="shared" si="9"/>
        <v>0</v>
      </c>
      <c r="I14" s="63"/>
      <c r="J14" s="63">
        <v>3.93</v>
      </c>
      <c r="K14" s="64">
        <f t="shared" si="10"/>
        <v>0</v>
      </c>
      <c r="L14" s="63"/>
      <c r="M14" s="63">
        <v>2.15</v>
      </c>
      <c r="N14" s="64">
        <f t="shared" si="11"/>
        <v>0</v>
      </c>
      <c r="O14" s="63"/>
      <c r="P14" s="63">
        <v>1.5</v>
      </c>
      <c r="Q14" s="64">
        <f t="shared" si="12"/>
        <v>0</v>
      </c>
      <c r="R14" s="63"/>
      <c r="S14" s="63">
        <v>4.34</v>
      </c>
      <c r="T14" s="64">
        <f t="shared" si="13"/>
        <v>0</v>
      </c>
      <c r="U14" s="63"/>
      <c r="V14" s="63">
        <v>1.37</v>
      </c>
      <c r="W14" s="64">
        <f t="shared" si="14"/>
        <v>0</v>
      </c>
      <c r="X14" s="63"/>
      <c r="Y14" s="63">
        <v>5.41</v>
      </c>
      <c r="Z14" s="64">
        <f t="shared" si="15"/>
        <v>0</v>
      </c>
      <c r="AA14" s="63"/>
      <c r="AB14" s="63">
        <v>3.25</v>
      </c>
      <c r="AC14" s="64">
        <f t="shared" si="16"/>
        <v>0</v>
      </c>
      <c r="AD14" s="74"/>
      <c r="AE14" s="63"/>
      <c r="AF14" s="64">
        <f t="shared" si="17"/>
        <v>0</v>
      </c>
      <c r="AG14" s="63"/>
      <c r="AH14" s="63"/>
      <c r="AI14" s="64">
        <f t="shared" si="18"/>
        <v>0</v>
      </c>
      <c r="AJ14" s="63"/>
      <c r="AK14" s="63">
        <v>0.9</v>
      </c>
      <c r="AL14" s="64">
        <f t="shared" si="19"/>
        <v>0</v>
      </c>
      <c r="AM14" s="63"/>
      <c r="AN14" s="63"/>
      <c r="AO14" s="64">
        <f t="shared" si="20"/>
        <v>0</v>
      </c>
      <c r="AP14" s="63"/>
      <c r="AQ14" s="63"/>
      <c r="AR14" s="64">
        <f t="shared" si="21"/>
        <v>0</v>
      </c>
      <c r="AS14" s="63"/>
      <c r="AT14" s="63"/>
      <c r="AU14" s="64">
        <f t="shared" si="22"/>
        <v>0</v>
      </c>
      <c r="AV14" s="63">
        <f t="shared" si="40"/>
        <v>0</v>
      </c>
      <c r="AW14" s="63">
        <v>4.3499999999999996</v>
      </c>
      <c r="AX14" s="64">
        <f t="shared" si="23"/>
        <v>0</v>
      </c>
      <c r="AY14" s="65">
        <f t="shared" si="24"/>
        <v>0</v>
      </c>
      <c r="AZ14" s="66">
        <v>0.34499999999999997</v>
      </c>
      <c r="BA14" s="67">
        <f t="shared" si="0"/>
        <v>6.2099999999999991</v>
      </c>
      <c r="BB14" s="64">
        <f t="shared" si="25"/>
        <v>0</v>
      </c>
      <c r="BC14" s="64">
        <f t="shared" si="26"/>
        <v>0</v>
      </c>
      <c r="BD14" s="68">
        <v>7.86</v>
      </c>
      <c r="BE14" s="64">
        <f t="shared" si="27"/>
        <v>0</v>
      </c>
      <c r="BF14" s="64">
        <f t="shared" si="28"/>
        <v>0</v>
      </c>
      <c r="BG14" s="68">
        <v>7.86</v>
      </c>
      <c r="BH14" s="64">
        <f t="shared" si="29"/>
        <v>0</v>
      </c>
      <c r="BI14" s="69">
        <f t="shared" si="30"/>
        <v>0</v>
      </c>
      <c r="BJ14" s="68"/>
      <c r="BK14" s="64">
        <f t="shared" si="31"/>
        <v>0</v>
      </c>
      <c r="BL14" s="68"/>
      <c r="BM14" s="64">
        <f t="shared" si="32"/>
        <v>0</v>
      </c>
      <c r="BN14" s="64">
        <f t="shared" si="33"/>
        <v>0</v>
      </c>
      <c r="BO14" s="68">
        <f t="shared" si="1"/>
        <v>0.47</v>
      </c>
      <c r="BP14" s="64">
        <f t="shared" si="34"/>
        <v>0</v>
      </c>
      <c r="BQ14" s="53">
        <f t="shared" si="41"/>
        <v>0.08</v>
      </c>
      <c r="BR14" s="64">
        <f t="shared" si="42"/>
        <v>0</v>
      </c>
      <c r="BS14" s="53">
        <f t="shared" si="2"/>
        <v>0.05</v>
      </c>
      <c r="BT14" s="64">
        <f t="shared" si="43"/>
        <v>0</v>
      </c>
      <c r="BU14" s="53"/>
      <c r="BV14" s="64">
        <f t="shared" si="35"/>
        <v>0</v>
      </c>
      <c r="BW14" s="64">
        <f t="shared" si="36"/>
        <v>0</v>
      </c>
      <c r="BX14" s="64">
        <f t="shared" si="3"/>
        <v>0</v>
      </c>
      <c r="BY14" s="64">
        <f t="shared" si="4"/>
        <v>0</v>
      </c>
      <c r="BZ14" s="65">
        <f t="shared" si="5"/>
        <v>0</v>
      </c>
      <c r="CA14" s="53">
        <f t="shared" si="6"/>
        <v>1.3</v>
      </c>
      <c r="CB14" s="53">
        <f t="shared" si="7"/>
        <v>1.2</v>
      </c>
      <c r="CC14" s="53">
        <f t="shared" si="8"/>
        <v>1.17</v>
      </c>
      <c r="CD14" s="70">
        <f t="shared" si="37"/>
        <v>0</v>
      </c>
      <c r="CE14" s="71">
        <f t="shared" si="38"/>
        <v>0</v>
      </c>
      <c r="CF14" s="72">
        <f t="shared" si="39"/>
        <v>0</v>
      </c>
    </row>
    <row r="15" spans="1:84" x14ac:dyDescent="0.25">
      <c r="A15" s="39"/>
      <c r="B15" s="40" t="s">
        <v>2232</v>
      </c>
      <c r="C15" s="41">
        <v>20</v>
      </c>
      <c r="D15" s="42"/>
      <c r="E15" s="43"/>
      <c r="F15" s="44" t="s">
        <v>2233</v>
      </c>
      <c r="G15" s="63">
        <v>0.53</v>
      </c>
      <c r="H15" s="64">
        <f t="shared" si="9"/>
        <v>0</v>
      </c>
      <c r="I15" s="63"/>
      <c r="J15" s="63">
        <v>4.32</v>
      </c>
      <c r="K15" s="64">
        <f t="shared" si="10"/>
        <v>0</v>
      </c>
      <c r="L15" s="63"/>
      <c r="M15" s="63">
        <v>2.67</v>
      </c>
      <c r="N15" s="64">
        <f t="shared" si="11"/>
        <v>0</v>
      </c>
      <c r="O15" s="63"/>
      <c r="P15" s="63">
        <v>1.82</v>
      </c>
      <c r="Q15" s="64">
        <f t="shared" si="12"/>
        <v>0</v>
      </c>
      <c r="R15" s="63"/>
      <c r="S15" s="63">
        <v>5.47</v>
      </c>
      <c r="T15" s="64">
        <f t="shared" si="13"/>
        <v>0</v>
      </c>
      <c r="U15" s="63"/>
      <c r="V15" s="63">
        <v>2.0099999999999998</v>
      </c>
      <c r="W15" s="64">
        <f t="shared" si="14"/>
        <v>0</v>
      </c>
      <c r="X15" s="63"/>
      <c r="Y15" s="63">
        <v>6.4</v>
      </c>
      <c r="Z15" s="64">
        <f t="shared" si="15"/>
        <v>0</v>
      </c>
      <c r="AA15" s="63"/>
      <c r="AB15" s="63">
        <v>3.99</v>
      </c>
      <c r="AC15" s="64">
        <f t="shared" si="16"/>
        <v>0</v>
      </c>
      <c r="AD15" s="74"/>
      <c r="AE15" s="63"/>
      <c r="AF15" s="64">
        <f t="shared" si="17"/>
        <v>0</v>
      </c>
      <c r="AG15" s="63"/>
      <c r="AH15" s="63"/>
      <c r="AI15" s="64">
        <f t="shared" si="18"/>
        <v>0</v>
      </c>
      <c r="AJ15" s="63"/>
      <c r="AK15" s="63">
        <v>1.1100000000000001</v>
      </c>
      <c r="AL15" s="64">
        <f t="shared" si="19"/>
        <v>0</v>
      </c>
      <c r="AM15" s="63"/>
      <c r="AN15" s="63"/>
      <c r="AO15" s="64">
        <f t="shared" si="20"/>
        <v>0</v>
      </c>
      <c r="AP15" s="63"/>
      <c r="AQ15" s="63"/>
      <c r="AR15" s="64">
        <f t="shared" si="21"/>
        <v>0</v>
      </c>
      <c r="AS15" s="63"/>
      <c r="AT15" s="63"/>
      <c r="AU15" s="64">
        <f t="shared" si="22"/>
        <v>0</v>
      </c>
      <c r="AV15" s="63">
        <f t="shared" si="40"/>
        <v>0</v>
      </c>
      <c r="AW15" s="63">
        <v>5.44</v>
      </c>
      <c r="AX15" s="64">
        <f t="shared" si="23"/>
        <v>0</v>
      </c>
      <c r="AY15" s="65">
        <f t="shared" si="24"/>
        <v>0</v>
      </c>
      <c r="AZ15" s="66">
        <v>0.34499999999999997</v>
      </c>
      <c r="BA15" s="67">
        <f t="shared" si="0"/>
        <v>6.8999999999999995</v>
      </c>
      <c r="BB15" s="64">
        <f t="shared" si="25"/>
        <v>0</v>
      </c>
      <c r="BC15" s="64">
        <f t="shared" si="26"/>
        <v>0</v>
      </c>
      <c r="BD15" s="68">
        <v>8.74</v>
      </c>
      <c r="BE15" s="64">
        <f t="shared" si="27"/>
        <v>0</v>
      </c>
      <c r="BF15" s="64">
        <f t="shared" si="28"/>
        <v>0</v>
      </c>
      <c r="BG15" s="68">
        <v>8.74</v>
      </c>
      <c r="BH15" s="64">
        <f t="shared" si="29"/>
        <v>0</v>
      </c>
      <c r="BI15" s="69">
        <f t="shared" si="30"/>
        <v>0</v>
      </c>
      <c r="BJ15" s="68"/>
      <c r="BK15" s="64">
        <f t="shared" si="31"/>
        <v>0</v>
      </c>
      <c r="BL15" s="68"/>
      <c r="BM15" s="64">
        <f t="shared" si="32"/>
        <v>0</v>
      </c>
      <c r="BN15" s="64">
        <f t="shared" si="33"/>
        <v>0</v>
      </c>
      <c r="BO15" s="68">
        <f t="shared" si="1"/>
        <v>0.47</v>
      </c>
      <c r="BP15" s="64">
        <f t="shared" si="34"/>
        <v>0</v>
      </c>
      <c r="BQ15" s="53">
        <f t="shared" si="41"/>
        <v>0.08</v>
      </c>
      <c r="BR15" s="64">
        <f t="shared" si="42"/>
        <v>0</v>
      </c>
      <c r="BS15" s="53">
        <f t="shared" si="2"/>
        <v>0.05</v>
      </c>
      <c r="BT15" s="64">
        <f t="shared" si="43"/>
        <v>0</v>
      </c>
      <c r="BU15" s="53"/>
      <c r="BV15" s="64">
        <f t="shared" si="35"/>
        <v>0</v>
      </c>
      <c r="BW15" s="64">
        <f t="shared" si="36"/>
        <v>0</v>
      </c>
      <c r="BX15" s="64">
        <f t="shared" si="3"/>
        <v>0</v>
      </c>
      <c r="BY15" s="64">
        <f t="shared" si="4"/>
        <v>0</v>
      </c>
      <c r="BZ15" s="65">
        <f t="shared" si="5"/>
        <v>0</v>
      </c>
      <c r="CA15" s="53">
        <f t="shared" si="6"/>
        <v>1.3</v>
      </c>
      <c r="CB15" s="53">
        <f t="shared" si="7"/>
        <v>1.2</v>
      </c>
      <c r="CC15" s="53">
        <f t="shared" si="8"/>
        <v>1.17</v>
      </c>
      <c r="CD15" s="70">
        <f t="shared" si="37"/>
        <v>0</v>
      </c>
      <c r="CE15" s="71">
        <f t="shared" si="38"/>
        <v>0</v>
      </c>
      <c r="CF15" s="72">
        <f t="shared" si="39"/>
        <v>0</v>
      </c>
    </row>
    <row r="16" spans="1:84" x14ac:dyDescent="0.25">
      <c r="A16" s="57"/>
      <c r="B16" s="58" t="s">
        <v>2232</v>
      </c>
      <c r="C16" s="59">
        <v>24</v>
      </c>
      <c r="D16" s="60"/>
      <c r="E16" s="61"/>
      <c r="F16" s="62" t="s">
        <v>2233</v>
      </c>
      <c r="G16" s="63">
        <v>0.55000000000000004</v>
      </c>
      <c r="H16" s="64">
        <f t="shared" si="9"/>
        <v>0</v>
      </c>
      <c r="I16" s="63"/>
      <c r="J16" s="63">
        <v>5.31</v>
      </c>
      <c r="K16" s="64">
        <f t="shared" si="10"/>
        <v>0</v>
      </c>
      <c r="L16" s="63"/>
      <c r="M16" s="63">
        <v>3.65</v>
      </c>
      <c r="N16" s="64">
        <f t="shared" si="11"/>
        <v>0</v>
      </c>
      <c r="O16" s="63"/>
      <c r="P16" s="63">
        <v>3.35</v>
      </c>
      <c r="Q16" s="64">
        <f t="shared" si="12"/>
        <v>0</v>
      </c>
      <c r="R16" s="63"/>
      <c r="S16" s="63">
        <v>7.19</v>
      </c>
      <c r="T16" s="64">
        <f t="shared" si="13"/>
        <v>0</v>
      </c>
      <c r="U16" s="63"/>
      <c r="V16" s="63">
        <v>2.42</v>
      </c>
      <c r="W16" s="64">
        <f t="shared" si="14"/>
        <v>0</v>
      </c>
      <c r="X16" s="63"/>
      <c r="Y16" s="63">
        <v>9.0500000000000007</v>
      </c>
      <c r="Z16" s="64">
        <f t="shared" si="15"/>
        <v>0</v>
      </c>
      <c r="AA16" s="63"/>
      <c r="AB16" s="63">
        <v>4.93</v>
      </c>
      <c r="AC16" s="64">
        <f t="shared" si="16"/>
        <v>0</v>
      </c>
      <c r="AD16" s="63"/>
      <c r="AE16" s="63"/>
      <c r="AF16" s="64">
        <f t="shared" si="17"/>
        <v>0</v>
      </c>
      <c r="AG16" s="63"/>
      <c r="AH16" s="63"/>
      <c r="AI16" s="64">
        <f t="shared" si="18"/>
        <v>0</v>
      </c>
      <c r="AJ16" s="63"/>
      <c r="AK16" s="63">
        <v>1.58</v>
      </c>
      <c r="AL16" s="64">
        <f t="shared" si="19"/>
        <v>0</v>
      </c>
      <c r="AM16" s="63"/>
      <c r="AN16" s="63"/>
      <c r="AO16" s="64">
        <f t="shared" si="20"/>
        <v>0</v>
      </c>
      <c r="AP16" s="63"/>
      <c r="AQ16" s="63"/>
      <c r="AR16" s="64">
        <f t="shared" si="21"/>
        <v>0</v>
      </c>
      <c r="AS16" s="63"/>
      <c r="AT16" s="63"/>
      <c r="AU16" s="64">
        <f t="shared" si="22"/>
        <v>0</v>
      </c>
      <c r="AV16" s="63">
        <f t="shared" si="40"/>
        <v>0</v>
      </c>
      <c r="AW16" s="63">
        <v>6.16</v>
      </c>
      <c r="AX16" s="64">
        <f t="shared" si="23"/>
        <v>0</v>
      </c>
      <c r="AY16" s="65">
        <f t="shared" si="24"/>
        <v>0</v>
      </c>
      <c r="AZ16" s="66">
        <v>0.34499999999999997</v>
      </c>
      <c r="BA16" s="67">
        <f t="shared" si="0"/>
        <v>8.2799999999999994</v>
      </c>
      <c r="BB16" s="64">
        <f t="shared" si="25"/>
        <v>0</v>
      </c>
      <c r="BC16" s="64">
        <f t="shared" si="26"/>
        <v>0</v>
      </c>
      <c r="BD16" s="68">
        <v>10.48</v>
      </c>
      <c r="BE16" s="64">
        <f t="shared" si="27"/>
        <v>0</v>
      </c>
      <c r="BF16" s="64">
        <f t="shared" si="28"/>
        <v>0</v>
      </c>
      <c r="BG16" s="68">
        <v>10.48</v>
      </c>
      <c r="BH16" s="64">
        <f t="shared" si="29"/>
        <v>0</v>
      </c>
      <c r="BI16" s="69">
        <f t="shared" si="30"/>
        <v>0</v>
      </c>
      <c r="BJ16" s="68"/>
      <c r="BK16" s="64">
        <f t="shared" si="31"/>
        <v>0</v>
      </c>
      <c r="BL16" s="68"/>
      <c r="BM16" s="64">
        <f t="shared" si="32"/>
        <v>0</v>
      </c>
      <c r="BN16" s="64">
        <f t="shared" si="33"/>
        <v>0</v>
      </c>
      <c r="BO16" s="68">
        <f t="shared" si="1"/>
        <v>0.47</v>
      </c>
      <c r="BP16" s="64">
        <f t="shared" si="34"/>
        <v>0</v>
      </c>
      <c r="BQ16" s="53">
        <f t="shared" si="41"/>
        <v>0.08</v>
      </c>
      <c r="BR16" s="64">
        <f t="shared" si="42"/>
        <v>0</v>
      </c>
      <c r="BS16" s="53">
        <f t="shared" si="2"/>
        <v>0.05</v>
      </c>
      <c r="BT16" s="64">
        <f t="shared" si="43"/>
        <v>0</v>
      </c>
      <c r="BU16" s="53"/>
      <c r="BV16" s="64">
        <f t="shared" si="35"/>
        <v>0</v>
      </c>
      <c r="BW16" s="64">
        <f t="shared" si="36"/>
        <v>0</v>
      </c>
      <c r="BX16" s="64">
        <f t="shared" si="3"/>
        <v>0</v>
      </c>
      <c r="BY16" s="64">
        <f t="shared" si="4"/>
        <v>0</v>
      </c>
      <c r="BZ16" s="65">
        <f t="shared" si="5"/>
        <v>0</v>
      </c>
      <c r="CA16" s="53">
        <f t="shared" si="6"/>
        <v>1.3</v>
      </c>
      <c r="CB16" s="53">
        <f t="shared" si="7"/>
        <v>1.2</v>
      </c>
      <c r="CC16" s="53">
        <f t="shared" si="8"/>
        <v>1.17</v>
      </c>
      <c r="CD16" s="70">
        <f t="shared" si="37"/>
        <v>0</v>
      </c>
      <c r="CE16" s="71">
        <f t="shared" si="38"/>
        <v>0</v>
      </c>
      <c r="CF16" s="72">
        <f t="shared" si="39"/>
        <v>0</v>
      </c>
    </row>
    <row r="17" spans="1:85" x14ac:dyDescent="0.25">
      <c r="A17" s="57"/>
      <c r="B17" s="58" t="s">
        <v>2232</v>
      </c>
      <c r="C17" s="59">
        <v>30</v>
      </c>
      <c r="D17" s="60"/>
      <c r="E17" s="61"/>
      <c r="F17" s="62" t="s">
        <v>2233</v>
      </c>
      <c r="G17" s="63">
        <v>0.59</v>
      </c>
      <c r="H17" s="64">
        <f t="shared" si="9"/>
        <v>0</v>
      </c>
      <c r="I17" s="63"/>
      <c r="J17" s="63">
        <v>6.98</v>
      </c>
      <c r="K17" s="64">
        <f t="shared" si="10"/>
        <v>0</v>
      </c>
      <c r="L17" s="63"/>
      <c r="M17" s="63">
        <v>4.57</v>
      </c>
      <c r="N17" s="64">
        <f t="shared" si="11"/>
        <v>0</v>
      </c>
      <c r="O17" s="63"/>
      <c r="P17" s="63">
        <v>4.9800000000000004</v>
      </c>
      <c r="Q17" s="64">
        <f t="shared" si="12"/>
        <v>0</v>
      </c>
      <c r="R17" s="63"/>
      <c r="S17" s="63">
        <v>9.09</v>
      </c>
      <c r="T17" s="64">
        <f t="shared" si="13"/>
        <v>0</v>
      </c>
      <c r="U17" s="63"/>
      <c r="V17" s="63">
        <v>3.6</v>
      </c>
      <c r="W17" s="64">
        <f t="shared" si="14"/>
        <v>0</v>
      </c>
      <c r="X17" s="63"/>
      <c r="Y17" s="63">
        <v>10.15</v>
      </c>
      <c r="Z17" s="64">
        <f t="shared" si="15"/>
        <v>0</v>
      </c>
      <c r="AA17" s="63"/>
      <c r="AB17" s="63">
        <v>4.1500000000000004</v>
      </c>
      <c r="AC17" s="64">
        <f t="shared" si="16"/>
        <v>0</v>
      </c>
      <c r="AD17" s="63"/>
      <c r="AE17" s="63"/>
      <c r="AF17" s="64">
        <f t="shared" si="17"/>
        <v>0</v>
      </c>
      <c r="AG17" s="63"/>
      <c r="AH17" s="63"/>
      <c r="AI17" s="64">
        <f t="shared" si="18"/>
        <v>0</v>
      </c>
      <c r="AJ17" s="63"/>
      <c r="AK17" s="63">
        <v>2.1</v>
      </c>
      <c r="AL17" s="64">
        <f t="shared" si="19"/>
        <v>0</v>
      </c>
      <c r="AM17" s="63"/>
      <c r="AN17" s="63"/>
      <c r="AO17" s="64">
        <f t="shared" si="20"/>
        <v>0</v>
      </c>
      <c r="AP17" s="63"/>
      <c r="AQ17" s="63"/>
      <c r="AR17" s="64">
        <f t="shared" si="21"/>
        <v>0</v>
      </c>
      <c r="AS17" s="63"/>
      <c r="AT17" s="63"/>
      <c r="AU17" s="64">
        <f t="shared" si="22"/>
        <v>0</v>
      </c>
      <c r="AV17" s="63">
        <f t="shared" si="40"/>
        <v>0</v>
      </c>
      <c r="AW17" s="63">
        <v>7.71</v>
      </c>
      <c r="AX17" s="64">
        <f t="shared" si="23"/>
        <v>0</v>
      </c>
      <c r="AY17" s="65">
        <f t="shared" si="24"/>
        <v>0</v>
      </c>
      <c r="AZ17" s="66">
        <v>0.34499999999999997</v>
      </c>
      <c r="BA17" s="67">
        <f t="shared" si="0"/>
        <v>10.35</v>
      </c>
      <c r="BB17" s="64">
        <f t="shared" si="25"/>
        <v>0</v>
      </c>
      <c r="BC17" s="64">
        <f t="shared" si="26"/>
        <v>0</v>
      </c>
      <c r="BD17" s="68">
        <v>13.11</v>
      </c>
      <c r="BE17" s="64">
        <f t="shared" si="27"/>
        <v>0</v>
      </c>
      <c r="BF17" s="64">
        <f t="shared" si="28"/>
        <v>0</v>
      </c>
      <c r="BG17" s="68">
        <v>13.11</v>
      </c>
      <c r="BH17" s="64">
        <f t="shared" si="29"/>
        <v>0</v>
      </c>
      <c r="BI17" s="69">
        <f t="shared" si="30"/>
        <v>0</v>
      </c>
      <c r="BJ17" s="68"/>
      <c r="BK17" s="64">
        <f t="shared" si="31"/>
        <v>0</v>
      </c>
      <c r="BL17" s="68"/>
      <c r="BM17" s="64">
        <f t="shared" si="32"/>
        <v>0</v>
      </c>
      <c r="BN17" s="64">
        <f t="shared" si="33"/>
        <v>0</v>
      </c>
      <c r="BO17" s="68">
        <f t="shared" si="1"/>
        <v>0.47</v>
      </c>
      <c r="BP17" s="64">
        <f t="shared" si="34"/>
        <v>0</v>
      </c>
      <c r="BQ17" s="53">
        <f t="shared" si="41"/>
        <v>0.08</v>
      </c>
      <c r="BR17" s="64">
        <f t="shared" si="42"/>
        <v>0</v>
      </c>
      <c r="BS17" s="53">
        <f t="shared" si="2"/>
        <v>0.05</v>
      </c>
      <c r="BT17" s="64">
        <f t="shared" si="43"/>
        <v>0</v>
      </c>
      <c r="BU17" s="53"/>
      <c r="BV17" s="64">
        <f t="shared" si="35"/>
        <v>0</v>
      </c>
      <c r="BW17" s="64">
        <f t="shared" si="36"/>
        <v>0</v>
      </c>
      <c r="BX17" s="64">
        <f t="shared" si="3"/>
        <v>0</v>
      </c>
      <c r="BY17" s="64">
        <f t="shared" si="4"/>
        <v>0</v>
      </c>
      <c r="BZ17" s="65">
        <f t="shared" si="5"/>
        <v>0</v>
      </c>
      <c r="CA17" s="53">
        <f t="shared" si="6"/>
        <v>1.3</v>
      </c>
      <c r="CB17" s="53">
        <f t="shared" si="7"/>
        <v>1.2</v>
      </c>
      <c r="CC17" s="53">
        <f t="shared" si="8"/>
        <v>1.17</v>
      </c>
      <c r="CD17" s="70">
        <f t="shared" si="37"/>
        <v>0</v>
      </c>
      <c r="CE17" s="71">
        <f t="shared" si="38"/>
        <v>0</v>
      </c>
      <c r="CF17" s="72">
        <f t="shared" si="39"/>
        <v>0</v>
      </c>
    </row>
    <row r="18" spans="1:85" x14ac:dyDescent="0.25">
      <c r="A18" s="57"/>
      <c r="B18" s="58" t="s">
        <v>2232</v>
      </c>
      <c r="C18" s="59">
        <v>36</v>
      </c>
      <c r="D18" s="60"/>
      <c r="E18" s="61"/>
      <c r="F18" s="62" t="s">
        <v>2233</v>
      </c>
      <c r="G18" s="63">
        <v>0.63</v>
      </c>
      <c r="H18" s="64">
        <f t="shared" si="9"/>
        <v>0</v>
      </c>
      <c r="I18" s="63"/>
      <c r="J18" s="63">
        <v>8.99</v>
      </c>
      <c r="K18" s="64">
        <f t="shared" si="10"/>
        <v>0</v>
      </c>
      <c r="L18" s="63"/>
      <c r="M18" s="63">
        <v>5.64</v>
      </c>
      <c r="N18" s="64">
        <f t="shared" si="11"/>
        <v>0</v>
      </c>
      <c r="O18" s="63"/>
      <c r="P18" s="63">
        <v>8.09</v>
      </c>
      <c r="Q18" s="64">
        <f t="shared" si="12"/>
        <v>0</v>
      </c>
      <c r="R18" s="63"/>
      <c r="S18" s="63">
        <v>9.82</v>
      </c>
      <c r="T18" s="64">
        <f t="shared" si="13"/>
        <v>0</v>
      </c>
      <c r="U18" s="63"/>
      <c r="V18" s="63">
        <v>4.03</v>
      </c>
      <c r="W18" s="64">
        <f t="shared" si="14"/>
        <v>0</v>
      </c>
      <c r="X18" s="63"/>
      <c r="Y18" s="63">
        <v>11.93</v>
      </c>
      <c r="Z18" s="64">
        <f t="shared" si="15"/>
        <v>0</v>
      </c>
      <c r="AA18" s="63"/>
      <c r="AB18" s="63">
        <v>5.13</v>
      </c>
      <c r="AC18" s="64">
        <f t="shared" si="16"/>
        <v>0</v>
      </c>
      <c r="AD18" s="63"/>
      <c r="AE18" s="63"/>
      <c r="AF18" s="64">
        <f t="shared" si="17"/>
        <v>0</v>
      </c>
      <c r="AG18" s="63"/>
      <c r="AH18" s="63"/>
      <c r="AI18" s="64">
        <f t="shared" si="18"/>
        <v>0</v>
      </c>
      <c r="AJ18" s="63"/>
      <c r="AK18" s="63">
        <v>2.52</v>
      </c>
      <c r="AL18" s="64">
        <f t="shared" si="19"/>
        <v>0</v>
      </c>
      <c r="AM18" s="63"/>
      <c r="AN18" s="63"/>
      <c r="AO18" s="64">
        <f t="shared" si="20"/>
        <v>0</v>
      </c>
      <c r="AP18" s="63"/>
      <c r="AQ18" s="63"/>
      <c r="AR18" s="64">
        <f t="shared" si="21"/>
        <v>0</v>
      </c>
      <c r="AS18" s="63"/>
      <c r="AT18" s="63"/>
      <c r="AU18" s="64">
        <f t="shared" si="22"/>
        <v>0</v>
      </c>
      <c r="AV18" s="63">
        <f t="shared" si="40"/>
        <v>0</v>
      </c>
      <c r="AW18" s="63">
        <v>9.25</v>
      </c>
      <c r="AX18" s="64">
        <f t="shared" si="23"/>
        <v>0</v>
      </c>
      <c r="AY18" s="65">
        <f t="shared" si="24"/>
        <v>0</v>
      </c>
      <c r="AZ18" s="66">
        <v>0.34499999999999997</v>
      </c>
      <c r="BA18" s="67">
        <f t="shared" si="0"/>
        <v>12.419999999999998</v>
      </c>
      <c r="BB18" s="64">
        <f t="shared" si="25"/>
        <v>0</v>
      </c>
      <c r="BC18" s="64">
        <f t="shared" si="26"/>
        <v>0</v>
      </c>
      <c r="BD18" s="68">
        <v>15.73</v>
      </c>
      <c r="BE18" s="64">
        <f t="shared" si="27"/>
        <v>0</v>
      </c>
      <c r="BF18" s="64">
        <f t="shared" si="28"/>
        <v>0</v>
      </c>
      <c r="BG18" s="68">
        <v>15.73</v>
      </c>
      <c r="BH18" s="64">
        <f t="shared" si="29"/>
        <v>0</v>
      </c>
      <c r="BI18" s="69">
        <f t="shared" si="30"/>
        <v>0</v>
      </c>
      <c r="BJ18" s="68"/>
      <c r="BK18" s="64">
        <f t="shared" si="31"/>
        <v>0</v>
      </c>
      <c r="BL18" s="68"/>
      <c r="BM18" s="64">
        <f t="shared" si="32"/>
        <v>0</v>
      </c>
      <c r="BN18" s="64">
        <f t="shared" si="33"/>
        <v>0</v>
      </c>
      <c r="BO18" s="68">
        <f t="shared" si="1"/>
        <v>0.47</v>
      </c>
      <c r="BP18" s="64">
        <f t="shared" si="34"/>
        <v>0</v>
      </c>
      <c r="BQ18" s="53">
        <f t="shared" si="41"/>
        <v>0.08</v>
      </c>
      <c r="BR18" s="64">
        <f t="shared" si="42"/>
        <v>0</v>
      </c>
      <c r="BS18" s="53">
        <f t="shared" si="2"/>
        <v>0.05</v>
      </c>
      <c r="BT18" s="64">
        <f t="shared" si="43"/>
        <v>0</v>
      </c>
      <c r="BU18" s="53"/>
      <c r="BV18" s="64">
        <f t="shared" si="35"/>
        <v>0</v>
      </c>
      <c r="BW18" s="64">
        <f t="shared" si="36"/>
        <v>0</v>
      </c>
      <c r="BX18" s="64">
        <f t="shared" si="3"/>
        <v>0</v>
      </c>
      <c r="BY18" s="64">
        <f t="shared" si="4"/>
        <v>0</v>
      </c>
      <c r="BZ18" s="65">
        <f t="shared" si="5"/>
        <v>0</v>
      </c>
      <c r="CA18" s="53">
        <f t="shared" si="6"/>
        <v>1.3</v>
      </c>
      <c r="CB18" s="53">
        <f t="shared" si="7"/>
        <v>1.2</v>
      </c>
      <c r="CC18" s="53">
        <f t="shared" si="8"/>
        <v>1.17</v>
      </c>
      <c r="CD18" s="70">
        <f t="shared" si="37"/>
        <v>0</v>
      </c>
      <c r="CE18" s="71">
        <f t="shared" si="38"/>
        <v>0</v>
      </c>
      <c r="CF18" s="72">
        <f t="shared" si="39"/>
        <v>0</v>
      </c>
    </row>
    <row r="19" spans="1:85" s="73" customFormat="1" x14ac:dyDescent="0.25">
      <c r="A19" s="57"/>
      <c r="B19" s="58" t="s">
        <v>2232</v>
      </c>
      <c r="C19" s="59">
        <v>42</v>
      </c>
      <c r="D19" s="60"/>
      <c r="E19" s="61"/>
      <c r="F19" s="62" t="s">
        <v>2233</v>
      </c>
      <c r="G19" s="63">
        <v>0.66</v>
      </c>
      <c r="H19" s="64">
        <f t="shared" si="9"/>
        <v>0</v>
      </c>
      <c r="I19" s="63"/>
      <c r="J19" s="63">
        <v>5.56</v>
      </c>
      <c r="K19" s="64">
        <f t="shared" si="10"/>
        <v>0</v>
      </c>
      <c r="L19" s="63"/>
      <c r="M19" s="63">
        <v>6.9</v>
      </c>
      <c r="N19" s="64">
        <f t="shared" si="11"/>
        <v>0</v>
      </c>
      <c r="O19" s="63"/>
      <c r="P19" s="63">
        <v>10.07</v>
      </c>
      <c r="Q19" s="64">
        <f t="shared" si="12"/>
        <v>0</v>
      </c>
      <c r="R19" s="63"/>
      <c r="S19" s="63">
        <v>11.75</v>
      </c>
      <c r="T19" s="64">
        <f t="shared" si="13"/>
        <v>0</v>
      </c>
      <c r="U19" s="63"/>
      <c r="V19" s="63">
        <v>4.3499999999999996</v>
      </c>
      <c r="W19" s="64">
        <f t="shared" si="14"/>
        <v>0</v>
      </c>
      <c r="X19" s="63"/>
      <c r="Y19" s="63">
        <v>13.87</v>
      </c>
      <c r="Z19" s="64">
        <f t="shared" si="15"/>
        <v>0</v>
      </c>
      <c r="AA19" s="63"/>
      <c r="AB19" s="63">
        <v>6.42</v>
      </c>
      <c r="AC19" s="64">
        <f t="shared" si="16"/>
        <v>0</v>
      </c>
      <c r="AD19" s="63"/>
      <c r="AE19" s="63"/>
      <c r="AF19" s="64">
        <f t="shared" si="17"/>
        <v>0</v>
      </c>
      <c r="AG19" s="63"/>
      <c r="AH19" s="63"/>
      <c r="AI19" s="64">
        <f t="shared" si="18"/>
        <v>0</v>
      </c>
      <c r="AJ19" s="63"/>
      <c r="AK19" s="63"/>
      <c r="AL19" s="64">
        <f t="shared" si="19"/>
        <v>0</v>
      </c>
      <c r="AM19" s="63"/>
      <c r="AN19" s="63"/>
      <c r="AO19" s="64">
        <f t="shared" si="20"/>
        <v>0</v>
      </c>
      <c r="AP19" s="63"/>
      <c r="AQ19" s="63"/>
      <c r="AR19" s="64">
        <f t="shared" si="21"/>
        <v>0</v>
      </c>
      <c r="AS19" s="63"/>
      <c r="AT19" s="63"/>
      <c r="AU19" s="64">
        <f t="shared" si="22"/>
        <v>0</v>
      </c>
      <c r="AV19" s="63">
        <f t="shared" si="40"/>
        <v>0</v>
      </c>
      <c r="AW19" s="63">
        <v>10.79</v>
      </c>
      <c r="AX19" s="64">
        <f t="shared" si="23"/>
        <v>0</v>
      </c>
      <c r="AY19" s="65">
        <f t="shared" si="24"/>
        <v>0</v>
      </c>
      <c r="AZ19" s="66">
        <v>0.34499999999999997</v>
      </c>
      <c r="BA19" s="67">
        <f t="shared" si="0"/>
        <v>14.489999999999998</v>
      </c>
      <c r="BB19" s="64">
        <f t="shared" si="25"/>
        <v>0</v>
      </c>
      <c r="BC19" s="64">
        <f t="shared" si="26"/>
        <v>0</v>
      </c>
      <c r="BD19" s="68">
        <v>18.350000000000001</v>
      </c>
      <c r="BE19" s="64">
        <f t="shared" si="27"/>
        <v>0</v>
      </c>
      <c r="BF19" s="64">
        <f t="shared" si="28"/>
        <v>0</v>
      </c>
      <c r="BG19" s="68">
        <v>18.350000000000001</v>
      </c>
      <c r="BH19" s="64">
        <f t="shared" si="29"/>
        <v>0</v>
      </c>
      <c r="BI19" s="69">
        <f t="shared" si="30"/>
        <v>0</v>
      </c>
      <c r="BJ19" s="68"/>
      <c r="BK19" s="64">
        <f t="shared" si="31"/>
        <v>0</v>
      </c>
      <c r="BL19" s="68"/>
      <c r="BM19" s="64">
        <f t="shared" si="32"/>
        <v>0</v>
      </c>
      <c r="BN19" s="64">
        <f t="shared" si="33"/>
        <v>0</v>
      </c>
      <c r="BO19" s="68">
        <f t="shared" si="1"/>
        <v>0.47</v>
      </c>
      <c r="BP19" s="64">
        <f t="shared" si="34"/>
        <v>0</v>
      </c>
      <c r="BQ19" s="53">
        <f t="shared" si="41"/>
        <v>0.08</v>
      </c>
      <c r="BR19" s="64">
        <f t="shared" si="42"/>
        <v>0</v>
      </c>
      <c r="BS19" s="53">
        <f t="shared" si="2"/>
        <v>0.05</v>
      </c>
      <c r="BT19" s="64">
        <f t="shared" si="43"/>
        <v>0</v>
      </c>
      <c r="BU19" s="53"/>
      <c r="BV19" s="64">
        <f t="shared" si="35"/>
        <v>0</v>
      </c>
      <c r="BW19" s="64">
        <f t="shared" si="36"/>
        <v>0</v>
      </c>
      <c r="BX19" s="64">
        <f t="shared" si="3"/>
        <v>0</v>
      </c>
      <c r="BY19" s="64">
        <f t="shared" si="4"/>
        <v>0</v>
      </c>
      <c r="BZ19" s="65">
        <f t="shared" si="5"/>
        <v>0</v>
      </c>
      <c r="CA19" s="53">
        <f t="shared" si="6"/>
        <v>1.3</v>
      </c>
      <c r="CB19" s="53">
        <f t="shared" si="7"/>
        <v>1.2</v>
      </c>
      <c r="CC19" s="53">
        <f t="shared" si="8"/>
        <v>1.17</v>
      </c>
      <c r="CD19" s="70">
        <f t="shared" si="37"/>
        <v>0</v>
      </c>
      <c r="CE19" s="71">
        <f t="shared" si="38"/>
        <v>0</v>
      </c>
      <c r="CF19" s="72">
        <f t="shared" si="39"/>
        <v>0</v>
      </c>
    </row>
    <row r="20" spans="1:85" s="92" customFormat="1" ht="15.75" thickBot="1" x14ac:dyDescent="0.3">
      <c r="A20" s="75"/>
      <c r="B20" s="76" t="s">
        <v>2232</v>
      </c>
      <c r="C20" s="77">
        <v>48</v>
      </c>
      <c r="D20" s="78"/>
      <c r="E20" s="79"/>
      <c r="F20" s="80" t="s">
        <v>2233</v>
      </c>
      <c r="G20" s="81">
        <v>0.7</v>
      </c>
      <c r="H20" s="82">
        <f t="shared" si="9"/>
        <v>0</v>
      </c>
      <c r="I20" s="81"/>
      <c r="J20" s="81">
        <v>10.220000000000001</v>
      </c>
      <c r="K20" s="82">
        <f t="shared" si="10"/>
        <v>0</v>
      </c>
      <c r="L20" s="81"/>
      <c r="M20" s="81">
        <v>8.36</v>
      </c>
      <c r="N20" s="82">
        <f t="shared" si="11"/>
        <v>0</v>
      </c>
      <c r="O20" s="81"/>
      <c r="P20" s="81">
        <v>10.07</v>
      </c>
      <c r="Q20" s="82">
        <f t="shared" si="12"/>
        <v>0</v>
      </c>
      <c r="R20" s="81"/>
      <c r="S20" s="81">
        <v>12.22</v>
      </c>
      <c r="T20" s="82">
        <f t="shared" si="13"/>
        <v>0</v>
      </c>
      <c r="U20" s="81"/>
      <c r="V20" s="81">
        <v>4.75</v>
      </c>
      <c r="W20" s="82">
        <f t="shared" si="14"/>
        <v>0</v>
      </c>
      <c r="X20" s="81"/>
      <c r="Y20" s="81">
        <v>15.6</v>
      </c>
      <c r="Z20" s="82">
        <f t="shared" si="15"/>
        <v>0</v>
      </c>
      <c r="AA20" s="81"/>
      <c r="AB20" s="81">
        <v>7.42</v>
      </c>
      <c r="AC20" s="82">
        <f t="shared" si="16"/>
        <v>0</v>
      </c>
      <c r="AD20" s="81"/>
      <c r="AE20" s="81"/>
      <c r="AF20" s="82">
        <f t="shared" si="17"/>
        <v>0</v>
      </c>
      <c r="AG20" s="81"/>
      <c r="AH20" s="81"/>
      <c r="AI20" s="82">
        <f t="shared" si="18"/>
        <v>0</v>
      </c>
      <c r="AJ20" s="81"/>
      <c r="AK20" s="81"/>
      <c r="AL20" s="82">
        <f t="shared" si="19"/>
        <v>0</v>
      </c>
      <c r="AM20" s="81"/>
      <c r="AN20" s="81"/>
      <c r="AO20" s="82">
        <f t="shared" si="20"/>
        <v>0</v>
      </c>
      <c r="AP20" s="81"/>
      <c r="AQ20" s="81"/>
      <c r="AR20" s="82">
        <f t="shared" si="21"/>
        <v>0</v>
      </c>
      <c r="AS20" s="81"/>
      <c r="AT20" s="81"/>
      <c r="AU20" s="82">
        <f t="shared" si="22"/>
        <v>0</v>
      </c>
      <c r="AV20" s="81">
        <f t="shared" si="40"/>
        <v>0</v>
      </c>
      <c r="AW20" s="81">
        <v>12.33</v>
      </c>
      <c r="AX20" s="82">
        <f t="shared" si="23"/>
        <v>0</v>
      </c>
      <c r="AY20" s="83">
        <f t="shared" si="24"/>
        <v>0</v>
      </c>
      <c r="AZ20" s="84">
        <v>0.34499999999999997</v>
      </c>
      <c r="BA20" s="85">
        <f t="shared" si="0"/>
        <v>16.559999999999999</v>
      </c>
      <c r="BB20" s="82">
        <f t="shared" si="25"/>
        <v>0</v>
      </c>
      <c r="BC20" s="82">
        <f t="shared" si="26"/>
        <v>0</v>
      </c>
      <c r="BD20" s="86">
        <v>20.97</v>
      </c>
      <c r="BE20" s="82">
        <f t="shared" si="27"/>
        <v>0</v>
      </c>
      <c r="BF20" s="82">
        <f t="shared" si="28"/>
        <v>0</v>
      </c>
      <c r="BG20" s="86">
        <v>20.97</v>
      </c>
      <c r="BH20" s="82">
        <f t="shared" si="29"/>
        <v>0</v>
      </c>
      <c r="BI20" s="87">
        <f t="shared" si="30"/>
        <v>0</v>
      </c>
      <c r="BJ20" s="86"/>
      <c r="BK20" s="82">
        <f>ROUNDUP((BC20+BF20)*BJ20,0)</f>
        <v>0</v>
      </c>
      <c r="BL20" s="86"/>
      <c r="BM20" s="82">
        <f t="shared" si="32"/>
        <v>0</v>
      </c>
      <c r="BN20" s="82">
        <f t="shared" si="33"/>
        <v>0</v>
      </c>
      <c r="BO20" s="86">
        <f t="shared" si="1"/>
        <v>0.47</v>
      </c>
      <c r="BP20" s="82">
        <f t="shared" si="34"/>
        <v>0</v>
      </c>
      <c r="BQ20" s="88">
        <f t="shared" si="41"/>
        <v>0.08</v>
      </c>
      <c r="BR20" s="82">
        <f t="shared" si="42"/>
        <v>0</v>
      </c>
      <c r="BS20" s="88">
        <f t="shared" si="2"/>
        <v>0.05</v>
      </c>
      <c r="BT20" s="82">
        <f t="shared" si="43"/>
        <v>0</v>
      </c>
      <c r="BU20" s="88"/>
      <c r="BV20" s="82">
        <f t="shared" si="35"/>
        <v>0</v>
      </c>
      <c r="BW20" s="82">
        <f t="shared" si="36"/>
        <v>0</v>
      </c>
      <c r="BX20" s="82">
        <f t="shared" si="3"/>
        <v>0</v>
      </c>
      <c r="BY20" s="82">
        <f t="shared" si="4"/>
        <v>0</v>
      </c>
      <c r="BZ20" s="83">
        <f t="shared" si="5"/>
        <v>0</v>
      </c>
      <c r="CA20" s="88">
        <f t="shared" si="6"/>
        <v>1.3</v>
      </c>
      <c r="CB20" s="88">
        <f t="shared" si="7"/>
        <v>1.2</v>
      </c>
      <c r="CC20" s="88">
        <f t="shared" si="8"/>
        <v>1.17</v>
      </c>
      <c r="CD20" s="89">
        <f t="shared" si="37"/>
        <v>0</v>
      </c>
      <c r="CE20" s="90">
        <f t="shared" si="38"/>
        <v>0</v>
      </c>
      <c r="CF20" s="91">
        <f t="shared" si="39"/>
        <v>0</v>
      </c>
    </row>
    <row r="21" spans="1:85" x14ac:dyDescent="0.25">
      <c r="A21" s="39"/>
      <c r="B21" s="40" t="s">
        <v>2234</v>
      </c>
      <c r="C21" s="41">
        <v>2.5</v>
      </c>
      <c r="D21" s="42"/>
      <c r="E21" s="43"/>
      <c r="F21" s="44" t="s">
        <v>2233</v>
      </c>
      <c r="G21" s="93">
        <v>0.16</v>
      </c>
      <c r="H21" s="94">
        <f t="shared" si="9"/>
        <v>0</v>
      </c>
      <c r="I21" s="93"/>
      <c r="J21" s="93">
        <v>0.12</v>
      </c>
      <c r="K21" s="94">
        <f t="shared" si="10"/>
        <v>0</v>
      </c>
      <c r="L21" s="93"/>
      <c r="M21" s="93">
        <v>0.08</v>
      </c>
      <c r="N21" s="94">
        <f t="shared" si="11"/>
        <v>0</v>
      </c>
      <c r="O21" s="93"/>
      <c r="P21" s="93">
        <v>0.11</v>
      </c>
      <c r="Q21" s="94">
        <f t="shared" si="12"/>
        <v>0</v>
      </c>
      <c r="R21" s="93"/>
      <c r="S21" s="93">
        <v>0.17</v>
      </c>
      <c r="T21" s="94">
        <f t="shared" si="13"/>
        <v>0</v>
      </c>
      <c r="U21" s="93"/>
      <c r="V21" s="93">
        <v>0.08</v>
      </c>
      <c r="W21" s="94">
        <f t="shared" si="14"/>
        <v>0</v>
      </c>
      <c r="X21" s="93"/>
      <c r="Y21" s="93">
        <v>0.41</v>
      </c>
      <c r="Z21" s="94">
        <f t="shared" si="15"/>
        <v>0</v>
      </c>
      <c r="AA21" s="93"/>
      <c r="AB21" s="93">
        <v>0.22</v>
      </c>
      <c r="AC21" s="94">
        <f t="shared" si="16"/>
        <v>0</v>
      </c>
      <c r="AD21" s="93"/>
      <c r="AE21" s="93"/>
      <c r="AF21" s="94">
        <v>0</v>
      </c>
      <c r="AG21" s="93"/>
      <c r="AH21" s="93"/>
      <c r="AI21" s="94">
        <v>0</v>
      </c>
      <c r="AJ21" s="93"/>
      <c r="AK21" s="93">
        <v>7.0000000000000007E-2</v>
      </c>
      <c r="AL21" s="94">
        <f t="shared" si="19"/>
        <v>0</v>
      </c>
      <c r="AM21" s="93"/>
      <c r="AN21" s="93"/>
      <c r="AO21" s="94">
        <v>0</v>
      </c>
      <c r="AP21" s="93"/>
      <c r="AQ21" s="93"/>
      <c r="AR21" s="94">
        <v>0</v>
      </c>
      <c r="AS21" s="93"/>
      <c r="AT21" s="93"/>
      <c r="AU21" s="94">
        <f t="shared" si="22"/>
        <v>0</v>
      </c>
      <c r="AV21" s="93">
        <f t="shared" si="40"/>
        <v>0</v>
      </c>
      <c r="AW21" s="93">
        <v>0.71</v>
      </c>
      <c r="AX21" s="94">
        <f t="shared" si="23"/>
        <v>0</v>
      </c>
      <c r="AY21" s="95">
        <f t="shared" si="24"/>
        <v>0</v>
      </c>
      <c r="AZ21" s="96">
        <v>0.34499999999999997</v>
      </c>
      <c r="BA21" s="97">
        <f t="shared" si="0"/>
        <v>0.86249999999999993</v>
      </c>
      <c r="BB21" s="94">
        <f t="shared" si="25"/>
        <v>0</v>
      </c>
      <c r="BC21" s="94">
        <f t="shared" si="26"/>
        <v>0</v>
      </c>
      <c r="BD21" s="98">
        <v>1.79</v>
      </c>
      <c r="BE21" s="94">
        <f t="shared" si="27"/>
        <v>0</v>
      </c>
      <c r="BF21" s="94">
        <f t="shared" si="28"/>
        <v>0</v>
      </c>
      <c r="BG21" s="98">
        <v>1.79</v>
      </c>
      <c r="BH21" s="94">
        <f t="shared" si="29"/>
        <v>0</v>
      </c>
      <c r="BI21" s="99">
        <f t="shared" si="30"/>
        <v>0</v>
      </c>
      <c r="BJ21" s="98"/>
      <c r="BK21" s="94">
        <f t="shared" ref="BK21" si="44">ROUNDUP((BC21+BF21)*BJ21,0)</f>
        <v>0</v>
      </c>
      <c r="BL21" s="98"/>
      <c r="BM21" s="94">
        <f t="shared" si="32"/>
        <v>0</v>
      </c>
      <c r="BN21" s="94">
        <f t="shared" si="33"/>
        <v>0</v>
      </c>
      <c r="BO21" s="98">
        <f t="shared" si="1"/>
        <v>0.47</v>
      </c>
      <c r="BP21" s="94">
        <f t="shared" si="34"/>
        <v>0</v>
      </c>
      <c r="BQ21" s="100"/>
      <c r="BR21" s="94">
        <f t="shared" si="42"/>
        <v>0</v>
      </c>
      <c r="BS21" s="100">
        <f t="shared" si="2"/>
        <v>0.05</v>
      </c>
      <c r="BT21" s="94">
        <f>ROUNDUP(BN21*BS21,0)</f>
        <v>0</v>
      </c>
      <c r="BU21" s="100"/>
      <c r="BV21" s="94">
        <f>BU21*BN21</f>
        <v>0</v>
      </c>
      <c r="BW21" s="94">
        <f>BN21+BR21+BP21+BT21+BV21</f>
        <v>0</v>
      </c>
      <c r="BX21" s="94">
        <f t="shared" si="3"/>
        <v>0</v>
      </c>
      <c r="BY21" s="94">
        <f t="shared" si="4"/>
        <v>0</v>
      </c>
      <c r="BZ21" s="95">
        <f t="shared" si="5"/>
        <v>0</v>
      </c>
      <c r="CA21" s="100">
        <f t="shared" si="6"/>
        <v>1.3</v>
      </c>
      <c r="CB21" s="100">
        <f t="shared" si="7"/>
        <v>1.2</v>
      </c>
      <c r="CC21" s="100">
        <f t="shared" si="8"/>
        <v>1.17</v>
      </c>
      <c r="CD21" s="101">
        <f>CC21*CB21*CA21*BX21</f>
        <v>0</v>
      </c>
      <c r="CE21" s="102">
        <f>BZ21</f>
        <v>0</v>
      </c>
      <c r="CF21" s="103">
        <f>CE21+CD21</f>
        <v>0</v>
      </c>
    </row>
    <row r="22" spans="1:85" x14ac:dyDescent="0.25">
      <c r="A22" s="57"/>
      <c r="B22" s="58" t="s">
        <v>2234</v>
      </c>
      <c r="C22" s="59">
        <v>3</v>
      </c>
      <c r="D22" s="60"/>
      <c r="E22" s="61"/>
      <c r="F22" s="62" t="s">
        <v>2233</v>
      </c>
      <c r="G22" s="63">
        <v>0.16</v>
      </c>
      <c r="H22" s="64">
        <f t="shared" si="9"/>
        <v>0</v>
      </c>
      <c r="I22" s="63"/>
      <c r="J22" s="63">
        <v>0.12</v>
      </c>
      <c r="K22" s="64">
        <f t="shared" si="10"/>
        <v>0</v>
      </c>
      <c r="L22" s="63"/>
      <c r="M22" s="63">
        <v>0.08</v>
      </c>
      <c r="N22" s="64">
        <f t="shared" si="11"/>
        <v>0</v>
      </c>
      <c r="O22" s="63"/>
      <c r="P22" s="63">
        <v>0.11</v>
      </c>
      <c r="Q22" s="64">
        <f t="shared" si="12"/>
        <v>0</v>
      </c>
      <c r="R22" s="63"/>
      <c r="S22" s="63">
        <v>0.17</v>
      </c>
      <c r="T22" s="64">
        <f t="shared" si="13"/>
        <v>0</v>
      </c>
      <c r="U22" s="63"/>
      <c r="V22" s="63">
        <v>0.08</v>
      </c>
      <c r="W22" s="64">
        <f t="shared" si="14"/>
        <v>0</v>
      </c>
      <c r="X22" s="63"/>
      <c r="Y22" s="63">
        <v>0.41</v>
      </c>
      <c r="Z22" s="64">
        <f t="shared" si="15"/>
        <v>0</v>
      </c>
      <c r="AA22" s="63"/>
      <c r="AB22" s="63">
        <v>0.22</v>
      </c>
      <c r="AC22" s="64">
        <f t="shared" si="16"/>
        <v>0</v>
      </c>
      <c r="AD22" s="63"/>
      <c r="AE22" s="63"/>
      <c r="AF22" s="64">
        <v>0</v>
      </c>
      <c r="AG22" s="63"/>
      <c r="AH22" s="63"/>
      <c r="AI22" s="64">
        <v>0</v>
      </c>
      <c r="AJ22" s="63"/>
      <c r="AK22" s="63">
        <v>7.0000000000000007E-2</v>
      </c>
      <c r="AL22" s="64">
        <f t="shared" si="19"/>
        <v>0</v>
      </c>
      <c r="AM22" s="63"/>
      <c r="AN22" s="63"/>
      <c r="AO22" s="64">
        <v>0</v>
      </c>
      <c r="AP22" s="63"/>
      <c r="AQ22" s="63"/>
      <c r="AR22" s="64">
        <v>0</v>
      </c>
      <c r="AS22" s="63"/>
      <c r="AT22" s="63"/>
      <c r="AU22" s="64">
        <f t="shared" si="22"/>
        <v>0</v>
      </c>
      <c r="AV22" s="63">
        <f t="shared" si="40"/>
        <v>0</v>
      </c>
      <c r="AW22" s="63">
        <v>0.71</v>
      </c>
      <c r="AX22" s="64">
        <f t="shared" si="23"/>
        <v>0</v>
      </c>
      <c r="AY22" s="65">
        <f t="shared" si="24"/>
        <v>0</v>
      </c>
      <c r="AZ22" s="66">
        <v>0.34499999999999997</v>
      </c>
      <c r="BA22" s="67">
        <f t="shared" si="0"/>
        <v>1.0349999999999999</v>
      </c>
      <c r="BB22" s="64">
        <f t="shared" si="25"/>
        <v>0</v>
      </c>
      <c r="BC22" s="64">
        <f t="shared" si="26"/>
        <v>0</v>
      </c>
      <c r="BD22" s="68">
        <v>1.79</v>
      </c>
      <c r="BE22" s="64">
        <f t="shared" si="27"/>
        <v>0</v>
      </c>
      <c r="BF22" s="64">
        <f t="shared" si="28"/>
        <v>0</v>
      </c>
      <c r="BG22" s="68">
        <v>1.79</v>
      </c>
      <c r="BH22" s="64">
        <f t="shared" si="29"/>
        <v>0</v>
      </c>
      <c r="BI22" s="69">
        <f t="shared" si="30"/>
        <v>0</v>
      </c>
      <c r="BJ22" s="68"/>
      <c r="BK22" s="64">
        <f t="shared" si="31"/>
        <v>0</v>
      </c>
      <c r="BL22" s="68"/>
      <c r="BM22" s="64">
        <f t="shared" si="32"/>
        <v>0</v>
      </c>
      <c r="BN22" s="64">
        <f t="shared" si="33"/>
        <v>0</v>
      </c>
      <c r="BO22" s="68">
        <f t="shared" si="1"/>
        <v>0.47</v>
      </c>
      <c r="BP22" s="64">
        <f t="shared" si="34"/>
        <v>0</v>
      </c>
      <c r="BQ22" s="53"/>
      <c r="BR22" s="64">
        <f t="shared" si="42"/>
        <v>0</v>
      </c>
      <c r="BS22" s="53">
        <f t="shared" si="2"/>
        <v>0.05</v>
      </c>
      <c r="BT22" s="64">
        <f t="shared" ref="BT22:BT42" si="45">ROUNDUP(BN22*BS22,0)</f>
        <v>0</v>
      </c>
      <c r="BU22" s="53"/>
      <c r="BV22" s="64">
        <f t="shared" ref="BV22:BV42" si="46">BU22*BN22</f>
        <v>0</v>
      </c>
      <c r="BW22" s="64">
        <f t="shared" ref="BW22:BW42" si="47">BN22+BR22+BP22+BT22+BV22</f>
        <v>0</v>
      </c>
      <c r="BX22" s="64">
        <f t="shared" si="3"/>
        <v>0</v>
      </c>
      <c r="BY22" s="64">
        <f t="shared" si="4"/>
        <v>0</v>
      </c>
      <c r="BZ22" s="65">
        <f t="shared" si="5"/>
        <v>0</v>
      </c>
      <c r="CA22" s="53">
        <f t="shared" si="6"/>
        <v>1.3</v>
      </c>
      <c r="CB22" s="53">
        <f t="shared" si="7"/>
        <v>1.2</v>
      </c>
      <c r="CC22" s="53">
        <f t="shared" si="8"/>
        <v>1.17</v>
      </c>
      <c r="CD22" s="70">
        <f t="shared" ref="CD22:CD42" si="48">CC22*CB22*CA22*BX22</f>
        <v>0</v>
      </c>
      <c r="CE22" s="71">
        <f t="shared" ref="CE22:CE42" si="49">BZ22</f>
        <v>0</v>
      </c>
      <c r="CF22" s="72">
        <f t="shared" ref="CF22:CF42" si="50">CE22+CD22</f>
        <v>0</v>
      </c>
    </row>
    <row r="23" spans="1:85" x14ac:dyDescent="0.25">
      <c r="A23" s="57"/>
      <c r="B23" s="58" t="s">
        <v>2234</v>
      </c>
      <c r="C23" s="59">
        <v>4</v>
      </c>
      <c r="D23" s="60"/>
      <c r="E23" s="61"/>
      <c r="F23" s="62" t="s">
        <v>2233</v>
      </c>
      <c r="G23" s="63">
        <v>0.21</v>
      </c>
      <c r="H23" s="64">
        <f t="shared" si="9"/>
        <v>0</v>
      </c>
      <c r="I23" s="63"/>
      <c r="J23" s="63">
        <v>0.18</v>
      </c>
      <c r="K23" s="64">
        <f t="shared" si="10"/>
        <v>0</v>
      </c>
      <c r="L23" s="63"/>
      <c r="M23" s="63">
        <v>0.11</v>
      </c>
      <c r="N23" s="64">
        <f t="shared" si="11"/>
        <v>0</v>
      </c>
      <c r="O23" s="63"/>
      <c r="P23" s="63">
        <v>0.14000000000000001</v>
      </c>
      <c r="Q23" s="64">
        <f t="shared" si="12"/>
        <v>0</v>
      </c>
      <c r="R23" s="63"/>
      <c r="S23" s="63">
        <v>0.24</v>
      </c>
      <c r="T23" s="64">
        <f t="shared" si="13"/>
        <v>0</v>
      </c>
      <c r="U23" s="63"/>
      <c r="V23" s="63">
        <v>0.1</v>
      </c>
      <c r="W23" s="64">
        <f t="shared" si="14"/>
        <v>0</v>
      </c>
      <c r="X23" s="63"/>
      <c r="Y23" s="63">
        <v>0.55000000000000004</v>
      </c>
      <c r="Z23" s="64">
        <f t="shared" si="15"/>
        <v>0</v>
      </c>
      <c r="AA23" s="63"/>
      <c r="AB23" s="63">
        <v>0.28999999999999998</v>
      </c>
      <c r="AC23" s="64">
        <f t="shared" si="16"/>
        <v>0</v>
      </c>
      <c r="AD23" s="63"/>
      <c r="AE23" s="63"/>
      <c r="AF23" s="64">
        <v>0</v>
      </c>
      <c r="AG23" s="63"/>
      <c r="AH23" s="63"/>
      <c r="AI23" s="64">
        <v>0</v>
      </c>
      <c r="AJ23" s="63"/>
      <c r="AK23" s="63">
        <v>0.08</v>
      </c>
      <c r="AL23" s="64">
        <f t="shared" si="19"/>
        <v>0</v>
      </c>
      <c r="AM23" s="63"/>
      <c r="AN23" s="63"/>
      <c r="AO23" s="64">
        <v>0</v>
      </c>
      <c r="AP23" s="63"/>
      <c r="AQ23" s="63"/>
      <c r="AR23" s="64">
        <v>0</v>
      </c>
      <c r="AS23" s="63"/>
      <c r="AT23" s="63"/>
      <c r="AU23" s="64">
        <f t="shared" si="22"/>
        <v>0</v>
      </c>
      <c r="AV23" s="63">
        <f t="shared" si="40"/>
        <v>0</v>
      </c>
      <c r="AW23" s="63">
        <v>1.49</v>
      </c>
      <c r="AX23" s="64">
        <f t="shared" si="23"/>
        <v>0</v>
      </c>
      <c r="AY23" s="65">
        <f t="shared" si="24"/>
        <v>0</v>
      </c>
      <c r="AZ23" s="66">
        <v>0.34499999999999997</v>
      </c>
      <c r="BA23" s="67">
        <f t="shared" si="0"/>
        <v>1.38</v>
      </c>
      <c r="BB23" s="64">
        <f t="shared" si="25"/>
        <v>0</v>
      </c>
      <c r="BC23" s="64">
        <f t="shared" si="26"/>
        <v>0</v>
      </c>
      <c r="BD23" s="68">
        <v>2.21</v>
      </c>
      <c r="BE23" s="64">
        <f t="shared" si="27"/>
        <v>0</v>
      </c>
      <c r="BF23" s="64">
        <f t="shared" si="28"/>
        <v>0</v>
      </c>
      <c r="BG23" s="68">
        <v>2.21</v>
      </c>
      <c r="BH23" s="64">
        <f t="shared" si="29"/>
        <v>0</v>
      </c>
      <c r="BI23" s="69">
        <f t="shared" si="30"/>
        <v>0</v>
      </c>
      <c r="BJ23" s="68"/>
      <c r="BK23" s="64">
        <f t="shared" si="31"/>
        <v>0</v>
      </c>
      <c r="BL23" s="68"/>
      <c r="BM23" s="64">
        <f t="shared" si="32"/>
        <v>0</v>
      </c>
      <c r="BN23" s="64">
        <f t="shared" si="33"/>
        <v>0</v>
      </c>
      <c r="BO23" s="68">
        <f t="shared" si="1"/>
        <v>0.47</v>
      </c>
      <c r="BP23" s="64">
        <f t="shared" si="34"/>
        <v>0</v>
      </c>
      <c r="BQ23" s="53"/>
      <c r="BR23" s="64">
        <f t="shared" si="42"/>
        <v>0</v>
      </c>
      <c r="BS23" s="53">
        <f t="shared" si="2"/>
        <v>0.05</v>
      </c>
      <c r="BT23" s="64">
        <f t="shared" si="45"/>
        <v>0</v>
      </c>
      <c r="BU23" s="53"/>
      <c r="BV23" s="64">
        <f t="shared" si="46"/>
        <v>0</v>
      </c>
      <c r="BW23" s="64">
        <f t="shared" si="47"/>
        <v>0</v>
      </c>
      <c r="BX23" s="64">
        <f t="shared" si="3"/>
        <v>0</v>
      </c>
      <c r="BY23" s="64">
        <f t="shared" si="4"/>
        <v>0</v>
      </c>
      <c r="BZ23" s="65">
        <f t="shared" si="5"/>
        <v>0</v>
      </c>
      <c r="CA23" s="53">
        <f t="shared" si="6"/>
        <v>1.3</v>
      </c>
      <c r="CB23" s="53">
        <f t="shared" si="7"/>
        <v>1.2</v>
      </c>
      <c r="CC23" s="53">
        <f t="shared" si="8"/>
        <v>1.17</v>
      </c>
      <c r="CD23" s="70">
        <f t="shared" si="48"/>
        <v>0</v>
      </c>
      <c r="CE23" s="71">
        <f t="shared" si="49"/>
        <v>0</v>
      </c>
      <c r="CF23" s="72">
        <f t="shared" si="50"/>
        <v>0</v>
      </c>
    </row>
    <row r="24" spans="1:85" s="73" customFormat="1" x14ac:dyDescent="0.25">
      <c r="A24" s="57"/>
      <c r="B24" s="58" t="s">
        <v>2234</v>
      </c>
      <c r="C24" s="59">
        <v>6</v>
      </c>
      <c r="D24" s="60"/>
      <c r="E24" s="61"/>
      <c r="F24" s="62" t="s">
        <v>2233</v>
      </c>
      <c r="G24" s="63">
        <v>0.28000000000000003</v>
      </c>
      <c r="H24" s="64">
        <f t="shared" si="9"/>
        <v>0</v>
      </c>
      <c r="I24" s="63"/>
      <c r="J24" s="63">
        <v>0.41</v>
      </c>
      <c r="K24" s="64">
        <f t="shared" si="10"/>
        <v>0</v>
      </c>
      <c r="L24" s="63"/>
      <c r="M24" s="63">
        <v>0.23</v>
      </c>
      <c r="N24" s="64">
        <f t="shared" si="11"/>
        <v>0</v>
      </c>
      <c r="O24" s="63"/>
      <c r="P24" s="63">
        <v>0.23</v>
      </c>
      <c r="Q24" s="64">
        <f t="shared" si="12"/>
        <v>0</v>
      </c>
      <c r="R24" s="63"/>
      <c r="S24" s="63">
        <v>0.59</v>
      </c>
      <c r="T24" s="64">
        <f t="shared" si="13"/>
        <v>0</v>
      </c>
      <c r="U24" s="63"/>
      <c r="V24" s="63">
        <v>0.18</v>
      </c>
      <c r="W24" s="64">
        <f t="shared" si="14"/>
        <v>0</v>
      </c>
      <c r="X24" s="63"/>
      <c r="Y24" s="63">
        <v>0.8</v>
      </c>
      <c r="Z24" s="64">
        <f t="shared" si="15"/>
        <v>0</v>
      </c>
      <c r="AA24" s="63"/>
      <c r="AB24" s="63">
        <v>0.44</v>
      </c>
      <c r="AC24" s="64">
        <f t="shared" si="16"/>
        <v>0</v>
      </c>
      <c r="AD24" s="63"/>
      <c r="AE24" s="63"/>
      <c r="AF24" s="64">
        <v>0</v>
      </c>
      <c r="AG24" s="63"/>
      <c r="AH24" s="63"/>
      <c r="AI24" s="64">
        <v>0</v>
      </c>
      <c r="AJ24" s="63"/>
      <c r="AK24" s="63">
        <v>0.14000000000000001</v>
      </c>
      <c r="AL24" s="64">
        <f t="shared" si="19"/>
        <v>0</v>
      </c>
      <c r="AM24" s="63"/>
      <c r="AN24" s="63"/>
      <c r="AO24" s="64">
        <v>0</v>
      </c>
      <c r="AP24" s="63"/>
      <c r="AQ24" s="63">
        <v>5.67</v>
      </c>
      <c r="AR24" s="64">
        <f t="shared" si="21"/>
        <v>0</v>
      </c>
      <c r="AS24" s="63"/>
      <c r="AT24" s="63"/>
      <c r="AU24" s="64">
        <f t="shared" si="22"/>
        <v>0</v>
      </c>
      <c r="AV24" s="63">
        <f t="shared" si="40"/>
        <v>0</v>
      </c>
      <c r="AW24" s="63">
        <v>1.63</v>
      </c>
      <c r="AX24" s="64">
        <f t="shared" si="23"/>
        <v>0</v>
      </c>
      <c r="AY24" s="65">
        <f t="shared" si="24"/>
        <v>0</v>
      </c>
      <c r="AZ24" s="66">
        <v>0.34499999999999997</v>
      </c>
      <c r="BA24" s="67">
        <f t="shared" si="0"/>
        <v>2.0699999999999998</v>
      </c>
      <c r="BB24" s="64">
        <f t="shared" si="25"/>
        <v>0</v>
      </c>
      <c r="BC24" s="64">
        <f t="shared" si="26"/>
        <v>0</v>
      </c>
      <c r="BD24" s="68">
        <v>2.8</v>
      </c>
      <c r="BE24" s="64">
        <f t="shared" si="27"/>
        <v>0</v>
      </c>
      <c r="BF24" s="64">
        <f t="shared" si="28"/>
        <v>0</v>
      </c>
      <c r="BG24" s="68">
        <v>2.8</v>
      </c>
      <c r="BH24" s="64">
        <f t="shared" si="29"/>
        <v>0</v>
      </c>
      <c r="BI24" s="69">
        <f t="shared" si="30"/>
        <v>0</v>
      </c>
      <c r="BJ24" s="68"/>
      <c r="BK24" s="64">
        <f t="shared" si="31"/>
        <v>0</v>
      </c>
      <c r="BL24" s="68"/>
      <c r="BM24" s="64">
        <f t="shared" si="32"/>
        <v>0</v>
      </c>
      <c r="BN24" s="64">
        <f t="shared" si="33"/>
        <v>0</v>
      </c>
      <c r="BO24" s="68">
        <f t="shared" si="1"/>
        <v>0.47</v>
      </c>
      <c r="BP24" s="64">
        <f t="shared" si="34"/>
        <v>0</v>
      </c>
      <c r="BQ24" s="53"/>
      <c r="BR24" s="64">
        <f t="shared" si="42"/>
        <v>0</v>
      </c>
      <c r="BS24" s="53">
        <f t="shared" si="2"/>
        <v>0.05</v>
      </c>
      <c r="BT24" s="64">
        <f t="shared" si="45"/>
        <v>0</v>
      </c>
      <c r="BU24" s="53"/>
      <c r="BV24" s="64">
        <f t="shared" si="46"/>
        <v>0</v>
      </c>
      <c r="BW24" s="64">
        <f t="shared" si="47"/>
        <v>0</v>
      </c>
      <c r="BX24" s="64">
        <f t="shared" si="3"/>
        <v>0</v>
      </c>
      <c r="BY24" s="64">
        <f t="shared" si="4"/>
        <v>0</v>
      </c>
      <c r="BZ24" s="65">
        <f t="shared" si="5"/>
        <v>0</v>
      </c>
      <c r="CA24" s="53">
        <f t="shared" si="6"/>
        <v>1.3</v>
      </c>
      <c r="CB24" s="53">
        <f t="shared" si="7"/>
        <v>1.2</v>
      </c>
      <c r="CC24" s="53">
        <f t="shared" si="8"/>
        <v>1.17</v>
      </c>
      <c r="CD24" s="70">
        <f t="shared" si="48"/>
        <v>0</v>
      </c>
      <c r="CE24" s="71">
        <f t="shared" si="49"/>
        <v>0</v>
      </c>
      <c r="CF24" s="72">
        <f t="shared" si="50"/>
        <v>0</v>
      </c>
    </row>
    <row r="25" spans="1:85" s="92" customFormat="1" ht="15.75" thickBot="1" x14ac:dyDescent="0.3">
      <c r="A25" s="75"/>
      <c r="B25" s="76" t="s">
        <v>2234</v>
      </c>
      <c r="C25" s="77">
        <v>8</v>
      </c>
      <c r="D25" s="78"/>
      <c r="E25" s="79"/>
      <c r="F25" s="80" t="s">
        <v>2233</v>
      </c>
      <c r="G25" s="81">
        <v>0.34</v>
      </c>
      <c r="H25" s="82">
        <f t="shared" si="9"/>
        <v>0</v>
      </c>
      <c r="I25" s="81"/>
      <c r="J25" s="81">
        <v>0.77</v>
      </c>
      <c r="K25" s="82">
        <f t="shared" si="10"/>
        <v>0</v>
      </c>
      <c r="L25" s="81"/>
      <c r="M25" s="81">
        <v>0.41</v>
      </c>
      <c r="N25" s="82">
        <f t="shared" si="11"/>
        <v>0</v>
      </c>
      <c r="O25" s="81"/>
      <c r="P25" s="81">
        <v>0.39</v>
      </c>
      <c r="Q25" s="82">
        <f t="shared" si="12"/>
        <v>0</v>
      </c>
      <c r="R25" s="81"/>
      <c r="S25" s="81">
        <v>0.96</v>
      </c>
      <c r="T25" s="82">
        <f t="shared" si="13"/>
        <v>0</v>
      </c>
      <c r="U25" s="81"/>
      <c r="V25" s="81">
        <v>0.26</v>
      </c>
      <c r="W25" s="82">
        <f t="shared" si="14"/>
        <v>0</v>
      </c>
      <c r="X25" s="81"/>
      <c r="Y25" s="81">
        <v>1.19</v>
      </c>
      <c r="Z25" s="82">
        <f t="shared" si="15"/>
        <v>0</v>
      </c>
      <c r="AA25" s="81"/>
      <c r="AB25" s="81">
        <v>0.72</v>
      </c>
      <c r="AC25" s="82">
        <f t="shared" si="16"/>
        <v>0</v>
      </c>
      <c r="AD25" s="81"/>
      <c r="AE25" s="81"/>
      <c r="AF25" s="82">
        <v>0</v>
      </c>
      <c r="AG25" s="81"/>
      <c r="AH25" s="81"/>
      <c r="AI25" s="82">
        <v>0</v>
      </c>
      <c r="AJ25" s="81"/>
      <c r="AK25" s="81">
        <v>0.21</v>
      </c>
      <c r="AL25" s="82">
        <f t="shared" si="19"/>
        <v>0</v>
      </c>
      <c r="AM25" s="81"/>
      <c r="AN25" s="81"/>
      <c r="AO25" s="82">
        <v>0</v>
      </c>
      <c r="AP25" s="81"/>
      <c r="AQ25" s="81"/>
      <c r="AR25" s="82">
        <v>0</v>
      </c>
      <c r="AS25" s="81"/>
      <c r="AT25" s="81"/>
      <c r="AU25" s="82">
        <f t="shared" si="22"/>
        <v>0</v>
      </c>
      <c r="AV25" s="81">
        <f t="shared" si="40"/>
        <v>0</v>
      </c>
      <c r="AW25" s="81">
        <v>1.58</v>
      </c>
      <c r="AX25" s="82">
        <f t="shared" si="23"/>
        <v>0</v>
      </c>
      <c r="AY25" s="83">
        <f t="shared" si="24"/>
        <v>0</v>
      </c>
      <c r="AZ25" s="84">
        <v>0.34499999999999997</v>
      </c>
      <c r="BA25" s="85">
        <f t="shared" si="0"/>
        <v>2.76</v>
      </c>
      <c r="BB25" s="82">
        <f t="shared" si="25"/>
        <v>0</v>
      </c>
      <c r="BC25" s="82">
        <f t="shared" si="26"/>
        <v>0</v>
      </c>
      <c r="BD25" s="86">
        <v>3.5</v>
      </c>
      <c r="BE25" s="82">
        <f t="shared" si="27"/>
        <v>0</v>
      </c>
      <c r="BF25" s="82">
        <f t="shared" si="28"/>
        <v>0</v>
      </c>
      <c r="BG25" s="86">
        <v>3.5</v>
      </c>
      <c r="BH25" s="82">
        <f t="shared" si="29"/>
        <v>0</v>
      </c>
      <c r="BI25" s="87">
        <f t="shared" si="30"/>
        <v>0</v>
      </c>
      <c r="BJ25" s="86"/>
      <c r="BK25" s="82">
        <f t="shared" si="31"/>
        <v>0</v>
      </c>
      <c r="BL25" s="86"/>
      <c r="BM25" s="82">
        <f t="shared" si="32"/>
        <v>0</v>
      </c>
      <c r="BN25" s="82">
        <f t="shared" si="33"/>
        <v>0</v>
      </c>
      <c r="BO25" s="86">
        <f t="shared" si="1"/>
        <v>0.47</v>
      </c>
      <c r="BP25" s="82">
        <f t="shared" si="34"/>
        <v>0</v>
      </c>
      <c r="BQ25" s="88">
        <f>$BQ$1</f>
        <v>0.08</v>
      </c>
      <c r="BR25" s="82">
        <f t="shared" si="42"/>
        <v>0</v>
      </c>
      <c r="BS25" s="88">
        <f t="shared" si="2"/>
        <v>0.05</v>
      </c>
      <c r="BT25" s="82">
        <f t="shared" si="45"/>
        <v>0</v>
      </c>
      <c r="BU25" s="88"/>
      <c r="BV25" s="82">
        <f t="shared" si="46"/>
        <v>0</v>
      </c>
      <c r="BW25" s="82">
        <f t="shared" si="47"/>
        <v>0</v>
      </c>
      <c r="BX25" s="82">
        <f t="shared" si="3"/>
        <v>0</v>
      </c>
      <c r="BY25" s="82">
        <f t="shared" si="4"/>
        <v>0</v>
      </c>
      <c r="BZ25" s="83">
        <f t="shared" si="5"/>
        <v>0</v>
      </c>
      <c r="CA25" s="88">
        <f t="shared" si="6"/>
        <v>1.3</v>
      </c>
      <c r="CB25" s="88">
        <f t="shared" si="7"/>
        <v>1.2</v>
      </c>
      <c r="CC25" s="88">
        <f t="shared" si="8"/>
        <v>1.17</v>
      </c>
      <c r="CD25" s="89">
        <f t="shared" si="48"/>
        <v>0</v>
      </c>
      <c r="CE25" s="90">
        <f t="shared" si="49"/>
        <v>0</v>
      </c>
      <c r="CF25" s="91">
        <f t="shared" si="50"/>
        <v>0</v>
      </c>
    </row>
    <row r="26" spans="1:85" x14ac:dyDescent="0.25">
      <c r="A26" s="39"/>
      <c r="B26" s="40" t="s">
        <v>2235</v>
      </c>
      <c r="C26" s="41">
        <v>1</v>
      </c>
      <c r="D26" s="42"/>
      <c r="E26" s="43"/>
      <c r="F26" s="44" t="s">
        <v>2233</v>
      </c>
      <c r="G26" s="93">
        <v>7.0000000000000007E-2</v>
      </c>
      <c r="H26" s="94">
        <f t="shared" si="9"/>
        <v>0</v>
      </c>
      <c r="I26" s="93"/>
      <c r="J26" s="93">
        <v>0.06</v>
      </c>
      <c r="K26" s="94">
        <f t="shared" si="10"/>
        <v>0</v>
      </c>
      <c r="L26" s="93"/>
      <c r="M26" s="93">
        <v>0.06</v>
      </c>
      <c r="N26" s="94">
        <f t="shared" si="11"/>
        <v>0</v>
      </c>
      <c r="O26" s="93"/>
      <c r="P26" s="93"/>
      <c r="Q26" s="94">
        <f t="shared" si="12"/>
        <v>0</v>
      </c>
      <c r="R26" s="93"/>
      <c r="S26" s="93">
        <v>0.06</v>
      </c>
      <c r="T26" s="94">
        <f t="shared" si="13"/>
        <v>0</v>
      </c>
      <c r="U26" s="93"/>
      <c r="V26" s="93">
        <v>0.05</v>
      </c>
      <c r="W26" s="94">
        <f t="shared" si="14"/>
        <v>0</v>
      </c>
      <c r="X26" s="93"/>
      <c r="Y26" s="93">
        <v>0.1</v>
      </c>
      <c r="Z26" s="94">
        <f t="shared" si="15"/>
        <v>0</v>
      </c>
      <c r="AA26" s="93"/>
      <c r="AB26" s="93">
        <v>0.08</v>
      </c>
      <c r="AC26" s="94">
        <f t="shared" si="16"/>
        <v>0</v>
      </c>
      <c r="AD26" s="93"/>
      <c r="AE26" s="93"/>
      <c r="AF26" s="94">
        <f t="shared" si="17"/>
        <v>0</v>
      </c>
      <c r="AG26" s="93"/>
      <c r="AH26" s="93"/>
      <c r="AI26" s="94">
        <f t="shared" si="18"/>
        <v>0</v>
      </c>
      <c r="AJ26" s="93"/>
      <c r="AK26" s="93">
        <v>0.05</v>
      </c>
      <c r="AL26" s="94">
        <f t="shared" si="19"/>
        <v>0</v>
      </c>
      <c r="AM26" s="93"/>
      <c r="AN26" s="93">
        <v>0.05</v>
      </c>
      <c r="AO26" s="94">
        <f t="shared" si="20"/>
        <v>0</v>
      </c>
      <c r="AP26" s="93"/>
      <c r="AQ26" s="93">
        <v>0.06</v>
      </c>
      <c r="AR26" s="94">
        <f t="shared" si="21"/>
        <v>0</v>
      </c>
      <c r="AS26" s="93"/>
      <c r="AT26" s="93"/>
      <c r="AU26" s="94">
        <f t="shared" si="22"/>
        <v>0</v>
      </c>
      <c r="AV26" s="93">
        <f t="shared" si="40"/>
        <v>0</v>
      </c>
      <c r="AW26" s="93">
        <v>0.44</v>
      </c>
      <c r="AX26" s="94">
        <f t="shared" si="23"/>
        <v>0</v>
      </c>
      <c r="AY26" s="95">
        <f t="shared" si="24"/>
        <v>0</v>
      </c>
      <c r="AZ26" s="96">
        <v>0.34499999999999997</v>
      </c>
      <c r="BA26" s="97">
        <f t="shared" si="0"/>
        <v>0.34499999999999997</v>
      </c>
      <c r="BB26" s="94">
        <f t="shared" si="25"/>
        <v>0</v>
      </c>
      <c r="BC26" s="94">
        <f t="shared" si="26"/>
        <v>0</v>
      </c>
      <c r="BD26" s="98">
        <v>0.37</v>
      </c>
      <c r="BE26" s="94">
        <f t="shared" si="27"/>
        <v>0</v>
      </c>
      <c r="BF26" s="94">
        <f t="shared" si="28"/>
        <v>0</v>
      </c>
      <c r="BG26" s="98">
        <v>0.37</v>
      </c>
      <c r="BH26" s="94">
        <f t="shared" si="29"/>
        <v>0</v>
      </c>
      <c r="BI26" s="99">
        <f t="shared" si="30"/>
        <v>0</v>
      </c>
      <c r="BJ26" s="98"/>
      <c r="BK26" s="94">
        <f t="shared" si="31"/>
        <v>0</v>
      </c>
      <c r="BL26" s="98"/>
      <c r="BM26" s="94">
        <f t="shared" si="32"/>
        <v>0</v>
      </c>
      <c r="BN26" s="94">
        <f t="shared" si="33"/>
        <v>0</v>
      </c>
      <c r="BO26" s="98">
        <f t="shared" si="1"/>
        <v>0.47</v>
      </c>
      <c r="BP26" s="94">
        <f t="shared" si="34"/>
        <v>0</v>
      </c>
      <c r="BQ26" s="100"/>
      <c r="BR26" s="94">
        <f t="shared" si="42"/>
        <v>0</v>
      </c>
      <c r="BS26" s="100">
        <f t="shared" si="2"/>
        <v>0.05</v>
      </c>
      <c r="BT26" s="94">
        <f t="shared" si="45"/>
        <v>0</v>
      </c>
      <c r="BU26" s="100"/>
      <c r="BV26" s="94">
        <f t="shared" si="46"/>
        <v>0</v>
      </c>
      <c r="BW26" s="94">
        <f t="shared" si="47"/>
        <v>0</v>
      </c>
      <c r="BX26" s="94">
        <f t="shared" si="3"/>
        <v>0</v>
      </c>
      <c r="BY26" s="94">
        <f t="shared" si="4"/>
        <v>0</v>
      </c>
      <c r="BZ26" s="95">
        <f t="shared" si="5"/>
        <v>0</v>
      </c>
      <c r="CA26" s="100">
        <f t="shared" si="6"/>
        <v>1.3</v>
      </c>
      <c r="CB26" s="100">
        <f t="shared" si="7"/>
        <v>1.2</v>
      </c>
      <c r="CC26" s="100">
        <f t="shared" si="8"/>
        <v>1.17</v>
      </c>
      <c r="CD26" s="101">
        <f t="shared" si="48"/>
        <v>0</v>
      </c>
      <c r="CE26" s="102">
        <f t="shared" si="49"/>
        <v>0</v>
      </c>
      <c r="CF26" s="103">
        <f t="shared" si="50"/>
        <v>0</v>
      </c>
    </row>
    <row r="27" spans="1:85" x14ac:dyDescent="0.25">
      <c r="A27" s="57"/>
      <c r="B27" s="58" t="s">
        <v>2235</v>
      </c>
      <c r="C27" s="59">
        <v>1.25</v>
      </c>
      <c r="D27" s="60"/>
      <c r="E27" s="61"/>
      <c r="F27" s="62" t="s">
        <v>2236</v>
      </c>
      <c r="G27" s="63">
        <v>0.08</v>
      </c>
      <c r="H27" s="64">
        <f t="shared" si="9"/>
        <v>0</v>
      </c>
      <c r="I27" s="63"/>
      <c r="J27" s="63">
        <v>7.0000000000000007E-2</v>
      </c>
      <c r="K27" s="64">
        <f t="shared" si="10"/>
        <v>0</v>
      </c>
      <c r="L27" s="63"/>
      <c r="M27" s="63">
        <v>7.0000000000000007E-2</v>
      </c>
      <c r="N27" s="64">
        <f t="shared" si="11"/>
        <v>0</v>
      </c>
      <c r="O27" s="63"/>
      <c r="P27" s="63"/>
      <c r="Q27" s="64">
        <f t="shared" si="12"/>
        <v>0</v>
      </c>
      <c r="R27" s="63"/>
      <c r="S27" s="63">
        <v>0.08</v>
      </c>
      <c r="T27" s="64">
        <f t="shared" si="13"/>
        <v>0</v>
      </c>
      <c r="U27" s="63"/>
      <c r="V27" s="63">
        <v>0.06</v>
      </c>
      <c r="W27" s="64">
        <f t="shared" si="14"/>
        <v>0</v>
      </c>
      <c r="X27" s="63"/>
      <c r="Y27" s="63">
        <v>0.12</v>
      </c>
      <c r="Z27" s="64">
        <f t="shared" si="15"/>
        <v>0</v>
      </c>
      <c r="AA27" s="63"/>
      <c r="AB27" s="63">
        <v>0.09</v>
      </c>
      <c r="AC27" s="64">
        <f t="shared" si="16"/>
        <v>0</v>
      </c>
      <c r="AD27" s="63"/>
      <c r="AE27" s="63"/>
      <c r="AF27" s="64">
        <f t="shared" si="17"/>
        <v>0</v>
      </c>
      <c r="AG27" s="63"/>
      <c r="AH27" s="63"/>
      <c r="AI27" s="64">
        <f t="shared" si="18"/>
        <v>0</v>
      </c>
      <c r="AJ27" s="63"/>
      <c r="AK27" s="63">
        <v>0.06</v>
      </c>
      <c r="AL27" s="64">
        <f t="shared" si="19"/>
        <v>0</v>
      </c>
      <c r="AM27" s="63"/>
      <c r="AN27" s="63">
        <v>0.06</v>
      </c>
      <c r="AO27" s="64">
        <f t="shared" si="20"/>
        <v>0</v>
      </c>
      <c r="AP27" s="63"/>
      <c r="AQ27" s="63"/>
      <c r="AR27" s="64">
        <f t="shared" si="21"/>
        <v>0</v>
      </c>
      <c r="AS27" s="63"/>
      <c r="AT27" s="63"/>
      <c r="AU27" s="64">
        <f t="shared" si="22"/>
        <v>0</v>
      </c>
      <c r="AV27" s="63">
        <f t="shared" si="40"/>
        <v>0</v>
      </c>
      <c r="AW27" s="63">
        <v>0.69</v>
      </c>
      <c r="AX27" s="64">
        <f t="shared" si="23"/>
        <v>0</v>
      </c>
      <c r="AY27" s="65">
        <f t="shared" si="24"/>
        <v>0</v>
      </c>
      <c r="AZ27" s="66">
        <v>0.34499999999999997</v>
      </c>
      <c r="BA27" s="67">
        <f t="shared" si="0"/>
        <v>0.43124999999999997</v>
      </c>
      <c r="BB27" s="64">
        <f t="shared" si="25"/>
        <v>0</v>
      </c>
      <c r="BC27" s="64">
        <f t="shared" si="26"/>
        <v>0</v>
      </c>
      <c r="BD27" s="68">
        <v>0.42</v>
      </c>
      <c r="BE27" s="64">
        <f t="shared" si="27"/>
        <v>0</v>
      </c>
      <c r="BF27" s="64">
        <f t="shared" si="28"/>
        <v>0</v>
      </c>
      <c r="BG27" s="68">
        <v>0.42</v>
      </c>
      <c r="BH27" s="64">
        <f t="shared" si="29"/>
        <v>0</v>
      </c>
      <c r="BI27" s="69">
        <f t="shared" si="30"/>
        <v>0</v>
      </c>
      <c r="BJ27" s="68"/>
      <c r="BK27" s="64">
        <f t="shared" si="31"/>
        <v>0</v>
      </c>
      <c r="BL27" s="68"/>
      <c r="BM27" s="64">
        <f t="shared" si="32"/>
        <v>0</v>
      </c>
      <c r="BN27" s="64">
        <f t="shared" si="33"/>
        <v>0</v>
      </c>
      <c r="BO27" s="68">
        <f t="shared" si="1"/>
        <v>0.47</v>
      </c>
      <c r="BP27" s="64">
        <f t="shared" si="34"/>
        <v>0</v>
      </c>
      <c r="BQ27" s="53"/>
      <c r="BR27" s="64">
        <f t="shared" si="42"/>
        <v>0</v>
      </c>
      <c r="BS27" s="53">
        <f t="shared" si="2"/>
        <v>0.05</v>
      </c>
      <c r="BT27" s="64">
        <f t="shared" si="45"/>
        <v>0</v>
      </c>
      <c r="BU27" s="53"/>
      <c r="BV27" s="64">
        <f t="shared" si="46"/>
        <v>0</v>
      </c>
      <c r="BW27" s="64">
        <f t="shared" si="47"/>
        <v>0</v>
      </c>
      <c r="BX27" s="64">
        <f t="shared" si="3"/>
        <v>0</v>
      </c>
      <c r="BY27" s="64">
        <f t="shared" si="4"/>
        <v>0</v>
      </c>
      <c r="BZ27" s="65">
        <f t="shared" si="5"/>
        <v>0</v>
      </c>
      <c r="CA27" s="53">
        <f t="shared" si="6"/>
        <v>1.3</v>
      </c>
      <c r="CB27" s="53">
        <f t="shared" si="7"/>
        <v>1.2</v>
      </c>
      <c r="CC27" s="53">
        <f t="shared" si="8"/>
        <v>1.17</v>
      </c>
      <c r="CD27" s="70">
        <f t="shared" si="48"/>
        <v>0</v>
      </c>
      <c r="CE27" s="71">
        <f t="shared" si="49"/>
        <v>0</v>
      </c>
      <c r="CF27" s="72">
        <f t="shared" si="50"/>
        <v>0</v>
      </c>
    </row>
    <row r="28" spans="1:85" x14ac:dyDescent="0.25">
      <c r="A28" s="57"/>
      <c r="B28" s="58" t="s">
        <v>2235</v>
      </c>
      <c r="C28" s="59">
        <v>1.5</v>
      </c>
      <c r="D28" s="60"/>
      <c r="E28" s="61"/>
      <c r="F28" s="62" t="s">
        <v>2236</v>
      </c>
      <c r="G28" s="63">
        <v>0.09</v>
      </c>
      <c r="H28" s="64">
        <f t="shared" si="9"/>
        <v>0</v>
      </c>
      <c r="I28" s="63"/>
      <c r="J28" s="63">
        <v>0.08</v>
      </c>
      <c r="K28" s="64">
        <f t="shared" si="10"/>
        <v>0</v>
      </c>
      <c r="L28" s="63"/>
      <c r="M28" s="63">
        <v>7.0000000000000007E-2</v>
      </c>
      <c r="N28" s="64">
        <f t="shared" si="11"/>
        <v>0</v>
      </c>
      <c r="O28" s="63"/>
      <c r="P28" s="63"/>
      <c r="Q28" s="64">
        <f t="shared" si="12"/>
        <v>0</v>
      </c>
      <c r="R28" s="63"/>
      <c r="S28" s="63">
        <v>0.08</v>
      </c>
      <c r="T28" s="64">
        <f t="shared" si="13"/>
        <v>0</v>
      </c>
      <c r="U28" s="63"/>
      <c r="V28" s="63">
        <v>0.06</v>
      </c>
      <c r="W28" s="64">
        <f t="shared" si="14"/>
        <v>0</v>
      </c>
      <c r="X28" s="63"/>
      <c r="Y28" s="63">
        <v>0.16</v>
      </c>
      <c r="Z28" s="64">
        <f t="shared" si="15"/>
        <v>0</v>
      </c>
      <c r="AA28" s="63"/>
      <c r="AB28" s="63">
        <v>0.1</v>
      </c>
      <c r="AC28" s="64">
        <f t="shared" si="16"/>
        <v>0</v>
      </c>
      <c r="AD28" s="63"/>
      <c r="AE28" s="63"/>
      <c r="AF28" s="64">
        <f t="shared" si="17"/>
        <v>0</v>
      </c>
      <c r="AG28" s="63"/>
      <c r="AH28" s="63"/>
      <c r="AI28" s="64">
        <f t="shared" si="18"/>
        <v>0</v>
      </c>
      <c r="AJ28" s="63"/>
      <c r="AK28" s="63">
        <v>0.06</v>
      </c>
      <c r="AL28" s="64">
        <f t="shared" si="19"/>
        <v>0</v>
      </c>
      <c r="AM28" s="63"/>
      <c r="AN28" s="63">
        <v>0.06</v>
      </c>
      <c r="AO28" s="64">
        <f t="shared" si="20"/>
        <v>0</v>
      </c>
      <c r="AP28" s="63"/>
      <c r="AQ28" s="63"/>
      <c r="AR28" s="64">
        <f t="shared" si="21"/>
        <v>0</v>
      </c>
      <c r="AS28" s="63"/>
      <c r="AT28" s="63"/>
      <c r="AU28" s="64">
        <f t="shared" si="22"/>
        <v>0</v>
      </c>
      <c r="AV28" s="63">
        <f t="shared" si="40"/>
        <v>0</v>
      </c>
      <c r="AW28" s="63">
        <v>0.69</v>
      </c>
      <c r="AX28" s="64">
        <f t="shared" si="23"/>
        <v>0</v>
      </c>
      <c r="AY28" s="65">
        <f t="shared" si="24"/>
        <v>0</v>
      </c>
      <c r="AZ28" s="66">
        <v>0.34499999999999997</v>
      </c>
      <c r="BA28" s="67">
        <f t="shared" si="0"/>
        <v>0.51749999999999996</v>
      </c>
      <c r="BB28" s="64">
        <f t="shared" si="25"/>
        <v>0</v>
      </c>
      <c r="BC28" s="64">
        <f t="shared" si="26"/>
        <v>0</v>
      </c>
      <c r="BD28" s="68">
        <v>0.46</v>
      </c>
      <c r="BE28" s="64">
        <f t="shared" si="27"/>
        <v>0</v>
      </c>
      <c r="BF28" s="64">
        <f t="shared" si="28"/>
        <v>0</v>
      </c>
      <c r="BG28" s="68">
        <v>0.46</v>
      </c>
      <c r="BH28" s="64">
        <f t="shared" si="29"/>
        <v>0</v>
      </c>
      <c r="BI28" s="69">
        <f t="shared" si="30"/>
        <v>0</v>
      </c>
      <c r="BJ28" s="68"/>
      <c r="BK28" s="64">
        <f t="shared" si="31"/>
        <v>0</v>
      </c>
      <c r="BL28" s="68"/>
      <c r="BM28" s="64">
        <f t="shared" si="32"/>
        <v>0</v>
      </c>
      <c r="BN28" s="64">
        <f t="shared" si="33"/>
        <v>0</v>
      </c>
      <c r="BO28" s="68">
        <f t="shared" si="1"/>
        <v>0.47</v>
      </c>
      <c r="BP28" s="64">
        <f t="shared" si="34"/>
        <v>0</v>
      </c>
      <c r="BQ28" s="53"/>
      <c r="BR28" s="64">
        <f t="shared" si="42"/>
        <v>0</v>
      </c>
      <c r="BS28" s="53">
        <f t="shared" si="2"/>
        <v>0.05</v>
      </c>
      <c r="BT28" s="64">
        <f t="shared" si="45"/>
        <v>0</v>
      </c>
      <c r="BU28" s="53"/>
      <c r="BV28" s="64">
        <f t="shared" si="46"/>
        <v>0</v>
      </c>
      <c r="BW28" s="64">
        <f t="shared" si="47"/>
        <v>0</v>
      </c>
      <c r="BX28" s="64">
        <f t="shared" si="3"/>
        <v>0</v>
      </c>
      <c r="BY28" s="64">
        <f t="shared" si="4"/>
        <v>0</v>
      </c>
      <c r="BZ28" s="65">
        <f t="shared" si="5"/>
        <v>0</v>
      </c>
      <c r="CA28" s="53">
        <f t="shared" si="6"/>
        <v>1.3</v>
      </c>
      <c r="CB28" s="53">
        <f t="shared" si="7"/>
        <v>1.2</v>
      </c>
      <c r="CC28" s="53">
        <f t="shared" si="8"/>
        <v>1.17</v>
      </c>
      <c r="CD28" s="70">
        <f t="shared" si="48"/>
        <v>0</v>
      </c>
      <c r="CE28" s="71">
        <f t="shared" si="49"/>
        <v>0</v>
      </c>
      <c r="CF28" s="72">
        <f t="shared" si="50"/>
        <v>0</v>
      </c>
    </row>
    <row r="29" spans="1:85" s="108" customFormat="1" ht="15.75" thickBot="1" x14ac:dyDescent="0.3">
      <c r="A29" s="75"/>
      <c r="B29" s="76" t="s">
        <v>2235</v>
      </c>
      <c r="C29" s="77">
        <v>2</v>
      </c>
      <c r="D29" s="104"/>
      <c r="E29" s="105"/>
      <c r="F29" s="80" t="s">
        <v>2236</v>
      </c>
      <c r="G29" s="106">
        <v>0.1</v>
      </c>
      <c r="H29" s="82">
        <f t="shared" si="9"/>
        <v>0</v>
      </c>
      <c r="I29" s="106"/>
      <c r="J29" s="106">
        <v>0.09</v>
      </c>
      <c r="K29" s="82">
        <f t="shared" si="10"/>
        <v>0</v>
      </c>
      <c r="L29" s="106"/>
      <c r="M29" s="106">
        <v>0.09</v>
      </c>
      <c r="N29" s="82">
        <f t="shared" si="11"/>
        <v>0</v>
      </c>
      <c r="O29" s="106"/>
      <c r="P29" s="106"/>
      <c r="Q29" s="82">
        <f t="shared" si="12"/>
        <v>0</v>
      </c>
      <c r="R29" s="106"/>
      <c r="S29" s="106">
        <v>0.11</v>
      </c>
      <c r="T29" s="82">
        <f t="shared" si="13"/>
        <v>0</v>
      </c>
      <c r="U29" s="106"/>
      <c r="V29" s="106">
        <v>0.08</v>
      </c>
      <c r="W29" s="82">
        <f t="shared" si="14"/>
        <v>0</v>
      </c>
      <c r="X29" s="106"/>
      <c r="Y29" s="106">
        <v>0.28000000000000003</v>
      </c>
      <c r="Z29" s="82">
        <f t="shared" si="15"/>
        <v>0</v>
      </c>
      <c r="AA29" s="106"/>
      <c r="AB29" s="106">
        <v>0.13</v>
      </c>
      <c r="AC29" s="82">
        <f t="shared" si="16"/>
        <v>0</v>
      </c>
      <c r="AD29" s="106"/>
      <c r="AE29" s="106"/>
      <c r="AF29" s="82">
        <f t="shared" si="17"/>
        <v>0</v>
      </c>
      <c r="AG29" s="106"/>
      <c r="AH29" s="106"/>
      <c r="AI29" s="82">
        <f t="shared" si="18"/>
        <v>0</v>
      </c>
      <c r="AJ29" s="106"/>
      <c r="AK29" s="106">
        <v>7.0000000000000007E-2</v>
      </c>
      <c r="AL29" s="82">
        <f t="shared" si="19"/>
        <v>0</v>
      </c>
      <c r="AM29" s="106"/>
      <c r="AN29" s="106">
        <v>0.08</v>
      </c>
      <c r="AO29" s="82">
        <f t="shared" si="20"/>
        <v>0</v>
      </c>
      <c r="AP29" s="81"/>
      <c r="AQ29" s="81"/>
      <c r="AR29" s="82">
        <f t="shared" si="21"/>
        <v>0</v>
      </c>
      <c r="AS29" s="106"/>
      <c r="AT29" s="106"/>
      <c r="AU29" s="82">
        <f t="shared" si="22"/>
        <v>0</v>
      </c>
      <c r="AV29" s="81">
        <f t="shared" si="40"/>
        <v>0</v>
      </c>
      <c r="AW29" s="106">
        <v>0.74</v>
      </c>
      <c r="AX29" s="82">
        <f t="shared" si="23"/>
        <v>0</v>
      </c>
      <c r="AY29" s="83">
        <f t="shared" si="24"/>
        <v>0</v>
      </c>
      <c r="AZ29" s="84">
        <v>0.34499999999999997</v>
      </c>
      <c r="BA29" s="85">
        <f t="shared" si="0"/>
        <v>0.69</v>
      </c>
      <c r="BB29" s="82">
        <f t="shared" si="25"/>
        <v>0</v>
      </c>
      <c r="BC29" s="82">
        <f t="shared" si="26"/>
        <v>0</v>
      </c>
      <c r="BD29" s="107">
        <v>0.56000000000000005</v>
      </c>
      <c r="BE29" s="82">
        <f t="shared" si="27"/>
        <v>0</v>
      </c>
      <c r="BF29" s="82">
        <f t="shared" si="28"/>
        <v>0</v>
      </c>
      <c r="BG29" s="107">
        <v>0.56000000000000005</v>
      </c>
      <c r="BH29" s="82">
        <f t="shared" si="29"/>
        <v>0</v>
      </c>
      <c r="BI29" s="87">
        <f t="shared" si="30"/>
        <v>0</v>
      </c>
      <c r="BJ29" s="107"/>
      <c r="BK29" s="82">
        <f t="shared" si="31"/>
        <v>0</v>
      </c>
      <c r="BL29" s="107"/>
      <c r="BM29" s="82">
        <f t="shared" si="32"/>
        <v>0</v>
      </c>
      <c r="BN29" s="82">
        <f t="shared" si="33"/>
        <v>0</v>
      </c>
      <c r="BO29" s="86">
        <f t="shared" si="1"/>
        <v>0.47</v>
      </c>
      <c r="BP29" s="82">
        <f t="shared" si="34"/>
        <v>0</v>
      </c>
      <c r="BQ29" s="88"/>
      <c r="BR29" s="82">
        <f t="shared" si="42"/>
        <v>0</v>
      </c>
      <c r="BS29" s="88">
        <f t="shared" si="2"/>
        <v>0.05</v>
      </c>
      <c r="BT29" s="82">
        <f t="shared" si="45"/>
        <v>0</v>
      </c>
      <c r="BU29" s="88"/>
      <c r="BV29" s="82">
        <f t="shared" si="46"/>
        <v>0</v>
      </c>
      <c r="BW29" s="82">
        <f t="shared" si="47"/>
        <v>0</v>
      </c>
      <c r="BX29" s="82">
        <f t="shared" si="3"/>
        <v>0</v>
      </c>
      <c r="BY29" s="82">
        <f t="shared" si="4"/>
        <v>0</v>
      </c>
      <c r="BZ29" s="83">
        <f t="shared" si="5"/>
        <v>0</v>
      </c>
      <c r="CA29" s="88">
        <f t="shared" si="6"/>
        <v>1.3</v>
      </c>
      <c r="CB29" s="88">
        <f t="shared" si="7"/>
        <v>1.2</v>
      </c>
      <c r="CC29" s="88">
        <f t="shared" si="8"/>
        <v>1.17</v>
      </c>
      <c r="CD29" s="89">
        <f t="shared" si="48"/>
        <v>0</v>
      </c>
      <c r="CE29" s="90">
        <f t="shared" si="49"/>
        <v>0</v>
      </c>
      <c r="CF29" s="91">
        <f t="shared" si="50"/>
        <v>0</v>
      </c>
    </row>
    <row r="30" spans="1:85" x14ac:dyDescent="0.25">
      <c r="A30" s="111"/>
      <c r="B30" s="112" t="s">
        <v>2239</v>
      </c>
      <c r="C30" s="113">
        <v>0.5</v>
      </c>
      <c r="D30" s="114"/>
      <c r="E30" s="115"/>
      <c r="F30" s="44" t="s">
        <v>2238</v>
      </c>
      <c r="G30" s="93">
        <v>0.06</v>
      </c>
      <c r="H30" s="94">
        <f t="shared" si="9"/>
        <v>0</v>
      </c>
      <c r="I30" s="93"/>
      <c r="J30" s="93">
        <v>0.05</v>
      </c>
      <c r="K30" s="94">
        <f t="shared" si="10"/>
        <v>0</v>
      </c>
      <c r="L30" s="93"/>
      <c r="M30" s="93">
        <v>0.05</v>
      </c>
      <c r="N30" s="94">
        <f t="shared" si="11"/>
        <v>0</v>
      </c>
      <c r="O30" s="93"/>
      <c r="P30" s="93">
        <v>0.05</v>
      </c>
      <c r="Q30" s="94">
        <f t="shared" si="12"/>
        <v>0</v>
      </c>
      <c r="R30" s="93"/>
      <c r="S30" s="93">
        <v>0.05</v>
      </c>
      <c r="T30" s="94">
        <f t="shared" si="13"/>
        <v>0</v>
      </c>
      <c r="U30" s="93"/>
      <c r="V30" s="93">
        <v>0.05</v>
      </c>
      <c r="W30" s="94">
        <f t="shared" si="14"/>
        <v>0</v>
      </c>
      <c r="X30" s="93"/>
      <c r="Y30" s="93">
        <v>0.12</v>
      </c>
      <c r="Z30" s="94">
        <f t="shared" si="15"/>
        <v>0</v>
      </c>
      <c r="AA30" s="93"/>
      <c r="AB30" s="93">
        <v>0.06</v>
      </c>
      <c r="AC30" s="94">
        <f t="shared" si="16"/>
        <v>0</v>
      </c>
      <c r="AD30" s="93"/>
      <c r="AE30" s="93">
        <v>0.05</v>
      </c>
      <c r="AF30" s="94">
        <f t="shared" si="17"/>
        <v>0</v>
      </c>
      <c r="AG30" s="93"/>
      <c r="AH30" s="93"/>
      <c r="AI30" s="94">
        <f t="shared" si="18"/>
        <v>0</v>
      </c>
      <c r="AJ30" s="93"/>
      <c r="AK30" s="93">
        <v>0.05</v>
      </c>
      <c r="AL30" s="94">
        <f t="shared" si="19"/>
        <v>0</v>
      </c>
      <c r="AM30" s="93"/>
      <c r="AN30" s="93"/>
      <c r="AO30" s="94">
        <f t="shared" si="20"/>
        <v>0</v>
      </c>
      <c r="AP30" s="93"/>
      <c r="AQ30" s="93"/>
      <c r="AR30" s="94">
        <f t="shared" si="21"/>
        <v>0</v>
      </c>
      <c r="AS30" s="93"/>
      <c r="AT30" s="93"/>
      <c r="AU30" s="94">
        <f t="shared" si="22"/>
        <v>0</v>
      </c>
      <c r="AV30" s="93">
        <f t="shared" si="40"/>
        <v>0</v>
      </c>
      <c r="AW30" s="93">
        <v>0.47</v>
      </c>
      <c r="AX30" s="94">
        <f t="shared" si="23"/>
        <v>0</v>
      </c>
      <c r="AY30" s="95">
        <f t="shared" si="24"/>
        <v>0</v>
      </c>
      <c r="AZ30" s="96">
        <v>0.34499999999999997</v>
      </c>
      <c r="BA30" s="97">
        <f t="shared" si="0"/>
        <v>0.17249999999999999</v>
      </c>
      <c r="BB30" s="94">
        <f t="shared" si="25"/>
        <v>0</v>
      </c>
      <c r="BC30" s="94">
        <f t="shared" si="26"/>
        <v>0</v>
      </c>
      <c r="BD30" s="98">
        <v>0.59</v>
      </c>
      <c r="BE30" s="94">
        <f t="shared" si="27"/>
        <v>0</v>
      </c>
      <c r="BF30" s="94">
        <f t="shared" si="28"/>
        <v>0</v>
      </c>
      <c r="BG30" s="98">
        <v>0.59</v>
      </c>
      <c r="BH30" s="94">
        <f t="shared" si="29"/>
        <v>0</v>
      </c>
      <c r="BI30" s="99">
        <f t="shared" si="30"/>
        <v>0</v>
      </c>
      <c r="BJ30" s="98">
        <v>0.21</v>
      </c>
      <c r="BK30" s="94">
        <f t="shared" si="31"/>
        <v>0</v>
      </c>
      <c r="BL30" s="98">
        <v>0.21</v>
      </c>
      <c r="BM30" s="94">
        <f t="shared" si="32"/>
        <v>0</v>
      </c>
      <c r="BN30" s="94">
        <f t="shared" si="33"/>
        <v>0</v>
      </c>
      <c r="BO30" s="98">
        <f t="shared" si="1"/>
        <v>0.47</v>
      </c>
      <c r="BP30" s="94">
        <f t="shared" si="34"/>
        <v>0</v>
      </c>
      <c r="BQ30" s="100"/>
      <c r="BR30" s="94">
        <f t="shared" si="42"/>
        <v>0</v>
      </c>
      <c r="BS30" s="100">
        <f t="shared" si="2"/>
        <v>0.05</v>
      </c>
      <c r="BT30" s="94">
        <f t="shared" si="45"/>
        <v>0</v>
      </c>
      <c r="BU30" s="100">
        <f t="shared" ref="BU30:BU42" si="51">$BU$1</f>
        <v>0.71</v>
      </c>
      <c r="BV30" s="94">
        <f t="shared" si="46"/>
        <v>0</v>
      </c>
      <c r="BW30" s="94">
        <f t="shared" si="47"/>
        <v>0</v>
      </c>
      <c r="BX30" s="94">
        <f t="shared" si="3"/>
        <v>0</v>
      </c>
      <c r="BY30" s="94">
        <f t="shared" si="4"/>
        <v>0</v>
      </c>
      <c r="BZ30" s="95">
        <f t="shared" si="5"/>
        <v>0</v>
      </c>
      <c r="CA30" s="100">
        <f t="shared" si="6"/>
        <v>1.3</v>
      </c>
      <c r="CB30" s="100">
        <f t="shared" si="7"/>
        <v>1.2</v>
      </c>
      <c r="CC30" s="100">
        <f t="shared" si="8"/>
        <v>1.17</v>
      </c>
      <c r="CD30" s="101">
        <f t="shared" si="48"/>
        <v>0</v>
      </c>
      <c r="CE30" s="102">
        <f t="shared" si="49"/>
        <v>0</v>
      </c>
      <c r="CF30" s="103">
        <f t="shared" si="50"/>
        <v>0</v>
      </c>
    </row>
    <row r="31" spans="1:85" s="2" customFormat="1" x14ac:dyDescent="0.25">
      <c r="A31" s="116"/>
      <c r="B31" s="57" t="s">
        <v>2239</v>
      </c>
      <c r="C31" s="59">
        <v>0.75</v>
      </c>
      <c r="D31" s="60"/>
      <c r="E31" s="61"/>
      <c r="F31" s="62" t="s">
        <v>2238</v>
      </c>
      <c r="G31" s="109">
        <v>7.0000000000000007E-2</v>
      </c>
      <c r="H31" s="64">
        <f t="shared" ref="H31" si="52">ROUNDUP(G31*D31,0)</f>
        <v>0</v>
      </c>
      <c r="I31" s="109"/>
      <c r="J31" s="109">
        <v>0.05</v>
      </c>
      <c r="K31" s="64">
        <f t="shared" ref="K31" si="53">ROUNDUP(I31*J31,0)</f>
        <v>0</v>
      </c>
      <c r="L31" s="109"/>
      <c r="M31" s="109">
        <v>0.05</v>
      </c>
      <c r="N31" s="64">
        <f t="shared" ref="N31" si="54">ROUNDUP(M31*L31,0)</f>
        <v>0</v>
      </c>
      <c r="O31" s="109"/>
      <c r="P31" s="109">
        <v>0.05</v>
      </c>
      <c r="Q31" s="64">
        <f t="shared" ref="Q31" si="55">ROUNDUP(P31*O31,0)</f>
        <v>0</v>
      </c>
      <c r="R31" s="109"/>
      <c r="S31" s="109">
        <v>0.05</v>
      </c>
      <c r="T31" s="64">
        <f t="shared" ref="T31" si="56">ROUNDUP(S31*R31,0)</f>
        <v>0</v>
      </c>
      <c r="U31" s="109"/>
      <c r="V31" s="109">
        <v>0.05</v>
      </c>
      <c r="W31" s="64">
        <f t="shared" ref="W31" si="57">ROUNDUP(V31*U31,0)</f>
        <v>0</v>
      </c>
      <c r="X31" s="109"/>
      <c r="Y31" s="109">
        <v>0.17</v>
      </c>
      <c r="Z31" s="64">
        <f t="shared" ref="Z31" si="58">ROUNDUP(Y31*X31,0)</f>
        <v>0</v>
      </c>
      <c r="AA31" s="109"/>
      <c r="AB31" s="109">
        <v>0.08</v>
      </c>
      <c r="AC31" s="64">
        <f t="shared" ref="AC31" si="59">ROUNDUP(AB31*AA31,0)</f>
        <v>0</v>
      </c>
      <c r="AD31" s="109"/>
      <c r="AE31" s="109">
        <v>0.05</v>
      </c>
      <c r="AF31" s="64">
        <f t="shared" ref="AF31" si="60">ROUNDUP(AE31*AD31,0)</f>
        <v>0</v>
      </c>
      <c r="AG31" s="109"/>
      <c r="AH31" s="109"/>
      <c r="AI31" s="64">
        <f t="shared" ref="AI31" si="61">ROUNDUP(AH31*AG31,0)</f>
        <v>0</v>
      </c>
      <c r="AJ31" s="109"/>
      <c r="AK31" s="109">
        <v>0.05</v>
      </c>
      <c r="AL31" s="64">
        <f t="shared" ref="AL31" si="62">ROUNDUP(AK31*AJ31,0)</f>
        <v>0</v>
      </c>
      <c r="AM31" s="109"/>
      <c r="AN31" s="109">
        <v>0.05</v>
      </c>
      <c r="AO31" s="64">
        <f t="shared" ref="AO31" si="63">ROUNDUP(AN31*AM31,0)</f>
        <v>0</v>
      </c>
      <c r="AP31" s="63"/>
      <c r="AQ31" s="63"/>
      <c r="AR31" s="64">
        <f t="shared" ref="AR31" si="64">ROUNDUP(AQ31*AP31,0)</f>
        <v>0</v>
      </c>
      <c r="AS31" s="109"/>
      <c r="AT31" s="109"/>
      <c r="AU31" s="64">
        <f t="shared" ref="AU31" si="65">ROUNDUP(AT31*AS31,0)</f>
        <v>0</v>
      </c>
      <c r="AV31" s="63">
        <f t="shared" ref="AV31" si="66">AA31</f>
        <v>0</v>
      </c>
      <c r="AW31" s="109">
        <v>0.7</v>
      </c>
      <c r="AX31" s="64">
        <f t="shared" ref="AX31" si="67">ROUNDUP(AW31*AV31,0)</f>
        <v>0</v>
      </c>
      <c r="AY31" s="65">
        <f t="shared" ref="AY31" si="68">BC31+BF31</f>
        <v>0</v>
      </c>
      <c r="AZ31" s="66">
        <v>0.34499999999999997</v>
      </c>
      <c r="BA31" s="67">
        <f t="shared" ref="BA31" si="69">AZ31*C31</f>
        <v>0.25874999999999998</v>
      </c>
      <c r="BB31" s="64">
        <f t="shared" ref="BB31" si="70">ROUNDUP(BA31*AY31,0)</f>
        <v>0</v>
      </c>
      <c r="BC31" s="64">
        <f t="shared" ref="BC31" si="71">ROUNDUP(D31/20,0)</f>
        <v>0</v>
      </c>
      <c r="BD31" s="110">
        <v>1.18</v>
      </c>
      <c r="BE31" s="64">
        <f t="shared" ref="BE31" si="72">ROUNDUP(BC31*BD31,0)</f>
        <v>0</v>
      </c>
      <c r="BF31" s="64">
        <f t="shared" ref="BF31" si="73">(I31*2)+(L31*2)+(O31*1)+(R31*3)+(U31*2)+(AA31*1)+(AD31*1)+(AG31*2)+(AJ31*1)+(AM31*2)+(AP31*2)+(AS31*2)</f>
        <v>0</v>
      </c>
      <c r="BG31" s="110">
        <v>1.18</v>
      </c>
      <c r="BH31" s="64">
        <f t="shared" ref="BH31" si="74">ROUNDUP(BF31*BG31,0)</f>
        <v>0</v>
      </c>
      <c r="BI31" s="69">
        <f t="shared" ref="BI31" si="75">H31+K31+N31+Q31+T31+W31+Z31+AC31+AF31+AI31+AL31+AO31+AR31+AU31+AX31+BB31+BE31+BH31</f>
        <v>0</v>
      </c>
      <c r="BJ31" s="110">
        <v>0.23</v>
      </c>
      <c r="BK31" s="64">
        <f t="shared" ref="BK31" si="76">ROUNDUP((BC31+BF31)*BJ31,0)</f>
        <v>0</v>
      </c>
      <c r="BL31" s="110">
        <v>0.21</v>
      </c>
      <c r="BM31" s="64">
        <f t="shared" ref="BM31" si="77">ROUNDUP((BC31+BF31)*BL31,0)</f>
        <v>0</v>
      </c>
      <c r="BN31" s="64">
        <f t="shared" ref="BN31" si="78">ROUNDUP(H31+K31+N31+Q31+T31+W31+Z31+AC31+AF31+AI31+AL31+AO31+AR31+AU31+AX31+BB31+BE31+BH31+BK31+BM31,0)</f>
        <v>0</v>
      </c>
      <c r="BO31" s="68">
        <f t="shared" si="1"/>
        <v>0.47</v>
      </c>
      <c r="BP31" s="64">
        <f t="shared" ref="BP31" si="79">ROUNDUP(BN31*BO31,0)</f>
        <v>0</v>
      </c>
      <c r="BQ31" s="53"/>
      <c r="BR31" s="64">
        <f t="shared" ref="BR31" si="80">ROUNDUP(BN31*BQ31,0)</f>
        <v>0</v>
      </c>
      <c r="BS31" s="53">
        <f t="shared" si="2"/>
        <v>0.05</v>
      </c>
      <c r="BT31" s="64">
        <f t="shared" ref="BT31" si="81">ROUNDUP(BN31*BS31,0)</f>
        <v>0</v>
      </c>
      <c r="BU31" s="53">
        <f t="shared" si="51"/>
        <v>0.71</v>
      </c>
      <c r="BV31" s="64">
        <f t="shared" ref="BV31" si="82">BU31*BN31</f>
        <v>0</v>
      </c>
      <c r="BW31" s="64">
        <f t="shared" ref="BW31" si="83">BN31+BR31+BP31+BT31+BV31</f>
        <v>0</v>
      </c>
      <c r="BX31" s="64">
        <f t="shared" si="3"/>
        <v>0</v>
      </c>
      <c r="BY31" s="64">
        <f t="shared" ref="BY31" si="84">BW31*$BY$1</f>
        <v>0</v>
      </c>
      <c r="BZ31" s="65">
        <f t="shared" si="5"/>
        <v>0</v>
      </c>
      <c r="CA31" s="53">
        <f t="shared" si="6"/>
        <v>1.3</v>
      </c>
      <c r="CB31" s="53">
        <f t="shared" si="7"/>
        <v>1.2</v>
      </c>
      <c r="CC31" s="53">
        <f t="shared" si="8"/>
        <v>1.17</v>
      </c>
      <c r="CD31" s="70">
        <f t="shared" ref="CD31" si="85">CC31*CB31*CA31*BX31</f>
        <v>0</v>
      </c>
      <c r="CE31" s="71">
        <f t="shared" ref="CE31" si="86">BZ31</f>
        <v>0</v>
      </c>
      <c r="CF31" s="72">
        <f t="shared" ref="CF31" si="87">CE31+CD31</f>
        <v>0</v>
      </c>
      <c r="CG31" s="117"/>
    </row>
    <row r="32" spans="1:85" s="2" customFormat="1" x14ac:dyDescent="0.25">
      <c r="A32" s="116"/>
      <c r="B32" s="57" t="s">
        <v>2239</v>
      </c>
      <c r="C32" s="59">
        <v>1.25</v>
      </c>
      <c r="D32" s="60"/>
      <c r="E32" s="61"/>
      <c r="F32" s="62" t="s">
        <v>2238</v>
      </c>
      <c r="G32" s="109">
        <v>7.0000000000000007E-2</v>
      </c>
      <c r="H32" s="64">
        <f t="shared" si="9"/>
        <v>0</v>
      </c>
      <c r="I32" s="109"/>
      <c r="J32" s="109">
        <v>0.05</v>
      </c>
      <c r="K32" s="64">
        <f t="shared" si="10"/>
        <v>0</v>
      </c>
      <c r="L32" s="109"/>
      <c r="M32" s="109">
        <v>0.05</v>
      </c>
      <c r="N32" s="64">
        <f t="shared" si="11"/>
        <v>0</v>
      </c>
      <c r="O32" s="109"/>
      <c r="P32" s="109">
        <v>0.05</v>
      </c>
      <c r="Q32" s="64">
        <f t="shared" si="12"/>
        <v>0</v>
      </c>
      <c r="R32" s="109"/>
      <c r="S32" s="109">
        <v>0.05</v>
      </c>
      <c r="T32" s="64">
        <f t="shared" si="13"/>
        <v>0</v>
      </c>
      <c r="U32" s="109"/>
      <c r="V32" s="109">
        <v>0.05</v>
      </c>
      <c r="W32" s="64">
        <f t="shared" si="14"/>
        <v>0</v>
      </c>
      <c r="X32" s="109"/>
      <c r="Y32" s="109">
        <v>0.17</v>
      </c>
      <c r="Z32" s="64">
        <f t="shared" si="15"/>
        <v>0</v>
      </c>
      <c r="AA32" s="109"/>
      <c r="AB32" s="109">
        <v>0.08</v>
      </c>
      <c r="AC32" s="64">
        <f t="shared" si="16"/>
        <v>0</v>
      </c>
      <c r="AD32" s="109"/>
      <c r="AE32" s="109">
        <v>0.05</v>
      </c>
      <c r="AF32" s="64">
        <f t="shared" si="17"/>
        <v>0</v>
      </c>
      <c r="AG32" s="109"/>
      <c r="AH32" s="109"/>
      <c r="AI32" s="64">
        <f t="shared" si="18"/>
        <v>0</v>
      </c>
      <c r="AJ32" s="109"/>
      <c r="AK32" s="109">
        <v>0.05</v>
      </c>
      <c r="AL32" s="64">
        <f t="shared" si="19"/>
        <v>0</v>
      </c>
      <c r="AM32" s="109"/>
      <c r="AN32" s="109">
        <v>0.05</v>
      </c>
      <c r="AO32" s="64">
        <f t="shared" si="20"/>
        <v>0</v>
      </c>
      <c r="AP32" s="63"/>
      <c r="AQ32" s="63"/>
      <c r="AR32" s="64">
        <f t="shared" si="21"/>
        <v>0</v>
      </c>
      <c r="AS32" s="109"/>
      <c r="AT32" s="109"/>
      <c r="AU32" s="64">
        <f t="shared" si="22"/>
        <v>0</v>
      </c>
      <c r="AV32" s="63">
        <f t="shared" si="40"/>
        <v>0</v>
      </c>
      <c r="AW32" s="109">
        <v>0.7</v>
      </c>
      <c r="AX32" s="64">
        <f t="shared" si="23"/>
        <v>0</v>
      </c>
      <c r="AY32" s="65">
        <f t="shared" si="24"/>
        <v>0</v>
      </c>
      <c r="AZ32" s="66">
        <v>0.34499999999999997</v>
      </c>
      <c r="BA32" s="67">
        <f t="shared" si="0"/>
        <v>0.43124999999999997</v>
      </c>
      <c r="BB32" s="64">
        <f t="shared" si="25"/>
        <v>0</v>
      </c>
      <c r="BC32" s="64">
        <f t="shared" si="26"/>
        <v>0</v>
      </c>
      <c r="BD32" s="110">
        <v>1.18</v>
      </c>
      <c r="BE32" s="64">
        <f t="shared" si="27"/>
        <v>0</v>
      </c>
      <c r="BF32" s="64">
        <f t="shared" si="28"/>
        <v>0</v>
      </c>
      <c r="BG32" s="110">
        <v>1.18</v>
      </c>
      <c r="BH32" s="64">
        <f t="shared" si="29"/>
        <v>0</v>
      </c>
      <c r="BI32" s="69">
        <f t="shared" si="30"/>
        <v>0</v>
      </c>
      <c r="BJ32" s="110">
        <v>0.26</v>
      </c>
      <c r="BK32" s="64">
        <f t="shared" si="31"/>
        <v>0</v>
      </c>
      <c r="BL32" s="110">
        <v>0.21</v>
      </c>
      <c r="BM32" s="64">
        <f t="shared" si="32"/>
        <v>0</v>
      </c>
      <c r="BN32" s="64">
        <f t="shared" si="33"/>
        <v>0</v>
      </c>
      <c r="BO32" s="68">
        <f t="shared" si="1"/>
        <v>0.47</v>
      </c>
      <c r="BP32" s="64">
        <f t="shared" si="34"/>
        <v>0</v>
      </c>
      <c r="BQ32" s="53"/>
      <c r="BR32" s="64">
        <f t="shared" si="42"/>
        <v>0</v>
      </c>
      <c r="BS32" s="53">
        <f t="shared" si="2"/>
        <v>0.05</v>
      </c>
      <c r="BT32" s="64">
        <f t="shared" si="45"/>
        <v>0</v>
      </c>
      <c r="BU32" s="53">
        <f t="shared" si="51"/>
        <v>0.71</v>
      </c>
      <c r="BV32" s="64">
        <f t="shared" si="46"/>
        <v>0</v>
      </c>
      <c r="BW32" s="64">
        <f t="shared" si="47"/>
        <v>0</v>
      </c>
      <c r="BX32" s="64">
        <f t="shared" si="3"/>
        <v>0</v>
      </c>
      <c r="BY32" s="64">
        <f t="shared" si="4"/>
        <v>0</v>
      </c>
      <c r="BZ32" s="65">
        <f t="shared" si="5"/>
        <v>0</v>
      </c>
      <c r="CA32" s="53">
        <f t="shared" si="6"/>
        <v>1.3</v>
      </c>
      <c r="CB32" s="53">
        <f t="shared" si="7"/>
        <v>1.2</v>
      </c>
      <c r="CC32" s="53">
        <f t="shared" si="8"/>
        <v>1.17</v>
      </c>
      <c r="CD32" s="70">
        <f t="shared" si="48"/>
        <v>0</v>
      </c>
      <c r="CE32" s="71">
        <f t="shared" si="49"/>
        <v>0</v>
      </c>
      <c r="CF32" s="72">
        <f t="shared" si="50"/>
        <v>0</v>
      </c>
      <c r="CG32" s="117"/>
    </row>
    <row r="33" spans="1:85" s="2" customFormat="1" x14ac:dyDescent="0.25">
      <c r="A33" s="116"/>
      <c r="B33" s="57" t="s">
        <v>2239</v>
      </c>
      <c r="C33" s="59">
        <v>1.5</v>
      </c>
      <c r="D33" s="60"/>
      <c r="E33" s="61"/>
      <c r="F33" s="62" t="s">
        <v>2238</v>
      </c>
      <c r="G33" s="109">
        <v>7.0000000000000007E-2</v>
      </c>
      <c r="H33" s="64">
        <f t="shared" ref="H33" si="88">ROUNDUP(G33*D33,0)</f>
        <v>0</v>
      </c>
      <c r="I33" s="109"/>
      <c r="J33" s="109">
        <v>0.05</v>
      </c>
      <c r="K33" s="64">
        <f t="shared" ref="K33" si="89">ROUNDUP(I33*J33,0)</f>
        <v>0</v>
      </c>
      <c r="L33" s="109"/>
      <c r="M33" s="109">
        <v>0.05</v>
      </c>
      <c r="N33" s="64">
        <f t="shared" ref="N33" si="90">ROUNDUP(M33*L33,0)</f>
        <v>0</v>
      </c>
      <c r="O33" s="109"/>
      <c r="P33" s="109">
        <v>0.05</v>
      </c>
      <c r="Q33" s="64">
        <f t="shared" ref="Q33" si="91">ROUNDUP(P33*O33,0)</f>
        <v>0</v>
      </c>
      <c r="R33" s="109"/>
      <c r="S33" s="109">
        <v>0.05</v>
      </c>
      <c r="T33" s="64">
        <f t="shared" ref="T33" si="92">ROUNDUP(S33*R33,0)</f>
        <v>0</v>
      </c>
      <c r="U33" s="109"/>
      <c r="V33" s="109">
        <v>0.05</v>
      </c>
      <c r="W33" s="64">
        <f t="shared" ref="W33" si="93">ROUNDUP(V33*U33,0)</f>
        <v>0</v>
      </c>
      <c r="X33" s="109"/>
      <c r="Y33" s="109">
        <v>0.17</v>
      </c>
      <c r="Z33" s="64">
        <f t="shared" ref="Z33" si="94">ROUNDUP(Y33*X33,0)</f>
        <v>0</v>
      </c>
      <c r="AA33" s="109"/>
      <c r="AB33" s="109">
        <v>0.08</v>
      </c>
      <c r="AC33" s="64">
        <f t="shared" ref="AC33" si="95">ROUNDUP(AB33*AA33,0)</f>
        <v>0</v>
      </c>
      <c r="AD33" s="109"/>
      <c r="AE33" s="109">
        <v>0.05</v>
      </c>
      <c r="AF33" s="64">
        <f t="shared" ref="AF33" si="96">ROUNDUP(AE33*AD33,0)</f>
        <v>0</v>
      </c>
      <c r="AG33" s="109"/>
      <c r="AH33" s="109"/>
      <c r="AI33" s="64">
        <f t="shared" ref="AI33" si="97">ROUNDUP(AH33*AG33,0)</f>
        <v>0</v>
      </c>
      <c r="AJ33" s="109"/>
      <c r="AK33" s="109">
        <v>0.05</v>
      </c>
      <c r="AL33" s="64">
        <f t="shared" ref="AL33" si="98">ROUNDUP(AK33*AJ33,0)</f>
        <v>0</v>
      </c>
      <c r="AM33" s="109"/>
      <c r="AN33" s="109">
        <v>0.05</v>
      </c>
      <c r="AO33" s="64">
        <f t="shared" ref="AO33" si="99">ROUNDUP(AN33*AM33,0)</f>
        <v>0</v>
      </c>
      <c r="AP33" s="63"/>
      <c r="AQ33" s="63"/>
      <c r="AR33" s="64">
        <f t="shared" ref="AR33" si="100">ROUNDUP(AQ33*AP33,0)</f>
        <v>0</v>
      </c>
      <c r="AS33" s="109"/>
      <c r="AT33" s="109"/>
      <c r="AU33" s="64">
        <f t="shared" ref="AU33" si="101">ROUNDUP(AT33*AS33,0)</f>
        <v>0</v>
      </c>
      <c r="AV33" s="63">
        <f t="shared" ref="AV33" si="102">AA33</f>
        <v>0</v>
      </c>
      <c r="AW33" s="109">
        <v>0.7</v>
      </c>
      <c r="AX33" s="64">
        <f t="shared" ref="AX33" si="103">ROUNDUP(AW33*AV33,0)</f>
        <v>0</v>
      </c>
      <c r="AY33" s="65">
        <f t="shared" ref="AY33" si="104">BC33+BF33</f>
        <v>0</v>
      </c>
      <c r="AZ33" s="66">
        <v>0.34499999999999997</v>
      </c>
      <c r="BA33" s="67">
        <f t="shared" ref="BA33" si="105">AZ33*C33</f>
        <v>0.51749999999999996</v>
      </c>
      <c r="BB33" s="64">
        <f t="shared" ref="BB33" si="106">ROUNDUP(BA33*AY33,0)</f>
        <v>0</v>
      </c>
      <c r="BC33" s="64">
        <f t="shared" ref="BC33" si="107">ROUNDUP(D33/20,0)</f>
        <v>0</v>
      </c>
      <c r="BD33" s="110">
        <v>1.18</v>
      </c>
      <c r="BE33" s="64">
        <f t="shared" ref="BE33" si="108">ROUNDUP(BC33*BD33,0)</f>
        <v>0</v>
      </c>
      <c r="BF33" s="64">
        <f t="shared" ref="BF33" si="109">(I33*2)+(L33*2)+(O33*1)+(R33*3)+(U33*2)+(AA33*1)+(AD33*1)+(AG33*2)+(AJ33*1)+(AM33*2)+(AP33*2)+(AS33*2)</f>
        <v>0</v>
      </c>
      <c r="BG33" s="110">
        <v>1.18</v>
      </c>
      <c r="BH33" s="64">
        <f t="shared" ref="BH33" si="110">ROUNDUP(BF33*BG33,0)</f>
        <v>0</v>
      </c>
      <c r="BI33" s="69">
        <f t="shared" ref="BI33" si="111">H33+K33+N33+Q33+T33+W33+Z33+AC33+AF33+AI33+AL33+AO33+AR33+AU33+AX33+BB33+BE33+BH33</f>
        <v>0</v>
      </c>
      <c r="BJ33" s="110">
        <v>0.3</v>
      </c>
      <c r="BK33" s="64">
        <f t="shared" ref="BK33" si="112">ROUNDUP((BC33+BF33)*BJ33,0)</f>
        <v>0</v>
      </c>
      <c r="BL33" s="110">
        <v>0.21</v>
      </c>
      <c r="BM33" s="64">
        <f t="shared" ref="BM33" si="113">ROUNDUP((BC33+BF33)*BL33,0)</f>
        <v>0</v>
      </c>
      <c r="BN33" s="64">
        <f t="shared" ref="BN33" si="114">ROUNDUP(H33+K33+N33+Q33+T33+W33+Z33+AC33+AF33+AI33+AL33+AO33+AR33+AU33+AX33+BB33+BE33+BH33+BK33+BM33,0)</f>
        <v>0</v>
      </c>
      <c r="BO33" s="68">
        <f t="shared" si="1"/>
        <v>0.47</v>
      </c>
      <c r="BP33" s="64">
        <f t="shared" ref="BP33" si="115">ROUNDUP(BN33*BO33,0)</f>
        <v>0</v>
      </c>
      <c r="BQ33" s="53"/>
      <c r="BR33" s="64">
        <f t="shared" ref="BR33" si="116">ROUNDUP(BN33*BQ33,0)</f>
        <v>0</v>
      </c>
      <c r="BS33" s="53">
        <f t="shared" si="2"/>
        <v>0.05</v>
      </c>
      <c r="BT33" s="64">
        <f t="shared" ref="BT33" si="117">ROUNDUP(BN33*BS33,0)</f>
        <v>0</v>
      </c>
      <c r="BU33" s="53">
        <f t="shared" si="51"/>
        <v>0.71</v>
      </c>
      <c r="BV33" s="64">
        <f t="shared" ref="BV33" si="118">BU33*BN33</f>
        <v>0</v>
      </c>
      <c r="BW33" s="64">
        <f t="shared" ref="BW33" si="119">BN33+BR33+BP33+BT33+BV33</f>
        <v>0</v>
      </c>
      <c r="BX33" s="64">
        <f t="shared" si="3"/>
        <v>0</v>
      </c>
      <c r="BY33" s="64">
        <f t="shared" ref="BY33" si="120">BW33*$BY$1</f>
        <v>0</v>
      </c>
      <c r="BZ33" s="65">
        <f t="shared" si="5"/>
        <v>0</v>
      </c>
      <c r="CA33" s="53">
        <f t="shared" si="6"/>
        <v>1.3</v>
      </c>
      <c r="CB33" s="53">
        <f t="shared" si="7"/>
        <v>1.2</v>
      </c>
      <c r="CC33" s="53">
        <f t="shared" si="8"/>
        <v>1.17</v>
      </c>
      <c r="CD33" s="70">
        <f t="shared" ref="CD33" si="121">CC33*CB33*CA33*BX33</f>
        <v>0</v>
      </c>
      <c r="CE33" s="71">
        <f t="shared" ref="CE33" si="122">BZ33</f>
        <v>0</v>
      </c>
      <c r="CF33" s="72">
        <f t="shared" ref="CF33" si="123">CE33+CD33</f>
        <v>0</v>
      </c>
      <c r="CG33" s="117"/>
    </row>
    <row r="34" spans="1:85" s="2" customFormat="1" x14ac:dyDescent="0.25">
      <c r="A34" s="116"/>
      <c r="B34" s="57" t="s">
        <v>2239</v>
      </c>
      <c r="C34" s="59">
        <v>1</v>
      </c>
      <c r="D34" s="60"/>
      <c r="E34" s="61"/>
      <c r="F34" s="62" t="s">
        <v>2238</v>
      </c>
      <c r="G34" s="109">
        <v>7.0000000000000007E-2</v>
      </c>
      <c r="H34" s="64">
        <f t="shared" si="9"/>
        <v>0</v>
      </c>
      <c r="I34" s="109"/>
      <c r="J34" s="109">
        <v>0.05</v>
      </c>
      <c r="K34" s="64">
        <f t="shared" si="10"/>
        <v>0</v>
      </c>
      <c r="L34" s="109"/>
      <c r="M34" s="109">
        <v>0.05</v>
      </c>
      <c r="N34" s="64">
        <f t="shared" si="11"/>
        <v>0</v>
      </c>
      <c r="O34" s="109"/>
      <c r="P34" s="109">
        <v>0.05</v>
      </c>
      <c r="Q34" s="64">
        <f t="shared" si="12"/>
        <v>0</v>
      </c>
      <c r="R34" s="109"/>
      <c r="S34" s="109">
        <v>0.05</v>
      </c>
      <c r="T34" s="64">
        <f t="shared" si="13"/>
        <v>0</v>
      </c>
      <c r="U34" s="109"/>
      <c r="V34" s="109">
        <v>0.05</v>
      </c>
      <c r="W34" s="64">
        <f t="shared" si="14"/>
        <v>0</v>
      </c>
      <c r="X34" s="109"/>
      <c r="Y34" s="109">
        <v>0.17</v>
      </c>
      <c r="Z34" s="64">
        <f t="shared" si="15"/>
        <v>0</v>
      </c>
      <c r="AA34" s="109"/>
      <c r="AB34" s="109">
        <v>0.08</v>
      </c>
      <c r="AC34" s="64">
        <f t="shared" si="16"/>
        <v>0</v>
      </c>
      <c r="AD34" s="109"/>
      <c r="AE34" s="109">
        <v>0.05</v>
      </c>
      <c r="AF34" s="64">
        <f t="shared" si="17"/>
        <v>0</v>
      </c>
      <c r="AG34" s="109"/>
      <c r="AH34" s="109"/>
      <c r="AI34" s="64">
        <f t="shared" si="18"/>
        <v>0</v>
      </c>
      <c r="AJ34" s="109"/>
      <c r="AK34" s="109">
        <v>0.05</v>
      </c>
      <c r="AL34" s="64">
        <f t="shared" si="19"/>
        <v>0</v>
      </c>
      <c r="AM34" s="109"/>
      <c r="AN34" s="109">
        <v>0.05</v>
      </c>
      <c r="AO34" s="64">
        <f t="shared" si="20"/>
        <v>0</v>
      </c>
      <c r="AP34" s="63"/>
      <c r="AQ34" s="63"/>
      <c r="AR34" s="64">
        <f t="shared" si="21"/>
        <v>0</v>
      </c>
      <c r="AS34" s="109"/>
      <c r="AT34" s="109"/>
      <c r="AU34" s="64">
        <f t="shared" si="22"/>
        <v>0</v>
      </c>
      <c r="AV34" s="63">
        <f t="shared" si="40"/>
        <v>0</v>
      </c>
      <c r="AW34" s="109">
        <v>0.7</v>
      </c>
      <c r="AX34" s="64">
        <f t="shared" si="23"/>
        <v>0</v>
      </c>
      <c r="AY34" s="65">
        <f t="shared" si="24"/>
        <v>0</v>
      </c>
      <c r="AZ34" s="66">
        <v>0.34499999999999997</v>
      </c>
      <c r="BA34" s="67">
        <f t="shared" si="0"/>
        <v>0.34499999999999997</v>
      </c>
      <c r="BB34" s="64">
        <f t="shared" si="25"/>
        <v>0</v>
      </c>
      <c r="BC34" s="64">
        <f t="shared" si="26"/>
        <v>0</v>
      </c>
      <c r="BD34" s="110">
        <v>1.18</v>
      </c>
      <c r="BE34" s="64">
        <f t="shared" si="27"/>
        <v>0</v>
      </c>
      <c r="BF34" s="64">
        <f t="shared" si="28"/>
        <v>0</v>
      </c>
      <c r="BG34" s="110">
        <v>1.18</v>
      </c>
      <c r="BH34" s="64">
        <f t="shared" si="29"/>
        <v>0</v>
      </c>
      <c r="BI34" s="69">
        <f t="shared" si="30"/>
        <v>0</v>
      </c>
      <c r="BJ34" s="110">
        <v>0.42</v>
      </c>
      <c r="BK34" s="64">
        <f t="shared" si="31"/>
        <v>0</v>
      </c>
      <c r="BL34" s="110">
        <v>0.21</v>
      </c>
      <c r="BM34" s="64">
        <f t="shared" si="32"/>
        <v>0</v>
      </c>
      <c r="BN34" s="64">
        <f t="shared" si="33"/>
        <v>0</v>
      </c>
      <c r="BO34" s="68">
        <f t="shared" si="1"/>
        <v>0.47</v>
      </c>
      <c r="BP34" s="64">
        <f t="shared" si="34"/>
        <v>0</v>
      </c>
      <c r="BQ34" s="53"/>
      <c r="BR34" s="64">
        <f t="shared" si="42"/>
        <v>0</v>
      </c>
      <c r="BS34" s="53">
        <f t="shared" si="2"/>
        <v>0.05</v>
      </c>
      <c r="BT34" s="64">
        <f t="shared" si="45"/>
        <v>0</v>
      </c>
      <c r="BU34" s="53">
        <f t="shared" si="51"/>
        <v>0.71</v>
      </c>
      <c r="BV34" s="64">
        <f t="shared" si="46"/>
        <v>0</v>
      </c>
      <c r="BW34" s="64">
        <f t="shared" si="47"/>
        <v>0</v>
      </c>
      <c r="BX34" s="64">
        <f t="shared" si="3"/>
        <v>0</v>
      </c>
      <c r="BY34" s="64">
        <f t="shared" si="4"/>
        <v>0</v>
      </c>
      <c r="BZ34" s="65">
        <f t="shared" si="5"/>
        <v>0</v>
      </c>
      <c r="CA34" s="53">
        <f t="shared" si="6"/>
        <v>1.3</v>
      </c>
      <c r="CB34" s="53">
        <f t="shared" si="7"/>
        <v>1.2</v>
      </c>
      <c r="CC34" s="53">
        <f t="shared" si="8"/>
        <v>1.17</v>
      </c>
      <c r="CD34" s="70">
        <f t="shared" si="48"/>
        <v>0</v>
      </c>
      <c r="CE34" s="71">
        <f t="shared" si="49"/>
        <v>0</v>
      </c>
      <c r="CF34" s="72">
        <f t="shared" si="50"/>
        <v>0</v>
      </c>
      <c r="CG34" s="117"/>
    </row>
    <row r="35" spans="1:85" s="73" customFormat="1" x14ac:dyDescent="0.25">
      <c r="A35" s="57"/>
      <c r="B35" s="40" t="s">
        <v>2239</v>
      </c>
      <c r="C35" s="41">
        <v>2</v>
      </c>
      <c r="D35" s="42"/>
      <c r="E35" s="61"/>
      <c r="F35" s="62" t="s">
        <v>2238</v>
      </c>
      <c r="G35" s="63">
        <v>0.08</v>
      </c>
      <c r="H35" s="64">
        <f t="shared" si="9"/>
        <v>0</v>
      </c>
      <c r="I35" s="63"/>
      <c r="J35" s="63">
        <v>0.06</v>
      </c>
      <c r="K35" s="64">
        <f t="shared" si="10"/>
        <v>0</v>
      </c>
      <c r="L35" s="63"/>
      <c r="M35" s="63">
        <v>0.05</v>
      </c>
      <c r="N35" s="64">
        <f t="shared" si="11"/>
        <v>0</v>
      </c>
      <c r="O35" s="63"/>
      <c r="P35" s="63">
        <v>7.0000000000000007E-2</v>
      </c>
      <c r="Q35" s="64">
        <f t="shared" si="12"/>
        <v>0</v>
      </c>
      <c r="R35" s="63"/>
      <c r="S35" s="63">
        <v>7.0000000000000007E-2</v>
      </c>
      <c r="T35" s="64">
        <f t="shared" si="13"/>
        <v>0</v>
      </c>
      <c r="U35" s="63"/>
      <c r="V35" s="63">
        <v>0.06</v>
      </c>
      <c r="W35" s="64">
        <f t="shared" si="14"/>
        <v>0</v>
      </c>
      <c r="X35" s="63"/>
      <c r="Y35" s="63">
        <v>0.48</v>
      </c>
      <c r="Z35" s="64">
        <f t="shared" si="15"/>
        <v>0</v>
      </c>
      <c r="AA35" s="63"/>
      <c r="AB35" s="63">
        <v>0.13</v>
      </c>
      <c r="AC35" s="64">
        <f t="shared" si="16"/>
        <v>0</v>
      </c>
      <c r="AD35" s="63"/>
      <c r="AE35" s="63">
        <v>0.06</v>
      </c>
      <c r="AF35" s="64">
        <f t="shared" si="17"/>
        <v>0</v>
      </c>
      <c r="AG35" s="63"/>
      <c r="AH35" s="63"/>
      <c r="AI35" s="64">
        <f t="shared" si="18"/>
        <v>0</v>
      </c>
      <c r="AJ35" s="63"/>
      <c r="AK35" s="63">
        <v>0.05</v>
      </c>
      <c r="AL35" s="64">
        <f t="shared" si="19"/>
        <v>0</v>
      </c>
      <c r="AM35" s="63"/>
      <c r="AN35" s="109">
        <v>0.06</v>
      </c>
      <c r="AO35" s="64">
        <f t="shared" si="20"/>
        <v>0</v>
      </c>
      <c r="AP35" s="63"/>
      <c r="AQ35" s="63"/>
      <c r="AR35" s="64">
        <f t="shared" si="21"/>
        <v>0</v>
      </c>
      <c r="AS35" s="63"/>
      <c r="AT35" s="63"/>
      <c r="AU35" s="64">
        <f t="shared" si="22"/>
        <v>0</v>
      </c>
      <c r="AV35" s="63">
        <f t="shared" si="40"/>
        <v>0</v>
      </c>
      <c r="AW35" s="63">
        <v>0.74</v>
      </c>
      <c r="AX35" s="64">
        <f t="shared" si="23"/>
        <v>0</v>
      </c>
      <c r="AY35" s="65">
        <f t="shared" si="24"/>
        <v>0</v>
      </c>
      <c r="AZ35" s="66">
        <v>0.34499999999999997</v>
      </c>
      <c r="BA35" s="67">
        <f t="shared" si="0"/>
        <v>0.69</v>
      </c>
      <c r="BB35" s="64">
        <f t="shared" si="25"/>
        <v>0</v>
      </c>
      <c r="BC35" s="64">
        <f t="shared" si="26"/>
        <v>0</v>
      </c>
      <c r="BD35" s="68">
        <v>2.36</v>
      </c>
      <c r="BE35" s="64">
        <f t="shared" si="27"/>
        <v>0</v>
      </c>
      <c r="BF35" s="64">
        <f t="shared" si="28"/>
        <v>0</v>
      </c>
      <c r="BG35" s="68">
        <v>2.36</v>
      </c>
      <c r="BH35" s="64">
        <f t="shared" si="29"/>
        <v>0</v>
      </c>
      <c r="BI35" s="69">
        <f t="shared" si="30"/>
        <v>0</v>
      </c>
      <c r="BJ35" s="68">
        <v>0.84</v>
      </c>
      <c r="BK35" s="64">
        <f t="shared" si="31"/>
        <v>0</v>
      </c>
      <c r="BL35" s="68">
        <v>0.66</v>
      </c>
      <c r="BM35" s="64">
        <f t="shared" si="32"/>
        <v>0</v>
      </c>
      <c r="BN35" s="64">
        <f t="shared" si="33"/>
        <v>0</v>
      </c>
      <c r="BO35" s="68">
        <f t="shared" si="1"/>
        <v>0.47</v>
      </c>
      <c r="BP35" s="64">
        <f t="shared" si="34"/>
        <v>0</v>
      </c>
      <c r="BQ35" s="53"/>
      <c r="BR35" s="64">
        <f t="shared" si="42"/>
        <v>0</v>
      </c>
      <c r="BS35" s="53">
        <f t="shared" si="2"/>
        <v>0.05</v>
      </c>
      <c r="BT35" s="64">
        <f t="shared" si="45"/>
        <v>0</v>
      </c>
      <c r="BU35" s="53">
        <f t="shared" si="51"/>
        <v>0.71</v>
      </c>
      <c r="BV35" s="64">
        <f t="shared" si="46"/>
        <v>0</v>
      </c>
      <c r="BW35" s="64">
        <f t="shared" si="47"/>
        <v>0</v>
      </c>
      <c r="BX35" s="64">
        <f t="shared" si="3"/>
        <v>0</v>
      </c>
      <c r="BY35" s="64">
        <f t="shared" si="4"/>
        <v>0</v>
      </c>
      <c r="BZ35" s="65">
        <f t="shared" si="5"/>
        <v>0</v>
      </c>
      <c r="CA35" s="53">
        <f t="shared" si="6"/>
        <v>1.3</v>
      </c>
      <c r="CB35" s="53">
        <f t="shared" si="7"/>
        <v>1.2</v>
      </c>
      <c r="CC35" s="53">
        <f t="shared" si="8"/>
        <v>1.17</v>
      </c>
      <c r="CD35" s="70">
        <f t="shared" si="48"/>
        <v>0</v>
      </c>
      <c r="CE35" s="71">
        <f t="shared" si="49"/>
        <v>0</v>
      </c>
      <c r="CF35" s="72">
        <f t="shared" si="50"/>
        <v>0</v>
      </c>
    </row>
    <row r="36" spans="1:85" s="73" customFormat="1" x14ac:dyDescent="0.25">
      <c r="A36" s="57"/>
      <c r="B36" s="40" t="s">
        <v>2239</v>
      </c>
      <c r="C36" s="41">
        <v>3</v>
      </c>
      <c r="D36" s="42"/>
      <c r="E36" s="61"/>
      <c r="F36" s="62" t="s">
        <v>2238</v>
      </c>
      <c r="G36" s="63">
        <v>0.08</v>
      </c>
      <c r="H36" s="64">
        <f t="shared" ref="H36" si="124">ROUNDUP(G36*D36,0)</f>
        <v>0</v>
      </c>
      <c r="I36" s="63"/>
      <c r="J36" s="63">
        <v>0.06</v>
      </c>
      <c r="K36" s="64">
        <f t="shared" ref="K36" si="125">ROUNDUP(I36*J36,0)</f>
        <v>0</v>
      </c>
      <c r="L36" s="63"/>
      <c r="M36" s="63">
        <v>0.05</v>
      </c>
      <c r="N36" s="64">
        <f t="shared" ref="N36" si="126">ROUNDUP(M36*L36,0)</f>
        <v>0</v>
      </c>
      <c r="O36" s="63"/>
      <c r="P36" s="63">
        <v>7.0000000000000007E-2</v>
      </c>
      <c r="Q36" s="64">
        <f t="shared" ref="Q36" si="127">ROUNDUP(P36*O36,0)</f>
        <v>0</v>
      </c>
      <c r="R36" s="63"/>
      <c r="S36" s="63">
        <v>7.0000000000000007E-2</v>
      </c>
      <c r="T36" s="64">
        <f t="shared" ref="T36" si="128">ROUNDUP(S36*R36,0)</f>
        <v>0</v>
      </c>
      <c r="U36" s="63"/>
      <c r="V36" s="63">
        <v>0.06</v>
      </c>
      <c r="W36" s="64">
        <f t="shared" ref="W36" si="129">ROUNDUP(V36*U36,0)</f>
        <v>0</v>
      </c>
      <c r="X36" s="63"/>
      <c r="Y36" s="63">
        <v>0.48</v>
      </c>
      <c r="Z36" s="64">
        <f t="shared" ref="Z36" si="130">ROUNDUP(Y36*X36,0)</f>
        <v>0</v>
      </c>
      <c r="AA36" s="63"/>
      <c r="AB36" s="63">
        <v>0.13</v>
      </c>
      <c r="AC36" s="64">
        <f t="shared" ref="AC36" si="131">ROUNDUP(AB36*AA36,0)</f>
        <v>0</v>
      </c>
      <c r="AD36" s="63"/>
      <c r="AE36" s="63">
        <v>0.06</v>
      </c>
      <c r="AF36" s="64">
        <f t="shared" ref="AF36" si="132">ROUNDUP(AE36*AD36,0)</f>
        <v>0</v>
      </c>
      <c r="AG36" s="63"/>
      <c r="AH36" s="63"/>
      <c r="AI36" s="64">
        <f t="shared" ref="AI36" si="133">ROUNDUP(AH36*AG36,0)</f>
        <v>0</v>
      </c>
      <c r="AJ36" s="63"/>
      <c r="AK36" s="63">
        <v>0.05</v>
      </c>
      <c r="AL36" s="64">
        <f t="shared" ref="AL36" si="134">ROUNDUP(AK36*AJ36,0)</f>
        <v>0</v>
      </c>
      <c r="AM36" s="63"/>
      <c r="AN36" s="109">
        <v>0.06</v>
      </c>
      <c r="AO36" s="64">
        <f t="shared" ref="AO36" si="135">ROUNDUP(AN36*AM36,0)</f>
        <v>0</v>
      </c>
      <c r="AP36" s="63"/>
      <c r="AQ36" s="63"/>
      <c r="AR36" s="64">
        <f t="shared" ref="AR36" si="136">ROUNDUP(AQ36*AP36,0)</f>
        <v>0</v>
      </c>
      <c r="AS36" s="63"/>
      <c r="AT36" s="63"/>
      <c r="AU36" s="64">
        <f t="shared" ref="AU36" si="137">ROUNDUP(AT36*AS36,0)</f>
        <v>0</v>
      </c>
      <c r="AV36" s="63">
        <f t="shared" ref="AV36" si="138">AA36</f>
        <v>0</v>
      </c>
      <c r="AW36" s="63">
        <v>0.74</v>
      </c>
      <c r="AX36" s="64">
        <f t="shared" ref="AX36" si="139">ROUNDUP(AW36*AV36,0)</f>
        <v>0</v>
      </c>
      <c r="AY36" s="65">
        <f t="shared" ref="AY36" si="140">BC36+BF36</f>
        <v>0</v>
      </c>
      <c r="AZ36" s="66">
        <v>0.34499999999999997</v>
      </c>
      <c r="BA36" s="67">
        <f t="shared" ref="BA36" si="141">AZ36*C36</f>
        <v>1.0349999999999999</v>
      </c>
      <c r="BB36" s="64">
        <f t="shared" ref="BB36" si="142">ROUNDUP(BA36*AY36,0)</f>
        <v>0</v>
      </c>
      <c r="BC36" s="64">
        <f t="shared" ref="BC36" si="143">ROUNDUP(D36/20,0)</f>
        <v>0</v>
      </c>
      <c r="BD36" s="68">
        <v>2.36</v>
      </c>
      <c r="BE36" s="64">
        <f t="shared" ref="BE36" si="144">ROUNDUP(BC36*BD36,0)</f>
        <v>0</v>
      </c>
      <c r="BF36" s="64">
        <f t="shared" ref="BF36" si="145">(I36*2)+(L36*2)+(O36*1)+(R36*3)+(U36*2)+(AA36*1)+(AD36*1)+(AG36*2)+(AJ36*1)+(AM36*2)+(AP36*2)+(AS36*2)</f>
        <v>0</v>
      </c>
      <c r="BG36" s="68">
        <v>2.36</v>
      </c>
      <c r="BH36" s="64">
        <f t="shared" ref="BH36" si="146">ROUNDUP(BF36*BG36,0)</f>
        <v>0</v>
      </c>
      <c r="BI36" s="69">
        <f t="shared" ref="BI36" si="147">H36+K36+N36+Q36+T36+W36+Z36+AC36+AF36+AI36+AL36+AO36+AR36+AU36+AX36+BB36+BE36+BH36</f>
        <v>0</v>
      </c>
      <c r="BJ36" s="68">
        <v>1</v>
      </c>
      <c r="BK36" s="64">
        <f t="shared" ref="BK36" si="148">ROUNDUP((BC36+BF36)*BJ36,0)</f>
        <v>0</v>
      </c>
      <c r="BL36" s="68">
        <v>0.95</v>
      </c>
      <c r="BM36" s="64">
        <f t="shared" ref="BM36" si="149">ROUNDUP((BC36+BF36)*BL36,0)</f>
        <v>0</v>
      </c>
      <c r="BN36" s="64">
        <f t="shared" ref="BN36" si="150">ROUNDUP(H36+K36+N36+Q36+T36+W36+Z36+AC36+AF36+AI36+AL36+AO36+AR36+AU36+AX36+BB36+BE36+BH36+BK36+BM36,0)</f>
        <v>0</v>
      </c>
      <c r="BO36" s="68">
        <f t="shared" si="1"/>
        <v>0.47</v>
      </c>
      <c r="BP36" s="64">
        <f t="shared" ref="BP36" si="151">ROUNDUP(BN36*BO36,0)</f>
        <v>0</v>
      </c>
      <c r="BQ36" s="53"/>
      <c r="BR36" s="64">
        <f t="shared" ref="BR36" si="152">ROUNDUP(BN36*BQ36,0)</f>
        <v>0</v>
      </c>
      <c r="BS36" s="53">
        <f t="shared" si="2"/>
        <v>0.05</v>
      </c>
      <c r="BT36" s="64">
        <f t="shared" ref="BT36" si="153">ROUNDUP(BN36*BS36,0)</f>
        <v>0</v>
      </c>
      <c r="BU36" s="53">
        <f t="shared" si="51"/>
        <v>0.71</v>
      </c>
      <c r="BV36" s="64">
        <f t="shared" ref="BV36" si="154">BU36*BN36</f>
        <v>0</v>
      </c>
      <c r="BW36" s="64">
        <f t="shared" ref="BW36" si="155">BN36+BR36+BP36+BT36+BV36</f>
        <v>0</v>
      </c>
      <c r="BX36" s="64">
        <f t="shared" si="3"/>
        <v>0</v>
      </c>
      <c r="BY36" s="64">
        <f t="shared" ref="BY36" si="156">BW36*$BY$1</f>
        <v>0</v>
      </c>
      <c r="BZ36" s="65">
        <f t="shared" si="5"/>
        <v>0</v>
      </c>
      <c r="CA36" s="53">
        <f t="shared" si="6"/>
        <v>1.3</v>
      </c>
      <c r="CB36" s="53">
        <f t="shared" si="7"/>
        <v>1.2</v>
      </c>
      <c r="CC36" s="53">
        <f t="shared" si="8"/>
        <v>1.17</v>
      </c>
      <c r="CD36" s="70">
        <f t="shared" ref="CD36" si="157">CC36*CB36*CA36*BX36</f>
        <v>0</v>
      </c>
      <c r="CE36" s="71">
        <f t="shared" ref="CE36" si="158">BZ36</f>
        <v>0</v>
      </c>
      <c r="CF36" s="72">
        <f t="shared" ref="CF36" si="159">CE36+CD36</f>
        <v>0</v>
      </c>
    </row>
    <row r="37" spans="1:85" x14ac:dyDescent="0.25">
      <c r="A37" s="111"/>
      <c r="B37" s="40" t="s">
        <v>2239</v>
      </c>
      <c r="C37" s="41">
        <v>4</v>
      </c>
      <c r="D37" s="42"/>
      <c r="E37" s="115"/>
      <c r="F37" s="44" t="s">
        <v>2238</v>
      </c>
      <c r="G37" s="63">
        <v>0.13</v>
      </c>
      <c r="H37" s="64">
        <f t="shared" si="9"/>
        <v>0</v>
      </c>
      <c r="I37" s="63"/>
      <c r="J37" s="63">
        <v>0.12</v>
      </c>
      <c r="K37" s="64">
        <f t="shared" si="10"/>
        <v>0</v>
      </c>
      <c r="L37" s="63"/>
      <c r="M37" s="63">
        <v>0.08</v>
      </c>
      <c r="N37" s="64">
        <f t="shared" si="11"/>
        <v>0</v>
      </c>
      <c r="O37" s="63"/>
      <c r="P37" s="63">
        <v>0.14000000000000001</v>
      </c>
      <c r="Q37" s="64">
        <f t="shared" si="12"/>
        <v>0</v>
      </c>
      <c r="R37" s="63"/>
      <c r="S37" s="63">
        <v>0.16</v>
      </c>
      <c r="T37" s="64">
        <f t="shared" si="13"/>
        <v>0</v>
      </c>
      <c r="U37" s="63"/>
      <c r="V37" s="63">
        <v>7.0000000000000007E-2</v>
      </c>
      <c r="W37" s="64">
        <f t="shared" si="14"/>
        <v>0</v>
      </c>
      <c r="X37" s="63"/>
      <c r="Y37" s="63">
        <v>1.2</v>
      </c>
      <c r="Z37" s="64">
        <f t="shared" si="15"/>
        <v>0</v>
      </c>
      <c r="AA37" s="63"/>
      <c r="AB37" s="63">
        <v>0.28999999999999998</v>
      </c>
      <c r="AC37" s="64">
        <f t="shared" si="16"/>
        <v>0</v>
      </c>
      <c r="AD37" s="63"/>
      <c r="AE37" s="63">
        <v>0.08</v>
      </c>
      <c r="AF37" s="64">
        <f t="shared" si="17"/>
        <v>0</v>
      </c>
      <c r="AG37" s="63"/>
      <c r="AH37" s="63"/>
      <c r="AI37" s="64">
        <f t="shared" si="18"/>
        <v>0</v>
      </c>
      <c r="AJ37" s="63"/>
      <c r="AK37" s="63">
        <v>7.0000000000000007E-2</v>
      </c>
      <c r="AL37" s="64">
        <f t="shared" si="19"/>
        <v>0</v>
      </c>
      <c r="AM37" s="63"/>
      <c r="AN37" s="109">
        <v>0.06</v>
      </c>
      <c r="AO37" s="64">
        <f t="shared" si="20"/>
        <v>0</v>
      </c>
      <c r="AP37" s="63"/>
      <c r="AQ37" s="63"/>
      <c r="AR37" s="64">
        <f t="shared" si="21"/>
        <v>0</v>
      </c>
      <c r="AS37" s="63"/>
      <c r="AT37" s="63"/>
      <c r="AU37" s="64">
        <f t="shared" si="22"/>
        <v>0</v>
      </c>
      <c r="AV37" s="63">
        <f t="shared" si="40"/>
        <v>0</v>
      </c>
      <c r="AW37" s="63">
        <v>1.49</v>
      </c>
      <c r="AX37" s="64">
        <f t="shared" si="23"/>
        <v>0</v>
      </c>
      <c r="AY37" s="65">
        <f t="shared" si="24"/>
        <v>0</v>
      </c>
      <c r="AZ37" s="66">
        <v>0.34499999999999997</v>
      </c>
      <c r="BA37" s="67">
        <f t="shared" si="0"/>
        <v>1.38</v>
      </c>
      <c r="BB37" s="64">
        <f t="shared" si="25"/>
        <v>0</v>
      </c>
      <c r="BC37" s="64">
        <f t="shared" si="26"/>
        <v>0</v>
      </c>
      <c r="BD37" s="68">
        <v>3.53</v>
      </c>
      <c r="BE37" s="64">
        <f t="shared" si="27"/>
        <v>0</v>
      </c>
      <c r="BF37" s="64">
        <f t="shared" si="28"/>
        <v>0</v>
      </c>
      <c r="BG37" s="68">
        <v>3.53</v>
      </c>
      <c r="BH37" s="64">
        <f t="shared" si="29"/>
        <v>0</v>
      </c>
      <c r="BI37" s="69">
        <f t="shared" si="30"/>
        <v>0</v>
      </c>
      <c r="BJ37" s="68">
        <v>1.36</v>
      </c>
      <c r="BK37" s="64">
        <f t="shared" si="31"/>
        <v>0</v>
      </c>
      <c r="BL37" s="68">
        <v>1.31</v>
      </c>
      <c r="BM37" s="64">
        <f t="shared" si="32"/>
        <v>0</v>
      </c>
      <c r="BN37" s="64">
        <f t="shared" si="33"/>
        <v>0</v>
      </c>
      <c r="BO37" s="68">
        <f t="shared" si="1"/>
        <v>0.47</v>
      </c>
      <c r="BP37" s="64">
        <f t="shared" si="34"/>
        <v>0</v>
      </c>
      <c r="BQ37" s="53"/>
      <c r="BR37" s="64">
        <f t="shared" si="42"/>
        <v>0</v>
      </c>
      <c r="BS37" s="53">
        <f t="shared" si="2"/>
        <v>0.05</v>
      </c>
      <c r="BT37" s="64">
        <f t="shared" si="45"/>
        <v>0</v>
      </c>
      <c r="BU37" s="53">
        <f t="shared" si="51"/>
        <v>0.71</v>
      </c>
      <c r="BV37" s="64">
        <f t="shared" si="46"/>
        <v>0</v>
      </c>
      <c r="BW37" s="64">
        <f t="shared" si="47"/>
        <v>0</v>
      </c>
      <c r="BX37" s="64">
        <f t="shared" si="3"/>
        <v>0</v>
      </c>
      <c r="BY37" s="64">
        <f t="shared" si="4"/>
        <v>0</v>
      </c>
      <c r="BZ37" s="65">
        <f t="shared" si="5"/>
        <v>0</v>
      </c>
      <c r="CA37" s="53">
        <f t="shared" si="6"/>
        <v>1.3</v>
      </c>
      <c r="CB37" s="53">
        <f t="shared" si="7"/>
        <v>1.2</v>
      </c>
      <c r="CC37" s="53">
        <f t="shared" si="8"/>
        <v>1.17</v>
      </c>
      <c r="CD37" s="70">
        <f t="shared" si="48"/>
        <v>0</v>
      </c>
      <c r="CE37" s="71">
        <f t="shared" si="49"/>
        <v>0</v>
      </c>
      <c r="CF37" s="72">
        <f t="shared" si="50"/>
        <v>0</v>
      </c>
    </row>
    <row r="38" spans="1:85" x14ac:dyDescent="0.25">
      <c r="A38" s="116"/>
      <c r="B38" s="58" t="s">
        <v>2239</v>
      </c>
      <c r="C38" s="59">
        <v>6</v>
      </c>
      <c r="D38" s="60"/>
      <c r="E38" s="118"/>
      <c r="F38" s="62" t="s">
        <v>2238</v>
      </c>
      <c r="G38" s="63">
        <v>0.18</v>
      </c>
      <c r="H38" s="64">
        <f t="shared" si="9"/>
        <v>0</v>
      </c>
      <c r="I38" s="63"/>
      <c r="J38" s="63">
        <v>0.23</v>
      </c>
      <c r="K38" s="64">
        <f t="shared" si="10"/>
        <v>0</v>
      </c>
      <c r="L38" s="63"/>
      <c r="M38" s="63">
        <v>0.14000000000000001</v>
      </c>
      <c r="N38" s="64">
        <f t="shared" si="11"/>
        <v>0</v>
      </c>
      <c r="O38" s="63"/>
      <c r="P38" s="63">
        <v>0.23</v>
      </c>
      <c r="Q38" s="64">
        <f t="shared" si="12"/>
        <v>0</v>
      </c>
      <c r="R38" s="63"/>
      <c r="S38" s="63">
        <v>0.31</v>
      </c>
      <c r="T38" s="64">
        <f t="shared" si="13"/>
        <v>0</v>
      </c>
      <c r="U38" s="63"/>
      <c r="V38" s="63">
        <v>0.11</v>
      </c>
      <c r="W38" s="64">
        <f t="shared" si="14"/>
        <v>0</v>
      </c>
      <c r="X38" s="63"/>
      <c r="Y38" s="63">
        <v>2.78</v>
      </c>
      <c r="Z38" s="64">
        <f t="shared" si="15"/>
        <v>0</v>
      </c>
      <c r="AA38" s="63"/>
      <c r="AB38" s="63">
        <v>0.44</v>
      </c>
      <c r="AC38" s="64">
        <f t="shared" si="16"/>
        <v>0</v>
      </c>
      <c r="AD38" s="63"/>
      <c r="AE38" s="63">
        <v>0.12</v>
      </c>
      <c r="AF38" s="64">
        <f t="shared" si="17"/>
        <v>0</v>
      </c>
      <c r="AG38" s="63"/>
      <c r="AH38" s="63"/>
      <c r="AI38" s="64">
        <f t="shared" si="18"/>
        <v>0</v>
      </c>
      <c r="AJ38" s="63"/>
      <c r="AK38" s="63">
        <v>0.09</v>
      </c>
      <c r="AL38" s="64">
        <f t="shared" si="19"/>
        <v>0</v>
      </c>
      <c r="AM38" s="63"/>
      <c r="AN38" s="63"/>
      <c r="AO38" s="64">
        <f t="shared" si="20"/>
        <v>0</v>
      </c>
      <c r="AP38" s="63"/>
      <c r="AQ38" s="63"/>
      <c r="AR38" s="64">
        <f t="shared" si="21"/>
        <v>0</v>
      </c>
      <c r="AS38" s="63"/>
      <c r="AT38" s="63"/>
      <c r="AU38" s="64">
        <f t="shared" si="22"/>
        <v>0</v>
      </c>
      <c r="AV38" s="63">
        <f t="shared" si="40"/>
        <v>0</v>
      </c>
      <c r="AW38" s="63">
        <v>1.63</v>
      </c>
      <c r="AX38" s="64">
        <f t="shared" si="23"/>
        <v>0</v>
      </c>
      <c r="AY38" s="65">
        <f t="shared" si="24"/>
        <v>0</v>
      </c>
      <c r="AZ38" s="66">
        <v>0.34499999999999997</v>
      </c>
      <c r="BA38" s="67">
        <f t="shared" si="0"/>
        <v>2.0699999999999998</v>
      </c>
      <c r="BB38" s="64">
        <f t="shared" si="25"/>
        <v>0</v>
      </c>
      <c r="BC38" s="64">
        <f t="shared" si="26"/>
        <v>0</v>
      </c>
      <c r="BD38" s="68">
        <v>4.42</v>
      </c>
      <c r="BE38" s="64">
        <f t="shared" si="27"/>
        <v>0</v>
      </c>
      <c r="BF38" s="64">
        <f t="shared" si="28"/>
        <v>0</v>
      </c>
      <c r="BG38" s="68">
        <v>4.42</v>
      </c>
      <c r="BH38" s="64">
        <f t="shared" si="29"/>
        <v>0</v>
      </c>
      <c r="BI38" s="69">
        <f t="shared" si="30"/>
        <v>0</v>
      </c>
      <c r="BJ38" s="68">
        <v>1.73</v>
      </c>
      <c r="BK38" s="64">
        <f t="shared" si="31"/>
        <v>0</v>
      </c>
      <c r="BL38" s="68">
        <v>1.74</v>
      </c>
      <c r="BM38" s="64">
        <f t="shared" si="32"/>
        <v>0</v>
      </c>
      <c r="BN38" s="64">
        <f t="shared" si="33"/>
        <v>0</v>
      </c>
      <c r="BO38" s="68">
        <f t="shared" si="1"/>
        <v>0.47</v>
      </c>
      <c r="BP38" s="64">
        <f t="shared" si="34"/>
        <v>0</v>
      </c>
      <c r="BQ38" s="53"/>
      <c r="BR38" s="64">
        <f t="shared" si="42"/>
        <v>0</v>
      </c>
      <c r="BS38" s="53">
        <f t="shared" si="2"/>
        <v>0.05</v>
      </c>
      <c r="BT38" s="64">
        <f t="shared" si="45"/>
        <v>0</v>
      </c>
      <c r="BU38" s="53">
        <f t="shared" si="51"/>
        <v>0.71</v>
      </c>
      <c r="BV38" s="64">
        <f t="shared" si="46"/>
        <v>0</v>
      </c>
      <c r="BW38" s="64">
        <f t="shared" si="47"/>
        <v>0</v>
      </c>
      <c r="BX38" s="64">
        <f t="shared" si="3"/>
        <v>0</v>
      </c>
      <c r="BY38" s="64">
        <f t="shared" si="4"/>
        <v>0</v>
      </c>
      <c r="BZ38" s="65">
        <f t="shared" si="5"/>
        <v>0</v>
      </c>
      <c r="CA38" s="53">
        <f t="shared" si="6"/>
        <v>1.3</v>
      </c>
      <c r="CB38" s="53">
        <f t="shared" si="7"/>
        <v>1.2</v>
      </c>
      <c r="CC38" s="53">
        <f t="shared" si="8"/>
        <v>1.17</v>
      </c>
      <c r="CD38" s="70">
        <f t="shared" si="48"/>
        <v>0</v>
      </c>
      <c r="CE38" s="71">
        <f t="shared" si="49"/>
        <v>0</v>
      </c>
      <c r="CF38" s="72">
        <f t="shared" si="50"/>
        <v>0</v>
      </c>
    </row>
    <row r="39" spans="1:85" s="108" customFormat="1" ht="15.75" thickBot="1" x14ac:dyDescent="0.3">
      <c r="A39" s="75"/>
      <c r="B39" s="76" t="s">
        <v>2239</v>
      </c>
      <c r="C39" s="77">
        <v>12</v>
      </c>
      <c r="D39" s="78"/>
      <c r="E39" s="79"/>
      <c r="F39" s="80" t="s">
        <v>2238</v>
      </c>
      <c r="G39" s="81">
        <v>0.31</v>
      </c>
      <c r="H39" s="82">
        <f t="shared" si="9"/>
        <v>0</v>
      </c>
      <c r="I39" s="81"/>
      <c r="J39" s="81">
        <v>0.95</v>
      </c>
      <c r="K39" s="82">
        <f t="shared" si="10"/>
        <v>0</v>
      </c>
      <c r="L39" s="81"/>
      <c r="M39" s="81">
        <v>0.5</v>
      </c>
      <c r="N39" s="82">
        <f t="shared" si="11"/>
        <v>0</v>
      </c>
      <c r="O39" s="81"/>
      <c r="P39" s="81">
        <v>0.93</v>
      </c>
      <c r="Q39" s="82">
        <f t="shared" si="12"/>
        <v>0</v>
      </c>
      <c r="R39" s="81"/>
      <c r="S39" s="81">
        <v>1.35</v>
      </c>
      <c r="T39" s="82">
        <f t="shared" si="13"/>
        <v>0</v>
      </c>
      <c r="U39" s="81"/>
      <c r="V39" s="81">
        <v>0.31</v>
      </c>
      <c r="W39" s="82">
        <f t="shared" si="14"/>
        <v>0</v>
      </c>
      <c r="X39" s="81"/>
      <c r="Y39" s="81">
        <v>2.2599999999999998</v>
      </c>
      <c r="Z39" s="82">
        <f t="shared" si="15"/>
        <v>0</v>
      </c>
      <c r="AA39" s="81"/>
      <c r="AB39" s="81">
        <v>1.54</v>
      </c>
      <c r="AC39" s="82">
        <f t="shared" si="16"/>
        <v>0</v>
      </c>
      <c r="AD39" s="81"/>
      <c r="AE39" s="81">
        <v>0.32</v>
      </c>
      <c r="AF39" s="82">
        <f t="shared" si="17"/>
        <v>0</v>
      </c>
      <c r="AG39" s="81"/>
      <c r="AH39" s="81"/>
      <c r="AI39" s="82">
        <f t="shared" si="18"/>
        <v>0</v>
      </c>
      <c r="AJ39" s="81"/>
      <c r="AK39" s="81">
        <v>0.26</v>
      </c>
      <c r="AL39" s="82">
        <f t="shared" si="19"/>
        <v>0</v>
      </c>
      <c r="AM39" s="81"/>
      <c r="AN39" s="106">
        <v>0.1</v>
      </c>
      <c r="AO39" s="82">
        <f t="shared" si="20"/>
        <v>0</v>
      </c>
      <c r="AP39" s="81"/>
      <c r="AQ39" s="81"/>
      <c r="AR39" s="82">
        <f t="shared" si="21"/>
        <v>0</v>
      </c>
      <c r="AS39" s="81"/>
      <c r="AT39" s="81"/>
      <c r="AU39" s="82">
        <f t="shared" si="22"/>
        <v>0</v>
      </c>
      <c r="AV39" s="81">
        <f t="shared" si="40"/>
        <v>0</v>
      </c>
      <c r="AW39" s="81">
        <v>2.54</v>
      </c>
      <c r="AX39" s="82">
        <f t="shared" si="23"/>
        <v>0</v>
      </c>
      <c r="AY39" s="83">
        <f t="shared" si="24"/>
        <v>0</v>
      </c>
      <c r="AZ39" s="84">
        <v>0.34499999999999997</v>
      </c>
      <c r="BA39" s="85">
        <f t="shared" si="0"/>
        <v>4.1399999999999997</v>
      </c>
      <c r="BB39" s="82">
        <f t="shared" si="25"/>
        <v>0</v>
      </c>
      <c r="BC39" s="82">
        <f t="shared" si="26"/>
        <v>0</v>
      </c>
      <c r="BD39" s="86">
        <v>8.1199999999999992</v>
      </c>
      <c r="BE39" s="82">
        <f t="shared" si="27"/>
        <v>0</v>
      </c>
      <c r="BF39" s="82">
        <f t="shared" si="28"/>
        <v>0</v>
      </c>
      <c r="BG39" s="86">
        <v>8.1199999999999992</v>
      </c>
      <c r="BH39" s="82">
        <f t="shared" si="29"/>
        <v>0</v>
      </c>
      <c r="BI39" s="87">
        <f t="shared" si="30"/>
        <v>0</v>
      </c>
      <c r="BJ39" s="86">
        <v>3.4</v>
      </c>
      <c r="BK39" s="82">
        <f t="shared" si="31"/>
        <v>0</v>
      </c>
      <c r="BL39" s="86">
        <v>2.4500000000000002</v>
      </c>
      <c r="BM39" s="82">
        <f t="shared" si="32"/>
        <v>0</v>
      </c>
      <c r="BN39" s="82">
        <f t="shared" si="33"/>
        <v>0</v>
      </c>
      <c r="BO39" s="86">
        <f t="shared" si="1"/>
        <v>0.47</v>
      </c>
      <c r="BP39" s="82">
        <f t="shared" si="34"/>
        <v>0</v>
      </c>
      <c r="BQ39" s="88">
        <f>$BQ$1</f>
        <v>0.08</v>
      </c>
      <c r="BR39" s="82">
        <f t="shared" si="42"/>
        <v>0</v>
      </c>
      <c r="BS39" s="88">
        <f t="shared" si="2"/>
        <v>0.05</v>
      </c>
      <c r="BT39" s="82">
        <f t="shared" si="45"/>
        <v>0</v>
      </c>
      <c r="BU39" s="88">
        <f t="shared" si="51"/>
        <v>0.71</v>
      </c>
      <c r="BV39" s="82">
        <f t="shared" si="46"/>
        <v>0</v>
      </c>
      <c r="BW39" s="82">
        <f t="shared" si="47"/>
        <v>0</v>
      </c>
      <c r="BX39" s="82">
        <f t="shared" si="3"/>
        <v>0</v>
      </c>
      <c r="BY39" s="82">
        <f t="shared" si="4"/>
        <v>0</v>
      </c>
      <c r="BZ39" s="83">
        <f t="shared" si="5"/>
        <v>0</v>
      </c>
      <c r="CA39" s="88">
        <f t="shared" si="6"/>
        <v>1.3</v>
      </c>
      <c r="CB39" s="88">
        <f t="shared" si="7"/>
        <v>1.2</v>
      </c>
      <c r="CC39" s="88">
        <f t="shared" si="8"/>
        <v>1.17</v>
      </c>
      <c r="CD39" s="89">
        <f t="shared" si="48"/>
        <v>0</v>
      </c>
      <c r="CE39" s="90">
        <f t="shared" si="49"/>
        <v>0</v>
      </c>
      <c r="CF39" s="91">
        <f t="shared" si="50"/>
        <v>0</v>
      </c>
    </row>
    <row r="40" spans="1:85" x14ac:dyDescent="0.25">
      <c r="A40" s="57"/>
      <c r="B40" s="58" t="s">
        <v>2237</v>
      </c>
      <c r="C40" s="59">
        <v>8</v>
      </c>
      <c r="D40" s="60"/>
      <c r="E40" s="61"/>
      <c r="F40" s="62" t="s">
        <v>2238</v>
      </c>
      <c r="G40" s="63">
        <v>0.24</v>
      </c>
      <c r="H40" s="64">
        <f t="shared" si="9"/>
        <v>0</v>
      </c>
      <c r="I40" s="63"/>
      <c r="J40" s="63">
        <v>0.4</v>
      </c>
      <c r="K40" s="64">
        <f t="shared" si="10"/>
        <v>0</v>
      </c>
      <c r="L40" s="63"/>
      <c r="M40" s="63">
        <v>0.22</v>
      </c>
      <c r="N40" s="64">
        <f t="shared" si="11"/>
        <v>0</v>
      </c>
      <c r="O40" s="63"/>
      <c r="P40" s="63">
        <v>0.39</v>
      </c>
      <c r="Q40" s="64">
        <f t="shared" si="12"/>
        <v>0</v>
      </c>
      <c r="R40" s="63"/>
      <c r="S40" s="63">
        <v>0.56000000000000005</v>
      </c>
      <c r="T40" s="64">
        <f t="shared" si="13"/>
        <v>0</v>
      </c>
      <c r="U40" s="63"/>
      <c r="V40" s="63">
        <v>0.15</v>
      </c>
      <c r="W40" s="64">
        <f t="shared" si="14"/>
        <v>0</v>
      </c>
      <c r="X40" s="63"/>
      <c r="Y40" s="63">
        <v>4.37</v>
      </c>
      <c r="Z40" s="64">
        <f t="shared" si="15"/>
        <v>0</v>
      </c>
      <c r="AA40" s="63"/>
      <c r="AB40" s="63">
        <v>0.72</v>
      </c>
      <c r="AC40" s="64">
        <f t="shared" si="16"/>
        <v>0</v>
      </c>
      <c r="AD40" s="63"/>
      <c r="AE40" s="63">
        <v>0.15</v>
      </c>
      <c r="AF40" s="64">
        <f t="shared" si="17"/>
        <v>0</v>
      </c>
      <c r="AG40" s="63"/>
      <c r="AH40" s="63"/>
      <c r="AI40" s="64">
        <f t="shared" si="18"/>
        <v>0</v>
      </c>
      <c r="AJ40" s="63"/>
      <c r="AK40" s="63">
        <v>0.13</v>
      </c>
      <c r="AL40" s="64">
        <f t="shared" si="19"/>
        <v>0</v>
      </c>
      <c r="AM40" s="63"/>
      <c r="AN40" s="63"/>
      <c r="AO40" s="64">
        <f t="shared" si="20"/>
        <v>0</v>
      </c>
      <c r="AP40" s="63"/>
      <c r="AQ40" s="63"/>
      <c r="AR40" s="64">
        <f t="shared" si="21"/>
        <v>0</v>
      </c>
      <c r="AS40" s="63"/>
      <c r="AT40" s="63"/>
      <c r="AU40" s="64">
        <f t="shared" si="22"/>
        <v>0</v>
      </c>
      <c r="AV40" s="63">
        <f t="shared" si="40"/>
        <v>0</v>
      </c>
      <c r="AW40" s="63">
        <v>1.58</v>
      </c>
      <c r="AX40" s="64">
        <f t="shared" si="23"/>
        <v>0</v>
      </c>
      <c r="AY40" s="65">
        <f t="shared" si="24"/>
        <v>0</v>
      </c>
      <c r="AZ40" s="66">
        <v>0.34499999999999997</v>
      </c>
      <c r="BA40" s="67">
        <f t="shared" si="0"/>
        <v>2.76</v>
      </c>
      <c r="BB40" s="64">
        <f t="shared" si="25"/>
        <v>0</v>
      </c>
      <c r="BC40" s="64">
        <f t="shared" si="26"/>
        <v>0</v>
      </c>
      <c r="BD40" s="68">
        <v>5.42</v>
      </c>
      <c r="BE40" s="64">
        <f t="shared" si="27"/>
        <v>0</v>
      </c>
      <c r="BF40" s="64">
        <f t="shared" si="28"/>
        <v>0</v>
      </c>
      <c r="BG40" s="68">
        <v>5.42</v>
      </c>
      <c r="BH40" s="64">
        <f t="shared" si="29"/>
        <v>0</v>
      </c>
      <c r="BI40" s="69">
        <f t="shared" si="30"/>
        <v>0</v>
      </c>
      <c r="BJ40" s="68">
        <v>2.19</v>
      </c>
      <c r="BK40" s="64">
        <f t="shared" si="31"/>
        <v>0</v>
      </c>
      <c r="BL40" s="68">
        <v>1.98</v>
      </c>
      <c r="BM40" s="64">
        <f t="shared" si="32"/>
        <v>0</v>
      </c>
      <c r="BN40" s="64">
        <f t="shared" si="33"/>
        <v>0</v>
      </c>
      <c r="BO40" s="68">
        <f t="shared" ref="BO40" si="160">$BO$6</f>
        <v>0.47</v>
      </c>
      <c r="BP40" s="64">
        <f t="shared" si="34"/>
        <v>0</v>
      </c>
      <c r="BQ40" s="53"/>
      <c r="BR40" s="64">
        <f t="shared" si="42"/>
        <v>0</v>
      </c>
      <c r="BS40" s="53">
        <f t="shared" ref="BS40" si="161">$BS$6</f>
        <v>0.05</v>
      </c>
      <c r="BT40" s="64">
        <f t="shared" si="45"/>
        <v>0</v>
      </c>
      <c r="BU40" s="53"/>
      <c r="BV40" s="64">
        <f t="shared" si="46"/>
        <v>0</v>
      </c>
      <c r="BW40" s="64">
        <f t="shared" si="47"/>
        <v>0</v>
      </c>
      <c r="BX40" s="64">
        <f t="shared" ref="BX40" si="162">BW40*$BX$6</f>
        <v>0</v>
      </c>
      <c r="BY40" s="64">
        <f t="shared" ref="BY40" si="163">BW40*$BY$6</f>
        <v>0</v>
      </c>
      <c r="BZ40" s="65">
        <f t="shared" ref="BZ40" si="164">BY40*$BZ$6</f>
        <v>0</v>
      </c>
      <c r="CA40" s="53">
        <f t="shared" ref="CA40" si="165">$CA$6</f>
        <v>1.3</v>
      </c>
      <c r="CB40" s="53">
        <f t="shared" ref="CB40" si="166">$CB$6</f>
        <v>1.2</v>
      </c>
      <c r="CC40" s="53">
        <f t="shared" ref="CC40" si="167">$CC$6</f>
        <v>1.17</v>
      </c>
      <c r="CD40" s="70">
        <f t="shared" si="48"/>
        <v>0</v>
      </c>
      <c r="CE40" s="71">
        <f t="shared" si="49"/>
        <v>0</v>
      </c>
      <c r="CF40" s="72">
        <f t="shared" si="50"/>
        <v>0</v>
      </c>
    </row>
    <row r="41" spans="1:85" x14ac:dyDescent="0.25">
      <c r="A41" s="39"/>
      <c r="B41" s="40" t="s">
        <v>2240</v>
      </c>
      <c r="C41" s="41">
        <v>10</v>
      </c>
      <c r="D41" s="42"/>
      <c r="E41" s="43"/>
      <c r="F41" s="44" t="s">
        <v>2238</v>
      </c>
      <c r="G41" s="93">
        <v>0.27</v>
      </c>
      <c r="H41" s="94">
        <f t="shared" si="9"/>
        <v>0</v>
      </c>
      <c r="I41" s="93"/>
      <c r="J41" s="93">
        <v>0.69</v>
      </c>
      <c r="K41" s="94">
        <f t="shared" si="10"/>
        <v>0</v>
      </c>
      <c r="L41" s="93"/>
      <c r="M41" s="93">
        <v>0.37</v>
      </c>
      <c r="N41" s="94">
        <f t="shared" si="11"/>
        <v>0</v>
      </c>
      <c r="O41" s="93"/>
      <c r="P41" s="93">
        <v>0.59</v>
      </c>
      <c r="Q41" s="94">
        <f t="shared" si="12"/>
        <v>0</v>
      </c>
      <c r="R41" s="93"/>
      <c r="S41" s="93">
        <v>0.93</v>
      </c>
      <c r="T41" s="94">
        <f t="shared" si="13"/>
        <v>0</v>
      </c>
      <c r="U41" s="93"/>
      <c r="V41" s="93">
        <v>0.22</v>
      </c>
      <c r="W41" s="94">
        <f t="shared" si="14"/>
        <v>0</v>
      </c>
      <c r="X41" s="93"/>
      <c r="Y41" s="93">
        <v>5.57</v>
      </c>
      <c r="Z41" s="94">
        <f t="shared" si="15"/>
        <v>0</v>
      </c>
      <c r="AA41" s="93"/>
      <c r="AB41" s="93">
        <v>1.04</v>
      </c>
      <c r="AC41" s="94">
        <f t="shared" si="16"/>
        <v>0</v>
      </c>
      <c r="AD41" s="93"/>
      <c r="AE41" s="93">
        <v>0.21</v>
      </c>
      <c r="AF41" s="94">
        <f t="shared" si="17"/>
        <v>0</v>
      </c>
      <c r="AG41" s="93"/>
      <c r="AH41" s="93"/>
      <c r="AI41" s="94">
        <f t="shared" si="18"/>
        <v>0</v>
      </c>
      <c r="AJ41" s="93"/>
      <c r="AK41" s="93">
        <v>0.21</v>
      </c>
      <c r="AL41" s="94">
        <f t="shared" si="19"/>
        <v>0</v>
      </c>
      <c r="AM41" s="93"/>
      <c r="AN41" s="93"/>
      <c r="AO41" s="94">
        <f t="shared" si="20"/>
        <v>0</v>
      </c>
      <c r="AP41" s="93"/>
      <c r="AQ41" s="93"/>
      <c r="AR41" s="94">
        <f t="shared" si="21"/>
        <v>0</v>
      </c>
      <c r="AS41" s="93"/>
      <c r="AT41" s="93"/>
      <c r="AU41" s="94">
        <f t="shared" si="22"/>
        <v>0</v>
      </c>
      <c r="AV41" s="93">
        <f t="shared" si="40"/>
        <v>0</v>
      </c>
      <c r="AW41" s="93">
        <v>2.57</v>
      </c>
      <c r="AX41" s="94">
        <f t="shared" si="23"/>
        <v>0</v>
      </c>
      <c r="AY41" s="95">
        <f t="shared" si="24"/>
        <v>0</v>
      </c>
      <c r="AZ41" s="96">
        <v>0.34499999999999997</v>
      </c>
      <c r="BA41" s="97">
        <f t="shared" si="0"/>
        <v>3.4499999999999997</v>
      </c>
      <c r="BB41" s="94">
        <f t="shared" si="25"/>
        <v>0</v>
      </c>
      <c r="BC41" s="94">
        <f t="shared" si="26"/>
        <v>0</v>
      </c>
      <c r="BD41" s="98">
        <v>6.77</v>
      </c>
      <c r="BE41" s="94">
        <f t="shared" si="27"/>
        <v>0</v>
      </c>
      <c r="BF41" s="94">
        <f t="shared" si="28"/>
        <v>0</v>
      </c>
      <c r="BG41" s="98">
        <v>6.77</v>
      </c>
      <c r="BH41" s="94">
        <f t="shared" si="29"/>
        <v>0</v>
      </c>
      <c r="BI41" s="99">
        <f t="shared" si="30"/>
        <v>0</v>
      </c>
      <c r="BJ41" s="98">
        <v>2.77</v>
      </c>
      <c r="BK41" s="94">
        <f t="shared" si="31"/>
        <v>0</v>
      </c>
      <c r="BL41" s="98">
        <v>2.67</v>
      </c>
      <c r="BM41" s="94">
        <f t="shared" si="32"/>
        <v>0</v>
      </c>
      <c r="BN41" s="94">
        <f t="shared" si="33"/>
        <v>0</v>
      </c>
      <c r="BO41" s="98"/>
      <c r="BP41" s="94">
        <f t="shared" si="34"/>
        <v>0</v>
      </c>
      <c r="BQ41" s="100"/>
      <c r="BR41" s="94">
        <f t="shared" si="42"/>
        <v>0</v>
      </c>
      <c r="BS41" s="100">
        <f t="shared" si="2"/>
        <v>0.05</v>
      </c>
      <c r="BT41" s="94">
        <f t="shared" si="45"/>
        <v>0</v>
      </c>
      <c r="BU41" s="100">
        <f t="shared" si="51"/>
        <v>0.71</v>
      </c>
      <c r="BV41" s="94">
        <f t="shared" si="46"/>
        <v>0</v>
      </c>
      <c r="BW41" s="94">
        <f t="shared" si="47"/>
        <v>0</v>
      </c>
      <c r="BX41" s="94">
        <f t="shared" si="3"/>
        <v>0</v>
      </c>
      <c r="BY41" s="94">
        <f t="shared" si="4"/>
        <v>0</v>
      </c>
      <c r="BZ41" s="95">
        <f t="shared" si="5"/>
        <v>0</v>
      </c>
      <c r="CA41" s="100">
        <f t="shared" si="6"/>
        <v>1.3</v>
      </c>
      <c r="CB41" s="100">
        <f t="shared" si="7"/>
        <v>1.2</v>
      </c>
      <c r="CC41" s="100">
        <f t="shared" si="8"/>
        <v>1.17</v>
      </c>
      <c r="CD41" s="101">
        <f t="shared" si="48"/>
        <v>0</v>
      </c>
      <c r="CE41" s="102">
        <f t="shared" si="49"/>
        <v>0</v>
      </c>
      <c r="CF41" s="103">
        <f t="shared" si="50"/>
        <v>0</v>
      </c>
    </row>
    <row r="42" spans="1:85" s="108" customFormat="1" ht="15.75" thickBot="1" x14ac:dyDescent="0.3">
      <c r="A42" s="119"/>
      <c r="B42" s="120" t="s">
        <v>2240</v>
      </c>
      <c r="C42" s="121">
        <v>14</v>
      </c>
      <c r="D42" s="122"/>
      <c r="E42" s="123"/>
      <c r="F42" s="124" t="s">
        <v>2238</v>
      </c>
      <c r="G42" s="81">
        <v>0.33</v>
      </c>
      <c r="H42" s="82">
        <f t="shared" si="9"/>
        <v>0</v>
      </c>
      <c r="I42" s="81"/>
      <c r="J42" s="81">
        <v>1.25</v>
      </c>
      <c r="K42" s="82">
        <f t="shared" si="10"/>
        <v>0</v>
      </c>
      <c r="L42" s="81"/>
      <c r="M42" s="81">
        <v>0.65</v>
      </c>
      <c r="N42" s="82">
        <f t="shared" si="11"/>
        <v>0</v>
      </c>
      <c r="O42" s="81"/>
      <c r="P42" s="81">
        <v>1.04</v>
      </c>
      <c r="Q42" s="82">
        <f t="shared" si="12"/>
        <v>0</v>
      </c>
      <c r="R42" s="81"/>
      <c r="S42" s="81">
        <v>1.65</v>
      </c>
      <c r="T42" s="82">
        <f t="shared" si="13"/>
        <v>0</v>
      </c>
      <c r="U42" s="81"/>
      <c r="V42" s="81">
        <v>0.55000000000000004</v>
      </c>
      <c r="W42" s="82">
        <f t="shared" si="14"/>
        <v>0</v>
      </c>
      <c r="X42" s="81"/>
      <c r="Y42" s="81">
        <v>3.88</v>
      </c>
      <c r="Z42" s="82">
        <f t="shared" si="15"/>
        <v>0</v>
      </c>
      <c r="AA42" s="81"/>
      <c r="AB42" s="81">
        <v>2.06</v>
      </c>
      <c r="AC42" s="82">
        <f t="shared" si="16"/>
        <v>0</v>
      </c>
      <c r="AD42" s="81"/>
      <c r="AE42" s="81">
        <v>0.41</v>
      </c>
      <c r="AF42" s="82">
        <f t="shared" si="17"/>
        <v>0</v>
      </c>
      <c r="AG42" s="81"/>
      <c r="AH42" s="81"/>
      <c r="AI42" s="82">
        <f t="shared" si="18"/>
        <v>0</v>
      </c>
      <c r="AJ42" s="81"/>
      <c r="AK42" s="81">
        <v>0.32</v>
      </c>
      <c r="AL42" s="82">
        <f t="shared" si="19"/>
        <v>0</v>
      </c>
      <c r="AM42" s="81"/>
      <c r="AN42" s="81"/>
      <c r="AO42" s="82">
        <f t="shared" si="20"/>
        <v>0</v>
      </c>
      <c r="AP42" s="81"/>
      <c r="AQ42" s="81"/>
      <c r="AR42" s="82">
        <f t="shared" si="21"/>
        <v>0</v>
      </c>
      <c r="AS42" s="81"/>
      <c r="AT42" s="81"/>
      <c r="AU42" s="82">
        <f t="shared" si="22"/>
        <v>0</v>
      </c>
      <c r="AV42" s="81">
        <f t="shared" si="40"/>
        <v>0</v>
      </c>
      <c r="AW42" s="81">
        <v>3.39</v>
      </c>
      <c r="AX42" s="82">
        <f t="shared" si="23"/>
        <v>0</v>
      </c>
      <c r="AY42" s="83">
        <f t="shared" si="24"/>
        <v>0</v>
      </c>
      <c r="AZ42" s="84">
        <v>0.34499999999999997</v>
      </c>
      <c r="BA42" s="85">
        <f t="shared" si="0"/>
        <v>4.83</v>
      </c>
      <c r="BB42" s="82">
        <f t="shared" si="25"/>
        <v>0</v>
      </c>
      <c r="BC42" s="82">
        <f t="shared" si="26"/>
        <v>0</v>
      </c>
      <c r="BD42" s="86">
        <v>10.74</v>
      </c>
      <c r="BE42" s="82">
        <f t="shared" si="27"/>
        <v>0</v>
      </c>
      <c r="BF42" s="82">
        <f t="shared" si="28"/>
        <v>0</v>
      </c>
      <c r="BG42" s="86">
        <v>10.74</v>
      </c>
      <c r="BH42" s="82">
        <f t="shared" si="29"/>
        <v>0</v>
      </c>
      <c r="BI42" s="87">
        <f t="shared" si="30"/>
        <v>0</v>
      </c>
      <c r="BJ42" s="86">
        <v>3.97</v>
      </c>
      <c r="BK42" s="82">
        <f t="shared" si="31"/>
        <v>0</v>
      </c>
      <c r="BL42" s="86">
        <v>2.67</v>
      </c>
      <c r="BM42" s="82">
        <f t="shared" si="32"/>
        <v>0</v>
      </c>
      <c r="BN42" s="82">
        <f t="shared" si="33"/>
        <v>0</v>
      </c>
      <c r="BO42" s="86"/>
      <c r="BP42" s="82">
        <f t="shared" si="34"/>
        <v>0</v>
      </c>
      <c r="BQ42" s="88"/>
      <c r="BR42" s="82">
        <f t="shared" si="42"/>
        <v>0</v>
      </c>
      <c r="BS42" s="88">
        <f t="shared" si="2"/>
        <v>0.05</v>
      </c>
      <c r="BT42" s="82">
        <f t="shared" si="45"/>
        <v>0</v>
      </c>
      <c r="BU42" s="88">
        <f t="shared" si="51"/>
        <v>0.71</v>
      </c>
      <c r="BV42" s="82">
        <f t="shared" si="46"/>
        <v>0</v>
      </c>
      <c r="BW42" s="82">
        <f t="shared" si="47"/>
        <v>0</v>
      </c>
      <c r="BX42" s="82">
        <f t="shared" si="3"/>
        <v>0</v>
      </c>
      <c r="BY42" s="82">
        <f t="shared" si="4"/>
        <v>0</v>
      </c>
      <c r="BZ42" s="83">
        <f t="shared" si="5"/>
        <v>0</v>
      </c>
      <c r="CA42" s="88">
        <f t="shared" si="6"/>
        <v>1.3</v>
      </c>
      <c r="CB42" s="88">
        <f t="shared" si="7"/>
        <v>1.2</v>
      </c>
      <c r="CC42" s="88">
        <f t="shared" si="8"/>
        <v>1.17</v>
      </c>
      <c r="CD42" s="89">
        <f t="shared" si="48"/>
        <v>0</v>
      </c>
      <c r="CE42" s="90">
        <f t="shared" si="49"/>
        <v>0</v>
      </c>
      <c r="CF42" s="91">
        <f t="shared" si="50"/>
        <v>0</v>
      </c>
    </row>
  </sheetData>
  <autoFilter ref="A4:CG42" xr:uid="{F7CE7D10-707D-4BB0-AE0C-F4154BDE84BF}"/>
  <mergeCells count="52">
    <mergeCell ref="A1:B1"/>
    <mergeCell ref="C1:D1"/>
    <mergeCell ref="A2:F2"/>
    <mergeCell ref="G2:H2"/>
    <mergeCell ref="I2:K2"/>
    <mergeCell ref="AS2:AU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BO2:BP2"/>
    <mergeCell ref="BQ2:BR2"/>
    <mergeCell ref="BS2:BT2"/>
    <mergeCell ref="BU2:BV2"/>
    <mergeCell ref="D3:F3"/>
    <mergeCell ref="G3:H3"/>
    <mergeCell ref="I3:K3"/>
    <mergeCell ref="L3:N3"/>
    <mergeCell ref="O3:Q3"/>
    <mergeCell ref="R3:T3"/>
    <mergeCell ref="AV2:AX2"/>
    <mergeCell ref="AY2:BB2"/>
    <mergeCell ref="BC2:BE2"/>
    <mergeCell ref="BF2:BH2"/>
    <mergeCell ref="BJ2:BK2"/>
    <mergeCell ref="BL2:BM2"/>
    <mergeCell ref="BC3:BE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B3"/>
    <mergeCell ref="BU3:BV3"/>
    <mergeCell ref="BF3:BH3"/>
    <mergeCell ref="BJ3:BK3"/>
    <mergeCell ref="BL3:BM3"/>
    <mergeCell ref="BO3:BP3"/>
    <mergeCell ref="BQ3:BR3"/>
    <mergeCell ref="BS3:BT3"/>
  </mergeCells>
  <pageMargins left="0.7" right="0.7" top="0.75" bottom="0.75" header="0.3" footer="0.3"/>
  <pageSetup paperSize="3" scale="13" orientation="landscape" r:id="rId1"/>
  <colBreaks count="1" manualBreakCount="1">
    <brk id="3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Labor</vt:lpstr>
      <vt:lpstr>Sheet1</vt:lpstr>
      <vt:lpstr>PieCharts</vt:lpstr>
      <vt:lpstr>Summary</vt:lpstr>
      <vt:lpstr>Multipliers</vt:lpstr>
      <vt:lpstr>worksheet</vt:lpstr>
      <vt:lpstr>Rates</vt:lpstr>
      <vt:lpstr>Rates!Print_Area</vt:lpstr>
      <vt:lpstr>Rates!Print_Titles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Amalfitano</dc:creator>
  <cp:lastModifiedBy>Steve Amalfitano</cp:lastModifiedBy>
  <cp:lastPrinted>2026-05-05T17:10:57Z</cp:lastPrinted>
  <dcterms:created xsi:type="dcterms:W3CDTF">2026-04-02T15:27:58Z</dcterms:created>
  <dcterms:modified xsi:type="dcterms:W3CDTF">2026-08-10T21:38:29Z</dcterms:modified>
</cp:coreProperties>
</file>