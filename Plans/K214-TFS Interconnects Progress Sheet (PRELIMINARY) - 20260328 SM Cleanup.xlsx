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Projects\25.005 - Fluor Lilly Interior CUB T&amp;M Scope\Project Controls\Progress\Fluor Weekly Progress\TFS\"/>
    </mc:Choice>
  </mc:AlternateContent>
  <xr:revisionPtr revIDLastSave="0" documentId="8_{5B6A11AA-79BD-4396-8FC3-15F0EA1A1C5C}" xr6:coauthVersionLast="47" xr6:coauthVersionMax="47" xr10:uidLastSave="{00000000-0000-0000-0000-000000000000}"/>
  <bookViews>
    <workbookView xWindow="-120" yWindow="-120" windowWidth="29040" windowHeight="15720" tabRatio="767" xr2:uid="{76DB8521-5077-461A-85F3-B0D3D74A3E5F}"/>
  </bookViews>
  <sheets>
    <sheet name="Rules of Credit" sheetId="2" r:id="rId1"/>
    <sheet name="Extra Work &amp; Delays" sheetId="11" r:id="rId2"/>
    <sheet name="TFS Progress Sheets" sheetId="9" r:id="rId3"/>
    <sheet name="STEEL ERECTION" sheetId="13" r:id="rId4"/>
    <sheet name="MODULE SET" sheetId="14" r:id="rId5"/>
    <sheet name="PIPE INTERCONNECTS" sheetId="15" r:id="rId6"/>
    <sheet name="TFS Quantity Curve Steel" sheetId="10" r:id="rId7"/>
    <sheet name="Master Key" sheetId="12" r:id="rId8"/>
  </sheets>
  <definedNames>
    <definedName name="_xlnm._FilterDatabase" localSheetId="5" hidden="1">'PIPE INTERCONNECTS'!$A$4:$AE$912</definedName>
    <definedName name="_xlnm._FilterDatabase" localSheetId="0" hidden="1">'Rules of Credit'!$A$1:$N$515</definedName>
    <definedName name="_xlnm._FilterDatabase" localSheetId="3" hidden="1">'STEEL ERECTION'!$A$1:$O$164</definedName>
    <definedName name="_xlnm._FilterDatabase" localSheetId="2" hidden="1">'TFS Progress Sheets'!$B$368:$AF$1321</definedName>
    <definedName name="_xlnm.Print_Area" localSheetId="2">'TFS Progress Sheets'!$A$1:$AF$283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5" l="1"/>
  <c r="S4" i="15"/>
  <c r="P4" i="15"/>
  <c r="AB4" i="15"/>
  <c r="R4" i="15"/>
  <c r="AA912" i="15"/>
  <c r="Z912" i="15" s="1"/>
  <c r="AA911" i="15"/>
  <c r="Z911" i="15" s="1"/>
  <c r="AA910" i="15"/>
  <c r="Z910" i="15" s="1"/>
  <c r="AA909" i="15"/>
  <c r="Z909" i="15" s="1"/>
  <c r="AA908" i="15"/>
  <c r="Z908" i="15" s="1"/>
  <c r="AA907" i="15"/>
  <c r="Z907" i="15" s="1"/>
  <c r="N907" i="15" s="1"/>
  <c r="AA906" i="15"/>
  <c r="Z906" i="15" s="1"/>
  <c r="N906" i="15" s="1"/>
  <c r="AA905" i="15"/>
  <c r="Z905" i="15" s="1"/>
  <c r="N905" i="15" s="1"/>
  <c r="AA904" i="15"/>
  <c r="Z904" i="15"/>
  <c r="N904" i="15" s="1"/>
  <c r="AA903" i="15"/>
  <c r="Z903" i="15" s="1"/>
  <c r="N903" i="15" s="1"/>
  <c r="AA902" i="15"/>
  <c r="Z902" i="15" s="1"/>
  <c r="N902" i="15" s="1"/>
  <c r="AA901" i="15"/>
  <c r="Z901" i="15" s="1"/>
  <c r="N901" i="15" s="1"/>
  <c r="AA900" i="15"/>
  <c r="Z900" i="15" s="1"/>
  <c r="N900" i="15" s="1"/>
  <c r="AA899" i="15"/>
  <c r="Z899" i="15" s="1"/>
  <c r="N899" i="15" s="1"/>
  <c r="AA898" i="15"/>
  <c r="Z898" i="15" s="1"/>
  <c r="N898" i="15" s="1"/>
  <c r="AA897" i="15"/>
  <c r="Z897" i="15" s="1"/>
  <c r="N897" i="15" s="1"/>
  <c r="AA896" i="15"/>
  <c r="Z896" i="15" s="1"/>
  <c r="N896" i="15" s="1"/>
  <c r="AA895" i="15"/>
  <c r="Z895" i="15" s="1"/>
  <c r="N895" i="15" s="1"/>
  <c r="AA894" i="15"/>
  <c r="Z894" i="15" s="1"/>
  <c r="N894" i="15" s="1"/>
  <c r="AA893" i="15"/>
  <c r="Z893" i="15" s="1"/>
  <c r="N893" i="15" s="1"/>
  <c r="AA892" i="15"/>
  <c r="Z892" i="15" s="1"/>
  <c r="N892" i="15" s="1"/>
  <c r="AA891" i="15"/>
  <c r="Z891" i="15" s="1"/>
  <c r="N891" i="15" s="1"/>
  <c r="AA890" i="15"/>
  <c r="Z890" i="15" s="1"/>
  <c r="N890" i="15" s="1"/>
  <c r="AA889" i="15"/>
  <c r="Z889" i="15"/>
  <c r="N889" i="15" s="1"/>
  <c r="AA888" i="15"/>
  <c r="Z888" i="15" s="1"/>
  <c r="N888" i="15" s="1"/>
  <c r="AA887" i="15"/>
  <c r="Z887" i="15" s="1"/>
  <c r="N887" i="15" s="1"/>
  <c r="AA886" i="15"/>
  <c r="Z886" i="15" s="1"/>
  <c r="N886" i="15" s="1"/>
  <c r="AA885" i="15"/>
  <c r="Z885" i="15" s="1"/>
  <c r="N885" i="15" s="1"/>
  <c r="AA884" i="15"/>
  <c r="Z884" i="15" s="1"/>
  <c r="N884" i="15" s="1"/>
  <c r="AA883" i="15"/>
  <c r="Z883" i="15" s="1"/>
  <c r="N883" i="15" s="1"/>
  <c r="AA882" i="15"/>
  <c r="Z882" i="15" s="1"/>
  <c r="N882" i="15" s="1"/>
  <c r="AA881" i="15"/>
  <c r="Z881" i="15" s="1"/>
  <c r="N881" i="15" s="1"/>
  <c r="AA880" i="15"/>
  <c r="Z880" i="15" s="1"/>
  <c r="N880" i="15" s="1"/>
  <c r="AA879" i="15"/>
  <c r="Z879" i="15" s="1"/>
  <c r="N879" i="15" s="1"/>
  <c r="AA878" i="15"/>
  <c r="Z878" i="15" s="1"/>
  <c r="N878" i="15" s="1"/>
  <c r="AA877" i="15"/>
  <c r="Z877" i="15" s="1"/>
  <c r="N877" i="15" s="1"/>
  <c r="AA876" i="15"/>
  <c r="Z876" i="15" s="1"/>
  <c r="N876" i="15" s="1"/>
  <c r="AA875" i="15"/>
  <c r="Z875" i="15" s="1"/>
  <c r="N875" i="15" s="1"/>
  <c r="AA874" i="15"/>
  <c r="Z874" i="15" s="1"/>
  <c r="N874" i="15" s="1"/>
  <c r="AA873" i="15"/>
  <c r="Z873" i="15"/>
  <c r="N873" i="15" s="1"/>
  <c r="AA872" i="15"/>
  <c r="Z872" i="15" s="1"/>
  <c r="N872" i="15" s="1"/>
  <c r="AA871" i="15"/>
  <c r="Z871" i="15" s="1"/>
  <c r="N871" i="15" s="1"/>
  <c r="AA870" i="15"/>
  <c r="Z870" i="15" s="1"/>
  <c r="N870" i="15" s="1"/>
  <c r="AA869" i="15"/>
  <c r="Z869" i="15" s="1"/>
  <c r="N869" i="15" s="1"/>
  <c r="AA868" i="15"/>
  <c r="Z868" i="15" s="1"/>
  <c r="N868" i="15" s="1"/>
  <c r="AA867" i="15"/>
  <c r="Z867" i="15" s="1"/>
  <c r="N867" i="15" s="1"/>
  <c r="AA866" i="15"/>
  <c r="Z866" i="15" s="1"/>
  <c r="N866" i="15" s="1"/>
  <c r="AA865" i="15"/>
  <c r="Z865" i="15"/>
  <c r="N865" i="15" s="1"/>
  <c r="AA864" i="15"/>
  <c r="Z864" i="15" s="1"/>
  <c r="N864" i="15" s="1"/>
  <c r="AA863" i="15"/>
  <c r="Z863" i="15" s="1"/>
  <c r="N863" i="15" s="1"/>
  <c r="AA862" i="15"/>
  <c r="Z862" i="15" s="1"/>
  <c r="N862" i="15" s="1"/>
  <c r="AA861" i="15"/>
  <c r="Z861" i="15" s="1"/>
  <c r="N861" i="15" s="1"/>
  <c r="AA860" i="15"/>
  <c r="Z860" i="15" s="1"/>
  <c r="N860" i="15" s="1"/>
  <c r="AA859" i="15"/>
  <c r="Z859" i="15" s="1"/>
  <c r="N859" i="15" s="1"/>
  <c r="AA858" i="15"/>
  <c r="Z858" i="15" s="1"/>
  <c r="N858" i="15" s="1"/>
  <c r="AA857" i="15"/>
  <c r="Z857" i="15" s="1"/>
  <c r="N857" i="15" s="1"/>
  <c r="AA856" i="15"/>
  <c r="Z856" i="15" s="1"/>
  <c r="N856" i="15" s="1"/>
  <c r="AA855" i="15"/>
  <c r="Z855" i="15" s="1"/>
  <c r="N855" i="15" s="1"/>
  <c r="AA854" i="15"/>
  <c r="Z854" i="15" s="1"/>
  <c r="N854" i="15" s="1"/>
  <c r="AA853" i="15"/>
  <c r="Z853" i="15" s="1"/>
  <c r="N853" i="15" s="1"/>
  <c r="AA852" i="15"/>
  <c r="Z852" i="15" s="1"/>
  <c r="N852" i="15" s="1"/>
  <c r="AA851" i="15"/>
  <c r="Z851" i="15" s="1"/>
  <c r="N851" i="15" s="1"/>
  <c r="AA850" i="15"/>
  <c r="Z850" i="15" s="1"/>
  <c r="N850" i="15" s="1"/>
  <c r="AA849" i="15"/>
  <c r="Z849" i="15" s="1"/>
  <c r="N849" i="15" s="1"/>
  <c r="AA848" i="15"/>
  <c r="Z848" i="15" s="1"/>
  <c r="N848" i="15" s="1"/>
  <c r="AA847" i="15"/>
  <c r="Z847" i="15" s="1"/>
  <c r="N847" i="15" s="1"/>
  <c r="AA846" i="15"/>
  <c r="Z846" i="15" s="1"/>
  <c r="N846" i="15" s="1"/>
  <c r="AA845" i="15"/>
  <c r="Z845" i="15" s="1"/>
  <c r="N845" i="15" s="1"/>
  <c r="AA844" i="15"/>
  <c r="Z844" i="15" s="1"/>
  <c r="N844" i="15" s="1"/>
  <c r="AA843" i="15"/>
  <c r="Z843" i="15" s="1"/>
  <c r="N843" i="15" s="1"/>
  <c r="AA842" i="15"/>
  <c r="Z842" i="15" s="1"/>
  <c r="N842" i="15" s="1"/>
  <c r="AA841" i="15"/>
  <c r="Z841" i="15" s="1"/>
  <c r="N841" i="15" s="1"/>
  <c r="AA840" i="15"/>
  <c r="Z840" i="15" s="1"/>
  <c r="N840" i="15" s="1"/>
  <c r="AA839" i="15"/>
  <c r="Z839" i="15" s="1"/>
  <c r="N839" i="15" s="1"/>
  <c r="AA838" i="15"/>
  <c r="Z838" i="15"/>
  <c r="N838" i="15" s="1"/>
  <c r="M838" i="15"/>
  <c r="AA837" i="15"/>
  <c r="Z837" i="15" s="1"/>
  <c r="N837" i="15" s="1"/>
  <c r="M837" i="15"/>
  <c r="AA836" i="15"/>
  <c r="Z836" i="15" s="1"/>
  <c r="N836" i="15" s="1"/>
  <c r="M836" i="15"/>
  <c r="AA835" i="15"/>
  <c r="Z835" i="15" s="1"/>
  <c r="N835" i="15" s="1"/>
  <c r="M835" i="15"/>
  <c r="AA834" i="15"/>
  <c r="Z834" i="15" s="1"/>
  <c r="N834" i="15" s="1"/>
  <c r="M834" i="15"/>
  <c r="AA833" i="15"/>
  <c r="Z833" i="15" s="1"/>
  <c r="N833" i="15" s="1"/>
  <c r="M833" i="15"/>
  <c r="AA832" i="15"/>
  <c r="Z832" i="15" s="1"/>
  <c r="N832" i="15" s="1"/>
  <c r="M832" i="15"/>
  <c r="AA831" i="15"/>
  <c r="Z831" i="15" s="1"/>
  <c r="N831" i="15" s="1"/>
  <c r="M831" i="15"/>
  <c r="AA830" i="15"/>
  <c r="Z830" i="15" s="1"/>
  <c r="N830" i="15" s="1"/>
  <c r="M830" i="15"/>
  <c r="AA829" i="15"/>
  <c r="Z829" i="15" s="1"/>
  <c r="N829" i="15" s="1"/>
  <c r="M829" i="15"/>
  <c r="AA828" i="15"/>
  <c r="Z828" i="15" s="1"/>
  <c r="N828" i="15"/>
  <c r="M828" i="15"/>
  <c r="AA827" i="15"/>
  <c r="Z827" i="15" s="1"/>
  <c r="N827" i="15" s="1"/>
  <c r="M827" i="15"/>
  <c r="AA826" i="15"/>
  <c r="Z826" i="15"/>
  <c r="N826" i="15" s="1"/>
  <c r="M826" i="15"/>
  <c r="AA825" i="15"/>
  <c r="Z825" i="15" s="1"/>
  <c r="N825" i="15" s="1"/>
  <c r="M825" i="15"/>
  <c r="AA824" i="15"/>
  <c r="Z824" i="15" s="1"/>
  <c r="N824" i="15" s="1"/>
  <c r="M824" i="15"/>
  <c r="AA823" i="15"/>
  <c r="Z823" i="15" s="1"/>
  <c r="N823" i="15" s="1"/>
  <c r="M823" i="15"/>
  <c r="AA822" i="15"/>
  <c r="Z822" i="15" s="1"/>
  <c r="N822" i="15" s="1"/>
  <c r="M822" i="15"/>
  <c r="AA821" i="15"/>
  <c r="Z821" i="15" s="1"/>
  <c r="N821" i="15" s="1"/>
  <c r="M821" i="15"/>
  <c r="AA820" i="15"/>
  <c r="Z820" i="15" s="1"/>
  <c r="N820" i="15" s="1"/>
  <c r="M820" i="15"/>
  <c r="AA819" i="15"/>
  <c r="Z819" i="15" s="1"/>
  <c r="N819" i="15"/>
  <c r="M819" i="15"/>
  <c r="AA818" i="15"/>
  <c r="Z818" i="15" s="1"/>
  <c r="N818" i="15" s="1"/>
  <c r="M818" i="15"/>
  <c r="AA817" i="15"/>
  <c r="Z817" i="15" s="1"/>
  <c r="N817" i="15" s="1"/>
  <c r="M817" i="15"/>
  <c r="AA816" i="15"/>
  <c r="Z816" i="15" s="1"/>
  <c r="N816" i="15" s="1"/>
  <c r="M816" i="15"/>
  <c r="AA815" i="15"/>
  <c r="Z815" i="15" s="1"/>
  <c r="N815" i="15" s="1"/>
  <c r="M815" i="15"/>
  <c r="AA814" i="15"/>
  <c r="Z814" i="15"/>
  <c r="N814" i="15" s="1"/>
  <c r="M814" i="15"/>
  <c r="AA813" i="15"/>
  <c r="Z813" i="15" s="1"/>
  <c r="N813" i="15"/>
  <c r="M813" i="15"/>
  <c r="AA812" i="15"/>
  <c r="Z812" i="15" s="1"/>
  <c r="N812" i="15" s="1"/>
  <c r="M812" i="15"/>
  <c r="AA811" i="15"/>
  <c r="Z811" i="15" s="1"/>
  <c r="N811" i="15" s="1"/>
  <c r="M811" i="15"/>
  <c r="AA810" i="15"/>
  <c r="Z810" i="15" s="1"/>
  <c r="N810" i="15" s="1"/>
  <c r="M810" i="15"/>
  <c r="AA809" i="15"/>
  <c r="Z809" i="15" s="1"/>
  <c r="N809" i="15" s="1"/>
  <c r="M809" i="15"/>
  <c r="AA808" i="15"/>
  <c r="Z808" i="15" s="1"/>
  <c r="N808" i="15" s="1"/>
  <c r="M808" i="15"/>
  <c r="AA807" i="15"/>
  <c r="Z807" i="15" s="1"/>
  <c r="N807" i="15" s="1"/>
  <c r="M807" i="15"/>
  <c r="AA806" i="15"/>
  <c r="Z806" i="15" s="1"/>
  <c r="N806" i="15" s="1"/>
  <c r="M806" i="15"/>
  <c r="AA805" i="15"/>
  <c r="Z805" i="15" s="1"/>
  <c r="N805" i="15" s="1"/>
  <c r="M805" i="15"/>
  <c r="AA804" i="15"/>
  <c r="Z804" i="15" s="1"/>
  <c r="N804" i="15" s="1"/>
  <c r="M804" i="15"/>
  <c r="AA803" i="15"/>
  <c r="Z803" i="15" s="1"/>
  <c r="N803" i="15" s="1"/>
  <c r="M803" i="15"/>
  <c r="AA802" i="15"/>
  <c r="Z802" i="15" s="1"/>
  <c r="N802" i="15" s="1"/>
  <c r="M802" i="15"/>
  <c r="AA801" i="15"/>
  <c r="Z801" i="15" s="1"/>
  <c r="N801" i="15" s="1"/>
  <c r="M801" i="15"/>
  <c r="AA800" i="15"/>
  <c r="Z800" i="15" s="1"/>
  <c r="N800" i="15" s="1"/>
  <c r="M800" i="15"/>
  <c r="AA799" i="15"/>
  <c r="Z799" i="15" s="1"/>
  <c r="N799" i="15" s="1"/>
  <c r="M799" i="15"/>
  <c r="AA798" i="15"/>
  <c r="Z798" i="15" s="1"/>
  <c r="N798" i="15" s="1"/>
  <c r="M798" i="15"/>
  <c r="AA797" i="15"/>
  <c r="Z797" i="15" s="1"/>
  <c r="N797" i="15" s="1"/>
  <c r="M797" i="15"/>
  <c r="AA796" i="15"/>
  <c r="Z796" i="15"/>
  <c r="N796" i="15" s="1"/>
  <c r="M796" i="15"/>
  <c r="AA795" i="15"/>
  <c r="Z795" i="15" s="1"/>
  <c r="N795" i="15" s="1"/>
  <c r="M795" i="15"/>
  <c r="AA794" i="15"/>
  <c r="Z794" i="15" s="1"/>
  <c r="N794" i="15" s="1"/>
  <c r="M794" i="15"/>
  <c r="AA793" i="15"/>
  <c r="Z793" i="15"/>
  <c r="N793" i="15" s="1"/>
  <c r="M793" i="15"/>
  <c r="AA792" i="15"/>
  <c r="Z792" i="15" s="1"/>
  <c r="N792" i="15" s="1"/>
  <c r="M792" i="15"/>
  <c r="AA791" i="15"/>
  <c r="Z791" i="15" s="1"/>
  <c r="N791" i="15" s="1"/>
  <c r="M791" i="15"/>
  <c r="AA790" i="15"/>
  <c r="Z790" i="15" s="1"/>
  <c r="N790" i="15" s="1"/>
  <c r="M790" i="15"/>
  <c r="AA789" i="15"/>
  <c r="Z789" i="15" s="1"/>
  <c r="N789" i="15" s="1"/>
  <c r="M789" i="15"/>
  <c r="AA788" i="15"/>
  <c r="Z788" i="15" s="1"/>
  <c r="N788" i="15" s="1"/>
  <c r="M788" i="15"/>
  <c r="AA787" i="15"/>
  <c r="Z787" i="15" s="1"/>
  <c r="N787" i="15" s="1"/>
  <c r="M787" i="15"/>
  <c r="AA786" i="15"/>
  <c r="Z786" i="15" s="1"/>
  <c r="N786" i="15" s="1"/>
  <c r="M786" i="15"/>
  <c r="AA785" i="15"/>
  <c r="Z785" i="15" s="1"/>
  <c r="N785" i="15" s="1"/>
  <c r="M785" i="15"/>
  <c r="AA784" i="15"/>
  <c r="Z784" i="15" s="1"/>
  <c r="N784" i="15" s="1"/>
  <c r="M784" i="15"/>
  <c r="AA783" i="15"/>
  <c r="Z783" i="15" s="1"/>
  <c r="N783" i="15" s="1"/>
  <c r="M783" i="15"/>
  <c r="AA782" i="15"/>
  <c r="Z782" i="15" s="1"/>
  <c r="N782" i="15" s="1"/>
  <c r="M782" i="15"/>
  <c r="AA781" i="15"/>
  <c r="Z781" i="15" s="1"/>
  <c r="N781" i="15" s="1"/>
  <c r="M781" i="15"/>
  <c r="AA780" i="15"/>
  <c r="Z780" i="15" s="1"/>
  <c r="N780" i="15" s="1"/>
  <c r="M780" i="15"/>
  <c r="AA779" i="15"/>
  <c r="Z779" i="15" s="1"/>
  <c r="N779" i="15" s="1"/>
  <c r="M779" i="15"/>
  <c r="AA778" i="15"/>
  <c r="Z778" i="15" s="1"/>
  <c r="N778" i="15" s="1"/>
  <c r="M778" i="15"/>
  <c r="AA777" i="15"/>
  <c r="Z777" i="15" s="1"/>
  <c r="N777" i="15" s="1"/>
  <c r="M777" i="15"/>
  <c r="AA776" i="15"/>
  <c r="Z776" i="15" s="1"/>
  <c r="N776" i="15" s="1"/>
  <c r="M776" i="15"/>
  <c r="AA775" i="15"/>
  <c r="Z775" i="15" s="1"/>
  <c r="N775" i="15" s="1"/>
  <c r="M775" i="15"/>
  <c r="AA774" i="15"/>
  <c r="Z774" i="15" s="1"/>
  <c r="N774" i="15" s="1"/>
  <c r="M774" i="15"/>
  <c r="AA773" i="15"/>
  <c r="Z773" i="15" s="1"/>
  <c r="N773" i="15" s="1"/>
  <c r="M773" i="15"/>
  <c r="AA772" i="15"/>
  <c r="Z772" i="15" s="1"/>
  <c r="N772" i="15" s="1"/>
  <c r="M772" i="15"/>
  <c r="AA771" i="15"/>
  <c r="Z771" i="15" s="1"/>
  <c r="N771" i="15" s="1"/>
  <c r="M771" i="15"/>
  <c r="AA770" i="15"/>
  <c r="Z770" i="15" s="1"/>
  <c r="N770" i="15" s="1"/>
  <c r="M770" i="15"/>
  <c r="AA769" i="15"/>
  <c r="Z769" i="15" s="1"/>
  <c r="N769" i="15" s="1"/>
  <c r="M769" i="15"/>
  <c r="AA768" i="15"/>
  <c r="Z768" i="15" s="1"/>
  <c r="N768" i="15" s="1"/>
  <c r="M768" i="15"/>
  <c r="AA767" i="15"/>
  <c r="Z767" i="15" s="1"/>
  <c r="N767" i="15" s="1"/>
  <c r="M767" i="15"/>
  <c r="AA766" i="15"/>
  <c r="Z766" i="15" s="1"/>
  <c r="N766" i="15" s="1"/>
  <c r="M766" i="15"/>
  <c r="AA765" i="15"/>
  <c r="Z765" i="15" s="1"/>
  <c r="N765" i="15" s="1"/>
  <c r="M765" i="15"/>
  <c r="AA764" i="15"/>
  <c r="Z764" i="15" s="1"/>
  <c r="N764" i="15" s="1"/>
  <c r="M764" i="15"/>
  <c r="AA763" i="15"/>
  <c r="Z763" i="15" s="1"/>
  <c r="N763" i="15" s="1"/>
  <c r="M763" i="15"/>
  <c r="AA762" i="15"/>
  <c r="Z762" i="15" s="1"/>
  <c r="N762" i="15" s="1"/>
  <c r="M762" i="15"/>
  <c r="AA761" i="15"/>
  <c r="Z761" i="15" s="1"/>
  <c r="N761" i="15" s="1"/>
  <c r="M761" i="15"/>
  <c r="AA760" i="15"/>
  <c r="Z760" i="15"/>
  <c r="N760" i="15" s="1"/>
  <c r="M760" i="15"/>
  <c r="AA759" i="15"/>
  <c r="Z759" i="15" s="1"/>
  <c r="N759" i="15"/>
  <c r="M759" i="15"/>
  <c r="AA758" i="15"/>
  <c r="Z758" i="15" s="1"/>
  <c r="N758" i="15" s="1"/>
  <c r="M758" i="15"/>
  <c r="AA757" i="15"/>
  <c r="Z757" i="15" s="1"/>
  <c r="N757" i="15" s="1"/>
  <c r="M757" i="15"/>
  <c r="AA756" i="15"/>
  <c r="Z756" i="15" s="1"/>
  <c r="N756" i="15" s="1"/>
  <c r="M756" i="15"/>
  <c r="AA755" i="15"/>
  <c r="Z755" i="15" s="1"/>
  <c r="N755" i="15" s="1"/>
  <c r="M755" i="15"/>
  <c r="AA754" i="15"/>
  <c r="Z754" i="15" s="1"/>
  <c r="N754" i="15" s="1"/>
  <c r="M754" i="15"/>
  <c r="AA753" i="15"/>
  <c r="Z753" i="15" s="1"/>
  <c r="N753" i="15" s="1"/>
  <c r="M753" i="15"/>
  <c r="AA752" i="15"/>
  <c r="Z752" i="15" s="1"/>
  <c r="N752" i="15" s="1"/>
  <c r="M752" i="15"/>
  <c r="AA751" i="15"/>
  <c r="Z751" i="15" s="1"/>
  <c r="N751" i="15" s="1"/>
  <c r="M751" i="15"/>
  <c r="AA750" i="15"/>
  <c r="Z750" i="15" s="1"/>
  <c r="N750" i="15" s="1"/>
  <c r="M750" i="15"/>
  <c r="AA749" i="15"/>
  <c r="Z749" i="15" s="1"/>
  <c r="N749" i="15" s="1"/>
  <c r="M749" i="15"/>
  <c r="AA748" i="15"/>
  <c r="Z748" i="15" s="1"/>
  <c r="N748" i="15" s="1"/>
  <c r="M748" i="15"/>
  <c r="AA747" i="15"/>
  <c r="Z747" i="15" s="1"/>
  <c r="N747" i="15" s="1"/>
  <c r="M747" i="15"/>
  <c r="AA746" i="15"/>
  <c r="Z746" i="15" s="1"/>
  <c r="N746" i="15" s="1"/>
  <c r="M746" i="15"/>
  <c r="AA745" i="15"/>
  <c r="Z745" i="15" s="1"/>
  <c r="N745" i="15" s="1"/>
  <c r="M745" i="15"/>
  <c r="AA744" i="15"/>
  <c r="Z744" i="15" s="1"/>
  <c r="N744" i="15" s="1"/>
  <c r="M744" i="15"/>
  <c r="AA743" i="15"/>
  <c r="Z743" i="15" s="1"/>
  <c r="N743" i="15" s="1"/>
  <c r="M743" i="15"/>
  <c r="AA742" i="15"/>
  <c r="Z742" i="15" s="1"/>
  <c r="N742" i="15" s="1"/>
  <c r="M742" i="15"/>
  <c r="AA741" i="15"/>
  <c r="Z741" i="15" s="1"/>
  <c r="N741" i="15" s="1"/>
  <c r="M741" i="15"/>
  <c r="AA740" i="15"/>
  <c r="Z740" i="15" s="1"/>
  <c r="N740" i="15" s="1"/>
  <c r="M740" i="15"/>
  <c r="AA739" i="15"/>
  <c r="Z739" i="15" s="1"/>
  <c r="N739" i="15" s="1"/>
  <c r="M739" i="15"/>
  <c r="AA738" i="15"/>
  <c r="Z738" i="15" s="1"/>
  <c r="N738" i="15" s="1"/>
  <c r="M738" i="15"/>
  <c r="AA737" i="15"/>
  <c r="Z737" i="15" s="1"/>
  <c r="N737" i="15" s="1"/>
  <c r="M737" i="15"/>
  <c r="AA736" i="15"/>
  <c r="Z736" i="15" s="1"/>
  <c r="N736" i="15" s="1"/>
  <c r="M736" i="15"/>
  <c r="AA735" i="15"/>
  <c r="Z735" i="15" s="1"/>
  <c r="N735" i="15" s="1"/>
  <c r="M735" i="15"/>
  <c r="AA734" i="15"/>
  <c r="Z734" i="15" s="1"/>
  <c r="N734" i="15" s="1"/>
  <c r="M734" i="15"/>
  <c r="AA733" i="15"/>
  <c r="Z733" i="15" s="1"/>
  <c r="N733" i="15" s="1"/>
  <c r="M733" i="15"/>
  <c r="AA732" i="15"/>
  <c r="Z732" i="15" s="1"/>
  <c r="N732" i="15" s="1"/>
  <c r="M732" i="15"/>
  <c r="AA731" i="15"/>
  <c r="Z731" i="15" s="1"/>
  <c r="N731" i="15" s="1"/>
  <c r="M731" i="15"/>
  <c r="AA730" i="15"/>
  <c r="Z730" i="15"/>
  <c r="N730" i="15" s="1"/>
  <c r="M730" i="15"/>
  <c r="AA729" i="15"/>
  <c r="Z729" i="15" s="1"/>
  <c r="N729" i="15" s="1"/>
  <c r="M729" i="15"/>
  <c r="AA728" i="15"/>
  <c r="Z728" i="15" s="1"/>
  <c r="M728" i="15"/>
  <c r="AA727" i="15"/>
  <c r="Z727" i="15" s="1"/>
  <c r="N727" i="15" s="1"/>
  <c r="M727" i="15"/>
  <c r="AA726" i="15"/>
  <c r="Z726" i="15" s="1"/>
  <c r="N726" i="15" s="1"/>
  <c r="M726" i="15"/>
  <c r="AA725" i="15"/>
  <c r="Z725" i="15" s="1"/>
  <c r="N725" i="15" s="1"/>
  <c r="M725" i="15"/>
  <c r="M724" i="15"/>
  <c r="M723" i="15"/>
  <c r="M722" i="15"/>
  <c r="AA721" i="15"/>
  <c r="Z721" i="15" s="1"/>
  <c r="N721" i="15" s="1"/>
  <c r="M721" i="15"/>
  <c r="AA720" i="15"/>
  <c r="Z720" i="15" s="1"/>
  <c r="N720" i="15" s="1"/>
  <c r="M720" i="15"/>
  <c r="AA719" i="15"/>
  <c r="Z719" i="15" s="1"/>
  <c r="N719" i="15" s="1"/>
  <c r="M719" i="15"/>
  <c r="AA718" i="15"/>
  <c r="Z718" i="15" s="1"/>
  <c r="N718" i="15" s="1"/>
  <c r="M718" i="15"/>
  <c r="AA717" i="15"/>
  <c r="Z717" i="15" s="1"/>
  <c r="N717" i="15" s="1"/>
  <c r="M717" i="15"/>
  <c r="AA716" i="15"/>
  <c r="Z716" i="15" s="1"/>
  <c r="N716" i="15" s="1"/>
  <c r="M716" i="15"/>
  <c r="AA715" i="15"/>
  <c r="Z715" i="15" s="1"/>
  <c r="N715" i="15" s="1"/>
  <c r="AA714" i="15"/>
  <c r="Z714" i="15" s="1"/>
  <c r="N714" i="15" s="1"/>
  <c r="M714" i="15"/>
  <c r="AA713" i="15"/>
  <c r="Z713" i="15" s="1"/>
  <c r="N713" i="15" s="1"/>
  <c r="M713" i="15"/>
  <c r="AA712" i="15"/>
  <c r="Z712" i="15" s="1"/>
  <c r="N712" i="15" s="1"/>
  <c r="M712" i="15"/>
  <c r="AA711" i="15"/>
  <c r="Z711" i="15" s="1"/>
  <c r="N711" i="15" s="1"/>
  <c r="M711" i="15"/>
  <c r="AA710" i="15"/>
  <c r="Z710" i="15" s="1"/>
  <c r="N710" i="15" s="1"/>
  <c r="M710" i="15"/>
  <c r="AA709" i="15"/>
  <c r="Z709" i="15" s="1"/>
  <c r="N709" i="15" s="1"/>
  <c r="M709" i="15"/>
  <c r="AA708" i="15"/>
  <c r="Z708" i="15" s="1"/>
  <c r="N708" i="15" s="1"/>
  <c r="M708" i="15"/>
  <c r="AA707" i="15"/>
  <c r="Z707" i="15" s="1"/>
  <c r="N707" i="15" s="1"/>
  <c r="M707" i="15"/>
  <c r="AA706" i="15"/>
  <c r="Z706" i="15" s="1"/>
  <c r="N706" i="15" s="1"/>
  <c r="M706" i="15"/>
  <c r="AA705" i="15"/>
  <c r="Z705" i="15" s="1"/>
  <c r="N705" i="15" s="1"/>
  <c r="M705" i="15"/>
  <c r="AA704" i="15"/>
  <c r="Z704" i="15" s="1"/>
  <c r="N704" i="15" s="1"/>
  <c r="M704" i="15"/>
  <c r="AA703" i="15"/>
  <c r="Z703" i="15" s="1"/>
  <c r="N703" i="15" s="1"/>
  <c r="M703" i="15"/>
  <c r="AA702" i="15"/>
  <c r="Z702" i="15"/>
  <c r="N702" i="15" s="1"/>
  <c r="M702" i="15"/>
  <c r="AA701" i="15"/>
  <c r="Z701" i="15" s="1"/>
  <c r="N701" i="15" s="1"/>
  <c r="M701" i="15"/>
  <c r="AA700" i="15"/>
  <c r="Z700" i="15" s="1"/>
  <c r="N700" i="15" s="1"/>
  <c r="M700" i="15"/>
  <c r="AA699" i="15"/>
  <c r="Z699" i="15" s="1"/>
  <c r="N699" i="15" s="1"/>
  <c r="M699" i="15"/>
  <c r="AA698" i="15"/>
  <c r="Z698" i="15" s="1"/>
  <c r="N698" i="15" s="1"/>
  <c r="M698" i="15"/>
  <c r="AA697" i="15"/>
  <c r="Z697" i="15" s="1"/>
  <c r="N697" i="15" s="1"/>
  <c r="M697" i="15"/>
  <c r="AA696" i="15"/>
  <c r="Z696" i="15"/>
  <c r="N696" i="15" s="1"/>
  <c r="M696" i="15"/>
  <c r="AA695" i="15"/>
  <c r="Z695" i="15" s="1"/>
  <c r="N695" i="15" s="1"/>
  <c r="M695" i="15"/>
  <c r="AA694" i="15"/>
  <c r="Z694" i="15" s="1"/>
  <c r="N694" i="15" s="1"/>
  <c r="M694" i="15"/>
  <c r="AA693" i="15"/>
  <c r="Z693" i="15"/>
  <c r="N693" i="15"/>
  <c r="M693" i="15"/>
  <c r="AA692" i="15"/>
  <c r="Z692" i="15" s="1"/>
  <c r="N692" i="15" s="1"/>
  <c r="M692" i="15"/>
  <c r="AA691" i="15"/>
  <c r="Z691" i="15" s="1"/>
  <c r="N691" i="15" s="1"/>
  <c r="M691" i="15"/>
  <c r="AA690" i="15"/>
  <c r="Z690" i="15" s="1"/>
  <c r="N690" i="15" s="1"/>
  <c r="M690" i="15"/>
  <c r="AA689" i="15"/>
  <c r="Z689" i="15" s="1"/>
  <c r="N689" i="15" s="1"/>
  <c r="M689" i="15"/>
  <c r="AA688" i="15"/>
  <c r="Z688" i="15" s="1"/>
  <c r="N688" i="15" s="1"/>
  <c r="M688" i="15"/>
  <c r="AA687" i="15"/>
  <c r="Z687" i="15" s="1"/>
  <c r="N687" i="15" s="1"/>
  <c r="M687" i="15"/>
  <c r="AA686" i="15"/>
  <c r="Z686" i="15" s="1"/>
  <c r="N686" i="15" s="1"/>
  <c r="M686" i="15"/>
  <c r="AA685" i="15"/>
  <c r="Z685" i="15" s="1"/>
  <c r="N685" i="15" s="1"/>
  <c r="M685" i="15"/>
  <c r="AA684" i="15"/>
  <c r="Z684" i="15" s="1"/>
  <c r="N684" i="15" s="1"/>
  <c r="M684" i="15"/>
  <c r="AA683" i="15"/>
  <c r="Z683" i="15" s="1"/>
  <c r="N683" i="15" s="1"/>
  <c r="M683" i="15"/>
  <c r="AA682" i="15"/>
  <c r="Z682" i="15"/>
  <c r="N682" i="15" s="1"/>
  <c r="M682" i="15"/>
  <c r="AA681" i="15"/>
  <c r="Z681" i="15" s="1"/>
  <c r="N681" i="15" s="1"/>
  <c r="M681" i="15"/>
  <c r="AA680" i="15"/>
  <c r="Z680" i="15" s="1"/>
  <c r="N680" i="15" s="1"/>
  <c r="M680" i="15"/>
  <c r="AA679" i="15"/>
  <c r="Z679" i="15" s="1"/>
  <c r="N679" i="15" s="1"/>
  <c r="M679" i="15"/>
  <c r="AA678" i="15"/>
  <c r="Z678" i="15" s="1"/>
  <c r="N678" i="15" s="1"/>
  <c r="M678" i="15"/>
  <c r="AA677" i="15"/>
  <c r="Z677" i="15" s="1"/>
  <c r="N677" i="15" s="1"/>
  <c r="M677" i="15"/>
  <c r="AA676" i="15"/>
  <c r="Z676" i="15" s="1"/>
  <c r="N676" i="15" s="1"/>
  <c r="M676" i="15"/>
  <c r="AA675" i="15"/>
  <c r="Z675" i="15" s="1"/>
  <c r="N675" i="15" s="1"/>
  <c r="M675" i="15"/>
  <c r="AA674" i="15"/>
  <c r="Z674" i="15" s="1"/>
  <c r="N674" i="15" s="1"/>
  <c r="M674" i="15"/>
  <c r="AA673" i="15"/>
  <c r="Z673" i="15" s="1"/>
  <c r="N673" i="15" s="1"/>
  <c r="M673" i="15"/>
  <c r="AA672" i="15"/>
  <c r="Z672" i="15" s="1"/>
  <c r="N672" i="15" s="1"/>
  <c r="M672" i="15"/>
  <c r="AA671" i="15"/>
  <c r="Z671" i="15" s="1"/>
  <c r="N671" i="15" s="1"/>
  <c r="M671" i="15"/>
  <c r="AA670" i="15"/>
  <c r="Z670" i="15" s="1"/>
  <c r="N670" i="15" s="1"/>
  <c r="M670" i="15"/>
  <c r="AA669" i="15"/>
  <c r="Z669" i="15" s="1"/>
  <c r="N669" i="15" s="1"/>
  <c r="M669" i="15"/>
  <c r="AA668" i="15"/>
  <c r="Z668" i="15" s="1"/>
  <c r="N668" i="15" s="1"/>
  <c r="M668" i="15"/>
  <c r="AA667" i="15"/>
  <c r="Z667" i="15" s="1"/>
  <c r="N667" i="15" s="1"/>
  <c r="M667" i="15"/>
  <c r="AA666" i="15"/>
  <c r="Z666" i="15" s="1"/>
  <c r="N666" i="15" s="1"/>
  <c r="M666" i="15"/>
  <c r="AA665" i="15"/>
  <c r="Z665" i="15" s="1"/>
  <c r="N665" i="15"/>
  <c r="M665" i="15"/>
  <c r="AA664" i="15"/>
  <c r="Z664" i="15" s="1"/>
  <c r="N664" i="15" s="1"/>
  <c r="M664" i="15"/>
  <c r="AA663" i="15"/>
  <c r="Z663" i="15" s="1"/>
  <c r="N663" i="15" s="1"/>
  <c r="M663" i="15"/>
  <c r="AA662" i="15"/>
  <c r="Z662" i="15" s="1"/>
  <c r="N662" i="15" s="1"/>
  <c r="M662" i="15"/>
  <c r="AA661" i="15"/>
  <c r="Z661" i="15" s="1"/>
  <c r="N661" i="15" s="1"/>
  <c r="M661" i="15"/>
  <c r="AA660" i="15"/>
  <c r="Z660" i="15" s="1"/>
  <c r="N660" i="15" s="1"/>
  <c r="M660" i="15"/>
  <c r="AA659" i="15"/>
  <c r="Z659" i="15" s="1"/>
  <c r="N659" i="15" s="1"/>
  <c r="M659" i="15"/>
  <c r="AA658" i="15"/>
  <c r="Z658" i="15" s="1"/>
  <c r="N658" i="15" s="1"/>
  <c r="M658" i="15"/>
  <c r="AA657" i="15"/>
  <c r="Z657" i="15"/>
  <c r="N657" i="15" s="1"/>
  <c r="M657" i="15"/>
  <c r="AA656" i="15"/>
  <c r="Z656" i="15" s="1"/>
  <c r="N656" i="15" s="1"/>
  <c r="M656" i="15"/>
  <c r="AA655" i="15"/>
  <c r="Z655" i="15" s="1"/>
  <c r="N655" i="15" s="1"/>
  <c r="M655" i="15"/>
  <c r="AA654" i="15"/>
  <c r="Z654" i="15" s="1"/>
  <c r="N654" i="15" s="1"/>
  <c r="M654" i="15"/>
  <c r="AA653" i="15"/>
  <c r="Z653" i="15" s="1"/>
  <c r="N653" i="15" s="1"/>
  <c r="M653" i="15"/>
  <c r="AA652" i="15"/>
  <c r="Z652" i="15"/>
  <c r="N652" i="15" s="1"/>
  <c r="M652" i="15"/>
  <c r="AA651" i="15"/>
  <c r="Z651" i="15" s="1"/>
  <c r="N651" i="15" s="1"/>
  <c r="M651" i="15"/>
  <c r="AA650" i="15"/>
  <c r="Z650" i="15" s="1"/>
  <c r="N650" i="15" s="1"/>
  <c r="M650" i="15"/>
  <c r="AA649" i="15"/>
  <c r="Z649" i="15" s="1"/>
  <c r="N649" i="15" s="1"/>
  <c r="M649" i="15"/>
  <c r="AA648" i="15"/>
  <c r="Z648" i="15" s="1"/>
  <c r="N648" i="15" s="1"/>
  <c r="M648" i="15"/>
  <c r="AA647" i="15"/>
  <c r="Z647" i="15" s="1"/>
  <c r="N647" i="15" s="1"/>
  <c r="M647" i="15"/>
  <c r="AA646" i="15"/>
  <c r="Z646" i="15" s="1"/>
  <c r="N646" i="15" s="1"/>
  <c r="M646" i="15"/>
  <c r="AA645" i="15"/>
  <c r="Z645" i="15" s="1"/>
  <c r="N645" i="15" s="1"/>
  <c r="M645" i="15"/>
  <c r="AA644" i="15"/>
  <c r="Z644" i="15" s="1"/>
  <c r="N644" i="15" s="1"/>
  <c r="M644" i="15"/>
  <c r="AA643" i="15"/>
  <c r="Z643" i="15" s="1"/>
  <c r="N643" i="15" s="1"/>
  <c r="M643" i="15"/>
  <c r="AA642" i="15"/>
  <c r="Z642" i="15" s="1"/>
  <c r="N642" i="15" s="1"/>
  <c r="M642" i="15"/>
  <c r="AA641" i="15"/>
  <c r="Z641" i="15" s="1"/>
  <c r="N641" i="15" s="1"/>
  <c r="M641" i="15"/>
  <c r="AA640" i="15"/>
  <c r="Z640" i="15" s="1"/>
  <c r="N640" i="15" s="1"/>
  <c r="M640" i="15"/>
  <c r="AA639" i="15"/>
  <c r="Z639" i="15" s="1"/>
  <c r="N639" i="15" s="1"/>
  <c r="M639" i="15"/>
  <c r="AA638" i="15"/>
  <c r="Z638" i="15" s="1"/>
  <c r="N638" i="15" s="1"/>
  <c r="M638" i="15"/>
  <c r="AA637" i="15"/>
  <c r="Z637" i="15" s="1"/>
  <c r="N637" i="15"/>
  <c r="M637" i="15"/>
  <c r="AA636" i="15"/>
  <c r="Z636" i="15" s="1"/>
  <c r="N636" i="15" s="1"/>
  <c r="M636" i="15"/>
  <c r="AA635" i="15"/>
  <c r="Z635" i="15" s="1"/>
  <c r="N635" i="15" s="1"/>
  <c r="M635" i="15"/>
  <c r="AA634" i="15"/>
  <c r="Z634" i="15" s="1"/>
  <c r="N634" i="15" s="1"/>
  <c r="M634" i="15"/>
  <c r="AA633" i="15"/>
  <c r="Z633" i="15" s="1"/>
  <c r="N633" i="15" s="1"/>
  <c r="M633" i="15"/>
  <c r="AA632" i="15"/>
  <c r="Z632" i="15" s="1"/>
  <c r="N632" i="15" s="1"/>
  <c r="M632" i="15"/>
  <c r="AA631" i="15"/>
  <c r="Z631" i="15" s="1"/>
  <c r="N631" i="15" s="1"/>
  <c r="M631" i="15"/>
  <c r="AA630" i="15"/>
  <c r="Z630" i="15" s="1"/>
  <c r="N630" i="15" s="1"/>
  <c r="M630" i="15"/>
  <c r="AA629" i="15"/>
  <c r="Z629" i="15" s="1"/>
  <c r="N629" i="15" s="1"/>
  <c r="M629" i="15"/>
  <c r="AA628" i="15"/>
  <c r="Z628" i="15" s="1"/>
  <c r="N628" i="15" s="1"/>
  <c r="M628" i="15"/>
  <c r="AA627" i="15"/>
  <c r="Z627" i="15" s="1"/>
  <c r="N627" i="15" s="1"/>
  <c r="M627" i="15"/>
  <c r="AA626" i="15"/>
  <c r="Z626" i="15" s="1"/>
  <c r="N626" i="15" s="1"/>
  <c r="M626" i="15"/>
  <c r="AA625" i="15"/>
  <c r="Z625" i="15" s="1"/>
  <c r="N625" i="15" s="1"/>
  <c r="M625" i="15"/>
  <c r="AA624" i="15"/>
  <c r="Z624" i="15" s="1"/>
  <c r="N624" i="15" s="1"/>
  <c r="M624" i="15"/>
  <c r="AA623" i="15"/>
  <c r="Z623" i="15" s="1"/>
  <c r="N623" i="15" s="1"/>
  <c r="M623" i="15"/>
  <c r="AA622" i="15"/>
  <c r="Z622" i="15" s="1"/>
  <c r="N622" i="15" s="1"/>
  <c r="M622" i="15"/>
  <c r="AA621" i="15"/>
  <c r="Z621" i="15" s="1"/>
  <c r="N621" i="15" s="1"/>
  <c r="M621" i="15"/>
  <c r="AA620" i="15"/>
  <c r="Z620" i="15" s="1"/>
  <c r="N620" i="15" s="1"/>
  <c r="M620" i="15"/>
  <c r="AA619" i="15"/>
  <c r="Z619" i="15"/>
  <c r="N619" i="15" s="1"/>
  <c r="M619" i="15"/>
  <c r="AA618" i="15"/>
  <c r="Z618" i="15" s="1"/>
  <c r="N618" i="15" s="1"/>
  <c r="M618" i="15"/>
  <c r="AA617" i="15"/>
  <c r="Z617" i="15" s="1"/>
  <c r="N617" i="15" s="1"/>
  <c r="M617" i="15"/>
  <c r="AA616" i="15"/>
  <c r="Z616" i="15" s="1"/>
  <c r="N616" i="15" s="1"/>
  <c r="M616" i="15"/>
  <c r="AA615" i="15"/>
  <c r="Z615" i="15" s="1"/>
  <c r="N615" i="15" s="1"/>
  <c r="M615" i="15"/>
  <c r="AA614" i="15"/>
  <c r="Z614" i="15"/>
  <c r="N614" i="15" s="1"/>
  <c r="M614" i="15"/>
  <c r="AA613" i="15"/>
  <c r="Z613" i="15" s="1"/>
  <c r="N613" i="15" s="1"/>
  <c r="M613" i="15"/>
  <c r="AA612" i="15"/>
  <c r="Z612" i="15" s="1"/>
  <c r="N612" i="15" s="1"/>
  <c r="M612" i="15"/>
  <c r="AA611" i="15"/>
  <c r="Z611" i="15" s="1"/>
  <c r="N611" i="15" s="1"/>
  <c r="M611" i="15"/>
  <c r="AA610" i="15"/>
  <c r="Z610" i="15" s="1"/>
  <c r="N610" i="15" s="1"/>
  <c r="M610" i="15"/>
  <c r="AA609" i="15"/>
  <c r="Z609" i="15" s="1"/>
  <c r="N609" i="15" s="1"/>
  <c r="M609" i="15"/>
  <c r="AA608" i="15"/>
  <c r="Z608" i="15" s="1"/>
  <c r="N608" i="15" s="1"/>
  <c r="M608" i="15"/>
  <c r="AA607" i="15"/>
  <c r="Z607" i="15" s="1"/>
  <c r="N607" i="15" s="1"/>
  <c r="M607" i="15"/>
  <c r="AA606" i="15"/>
  <c r="Z606" i="15" s="1"/>
  <c r="N606" i="15" s="1"/>
  <c r="M606" i="15"/>
  <c r="AA605" i="15"/>
  <c r="Z605" i="15" s="1"/>
  <c r="N605" i="15" s="1"/>
  <c r="M605" i="15"/>
  <c r="AA604" i="15"/>
  <c r="Z604" i="15" s="1"/>
  <c r="N604" i="15" s="1"/>
  <c r="M604" i="15"/>
  <c r="AA603" i="15"/>
  <c r="Z603" i="15"/>
  <c r="N603" i="15" s="1"/>
  <c r="M603" i="15"/>
  <c r="AA602" i="15"/>
  <c r="Z602" i="15" s="1"/>
  <c r="N602" i="15" s="1"/>
  <c r="M602" i="15"/>
  <c r="AA601" i="15"/>
  <c r="Z601" i="15" s="1"/>
  <c r="N601" i="15" s="1"/>
  <c r="M601" i="15"/>
  <c r="AA600" i="15"/>
  <c r="Z600" i="15" s="1"/>
  <c r="N600" i="15" s="1"/>
  <c r="M600" i="15"/>
  <c r="AA599" i="15"/>
  <c r="Z599" i="15" s="1"/>
  <c r="N599" i="15" s="1"/>
  <c r="M599" i="15"/>
  <c r="AA598" i="15"/>
  <c r="Z598" i="15" s="1"/>
  <c r="N598" i="15" s="1"/>
  <c r="M598" i="15"/>
  <c r="AA597" i="15"/>
  <c r="Z597" i="15" s="1"/>
  <c r="N597" i="15" s="1"/>
  <c r="M597" i="15"/>
  <c r="AA596" i="15"/>
  <c r="Z596" i="15" s="1"/>
  <c r="N596" i="15" s="1"/>
  <c r="M596" i="15"/>
  <c r="AA595" i="15"/>
  <c r="Z595" i="15" s="1"/>
  <c r="N595" i="15" s="1"/>
  <c r="M595" i="15"/>
  <c r="AA594" i="15"/>
  <c r="Z594" i="15" s="1"/>
  <c r="N594" i="15" s="1"/>
  <c r="M594" i="15"/>
  <c r="AA593" i="15"/>
  <c r="Z593" i="15" s="1"/>
  <c r="N593" i="15" s="1"/>
  <c r="M593" i="15"/>
  <c r="AA592" i="15"/>
  <c r="Z592" i="15" s="1"/>
  <c r="N592" i="15" s="1"/>
  <c r="M592" i="15"/>
  <c r="AA591" i="15"/>
  <c r="Z591" i="15" s="1"/>
  <c r="N591" i="15" s="1"/>
  <c r="M591" i="15"/>
  <c r="AA590" i="15"/>
  <c r="Z590" i="15"/>
  <c r="N590" i="15" s="1"/>
  <c r="M590" i="15"/>
  <c r="AA589" i="15"/>
  <c r="Z589" i="15" s="1"/>
  <c r="N589" i="15" s="1"/>
  <c r="M589" i="15"/>
  <c r="AA588" i="15"/>
  <c r="Z588" i="15" s="1"/>
  <c r="N588" i="15" s="1"/>
  <c r="M588" i="15"/>
  <c r="AA587" i="15"/>
  <c r="Z587" i="15" s="1"/>
  <c r="N587" i="15" s="1"/>
  <c r="M587" i="15"/>
  <c r="AA586" i="15"/>
  <c r="Z586" i="15" s="1"/>
  <c r="N586" i="15" s="1"/>
  <c r="M586" i="15"/>
  <c r="AA585" i="15"/>
  <c r="Z585" i="15" s="1"/>
  <c r="N585" i="15" s="1"/>
  <c r="M585" i="15"/>
  <c r="AA584" i="15"/>
  <c r="Z584" i="15" s="1"/>
  <c r="N584" i="15" s="1"/>
  <c r="M584" i="15"/>
  <c r="AA583" i="15"/>
  <c r="Z583" i="15" s="1"/>
  <c r="M583" i="15"/>
  <c r="AA582" i="15"/>
  <c r="Z582" i="15" s="1"/>
  <c r="N582" i="15" s="1"/>
  <c r="M582" i="15"/>
  <c r="AA581" i="15"/>
  <c r="Z581" i="15" s="1"/>
  <c r="N581" i="15" s="1"/>
  <c r="M581" i="15"/>
  <c r="AA580" i="15"/>
  <c r="Z580" i="15" s="1"/>
  <c r="N580" i="15" s="1"/>
  <c r="M580" i="15"/>
  <c r="AA579" i="15"/>
  <c r="Z579" i="15" s="1"/>
  <c r="N579" i="15" s="1"/>
  <c r="M579" i="15"/>
  <c r="AA578" i="15"/>
  <c r="Z578" i="15" s="1"/>
  <c r="N578" i="15" s="1"/>
  <c r="M578" i="15"/>
  <c r="AA577" i="15"/>
  <c r="Z577" i="15" s="1"/>
  <c r="N577" i="15"/>
  <c r="M577" i="15"/>
  <c r="AA576" i="15"/>
  <c r="Z576" i="15" s="1"/>
  <c r="N576" i="15" s="1"/>
  <c r="M576" i="15"/>
  <c r="AA575" i="15"/>
  <c r="Z575" i="15" s="1"/>
  <c r="N575" i="15" s="1"/>
  <c r="M575" i="15"/>
  <c r="AA574" i="15"/>
  <c r="Z574" i="15" s="1"/>
  <c r="N574" i="15" s="1"/>
  <c r="M574" i="15"/>
  <c r="AA573" i="15"/>
  <c r="Z573" i="15" s="1"/>
  <c r="N573" i="15" s="1"/>
  <c r="M573" i="15"/>
  <c r="AA572" i="15"/>
  <c r="Z572" i="15" s="1"/>
  <c r="N572" i="15" s="1"/>
  <c r="M572" i="15"/>
  <c r="AA571" i="15"/>
  <c r="Z571" i="15" s="1"/>
  <c r="N571" i="15" s="1"/>
  <c r="M571" i="15"/>
  <c r="AA570" i="15"/>
  <c r="Z570" i="15" s="1"/>
  <c r="N570" i="15" s="1"/>
  <c r="M570" i="15"/>
  <c r="AA569" i="15"/>
  <c r="Z569" i="15" s="1"/>
  <c r="N569" i="15" s="1"/>
  <c r="M569" i="15"/>
  <c r="AA568" i="15"/>
  <c r="Z568" i="15" s="1"/>
  <c r="N568" i="15" s="1"/>
  <c r="M568" i="15"/>
  <c r="AA567" i="15"/>
  <c r="Z567" i="15" s="1"/>
  <c r="N567" i="15" s="1"/>
  <c r="M567" i="15"/>
  <c r="AA566" i="15"/>
  <c r="Z566" i="15" s="1"/>
  <c r="N566" i="15" s="1"/>
  <c r="M566" i="15"/>
  <c r="AA565" i="15"/>
  <c r="Z565" i="15" s="1"/>
  <c r="N565" i="15" s="1"/>
  <c r="M565" i="15"/>
  <c r="AA564" i="15"/>
  <c r="Z564" i="15" s="1"/>
  <c r="N564" i="15" s="1"/>
  <c r="M564" i="15"/>
  <c r="AA563" i="15"/>
  <c r="Z563" i="15" s="1"/>
  <c r="N563" i="15" s="1"/>
  <c r="M563" i="15"/>
  <c r="AA562" i="15"/>
  <c r="Z562" i="15" s="1"/>
  <c r="N562" i="15" s="1"/>
  <c r="M562" i="15"/>
  <c r="AA561" i="15"/>
  <c r="Z561" i="15" s="1"/>
  <c r="N561" i="15" s="1"/>
  <c r="M561" i="15"/>
  <c r="AA560" i="15"/>
  <c r="Z560" i="15" s="1"/>
  <c r="N560" i="15" s="1"/>
  <c r="M560" i="15"/>
  <c r="AA559" i="15"/>
  <c r="Z559" i="15" s="1"/>
  <c r="N559" i="15" s="1"/>
  <c r="M559" i="15"/>
  <c r="AA558" i="15"/>
  <c r="Z558" i="15" s="1"/>
  <c r="N558" i="15" s="1"/>
  <c r="M558" i="15"/>
  <c r="AA557" i="15"/>
  <c r="Z557" i="15" s="1"/>
  <c r="N557" i="15" s="1"/>
  <c r="M557" i="15"/>
  <c r="AA556" i="15"/>
  <c r="Z556" i="15" s="1"/>
  <c r="N556" i="15" s="1"/>
  <c r="M556" i="15"/>
  <c r="AA555" i="15"/>
  <c r="Z555" i="15" s="1"/>
  <c r="N555" i="15" s="1"/>
  <c r="M555" i="15"/>
  <c r="AA554" i="15"/>
  <c r="Z554" i="15" s="1"/>
  <c r="N554" i="15" s="1"/>
  <c r="M554" i="15"/>
  <c r="AA553" i="15"/>
  <c r="Z553" i="15" s="1"/>
  <c r="N553" i="15" s="1"/>
  <c r="M553" i="15"/>
  <c r="AA552" i="15"/>
  <c r="Z552" i="15" s="1"/>
  <c r="N552" i="15" s="1"/>
  <c r="M552" i="15"/>
  <c r="AA551" i="15"/>
  <c r="Z551" i="15" s="1"/>
  <c r="N551" i="15" s="1"/>
  <c r="M551" i="15"/>
  <c r="AA550" i="15"/>
  <c r="Z550" i="15" s="1"/>
  <c r="N550" i="15"/>
  <c r="M550" i="15"/>
  <c r="AA549" i="15"/>
  <c r="Z549" i="15"/>
  <c r="N549" i="15" s="1"/>
  <c r="M549" i="15"/>
  <c r="AA548" i="15"/>
  <c r="Z548" i="15" s="1"/>
  <c r="N548" i="15" s="1"/>
  <c r="M548" i="15"/>
  <c r="AA547" i="15"/>
  <c r="Z547" i="15" s="1"/>
  <c r="N547" i="15" s="1"/>
  <c r="M547" i="15"/>
  <c r="AA546" i="15"/>
  <c r="Z546" i="15" s="1"/>
  <c r="N546" i="15" s="1"/>
  <c r="M546" i="15"/>
  <c r="AA545" i="15"/>
  <c r="Z545" i="15"/>
  <c r="N545" i="15" s="1"/>
  <c r="M545" i="15"/>
  <c r="AA544" i="15"/>
  <c r="Z544" i="15" s="1"/>
  <c r="N544" i="15" s="1"/>
  <c r="M544" i="15"/>
  <c r="AA543" i="15"/>
  <c r="Z543" i="15" s="1"/>
  <c r="N543" i="15" s="1"/>
  <c r="M543" i="15"/>
  <c r="AA542" i="15"/>
  <c r="Z542" i="15" s="1"/>
  <c r="N542" i="15" s="1"/>
  <c r="M542" i="15"/>
  <c r="AA541" i="15"/>
  <c r="Z541" i="15" s="1"/>
  <c r="N541" i="15"/>
  <c r="M541" i="15"/>
  <c r="AA540" i="15"/>
  <c r="Z540" i="15"/>
  <c r="N540" i="15" s="1"/>
  <c r="M540" i="15"/>
  <c r="AA539" i="15"/>
  <c r="Z539" i="15" s="1"/>
  <c r="N539" i="15" s="1"/>
  <c r="M539" i="15"/>
  <c r="AA538" i="15"/>
  <c r="Z538" i="15" s="1"/>
  <c r="N538" i="15" s="1"/>
  <c r="M538" i="15"/>
  <c r="AA537" i="15"/>
  <c r="Z537" i="15" s="1"/>
  <c r="N537" i="15" s="1"/>
  <c r="M537" i="15"/>
  <c r="AA536" i="15"/>
  <c r="Z536" i="15"/>
  <c r="N536" i="15" s="1"/>
  <c r="M536" i="15"/>
  <c r="AA535" i="15"/>
  <c r="Z535" i="15" s="1"/>
  <c r="N535" i="15" s="1"/>
  <c r="M535" i="15"/>
  <c r="AA534" i="15"/>
  <c r="Z534" i="15" s="1"/>
  <c r="N534" i="15" s="1"/>
  <c r="M534" i="15"/>
  <c r="AA533" i="15"/>
  <c r="Z533" i="15" s="1"/>
  <c r="N533" i="15" s="1"/>
  <c r="M533" i="15"/>
  <c r="AA532" i="15"/>
  <c r="Z532" i="15" s="1"/>
  <c r="N532" i="15" s="1"/>
  <c r="M532" i="15"/>
  <c r="AA531" i="15"/>
  <c r="Z531" i="15"/>
  <c r="N531" i="15" s="1"/>
  <c r="M531" i="15"/>
  <c r="AA530" i="15"/>
  <c r="Z530" i="15" s="1"/>
  <c r="N530" i="15" s="1"/>
  <c r="M530" i="15"/>
  <c r="AA529" i="15"/>
  <c r="Z529" i="15" s="1"/>
  <c r="N529" i="15" s="1"/>
  <c r="M529" i="15"/>
  <c r="AA528" i="15"/>
  <c r="Z528" i="15" s="1"/>
  <c r="N528" i="15" s="1"/>
  <c r="M528" i="15"/>
  <c r="AA527" i="15"/>
  <c r="Z527" i="15" s="1"/>
  <c r="N527" i="15" s="1"/>
  <c r="M527" i="15"/>
  <c r="AA526" i="15"/>
  <c r="Z526" i="15" s="1"/>
  <c r="N526" i="15" s="1"/>
  <c r="M526" i="15"/>
  <c r="AA525" i="15"/>
  <c r="Z525" i="15" s="1"/>
  <c r="N525" i="15" s="1"/>
  <c r="M525" i="15"/>
  <c r="AA524" i="15"/>
  <c r="Z524" i="15" s="1"/>
  <c r="N524" i="15" s="1"/>
  <c r="M524" i="15"/>
  <c r="AA523" i="15"/>
  <c r="Z523" i="15" s="1"/>
  <c r="N523" i="15" s="1"/>
  <c r="M523" i="15"/>
  <c r="AA522" i="15"/>
  <c r="Z522" i="15" s="1"/>
  <c r="N522" i="15" s="1"/>
  <c r="M522" i="15"/>
  <c r="AA521" i="15"/>
  <c r="Z521" i="15" s="1"/>
  <c r="N521" i="15" s="1"/>
  <c r="M521" i="15"/>
  <c r="AA520" i="15"/>
  <c r="Z520" i="15" s="1"/>
  <c r="N520" i="15" s="1"/>
  <c r="M520" i="15"/>
  <c r="AA519" i="15"/>
  <c r="Z519" i="15" s="1"/>
  <c r="N519" i="15" s="1"/>
  <c r="M519" i="15"/>
  <c r="AA518" i="15"/>
  <c r="Z518" i="15" s="1"/>
  <c r="N518" i="15" s="1"/>
  <c r="M518" i="15"/>
  <c r="AA517" i="15"/>
  <c r="Z517" i="15" s="1"/>
  <c r="N517" i="15" s="1"/>
  <c r="M517" i="15"/>
  <c r="AA516" i="15"/>
  <c r="Z516" i="15" s="1"/>
  <c r="N516" i="15" s="1"/>
  <c r="M516" i="15"/>
  <c r="AA515" i="15"/>
  <c r="Z515" i="15" s="1"/>
  <c r="N515" i="15" s="1"/>
  <c r="M515" i="15"/>
  <c r="AA514" i="15"/>
  <c r="Z514" i="15" s="1"/>
  <c r="N514" i="15" s="1"/>
  <c r="M514" i="15"/>
  <c r="AA513" i="15"/>
  <c r="Z513" i="15" s="1"/>
  <c r="N513" i="15" s="1"/>
  <c r="M513" i="15"/>
  <c r="AA512" i="15"/>
  <c r="Z512" i="15" s="1"/>
  <c r="N512" i="15" s="1"/>
  <c r="M512" i="15"/>
  <c r="AA511" i="15"/>
  <c r="Z511" i="15" s="1"/>
  <c r="N511" i="15" s="1"/>
  <c r="M511" i="15"/>
  <c r="AA510" i="15"/>
  <c r="Z510" i="15" s="1"/>
  <c r="N510" i="15" s="1"/>
  <c r="M510" i="15"/>
  <c r="AA509" i="15"/>
  <c r="Z509" i="15" s="1"/>
  <c r="N509" i="15" s="1"/>
  <c r="M509" i="15"/>
  <c r="AA508" i="15"/>
  <c r="Z508" i="15" s="1"/>
  <c r="N508" i="15" s="1"/>
  <c r="M508" i="15"/>
  <c r="AA507" i="15"/>
  <c r="Z507" i="15"/>
  <c r="N507" i="15" s="1"/>
  <c r="M507" i="15"/>
  <c r="AA506" i="15"/>
  <c r="Z506" i="15" s="1"/>
  <c r="N506" i="15" s="1"/>
  <c r="M506" i="15"/>
  <c r="AA505" i="15"/>
  <c r="Z505" i="15" s="1"/>
  <c r="N505" i="15" s="1"/>
  <c r="M505" i="15"/>
  <c r="AA504" i="15"/>
  <c r="Z504" i="15" s="1"/>
  <c r="N504" i="15" s="1"/>
  <c r="M504" i="15"/>
  <c r="AA503" i="15"/>
  <c r="Z503" i="15" s="1"/>
  <c r="N503" i="15" s="1"/>
  <c r="M503" i="15"/>
  <c r="AA502" i="15"/>
  <c r="Z502" i="15" s="1"/>
  <c r="N502" i="15" s="1"/>
  <c r="M502" i="15"/>
  <c r="AA501" i="15"/>
  <c r="Z501" i="15" s="1"/>
  <c r="N501" i="15" s="1"/>
  <c r="M501" i="15"/>
  <c r="AA500" i="15"/>
  <c r="Z500" i="15" s="1"/>
  <c r="N500" i="15" s="1"/>
  <c r="M500" i="15"/>
  <c r="AA499" i="15"/>
  <c r="Z499" i="15" s="1"/>
  <c r="N499" i="15" s="1"/>
  <c r="M499" i="15"/>
  <c r="AA498" i="15"/>
  <c r="Z498" i="15" s="1"/>
  <c r="N498" i="15" s="1"/>
  <c r="M498" i="15"/>
  <c r="AA497" i="15"/>
  <c r="Z497" i="15" s="1"/>
  <c r="N497" i="15" s="1"/>
  <c r="M497" i="15"/>
  <c r="AA496" i="15"/>
  <c r="Z496" i="15" s="1"/>
  <c r="N496" i="15" s="1"/>
  <c r="M496" i="15"/>
  <c r="AA495" i="15"/>
  <c r="Z495" i="15" s="1"/>
  <c r="N495" i="15" s="1"/>
  <c r="M495" i="15"/>
  <c r="AA494" i="15"/>
  <c r="Z494" i="15" s="1"/>
  <c r="N494" i="15" s="1"/>
  <c r="M494" i="15"/>
  <c r="AA493" i="15"/>
  <c r="Z493" i="15" s="1"/>
  <c r="N493" i="15" s="1"/>
  <c r="M493" i="15"/>
  <c r="AA492" i="15"/>
  <c r="Z492" i="15" s="1"/>
  <c r="N492" i="15" s="1"/>
  <c r="M492" i="15"/>
  <c r="AA491" i="15"/>
  <c r="Z491" i="15" s="1"/>
  <c r="N491" i="15" s="1"/>
  <c r="M491" i="15"/>
  <c r="AA490" i="15"/>
  <c r="Z490" i="15" s="1"/>
  <c r="N490" i="15" s="1"/>
  <c r="M490" i="15"/>
  <c r="AA489" i="15"/>
  <c r="Z489" i="15" s="1"/>
  <c r="N489" i="15" s="1"/>
  <c r="M489" i="15"/>
  <c r="AA488" i="15"/>
  <c r="Z488" i="15" s="1"/>
  <c r="N488" i="15" s="1"/>
  <c r="M488" i="15"/>
  <c r="AA487" i="15"/>
  <c r="Z487" i="15" s="1"/>
  <c r="N487" i="15" s="1"/>
  <c r="M487" i="15"/>
  <c r="AA486" i="15"/>
  <c r="Z486" i="15" s="1"/>
  <c r="N486" i="15" s="1"/>
  <c r="M486" i="15"/>
  <c r="AA485" i="15"/>
  <c r="Z485" i="15" s="1"/>
  <c r="N485" i="15" s="1"/>
  <c r="M485" i="15"/>
  <c r="AA484" i="15"/>
  <c r="Z484" i="15" s="1"/>
  <c r="N484" i="15" s="1"/>
  <c r="M484" i="15"/>
  <c r="AA483" i="15"/>
  <c r="Z483" i="15" s="1"/>
  <c r="N483" i="15" s="1"/>
  <c r="M483" i="15"/>
  <c r="AA482" i="15"/>
  <c r="Z482" i="15" s="1"/>
  <c r="N482" i="15" s="1"/>
  <c r="M482" i="15"/>
  <c r="AA481" i="15"/>
  <c r="Z481" i="15" s="1"/>
  <c r="N481" i="15" s="1"/>
  <c r="M481" i="15"/>
  <c r="AA480" i="15"/>
  <c r="Z480" i="15" s="1"/>
  <c r="N480" i="15" s="1"/>
  <c r="M480" i="15"/>
  <c r="AA479" i="15"/>
  <c r="Z479" i="15" s="1"/>
  <c r="N479" i="15" s="1"/>
  <c r="M479" i="15"/>
  <c r="AA478" i="15"/>
  <c r="Z478" i="15" s="1"/>
  <c r="N478" i="15" s="1"/>
  <c r="M478" i="15"/>
  <c r="AA477" i="15"/>
  <c r="Z477" i="15" s="1"/>
  <c r="N477" i="15" s="1"/>
  <c r="M477" i="15"/>
  <c r="AA476" i="15"/>
  <c r="Z476" i="15" s="1"/>
  <c r="N476" i="15" s="1"/>
  <c r="M476" i="15"/>
  <c r="AA475" i="15"/>
  <c r="Z475" i="15" s="1"/>
  <c r="N475" i="15" s="1"/>
  <c r="M475" i="15"/>
  <c r="AA474" i="15"/>
  <c r="Z474" i="15"/>
  <c r="N474" i="15" s="1"/>
  <c r="M474" i="15"/>
  <c r="AA473" i="15"/>
  <c r="Z473" i="15" s="1"/>
  <c r="N473" i="15" s="1"/>
  <c r="M473" i="15"/>
  <c r="AA472" i="15"/>
  <c r="Z472" i="15" s="1"/>
  <c r="N472" i="15" s="1"/>
  <c r="M472" i="15"/>
  <c r="AA471" i="15"/>
  <c r="Z471" i="15" s="1"/>
  <c r="N471" i="15" s="1"/>
  <c r="M471" i="15"/>
  <c r="AA470" i="15"/>
  <c r="Z470" i="15" s="1"/>
  <c r="N470" i="15" s="1"/>
  <c r="M470" i="15"/>
  <c r="AA469" i="15"/>
  <c r="Z469" i="15" s="1"/>
  <c r="N469" i="15" s="1"/>
  <c r="M469" i="15"/>
  <c r="AA468" i="15"/>
  <c r="Z468" i="15" s="1"/>
  <c r="N468" i="15" s="1"/>
  <c r="M468" i="15"/>
  <c r="AA467" i="15"/>
  <c r="Z467" i="15" s="1"/>
  <c r="N467" i="15" s="1"/>
  <c r="M467" i="15"/>
  <c r="AA466" i="15"/>
  <c r="Z466" i="15" s="1"/>
  <c r="N466" i="15" s="1"/>
  <c r="M466" i="15"/>
  <c r="AA465" i="15"/>
  <c r="Z465" i="15" s="1"/>
  <c r="N465" i="15" s="1"/>
  <c r="M465" i="15"/>
  <c r="AA464" i="15"/>
  <c r="Z464" i="15" s="1"/>
  <c r="N464" i="15" s="1"/>
  <c r="M464" i="15"/>
  <c r="AA463" i="15"/>
  <c r="Z463" i="15" s="1"/>
  <c r="N463" i="15" s="1"/>
  <c r="M463" i="15"/>
  <c r="AA462" i="15"/>
  <c r="Z462" i="15" s="1"/>
  <c r="N462" i="15" s="1"/>
  <c r="M462" i="15"/>
  <c r="AA461" i="15"/>
  <c r="Z461" i="15" s="1"/>
  <c r="N461" i="15" s="1"/>
  <c r="M461" i="15"/>
  <c r="AA460" i="15"/>
  <c r="Z460" i="15" s="1"/>
  <c r="N460" i="15" s="1"/>
  <c r="M460" i="15"/>
  <c r="AA459" i="15"/>
  <c r="Z459" i="15" s="1"/>
  <c r="N459" i="15" s="1"/>
  <c r="M459" i="15"/>
  <c r="AA458" i="15"/>
  <c r="Z458" i="15" s="1"/>
  <c r="N458" i="15" s="1"/>
  <c r="M458" i="15"/>
  <c r="AA457" i="15"/>
  <c r="Z457" i="15" s="1"/>
  <c r="N457" i="15" s="1"/>
  <c r="M457" i="15"/>
  <c r="AA456" i="15"/>
  <c r="Z456" i="15" s="1"/>
  <c r="N456" i="15" s="1"/>
  <c r="M456" i="15"/>
  <c r="AA455" i="15"/>
  <c r="Z455" i="15" s="1"/>
  <c r="N455" i="15" s="1"/>
  <c r="M455" i="15"/>
  <c r="AA454" i="15"/>
  <c r="Z454" i="15" s="1"/>
  <c r="N454" i="15" s="1"/>
  <c r="M454" i="15"/>
  <c r="AA453" i="15"/>
  <c r="Z453" i="15" s="1"/>
  <c r="N453" i="15" s="1"/>
  <c r="M453" i="15"/>
  <c r="AA452" i="15"/>
  <c r="Z452" i="15" s="1"/>
  <c r="N452" i="15" s="1"/>
  <c r="M452" i="15"/>
  <c r="AA451" i="15"/>
  <c r="Z451" i="15" s="1"/>
  <c r="N451" i="15" s="1"/>
  <c r="M451" i="15"/>
  <c r="AA450" i="15"/>
  <c r="Z450" i="15" s="1"/>
  <c r="N450" i="15" s="1"/>
  <c r="M450" i="15"/>
  <c r="AA449" i="15"/>
  <c r="Z449" i="15" s="1"/>
  <c r="N449" i="15" s="1"/>
  <c r="M449" i="15"/>
  <c r="AA448" i="15"/>
  <c r="Z448" i="15" s="1"/>
  <c r="N448" i="15" s="1"/>
  <c r="M448" i="15"/>
  <c r="AA447" i="15"/>
  <c r="Z447" i="15" s="1"/>
  <c r="N447" i="15" s="1"/>
  <c r="M447" i="15"/>
  <c r="AA446" i="15"/>
  <c r="Z446" i="15" s="1"/>
  <c r="N446" i="15" s="1"/>
  <c r="M446" i="15"/>
  <c r="AA445" i="15"/>
  <c r="Z445" i="15" s="1"/>
  <c r="N445" i="15"/>
  <c r="M445" i="15"/>
  <c r="AA444" i="15"/>
  <c r="Z444" i="15" s="1"/>
  <c r="N444" i="15" s="1"/>
  <c r="M444" i="15"/>
  <c r="AA443" i="15"/>
  <c r="Z443" i="15" s="1"/>
  <c r="N443" i="15" s="1"/>
  <c r="M443" i="15"/>
  <c r="AA442" i="15"/>
  <c r="Z442" i="15" s="1"/>
  <c r="N442" i="15" s="1"/>
  <c r="M442" i="15"/>
  <c r="AA441" i="15"/>
  <c r="Z441" i="15" s="1"/>
  <c r="N441" i="15" s="1"/>
  <c r="M441" i="15"/>
  <c r="AA440" i="15"/>
  <c r="Z440" i="15" s="1"/>
  <c r="N440" i="15" s="1"/>
  <c r="M440" i="15"/>
  <c r="AA439" i="15"/>
  <c r="Z439" i="15" s="1"/>
  <c r="N439" i="15" s="1"/>
  <c r="M439" i="15"/>
  <c r="AA438" i="15"/>
  <c r="Z438" i="15" s="1"/>
  <c r="N438" i="15" s="1"/>
  <c r="M438" i="15"/>
  <c r="AA437" i="15"/>
  <c r="Z437" i="15" s="1"/>
  <c r="N437" i="15" s="1"/>
  <c r="M437" i="15"/>
  <c r="AA436" i="15"/>
  <c r="Z436" i="15" s="1"/>
  <c r="N436" i="15" s="1"/>
  <c r="M436" i="15"/>
  <c r="AA435" i="15"/>
  <c r="Z435" i="15" s="1"/>
  <c r="N435" i="15" s="1"/>
  <c r="M435" i="15"/>
  <c r="AA434" i="15"/>
  <c r="Z434" i="15" s="1"/>
  <c r="N434" i="15" s="1"/>
  <c r="M434" i="15"/>
  <c r="AA433" i="15"/>
  <c r="Z433" i="15" s="1"/>
  <c r="N433" i="15" s="1"/>
  <c r="M433" i="15"/>
  <c r="AA432" i="15"/>
  <c r="Z432" i="15" s="1"/>
  <c r="N432" i="15" s="1"/>
  <c r="M432" i="15"/>
  <c r="AA431" i="15"/>
  <c r="Z431" i="15" s="1"/>
  <c r="N431" i="15" s="1"/>
  <c r="M431" i="15"/>
  <c r="AA430" i="15"/>
  <c r="Z430" i="15" s="1"/>
  <c r="N430" i="15" s="1"/>
  <c r="M430" i="15"/>
  <c r="AA429" i="15"/>
  <c r="Z429" i="15" s="1"/>
  <c r="N429" i="15" s="1"/>
  <c r="M429" i="15"/>
  <c r="AA428" i="15"/>
  <c r="Z428" i="15" s="1"/>
  <c r="N428" i="15" s="1"/>
  <c r="M428" i="15"/>
  <c r="AA427" i="15"/>
  <c r="Z427" i="15" s="1"/>
  <c r="N427" i="15" s="1"/>
  <c r="M427" i="15"/>
  <c r="AA426" i="15"/>
  <c r="Z426" i="15" s="1"/>
  <c r="N426" i="15" s="1"/>
  <c r="M426" i="15"/>
  <c r="AA425" i="15"/>
  <c r="Z425" i="15" s="1"/>
  <c r="N425" i="15" s="1"/>
  <c r="M425" i="15"/>
  <c r="AA424" i="15"/>
  <c r="Z424" i="15" s="1"/>
  <c r="N424" i="15"/>
  <c r="M424" i="15"/>
  <c r="AA423" i="15"/>
  <c r="Z423" i="15"/>
  <c r="N423" i="15" s="1"/>
  <c r="M423" i="15"/>
  <c r="AA422" i="15"/>
  <c r="Z422" i="15" s="1"/>
  <c r="N422" i="15" s="1"/>
  <c r="M422" i="15"/>
  <c r="AA421" i="15"/>
  <c r="Z421" i="15" s="1"/>
  <c r="N421" i="15" s="1"/>
  <c r="M421" i="15"/>
  <c r="AA420" i="15"/>
  <c r="Z420" i="15" s="1"/>
  <c r="N420" i="15" s="1"/>
  <c r="M420" i="15"/>
  <c r="AA419" i="15"/>
  <c r="Z419" i="15" s="1"/>
  <c r="N419" i="15" s="1"/>
  <c r="M419" i="15"/>
  <c r="AA418" i="15"/>
  <c r="Z418" i="15" s="1"/>
  <c r="N418" i="15" s="1"/>
  <c r="M418" i="15"/>
  <c r="AA417" i="15"/>
  <c r="Z417" i="15" s="1"/>
  <c r="N417" i="15" s="1"/>
  <c r="M417" i="15"/>
  <c r="AA416" i="15"/>
  <c r="Z416" i="15" s="1"/>
  <c r="N416" i="15" s="1"/>
  <c r="M416" i="15"/>
  <c r="AA415" i="15"/>
  <c r="Z415" i="15" s="1"/>
  <c r="N415" i="15" s="1"/>
  <c r="M415" i="15"/>
  <c r="AA414" i="15"/>
  <c r="Z414" i="15" s="1"/>
  <c r="N414" i="15" s="1"/>
  <c r="M414" i="15"/>
  <c r="AA413" i="15"/>
  <c r="Z413" i="15" s="1"/>
  <c r="N413" i="15" s="1"/>
  <c r="M413" i="15"/>
  <c r="AA412" i="15"/>
  <c r="Z412" i="15" s="1"/>
  <c r="N412" i="15" s="1"/>
  <c r="M412" i="15"/>
  <c r="AA411" i="15"/>
  <c r="Z411" i="15" s="1"/>
  <c r="N411" i="15" s="1"/>
  <c r="M411" i="15"/>
  <c r="AA410" i="15"/>
  <c r="Z410" i="15" s="1"/>
  <c r="N410" i="15" s="1"/>
  <c r="M410" i="15"/>
  <c r="AA409" i="15"/>
  <c r="Z409" i="15" s="1"/>
  <c r="N409" i="15" s="1"/>
  <c r="M409" i="15"/>
  <c r="AA408" i="15"/>
  <c r="Z408" i="15" s="1"/>
  <c r="N408" i="15" s="1"/>
  <c r="M408" i="15"/>
  <c r="AA407" i="15"/>
  <c r="Z407" i="15" s="1"/>
  <c r="N407" i="15" s="1"/>
  <c r="M407" i="15"/>
  <c r="AA406" i="15"/>
  <c r="Z406" i="15" s="1"/>
  <c r="N406" i="15" s="1"/>
  <c r="M406" i="15"/>
  <c r="AA405" i="15"/>
  <c r="Z405" i="15" s="1"/>
  <c r="N405" i="15" s="1"/>
  <c r="M405" i="15"/>
  <c r="AA404" i="15"/>
  <c r="Z404" i="15" s="1"/>
  <c r="N404" i="15" s="1"/>
  <c r="M404" i="15"/>
  <c r="AA403" i="15"/>
  <c r="Z403" i="15" s="1"/>
  <c r="N403" i="15" s="1"/>
  <c r="M403" i="15"/>
  <c r="AA402" i="15"/>
  <c r="Z402" i="15" s="1"/>
  <c r="N402" i="15" s="1"/>
  <c r="M402" i="15"/>
  <c r="AA401" i="15"/>
  <c r="Z401" i="15" s="1"/>
  <c r="N401" i="15" s="1"/>
  <c r="M401" i="15"/>
  <c r="AA400" i="15"/>
  <c r="Z400" i="15" s="1"/>
  <c r="N400" i="15" s="1"/>
  <c r="M400" i="15"/>
  <c r="AA399" i="15"/>
  <c r="Z399" i="15" s="1"/>
  <c r="N399" i="15" s="1"/>
  <c r="M399" i="15"/>
  <c r="AA398" i="15"/>
  <c r="Z398" i="15" s="1"/>
  <c r="N398" i="15" s="1"/>
  <c r="M398" i="15"/>
  <c r="AA397" i="15"/>
  <c r="Z397" i="15" s="1"/>
  <c r="N397" i="15" s="1"/>
  <c r="M397" i="15"/>
  <c r="AA396" i="15"/>
  <c r="Z396" i="15" s="1"/>
  <c r="N396" i="15" s="1"/>
  <c r="M396" i="15"/>
  <c r="AA395" i="15"/>
  <c r="Z395" i="15" s="1"/>
  <c r="N395" i="15" s="1"/>
  <c r="M395" i="15"/>
  <c r="AA394" i="15"/>
  <c r="Z394" i="15" s="1"/>
  <c r="N394" i="15" s="1"/>
  <c r="M394" i="15"/>
  <c r="AA393" i="15"/>
  <c r="Z393" i="15" s="1"/>
  <c r="N393" i="15" s="1"/>
  <c r="M393" i="15"/>
  <c r="AA392" i="15"/>
  <c r="Z392" i="15" s="1"/>
  <c r="N392" i="15" s="1"/>
  <c r="M392" i="15"/>
  <c r="AA391" i="15"/>
  <c r="Z391" i="15" s="1"/>
  <c r="N391" i="15" s="1"/>
  <c r="M391" i="15"/>
  <c r="AA390" i="15"/>
  <c r="Z390" i="15" s="1"/>
  <c r="N390" i="15" s="1"/>
  <c r="M390" i="15"/>
  <c r="AA389" i="15"/>
  <c r="Z389" i="15" s="1"/>
  <c r="N389" i="15" s="1"/>
  <c r="M389" i="15"/>
  <c r="AA388" i="15"/>
  <c r="Z388" i="15" s="1"/>
  <c r="N388" i="15" s="1"/>
  <c r="M388" i="15"/>
  <c r="AA387" i="15"/>
  <c r="Z387" i="15" s="1"/>
  <c r="N387" i="15" s="1"/>
  <c r="M387" i="15"/>
  <c r="AA386" i="15"/>
  <c r="Z386" i="15" s="1"/>
  <c r="N386" i="15" s="1"/>
  <c r="M386" i="15"/>
  <c r="AA385" i="15"/>
  <c r="Z385" i="15" s="1"/>
  <c r="N385" i="15" s="1"/>
  <c r="M385" i="15"/>
  <c r="AA384" i="15"/>
  <c r="Z384" i="15" s="1"/>
  <c r="N384" i="15" s="1"/>
  <c r="M384" i="15"/>
  <c r="AA383" i="15"/>
  <c r="Z383" i="15" s="1"/>
  <c r="N383" i="15" s="1"/>
  <c r="M383" i="15"/>
  <c r="AA382" i="15"/>
  <c r="Z382" i="15" s="1"/>
  <c r="N382" i="15" s="1"/>
  <c r="M382" i="15"/>
  <c r="AA381" i="15"/>
  <c r="Z381" i="15" s="1"/>
  <c r="N381" i="15"/>
  <c r="M381" i="15"/>
  <c r="AA380" i="15"/>
  <c r="Z380" i="15" s="1"/>
  <c r="N380" i="15" s="1"/>
  <c r="M380" i="15"/>
  <c r="AA379" i="15"/>
  <c r="Z379" i="15" s="1"/>
  <c r="N379" i="15" s="1"/>
  <c r="M379" i="15"/>
  <c r="AA378" i="15"/>
  <c r="Z378" i="15" s="1"/>
  <c r="N378" i="15" s="1"/>
  <c r="M378" i="15"/>
  <c r="AA377" i="15"/>
  <c r="Z377" i="15" s="1"/>
  <c r="N377" i="15" s="1"/>
  <c r="M377" i="15"/>
  <c r="AA376" i="15"/>
  <c r="Z376" i="15" s="1"/>
  <c r="N376" i="15" s="1"/>
  <c r="M376" i="15"/>
  <c r="AA375" i="15"/>
  <c r="Z375" i="15" s="1"/>
  <c r="N375" i="15" s="1"/>
  <c r="M375" i="15"/>
  <c r="AA374" i="15"/>
  <c r="Z374" i="15" s="1"/>
  <c r="N374" i="15" s="1"/>
  <c r="M374" i="15"/>
  <c r="AA373" i="15"/>
  <c r="Z373" i="15"/>
  <c r="N373" i="15" s="1"/>
  <c r="M373" i="15"/>
  <c r="AA372" i="15"/>
  <c r="Z372" i="15" s="1"/>
  <c r="N372" i="15" s="1"/>
  <c r="M372" i="15"/>
  <c r="AA371" i="15"/>
  <c r="Z371" i="15"/>
  <c r="N371" i="15" s="1"/>
  <c r="M371" i="15"/>
  <c r="AA370" i="15"/>
  <c r="Z370" i="15" s="1"/>
  <c r="N370" i="15" s="1"/>
  <c r="M370" i="15"/>
  <c r="AA369" i="15"/>
  <c r="Z369" i="15" s="1"/>
  <c r="N369" i="15" s="1"/>
  <c r="M369" i="15"/>
  <c r="AA368" i="15"/>
  <c r="Z368" i="15" s="1"/>
  <c r="N368" i="15" s="1"/>
  <c r="M368" i="15"/>
  <c r="AA367" i="15"/>
  <c r="Z367" i="15" s="1"/>
  <c r="N367" i="15" s="1"/>
  <c r="M367" i="15"/>
  <c r="AA366" i="15"/>
  <c r="Z366" i="15" s="1"/>
  <c r="N366" i="15" s="1"/>
  <c r="M366" i="15"/>
  <c r="AA365" i="15"/>
  <c r="Z365" i="15" s="1"/>
  <c r="N365" i="15" s="1"/>
  <c r="M365" i="15"/>
  <c r="AA364" i="15"/>
  <c r="Z364" i="15" s="1"/>
  <c r="N364" i="15" s="1"/>
  <c r="M364" i="15"/>
  <c r="AA363" i="15"/>
  <c r="Z363" i="15" s="1"/>
  <c r="N363" i="15" s="1"/>
  <c r="M363" i="15"/>
  <c r="AA362" i="15"/>
  <c r="Z362" i="15"/>
  <c r="N362" i="15" s="1"/>
  <c r="M362" i="15"/>
  <c r="AA361" i="15"/>
  <c r="Z361" i="15" s="1"/>
  <c r="N361" i="15" s="1"/>
  <c r="M361" i="15"/>
  <c r="AA360" i="15"/>
  <c r="Z360" i="15" s="1"/>
  <c r="N360" i="15" s="1"/>
  <c r="M360" i="15"/>
  <c r="AA359" i="15"/>
  <c r="Z359" i="15" s="1"/>
  <c r="N359" i="15" s="1"/>
  <c r="M359" i="15"/>
  <c r="AA358" i="15"/>
  <c r="Z358" i="15" s="1"/>
  <c r="N358" i="15" s="1"/>
  <c r="M358" i="15"/>
  <c r="AA357" i="15"/>
  <c r="Z357" i="15" s="1"/>
  <c r="N357" i="15" s="1"/>
  <c r="M357" i="15"/>
  <c r="AA356" i="15"/>
  <c r="Z356" i="15" s="1"/>
  <c r="N356" i="15" s="1"/>
  <c r="M356" i="15"/>
  <c r="AA355" i="15"/>
  <c r="Z355" i="15" s="1"/>
  <c r="N355" i="15" s="1"/>
  <c r="M355" i="15"/>
  <c r="AA354" i="15"/>
  <c r="Z354" i="15" s="1"/>
  <c r="N354" i="15" s="1"/>
  <c r="M354" i="15"/>
  <c r="AA353" i="15"/>
  <c r="Z353" i="15" s="1"/>
  <c r="N353" i="15" s="1"/>
  <c r="M353" i="15"/>
  <c r="AA352" i="15"/>
  <c r="Z352" i="15"/>
  <c r="N352" i="15" s="1"/>
  <c r="M352" i="15"/>
  <c r="AA351" i="15"/>
  <c r="Z351" i="15" s="1"/>
  <c r="N351" i="15" s="1"/>
  <c r="M351" i="15"/>
  <c r="AA350" i="15"/>
  <c r="Z350" i="15" s="1"/>
  <c r="N350" i="15" s="1"/>
  <c r="M350" i="15"/>
  <c r="AA349" i="15"/>
  <c r="Z349" i="15" s="1"/>
  <c r="N349" i="15" s="1"/>
  <c r="M349" i="15"/>
  <c r="AA348" i="15"/>
  <c r="Z348" i="15" s="1"/>
  <c r="N348" i="15" s="1"/>
  <c r="M348" i="15"/>
  <c r="AA347" i="15"/>
  <c r="Z347" i="15" s="1"/>
  <c r="N347" i="15" s="1"/>
  <c r="M347" i="15"/>
  <c r="AA346" i="15"/>
  <c r="Z346" i="15" s="1"/>
  <c r="N346" i="15" s="1"/>
  <c r="M346" i="15"/>
  <c r="AA345" i="15"/>
  <c r="Z345" i="15" s="1"/>
  <c r="N345" i="15" s="1"/>
  <c r="M345" i="15"/>
  <c r="AA344" i="15"/>
  <c r="Z344" i="15" s="1"/>
  <c r="N344" i="15" s="1"/>
  <c r="M344" i="15"/>
  <c r="AA343" i="15"/>
  <c r="Z343" i="15" s="1"/>
  <c r="N343" i="15" s="1"/>
  <c r="M343" i="15"/>
  <c r="Z342" i="15"/>
  <c r="N342" i="15" s="1"/>
  <c r="M342" i="15"/>
  <c r="AA341" i="15"/>
  <c r="Z341" i="15" s="1"/>
  <c r="N341" i="15" s="1"/>
  <c r="M341" i="15"/>
  <c r="AA340" i="15"/>
  <c r="Z340" i="15" s="1"/>
  <c r="N340" i="15" s="1"/>
  <c r="M340" i="15"/>
  <c r="AA339" i="15"/>
  <c r="Z339" i="15" s="1"/>
  <c r="N339" i="15" s="1"/>
  <c r="M339" i="15"/>
  <c r="AA338" i="15"/>
  <c r="Z338" i="15" s="1"/>
  <c r="N338" i="15" s="1"/>
  <c r="M338" i="15"/>
  <c r="AA337" i="15"/>
  <c r="Z337" i="15" s="1"/>
  <c r="N337" i="15" s="1"/>
  <c r="M337" i="15"/>
  <c r="AA336" i="15"/>
  <c r="Z336" i="15" s="1"/>
  <c r="N336" i="15" s="1"/>
  <c r="M336" i="15"/>
  <c r="AA335" i="15"/>
  <c r="Z335" i="15" s="1"/>
  <c r="N335" i="15" s="1"/>
  <c r="M335" i="15"/>
  <c r="AA334" i="15"/>
  <c r="Z334" i="15" s="1"/>
  <c r="N334" i="15" s="1"/>
  <c r="M334" i="15"/>
  <c r="AA333" i="15"/>
  <c r="Z333" i="15" s="1"/>
  <c r="N333" i="15" s="1"/>
  <c r="M333" i="15"/>
  <c r="AA332" i="15"/>
  <c r="Z332" i="15" s="1"/>
  <c r="N332" i="15" s="1"/>
  <c r="M332" i="15"/>
  <c r="AA331" i="15"/>
  <c r="Z331" i="15" s="1"/>
  <c r="N331" i="15" s="1"/>
  <c r="M331" i="15"/>
  <c r="AA330" i="15"/>
  <c r="Z330" i="15" s="1"/>
  <c r="N330" i="15" s="1"/>
  <c r="M330" i="15"/>
  <c r="AA329" i="15"/>
  <c r="Z329" i="15" s="1"/>
  <c r="N329" i="15" s="1"/>
  <c r="M329" i="15"/>
  <c r="AA328" i="15"/>
  <c r="Z328" i="15" s="1"/>
  <c r="N328" i="15" s="1"/>
  <c r="M328" i="15"/>
  <c r="AA327" i="15"/>
  <c r="Z327" i="15" s="1"/>
  <c r="N327" i="15" s="1"/>
  <c r="M327" i="15"/>
  <c r="AA326" i="15"/>
  <c r="Z326" i="15" s="1"/>
  <c r="N326" i="15" s="1"/>
  <c r="M326" i="15"/>
  <c r="AA325" i="15"/>
  <c r="Z325" i="15" s="1"/>
  <c r="N325" i="15" s="1"/>
  <c r="M325" i="15"/>
  <c r="AA324" i="15"/>
  <c r="Z324" i="15" s="1"/>
  <c r="N324" i="15" s="1"/>
  <c r="M324" i="15"/>
  <c r="AA323" i="15"/>
  <c r="Z323" i="15"/>
  <c r="N323" i="15" s="1"/>
  <c r="M323" i="15"/>
  <c r="AA322" i="15"/>
  <c r="Z322" i="15" s="1"/>
  <c r="N322" i="15" s="1"/>
  <c r="M322" i="15"/>
  <c r="AA321" i="15"/>
  <c r="Z321" i="15" s="1"/>
  <c r="N321" i="15" s="1"/>
  <c r="M321" i="15"/>
  <c r="AA320" i="15"/>
  <c r="Z320" i="15" s="1"/>
  <c r="N320" i="15" s="1"/>
  <c r="M320" i="15"/>
  <c r="AA319" i="15"/>
  <c r="Z319" i="15" s="1"/>
  <c r="N319" i="15" s="1"/>
  <c r="M319" i="15"/>
  <c r="AA318" i="15"/>
  <c r="Z318" i="15" s="1"/>
  <c r="N318" i="15" s="1"/>
  <c r="M318" i="15"/>
  <c r="AA317" i="15"/>
  <c r="Z317" i="15" s="1"/>
  <c r="N317" i="15" s="1"/>
  <c r="M317" i="15"/>
  <c r="AA316" i="15"/>
  <c r="Z316" i="15" s="1"/>
  <c r="N316" i="15" s="1"/>
  <c r="M316" i="15"/>
  <c r="AA315" i="15"/>
  <c r="Z315" i="15"/>
  <c r="N315" i="15" s="1"/>
  <c r="M315" i="15"/>
  <c r="AA314" i="15"/>
  <c r="Z314" i="15" s="1"/>
  <c r="N314" i="15" s="1"/>
  <c r="M314" i="15"/>
  <c r="AA313" i="15"/>
  <c r="Z313" i="15" s="1"/>
  <c r="N313" i="15" s="1"/>
  <c r="M313" i="15"/>
  <c r="AA312" i="15"/>
  <c r="Z312" i="15" s="1"/>
  <c r="N312" i="15" s="1"/>
  <c r="M312" i="15"/>
  <c r="AA311" i="15"/>
  <c r="Z311" i="15" s="1"/>
  <c r="N311" i="15" s="1"/>
  <c r="M311" i="15"/>
  <c r="AA310" i="15"/>
  <c r="Z310" i="15" s="1"/>
  <c r="N310" i="15" s="1"/>
  <c r="M310" i="15"/>
  <c r="AA309" i="15"/>
  <c r="Z309" i="15" s="1"/>
  <c r="N309" i="15" s="1"/>
  <c r="M309" i="15"/>
  <c r="AA308" i="15"/>
  <c r="Z308" i="15" s="1"/>
  <c r="N308" i="15" s="1"/>
  <c r="M308" i="15"/>
  <c r="AA307" i="15"/>
  <c r="Z307" i="15" s="1"/>
  <c r="N307" i="15" s="1"/>
  <c r="M307" i="15"/>
  <c r="AA306" i="15"/>
  <c r="Z306" i="15" s="1"/>
  <c r="N306" i="15" s="1"/>
  <c r="M306" i="15"/>
  <c r="AA305" i="15"/>
  <c r="Z305" i="15" s="1"/>
  <c r="N305" i="15" s="1"/>
  <c r="M305" i="15"/>
  <c r="AA304" i="15"/>
  <c r="Z304" i="15" s="1"/>
  <c r="N304" i="15" s="1"/>
  <c r="M304" i="15"/>
  <c r="AA303" i="15"/>
  <c r="Z303" i="15"/>
  <c r="N303" i="15" s="1"/>
  <c r="M303" i="15"/>
  <c r="AA302" i="15"/>
  <c r="Z302" i="15" s="1"/>
  <c r="N302" i="15"/>
  <c r="M302" i="15"/>
  <c r="AA301" i="15"/>
  <c r="Z301" i="15" s="1"/>
  <c r="N301" i="15" s="1"/>
  <c r="M301" i="15"/>
  <c r="AA300" i="15"/>
  <c r="Z300" i="15" s="1"/>
  <c r="N300" i="15" s="1"/>
  <c r="M300" i="15"/>
  <c r="AA299" i="15"/>
  <c r="Z299" i="15" s="1"/>
  <c r="N299" i="15" s="1"/>
  <c r="M299" i="15"/>
  <c r="AA298" i="15"/>
  <c r="Z298" i="15" s="1"/>
  <c r="N298" i="15" s="1"/>
  <c r="M298" i="15"/>
  <c r="AA297" i="15"/>
  <c r="Z297" i="15" s="1"/>
  <c r="N297" i="15" s="1"/>
  <c r="M297" i="15"/>
  <c r="AA296" i="15"/>
  <c r="Z296" i="15" s="1"/>
  <c r="N296" i="15" s="1"/>
  <c r="M296" i="15"/>
  <c r="AA295" i="15"/>
  <c r="Z295" i="15" s="1"/>
  <c r="N295" i="15" s="1"/>
  <c r="M295" i="15"/>
  <c r="AA294" i="15"/>
  <c r="Z294" i="15" s="1"/>
  <c r="N294" i="15" s="1"/>
  <c r="M294" i="15"/>
  <c r="AA293" i="15"/>
  <c r="Z293" i="15" s="1"/>
  <c r="N293" i="15" s="1"/>
  <c r="M293" i="15"/>
  <c r="AA292" i="15"/>
  <c r="Z292" i="15" s="1"/>
  <c r="N292" i="15" s="1"/>
  <c r="M292" i="15"/>
  <c r="AA291" i="15"/>
  <c r="Z291" i="15" s="1"/>
  <c r="N291" i="15" s="1"/>
  <c r="M291" i="15"/>
  <c r="AA290" i="15"/>
  <c r="Z290" i="15" s="1"/>
  <c r="N290" i="15" s="1"/>
  <c r="M290" i="15"/>
  <c r="AA289" i="15"/>
  <c r="Z289" i="15" s="1"/>
  <c r="N289" i="15" s="1"/>
  <c r="M289" i="15"/>
  <c r="AA288" i="15"/>
  <c r="Z288" i="15" s="1"/>
  <c r="N288" i="15" s="1"/>
  <c r="M288" i="15"/>
  <c r="AA287" i="15"/>
  <c r="Z287" i="15" s="1"/>
  <c r="N287" i="15" s="1"/>
  <c r="M287" i="15"/>
  <c r="AA286" i="15"/>
  <c r="Z286" i="15" s="1"/>
  <c r="N286" i="15" s="1"/>
  <c r="M286" i="15"/>
  <c r="AA285" i="15"/>
  <c r="Z285" i="15" s="1"/>
  <c r="N285" i="15" s="1"/>
  <c r="M285" i="15"/>
  <c r="AA284" i="15"/>
  <c r="Z284" i="15" s="1"/>
  <c r="N284" i="15" s="1"/>
  <c r="M284" i="15"/>
  <c r="AA283" i="15"/>
  <c r="Z283" i="15" s="1"/>
  <c r="N283" i="15" s="1"/>
  <c r="M283" i="15"/>
  <c r="AA282" i="15"/>
  <c r="Z282" i="15" s="1"/>
  <c r="N282" i="15" s="1"/>
  <c r="M282" i="15"/>
  <c r="AA281" i="15"/>
  <c r="Z281" i="15" s="1"/>
  <c r="N281" i="15" s="1"/>
  <c r="M281" i="15"/>
  <c r="AA280" i="15"/>
  <c r="Z280" i="15" s="1"/>
  <c r="N280" i="15" s="1"/>
  <c r="M280" i="15"/>
  <c r="AA279" i="15"/>
  <c r="Z279" i="15" s="1"/>
  <c r="N279" i="15" s="1"/>
  <c r="M279" i="15"/>
  <c r="AA278" i="15"/>
  <c r="Z278" i="15" s="1"/>
  <c r="N278" i="15" s="1"/>
  <c r="M278" i="15"/>
  <c r="AA277" i="15"/>
  <c r="Z277" i="15" s="1"/>
  <c r="N277" i="15" s="1"/>
  <c r="M277" i="15"/>
  <c r="AA276" i="15"/>
  <c r="Z276" i="15" s="1"/>
  <c r="N276" i="15" s="1"/>
  <c r="M276" i="15"/>
  <c r="AA275" i="15"/>
  <c r="Z275" i="15" s="1"/>
  <c r="N275" i="15" s="1"/>
  <c r="M275" i="15"/>
  <c r="AA274" i="15"/>
  <c r="Z274" i="15" s="1"/>
  <c r="N274" i="15" s="1"/>
  <c r="M274" i="15"/>
  <c r="AA273" i="15"/>
  <c r="Z273" i="15" s="1"/>
  <c r="N273" i="15" s="1"/>
  <c r="M273" i="15"/>
  <c r="AA272" i="15"/>
  <c r="Z272" i="15" s="1"/>
  <c r="N272" i="15" s="1"/>
  <c r="M272" i="15"/>
  <c r="AA271" i="15"/>
  <c r="Z271" i="15" s="1"/>
  <c r="N271" i="15" s="1"/>
  <c r="M271" i="15"/>
  <c r="AA270" i="15"/>
  <c r="Z270" i="15" s="1"/>
  <c r="N270" i="15" s="1"/>
  <c r="M270" i="15"/>
  <c r="AA269" i="15"/>
  <c r="Z269" i="15" s="1"/>
  <c r="N269" i="15" s="1"/>
  <c r="M269" i="15"/>
  <c r="AA268" i="15"/>
  <c r="Z268" i="15" s="1"/>
  <c r="N268" i="15" s="1"/>
  <c r="M268" i="15"/>
  <c r="AA267" i="15"/>
  <c r="Z267" i="15" s="1"/>
  <c r="N267" i="15" s="1"/>
  <c r="M267" i="15"/>
  <c r="AA266" i="15"/>
  <c r="Z266" i="15" s="1"/>
  <c r="N266" i="15" s="1"/>
  <c r="M266" i="15"/>
  <c r="AA265" i="15"/>
  <c r="Z265" i="15" s="1"/>
  <c r="N265" i="15" s="1"/>
  <c r="M265" i="15"/>
  <c r="AA264" i="15"/>
  <c r="Z264" i="15" s="1"/>
  <c r="N264" i="15" s="1"/>
  <c r="M264" i="15"/>
  <c r="AA263" i="15"/>
  <c r="Z263" i="15" s="1"/>
  <c r="N263" i="15" s="1"/>
  <c r="M263" i="15"/>
  <c r="AA262" i="15"/>
  <c r="Z262" i="15" s="1"/>
  <c r="N262" i="15" s="1"/>
  <c r="M262" i="15"/>
  <c r="AA261" i="15"/>
  <c r="Z261" i="15" s="1"/>
  <c r="N261" i="15" s="1"/>
  <c r="M261" i="15"/>
  <c r="AA260" i="15"/>
  <c r="Z260" i="15" s="1"/>
  <c r="N260" i="15" s="1"/>
  <c r="M260" i="15"/>
  <c r="AA259" i="15"/>
  <c r="Z259" i="15" s="1"/>
  <c r="N259" i="15" s="1"/>
  <c r="M259" i="15"/>
  <c r="AA258" i="15"/>
  <c r="Z258" i="15" s="1"/>
  <c r="N258" i="15" s="1"/>
  <c r="M258" i="15"/>
  <c r="AA257" i="15"/>
  <c r="Z257" i="15" s="1"/>
  <c r="N257" i="15" s="1"/>
  <c r="M257" i="15"/>
  <c r="AA256" i="15"/>
  <c r="Z256" i="15" s="1"/>
  <c r="N256" i="15" s="1"/>
  <c r="M256" i="15"/>
  <c r="AA255" i="15"/>
  <c r="Z255" i="15" s="1"/>
  <c r="N255" i="15" s="1"/>
  <c r="M255" i="15"/>
  <c r="AA254" i="15"/>
  <c r="Z254" i="15" s="1"/>
  <c r="N254" i="15" s="1"/>
  <c r="M254" i="15"/>
  <c r="AA253" i="15"/>
  <c r="Z253" i="15" s="1"/>
  <c r="N253" i="15" s="1"/>
  <c r="M253" i="15"/>
  <c r="AA252" i="15"/>
  <c r="Z252" i="15" s="1"/>
  <c r="N252" i="15" s="1"/>
  <c r="M252" i="15"/>
  <c r="AA251" i="15"/>
  <c r="Z251" i="15" s="1"/>
  <c r="N251" i="15" s="1"/>
  <c r="M251" i="15"/>
  <c r="AA250" i="15"/>
  <c r="Z250" i="15" s="1"/>
  <c r="N250" i="15" s="1"/>
  <c r="M250" i="15"/>
  <c r="AA249" i="15"/>
  <c r="Z249" i="15" s="1"/>
  <c r="N249" i="15" s="1"/>
  <c r="M249" i="15"/>
  <c r="AA248" i="15"/>
  <c r="Z248" i="15" s="1"/>
  <c r="N248" i="15" s="1"/>
  <c r="M248" i="15"/>
  <c r="AA247" i="15"/>
  <c r="Z247" i="15" s="1"/>
  <c r="N247" i="15" s="1"/>
  <c r="M247" i="15"/>
  <c r="AA246" i="15"/>
  <c r="Z246" i="15" s="1"/>
  <c r="N246" i="15" s="1"/>
  <c r="M246" i="15"/>
  <c r="AA245" i="15"/>
  <c r="Z245" i="15" s="1"/>
  <c r="N245" i="15" s="1"/>
  <c r="M245" i="15"/>
  <c r="AA244" i="15"/>
  <c r="Z244" i="15" s="1"/>
  <c r="N244" i="15" s="1"/>
  <c r="M244" i="15"/>
  <c r="AA243" i="15"/>
  <c r="Z243" i="15" s="1"/>
  <c r="N243" i="15" s="1"/>
  <c r="M243" i="15"/>
  <c r="AA242" i="15"/>
  <c r="Z242" i="15" s="1"/>
  <c r="N242" i="15" s="1"/>
  <c r="M242" i="15"/>
  <c r="AA241" i="15"/>
  <c r="Z241" i="15" s="1"/>
  <c r="N241" i="15" s="1"/>
  <c r="M241" i="15"/>
  <c r="AA240" i="15"/>
  <c r="Z240" i="15" s="1"/>
  <c r="N240" i="15" s="1"/>
  <c r="M240" i="15"/>
  <c r="AA239" i="15"/>
  <c r="Z239" i="15" s="1"/>
  <c r="N239" i="15" s="1"/>
  <c r="M239" i="15"/>
  <c r="AA238" i="15"/>
  <c r="Z238" i="15"/>
  <c r="N238" i="15" s="1"/>
  <c r="M238" i="15"/>
  <c r="AA237" i="15"/>
  <c r="Z237" i="15" s="1"/>
  <c r="N237" i="15" s="1"/>
  <c r="M237" i="15"/>
  <c r="AA236" i="15"/>
  <c r="Z236" i="15" s="1"/>
  <c r="N236" i="15" s="1"/>
  <c r="M236" i="15"/>
  <c r="AA235" i="15"/>
  <c r="Z235" i="15" s="1"/>
  <c r="N235" i="15" s="1"/>
  <c r="M235" i="15"/>
  <c r="AA234" i="15"/>
  <c r="Z234" i="15" s="1"/>
  <c r="N234" i="15" s="1"/>
  <c r="M234" i="15"/>
  <c r="AA233" i="15"/>
  <c r="Z233" i="15" s="1"/>
  <c r="N233" i="15" s="1"/>
  <c r="M233" i="15"/>
  <c r="AA232" i="15"/>
  <c r="Z232" i="15" s="1"/>
  <c r="N232" i="15" s="1"/>
  <c r="M232" i="15"/>
  <c r="AA231" i="15"/>
  <c r="Z231" i="15" s="1"/>
  <c r="N231" i="15" s="1"/>
  <c r="M231" i="15"/>
  <c r="AA230" i="15"/>
  <c r="Z230" i="15" s="1"/>
  <c r="N230" i="15" s="1"/>
  <c r="M230" i="15"/>
  <c r="AA229" i="15"/>
  <c r="Z229" i="15" s="1"/>
  <c r="N229" i="15" s="1"/>
  <c r="M229" i="15"/>
  <c r="AA228" i="15"/>
  <c r="Z228" i="15" s="1"/>
  <c r="N228" i="15" s="1"/>
  <c r="M228" i="15"/>
  <c r="AA227" i="15"/>
  <c r="Z227" i="15" s="1"/>
  <c r="N227" i="15" s="1"/>
  <c r="M227" i="15"/>
  <c r="AA226" i="15"/>
  <c r="Z226" i="15" s="1"/>
  <c r="N226" i="15" s="1"/>
  <c r="M226" i="15"/>
  <c r="AA225" i="15"/>
  <c r="Z225" i="15" s="1"/>
  <c r="N225" i="15" s="1"/>
  <c r="M225" i="15"/>
  <c r="AA224" i="15"/>
  <c r="Z224" i="15" s="1"/>
  <c r="N224" i="15" s="1"/>
  <c r="M224" i="15"/>
  <c r="AA223" i="15"/>
  <c r="Z223" i="15" s="1"/>
  <c r="N223" i="15" s="1"/>
  <c r="M223" i="15"/>
  <c r="AA222" i="15"/>
  <c r="Z222" i="15" s="1"/>
  <c r="N222" i="15" s="1"/>
  <c r="M222" i="15"/>
  <c r="AA221" i="15"/>
  <c r="Z221" i="15" s="1"/>
  <c r="N221" i="15" s="1"/>
  <c r="M221" i="15"/>
  <c r="AA220" i="15"/>
  <c r="Z220" i="15" s="1"/>
  <c r="N220" i="15" s="1"/>
  <c r="M220" i="15"/>
  <c r="AA219" i="15"/>
  <c r="Z219" i="15" s="1"/>
  <c r="N219" i="15" s="1"/>
  <c r="M219" i="15"/>
  <c r="AA218" i="15"/>
  <c r="Z218" i="15" s="1"/>
  <c r="N218" i="15" s="1"/>
  <c r="M218" i="15"/>
  <c r="AA217" i="15"/>
  <c r="Z217" i="15" s="1"/>
  <c r="N217" i="15" s="1"/>
  <c r="M217" i="15"/>
  <c r="AA216" i="15"/>
  <c r="Z216" i="15" s="1"/>
  <c r="N216" i="15" s="1"/>
  <c r="M216" i="15"/>
  <c r="AA215" i="15"/>
  <c r="Z215" i="15" s="1"/>
  <c r="N215" i="15" s="1"/>
  <c r="M215" i="15"/>
  <c r="AA214" i="15"/>
  <c r="Z214" i="15" s="1"/>
  <c r="N214" i="15" s="1"/>
  <c r="M214" i="15"/>
  <c r="AA213" i="15"/>
  <c r="Z213" i="15" s="1"/>
  <c r="N213" i="15" s="1"/>
  <c r="M213" i="15"/>
  <c r="AA212" i="15"/>
  <c r="Z212" i="15" s="1"/>
  <c r="N212" i="15" s="1"/>
  <c r="M212" i="15"/>
  <c r="AA211" i="15"/>
  <c r="Z211" i="15" s="1"/>
  <c r="N211" i="15" s="1"/>
  <c r="M211" i="15"/>
  <c r="AA210" i="15"/>
  <c r="Z210" i="15" s="1"/>
  <c r="N210" i="15" s="1"/>
  <c r="M210" i="15"/>
  <c r="AA209" i="15"/>
  <c r="Z209" i="15" s="1"/>
  <c r="N209" i="15" s="1"/>
  <c r="M209" i="15"/>
  <c r="AA208" i="15"/>
  <c r="Z208" i="15" s="1"/>
  <c r="N208" i="15" s="1"/>
  <c r="M208" i="15"/>
  <c r="AA207" i="15"/>
  <c r="Z207" i="15" s="1"/>
  <c r="N207" i="15" s="1"/>
  <c r="M207" i="15"/>
  <c r="AA206" i="15"/>
  <c r="Z206" i="15" s="1"/>
  <c r="N206" i="15" s="1"/>
  <c r="M206" i="15"/>
  <c r="AA205" i="15"/>
  <c r="Z205" i="15" s="1"/>
  <c r="N205" i="15" s="1"/>
  <c r="M205" i="15"/>
  <c r="AA204" i="15"/>
  <c r="Z204" i="15" s="1"/>
  <c r="N204" i="15" s="1"/>
  <c r="M204" i="15"/>
  <c r="AA203" i="15"/>
  <c r="Z203" i="15" s="1"/>
  <c r="N203" i="15" s="1"/>
  <c r="M203" i="15"/>
  <c r="AA202" i="15"/>
  <c r="Z202" i="15" s="1"/>
  <c r="N202" i="15" s="1"/>
  <c r="M202" i="15"/>
  <c r="AA201" i="15"/>
  <c r="Z201" i="15" s="1"/>
  <c r="N201" i="15" s="1"/>
  <c r="M201" i="15"/>
  <c r="AA200" i="15"/>
  <c r="Z200" i="15" s="1"/>
  <c r="N200" i="15" s="1"/>
  <c r="M200" i="15"/>
  <c r="AA199" i="15"/>
  <c r="Z199" i="15" s="1"/>
  <c r="N199" i="15" s="1"/>
  <c r="M199" i="15"/>
  <c r="AA198" i="15"/>
  <c r="Z198" i="15" s="1"/>
  <c r="N198" i="15" s="1"/>
  <c r="M198" i="15"/>
  <c r="AA197" i="15"/>
  <c r="Z197" i="15" s="1"/>
  <c r="N197" i="15" s="1"/>
  <c r="M197" i="15"/>
  <c r="AA196" i="15"/>
  <c r="Z196" i="15" s="1"/>
  <c r="N196" i="15" s="1"/>
  <c r="M196" i="15"/>
  <c r="AA195" i="15"/>
  <c r="Z195" i="15" s="1"/>
  <c r="N195" i="15" s="1"/>
  <c r="M195" i="15"/>
  <c r="AA194" i="15"/>
  <c r="Z194" i="15" s="1"/>
  <c r="N194" i="15" s="1"/>
  <c r="M194" i="15"/>
  <c r="AA193" i="15"/>
  <c r="Z193" i="15" s="1"/>
  <c r="N193" i="15" s="1"/>
  <c r="M193" i="15"/>
  <c r="AA192" i="15"/>
  <c r="Z192" i="15" s="1"/>
  <c r="N192" i="15" s="1"/>
  <c r="M192" i="15"/>
  <c r="AA191" i="15"/>
  <c r="Z191" i="15" s="1"/>
  <c r="N191" i="15" s="1"/>
  <c r="M191" i="15"/>
  <c r="AA190" i="15"/>
  <c r="Z190" i="15"/>
  <c r="N190" i="15" s="1"/>
  <c r="M190" i="15"/>
  <c r="AA189" i="15"/>
  <c r="Z189" i="15" s="1"/>
  <c r="N189" i="15" s="1"/>
  <c r="M189" i="15"/>
  <c r="AA188" i="15"/>
  <c r="Z188" i="15" s="1"/>
  <c r="N188" i="15" s="1"/>
  <c r="M188" i="15"/>
  <c r="AA187" i="15"/>
  <c r="Z187" i="15" s="1"/>
  <c r="N187" i="15" s="1"/>
  <c r="M187" i="15"/>
  <c r="AA186" i="15"/>
  <c r="Z186" i="15" s="1"/>
  <c r="N186" i="15" s="1"/>
  <c r="M186" i="15"/>
  <c r="AA185" i="15"/>
  <c r="Z185" i="15" s="1"/>
  <c r="N185" i="15" s="1"/>
  <c r="M185" i="15"/>
  <c r="AA184" i="15"/>
  <c r="Z184" i="15" s="1"/>
  <c r="N184" i="15" s="1"/>
  <c r="M184" i="15"/>
  <c r="AA183" i="15"/>
  <c r="Z183" i="15"/>
  <c r="N183" i="15" s="1"/>
  <c r="M183" i="15"/>
  <c r="AA182" i="15"/>
  <c r="Z182" i="15" s="1"/>
  <c r="N182" i="15" s="1"/>
  <c r="M182" i="15"/>
  <c r="AA181" i="15"/>
  <c r="Z181" i="15" s="1"/>
  <c r="N181" i="15" s="1"/>
  <c r="M181" i="15"/>
  <c r="AA180" i="15"/>
  <c r="Z180" i="15"/>
  <c r="N180" i="15" s="1"/>
  <c r="M180" i="15"/>
  <c r="AA179" i="15"/>
  <c r="Z179" i="15" s="1"/>
  <c r="N179" i="15" s="1"/>
  <c r="M179" i="15"/>
  <c r="AA178" i="15"/>
  <c r="Z178" i="15" s="1"/>
  <c r="N178" i="15" s="1"/>
  <c r="M178" i="15"/>
  <c r="AA177" i="15"/>
  <c r="Z177" i="15" s="1"/>
  <c r="N177" i="15" s="1"/>
  <c r="M177" i="15"/>
  <c r="AA176" i="15"/>
  <c r="Z176" i="15" s="1"/>
  <c r="N176" i="15" s="1"/>
  <c r="M176" i="15"/>
  <c r="AA175" i="15"/>
  <c r="Z175" i="15" s="1"/>
  <c r="N175" i="15" s="1"/>
  <c r="M175" i="15"/>
  <c r="AA174" i="15"/>
  <c r="Z174" i="15" s="1"/>
  <c r="N174" i="15" s="1"/>
  <c r="M174" i="15"/>
  <c r="AA173" i="15"/>
  <c r="Z173" i="15" s="1"/>
  <c r="N173" i="15" s="1"/>
  <c r="M173" i="15"/>
  <c r="AA172" i="15"/>
  <c r="Z172" i="15" s="1"/>
  <c r="N172" i="15" s="1"/>
  <c r="M172" i="15"/>
  <c r="AA171" i="15"/>
  <c r="Z171" i="15" s="1"/>
  <c r="N171" i="15" s="1"/>
  <c r="M171" i="15"/>
  <c r="AA170" i="15"/>
  <c r="Z170" i="15" s="1"/>
  <c r="N170" i="15" s="1"/>
  <c r="M170" i="15"/>
  <c r="AA169" i="15"/>
  <c r="Z169" i="15" s="1"/>
  <c r="N169" i="15" s="1"/>
  <c r="M169" i="15"/>
  <c r="AA168" i="15"/>
  <c r="Z168" i="15" s="1"/>
  <c r="N168" i="15" s="1"/>
  <c r="M168" i="15"/>
  <c r="AA167" i="15"/>
  <c r="Z167" i="15" s="1"/>
  <c r="N167" i="15" s="1"/>
  <c r="M167" i="15"/>
  <c r="AA166" i="15"/>
  <c r="Z166" i="15" s="1"/>
  <c r="N166" i="15" s="1"/>
  <c r="M166" i="15"/>
  <c r="AA165" i="15"/>
  <c r="Z165" i="15" s="1"/>
  <c r="N165" i="15" s="1"/>
  <c r="M165" i="15"/>
  <c r="AA164" i="15"/>
  <c r="Z164" i="15" s="1"/>
  <c r="N164" i="15" s="1"/>
  <c r="M164" i="15"/>
  <c r="AA163" i="15"/>
  <c r="Z163" i="15" s="1"/>
  <c r="N163" i="15" s="1"/>
  <c r="M163" i="15"/>
  <c r="AA162" i="15"/>
  <c r="Z162" i="15" s="1"/>
  <c r="N162" i="15" s="1"/>
  <c r="M162" i="15"/>
  <c r="AA161" i="15"/>
  <c r="Z161" i="15" s="1"/>
  <c r="N161" i="15" s="1"/>
  <c r="M161" i="15"/>
  <c r="AA160" i="15"/>
  <c r="Z160" i="15" s="1"/>
  <c r="N160" i="15" s="1"/>
  <c r="M160" i="15"/>
  <c r="AA159" i="15"/>
  <c r="Z159" i="15" s="1"/>
  <c r="N159" i="15" s="1"/>
  <c r="M159" i="15"/>
  <c r="AA158" i="15"/>
  <c r="Z158" i="15" s="1"/>
  <c r="N158" i="15" s="1"/>
  <c r="M158" i="15"/>
  <c r="AA157" i="15"/>
  <c r="Z157" i="15" s="1"/>
  <c r="N157" i="15" s="1"/>
  <c r="M157" i="15"/>
  <c r="AA156" i="15"/>
  <c r="Z156" i="15" s="1"/>
  <c r="N156" i="15" s="1"/>
  <c r="M156" i="15"/>
  <c r="AA155" i="15"/>
  <c r="Z155" i="15" s="1"/>
  <c r="N155" i="15" s="1"/>
  <c r="M155" i="15"/>
  <c r="AA154" i="15"/>
  <c r="Z154" i="15" s="1"/>
  <c r="N154" i="15" s="1"/>
  <c r="M154" i="15"/>
  <c r="AA153" i="15"/>
  <c r="Z153" i="15" s="1"/>
  <c r="N153" i="15" s="1"/>
  <c r="M153" i="15"/>
  <c r="AA152" i="15"/>
  <c r="Z152" i="15" s="1"/>
  <c r="N152" i="15" s="1"/>
  <c r="M152" i="15"/>
  <c r="AA151" i="15"/>
  <c r="Z151" i="15"/>
  <c r="N151" i="15" s="1"/>
  <c r="M151" i="15"/>
  <c r="AA150" i="15"/>
  <c r="Z150" i="15" s="1"/>
  <c r="N150" i="15" s="1"/>
  <c r="M150" i="15"/>
  <c r="AA149" i="15"/>
  <c r="Z149" i="15" s="1"/>
  <c r="N149" i="15" s="1"/>
  <c r="M149" i="15"/>
  <c r="AA148" i="15"/>
  <c r="Z148" i="15" s="1"/>
  <c r="N148" i="15" s="1"/>
  <c r="M148" i="15"/>
  <c r="AA147" i="15"/>
  <c r="Z147" i="15" s="1"/>
  <c r="N147" i="15" s="1"/>
  <c r="M147" i="15"/>
  <c r="AA146" i="15"/>
  <c r="Z146" i="15" s="1"/>
  <c r="N146" i="15" s="1"/>
  <c r="M146" i="15"/>
  <c r="AA145" i="15"/>
  <c r="Z145" i="15" s="1"/>
  <c r="N145" i="15" s="1"/>
  <c r="M145" i="15"/>
  <c r="AA144" i="15"/>
  <c r="Z144" i="15" s="1"/>
  <c r="N144" i="15" s="1"/>
  <c r="M144" i="15"/>
  <c r="AA143" i="15"/>
  <c r="Z143" i="15" s="1"/>
  <c r="N143" i="15" s="1"/>
  <c r="M143" i="15"/>
  <c r="AA142" i="15"/>
  <c r="Z142" i="15" s="1"/>
  <c r="N142" i="15" s="1"/>
  <c r="M142" i="15"/>
  <c r="AA141" i="15"/>
  <c r="Z141" i="15" s="1"/>
  <c r="N141" i="15" s="1"/>
  <c r="M141" i="15"/>
  <c r="AA140" i="15"/>
  <c r="Z140" i="15" s="1"/>
  <c r="N140" i="15" s="1"/>
  <c r="M140" i="15"/>
  <c r="AA139" i="15"/>
  <c r="Z139" i="15" s="1"/>
  <c r="N139" i="15" s="1"/>
  <c r="M139" i="15"/>
  <c r="AA138" i="15"/>
  <c r="Z138" i="15" s="1"/>
  <c r="N138" i="15" s="1"/>
  <c r="M138" i="15"/>
  <c r="AA137" i="15"/>
  <c r="Z137" i="15" s="1"/>
  <c r="N137" i="15" s="1"/>
  <c r="M137" i="15"/>
  <c r="AA136" i="15"/>
  <c r="Z136" i="15" s="1"/>
  <c r="N136" i="15" s="1"/>
  <c r="M136" i="15"/>
  <c r="AA135" i="15"/>
  <c r="Z135" i="15" s="1"/>
  <c r="N135" i="15" s="1"/>
  <c r="M135" i="15"/>
  <c r="AA134" i="15"/>
  <c r="Z134" i="15" s="1"/>
  <c r="N134" i="15" s="1"/>
  <c r="M134" i="15"/>
  <c r="AA133" i="15"/>
  <c r="Z133" i="15" s="1"/>
  <c r="N133" i="15" s="1"/>
  <c r="M133" i="15"/>
  <c r="AA132" i="15"/>
  <c r="Z132" i="15" s="1"/>
  <c r="N132" i="15" s="1"/>
  <c r="M132" i="15"/>
  <c r="AA131" i="15"/>
  <c r="Z131" i="15" s="1"/>
  <c r="N131" i="15" s="1"/>
  <c r="M131" i="15"/>
  <c r="AA130" i="15"/>
  <c r="Z130" i="15" s="1"/>
  <c r="N130" i="15" s="1"/>
  <c r="M130" i="15"/>
  <c r="AA129" i="15"/>
  <c r="Z129" i="15" s="1"/>
  <c r="N129" i="15" s="1"/>
  <c r="M129" i="15"/>
  <c r="AA128" i="15"/>
  <c r="Z128" i="15" s="1"/>
  <c r="N128" i="15" s="1"/>
  <c r="M128" i="15"/>
  <c r="AA127" i="15"/>
  <c r="Z127" i="15" s="1"/>
  <c r="N127" i="15" s="1"/>
  <c r="M127" i="15"/>
  <c r="AA126" i="15"/>
  <c r="Z126" i="15" s="1"/>
  <c r="N126" i="15" s="1"/>
  <c r="M126" i="15"/>
  <c r="AA125" i="15"/>
  <c r="Z125" i="15" s="1"/>
  <c r="N125" i="15" s="1"/>
  <c r="M125" i="15"/>
  <c r="AA124" i="15"/>
  <c r="Z124" i="15" s="1"/>
  <c r="N124" i="15" s="1"/>
  <c r="M124" i="15"/>
  <c r="AA123" i="15"/>
  <c r="Z123" i="15" s="1"/>
  <c r="N123" i="15" s="1"/>
  <c r="M123" i="15"/>
  <c r="AA122" i="15"/>
  <c r="Z122" i="15" s="1"/>
  <c r="N122" i="15" s="1"/>
  <c r="M122" i="15"/>
  <c r="AA121" i="15"/>
  <c r="Z121" i="15" s="1"/>
  <c r="N121" i="15" s="1"/>
  <c r="M121" i="15"/>
  <c r="AA120" i="15"/>
  <c r="Z120" i="15" s="1"/>
  <c r="N120" i="15" s="1"/>
  <c r="M120" i="15"/>
  <c r="AA119" i="15"/>
  <c r="Z119" i="15" s="1"/>
  <c r="N119" i="15" s="1"/>
  <c r="M119" i="15"/>
  <c r="AA118" i="15"/>
  <c r="Z118" i="15"/>
  <c r="N118" i="15" s="1"/>
  <c r="M118" i="15"/>
  <c r="AA117" i="15"/>
  <c r="Z117" i="15" s="1"/>
  <c r="N117" i="15" s="1"/>
  <c r="M117" i="15"/>
  <c r="AA116" i="15"/>
  <c r="Z116" i="15" s="1"/>
  <c r="N116" i="15" s="1"/>
  <c r="M116" i="15"/>
  <c r="AA115" i="15"/>
  <c r="Z115" i="15" s="1"/>
  <c r="N115" i="15" s="1"/>
  <c r="M115" i="15"/>
  <c r="AA114" i="15"/>
  <c r="Z114" i="15" s="1"/>
  <c r="N114" i="15" s="1"/>
  <c r="M114" i="15"/>
  <c r="AA113" i="15"/>
  <c r="Z113" i="15" s="1"/>
  <c r="N113" i="15" s="1"/>
  <c r="M113" i="15"/>
  <c r="AA112" i="15"/>
  <c r="Z112" i="15" s="1"/>
  <c r="N112" i="15" s="1"/>
  <c r="M112" i="15"/>
  <c r="AA111" i="15"/>
  <c r="Z111" i="15"/>
  <c r="N111" i="15" s="1"/>
  <c r="M111" i="15"/>
  <c r="AA110" i="15"/>
  <c r="Z110" i="15" s="1"/>
  <c r="N110" i="15" s="1"/>
  <c r="M110" i="15"/>
  <c r="AA109" i="15"/>
  <c r="Z109" i="15" s="1"/>
  <c r="N109" i="15" s="1"/>
  <c r="M109" i="15"/>
  <c r="AA108" i="15"/>
  <c r="Z108" i="15" s="1"/>
  <c r="N108" i="15" s="1"/>
  <c r="M108" i="15"/>
  <c r="AA107" i="15"/>
  <c r="Z107" i="15" s="1"/>
  <c r="N107" i="15" s="1"/>
  <c r="M107" i="15"/>
  <c r="AA106" i="15"/>
  <c r="Z106" i="15" s="1"/>
  <c r="N106" i="15" s="1"/>
  <c r="M106" i="15"/>
  <c r="AA105" i="15"/>
  <c r="Z105" i="15" s="1"/>
  <c r="N105" i="15" s="1"/>
  <c r="M105" i="15"/>
  <c r="AA104" i="15"/>
  <c r="Z104" i="15" s="1"/>
  <c r="N104" i="15" s="1"/>
  <c r="M104" i="15"/>
  <c r="AA103" i="15"/>
  <c r="Z103" i="15"/>
  <c r="N103" i="15" s="1"/>
  <c r="M103" i="15"/>
  <c r="AA102" i="15"/>
  <c r="Z102" i="15" s="1"/>
  <c r="N102" i="15" s="1"/>
  <c r="M102" i="15"/>
  <c r="AA101" i="15"/>
  <c r="Z101" i="15" s="1"/>
  <c r="N101" i="15" s="1"/>
  <c r="M101" i="15"/>
  <c r="AA100" i="15"/>
  <c r="Z100" i="15" s="1"/>
  <c r="N100" i="15" s="1"/>
  <c r="M100" i="15"/>
  <c r="AA99" i="15"/>
  <c r="Z99" i="15" s="1"/>
  <c r="N99" i="15" s="1"/>
  <c r="M99" i="15"/>
  <c r="AA98" i="15"/>
  <c r="Z98" i="15" s="1"/>
  <c r="N98" i="15" s="1"/>
  <c r="M98" i="15"/>
  <c r="AA97" i="15"/>
  <c r="Z97" i="15" s="1"/>
  <c r="N97" i="15" s="1"/>
  <c r="M97" i="15"/>
  <c r="AA96" i="15"/>
  <c r="Z96" i="15"/>
  <c r="N96" i="15" s="1"/>
  <c r="M96" i="15"/>
  <c r="AA95" i="15"/>
  <c r="Z95" i="15" s="1"/>
  <c r="N95" i="15" s="1"/>
  <c r="M95" i="15"/>
  <c r="AA94" i="15"/>
  <c r="Z94" i="15" s="1"/>
  <c r="N94" i="15" s="1"/>
  <c r="M94" i="15"/>
  <c r="AA93" i="15"/>
  <c r="Z93" i="15" s="1"/>
  <c r="N93" i="15" s="1"/>
  <c r="M93" i="15"/>
  <c r="AA92" i="15"/>
  <c r="Z92" i="15" s="1"/>
  <c r="N92" i="15" s="1"/>
  <c r="M92" i="15"/>
  <c r="AA91" i="15"/>
  <c r="Z91" i="15" s="1"/>
  <c r="N91" i="15" s="1"/>
  <c r="M91" i="15"/>
  <c r="AA90" i="15"/>
  <c r="Z90" i="15"/>
  <c r="N90" i="15" s="1"/>
  <c r="M90" i="15"/>
  <c r="AA89" i="15"/>
  <c r="Z89" i="15" s="1"/>
  <c r="N89" i="15" s="1"/>
  <c r="M89" i="15"/>
  <c r="Z88" i="15"/>
  <c r="N88" i="15" s="1"/>
  <c r="M88" i="15"/>
  <c r="AA87" i="15"/>
  <c r="Z87" i="15" s="1"/>
  <c r="N87" i="15" s="1"/>
  <c r="M87" i="15"/>
  <c r="AA86" i="15"/>
  <c r="Z86" i="15" s="1"/>
  <c r="N86" i="15" s="1"/>
  <c r="M86" i="15"/>
  <c r="AA85" i="15"/>
  <c r="Z85" i="15" s="1"/>
  <c r="N85" i="15" s="1"/>
  <c r="M85" i="15"/>
  <c r="AA84" i="15"/>
  <c r="Z84" i="15" s="1"/>
  <c r="N84" i="15" s="1"/>
  <c r="M84" i="15"/>
  <c r="AA83" i="15"/>
  <c r="Z83" i="15" s="1"/>
  <c r="N83" i="15" s="1"/>
  <c r="M83" i="15"/>
  <c r="AA82" i="15"/>
  <c r="Z82" i="15" s="1"/>
  <c r="N82" i="15" s="1"/>
  <c r="M82" i="15"/>
  <c r="AA81" i="15"/>
  <c r="Z81" i="15" s="1"/>
  <c r="N81" i="15" s="1"/>
  <c r="M81" i="15"/>
  <c r="AA80" i="15"/>
  <c r="Z80" i="15" s="1"/>
  <c r="N80" i="15" s="1"/>
  <c r="M80" i="15"/>
  <c r="AA79" i="15"/>
  <c r="Z79" i="15" s="1"/>
  <c r="N79" i="15" s="1"/>
  <c r="M79" i="15"/>
  <c r="AA78" i="15"/>
  <c r="Z78" i="15" s="1"/>
  <c r="N78" i="15" s="1"/>
  <c r="M78" i="15"/>
  <c r="AA77" i="15"/>
  <c r="Z77" i="15" s="1"/>
  <c r="N77" i="15" s="1"/>
  <c r="M77" i="15"/>
  <c r="AA76" i="15"/>
  <c r="Z76" i="15" s="1"/>
  <c r="N76" i="15" s="1"/>
  <c r="M76" i="15"/>
  <c r="AA75" i="15"/>
  <c r="Z75" i="15" s="1"/>
  <c r="N75" i="15" s="1"/>
  <c r="M75" i="15"/>
  <c r="AA74" i="15"/>
  <c r="Z74" i="15" s="1"/>
  <c r="N74" i="15" s="1"/>
  <c r="M74" i="15"/>
  <c r="AA73" i="15"/>
  <c r="Z73" i="15" s="1"/>
  <c r="N73" i="15" s="1"/>
  <c r="M73" i="15"/>
  <c r="AA72" i="15"/>
  <c r="Z72" i="15" s="1"/>
  <c r="N72" i="15" s="1"/>
  <c r="M72" i="15"/>
  <c r="AA71" i="15"/>
  <c r="Z71" i="15" s="1"/>
  <c r="N71" i="15" s="1"/>
  <c r="M71" i="15"/>
  <c r="AA70" i="15"/>
  <c r="Z70" i="15" s="1"/>
  <c r="N70" i="15" s="1"/>
  <c r="M70" i="15"/>
  <c r="AA69" i="15"/>
  <c r="Z69" i="15" s="1"/>
  <c r="N69" i="15" s="1"/>
  <c r="M69" i="15"/>
  <c r="AA68" i="15"/>
  <c r="Z68" i="15" s="1"/>
  <c r="N68" i="15" s="1"/>
  <c r="M68" i="15"/>
  <c r="AA67" i="15"/>
  <c r="Z67" i="15" s="1"/>
  <c r="N67" i="15" s="1"/>
  <c r="M67" i="15"/>
  <c r="AA66" i="15"/>
  <c r="Z66" i="15" s="1"/>
  <c r="N66" i="15" s="1"/>
  <c r="M66" i="15"/>
  <c r="AA65" i="15"/>
  <c r="Z65" i="15" s="1"/>
  <c r="N65" i="15" s="1"/>
  <c r="M65" i="15"/>
  <c r="AA64" i="15"/>
  <c r="Z64" i="15" s="1"/>
  <c r="N64" i="15" s="1"/>
  <c r="M64" i="15"/>
  <c r="AA63" i="15"/>
  <c r="Z63" i="15" s="1"/>
  <c r="N63" i="15" s="1"/>
  <c r="M63" i="15"/>
  <c r="AA62" i="15"/>
  <c r="Z62" i="15" s="1"/>
  <c r="N62" i="15" s="1"/>
  <c r="M62" i="15"/>
  <c r="AA61" i="15"/>
  <c r="Z61" i="15" s="1"/>
  <c r="N61" i="15" s="1"/>
  <c r="M61" i="15"/>
  <c r="AA60" i="15"/>
  <c r="Z60" i="15" s="1"/>
  <c r="N60" i="15" s="1"/>
  <c r="M60" i="15"/>
  <c r="AA59" i="15"/>
  <c r="Z59" i="15" s="1"/>
  <c r="N59" i="15" s="1"/>
  <c r="M59" i="15"/>
  <c r="AA58" i="15"/>
  <c r="Z58" i="15" s="1"/>
  <c r="N58" i="15" s="1"/>
  <c r="M58" i="15"/>
  <c r="AA57" i="15"/>
  <c r="Z57" i="15" s="1"/>
  <c r="N57" i="15" s="1"/>
  <c r="M57" i="15"/>
  <c r="AA56" i="15"/>
  <c r="Z56" i="15" s="1"/>
  <c r="N56" i="15" s="1"/>
  <c r="M56" i="15"/>
  <c r="AA55" i="15"/>
  <c r="Z55" i="15" s="1"/>
  <c r="N55" i="15" s="1"/>
  <c r="M55" i="15"/>
  <c r="AA54" i="15"/>
  <c r="Z54" i="15" s="1"/>
  <c r="N54" i="15" s="1"/>
  <c r="M54" i="15"/>
  <c r="AA53" i="15"/>
  <c r="Z53" i="15" s="1"/>
  <c r="N53" i="15" s="1"/>
  <c r="M53" i="15"/>
  <c r="AA52" i="15"/>
  <c r="Z52" i="15" s="1"/>
  <c r="N52" i="15" s="1"/>
  <c r="M52" i="15"/>
  <c r="AA51" i="15"/>
  <c r="Z51" i="15" s="1"/>
  <c r="N51" i="15" s="1"/>
  <c r="M51" i="15"/>
  <c r="AA50" i="15"/>
  <c r="Z50" i="15" s="1"/>
  <c r="N50" i="15" s="1"/>
  <c r="M50" i="15"/>
  <c r="AA49" i="15"/>
  <c r="Z49" i="15" s="1"/>
  <c r="N49" i="15" s="1"/>
  <c r="M49" i="15"/>
  <c r="AA48" i="15"/>
  <c r="Z48" i="15" s="1"/>
  <c r="N48" i="15" s="1"/>
  <c r="M48" i="15"/>
  <c r="AA47" i="15"/>
  <c r="Z47" i="15" s="1"/>
  <c r="N47" i="15" s="1"/>
  <c r="M47" i="15"/>
  <c r="AA46" i="15"/>
  <c r="Z46" i="15" s="1"/>
  <c r="N46" i="15" s="1"/>
  <c r="M46" i="15"/>
  <c r="AA45" i="15"/>
  <c r="Z45" i="15" s="1"/>
  <c r="N45" i="15" s="1"/>
  <c r="M45" i="15"/>
  <c r="AA44" i="15"/>
  <c r="Z44" i="15" s="1"/>
  <c r="N44" i="15" s="1"/>
  <c r="M44" i="15"/>
  <c r="AA43" i="15"/>
  <c r="Z43" i="15" s="1"/>
  <c r="N43" i="15" s="1"/>
  <c r="M43" i="15"/>
  <c r="AA42" i="15"/>
  <c r="Z42" i="15" s="1"/>
  <c r="N42" i="15" s="1"/>
  <c r="M42" i="15"/>
  <c r="AA41" i="15"/>
  <c r="Z41" i="15" s="1"/>
  <c r="N41" i="15" s="1"/>
  <c r="M41" i="15"/>
  <c r="AA40" i="15"/>
  <c r="Z40" i="15" s="1"/>
  <c r="N40" i="15" s="1"/>
  <c r="M40" i="15"/>
  <c r="AA39" i="15"/>
  <c r="Z39" i="15" s="1"/>
  <c r="N39" i="15" s="1"/>
  <c r="M39" i="15"/>
  <c r="AA38" i="15"/>
  <c r="Z38" i="15" s="1"/>
  <c r="N38" i="15" s="1"/>
  <c r="M38" i="15"/>
  <c r="AA37" i="15"/>
  <c r="Z37" i="15" s="1"/>
  <c r="N37" i="15" s="1"/>
  <c r="M37" i="15"/>
  <c r="AA36" i="15"/>
  <c r="Z36" i="15" s="1"/>
  <c r="N36" i="15" s="1"/>
  <c r="M36" i="15"/>
  <c r="AA35" i="15"/>
  <c r="Z35" i="15" s="1"/>
  <c r="N35" i="15" s="1"/>
  <c r="M35" i="15"/>
  <c r="AA34" i="15"/>
  <c r="Z34" i="15" s="1"/>
  <c r="N34" i="15" s="1"/>
  <c r="M34" i="15"/>
  <c r="AA33" i="15"/>
  <c r="Z33" i="15" s="1"/>
  <c r="N33" i="15" s="1"/>
  <c r="M33" i="15"/>
  <c r="AA32" i="15"/>
  <c r="Z32" i="15" s="1"/>
  <c r="N32" i="15" s="1"/>
  <c r="M32" i="15"/>
  <c r="AA31" i="15"/>
  <c r="Z31" i="15" s="1"/>
  <c r="N31" i="15" s="1"/>
  <c r="M31" i="15"/>
  <c r="AA30" i="15"/>
  <c r="Z30" i="15" s="1"/>
  <c r="N30" i="15" s="1"/>
  <c r="M30" i="15"/>
  <c r="AA29" i="15"/>
  <c r="Z29" i="15" s="1"/>
  <c r="N29" i="15" s="1"/>
  <c r="M29" i="15"/>
  <c r="AA28" i="15"/>
  <c r="Z28" i="15" s="1"/>
  <c r="N28" i="15" s="1"/>
  <c r="M28" i="15"/>
  <c r="AA27" i="15"/>
  <c r="Z27" i="15" s="1"/>
  <c r="N27" i="15" s="1"/>
  <c r="M27" i="15"/>
  <c r="AA26" i="15"/>
  <c r="Z26" i="15" s="1"/>
  <c r="N26" i="15" s="1"/>
  <c r="M26" i="15"/>
  <c r="AA25" i="15"/>
  <c r="Z25" i="15" s="1"/>
  <c r="N25" i="15" s="1"/>
  <c r="M25" i="15"/>
  <c r="AA24" i="15"/>
  <c r="Z24" i="15" s="1"/>
  <c r="N24" i="15" s="1"/>
  <c r="M24" i="15"/>
  <c r="AA23" i="15"/>
  <c r="Z23" i="15" s="1"/>
  <c r="N23" i="15" s="1"/>
  <c r="M23" i="15"/>
  <c r="AA22" i="15"/>
  <c r="Z22" i="15" s="1"/>
  <c r="N22" i="15" s="1"/>
  <c r="M22" i="15"/>
  <c r="AA21" i="15"/>
  <c r="Z21" i="15" s="1"/>
  <c r="N21" i="15" s="1"/>
  <c r="M21" i="15"/>
  <c r="AA20" i="15"/>
  <c r="Z20" i="15" s="1"/>
  <c r="N20" i="15" s="1"/>
  <c r="M20" i="15"/>
  <c r="AA19" i="15"/>
  <c r="Z19" i="15" s="1"/>
  <c r="N19" i="15" s="1"/>
  <c r="M19" i="15"/>
  <c r="AA18" i="15"/>
  <c r="Z18" i="15" s="1"/>
  <c r="N18" i="15" s="1"/>
  <c r="M18" i="15"/>
  <c r="AA17" i="15"/>
  <c r="Z17" i="15" s="1"/>
  <c r="N17" i="15" s="1"/>
  <c r="M17" i="15"/>
  <c r="AA16" i="15"/>
  <c r="Z16" i="15" s="1"/>
  <c r="N16" i="15" s="1"/>
  <c r="M16" i="15"/>
  <c r="AA15" i="15"/>
  <c r="Z15" i="15" s="1"/>
  <c r="N15" i="15" s="1"/>
  <c r="M15" i="15"/>
  <c r="AA14" i="15"/>
  <c r="Z14" i="15" s="1"/>
  <c r="N14" i="15" s="1"/>
  <c r="M14" i="15"/>
  <c r="AA13" i="15"/>
  <c r="Z13" i="15" s="1"/>
  <c r="N13" i="15" s="1"/>
  <c r="M13" i="15"/>
  <c r="AA12" i="15"/>
  <c r="Z12" i="15" s="1"/>
  <c r="N12" i="15" s="1"/>
  <c r="M12" i="15"/>
  <c r="AA11" i="15"/>
  <c r="Z11" i="15" s="1"/>
  <c r="N11" i="15" s="1"/>
  <c r="M11" i="15"/>
  <c r="AA10" i="15"/>
  <c r="Z10" i="15" s="1"/>
  <c r="N10" i="15" s="1"/>
  <c r="M10" i="15"/>
  <c r="AA9" i="15"/>
  <c r="Z9" i="15" s="1"/>
  <c r="N9" i="15" s="1"/>
  <c r="M9" i="15"/>
  <c r="AA8" i="15"/>
  <c r="Z8" i="15" s="1"/>
  <c r="N8" i="15" s="1"/>
  <c r="M8" i="15"/>
  <c r="AA7" i="15"/>
  <c r="Z7" i="15" s="1"/>
  <c r="N7" i="15" s="1"/>
  <c r="M7" i="15"/>
  <c r="AA6" i="15"/>
  <c r="Z6" i="15" s="1"/>
  <c r="N6" i="15" s="1"/>
  <c r="M6" i="15"/>
  <c r="AA5" i="15"/>
  <c r="Z5" i="15" s="1"/>
  <c r="N5" i="15" s="1"/>
  <c r="M5" i="15"/>
  <c r="N1089" i="9"/>
  <c r="N1088" i="9"/>
  <c r="N1087" i="9"/>
  <c r="N1090" i="9"/>
  <c r="AB1090" i="9"/>
  <c r="AA1090" i="9" s="1"/>
  <c r="O1090" i="9" s="1"/>
  <c r="Q368" i="9"/>
  <c r="AC1405" i="9"/>
  <c r="AA4" i="15" l="1"/>
  <c r="Z4" i="15" s="1"/>
  <c r="W22" i="11"/>
  <c r="AC368" i="9"/>
  <c r="AC13" i="9"/>
  <c r="L1324" i="9"/>
  <c r="M1324" i="9"/>
  <c r="N1324" i="9"/>
  <c r="O1324" i="9"/>
  <c r="Q1324" i="9"/>
  <c r="T1324" i="9"/>
  <c r="L1367" i="9"/>
  <c r="M1367" i="9"/>
  <c r="N1367" i="9"/>
  <c r="O1367" i="9"/>
  <c r="Q1367" i="9"/>
  <c r="T1367" i="9"/>
  <c r="AB1367" i="9"/>
  <c r="AA1367" i="9" s="1"/>
  <c r="AC1367" i="9"/>
  <c r="M1281" i="9"/>
  <c r="Q1281" i="9"/>
  <c r="R1281" i="9"/>
  <c r="T1281" i="9"/>
  <c r="AC1281" i="9"/>
  <c r="W23" i="11" l="1"/>
  <c r="AC177" i="9" l="1"/>
  <c r="W21" i="11"/>
  <c r="W20" i="11"/>
  <c r="W19" i="11"/>
  <c r="AB172" i="9" l="1"/>
  <c r="AA172" i="9" s="1"/>
  <c r="AB173" i="9"/>
  <c r="AA173" i="9" s="1"/>
  <c r="AB1183" i="9" l="1"/>
  <c r="AA1183" i="9" s="1"/>
  <c r="O1183" i="9" s="1"/>
  <c r="AB1184" i="9"/>
  <c r="AA1184" i="9" s="1"/>
  <c r="O1184" i="9" s="1"/>
  <c r="AB1185" i="9"/>
  <c r="AA1185" i="9" s="1"/>
  <c r="O1185" i="9" s="1"/>
  <c r="AB1186" i="9"/>
  <c r="AA1186" i="9" s="1"/>
  <c r="O1186" i="9" s="1"/>
  <c r="AB1187" i="9"/>
  <c r="AA1187" i="9" s="1"/>
  <c r="O1187" i="9" s="1"/>
  <c r="AB1188" i="9"/>
  <c r="AA1188" i="9" s="1"/>
  <c r="O1188" i="9" s="1"/>
  <c r="AB1189" i="9"/>
  <c r="AA1189" i="9" s="1"/>
  <c r="O1189" i="9" s="1"/>
  <c r="N1183" i="9"/>
  <c r="N1184" i="9"/>
  <c r="N1185" i="9"/>
  <c r="N1186" i="9"/>
  <c r="N1187" i="9"/>
  <c r="N1188" i="9"/>
  <c r="N1189" i="9"/>
  <c r="AB1212" i="9"/>
  <c r="AA1212" i="9" s="1"/>
  <c r="O1212" i="9" s="1"/>
  <c r="AB1213" i="9"/>
  <c r="AA1213" i="9" s="1"/>
  <c r="O1213" i="9" s="1"/>
  <c r="AB1214" i="9"/>
  <c r="AA1214" i="9" s="1"/>
  <c r="O1214" i="9" s="1"/>
  <c r="AB1215" i="9"/>
  <c r="AA1215" i="9" s="1"/>
  <c r="O1215" i="9" s="1"/>
  <c r="AB1216" i="9"/>
  <c r="AA1216" i="9" s="1"/>
  <c r="O1216" i="9" s="1"/>
  <c r="AB1217" i="9"/>
  <c r="AA1217" i="9" s="1"/>
  <c r="O1217" i="9" s="1"/>
  <c r="AB1218" i="9"/>
  <c r="AA1218" i="9" s="1"/>
  <c r="O1218" i="9" s="1"/>
  <c r="AB1219" i="9"/>
  <c r="AA1219" i="9" s="1"/>
  <c r="O1219" i="9" s="1"/>
  <c r="AB1220" i="9"/>
  <c r="AA1220" i="9" s="1"/>
  <c r="O1220" i="9" s="1"/>
  <c r="AB1221" i="9"/>
  <c r="AA1221" i="9" s="1"/>
  <c r="O1221" i="9" s="1"/>
  <c r="AB1141" i="9" l="1"/>
  <c r="AA1141" i="9" s="1"/>
  <c r="O1141" i="9" s="1"/>
  <c r="AB1142" i="9"/>
  <c r="AA1142" i="9" s="1"/>
  <c r="O1142" i="9" s="1"/>
  <c r="AB1143" i="9"/>
  <c r="AA1143" i="9" s="1"/>
  <c r="O1143" i="9" s="1"/>
  <c r="AB1144" i="9"/>
  <c r="AA1144" i="9" s="1"/>
  <c r="O1144" i="9" s="1"/>
  <c r="AB1145" i="9"/>
  <c r="AA1145" i="9" s="1"/>
  <c r="O1145" i="9" s="1"/>
  <c r="AB1146" i="9"/>
  <c r="AA1146" i="9" s="1"/>
  <c r="O1146" i="9" s="1"/>
  <c r="N1141" i="9"/>
  <c r="N1142" i="9"/>
  <c r="N1143" i="9"/>
  <c r="N1144" i="9"/>
  <c r="N1145" i="9"/>
  <c r="N1146" i="9"/>
  <c r="AB1075" i="9"/>
  <c r="AA1075" i="9" s="1"/>
  <c r="O1075" i="9" s="1"/>
  <c r="N1075" i="9"/>
  <c r="N1281" i="9"/>
  <c r="L1281" i="9"/>
  <c r="S1405" i="9"/>
  <c r="R1405" i="9"/>
  <c r="O1405" i="9"/>
  <c r="N1405" i="9"/>
  <c r="L1405" i="9"/>
  <c r="W24" i="11" l="1"/>
  <c r="AB948" i="9"/>
  <c r="N948" i="9"/>
  <c r="AB712" i="9"/>
  <c r="N712" i="9"/>
  <c r="AB577" i="9"/>
  <c r="N577" i="9"/>
  <c r="AB1324" i="9"/>
  <c r="AC1324" i="9"/>
  <c r="S1281" i="9"/>
  <c r="W26" i="11"/>
  <c r="L1393" i="9"/>
  <c r="N1393" i="9"/>
  <c r="O1393" i="9"/>
  <c r="Q1393" i="9"/>
  <c r="R1393" i="9"/>
  <c r="R1367" i="9" s="1"/>
  <c r="S1393" i="9"/>
  <c r="S1367" i="9" s="1"/>
  <c r="AC1393" i="9"/>
  <c r="AA1394" i="9"/>
  <c r="AB1394" i="9"/>
  <c r="AB1192" i="9"/>
  <c r="AB1149" i="9"/>
  <c r="AB587" i="9"/>
  <c r="AB1077" i="9"/>
  <c r="N1077" i="9"/>
  <c r="N587" i="9"/>
  <c r="AB440" i="9"/>
  <c r="N440" i="9"/>
  <c r="N1149" i="9"/>
  <c r="N1192" i="9"/>
  <c r="AA1149" i="9" l="1"/>
  <c r="O1149" i="9" s="1"/>
  <c r="AA1192" i="9"/>
  <c r="O1192" i="9" s="1"/>
  <c r="AA440" i="9"/>
  <c r="O440" i="9" s="1"/>
  <c r="AA577" i="9"/>
  <c r="O577" i="9" s="1"/>
  <c r="AA712" i="9"/>
  <c r="O712" i="9" s="1"/>
  <c r="AA1077" i="9"/>
  <c r="O1077" i="9" s="1"/>
  <c r="AA948" i="9"/>
  <c r="AA587" i="9"/>
  <c r="O587" i="9" s="1"/>
  <c r="AB1147" i="9" l="1"/>
  <c r="AB1148" i="9"/>
  <c r="N1148" i="9"/>
  <c r="N1147" i="9"/>
  <c r="AB1191" i="9"/>
  <c r="AB1190" i="9"/>
  <c r="N1190" i="9"/>
  <c r="N1191" i="9"/>
  <c r="AA1190" i="9" l="1"/>
  <c r="O1190" i="9" s="1"/>
  <c r="AA1191" i="9"/>
  <c r="O1191" i="9" s="1"/>
  <c r="AA1148" i="9"/>
  <c r="O1148" i="9" s="1"/>
  <c r="AA1147" i="9"/>
  <c r="O1147" i="9" s="1"/>
  <c r="T72" i="9"/>
  <c r="N72" i="9"/>
  <c r="N73" i="9"/>
  <c r="AB72" i="9" l="1"/>
  <c r="AB1076" i="9"/>
  <c r="N1076" i="9"/>
  <c r="AA1076" i="9" l="1"/>
  <c r="O1076" i="9" s="1"/>
  <c r="AA72" i="9"/>
  <c r="AB1135" i="9"/>
  <c r="N1135" i="9"/>
  <c r="AB1136" i="9"/>
  <c r="N1136" i="9"/>
  <c r="AB1137" i="9"/>
  <c r="N1137" i="9"/>
  <c r="AB1138" i="9"/>
  <c r="N1138" i="9"/>
  <c r="AB1139" i="9"/>
  <c r="AB1140" i="9"/>
  <c r="N1139" i="9"/>
  <c r="N1140" i="9"/>
  <c r="AB1159" i="9"/>
  <c r="N1159" i="9"/>
  <c r="AB1158" i="9"/>
  <c r="N1158" i="9"/>
  <c r="AB1150" i="9"/>
  <c r="AB1151" i="9"/>
  <c r="AB1152" i="9"/>
  <c r="AB1153" i="9"/>
  <c r="AB1154" i="9"/>
  <c r="AB1155" i="9"/>
  <c r="AB1156" i="9"/>
  <c r="AB1157" i="9"/>
  <c r="N1150" i="9"/>
  <c r="N1151" i="9"/>
  <c r="N1152" i="9"/>
  <c r="N1153" i="9"/>
  <c r="N1154" i="9"/>
  <c r="N1155" i="9"/>
  <c r="N1156" i="9"/>
  <c r="N1157" i="9"/>
  <c r="N193" i="9"/>
  <c r="N194" i="9"/>
  <c r="N195" i="9"/>
  <c r="N196" i="9"/>
  <c r="AB165" i="9"/>
  <c r="AB166" i="9"/>
  <c r="AB167" i="9"/>
  <c r="AB168" i="9"/>
  <c r="AB169" i="9"/>
  <c r="AB170" i="9"/>
  <c r="AB171" i="9"/>
  <c r="AB163" i="9"/>
  <c r="AB164" i="9"/>
  <c r="AA1158" i="9" l="1"/>
  <c r="O1158" i="9" s="1"/>
  <c r="AA1140" i="9"/>
  <c r="O1140" i="9" s="1"/>
  <c r="AA1138" i="9"/>
  <c r="O1138" i="9" s="1"/>
  <c r="AA1137" i="9"/>
  <c r="O1137" i="9" s="1"/>
  <c r="AA1157" i="9"/>
  <c r="O1157" i="9" s="1"/>
  <c r="AA1136" i="9"/>
  <c r="O1136" i="9" s="1"/>
  <c r="AA1159" i="9"/>
  <c r="O1159" i="9" s="1"/>
  <c r="AA1139" i="9"/>
  <c r="O1139" i="9" s="1"/>
  <c r="AA164" i="9"/>
  <c r="AA163" i="9"/>
  <c r="AA171" i="9"/>
  <c r="AA1156" i="9"/>
  <c r="O1156" i="9" s="1"/>
  <c r="AA170" i="9"/>
  <c r="AA1155" i="9"/>
  <c r="O1155" i="9" s="1"/>
  <c r="AA169" i="9"/>
  <c r="AA1154" i="9"/>
  <c r="O1154" i="9" s="1"/>
  <c r="AA1135" i="9"/>
  <c r="O1135" i="9" s="1"/>
  <c r="AA168" i="9"/>
  <c r="AA1153" i="9"/>
  <c r="O1153" i="9" s="1"/>
  <c r="AA167" i="9"/>
  <c r="AA1152" i="9"/>
  <c r="O1152" i="9" s="1"/>
  <c r="AA166" i="9"/>
  <c r="AA1151" i="9"/>
  <c r="O1151" i="9" s="1"/>
  <c r="AA165" i="9"/>
  <c r="AA1150" i="9"/>
  <c r="O1150" i="9" s="1"/>
  <c r="AB139" i="9"/>
  <c r="AA139" i="9" l="1"/>
  <c r="AB162" i="9"/>
  <c r="AA162" i="9" l="1"/>
  <c r="O162" i="9" s="1"/>
  <c r="Q1405" i="9"/>
  <c r="N159" i="9"/>
  <c r="N160" i="9"/>
  <c r="N161" i="9"/>
  <c r="N158" i="9"/>
  <c r="N157" i="9"/>
  <c r="AB161" i="9" l="1"/>
  <c r="AB160" i="9"/>
  <c r="AA160" i="9" l="1"/>
  <c r="O160" i="9" s="1"/>
  <c r="AA161" i="9"/>
  <c r="O161" i="9" s="1"/>
  <c r="T1405" i="9"/>
  <c r="AB1405" i="9" l="1"/>
  <c r="AB1273" i="9"/>
  <c r="AB1274" i="9"/>
  <c r="AB1275" i="9"/>
  <c r="AB1276" i="9"/>
  <c r="AB1277" i="9"/>
  <c r="AB159" i="9"/>
  <c r="AA1274" i="9" l="1"/>
  <c r="AA1273" i="9"/>
  <c r="AA159" i="9"/>
  <c r="O159" i="9" s="1"/>
  <c r="AA1277" i="9"/>
  <c r="AA1276" i="9"/>
  <c r="AA1275" i="9"/>
  <c r="AB1079" i="9"/>
  <c r="N1079" i="9"/>
  <c r="AB472" i="9"/>
  <c r="N472" i="9"/>
  <c r="AB434" i="9"/>
  <c r="N434" i="9"/>
  <c r="AB838" i="9"/>
  <c r="N838" i="9"/>
  <c r="AA838" i="9" l="1"/>
  <c r="O838" i="9" s="1"/>
  <c r="AA434" i="9"/>
  <c r="O434" i="9" s="1"/>
  <c r="AA472" i="9"/>
  <c r="O472" i="9" s="1"/>
  <c r="AA1079" i="9"/>
  <c r="O1079" i="9" s="1"/>
  <c r="AB175" i="9"/>
  <c r="AA175" i="9" l="1"/>
  <c r="O1281" i="9"/>
  <c r="AB1081" i="9" l="1"/>
  <c r="AB1084" i="9"/>
  <c r="AB1082" i="9"/>
  <c r="AB1083" i="9"/>
  <c r="AA1081" i="9" l="1"/>
  <c r="O1081" i="9" s="1"/>
  <c r="AB1208" i="9"/>
  <c r="AB1209" i="9"/>
  <c r="AB1210" i="9"/>
  <c r="AB1211" i="9"/>
  <c r="AB158" i="9"/>
  <c r="AB174" i="9"/>
  <c r="AB154" i="9"/>
  <c r="AB1071" i="9"/>
  <c r="AB1072" i="9"/>
  <c r="AB1073" i="9"/>
  <c r="AB1074" i="9"/>
  <c r="N1072" i="9"/>
  <c r="N1071" i="9"/>
  <c r="N1073" i="9"/>
  <c r="N1074" i="9"/>
  <c r="T369" i="9"/>
  <c r="L369" i="9"/>
  <c r="AB1222" i="9"/>
  <c r="AB1223" i="9"/>
  <c r="AB1224" i="9"/>
  <c r="AB1225" i="9"/>
  <c r="AB1226" i="9"/>
  <c r="AB1227" i="9"/>
  <c r="AB1228" i="9"/>
  <c r="AB1229" i="9"/>
  <c r="AB1230" i="9"/>
  <c r="AB1231" i="9"/>
  <c r="AB1232" i="9"/>
  <c r="AB1233" i="9"/>
  <c r="AB1234" i="9"/>
  <c r="AB1235" i="9"/>
  <c r="AB1236" i="9"/>
  <c r="AB1237" i="9"/>
  <c r="AB1238" i="9"/>
  <c r="AB1239" i="9"/>
  <c r="AB1240" i="9"/>
  <c r="AB1241" i="9"/>
  <c r="AB1242" i="9"/>
  <c r="AB1243" i="9"/>
  <c r="AB1244" i="9"/>
  <c r="AB1245" i="9"/>
  <c r="AB1246" i="9"/>
  <c r="AB1247" i="9"/>
  <c r="AB1248" i="9"/>
  <c r="AB1249" i="9"/>
  <c r="AB1250" i="9"/>
  <c r="AB1251" i="9"/>
  <c r="AB1252" i="9"/>
  <c r="AB1253" i="9"/>
  <c r="AB1254" i="9"/>
  <c r="AB1255" i="9"/>
  <c r="AB1256" i="9"/>
  <c r="AB1257" i="9"/>
  <c r="AB1258" i="9"/>
  <c r="AB1259" i="9"/>
  <c r="AB1260" i="9"/>
  <c r="AB1261" i="9"/>
  <c r="AB1262" i="9"/>
  <c r="AB1263" i="9"/>
  <c r="AB1264" i="9"/>
  <c r="AB1265" i="9"/>
  <c r="AB1266" i="9"/>
  <c r="AB1267" i="9"/>
  <c r="AB1268" i="9"/>
  <c r="AB1269" i="9"/>
  <c r="AB1270" i="9"/>
  <c r="AB1271" i="9"/>
  <c r="AB1272" i="9"/>
  <c r="AB1085" i="9"/>
  <c r="AB1080" i="9"/>
  <c r="AA1242" i="9" l="1"/>
  <c r="O1242" i="9" s="1"/>
  <c r="AA1240" i="9"/>
  <c r="O1240" i="9" s="1"/>
  <c r="AA1259" i="9"/>
  <c r="O1259" i="9" s="1"/>
  <c r="AA1258" i="9"/>
  <c r="O1258" i="9" s="1"/>
  <c r="AA1257" i="9"/>
  <c r="O1257" i="9" s="1"/>
  <c r="AA1256" i="9"/>
  <c r="O1256" i="9" s="1"/>
  <c r="AA1074" i="9"/>
  <c r="O1074" i="9" s="1"/>
  <c r="AA1234" i="9"/>
  <c r="O1234" i="9" s="1"/>
  <c r="AA1233" i="9"/>
  <c r="O1233" i="9" s="1"/>
  <c r="AA1232" i="9"/>
  <c r="O1232" i="9" s="1"/>
  <c r="AA1271" i="9"/>
  <c r="O1271" i="9" s="1"/>
  <c r="AA1249" i="9"/>
  <c r="O1249" i="9" s="1"/>
  <c r="AA1228" i="9"/>
  <c r="O1228" i="9" s="1"/>
  <c r="AA1247" i="9"/>
  <c r="O1247" i="9" s="1"/>
  <c r="AA1246" i="9"/>
  <c r="O1246" i="9" s="1"/>
  <c r="AA1209" i="9"/>
  <c r="O1209" i="9" s="1"/>
  <c r="AA1260" i="9"/>
  <c r="O1260" i="9" s="1"/>
  <c r="AA1262" i="9"/>
  <c r="O1262" i="9" s="1"/>
  <c r="AA1222" i="9"/>
  <c r="O1222" i="9" s="1"/>
  <c r="AA1261" i="9"/>
  <c r="O1261" i="9" s="1"/>
  <c r="AA1241" i="9"/>
  <c r="O1241" i="9" s="1"/>
  <c r="AA1239" i="9"/>
  <c r="O1239" i="9" s="1"/>
  <c r="AA1238" i="9"/>
  <c r="O1238" i="9" s="1"/>
  <c r="AA1235" i="9"/>
  <c r="O1235" i="9" s="1"/>
  <c r="AA1254" i="9"/>
  <c r="O1254" i="9" s="1"/>
  <c r="AA1073" i="9"/>
  <c r="O1073" i="9" s="1"/>
  <c r="AA1253" i="9"/>
  <c r="O1253" i="9" s="1"/>
  <c r="AA1272" i="9"/>
  <c r="O1272" i="9" s="1"/>
  <c r="AA1252" i="9"/>
  <c r="O1252" i="9" s="1"/>
  <c r="AA1250" i="9"/>
  <c r="O1250" i="9" s="1"/>
  <c r="AA158" i="9"/>
  <c r="O158" i="9" s="1"/>
  <c r="AA1248" i="9"/>
  <c r="O1248" i="9" s="1"/>
  <c r="AA1210" i="9"/>
  <c r="O1210" i="9" s="1"/>
  <c r="AA1266" i="9"/>
  <c r="O1266" i="9" s="1"/>
  <c r="AA1265" i="9"/>
  <c r="O1265" i="9" s="1"/>
  <c r="AA1225" i="9"/>
  <c r="O1225" i="9" s="1"/>
  <c r="AA1224" i="9"/>
  <c r="O1224" i="9" s="1"/>
  <c r="AA1237" i="9"/>
  <c r="O1237" i="9" s="1"/>
  <c r="AA1236" i="9"/>
  <c r="O1236" i="9" s="1"/>
  <c r="AA1255" i="9"/>
  <c r="O1255" i="9" s="1"/>
  <c r="AA1080" i="9"/>
  <c r="O1080" i="9" s="1"/>
  <c r="AA1072" i="9"/>
  <c r="O1072" i="9" s="1"/>
  <c r="AA1071" i="9"/>
  <c r="O1071" i="9" s="1"/>
  <c r="AA1251" i="9"/>
  <c r="O1251" i="9" s="1"/>
  <c r="AA1231" i="9"/>
  <c r="O1231" i="9" s="1"/>
  <c r="AA1270" i="9"/>
  <c r="O1270" i="9" s="1"/>
  <c r="AA1230" i="9"/>
  <c r="O1230" i="9" s="1"/>
  <c r="AA1269" i="9"/>
  <c r="O1269" i="9" s="1"/>
  <c r="AA1229" i="9"/>
  <c r="O1229" i="9" s="1"/>
  <c r="AA1268" i="9"/>
  <c r="O1268" i="9" s="1"/>
  <c r="AA1211" i="9"/>
  <c r="O1211" i="9" s="1"/>
  <c r="AA1267" i="9"/>
  <c r="O1267" i="9" s="1"/>
  <c r="AA1227" i="9"/>
  <c r="O1227" i="9" s="1"/>
  <c r="AA1226" i="9"/>
  <c r="O1226" i="9" s="1"/>
  <c r="AA1245" i="9"/>
  <c r="O1245" i="9" s="1"/>
  <c r="AA1208" i="9"/>
  <c r="O1208" i="9" s="1"/>
  <c r="AA1264" i="9"/>
  <c r="O1264" i="9" s="1"/>
  <c r="AA1244" i="9"/>
  <c r="O1244" i="9" s="1"/>
  <c r="AA1263" i="9"/>
  <c r="O1263" i="9" s="1"/>
  <c r="AA1243" i="9"/>
  <c r="O1243" i="9" s="1"/>
  <c r="AA1223" i="9"/>
  <c r="O1223" i="9" s="1"/>
  <c r="AB1199" i="9" l="1"/>
  <c r="AB1200" i="9"/>
  <c r="AB1201" i="9"/>
  <c r="AB1202" i="9"/>
  <c r="AB1203" i="9"/>
  <c r="AB1204" i="9"/>
  <c r="AB1205" i="9"/>
  <c r="AB1206" i="9"/>
  <c r="AB1207" i="9"/>
  <c r="N1203" i="9"/>
  <c r="N1202" i="9"/>
  <c r="N1199" i="9"/>
  <c r="N1200" i="9"/>
  <c r="N1201" i="9"/>
  <c r="AA1205" i="9" l="1"/>
  <c r="O1205" i="9" s="1"/>
  <c r="AA1207" i="9"/>
  <c r="O1207" i="9" s="1"/>
  <c r="AA1206" i="9"/>
  <c r="O1206" i="9" s="1"/>
  <c r="AA1204" i="9"/>
  <c r="O1204" i="9" s="1"/>
  <c r="AA1203" i="9"/>
  <c r="O1203" i="9" s="1"/>
  <c r="AA1202" i="9"/>
  <c r="O1202" i="9" s="1"/>
  <c r="AA1201" i="9"/>
  <c r="O1201" i="9" s="1"/>
  <c r="AA1200" i="9"/>
  <c r="O1200" i="9" s="1"/>
  <c r="AA1199" i="9"/>
  <c r="O1199" i="9" s="1"/>
  <c r="AA174" i="9"/>
  <c r="AB179" i="9" l="1"/>
  <c r="AA179" i="9" l="1"/>
  <c r="AB1198" i="9"/>
  <c r="N1198" i="9"/>
  <c r="AB1197" i="9"/>
  <c r="N1197" i="9"/>
  <c r="AB1196" i="9"/>
  <c r="N1196" i="9"/>
  <c r="AB1195" i="9"/>
  <c r="N1195" i="9"/>
  <c r="AB1194" i="9"/>
  <c r="N1194" i="9"/>
  <c r="AB1193" i="9"/>
  <c r="N1193" i="9"/>
  <c r="AB1182" i="9"/>
  <c r="N1182" i="9"/>
  <c r="AB1181" i="9"/>
  <c r="N1181" i="9"/>
  <c r="AB1180" i="9"/>
  <c r="N1180" i="9"/>
  <c r="AB1179" i="9"/>
  <c r="N1179" i="9"/>
  <c r="AB1178" i="9"/>
  <c r="N1178" i="9"/>
  <c r="AB1177" i="9"/>
  <c r="N1177" i="9"/>
  <c r="AB1176" i="9"/>
  <c r="N1176" i="9"/>
  <c r="AB1175" i="9"/>
  <c r="N1175" i="9"/>
  <c r="AB1174" i="9"/>
  <c r="N1174" i="9"/>
  <c r="AB1173" i="9"/>
  <c r="N1173" i="9"/>
  <c r="AB1172" i="9"/>
  <c r="N1172" i="9"/>
  <c r="AB1171" i="9"/>
  <c r="N1171" i="9"/>
  <c r="AB1170" i="9"/>
  <c r="N1170" i="9"/>
  <c r="AB1169" i="9"/>
  <c r="N1169" i="9"/>
  <c r="AB1168" i="9"/>
  <c r="N1168" i="9"/>
  <c r="AB1167" i="9"/>
  <c r="N1167" i="9"/>
  <c r="AB1166" i="9"/>
  <c r="N1166" i="9"/>
  <c r="AB1165" i="9"/>
  <c r="N1165" i="9"/>
  <c r="AB1164" i="9"/>
  <c r="N1164" i="9"/>
  <c r="AB1163" i="9"/>
  <c r="N1163" i="9"/>
  <c r="AB1162" i="9"/>
  <c r="N1162" i="9"/>
  <c r="AB1161" i="9"/>
  <c r="N1161" i="9"/>
  <c r="AB1160" i="9"/>
  <c r="N1160" i="9"/>
  <c r="AA1161" i="9" l="1"/>
  <c r="O1161" i="9" s="1"/>
  <c r="AA1174" i="9"/>
  <c r="O1174" i="9" s="1"/>
  <c r="AA1164" i="9"/>
  <c r="O1164" i="9" s="1"/>
  <c r="AA1169" i="9"/>
  <c r="O1169" i="9" s="1"/>
  <c r="AA1168" i="9"/>
  <c r="O1168" i="9" s="1"/>
  <c r="AA1195" i="9"/>
  <c r="O1195" i="9" s="1"/>
  <c r="AA1179" i="9"/>
  <c r="O1179" i="9" s="1"/>
  <c r="AA1171" i="9"/>
  <c r="O1171" i="9" s="1"/>
  <c r="AA1175" i="9"/>
  <c r="O1175" i="9" s="1"/>
  <c r="AA1170" i="9"/>
  <c r="O1170" i="9" s="1"/>
  <c r="AA1162" i="9"/>
  <c r="O1162" i="9" s="1"/>
  <c r="AA1163" i="9"/>
  <c r="O1163" i="9" s="1"/>
  <c r="AA1178" i="9"/>
  <c r="O1178" i="9" s="1"/>
  <c r="AA1165" i="9"/>
  <c r="O1165" i="9" s="1"/>
  <c r="AA1172" i="9"/>
  <c r="O1172" i="9" s="1"/>
  <c r="AA1197" i="9"/>
  <c r="O1197" i="9" s="1"/>
  <c r="AA1160" i="9"/>
  <c r="O1160" i="9" s="1"/>
  <c r="AA1182" i="9"/>
  <c r="O1182" i="9" s="1"/>
  <c r="AA1193" i="9"/>
  <c r="O1193" i="9" s="1"/>
  <c r="AA1177" i="9"/>
  <c r="O1177" i="9" s="1"/>
  <c r="AA1166" i="9"/>
  <c r="O1166" i="9" s="1"/>
  <c r="AA1180" i="9"/>
  <c r="O1180" i="9" s="1"/>
  <c r="AA1181" i="9"/>
  <c r="O1181" i="9" s="1"/>
  <c r="AA1176" i="9"/>
  <c r="O1176" i="9" s="1"/>
  <c r="AA1196" i="9"/>
  <c r="O1196" i="9" s="1"/>
  <c r="AA1198" i="9"/>
  <c r="O1198" i="9" s="1"/>
  <c r="AA1194" i="9"/>
  <c r="O1194" i="9" s="1"/>
  <c r="AA1167" i="9"/>
  <c r="O1167" i="9" s="1"/>
  <c r="AA1173" i="9"/>
  <c r="O1173" i="9" s="1"/>
  <c r="AB126" i="9" l="1"/>
  <c r="AB157" i="9"/>
  <c r="N155" i="9"/>
  <c r="N156" i="9"/>
  <c r="AB156" i="9"/>
  <c r="AB155" i="9"/>
  <c r="AA157" i="9" l="1"/>
  <c r="O157" i="9" s="1"/>
  <c r="AA155" i="9"/>
  <c r="O155" i="9" s="1"/>
  <c r="AA156" i="9"/>
  <c r="O156" i="9" s="1"/>
  <c r="Q13" i="9"/>
  <c r="L177" i="9"/>
  <c r="AB1070" i="9"/>
  <c r="N1070" i="9" l="1"/>
  <c r="AA1070" i="9"/>
  <c r="O1070" i="9" s="1"/>
  <c r="N1069" i="9"/>
  <c r="AB1069" i="9"/>
  <c r="AB965" i="9"/>
  <c r="AB740" i="9"/>
  <c r="AB405" i="9"/>
  <c r="N965" i="9"/>
  <c r="AA1069" i="9" l="1"/>
  <c r="O1069" i="9" s="1"/>
  <c r="N154" i="9"/>
  <c r="AA154" i="9"/>
  <c r="O154" i="9" s="1"/>
  <c r="N1094" i="9" l="1"/>
  <c r="AB1094" i="9"/>
  <c r="N1095" i="9"/>
  <c r="AB1095" i="9"/>
  <c r="S369" i="9"/>
  <c r="M369" i="9"/>
  <c r="N1127" i="9"/>
  <c r="N1128" i="9"/>
  <c r="N1129" i="9"/>
  <c r="N1130" i="9"/>
  <c r="N1131" i="9"/>
  <c r="N1132" i="9"/>
  <c r="N1133" i="9"/>
  <c r="N1134" i="9"/>
  <c r="AB1127" i="9"/>
  <c r="AB1128" i="9"/>
  <c r="AB1129" i="9"/>
  <c r="AB1130" i="9"/>
  <c r="AB1131" i="9"/>
  <c r="AB1132" i="9"/>
  <c r="AB1133" i="9"/>
  <c r="AB1134" i="9"/>
  <c r="N153" i="9"/>
  <c r="AA1132" i="9" l="1"/>
  <c r="O1132" i="9" s="1"/>
  <c r="AA1131" i="9"/>
  <c r="O1131" i="9" s="1"/>
  <c r="AA1130" i="9"/>
  <c r="O1130" i="9" s="1"/>
  <c r="AA1129" i="9"/>
  <c r="O1129" i="9" s="1"/>
  <c r="AA1128" i="9"/>
  <c r="O1128" i="9" s="1"/>
  <c r="AA1127" i="9"/>
  <c r="O1127" i="9" s="1"/>
  <c r="AA1134" i="9"/>
  <c r="O1134" i="9" s="1"/>
  <c r="AA1095" i="9"/>
  <c r="O1095" i="9" s="1"/>
  <c r="AA1094" i="9"/>
  <c r="O1094" i="9" s="1"/>
  <c r="AA1133" i="9"/>
  <c r="O1133" i="9" s="1"/>
  <c r="AB153" i="9"/>
  <c r="AA153" i="9" l="1"/>
  <c r="O153" i="9" s="1"/>
  <c r="AB1068" i="9"/>
  <c r="N1068" i="9"/>
  <c r="AB1067" i="9"/>
  <c r="N1067" i="9"/>
  <c r="AB1066" i="9"/>
  <c r="N1066" i="9"/>
  <c r="AB1065" i="9"/>
  <c r="N1065" i="9"/>
  <c r="AB1064" i="9"/>
  <c r="N1064" i="9"/>
  <c r="AB1063" i="9"/>
  <c r="N1063" i="9"/>
  <c r="AB1062" i="9"/>
  <c r="N1062" i="9"/>
  <c r="AB1061" i="9"/>
  <c r="N1061" i="9"/>
  <c r="AB1060" i="9"/>
  <c r="N1060" i="9"/>
  <c r="AB1059" i="9"/>
  <c r="N1059" i="9"/>
  <c r="AB1058" i="9"/>
  <c r="N1058" i="9"/>
  <c r="AB1057" i="9"/>
  <c r="N1057" i="9"/>
  <c r="AB1056" i="9"/>
  <c r="N1056" i="9"/>
  <c r="AB1055" i="9"/>
  <c r="N1055" i="9"/>
  <c r="AB1054" i="9"/>
  <c r="N1054" i="9"/>
  <c r="AB1053" i="9"/>
  <c r="N1053" i="9"/>
  <c r="AB1052" i="9"/>
  <c r="N1052" i="9"/>
  <c r="AB1051" i="9"/>
  <c r="N1051" i="9"/>
  <c r="AB1050" i="9"/>
  <c r="N1050" i="9"/>
  <c r="AB1049" i="9"/>
  <c r="N1049" i="9"/>
  <c r="AB1048" i="9"/>
  <c r="N1048" i="9"/>
  <c r="AB1047" i="9"/>
  <c r="N1047" i="9"/>
  <c r="AB1046" i="9"/>
  <c r="N1046" i="9"/>
  <c r="AB1045" i="9"/>
  <c r="N1045" i="9"/>
  <c r="AB1044" i="9"/>
  <c r="N1044" i="9"/>
  <c r="AB1043" i="9"/>
  <c r="N1043" i="9"/>
  <c r="AB1042" i="9"/>
  <c r="N1042" i="9"/>
  <c r="AB1041" i="9"/>
  <c r="N1041" i="9"/>
  <c r="AB1040" i="9"/>
  <c r="N1040" i="9"/>
  <c r="AB1039" i="9"/>
  <c r="N1039" i="9"/>
  <c r="AB1038" i="9"/>
  <c r="N1038" i="9"/>
  <c r="AB1037" i="9"/>
  <c r="N1037" i="9"/>
  <c r="AB1036" i="9"/>
  <c r="N1036" i="9"/>
  <c r="AB1035" i="9"/>
  <c r="N1035" i="9"/>
  <c r="AB1034" i="9"/>
  <c r="N1034" i="9"/>
  <c r="AB1033" i="9"/>
  <c r="N1033" i="9"/>
  <c r="AB1032" i="9"/>
  <c r="N1032" i="9"/>
  <c r="AB1031" i="9"/>
  <c r="N1031" i="9"/>
  <c r="AB1030" i="9"/>
  <c r="N1030" i="9"/>
  <c r="AB1029" i="9"/>
  <c r="N1029" i="9"/>
  <c r="AB1028" i="9"/>
  <c r="N1028" i="9"/>
  <c r="AB1027" i="9"/>
  <c r="N1027" i="9"/>
  <c r="AB1026" i="9"/>
  <c r="N1026" i="9"/>
  <c r="AB1025" i="9"/>
  <c r="N1025" i="9"/>
  <c r="AB1024" i="9"/>
  <c r="N1024" i="9"/>
  <c r="AB1023" i="9"/>
  <c r="N1023" i="9"/>
  <c r="AB1022" i="9"/>
  <c r="N1022" i="9"/>
  <c r="AB1021" i="9"/>
  <c r="N1021" i="9"/>
  <c r="AB1020" i="9"/>
  <c r="N1020" i="9"/>
  <c r="AB1019" i="9"/>
  <c r="N1019" i="9"/>
  <c r="AB1018" i="9"/>
  <c r="N1018" i="9"/>
  <c r="AB1017" i="9"/>
  <c r="N1017" i="9"/>
  <c r="AB1016" i="9"/>
  <c r="N1016" i="9"/>
  <c r="AB1015" i="9"/>
  <c r="N1015" i="9"/>
  <c r="AB1014" i="9"/>
  <c r="N1014" i="9"/>
  <c r="AB1013" i="9"/>
  <c r="N1013" i="9"/>
  <c r="AB1012" i="9"/>
  <c r="N1012" i="9"/>
  <c r="AB1011" i="9"/>
  <c r="N1011" i="9"/>
  <c r="AB1010" i="9"/>
  <c r="N1010" i="9"/>
  <c r="AB1009" i="9"/>
  <c r="N1009" i="9"/>
  <c r="AB1008" i="9"/>
  <c r="N1008" i="9"/>
  <c r="AB1007" i="9"/>
  <c r="N1007" i="9"/>
  <c r="AB1006" i="9"/>
  <c r="N1006" i="9"/>
  <c r="AB1005" i="9"/>
  <c r="N1005" i="9"/>
  <c r="AB1004" i="9"/>
  <c r="N1004" i="9"/>
  <c r="AB1003" i="9"/>
  <c r="N1003" i="9"/>
  <c r="AB1002" i="9"/>
  <c r="N1002" i="9"/>
  <c r="AB1001" i="9"/>
  <c r="N1001" i="9"/>
  <c r="AB1000" i="9"/>
  <c r="N1000" i="9"/>
  <c r="AB999" i="9"/>
  <c r="N999" i="9"/>
  <c r="AB998" i="9"/>
  <c r="N998" i="9"/>
  <c r="AB997" i="9"/>
  <c r="N997" i="9"/>
  <c r="AB996" i="9"/>
  <c r="N996" i="9"/>
  <c r="AB995" i="9"/>
  <c r="N995" i="9"/>
  <c r="AB994" i="9"/>
  <c r="N994" i="9"/>
  <c r="AB993" i="9"/>
  <c r="N993" i="9"/>
  <c r="AB992" i="9"/>
  <c r="N992" i="9"/>
  <c r="AB991" i="9"/>
  <c r="N991" i="9"/>
  <c r="AB990" i="9"/>
  <c r="N990" i="9"/>
  <c r="AB989" i="9"/>
  <c r="N989" i="9"/>
  <c r="AB988" i="9"/>
  <c r="N988" i="9"/>
  <c r="AB987" i="9"/>
  <c r="N987" i="9"/>
  <c r="AB986" i="9"/>
  <c r="N986" i="9"/>
  <c r="AB985" i="9"/>
  <c r="N985" i="9"/>
  <c r="AB984" i="9"/>
  <c r="N984" i="9"/>
  <c r="AB983" i="9"/>
  <c r="N983" i="9"/>
  <c r="AB982" i="9"/>
  <c r="N982" i="9"/>
  <c r="AB981" i="9"/>
  <c r="N981" i="9"/>
  <c r="AB980" i="9"/>
  <c r="N980" i="9"/>
  <c r="AB979" i="9"/>
  <c r="N979" i="9"/>
  <c r="AB978" i="9"/>
  <c r="N978" i="9"/>
  <c r="AB977" i="9"/>
  <c r="N977" i="9"/>
  <c r="AB976" i="9"/>
  <c r="N976" i="9"/>
  <c r="AB975" i="9"/>
  <c r="N975" i="9"/>
  <c r="AB974" i="9"/>
  <c r="N974" i="9"/>
  <c r="AB973" i="9"/>
  <c r="N973" i="9"/>
  <c r="AB972" i="9"/>
  <c r="N972" i="9"/>
  <c r="AB971" i="9"/>
  <c r="N971" i="9"/>
  <c r="AB970" i="9"/>
  <c r="N970" i="9"/>
  <c r="AB969" i="9"/>
  <c r="N969" i="9"/>
  <c r="AB968" i="9"/>
  <c r="N968" i="9"/>
  <c r="AB967" i="9"/>
  <c r="N967" i="9"/>
  <c r="AB966" i="9"/>
  <c r="N966" i="9"/>
  <c r="AA965" i="9"/>
  <c r="O965" i="9" s="1"/>
  <c r="AB964" i="9"/>
  <c r="N964" i="9"/>
  <c r="AB963" i="9"/>
  <c r="N963" i="9"/>
  <c r="AB962" i="9"/>
  <c r="N962" i="9"/>
  <c r="AB961" i="9"/>
  <c r="N961" i="9"/>
  <c r="AB960" i="9"/>
  <c r="N960" i="9"/>
  <c r="AB959" i="9"/>
  <c r="N959" i="9"/>
  <c r="AB958" i="9"/>
  <c r="N958" i="9"/>
  <c r="AB957" i="9"/>
  <c r="N957" i="9"/>
  <c r="AB956" i="9"/>
  <c r="N956" i="9"/>
  <c r="AB955" i="9"/>
  <c r="N955" i="9"/>
  <c r="AB954" i="9"/>
  <c r="N954" i="9"/>
  <c r="AB953" i="9"/>
  <c r="N953" i="9"/>
  <c r="AB952" i="9"/>
  <c r="N952" i="9"/>
  <c r="AB951" i="9"/>
  <c r="N951" i="9"/>
  <c r="AB950" i="9"/>
  <c r="N950" i="9"/>
  <c r="AB949" i="9"/>
  <c r="N949" i="9"/>
  <c r="AB947" i="9"/>
  <c r="N947" i="9"/>
  <c r="AB946" i="9"/>
  <c r="N946" i="9"/>
  <c r="AB945" i="9"/>
  <c r="N945" i="9"/>
  <c r="AB944" i="9"/>
  <c r="N944" i="9"/>
  <c r="AB943" i="9"/>
  <c r="N943" i="9"/>
  <c r="AB942" i="9"/>
  <c r="N942" i="9"/>
  <c r="AB941" i="9"/>
  <c r="N941" i="9"/>
  <c r="AB940" i="9"/>
  <c r="N940" i="9"/>
  <c r="AB939" i="9"/>
  <c r="N939" i="9"/>
  <c r="AB938" i="9"/>
  <c r="N938" i="9"/>
  <c r="AB937" i="9"/>
  <c r="N937" i="9"/>
  <c r="AB936" i="9"/>
  <c r="N936" i="9"/>
  <c r="AB935" i="9"/>
  <c r="N935" i="9"/>
  <c r="AB934" i="9"/>
  <c r="N934" i="9"/>
  <c r="AB933" i="9"/>
  <c r="N933" i="9"/>
  <c r="AB932" i="9"/>
  <c r="N932" i="9"/>
  <c r="AB931" i="9"/>
  <c r="N931" i="9"/>
  <c r="AB930" i="9"/>
  <c r="N930" i="9"/>
  <c r="AB929" i="9"/>
  <c r="N929" i="9"/>
  <c r="AB928" i="9"/>
  <c r="N928" i="9"/>
  <c r="AB927" i="9"/>
  <c r="N927" i="9"/>
  <c r="AB926" i="9"/>
  <c r="N926" i="9"/>
  <c r="AB925" i="9"/>
  <c r="N925" i="9"/>
  <c r="AB924" i="9"/>
  <c r="N924" i="9"/>
  <c r="AB923" i="9"/>
  <c r="N923" i="9"/>
  <c r="AB922" i="9"/>
  <c r="N922" i="9"/>
  <c r="AB921" i="9"/>
  <c r="N921" i="9"/>
  <c r="AB920" i="9"/>
  <c r="N920" i="9"/>
  <c r="AB919" i="9"/>
  <c r="N919" i="9"/>
  <c r="AB918" i="9"/>
  <c r="N918" i="9"/>
  <c r="AB917" i="9"/>
  <c r="N917" i="9"/>
  <c r="AB916" i="9"/>
  <c r="N916" i="9"/>
  <c r="AB915" i="9"/>
  <c r="N915" i="9"/>
  <c r="AB914" i="9"/>
  <c r="N914" i="9"/>
  <c r="AB913" i="9"/>
  <c r="N913" i="9"/>
  <c r="AB912" i="9"/>
  <c r="N912" i="9"/>
  <c r="AB911" i="9"/>
  <c r="N911" i="9"/>
  <c r="AB910" i="9"/>
  <c r="N910" i="9"/>
  <c r="AB909" i="9"/>
  <c r="N909" i="9"/>
  <c r="AB908" i="9"/>
  <c r="N908" i="9"/>
  <c r="AB907" i="9"/>
  <c r="N907" i="9"/>
  <c r="AB906" i="9"/>
  <c r="N906" i="9"/>
  <c r="AB905" i="9"/>
  <c r="N905" i="9"/>
  <c r="AB904" i="9"/>
  <c r="N904" i="9"/>
  <c r="AB903" i="9"/>
  <c r="N903" i="9"/>
  <c r="AB902" i="9"/>
  <c r="N902" i="9"/>
  <c r="AB901" i="9"/>
  <c r="N901" i="9"/>
  <c r="AB900" i="9"/>
  <c r="N900" i="9"/>
  <c r="AB899" i="9"/>
  <c r="N899" i="9"/>
  <c r="AB898" i="9"/>
  <c r="N898" i="9"/>
  <c r="AB897" i="9"/>
  <c r="N897" i="9"/>
  <c r="AB896" i="9"/>
  <c r="N896" i="9"/>
  <c r="AB895" i="9"/>
  <c r="N895" i="9"/>
  <c r="AB894" i="9"/>
  <c r="N894" i="9"/>
  <c r="AB893" i="9"/>
  <c r="N893" i="9"/>
  <c r="AB892" i="9"/>
  <c r="N892" i="9"/>
  <c r="AB891" i="9"/>
  <c r="N891" i="9"/>
  <c r="AB890" i="9"/>
  <c r="N890" i="9"/>
  <c r="AB889" i="9"/>
  <c r="N889" i="9"/>
  <c r="AB888" i="9"/>
  <c r="N888" i="9"/>
  <c r="AB887" i="9"/>
  <c r="N887" i="9"/>
  <c r="AB886" i="9"/>
  <c r="N886" i="9"/>
  <c r="AB885" i="9"/>
  <c r="N885" i="9"/>
  <c r="AB884" i="9"/>
  <c r="N884" i="9"/>
  <c r="AB883" i="9"/>
  <c r="N883" i="9"/>
  <c r="AB882" i="9"/>
  <c r="N882" i="9"/>
  <c r="AB881" i="9"/>
  <c r="N881" i="9"/>
  <c r="AB880" i="9"/>
  <c r="N880" i="9"/>
  <c r="AB879" i="9"/>
  <c r="N879" i="9"/>
  <c r="AB878" i="9"/>
  <c r="N878" i="9"/>
  <c r="AB877" i="9"/>
  <c r="N877" i="9"/>
  <c r="AB876" i="9"/>
  <c r="N876" i="9"/>
  <c r="AB875" i="9"/>
  <c r="N875" i="9"/>
  <c r="AB874" i="9"/>
  <c r="N874" i="9"/>
  <c r="AB873" i="9"/>
  <c r="N873" i="9"/>
  <c r="AB872" i="9"/>
  <c r="N872" i="9"/>
  <c r="AB871" i="9"/>
  <c r="N871" i="9"/>
  <c r="AB870" i="9"/>
  <c r="N870" i="9"/>
  <c r="AB869" i="9"/>
  <c r="N869" i="9"/>
  <c r="AB868" i="9"/>
  <c r="N868" i="9"/>
  <c r="AB867" i="9"/>
  <c r="N867" i="9"/>
  <c r="AB866" i="9"/>
  <c r="N866" i="9"/>
  <c r="AB865" i="9"/>
  <c r="N865" i="9"/>
  <c r="AB864" i="9"/>
  <c r="N864" i="9"/>
  <c r="AB863" i="9"/>
  <c r="N863" i="9"/>
  <c r="AB862" i="9"/>
  <c r="N862" i="9"/>
  <c r="AB861" i="9"/>
  <c r="N861" i="9"/>
  <c r="AB860" i="9"/>
  <c r="N860" i="9"/>
  <c r="AB859" i="9"/>
  <c r="N859" i="9"/>
  <c r="AB858" i="9"/>
  <c r="N858" i="9"/>
  <c r="AB857" i="9"/>
  <c r="N857" i="9"/>
  <c r="AB856" i="9"/>
  <c r="N856" i="9"/>
  <c r="AB855" i="9"/>
  <c r="N855" i="9"/>
  <c r="AB854" i="9"/>
  <c r="N854" i="9"/>
  <c r="AB853" i="9"/>
  <c r="N853" i="9"/>
  <c r="AB852" i="9"/>
  <c r="N852" i="9"/>
  <c r="AB851" i="9"/>
  <c r="N851" i="9"/>
  <c r="AB850" i="9"/>
  <c r="N850" i="9"/>
  <c r="AB849" i="9"/>
  <c r="N849" i="9"/>
  <c r="AB848" i="9"/>
  <c r="N848" i="9"/>
  <c r="AB847" i="9"/>
  <c r="N847" i="9"/>
  <c r="AB846" i="9"/>
  <c r="N846" i="9"/>
  <c r="AB845" i="9"/>
  <c r="N845" i="9"/>
  <c r="AB844" i="9"/>
  <c r="N844" i="9"/>
  <c r="AB843" i="9"/>
  <c r="N843" i="9"/>
  <c r="AB842" i="9"/>
  <c r="N842" i="9"/>
  <c r="AB841" i="9"/>
  <c r="N841" i="9"/>
  <c r="AB840" i="9"/>
  <c r="N840" i="9"/>
  <c r="AB839" i="9"/>
  <c r="N839" i="9"/>
  <c r="AB837" i="9"/>
  <c r="N837" i="9"/>
  <c r="AB836" i="9"/>
  <c r="N836" i="9"/>
  <c r="AB835" i="9"/>
  <c r="N835" i="9"/>
  <c r="AB834" i="9"/>
  <c r="N834" i="9"/>
  <c r="AB833" i="9"/>
  <c r="N833" i="9"/>
  <c r="AB832" i="9"/>
  <c r="N832" i="9"/>
  <c r="AB831" i="9"/>
  <c r="N831" i="9"/>
  <c r="AB830" i="9"/>
  <c r="N830" i="9"/>
  <c r="AB829" i="9"/>
  <c r="N829" i="9"/>
  <c r="AB828" i="9"/>
  <c r="N828" i="9"/>
  <c r="AB827" i="9"/>
  <c r="N827" i="9"/>
  <c r="AB826" i="9"/>
  <c r="N826" i="9"/>
  <c r="AB825" i="9"/>
  <c r="N825" i="9"/>
  <c r="AB824" i="9"/>
  <c r="N824" i="9"/>
  <c r="AB823" i="9"/>
  <c r="N823" i="9"/>
  <c r="AB822" i="9"/>
  <c r="N822" i="9"/>
  <c r="AB821" i="9"/>
  <c r="N821" i="9"/>
  <c r="AB820" i="9"/>
  <c r="N820" i="9"/>
  <c r="AB819" i="9"/>
  <c r="N819" i="9"/>
  <c r="AB818" i="9"/>
  <c r="N818" i="9"/>
  <c r="AB817" i="9"/>
  <c r="N817" i="9"/>
  <c r="AB816" i="9"/>
  <c r="N816" i="9"/>
  <c r="AB815" i="9"/>
  <c r="N815" i="9"/>
  <c r="AB814" i="9"/>
  <c r="N814" i="9"/>
  <c r="AB813" i="9"/>
  <c r="N813" i="9"/>
  <c r="AB812" i="9"/>
  <c r="N812" i="9"/>
  <c r="AB811" i="9"/>
  <c r="N811" i="9"/>
  <c r="AB810" i="9"/>
  <c r="N810" i="9"/>
  <c r="AB809" i="9"/>
  <c r="N809" i="9"/>
  <c r="AB808" i="9"/>
  <c r="N808" i="9"/>
  <c r="AB807" i="9"/>
  <c r="N807" i="9"/>
  <c r="AB806" i="9"/>
  <c r="N806" i="9"/>
  <c r="AB805" i="9"/>
  <c r="N805" i="9"/>
  <c r="AB804" i="9"/>
  <c r="N804" i="9"/>
  <c r="AB803" i="9"/>
  <c r="N803" i="9"/>
  <c r="AB802" i="9"/>
  <c r="N802" i="9"/>
  <c r="AB801" i="9"/>
  <c r="N801" i="9"/>
  <c r="AB800" i="9"/>
  <c r="N800" i="9"/>
  <c r="AB799" i="9"/>
  <c r="N799" i="9"/>
  <c r="AB798" i="9"/>
  <c r="N798" i="9"/>
  <c r="AB797" i="9"/>
  <c r="N797" i="9"/>
  <c r="AB796" i="9"/>
  <c r="N796" i="9"/>
  <c r="AB795" i="9"/>
  <c r="N795" i="9"/>
  <c r="AB794" i="9"/>
  <c r="N794" i="9"/>
  <c r="AB793" i="9"/>
  <c r="N793" i="9"/>
  <c r="AB792" i="9"/>
  <c r="N792" i="9"/>
  <c r="AB791" i="9"/>
  <c r="N791" i="9"/>
  <c r="AB790" i="9"/>
  <c r="N790" i="9"/>
  <c r="AB789" i="9"/>
  <c r="N789" i="9"/>
  <c r="AB788" i="9"/>
  <c r="N788" i="9"/>
  <c r="AB787" i="9"/>
  <c r="N787" i="9"/>
  <c r="AB786" i="9"/>
  <c r="N786" i="9"/>
  <c r="AB785" i="9"/>
  <c r="N785" i="9"/>
  <c r="AB784" i="9"/>
  <c r="N784" i="9"/>
  <c r="AB783" i="9"/>
  <c r="N783" i="9"/>
  <c r="AB782" i="9"/>
  <c r="N782" i="9"/>
  <c r="AB781" i="9"/>
  <c r="N781" i="9"/>
  <c r="AB780" i="9"/>
  <c r="N780" i="9"/>
  <c r="AB779" i="9"/>
  <c r="N779" i="9"/>
  <c r="AB778" i="9"/>
  <c r="N778" i="9"/>
  <c r="AB777" i="9"/>
  <c r="N777" i="9"/>
  <c r="AB776" i="9"/>
  <c r="N776" i="9"/>
  <c r="AB775" i="9"/>
  <c r="N775" i="9"/>
  <c r="AB774" i="9"/>
  <c r="N774" i="9"/>
  <c r="AB773" i="9"/>
  <c r="N773" i="9"/>
  <c r="AB772" i="9"/>
  <c r="N772" i="9"/>
  <c r="AB771" i="9"/>
  <c r="N771" i="9"/>
  <c r="AB770" i="9"/>
  <c r="N770" i="9"/>
  <c r="AB769" i="9"/>
  <c r="N769" i="9"/>
  <c r="AB768" i="9"/>
  <c r="N768" i="9"/>
  <c r="AB767" i="9"/>
  <c r="N767" i="9"/>
  <c r="AB766" i="9"/>
  <c r="N766" i="9"/>
  <c r="AB765" i="9"/>
  <c r="N765" i="9"/>
  <c r="AB764" i="9"/>
  <c r="N764" i="9"/>
  <c r="AB763" i="9"/>
  <c r="N763" i="9"/>
  <c r="AB762" i="9"/>
  <c r="N762" i="9"/>
  <c r="AB761" i="9"/>
  <c r="N761" i="9"/>
  <c r="AB760" i="9"/>
  <c r="N760" i="9"/>
  <c r="AB759" i="9"/>
  <c r="N759" i="9"/>
  <c r="AB758" i="9"/>
  <c r="N758" i="9"/>
  <c r="AB757" i="9"/>
  <c r="N757" i="9"/>
  <c r="AB756" i="9"/>
  <c r="N756" i="9"/>
  <c r="AB755" i="9"/>
  <c r="N755" i="9"/>
  <c r="AB754" i="9"/>
  <c r="N754" i="9"/>
  <c r="AB753" i="9"/>
  <c r="N753" i="9"/>
  <c r="AB752" i="9"/>
  <c r="N752" i="9"/>
  <c r="AB751" i="9"/>
  <c r="N751" i="9"/>
  <c r="AB750" i="9"/>
  <c r="N750" i="9"/>
  <c r="AB749" i="9"/>
  <c r="N749" i="9"/>
  <c r="AB748" i="9"/>
  <c r="N748" i="9"/>
  <c r="AB747" i="9"/>
  <c r="N747" i="9"/>
  <c r="AB746" i="9"/>
  <c r="N746" i="9"/>
  <c r="AB745" i="9"/>
  <c r="N745" i="9"/>
  <c r="AB744" i="9"/>
  <c r="N744" i="9"/>
  <c r="AB743" i="9"/>
  <c r="N743" i="9"/>
  <c r="AB742" i="9"/>
  <c r="N742" i="9"/>
  <c r="AB741" i="9"/>
  <c r="N741" i="9"/>
  <c r="AA740" i="9"/>
  <c r="O740" i="9" s="1"/>
  <c r="N740" i="9"/>
  <c r="AB739" i="9"/>
  <c r="N739" i="9"/>
  <c r="AB738" i="9"/>
  <c r="N738" i="9"/>
  <c r="AB737" i="9"/>
  <c r="N737" i="9"/>
  <c r="AB736" i="9"/>
  <c r="N736" i="9"/>
  <c r="AB735" i="9"/>
  <c r="N735" i="9"/>
  <c r="AB734" i="9"/>
  <c r="N734" i="9"/>
  <c r="AB733" i="9"/>
  <c r="N733" i="9"/>
  <c r="AB732" i="9"/>
  <c r="N732" i="9"/>
  <c r="AB731" i="9"/>
  <c r="N731" i="9"/>
  <c r="AB730" i="9"/>
  <c r="N730" i="9"/>
  <c r="AB729" i="9"/>
  <c r="N729" i="9"/>
  <c r="AB728" i="9"/>
  <c r="N728" i="9"/>
  <c r="AB727" i="9"/>
  <c r="N727" i="9"/>
  <c r="AB726" i="9"/>
  <c r="N726" i="9"/>
  <c r="AB725" i="9"/>
  <c r="N725" i="9"/>
  <c r="AB724" i="9"/>
  <c r="N724" i="9"/>
  <c r="AB723" i="9"/>
  <c r="N723" i="9"/>
  <c r="AB722" i="9"/>
  <c r="N722" i="9"/>
  <c r="AB721" i="9"/>
  <c r="N721" i="9"/>
  <c r="AB720" i="9"/>
  <c r="N720" i="9"/>
  <c r="AB719" i="9"/>
  <c r="N719" i="9"/>
  <c r="AB718" i="9"/>
  <c r="N718" i="9"/>
  <c r="AB717" i="9"/>
  <c r="N717" i="9"/>
  <c r="AB716" i="9"/>
  <c r="N716" i="9"/>
  <c r="AB715" i="9"/>
  <c r="N715" i="9"/>
  <c r="AB714" i="9"/>
  <c r="N714" i="9"/>
  <c r="AB713" i="9"/>
  <c r="N713" i="9"/>
  <c r="AB711" i="9"/>
  <c r="N711" i="9"/>
  <c r="AB710" i="9"/>
  <c r="N710" i="9"/>
  <c r="AB709" i="9"/>
  <c r="N709" i="9"/>
  <c r="AB708" i="9"/>
  <c r="N708" i="9"/>
  <c r="AA707" i="9"/>
  <c r="O707" i="9" s="1"/>
  <c r="N707" i="9"/>
  <c r="AB706" i="9"/>
  <c r="N706" i="9"/>
  <c r="AB705" i="9"/>
  <c r="N705" i="9"/>
  <c r="AB704" i="9"/>
  <c r="N704" i="9"/>
  <c r="AB703" i="9"/>
  <c r="N703" i="9"/>
  <c r="AB702" i="9"/>
  <c r="N702" i="9"/>
  <c r="AB701" i="9"/>
  <c r="N701" i="9"/>
  <c r="AB700" i="9"/>
  <c r="N700" i="9"/>
  <c r="AB699" i="9"/>
  <c r="N699" i="9"/>
  <c r="AB698" i="9"/>
  <c r="N698" i="9"/>
  <c r="AB697" i="9"/>
  <c r="N697" i="9"/>
  <c r="AB696" i="9"/>
  <c r="N696" i="9"/>
  <c r="AB695" i="9"/>
  <c r="N695" i="9"/>
  <c r="AB694" i="9"/>
  <c r="N694" i="9"/>
  <c r="AB693" i="9"/>
  <c r="N693" i="9"/>
  <c r="AB692" i="9"/>
  <c r="N692" i="9"/>
  <c r="AB691" i="9"/>
  <c r="N691" i="9"/>
  <c r="AB690" i="9"/>
  <c r="N690" i="9"/>
  <c r="AB689" i="9"/>
  <c r="N689" i="9"/>
  <c r="AB688" i="9"/>
  <c r="N688" i="9"/>
  <c r="AB687" i="9"/>
  <c r="N687" i="9"/>
  <c r="AB686" i="9"/>
  <c r="N686" i="9"/>
  <c r="AB685" i="9"/>
  <c r="N685" i="9"/>
  <c r="AB684" i="9"/>
  <c r="N684" i="9"/>
  <c r="AB683" i="9"/>
  <c r="N683" i="9"/>
  <c r="AB682" i="9"/>
  <c r="N682" i="9"/>
  <c r="AB681" i="9"/>
  <c r="N681" i="9"/>
  <c r="AB680" i="9"/>
  <c r="N680" i="9"/>
  <c r="AB679" i="9"/>
  <c r="N679" i="9"/>
  <c r="AB678" i="9"/>
  <c r="N678" i="9"/>
  <c r="AB677" i="9"/>
  <c r="N677" i="9"/>
  <c r="AB676" i="9"/>
  <c r="N676" i="9"/>
  <c r="AB675" i="9"/>
  <c r="N675" i="9"/>
  <c r="AB674" i="9"/>
  <c r="N674" i="9"/>
  <c r="AB673" i="9"/>
  <c r="N673" i="9"/>
  <c r="AB672" i="9"/>
  <c r="N672" i="9"/>
  <c r="AB671" i="9"/>
  <c r="N671" i="9"/>
  <c r="AB670" i="9"/>
  <c r="N670" i="9"/>
  <c r="AB669" i="9"/>
  <c r="N669" i="9"/>
  <c r="AB668" i="9"/>
  <c r="N668" i="9"/>
  <c r="AB667" i="9"/>
  <c r="N667" i="9"/>
  <c r="AB666" i="9"/>
  <c r="N666" i="9"/>
  <c r="AB665" i="9"/>
  <c r="N665" i="9"/>
  <c r="AB664" i="9"/>
  <c r="N664" i="9"/>
  <c r="AB663" i="9"/>
  <c r="N663" i="9"/>
  <c r="AB662" i="9"/>
  <c r="N662" i="9"/>
  <c r="AB661" i="9"/>
  <c r="N661" i="9"/>
  <c r="AB660" i="9"/>
  <c r="N660" i="9"/>
  <c r="AB659" i="9"/>
  <c r="N659" i="9"/>
  <c r="AB658" i="9"/>
  <c r="N658" i="9"/>
  <c r="AB657" i="9"/>
  <c r="N657" i="9"/>
  <c r="AB656" i="9"/>
  <c r="N656" i="9"/>
  <c r="AB655" i="9"/>
  <c r="N655" i="9"/>
  <c r="AB654" i="9"/>
  <c r="N654" i="9"/>
  <c r="AB653" i="9"/>
  <c r="N653" i="9"/>
  <c r="AB652" i="9"/>
  <c r="N652" i="9"/>
  <c r="AB651" i="9"/>
  <c r="N651" i="9"/>
  <c r="AB650" i="9"/>
  <c r="N650" i="9"/>
  <c r="AB649" i="9"/>
  <c r="N649" i="9"/>
  <c r="AB648" i="9"/>
  <c r="N648" i="9"/>
  <c r="AB647" i="9"/>
  <c r="N647" i="9"/>
  <c r="AB646" i="9"/>
  <c r="N646" i="9"/>
  <c r="AB645" i="9"/>
  <c r="N645" i="9"/>
  <c r="AB644" i="9"/>
  <c r="N644" i="9"/>
  <c r="AB643" i="9"/>
  <c r="N643" i="9"/>
  <c r="AB642" i="9"/>
  <c r="N642" i="9"/>
  <c r="AB641" i="9"/>
  <c r="N641" i="9"/>
  <c r="AB640" i="9"/>
  <c r="N640" i="9"/>
  <c r="AB639" i="9"/>
  <c r="N639" i="9"/>
  <c r="AB638" i="9"/>
  <c r="N638" i="9"/>
  <c r="AB637" i="9"/>
  <c r="N637" i="9"/>
  <c r="AB636" i="9"/>
  <c r="N636" i="9"/>
  <c r="AB635" i="9"/>
  <c r="N635" i="9"/>
  <c r="AB634" i="9"/>
  <c r="N634" i="9"/>
  <c r="AB633" i="9"/>
  <c r="N633" i="9"/>
  <c r="AB632" i="9"/>
  <c r="N632" i="9"/>
  <c r="AB631" i="9"/>
  <c r="N631" i="9"/>
  <c r="AB630" i="9"/>
  <c r="N630" i="9"/>
  <c r="AB629" i="9"/>
  <c r="N629" i="9"/>
  <c r="AB628" i="9"/>
  <c r="N628" i="9"/>
  <c r="AB627" i="9"/>
  <c r="N627" i="9"/>
  <c r="AB626" i="9"/>
  <c r="N626" i="9"/>
  <c r="AB625" i="9"/>
  <c r="N625" i="9"/>
  <c r="AB624" i="9"/>
  <c r="N624" i="9"/>
  <c r="AB623" i="9"/>
  <c r="N623" i="9"/>
  <c r="AB622" i="9"/>
  <c r="N622" i="9"/>
  <c r="AB621" i="9"/>
  <c r="N621" i="9"/>
  <c r="AB620" i="9"/>
  <c r="N620" i="9"/>
  <c r="AB619" i="9"/>
  <c r="N619" i="9"/>
  <c r="AB618" i="9"/>
  <c r="N618" i="9"/>
  <c r="AB617" i="9"/>
  <c r="N617" i="9"/>
  <c r="AB616" i="9"/>
  <c r="N616" i="9"/>
  <c r="AB615" i="9"/>
  <c r="N615" i="9"/>
  <c r="AB614" i="9"/>
  <c r="N614" i="9"/>
  <c r="AB613" i="9"/>
  <c r="N613" i="9"/>
  <c r="AB612" i="9"/>
  <c r="N612" i="9"/>
  <c r="AB611" i="9"/>
  <c r="N611" i="9"/>
  <c r="AB610" i="9"/>
  <c r="N610" i="9"/>
  <c r="AB609" i="9"/>
  <c r="N609" i="9"/>
  <c r="AB608" i="9"/>
  <c r="N608" i="9"/>
  <c r="AB607" i="9"/>
  <c r="N607" i="9"/>
  <c r="AB606" i="9"/>
  <c r="N606" i="9"/>
  <c r="AB605" i="9"/>
  <c r="N605" i="9"/>
  <c r="AB604" i="9"/>
  <c r="N604" i="9"/>
  <c r="AB603" i="9"/>
  <c r="N603" i="9"/>
  <c r="AB602" i="9"/>
  <c r="N602" i="9"/>
  <c r="AB601" i="9"/>
  <c r="N601" i="9"/>
  <c r="AB600" i="9"/>
  <c r="N600" i="9"/>
  <c r="AB599" i="9"/>
  <c r="N599" i="9"/>
  <c r="AB598" i="9"/>
  <c r="N598" i="9"/>
  <c r="AB597" i="9"/>
  <c r="N597" i="9"/>
  <c r="AB596" i="9"/>
  <c r="N596" i="9"/>
  <c r="AB595" i="9"/>
  <c r="N595" i="9"/>
  <c r="AB594" i="9"/>
  <c r="N594" i="9"/>
  <c r="AB593" i="9"/>
  <c r="N593" i="9"/>
  <c r="AB592" i="9"/>
  <c r="N592" i="9"/>
  <c r="AB591" i="9"/>
  <c r="N591" i="9"/>
  <c r="AB590" i="9"/>
  <c r="N590" i="9"/>
  <c r="AB589" i="9"/>
  <c r="N589" i="9"/>
  <c r="AB588" i="9"/>
  <c r="N588" i="9"/>
  <c r="AB586" i="9"/>
  <c r="N586" i="9"/>
  <c r="AB585" i="9"/>
  <c r="N585" i="9"/>
  <c r="AB584" i="9"/>
  <c r="N584" i="9"/>
  <c r="AB583" i="9"/>
  <c r="N583" i="9"/>
  <c r="AB582" i="9"/>
  <c r="N582" i="9"/>
  <c r="AB581" i="9"/>
  <c r="N581" i="9"/>
  <c r="AB580" i="9"/>
  <c r="N580" i="9"/>
  <c r="AB579" i="9"/>
  <c r="N579" i="9"/>
  <c r="AB578" i="9"/>
  <c r="N578" i="9"/>
  <c r="AB576" i="9"/>
  <c r="N576" i="9"/>
  <c r="AB575" i="9"/>
  <c r="N575" i="9"/>
  <c r="AB574" i="9"/>
  <c r="N574" i="9"/>
  <c r="AB573" i="9"/>
  <c r="N573" i="9"/>
  <c r="AB572" i="9"/>
  <c r="N572" i="9"/>
  <c r="AB571" i="9"/>
  <c r="N571" i="9"/>
  <c r="AB570" i="9"/>
  <c r="N570" i="9"/>
  <c r="AB569" i="9"/>
  <c r="N569" i="9"/>
  <c r="AB568" i="9"/>
  <c r="N568" i="9"/>
  <c r="AB567" i="9"/>
  <c r="N567" i="9"/>
  <c r="AB566" i="9"/>
  <c r="N566" i="9"/>
  <c r="AB565" i="9"/>
  <c r="N565" i="9"/>
  <c r="AB564" i="9"/>
  <c r="N564" i="9"/>
  <c r="AB563" i="9"/>
  <c r="N563" i="9"/>
  <c r="AB562" i="9"/>
  <c r="N562" i="9"/>
  <c r="AB561" i="9"/>
  <c r="N561" i="9"/>
  <c r="AB560" i="9"/>
  <c r="N560" i="9"/>
  <c r="AB559" i="9"/>
  <c r="N559" i="9"/>
  <c r="AB558" i="9"/>
  <c r="N558" i="9"/>
  <c r="AB557" i="9"/>
  <c r="N557" i="9"/>
  <c r="AB556" i="9"/>
  <c r="N556" i="9"/>
  <c r="AB555" i="9"/>
  <c r="N555" i="9"/>
  <c r="AB554" i="9"/>
  <c r="N554" i="9"/>
  <c r="AB553" i="9"/>
  <c r="N553" i="9"/>
  <c r="AB552" i="9"/>
  <c r="N552" i="9"/>
  <c r="AB551" i="9"/>
  <c r="N551" i="9"/>
  <c r="AB550" i="9"/>
  <c r="N550" i="9"/>
  <c r="AB549" i="9"/>
  <c r="N549" i="9"/>
  <c r="AB548" i="9"/>
  <c r="N548" i="9"/>
  <c r="AB547" i="9"/>
  <c r="N547" i="9"/>
  <c r="AB546" i="9"/>
  <c r="N546" i="9"/>
  <c r="AB545" i="9"/>
  <c r="N545" i="9"/>
  <c r="AB544" i="9"/>
  <c r="N544" i="9"/>
  <c r="AB543" i="9"/>
  <c r="N543" i="9"/>
  <c r="AB542" i="9"/>
  <c r="N542" i="9"/>
  <c r="AB541" i="9"/>
  <c r="N541" i="9"/>
  <c r="AB540" i="9"/>
  <c r="N540" i="9"/>
  <c r="AB539" i="9"/>
  <c r="N539" i="9"/>
  <c r="AB538" i="9"/>
  <c r="N538" i="9"/>
  <c r="AB537" i="9"/>
  <c r="N537" i="9"/>
  <c r="AB536" i="9"/>
  <c r="N536" i="9"/>
  <c r="AB535" i="9"/>
  <c r="N535" i="9"/>
  <c r="AB534" i="9"/>
  <c r="N534" i="9"/>
  <c r="AB533" i="9"/>
  <c r="N533" i="9"/>
  <c r="AB532" i="9"/>
  <c r="N532" i="9"/>
  <c r="AB531" i="9"/>
  <c r="N531" i="9"/>
  <c r="AB530" i="9"/>
  <c r="N530" i="9"/>
  <c r="AB529" i="9"/>
  <c r="N529" i="9"/>
  <c r="AB528" i="9"/>
  <c r="N528" i="9"/>
  <c r="AB527" i="9"/>
  <c r="N527" i="9"/>
  <c r="AB526" i="9"/>
  <c r="N526" i="9"/>
  <c r="AB525" i="9"/>
  <c r="N525" i="9"/>
  <c r="AB524" i="9"/>
  <c r="N524" i="9"/>
  <c r="AB523" i="9"/>
  <c r="N523" i="9"/>
  <c r="AB522" i="9"/>
  <c r="N522" i="9"/>
  <c r="AB521" i="9"/>
  <c r="N521" i="9"/>
  <c r="AB520" i="9"/>
  <c r="N520" i="9"/>
  <c r="AB519" i="9"/>
  <c r="N519" i="9"/>
  <c r="AB518" i="9"/>
  <c r="N518" i="9"/>
  <c r="AB517" i="9"/>
  <c r="N517" i="9"/>
  <c r="AB516" i="9"/>
  <c r="N516" i="9"/>
  <c r="AB515" i="9"/>
  <c r="N515" i="9"/>
  <c r="AB514" i="9"/>
  <c r="N514" i="9"/>
  <c r="AB513" i="9"/>
  <c r="N513" i="9"/>
  <c r="AB512" i="9"/>
  <c r="N512" i="9"/>
  <c r="AB511" i="9"/>
  <c r="N511" i="9"/>
  <c r="AB510" i="9"/>
  <c r="N510" i="9"/>
  <c r="AB509" i="9"/>
  <c r="N509" i="9"/>
  <c r="AB508" i="9"/>
  <c r="N508" i="9"/>
  <c r="AB507" i="9"/>
  <c r="N507" i="9"/>
  <c r="AB506" i="9"/>
  <c r="N506" i="9"/>
  <c r="AB505" i="9"/>
  <c r="N505" i="9"/>
  <c r="AB504" i="9"/>
  <c r="N504" i="9"/>
  <c r="AB503" i="9"/>
  <c r="N503" i="9"/>
  <c r="AB502" i="9"/>
  <c r="N502" i="9"/>
  <c r="AB501" i="9"/>
  <c r="N501" i="9"/>
  <c r="AB500" i="9"/>
  <c r="N500" i="9"/>
  <c r="AB499" i="9"/>
  <c r="N499" i="9"/>
  <c r="AB498" i="9"/>
  <c r="N498" i="9"/>
  <c r="AB497" i="9"/>
  <c r="N497" i="9"/>
  <c r="AB496" i="9"/>
  <c r="N496" i="9"/>
  <c r="AB495" i="9"/>
  <c r="N495" i="9"/>
  <c r="AB494" i="9"/>
  <c r="N494" i="9"/>
  <c r="AB493" i="9"/>
  <c r="N493" i="9"/>
  <c r="AB492" i="9"/>
  <c r="N492" i="9"/>
  <c r="AB491" i="9"/>
  <c r="N491" i="9"/>
  <c r="AB490" i="9"/>
  <c r="N490" i="9"/>
  <c r="AB489" i="9"/>
  <c r="N489" i="9"/>
  <c r="AB488" i="9"/>
  <c r="N488" i="9"/>
  <c r="AB487" i="9"/>
  <c r="N487" i="9"/>
  <c r="AB486" i="9"/>
  <c r="N486" i="9"/>
  <c r="AB485" i="9"/>
  <c r="N485" i="9"/>
  <c r="AB484" i="9"/>
  <c r="N484" i="9"/>
  <c r="AB483" i="9"/>
  <c r="N483" i="9"/>
  <c r="AB482" i="9"/>
  <c r="N482" i="9"/>
  <c r="AB481" i="9"/>
  <c r="N481" i="9"/>
  <c r="AB480" i="9"/>
  <c r="N480" i="9"/>
  <c r="AB479" i="9"/>
  <c r="N479" i="9"/>
  <c r="AB478" i="9"/>
  <c r="N478" i="9"/>
  <c r="AB477" i="9"/>
  <c r="N477" i="9"/>
  <c r="AB476" i="9"/>
  <c r="N476" i="9"/>
  <c r="AB475" i="9"/>
  <c r="N475" i="9"/>
  <c r="AB474" i="9"/>
  <c r="N474" i="9"/>
  <c r="AB473" i="9"/>
  <c r="N473" i="9"/>
  <c r="AB471" i="9"/>
  <c r="N471" i="9"/>
  <c r="AB470" i="9"/>
  <c r="N470" i="9"/>
  <c r="AB469" i="9"/>
  <c r="N469" i="9"/>
  <c r="AB468" i="9"/>
  <c r="N468" i="9"/>
  <c r="AB467" i="9"/>
  <c r="N467" i="9"/>
  <c r="AB466" i="9"/>
  <c r="N466" i="9"/>
  <c r="AB465" i="9"/>
  <c r="N465" i="9"/>
  <c r="AB464" i="9"/>
  <c r="N464" i="9"/>
  <c r="AB463" i="9"/>
  <c r="N463" i="9"/>
  <c r="AB462" i="9"/>
  <c r="N462" i="9"/>
  <c r="AB461" i="9"/>
  <c r="N461" i="9"/>
  <c r="AB460" i="9"/>
  <c r="N460" i="9"/>
  <c r="AB459" i="9"/>
  <c r="N459" i="9"/>
  <c r="AB458" i="9"/>
  <c r="N458" i="9"/>
  <c r="AB457" i="9"/>
  <c r="N457" i="9"/>
  <c r="AB456" i="9"/>
  <c r="N456" i="9"/>
  <c r="AB455" i="9"/>
  <c r="N455" i="9"/>
  <c r="AB454" i="9"/>
  <c r="N454" i="9"/>
  <c r="AA453" i="9"/>
  <c r="O453" i="9" s="1"/>
  <c r="N453" i="9"/>
  <c r="AB452" i="9"/>
  <c r="N452" i="9"/>
  <c r="AB451" i="9"/>
  <c r="N451" i="9"/>
  <c r="AB450" i="9"/>
  <c r="N450" i="9"/>
  <c r="AB449" i="9"/>
  <c r="N449" i="9"/>
  <c r="AB448" i="9"/>
  <c r="N448" i="9"/>
  <c r="AB447" i="9"/>
  <c r="N447" i="9"/>
  <c r="AB446" i="9"/>
  <c r="N446" i="9"/>
  <c r="AB445" i="9"/>
  <c r="N445" i="9"/>
  <c r="AB444" i="9"/>
  <c r="N444" i="9"/>
  <c r="AB443" i="9"/>
  <c r="N443" i="9"/>
  <c r="AB442" i="9"/>
  <c r="N442" i="9"/>
  <c r="AB441" i="9"/>
  <c r="N441" i="9"/>
  <c r="AB439" i="9"/>
  <c r="N439" i="9"/>
  <c r="AB438" i="9"/>
  <c r="N438" i="9"/>
  <c r="AB437" i="9"/>
  <c r="N437" i="9"/>
  <c r="AB436" i="9"/>
  <c r="N436" i="9"/>
  <c r="AB435" i="9"/>
  <c r="N435" i="9"/>
  <c r="AB433" i="9"/>
  <c r="N433" i="9"/>
  <c r="AB432" i="9"/>
  <c r="N432" i="9"/>
  <c r="AB431" i="9"/>
  <c r="N431" i="9"/>
  <c r="AB430" i="9"/>
  <c r="N430" i="9"/>
  <c r="AB429" i="9"/>
  <c r="N429" i="9"/>
  <c r="AB428" i="9"/>
  <c r="N428" i="9"/>
  <c r="AB427" i="9"/>
  <c r="N427" i="9"/>
  <c r="AB426" i="9"/>
  <c r="N426" i="9"/>
  <c r="AB425" i="9"/>
  <c r="N425" i="9"/>
  <c r="AB424" i="9"/>
  <c r="N424" i="9"/>
  <c r="AB423" i="9"/>
  <c r="N423" i="9"/>
  <c r="AB422" i="9"/>
  <c r="N422" i="9"/>
  <c r="AB421" i="9"/>
  <c r="N421" i="9"/>
  <c r="AB420" i="9"/>
  <c r="N420" i="9"/>
  <c r="AB419" i="9"/>
  <c r="N419" i="9"/>
  <c r="AB418" i="9"/>
  <c r="N418" i="9"/>
  <c r="AB417" i="9"/>
  <c r="N417" i="9"/>
  <c r="AB416" i="9"/>
  <c r="N416" i="9"/>
  <c r="AB415" i="9"/>
  <c r="N415" i="9"/>
  <c r="AB414" i="9"/>
  <c r="N414" i="9"/>
  <c r="AB413" i="9"/>
  <c r="N413" i="9"/>
  <c r="AB412" i="9"/>
  <c r="N412" i="9"/>
  <c r="AB411" i="9"/>
  <c r="N411" i="9"/>
  <c r="AB410" i="9"/>
  <c r="N410" i="9"/>
  <c r="AB409" i="9"/>
  <c r="N409" i="9"/>
  <c r="AB408" i="9"/>
  <c r="N408" i="9"/>
  <c r="AB407" i="9"/>
  <c r="N407" i="9"/>
  <c r="AB406" i="9"/>
  <c r="N406" i="9"/>
  <c r="AA405" i="9"/>
  <c r="O405" i="9" s="1"/>
  <c r="N405" i="9"/>
  <c r="AB404" i="9"/>
  <c r="N404" i="9"/>
  <c r="AB403" i="9"/>
  <c r="N403" i="9"/>
  <c r="AB402" i="9"/>
  <c r="N402" i="9"/>
  <c r="AB401" i="9"/>
  <c r="N401" i="9"/>
  <c r="AB400" i="9"/>
  <c r="N400" i="9"/>
  <c r="AB399" i="9"/>
  <c r="N399" i="9"/>
  <c r="AB398" i="9"/>
  <c r="N398" i="9"/>
  <c r="AB397" i="9"/>
  <c r="N397" i="9"/>
  <c r="AB396" i="9"/>
  <c r="N396" i="9"/>
  <c r="AB395" i="9"/>
  <c r="N395" i="9"/>
  <c r="AB394" i="9"/>
  <c r="N394" i="9"/>
  <c r="AB393" i="9"/>
  <c r="N393" i="9"/>
  <c r="AB392" i="9"/>
  <c r="N392" i="9"/>
  <c r="AB391" i="9"/>
  <c r="N391" i="9"/>
  <c r="AB390" i="9"/>
  <c r="N390" i="9"/>
  <c r="AB389" i="9"/>
  <c r="N389" i="9"/>
  <c r="AB388" i="9"/>
  <c r="N388" i="9"/>
  <c r="AB387" i="9"/>
  <c r="N387" i="9"/>
  <c r="AB386" i="9"/>
  <c r="N386" i="9"/>
  <c r="AB385" i="9"/>
  <c r="N385" i="9"/>
  <c r="AB384" i="9"/>
  <c r="N384" i="9"/>
  <c r="AB383" i="9"/>
  <c r="N383" i="9"/>
  <c r="AB382" i="9"/>
  <c r="N382" i="9"/>
  <c r="AB381" i="9"/>
  <c r="N381" i="9"/>
  <c r="AB380" i="9"/>
  <c r="N380" i="9"/>
  <c r="AB379" i="9"/>
  <c r="N379" i="9"/>
  <c r="AB378" i="9"/>
  <c r="N378" i="9"/>
  <c r="AA454" i="9" l="1"/>
  <c r="O454" i="9" s="1"/>
  <c r="AA607" i="9"/>
  <c r="O607" i="9" s="1"/>
  <c r="AA687" i="9"/>
  <c r="O687" i="9" s="1"/>
  <c r="AA748" i="9"/>
  <c r="O748" i="9" s="1"/>
  <c r="AA798" i="9"/>
  <c r="O798" i="9" s="1"/>
  <c r="AA889" i="9"/>
  <c r="O889" i="9" s="1"/>
  <c r="AA939" i="9"/>
  <c r="O939" i="9" s="1"/>
  <c r="AA1051" i="9"/>
  <c r="O1051" i="9" s="1"/>
  <c r="AA455" i="9"/>
  <c r="O455" i="9" s="1"/>
  <c r="AA566" i="9"/>
  <c r="O566" i="9" s="1"/>
  <c r="AA708" i="9"/>
  <c r="O708" i="9" s="1"/>
  <c r="AA809" i="9"/>
  <c r="O809" i="9" s="1"/>
  <c r="AA1022" i="9"/>
  <c r="O1022" i="9" s="1"/>
  <c r="AA384" i="9"/>
  <c r="O384" i="9" s="1"/>
  <c r="AA527" i="9"/>
  <c r="O527" i="9" s="1"/>
  <c r="AA639" i="9"/>
  <c r="O639" i="9" s="1"/>
  <c r="AA730" i="9"/>
  <c r="O730" i="9" s="1"/>
  <c r="AA800" i="9"/>
  <c r="O800" i="9" s="1"/>
  <c r="AA891" i="9"/>
  <c r="O891" i="9" s="1"/>
  <c r="AA1033" i="9"/>
  <c r="O1033" i="9" s="1"/>
  <c r="AA478" i="9"/>
  <c r="O478" i="9" s="1"/>
  <c r="AA680" i="9"/>
  <c r="O680" i="9" s="1"/>
  <c r="AA1064" i="9"/>
  <c r="O1064" i="9" s="1"/>
  <c r="AA396" i="9"/>
  <c r="O396" i="9" s="1"/>
  <c r="AA416" i="9"/>
  <c r="O416" i="9" s="1"/>
  <c r="AA437" i="9"/>
  <c r="O437" i="9" s="1"/>
  <c r="AA458" i="9"/>
  <c r="O458" i="9" s="1"/>
  <c r="AA479" i="9"/>
  <c r="O479" i="9" s="1"/>
  <c r="AA489" i="9"/>
  <c r="O489" i="9" s="1"/>
  <c r="AA509" i="9"/>
  <c r="O509" i="9" s="1"/>
  <c r="AA519" i="9"/>
  <c r="O519" i="9" s="1"/>
  <c r="AA539" i="9"/>
  <c r="O539" i="9" s="1"/>
  <c r="AA549" i="9"/>
  <c r="O549" i="9" s="1"/>
  <c r="AA559" i="9"/>
  <c r="O559" i="9" s="1"/>
  <c r="AA580" i="9"/>
  <c r="O580" i="9" s="1"/>
  <c r="AA591" i="9"/>
  <c r="O591" i="9" s="1"/>
  <c r="AA601" i="9"/>
  <c r="O601" i="9" s="1"/>
  <c r="AA621" i="9"/>
  <c r="O621" i="9" s="1"/>
  <c r="AA631" i="9"/>
  <c r="O631" i="9" s="1"/>
  <c r="AA641" i="9"/>
  <c r="O641" i="9" s="1"/>
  <c r="AA651" i="9"/>
  <c r="O651" i="9" s="1"/>
  <c r="AA661" i="9"/>
  <c r="O661" i="9" s="1"/>
  <c r="AA671" i="9"/>
  <c r="O671" i="9" s="1"/>
  <c r="AA691" i="9"/>
  <c r="O691" i="9" s="1"/>
  <c r="AA701" i="9"/>
  <c r="O701" i="9" s="1"/>
  <c r="AA711" i="9"/>
  <c r="O711" i="9" s="1"/>
  <c r="AA722" i="9"/>
  <c r="O722" i="9" s="1"/>
  <c r="AA732" i="9"/>
  <c r="O732" i="9" s="1"/>
  <c r="AA742" i="9"/>
  <c r="O742" i="9" s="1"/>
  <c r="AA752" i="9"/>
  <c r="O752" i="9" s="1"/>
  <c r="AA772" i="9"/>
  <c r="O772" i="9" s="1"/>
  <c r="AA782" i="9"/>
  <c r="O782" i="9" s="1"/>
  <c r="AA792" i="9"/>
  <c r="O792" i="9" s="1"/>
  <c r="AA802" i="9"/>
  <c r="O802" i="9" s="1"/>
  <c r="AA812" i="9"/>
  <c r="O812" i="9" s="1"/>
  <c r="AA832" i="9"/>
  <c r="O832" i="9" s="1"/>
  <c r="AA843" i="9"/>
  <c r="O843" i="9" s="1"/>
  <c r="AA853" i="9"/>
  <c r="O853" i="9" s="1"/>
  <c r="AA863" i="9"/>
  <c r="O863" i="9" s="1"/>
  <c r="AA873" i="9"/>
  <c r="O873" i="9" s="1"/>
  <c r="AA883" i="9"/>
  <c r="O883" i="9" s="1"/>
  <c r="AA893" i="9"/>
  <c r="O893" i="9" s="1"/>
  <c r="AA903" i="9"/>
  <c r="O903" i="9" s="1"/>
  <c r="AA913" i="9"/>
  <c r="O913" i="9" s="1"/>
  <c r="AA923" i="9"/>
  <c r="O923" i="9" s="1"/>
  <c r="AA933" i="9"/>
  <c r="O933" i="9" s="1"/>
  <c r="AA943" i="9"/>
  <c r="O943" i="9" s="1"/>
  <c r="AA954" i="9"/>
  <c r="O954" i="9" s="1"/>
  <c r="AA964" i="9"/>
  <c r="O964" i="9" s="1"/>
  <c r="AA975" i="9"/>
  <c r="O975" i="9" s="1"/>
  <c r="AA985" i="9"/>
  <c r="O985" i="9" s="1"/>
  <c r="AA995" i="9"/>
  <c r="O995" i="9" s="1"/>
  <c r="AA1005" i="9"/>
  <c r="O1005" i="9" s="1"/>
  <c r="AA1015" i="9"/>
  <c r="O1015" i="9" s="1"/>
  <c r="AA1025" i="9"/>
  <c r="O1025" i="9" s="1"/>
  <c r="AA1035" i="9"/>
  <c r="O1035" i="9" s="1"/>
  <c r="AA1045" i="9"/>
  <c r="O1045" i="9" s="1"/>
  <c r="AA1055" i="9"/>
  <c r="O1055" i="9" s="1"/>
  <c r="AA1065" i="9"/>
  <c r="O1065" i="9" s="1"/>
  <c r="AA505" i="9"/>
  <c r="O505" i="9" s="1"/>
  <c r="AA647" i="9"/>
  <c r="O647" i="9" s="1"/>
  <c r="AA718" i="9"/>
  <c r="O718" i="9" s="1"/>
  <c r="AA758" i="9"/>
  <c r="O758" i="9" s="1"/>
  <c r="AA859" i="9"/>
  <c r="O859" i="9" s="1"/>
  <c r="AA909" i="9"/>
  <c r="O909" i="9" s="1"/>
  <c r="AA960" i="9"/>
  <c r="O960" i="9" s="1"/>
  <c r="AA971" i="9"/>
  <c r="O971" i="9" s="1"/>
  <c r="AA1031" i="9"/>
  <c r="O1031" i="9" s="1"/>
  <c r="AA433" i="9"/>
  <c r="O433" i="9" s="1"/>
  <c r="AA516" i="9"/>
  <c r="O516" i="9" s="1"/>
  <c r="AA628" i="9"/>
  <c r="O628" i="9" s="1"/>
  <c r="AA749" i="9"/>
  <c r="O749" i="9" s="1"/>
  <c r="AA850" i="9"/>
  <c r="O850" i="9" s="1"/>
  <c r="AA1052" i="9"/>
  <c r="O1052" i="9" s="1"/>
  <c r="AA394" i="9"/>
  <c r="O394" i="9" s="1"/>
  <c r="AA435" i="9"/>
  <c r="O435" i="9" s="1"/>
  <c r="AA456" i="9"/>
  <c r="O456" i="9" s="1"/>
  <c r="AA477" i="9"/>
  <c r="O477" i="9" s="1"/>
  <c r="AA537" i="9"/>
  <c r="O537" i="9" s="1"/>
  <c r="AA589" i="9"/>
  <c r="O589" i="9" s="1"/>
  <c r="AA609" i="9"/>
  <c r="O609" i="9" s="1"/>
  <c r="AA649" i="9"/>
  <c r="O649" i="9" s="1"/>
  <c r="AA669" i="9"/>
  <c r="O669" i="9" s="1"/>
  <c r="AA699" i="9"/>
  <c r="O699" i="9" s="1"/>
  <c r="AA720" i="9"/>
  <c r="O720" i="9" s="1"/>
  <c r="AA750" i="9"/>
  <c r="O750" i="9" s="1"/>
  <c r="AA770" i="9"/>
  <c r="O770" i="9" s="1"/>
  <c r="AA810" i="9"/>
  <c r="O810" i="9" s="1"/>
  <c r="AA830" i="9"/>
  <c r="O830" i="9" s="1"/>
  <c r="AA871" i="9"/>
  <c r="O871" i="9" s="1"/>
  <c r="AA921" i="9"/>
  <c r="O921" i="9" s="1"/>
  <c r="AA962" i="9"/>
  <c r="O962" i="9" s="1"/>
  <c r="AA1053" i="9"/>
  <c r="O1053" i="9" s="1"/>
  <c r="AA415" i="9"/>
  <c r="O415" i="9" s="1"/>
  <c r="AA620" i="9"/>
  <c r="O620" i="9" s="1"/>
  <c r="AA710" i="9"/>
  <c r="O710" i="9" s="1"/>
  <c r="AA761" i="9"/>
  <c r="O761" i="9" s="1"/>
  <c r="AA791" i="9"/>
  <c r="O791" i="9" s="1"/>
  <c r="AA831" i="9"/>
  <c r="O831" i="9" s="1"/>
  <c r="AA882" i="9"/>
  <c r="O882" i="9" s="1"/>
  <c r="AA892" i="9"/>
  <c r="O892" i="9" s="1"/>
  <c r="AA912" i="9"/>
  <c r="O912" i="9" s="1"/>
  <c r="AA922" i="9"/>
  <c r="O922" i="9" s="1"/>
  <c r="AA932" i="9"/>
  <c r="O932" i="9" s="1"/>
  <c r="AA942" i="9"/>
  <c r="O942" i="9" s="1"/>
  <c r="AA953" i="9"/>
  <c r="O953" i="9" s="1"/>
  <c r="AA963" i="9"/>
  <c r="O963" i="9" s="1"/>
  <c r="AA974" i="9"/>
  <c r="O974" i="9" s="1"/>
  <c r="AA984" i="9"/>
  <c r="O984" i="9" s="1"/>
  <c r="AA994" i="9"/>
  <c r="O994" i="9" s="1"/>
  <c r="AA1004" i="9"/>
  <c r="O1004" i="9" s="1"/>
  <c r="AA1014" i="9"/>
  <c r="O1014" i="9" s="1"/>
  <c r="AA1024" i="9"/>
  <c r="O1024" i="9" s="1"/>
  <c r="AA1034" i="9"/>
  <c r="O1034" i="9" s="1"/>
  <c r="AA1044" i="9"/>
  <c r="O1044" i="9" s="1"/>
  <c r="AA1054" i="9"/>
  <c r="O1054" i="9" s="1"/>
  <c r="AA386" i="9"/>
  <c r="O386" i="9" s="1"/>
  <c r="AA406" i="9"/>
  <c r="O406" i="9" s="1"/>
  <c r="AA426" i="9"/>
  <c r="O426" i="9" s="1"/>
  <c r="AA448" i="9"/>
  <c r="O448" i="9" s="1"/>
  <c r="AA468" i="9"/>
  <c r="O468" i="9" s="1"/>
  <c r="AA499" i="9"/>
  <c r="O499" i="9" s="1"/>
  <c r="AA529" i="9"/>
  <c r="O529" i="9" s="1"/>
  <c r="AA569" i="9"/>
  <c r="O569" i="9" s="1"/>
  <c r="AA611" i="9"/>
  <c r="O611" i="9" s="1"/>
  <c r="AA681" i="9"/>
  <c r="O681" i="9" s="1"/>
  <c r="AA762" i="9"/>
  <c r="O762" i="9" s="1"/>
  <c r="AA822" i="9"/>
  <c r="O822" i="9" s="1"/>
  <c r="AA387" i="9"/>
  <c r="O387" i="9" s="1"/>
  <c r="AA397" i="9"/>
  <c r="O397" i="9" s="1"/>
  <c r="AA407" i="9"/>
  <c r="O407" i="9" s="1"/>
  <c r="AA417" i="9"/>
  <c r="O417" i="9" s="1"/>
  <c r="AA427" i="9"/>
  <c r="O427" i="9" s="1"/>
  <c r="AA438" i="9"/>
  <c r="O438" i="9" s="1"/>
  <c r="AA449" i="9"/>
  <c r="O449" i="9" s="1"/>
  <c r="AA459" i="9"/>
  <c r="O459" i="9" s="1"/>
  <c r="AA469" i="9"/>
  <c r="O469" i="9" s="1"/>
  <c r="AA480" i="9"/>
  <c r="O480" i="9" s="1"/>
  <c r="AA490" i="9"/>
  <c r="O490" i="9" s="1"/>
  <c r="AA500" i="9"/>
  <c r="O500" i="9" s="1"/>
  <c r="AA510" i="9"/>
  <c r="O510" i="9" s="1"/>
  <c r="AA520" i="9"/>
  <c r="O520" i="9" s="1"/>
  <c r="AA530" i="9"/>
  <c r="O530" i="9" s="1"/>
  <c r="AA540" i="9"/>
  <c r="O540" i="9" s="1"/>
  <c r="AA550" i="9"/>
  <c r="O550" i="9" s="1"/>
  <c r="AA560" i="9"/>
  <c r="O560" i="9" s="1"/>
  <c r="AA570" i="9"/>
  <c r="O570" i="9" s="1"/>
  <c r="AA581" i="9"/>
  <c r="O581" i="9" s="1"/>
  <c r="AA592" i="9"/>
  <c r="O592" i="9" s="1"/>
  <c r="AA602" i="9"/>
  <c r="O602" i="9" s="1"/>
  <c r="AA612" i="9"/>
  <c r="O612" i="9" s="1"/>
  <c r="AA622" i="9"/>
  <c r="O622" i="9" s="1"/>
  <c r="AA632" i="9"/>
  <c r="O632" i="9" s="1"/>
  <c r="AA642" i="9"/>
  <c r="O642" i="9" s="1"/>
  <c r="AA652" i="9"/>
  <c r="O652" i="9" s="1"/>
  <c r="AA662" i="9"/>
  <c r="O662" i="9" s="1"/>
  <c r="AA672" i="9"/>
  <c r="O672" i="9" s="1"/>
  <c r="AA682" i="9"/>
  <c r="O682" i="9" s="1"/>
  <c r="AA692" i="9"/>
  <c r="O692" i="9" s="1"/>
  <c r="AA702" i="9"/>
  <c r="O702" i="9" s="1"/>
  <c r="AA713" i="9"/>
  <c r="O713" i="9" s="1"/>
  <c r="AA723" i="9"/>
  <c r="O723" i="9" s="1"/>
  <c r="AA733" i="9"/>
  <c r="O733" i="9" s="1"/>
  <c r="AA743" i="9"/>
  <c r="O743" i="9" s="1"/>
  <c r="AA753" i="9"/>
  <c r="O753" i="9" s="1"/>
  <c r="AA763" i="9"/>
  <c r="O763" i="9" s="1"/>
  <c r="AA773" i="9"/>
  <c r="O773" i="9" s="1"/>
  <c r="AA783" i="9"/>
  <c r="O783" i="9" s="1"/>
  <c r="AA793" i="9"/>
  <c r="O793" i="9" s="1"/>
  <c r="AA803" i="9"/>
  <c r="O803" i="9" s="1"/>
  <c r="AA813" i="9"/>
  <c r="O813" i="9" s="1"/>
  <c r="AA823" i="9"/>
  <c r="O823" i="9" s="1"/>
  <c r="AA833" i="9"/>
  <c r="O833" i="9" s="1"/>
  <c r="AA844" i="9"/>
  <c r="O844" i="9" s="1"/>
  <c r="AA854" i="9"/>
  <c r="O854" i="9" s="1"/>
  <c r="AA864" i="9"/>
  <c r="O864" i="9" s="1"/>
  <c r="AA874" i="9"/>
  <c r="O874" i="9" s="1"/>
  <c r="AA884" i="9"/>
  <c r="O884" i="9" s="1"/>
  <c r="AA894" i="9"/>
  <c r="O894" i="9" s="1"/>
  <c r="AA904" i="9"/>
  <c r="O904" i="9" s="1"/>
  <c r="AA914" i="9"/>
  <c r="O914" i="9" s="1"/>
  <c r="AA924" i="9"/>
  <c r="O924" i="9" s="1"/>
  <c r="AA934" i="9"/>
  <c r="O934" i="9" s="1"/>
  <c r="AA944" i="9"/>
  <c r="O944" i="9" s="1"/>
  <c r="AA955" i="9"/>
  <c r="O955" i="9" s="1"/>
  <c r="AA535" i="9"/>
  <c r="O535" i="9" s="1"/>
  <c r="AA839" i="9"/>
  <c r="O839" i="9" s="1"/>
  <c r="AA1011" i="9"/>
  <c r="O1011" i="9" s="1"/>
  <c r="AA588" i="9"/>
  <c r="O588" i="9" s="1"/>
  <c r="AA951" i="9"/>
  <c r="O951" i="9" s="1"/>
  <c r="AA1012" i="9"/>
  <c r="O1012" i="9" s="1"/>
  <c r="AA578" i="9"/>
  <c r="O578" i="9" s="1"/>
  <c r="AA851" i="9"/>
  <c r="O851" i="9" s="1"/>
  <c r="AA1003" i="9"/>
  <c r="O1003" i="9" s="1"/>
  <c r="AA558" i="9"/>
  <c r="O558" i="9" s="1"/>
  <c r="AA852" i="9"/>
  <c r="O852" i="9" s="1"/>
  <c r="AA1036" i="9"/>
  <c r="O1036" i="9" s="1"/>
  <c r="AA541" i="9"/>
  <c r="O541" i="9" s="1"/>
  <c r="AA683" i="9"/>
  <c r="O683" i="9" s="1"/>
  <c r="AA814" i="9"/>
  <c r="O814" i="9" s="1"/>
  <c r="AA915" i="9"/>
  <c r="O915" i="9" s="1"/>
  <c r="AA967" i="9"/>
  <c r="O967" i="9" s="1"/>
  <c r="AA977" i="9"/>
  <c r="O977" i="9" s="1"/>
  <c r="AA987" i="9"/>
  <c r="O987" i="9" s="1"/>
  <c r="AA997" i="9"/>
  <c r="O997" i="9" s="1"/>
  <c r="AA1007" i="9"/>
  <c r="O1007" i="9" s="1"/>
  <c r="AA1017" i="9"/>
  <c r="O1017" i="9" s="1"/>
  <c r="AA1027" i="9"/>
  <c r="O1027" i="9" s="1"/>
  <c r="AA1037" i="9"/>
  <c r="O1037" i="9" s="1"/>
  <c r="AA1047" i="9"/>
  <c r="O1047" i="9" s="1"/>
  <c r="AA1057" i="9"/>
  <c r="O1057" i="9" s="1"/>
  <c r="AA1067" i="9"/>
  <c r="O1067" i="9" s="1"/>
  <c r="AA382" i="9"/>
  <c r="O382" i="9" s="1"/>
  <c r="AA575" i="9"/>
  <c r="O575" i="9" s="1"/>
  <c r="AA808" i="9"/>
  <c r="O808" i="9" s="1"/>
  <c r="AA981" i="9"/>
  <c r="O981" i="9" s="1"/>
  <c r="AA413" i="9"/>
  <c r="O413" i="9" s="1"/>
  <c r="AA668" i="9"/>
  <c r="O668" i="9" s="1"/>
  <c r="AA497" i="9"/>
  <c r="O497" i="9" s="1"/>
  <c r="AA931" i="9"/>
  <c r="O931" i="9" s="1"/>
  <c r="AA983" i="9"/>
  <c r="O983" i="9" s="1"/>
  <c r="AA395" i="9"/>
  <c r="O395" i="9" s="1"/>
  <c r="AA600" i="9"/>
  <c r="O600" i="9" s="1"/>
  <c r="AA811" i="9"/>
  <c r="O811" i="9" s="1"/>
  <c r="AA1006" i="9"/>
  <c r="O1006" i="9" s="1"/>
  <c r="AA450" i="9"/>
  <c r="O450" i="9" s="1"/>
  <c r="AA613" i="9"/>
  <c r="O613" i="9" s="1"/>
  <c r="AA774" i="9"/>
  <c r="O774" i="9" s="1"/>
  <c r="AA419" i="9"/>
  <c r="O419" i="9" s="1"/>
  <c r="AA502" i="9"/>
  <c r="O502" i="9" s="1"/>
  <c r="AA542" i="9"/>
  <c r="O542" i="9" s="1"/>
  <c r="AA562" i="9"/>
  <c r="O562" i="9" s="1"/>
  <c r="AA583" i="9"/>
  <c r="O583" i="9" s="1"/>
  <c r="AA594" i="9"/>
  <c r="O594" i="9" s="1"/>
  <c r="AA604" i="9"/>
  <c r="O604" i="9" s="1"/>
  <c r="AA614" i="9"/>
  <c r="O614" i="9" s="1"/>
  <c r="AA624" i="9"/>
  <c r="O624" i="9" s="1"/>
  <c r="AA634" i="9"/>
  <c r="O634" i="9" s="1"/>
  <c r="AA644" i="9"/>
  <c r="O644" i="9" s="1"/>
  <c r="AA654" i="9"/>
  <c r="O654" i="9" s="1"/>
  <c r="AA664" i="9"/>
  <c r="O664" i="9" s="1"/>
  <c r="AA674" i="9"/>
  <c r="O674" i="9" s="1"/>
  <c r="AA684" i="9"/>
  <c r="O684" i="9" s="1"/>
  <c r="AA694" i="9"/>
  <c r="O694" i="9" s="1"/>
  <c r="AA704" i="9"/>
  <c r="O704" i="9" s="1"/>
  <c r="AA715" i="9"/>
  <c r="O715" i="9" s="1"/>
  <c r="AA725" i="9"/>
  <c r="O725" i="9" s="1"/>
  <c r="AA735" i="9"/>
  <c r="O735" i="9" s="1"/>
  <c r="AA745" i="9"/>
  <c r="O745" i="9" s="1"/>
  <c r="AA755" i="9"/>
  <c r="O755" i="9" s="1"/>
  <c r="AA765" i="9"/>
  <c r="O765" i="9" s="1"/>
  <c r="AA775" i="9"/>
  <c r="O775" i="9" s="1"/>
  <c r="AA785" i="9"/>
  <c r="O785" i="9" s="1"/>
  <c r="AA795" i="9"/>
  <c r="O795" i="9" s="1"/>
  <c r="AA805" i="9"/>
  <c r="O805" i="9" s="1"/>
  <c r="AA815" i="9"/>
  <c r="O815" i="9" s="1"/>
  <c r="AA825" i="9"/>
  <c r="O825" i="9" s="1"/>
  <c r="AA835" i="9"/>
  <c r="O835" i="9" s="1"/>
  <c r="AA846" i="9"/>
  <c r="O846" i="9" s="1"/>
  <c r="AA856" i="9"/>
  <c r="O856" i="9" s="1"/>
  <c r="AA866" i="9"/>
  <c r="O866" i="9" s="1"/>
  <c r="AA876" i="9"/>
  <c r="O876" i="9" s="1"/>
  <c r="AA886" i="9"/>
  <c r="O886" i="9" s="1"/>
  <c r="AA896" i="9"/>
  <c r="O896" i="9" s="1"/>
  <c r="AA906" i="9"/>
  <c r="O906" i="9" s="1"/>
  <c r="AA916" i="9"/>
  <c r="O916" i="9" s="1"/>
  <c r="AA926" i="9"/>
  <c r="O926" i="9" s="1"/>
  <c r="AA936" i="9"/>
  <c r="O936" i="9" s="1"/>
  <c r="AA946" i="9"/>
  <c r="O946" i="9" s="1"/>
  <c r="AA957" i="9"/>
  <c r="O957" i="9" s="1"/>
  <c r="AA565" i="9"/>
  <c r="O565" i="9" s="1"/>
  <c r="AA818" i="9"/>
  <c r="O818" i="9" s="1"/>
  <c r="AA991" i="9"/>
  <c r="O991" i="9" s="1"/>
  <c r="AA393" i="9"/>
  <c r="O393" i="9" s="1"/>
  <c r="AA658" i="9"/>
  <c r="O658" i="9" s="1"/>
  <c r="AA487" i="9"/>
  <c r="O487" i="9" s="1"/>
  <c r="AA941" i="9"/>
  <c r="O941" i="9" s="1"/>
  <c r="AA1013" i="9"/>
  <c r="O1013" i="9" s="1"/>
  <c r="AA590" i="9"/>
  <c r="O590" i="9" s="1"/>
  <c r="AA821" i="9"/>
  <c r="O821" i="9" s="1"/>
  <c r="AA1016" i="9"/>
  <c r="O1016" i="9" s="1"/>
  <c r="AA418" i="9"/>
  <c r="O418" i="9" s="1"/>
  <c r="AA582" i="9"/>
  <c r="O582" i="9" s="1"/>
  <c r="AA744" i="9"/>
  <c r="O744" i="9" s="1"/>
  <c r="AA429" i="9"/>
  <c r="O429" i="9" s="1"/>
  <c r="AA552" i="9"/>
  <c r="O552" i="9" s="1"/>
  <c r="AA968" i="9"/>
  <c r="O968" i="9" s="1"/>
  <c r="AA978" i="9"/>
  <c r="O978" i="9" s="1"/>
  <c r="AA988" i="9"/>
  <c r="O988" i="9" s="1"/>
  <c r="AA998" i="9"/>
  <c r="O998" i="9" s="1"/>
  <c r="AA1008" i="9"/>
  <c r="O1008" i="9" s="1"/>
  <c r="AA1018" i="9"/>
  <c r="O1018" i="9" s="1"/>
  <c r="AA1028" i="9"/>
  <c r="O1028" i="9" s="1"/>
  <c r="AA1038" i="9"/>
  <c r="O1038" i="9" s="1"/>
  <c r="AA1048" i="9"/>
  <c r="O1048" i="9" s="1"/>
  <c r="AA1058" i="9"/>
  <c r="O1058" i="9" s="1"/>
  <c r="AA1068" i="9"/>
  <c r="O1068" i="9" s="1"/>
  <c r="AA525" i="9"/>
  <c r="O525" i="9" s="1"/>
  <c r="AA849" i="9"/>
  <c r="O849" i="9" s="1"/>
  <c r="AA1001" i="9"/>
  <c r="O1001" i="9" s="1"/>
  <c r="AA598" i="9"/>
  <c r="O598" i="9" s="1"/>
  <c r="AA940" i="9"/>
  <c r="O940" i="9" s="1"/>
  <c r="AA1002" i="9"/>
  <c r="O1002" i="9" s="1"/>
  <c r="AA557" i="9"/>
  <c r="O557" i="9" s="1"/>
  <c r="AA861" i="9"/>
  <c r="O861" i="9" s="1"/>
  <c r="AA993" i="9"/>
  <c r="O993" i="9" s="1"/>
  <c r="AA568" i="9"/>
  <c r="O568" i="9" s="1"/>
  <c r="AA842" i="9"/>
  <c r="O842" i="9" s="1"/>
  <c r="AA1026" i="9"/>
  <c r="O1026" i="9" s="1"/>
  <c r="AA531" i="9"/>
  <c r="O531" i="9" s="1"/>
  <c r="AA673" i="9"/>
  <c r="O673" i="9" s="1"/>
  <c r="AA804" i="9"/>
  <c r="O804" i="9" s="1"/>
  <c r="AA389" i="9"/>
  <c r="O389" i="9" s="1"/>
  <c r="AA471" i="9"/>
  <c r="O471" i="9" s="1"/>
  <c r="AA532" i="9"/>
  <c r="O532" i="9" s="1"/>
  <c r="AA420" i="9"/>
  <c r="O420" i="9" s="1"/>
  <c r="AA513" i="9"/>
  <c r="O513" i="9" s="1"/>
  <c r="AA563" i="9"/>
  <c r="O563" i="9" s="1"/>
  <c r="AA615" i="9"/>
  <c r="O615" i="9" s="1"/>
  <c r="AA655" i="9"/>
  <c r="O655" i="9" s="1"/>
  <c r="AA695" i="9"/>
  <c r="O695" i="9" s="1"/>
  <c r="AA716" i="9"/>
  <c r="O716" i="9" s="1"/>
  <c r="AA726" i="9"/>
  <c r="O726" i="9" s="1"/>
  <c r="AA736" i="9"/>
  <c r="O736" i="9" s="1"/>
  <c r="AA746" i="9"/>
  <c r="O746" i="9" s="1"/>
  <c r="AA776" i="9"/>
  <c r="O776" i="9" s="1"/>
  <c r="AA796" i="9"/>
  <c r="O796" i="9" s="1"/>
  <c r="AA806" i="9"/>
  <c r="O806" i="9" s="1"/>
  <c r="AA816" i="9"/>
  <c r="O816" i="9" s="1"/>
  <c r="AA826" i="9"/>
  <c r="O826" i="9" s="1"/>
  <c r="AA836" i="9"/>
  <c r="O836" i="9" s="1"/>
  <c r="AA847" i="9"/>
  <c r="O847" i="9" s="1"/>
  <c r="AA857" i="9"/>
  <c r="O857" i="9" s="1"/>
  <c r="AA867" i="9"/>
  <c r="O867" i="9" s="1"/>
  <c r="AA877" i="9"/>
  <c r="O877" i="9" s="1"/>
  <c r="AA887" i="9"/>
  <c r="O887" i="9" s="1"/>
  <c r="AA897" i="9"/>
  <c r="O897" i="9" s="1"/>
  <c r="AA907" i="9"/>
  <c r="O907" i="9" s="1"/>
  <c r="AA917" i="9"/>
  <c r="O917" i="9" s="1"/>
  <c r="AA927" i="9"/>
  <c r="O927" i="9" s="1"/>
  <c r="AA937" i="9"/>
  <c r="O937" i="9" s="1"/>
  <c r="AA947" i="9"/>
  <c r="O947" i="9" s="1"/>
  <c r="AA958" i="9"/>
  <c r="O958" i="9" s="1"/>
  <c r="AA432" i="9"/>
  <c r="O432" i="9" s="1"/>
  <c r="AA545" i="9"/>
  <c r="O545" i="9" s="1"/>
  <c r="AA667" i="9"/>
  <c r="O667" i="9" s="1"/>
  <c r="AA728" i="9"/>
  <c r="O728" i="9" s="1"/>
  <c r="AA768" i="9"/>
  <c r="O768" i="9" s="1"/>
  <c r="AA828" i="9"/>
  <c r="O828" i="9" s="1"/>
  <c r="AA869" i="9"/>
  <c r="O869" i="9" s="1"/>
  <c r="AA919" i="9"/>
  <c r="O919" i="9" s="1"/>
  <c r="AA950" i="9"/>
  <c r="O950" i="9" s="1"/>
  <c r="AA1061" i="9"/>
  <c r="O1061" i="9" s="1"/>
  <c r="AA383" i="9"/>
  <c r="O383" i="9" s="1"/>
  <c r="AA403" i="9"/>
  <c r="O403" i="9" s="1"/>
  <c r="AA445" i="9"/>
  <c r="O445" i="9" s="1"/>
  <c r="AA465" i="9"/>
  <c r="O465" i="9" s="1"/>
  <c r="AA486" i="9"/>
  <c r="O486" i="9" s="1"/>
  <c r="AA496" i="9"/>
  <c r="O496" i="9" s="1"/>
  <c r="AA506" i="9"/>
  <c r="O506" i="9" s="1"/>
  <c r="AA526" i="9"/>
  <c r="O526" i="9" s="1"/>
  <c r="AA546" i="9"/>
  <c r="O546" i="9" s="1"/>
  <c r="AA556" i="9"/>
  <c r="O556" i="9" s="1"/>
  <c r="AA576" i="9"/>
  <c r="O576" i="9" s="1"/>
  <c r="AA618" i="9"/>
  <c r="O618" i="9" s="1"/>
  <c r="AA648" i="9"/>
  <c r="O648" i="9" s="1"/>
  <c r="AA678" i="9"/>
  <c r="O678" i="9" s="1"/>
  <c r="AA688" i="9"/>
  <c r="O688" i="9" s="1"/>
  <c r="AA719" i="9"/>
  <c r="O719" i="9" s="1"/>
  <c r="AA729" i="9"/>
  <c r="O729" i="9" s="1"/>
  <c r="AA759" i="9"/>
  <c r="O759" i="9" s="1"/>
  <c r="AA769" i="9"/>
  <c r="O769" i="9" s="1"/>
  <c r="AA789" i="9"/>
  <c r="O789" i="9" s="1"/>
  <c r="AA799" i="9"/>
  <c r="O799" i="9" s="1"/>
  <c r="AA829" i="9"/>
  <c r="O829" i="9" s="1"/>
  <c r="AA860" i="9"/>
  <c r="O860" i="9" s="1"/>
  <c r="AA870" i="9"/>
  <c r="O870" i="9" s="1"/>
  <c r="AA890" i="9"/>
  <c r="O890" i="9" s="1"/>
  <c r="AA900" i="9"/>
  <c r="O900" i="9" s="1"/>
  <c r="AA910" i="9"/>
  <c r="O910" i="9" s="1"/>
  <c r="AA920" i="9"/>
  <c r="O920" i="9" s="1"/>
  <c r="AA930" i="9"/>
  <c r="O930" i="9" s="1"/>
  <c r="AA961" i="9"/>
  <c r="O961" i="9" s="1"/>
  <c r="AA972" i="9"/>
  <c r="O972" i="9" s="1"/>
  <c r="AA982" i="9"/>
  <c r="O982" i="9" s="1"/>
  <c r="AA992" i="9"/>
  <c r="O992" i="9" s="1"/>
  <c r="AA1042" i="9"/>
  <c r="O1042" i="9" s="1"/>
  <c r="AA424" i="9"/>
  <c r="O424" i="9" s="1"/>
  <c r="AA507" i="9"/>
  <c r="O507" i="9" s="1"/>
  <c r="AA629" i="9"/>
  <c r="O629" i="9" s="1"/>
  <c r="AA709" i="9"/>
  <c r="O709" i="9" s="1"/>
  <c r="AA760" i="9"/>
  <c r="O760" i="9" s="1"/>
  <c r="AA820" i="9"/>
  <c r="O820" i="9" s="1"/>
  <c r="AA901" i="9"/>
  <c r="O901" i="9" s="1"/>
  <c r="AA1063" i="9"/>
  <c r="O1063" i="9" s="1"/>
  <c r="AA385" i="9"/>
  <c r="O385" i="9" s="1"/>
  <c r="AA425" i="9"/>
  <c r="O425" i="9" s="1"/>
  <c r="AA436" i="9"/>
  <c r="O436" i="9" s="1"/>
  <c r="AA457" i="9"/>
  <c r="O457" i="9" s="1"/>
  <c r="AA467" i="9"/>
  <c r="O467" i="9" s="1"/>
  <c r="AA488" i="9"/>
  <c r="O488" i="9" s="1"/>
  <c r="AA508" i="9"/>
  <c r="O508" i="9" s="1"/>
  <c r="AA518" i="9"/>
  <c r="O518" i="9" s="1"/>
  <c r="AA528" i="9"/>
  <c r="O528" i="9" s="1"/>
  <c r="AA538" i="9"/>
  <c r="O538" i="9" s="1"/>
  <c r="AA548" i="9"/>
  <c r="O548" i="9" s="1"/>
  <c r="AA579" i="9"/>
  <c r="O579" i="9" s="1"/>
  <c r="AA610" i="9"/>
  <c r="O610" i="9" s="1"/>
  <c r="AA630" i="9"/>
  <c r="O630" i="9" s="1"/>
  <c r="AA650" i="9"/>
  <c r="O650" i="9" s="1"/>
  <c r="AA670" i="9"/>
  <c r="O670" i="9" s="1"/>
  <c r="AA690" i="9"/>
  <c r="O690" i="9" s="1"/>
  <c r="AA700" i="9"/>
  <c r="O700" i="9" s="1"/>
  <c r="AA721" i="9"/>
  <c r="O721" i="9" s="1"/>
  <c r="AA741" i="9"/>
  <c r="O741" i="9" s="1"/>
  <c r="AA771" i="9"/>
  <c r="O771" i="9" s="1"/>
  <c r="AA801" i="9"/>
  <c r="O801" i="9" s="1"/>
  <c r="AA872" i="9"/>
  <c r="O872" i="9" s="1"/>
  <c r="AA902" i="9"/>
  <c r="O902" i="9" s="1"/>
  <c r="AA986" i="9"/>
  <c r="O986" i="9" s="1"/>
  <c r="AA1066" i="9"/>
  <c r="O1066" i="9" s="1"/>
  <c r="AA388" i="9"/>
  <c r="O388" i="9" s="1"/>
  <c r="AA408" i="9"/>
  <c r="O408" i="9" s="1"/>
  <c r="AA428" i="9"/>
  <c r="O428" i="9" s="1"/>
  <c r="AA460" i="9"/>
  <c r="O460" i="9" s="1"/>
  <c r="AA501" i="9"/>
  <c r="O501" i="9" s="1"/>
  <c r="AA521" i="9"/>
  <c r="O521" i="9" s="1"/>
  <c r="AA561" i="9"/>
  <c r="O561" i="9" s="1"/>
  <c r="AA603" i="9"/>
  <c r="O603" i="9" s="1"/>
  <c r="AA633" i="9"/>
  <c r="O633" i="9" s="1"/>
  <c r="AA663" i="9"/>
  <c r="O663" i="9" s="1"/>
  <c r="AA714" i="9"/>
  <c r="O714" i="9" s="1"/>
  <c r="AA734" i="9"/>
  <c r="O734" i="9" s="1"/>
  <c r="AA784" i="9"/>
  <c r="O784" i="9" s="1"/>
  <c r="AA824" i="9"/>
  <c r="O824" i="9" s="1"/>
  <c r="AA855" i="9"/>
  <c r="O855" i="9" s="1"/>
  <c r="AA875" i="9"/>
  <c r="O875" i="9" s="1"/>
  <c r="AA895" i="9"/>
  <c r="O895" i="9" s="1"/>
  <c r="AA935" i="9"/>
  <c r="O935" i="9" s="1"/>
  <c r="AA956" i="9"/>
  <c r="O956" i="9" s="1"/>
  <c r="AA379" i="9"/>
  <c r="O379" i="9" s="1"/>
  <c r="AA409" i="9"/>
  <c r="O409" i="9" s="1"/>
  <c r="AA441" i="9"/>
  <c r="O441" i="9" s="1"/>
  <c r="AA461" i="9"/>
  <c r="O461" i="9" s="1"/>
  <c r="AA492" i="9"/>
  <c r="O492" i="9" s="1"/>
  <c r="AA522" i="9"/>
  <c r="O522" i="9" s="1"/>
  <c r="AA400" i="9"/>
  <c r="O400" i="9" s="1"/>
  <c r="AA462" i="9"/>
  <c r="O462" i="9" s="1"/>
  <c r="AA543" i="9"/>
  <c r="O543" i="9" s="1"/>
  <c r="AA786" i="9"/>
  <c r="O786" i="9" s="1"/>
  <c r="AA969" i="9"/>
  <c r="O969" i="9" s="1"/>
  <c r="AA979" i="9"/>
  <c r="O979" i="9" s="1"/>
  <c r="AA989" i="9"/>
  <c r="O989" i="9" s="1"/>
  <c r="AA999" i="9"/>
  <c r="O999" i="9" s="1"/>
  <c r="AA1009" i="9"/>
  <c r="O1009" i="9" s="1"/>
  <c r="AA1019" i="9"/>
  <c r="O1019" i="9" s="1"/>
  <c r="AA1029" i="9"/>
  <c r="O1029" i="9" s="1"/>
  <c r="AA1039" i="9"/>
  <c r="O1039" i="9" s="1"/>
  <c r="AA1049" i="9"/>
  <c r="O1049" i="9" s="1"/>
  <c r="AA1059" i="9"/>
  <c r="O1059" i="9" s="1"/>
  <c r="AA485" i="9"/>
  <c r="O485" i="9" s="1"/>
  <c r="AA627" i="9"/>
  <c r="O627" i="9" s="1"/>
  <c r="AA788" i="9"/>
  <c r="O788" i="9" s="1"/>
  <c r="AA899" i="9"/>
  <c r="O899" i="9" s="1"/>
  <c r="AA1021" i="9"/>
  <c r="O1021" i="9" s="1"/>
  <c r="AA476" i="9"/>
  <c r="O476" i="9" s="1"/>
  <c r="AA608" i="9"/>
  <c r="O608" i="9" s="1"/>
  <c r="AA739" i="9"/>
  <c r="O739" i="9" s="1"/>
  <c r="AA840" i="9"/>
  <c r="O840" i="9" s="1"/>
  <c r="AA1032" i="9"/>
  <c r="O1032" i="9" s="1"/>
  <c r="AA404" i="9"/>
  <c r="O404" i="9" s="1"/>
  <c r="AA547" i="9"/>
  <c r="O547" i="9" s="1"/>
  <c r="AA679" i="9"/>
  <c r="O679" i="9" s="1"/>
  <c r="AA780" i="9"/>
  <c r="O780" i="9" s="1"/>
  <c r="AA881" i="9"/>
  <c r="O881" i="9" s="1"/>
  <c r="AA1023" i="9"/>
  <c r="O1023" i="9" s="1"/>
  <c r="AA447" i="9"/>
  <c r="O447" i="9" s="1"/>
  <c r="AA640" i="9"/>
  <c r="O640" i="9" s="1"/>
  <c r="AA751" i="9"/>
  <c r="O751" i="9" s="1"/>
  <c r="AA976" i="9"/>
  <c r="O976" i="9" s="1"/>
  <c r="AA1046" i="9"/>
  <c r="O1046" i="9" s="1"/>
  <c r="AA378" i="9"/>
  <c r="O378" i="9" s="1"/>
  <c r="AA481" i="9"/>
  <c r="O481" i="9" s="1"/>
  <c r="AA571" i="9"/>
  <c r="O571" i="9" s="1"/>
  <c r="AA643" i="9"/>
  <c r="O643" i="9" s="1"/>
  <c r="AA693" i="9"/>
  <c r="O693" i="9" s="1"/>
  <c r="AA724" i="9"/>
  <c r="O724" i="9" s="1"/>
  <c r="AA764" i="9"/>
  <c r="O764" i="9" s="1"/>
  <c r="AA794" i="9"/>
  <c r="O794" i="9" s="1"/>
  <c r="AA845" i="9"/>
  <c r="O845" i="9" s="1"/>
  <c r="AA865" i="9"/>
  <c r="O865" i="9" s="1"/>
  <c r="AA905" i="9"/>
  <c r="O905" i="9" s="1"/>
  <c r="AA925" i="9"/>
  <c r="O925" i="9" s="1"/>
  <c r="AA945" i="9"/>
  <c r="O945" i="9" s="1"/>
  <c r="AA399" i="9"/>
  <c r="O399" i="9" s="1"/>
  <c r="AA482" i="9"/>
  <c r="O482" i="9" s="1"/>
  <c r="AA572" i="9"/>
  <c r="O572" i="9" s="1"/>
  <c r="AA380" i="9"/>
  <c r="O380" i="9" s="1"/>
  <c r="AA390" i="9"/>
  <c r="O390" i="9" s="1"/>
  <c r="AA410" i="9"/>
  <c r="O410" i="9" s="1"/>
  <c r="AA430" i="9"/>
  <c r="O430" i="9" s="1"/>
  <c r="AA442" i="9"/>
  <c r="O442" i="9" s="1"/>
  <c r="AA452" i="9"/>
  <c r="O452" i="9" s="1"/>
  <c r="AA473" i="9"/>
  <c r="O473" i="9" s="1"/>
  <c r="AA493" i="9"/>
  <c r="O493" i="9" s="1"/>
  <c r="AA503" i="9"/>
  <c r="O503" i="9" s="1"/>
  <c r="AA523" i="9"/>
  <c r="O523" i="9" s="1"/>
  <c r="AA533" i="9"/>
  <c r="O533" i="9" s="1"/>
  <c r="AA553" i="9"/>
  <c r="O553" i="9" s="1"/>
  <c r="AA573" i="9"/>
  <c r="O573" i="9" s="1"/>
  <c r="AA584" i="9"/>
  <c r="O584" i="9" s="1"/>
  <c r="AA595" i="9"/>
  <c r="O595" i="9" s="1"/>
  <c r="AA605" i="9"/>
  <c r="O605" i="9" s="1"/>
  <c r="AA625" i="9"/>
  <c r="O625" i="9" s="1"/>
  <c r="AA635" i="9"/>
  <c r="O635" i="9" s="1"/>
  <c r="AA645" i="9"/>
  <c r="O645" i="9" s="1"/>
  <c r="AA665" i="9"/>
  <c r="O665" i="9" s="1"/>
  <c r="AA675" i="9"/>
  <c r="O675" i="9" s="1"/>
  <c r="AA685" i="9"/>
  <c r="O685" i="9" s="1"/>
  <c r="AA705" i="9"/>
  <c r="O705" i="9" s="1"/>
  <c r="AA766" i="9"/>
  <c r="O766" i="9" s="1"/>
  <c r="AA391" i="9"/>
  <c r="O391" i="9" s="1"/>
  <c r="AA401" i="9"/>
  <c r="O401" i="9" s="1"/>
  <c r="AA411" i="9"/>
  <c r="O411" i="9" s="1"/>
  <c r="AA421" i="9"/>
  <c r="O421" i="9" s="1"/>
  <c r="AA431" i="9"/>
  <c r="O431" i="9" s="1"/>
  <c r="AA443" i="9"/>
  <c r="O443" i="9" s="1"/>
  <c r="AA463" i="9"/>
  <c r="O463" i="9" s="1"/>
  <c r="AA474" i="9"/>
  <c r="O474" i="9" s="1"/>
  <c r="AA484" i="9"/>
  <c r="O484" i="9" s="1"/>
  <c r="AA494" i="9"/>
  <c r="O494" i="9" s="1"/>
  <c r="AA504" i="9"/>
  <c r="O504" i="9" s="1"/>
  <c r="AA514" i="9"/>
  <c r="O514" i="9" s="1"/>
  <c r="AA524" i="9"/>
  <c r="O524" i="9" s="1"/>
  <c r="AA534" i="9"/>
  <c r="O534" i="9" s="1"/>
  <c r="AA544" i="9"/>
  <c r="O544" i="9" s="1"/>
  <c r="AA554" i="9"/>
  <c r="O554" i="9" s="1"/>
  <c r="AA564" i="9"/>
  <c r="O564" i="9" s="1"/>
  <c r="AA574" i="9"/>
  <c r="O574" i="9" s="1"/>
  <c r="AA585" i="9"/>
  <c r="O585" i="9" s="1"/>
  <c r="AA596" i="9"/>
  <c r="O596" i="9" s="1"/>
  <c r="AA606" i="9"/>
  <c r="O606" i="9" s="1"/>
  <c r="AA616" i="9"/>
  <c r="O616" i="9" s="1"/>
  <c r="AA626" i="9"/>
  <c r="O626" i="9" s="1"/>
  <c r="AA636" i="9"/>
  <c r="O636" i="9" s="1"/>
  <c r="AA646" i="9"/>
  <c r="O646" i="9" s="1"/>
  <c r="AA656" i="9"/>
  <c r="O656" i="9" s="1"/>
  <c r="AA666" i="9"/>
  <c r="O666" i="9" s="1"/>
  <c r="AA676" i="9"/>
  <c r="O676" i="9" s="1"/>
  <c r="AA686" i="9"/>
  <c r="O686" i="9" s="1"/>
  <c r="AA696" i="9"/>
  <c r="O696" i="9" s="1"/>
  <c r="AA706" i="9"/>
  <c r="O706" i="9" s="1"/>
  <c r="AA717" i="9"/>
  <c r="O717" i="9" s="1"/>
  <c r="AA727" i="9"/>
  <c r="O727" i="9" s="1"/>
  <c r="AA737" i="9"/>
  <c r="O737" i="9" s="1"/>
  <c r="AA747" i="9"/>
  <c r="O747" i="9" s="1"/>
  <c r="AA757" i="9"/>
  <c r="O757" i="9" s="1"/>
  <c r="AA767" i="9"/>
  <c r="O767" i="9" s="1"/>
  <c r="AA777" i="9"/>
  <c r="O777" i="9" s="1"/>
  <c r="AA787" i="9"/>
  <c r="O787" i="9" s="1"/>
  <c r="AA797" i="9"/>
  <c r="O797" i="9" s="1"/>
  <c r="AA807" i="9"/>
  <c r="O807" i="9" s="1"/>
  <c r="AA817" i="9"/>
  <c r="O817" i="9" s="1"/>
  <c r="AA827" i="9"/>
  <c r="O827" i="9" s="1"/>
  <c r="AA837" i="9"/>
  <c r="O837" i="9" s="1"/>
  <c r="AA848" i="9"/>
  <c r="O848" i="9" s="1"/>
  <c r="AA858" i="9"/>
  <c r="O858" i="9" s="1"/>
  <c r="AA868" i="9"/>
  <c r="O868" i="9" s="1"/>
  <c r="AA878" i="9"/>
  <c r="O878" i="9" s="1"/>
  <c r="AA888" i="9"/>
  <c r="O888" i="9" s="1"/>
  <c r="AA898" i="9"/>
  <c r="O898" i="9" s="1"/>
  <c r="AA908" i="9"/>
  <c r="O908" i="9" s="1"/>
  <c r="AA918" i="9"/>
  <c r="O918" i="9" s="1"/>
  <c r="AA928" i="9"/>
  <c r="O928" i="9" s="1"/>
  <c r="AA938" i="9"/>
  <c r="O938" i="9" s="1"/>
  <c r="AA949" i="9"/>
  <c r="O949" i="9" s="1"/>
  <c r="AA959" i="9"/>
  <c r="O959" i="9" s="1"/>
  <c r="AA392" i="9"/>
  <c r="O392" i="9" s="1"/>
  <c r="AA402" i="9"/>
  <c r="O402" i="9" s="1"/>
  <c r="AA412" i="9"/>
  <c r="O412" i="9" s="1"/>
  <c r="AA422" i="9"/>
  <c r="O422" i="9" s="1"/>
  <c r="AA444" i="9"/>
  <c r="O444" i="9" s="1"/>
  <c r="AA464" i="9"/>
  <c r="O464" i="9" s="1"/>
  <c r="AA475" i="9"/>
  <c r="O475" i="9" s="1"/>
  <c r="AA495" i="9"/>
  <c r="O495" i="9" s="1"/>
  <c r="AA515" i="9"/>
  <c r="O515" i="9" s="1"/>
  <c r="AA555" i="9"/>
  <c r="O555" i="9" s="1"/>
  <c r="AA586" i="9"/>
  <c r="O586" i="9" s="1"/>
  <c r="AA597" i="9"/>
  <c r="O597" i="9" s="1"/>
  <c r="AA617" i="9"/>
  <c r="O617" i="9" s="1"/>
  <c r="AA637" i="9"/>
  <c r="O637" i="9" s="1"/>
  <c r="AA657" i="9"/>
  <c r="O657" i="9" s="1"/>
  <c r="AA677" i="9"/>
  <c r="O677" i="9" s="1"/>
  <c r="AA697" i="9"/>
  <c r="O697" i="9" s="1"/>
  <c r="AA738" i="9"/>
  <c r="O738" i="9" s="1"/>
  <c r="AA778" i="9"/>
  <c r="O778" i="9" s="1"/>
  <c r="AA879" i="9"/>
  <c r="O879" i="9" s="1"/>
  <c r="AA929" i="9"/>
  <c r="O929" i="9" s="1"/>
  <c r="AA1041" i="9"/>
  <c r="O1041" i="9" s="1"/>
  <c r="AA423" i="9"/>
  <c r="O423" i="9" s="1"/>
  <c r="AA536" i="9"/>
  <c r="O536" i="9" s="1"/>
  <c r="AA638" i="9"/>
  <c r="O638" i="9" s="1"/>
  <c r="AA698" i="9"/>
  <c r="O698" i="9" s="1"/>
  <c r="AA779" i="9"/>
  <c r="O779" i="9" s="1"/>
  <c r="AA819" i="9"/>
  <c r="O819" i="9" s="1"/>
  <c r="AA880" i="9"/>
  <c r="O880" i="9" s="1"/>
  <c r="AA1062" i="9"/>
  <c r="O1062" i="9" s="1"/>
  <c r="AA414" i="9"/>
  <c r="O414" i="9" s="1"/>
  <c r="AA446" i="9"/>
  <c r="O446" i="9" s="1"/>
  <c r="AA466" i="9"/>
  <c r="O466" i="9" s="1"/>
  <c r="AA517" i="9"/>
  <c r="O517" i="9" s="1"/>
  <c r="AA567" i="9"/>
  <c r="O567" i="9" s="1"/>
  <c r="AA599" i="9"/>
  <c r="O599" i="9" s="1"/>
  <c r="AA619" i="9"/>
  <c r="O619" i="9" s="1"/>
  <c r="AA659" i="9"/>
  <c r="O659" i="9" s="1"/>
  <c r="AA689" i="9"/>
  <c r="O689" i="9" s="1"/>
  <c r="AA790" i="9"/>
  <c r="O790" i="9" s="1"/>
  <c r="AA841" i="9"/>
  <c r="O841" i="9" s="1"/>
  <c r="AA911" i="9"/>
  <c r="O911" i="9" s="1"/>
  <c r="AA952" i="9"/>
  <c r="O952" i="9" s="1"/>
  <c r="AA973" i="9"/>
  <c r="O973" i="9" s="1"/>
  <c r="AA1043" i="9"/>
  <c r="O1043" i="9" s="1"/>
  <c r="AA498" i="9"/>
  <c r="O498" i="9" s="1"/>
  <c r="AA660" i="9"/>
  <c r="O660" i="9" s="1"/>
  <c r="AA731" i="9"/>
  <c r="O731" i="9" s="1"/>
  <c r="AA781" i="9"/>
  <c r="O781" i="9" s="1"/>
  <c r="AA862" i="9"/>
  <c r="O862" i="9" s="1"/>
  <c r="AA966" i="9"/>
  <c r="O966" i="9" s="1"/>
  <c r="AA996" i="9"/>
  <c r="O996" i="9" s="1"/>
  <c r="AA1056" i="9"/>
  <c r="O1056" i="9" s="1"/>
  <c r="AA398" i="9"/>
  <c r="O398" i="9" s="1"/>
  <c r="AA439" i="9"/>
  <c r="O439" i="9" s="1"/>
  <c r="AA470" i="9"/>
  <c r="O470" i="9" s="1"/>
  <c r="AA491" i="9"/>
  <c r="O491" i="9" s="1"/>
  <c r="AA511" i="9"/>
  <c r="O511" i="9" s="1"/>
  <c r="AA551" i="9"/>
  <c r="O551" i="9" s="1"/>
  <c r="AA593" i="9"/>
  <c r="O593" i="9" s="1"/>
  <c r="AA623" i="9"/>
  <c r="O623" i="9" s="1"/>
  <c r="AA653" i="9"/>
  <c r="O653" i="9" s="1"/>
  <c r="AA703" i="9"/>
  <c r="O703" i="9" s="1"/>
  <c r="AA754" i="9"/>
  <c r="O754" i="9" s="1"/>
  <c r="AA834" i="9"/>
  <c r="O834" i="9" s="1"/>
  <c r="AA885" i="9"/>
  <c r="O885" i="9" s="1"/>
  <c r="AA451" i="9"/>
  <c r="O451" i="9" s="1"/>
  <c r="AA512" i="9"/>
  <c r="O512" i="9" s="1"/>
  <c r="AA483" i="9"/>
  <c r="O483" i="9" s="1"/>
  <c r="AA756" i="9"/>
  <c r="O756" i="9" s="1"/>
  <c r="AA381" i="9"/>
  <c r="O381" i="9" s="1"/>
  <c r="AA970" i="9"/>
  <c r="O970" i="9" s="1"/>
  <c r="AA980" i="9"/>
  <c r="O980" i="9" s="1"/>
  <c r="AA990" i="9"/>
  <c r="O990" i="9" s="1"/>
  <c r="AA1000" i="9"/>
  <c r="O1000" i="9" s="1"/>
  <c r="AA1010" i="9"/>
  <c r="O1010" i="9" s="1"/>
  <c r="AA1020" i="9"/>
  <c r="O1020" i="9" s="1"/>
  <c r="AA1030" i="9"/>
  <c r="O1030" i="9" s="1"/>
  <c r="AA1040" i="9"/>
  <c r="O1040" i="9" s="1"/>
  <c r="AA1050" i="9"/>
  <c r="O1050" i="9" s="1"/>
  <c r="AA1060" i="9"/>
  <c r="O1060" i="9" s="1"/>
  <c r="AB1099" i="9"/>
  <c r="N1099" i="9"/>
  <c r="AA1099" i="9" l="1"/>
  <c r="O1099" i="9" s="1"/>
  <c r="O150" i="9"/>
  <c r="AB1123" i="9" l="1"/>
  <c r="AB1124" i="9"/>
  <c r="AB1125" i="9"/>
  <c r="AB1126" i="9"/>
  <c r="N1123" i="9"/>
  <c r="N1124" i="9"/>
  <c r="N1125" i="9"/>
  <c r="N1126" i="9"/>
  <c r="AB1116" i="9"/>
  <c r="AB1117" i="9"/>
  <c r="AB1118" i="9"/>
  <c r="AB1119" i="9"/>
  <c r="N1114" i="9"/>
  <c r="N1115" i="9"/>
  <c r="N1116" i="9"/>
  <c r="N1117" i="9"/>
  <c r="N1118" i="9"/>
  <c r="N1119" i="9"/>
  <c r="N1120" i="9"/>
  <c r="N1121" i="9"/>
  <c r="N1122" i="9"/>
  <c r="N1105" i="9"/>
  <c r="N1106" i="9"/>
  <c r="N1107" i="9"/>
  <c r="N1108" i="9"/>
  <c r="N1109" i="9"/>
  <c r="N1110" i="9"/>
  <c r="N1111" i="9"/>
  <c r="N1112" i="9"/>
  <c r="N1113" i="9"/>
  <c r="AB1105" i="9"/>
  <c r="AB1106" i="9"/>
  <c r="AB1107" i="9"/>
  <c r="AB1108" i="9"/>
  <c r="AB1109" i="9"/>
  <c r="AB1110" i="9"/>
  <c r="AB1111" i="9"/>
  <c r="AB1112" i="9"/>
  <c r="AB1113" i="9"/>
  <c r="AB1114" i="9"/>
  <c r="AB1115" i="9"/>
  <c r="AB1120" i="9"/>
  <c r="AB1121" i="9"/>
  <c r="AB1122" i="9"/>
  <c r="T1467" i="9"/>
  <c r="N1467" i="9"/>
  <c r="T1395" i="9"/>
  <c r="S1324" i="9"/>
  <c r="R1324" i="9"/>
  <c r="AB1104" i="9"/>
  <c r="AB1103" i="9"/>
  <c r="AB1102" i="9"/>
  <c r="AB1101" i="9"/>
  <c r="AB1100" i="9"/>
  <c r="AB1098" i="9"/>
  <c r="N1098" i="9"/>
  <c r="AB1097" i="9"/>
  <c r="AB1096" i="9"/>
  <c r="AB1086" i="9"/>
  <c r="AB1093" i="9"/>
  <c r="AB1092" i="9"/>
  <c r="AB1091" i="9"/>
  <c r="AA1085" i="9"/>
  <c r="O1085" i="9" s="1"/>
  <c r="N1085" i="9"/>
  <c r="AB1078" i="9"/>
  <c r="AB377" i="9"/>
  <c r="AB376" i="9"/>
  <c r="AB375" i="9"/>
  <c r="AB374" i="9"/>
  <c r="N374" i="9"/>
  <c r="AB373" i="9"/>
  <c r="AB372" i="9"/>
  <c r="AB371" i="9"/>
  <c r="AB370" i="9"/>
  <c r="S368" i="9"/>
  <c r="T356" i="9"/>
  <c r="T346" i="9"/>
  <c r="N346" i="9"/>
  <c r="T336" i="9"/>
  <c r="N336" i="9"/>
  <c r="T326" i="9"/>
  <c r="N326" i="9"/>
  <c r="T316" i="9"/>
  <c r="N316" i="9"/>
  <c r="T306" i="9"/>
  <c r="N306" i="9"/>
  <c r="T296" i="9"/>
  <c r="N296" i="9"/>
  <c r="T286" i="9"/>
  <c r="N286" i="9"/>
  <c r="T276" i="9"/>
  <c r="N276" i="9"/>
  <c r="T271" i="9"/>
  <c r="N271" i="9"/>
  <c r="T270" i="9"/>
  <c r="N270" i="9"/>
  <c r="T269" i="9"/>
  <c r="N269" i="9"/>
  <c r="T268" i="9"/>
  <c r="N268" i="9"/>
  <c r="T267" i="9"/>
  <c r="N267" i="9"/>
  <c r="T266" i="9"/>
  <c r="N266" i="9"/>
  <c r="T265" i="9"/>
  <c r="N265" i="9"/>
  <c r="T264" i="9"/>
  <c r="N264" i="9"/>
  <c r="T263" i="9"/>
  <c r="N263" i="9"/>
  <c r="T262" i="9"/>
  <c r="N262" i="9"/>
  <c r="T256" i="9"/>
  <c r="N256" i="9"/>
  <c r="T246" i="9"/>
  <c r="N246" i="9"/>
  <c r="T236" i="9"/>
  <c r="N236" i="9"/>
  <c r="T226" i="9"/>
  <c r="N226" i="9"/>
  <c r="T216" i="9"/>
  <c r="N216" i="9"/>
  <c r="T206" i="9"/>
  <c r="N206" i="9"/>
  <c r="T196" i="9"/>
  <c r="T186" i="9"/>
  <c r="N186" i="9"/>
  <c r="AC185" i="9"/>
  <c r="S177" i="9"/>
  <c r="R177" i="9"/>
  <c r="Q177" i="9"/>
  <c r="T148" i="9"/>
  <c r="N148" i="9"/>
  <c r="T147" i="9"/>
  <c r="N147" i="9"/>
  <c r="N146" i="9"/>
  <c r="T145" i="9"/>
  <c r="N145" i="9"/>
  <c r="N144" i="9"/>
  <c r="T143" i="9"/>
  <c r="N143" i="9"/>
  <c r="T142" i="9"/>
  <c r="N142" i="9"/>
  <c r="T135" i="9"/>
  <c r="N135" i="9"/>
  <c r="AB125" i="9"/>
  <c r="N125" i="9"/>
  <c r="T115" i="9"/>
  <c r="N115" i="9"/>
  <c r="T105" i="9"/>
  <c r="N105" i="9"/>
  <c r="N95" i="9"/>
  <c r="T85" i="9"/>
  <c r="N85" i="9"/>
  <c r="T75" i="9"/>
  <c r="N75" i="9"/>
  <c r="T64" i="9"/>
  <c r="N64" i="9"/>
  <c r="T54" i="9"/>
  <c r="N54" i="9"/>
  <c r="T49" i="9"/>
  <c r="N49" i="9"/>
  <c r="T48" i="9"/>
  <c r="N48" i="9"/>
  <c r="T47" i="9"/>
  <c r="N47" i="9"/>
  <c r="T46" i="9"/>
  <c r="N46" i="9"/>
  <c r="T45" i="9"/>
  <c r="N45" i="9"/>
  <c r="T44" i="9"/>
  <c r="N44" i="9"/>
  <c r="T43" i="9"/>
  <c r="N43" i="9"/>
  <c r="T42" i="9"/>
  <c r="N42" i="9"/>
  <c r="AB41" i="9"/>
  <c r="N41" i="9"/>
  <c r="T40" i="9"/>
  <c r="N40" i="9"/>
  <c r="T34" i="9"/>
  <c r="L32" i="9"/>
  <c r="L29" i="9"/>
  <c r="L28" i="9"/>
  <c r="L27" i="9"/>
  <c r="L26" i="9"/>
  <c r="T24" i="9"/>
  <c r="N24" i="9"/>
  <c r="T14" i="9"/>
  <c r="O14" i="9"/>
  <c r="N14" i="9"/>
  <c r="S13" i="9"/>
  <c r="N1097" i="9"/>
  <c r="N1100" i="9"/>
  <c r="N1101" i="9"/>
  <c r="N1102" i="9"/>
  <c r="N1103" i="9"/>
  <c r="N1104" i="9"/>
  <c r="N1078" i="9"/>
  <c r="N1082" i="9"/>
  <c r="N1083" i="9"/>
  <c r="N1084" i="9"/>
  <c r="N1091" i="9"/>
  <c r="N1092" i="9"/>
  <c r="N1093" i="9"/>
  <c r="N1081" i="9"/>
  <c r="N1086" i="9"/>
  <c r="N1096" i="9"/>
  <c r="N149" i="9"/>
  <c r="N150" i="9"/>
  <c r="N151" i="9"/>
  <c r="N152" i="9"/>
  <c r="AB368" i="9" l="1"/>
  <c r="AA147" i="9"/>
  <c r="AA148" i="9"/>
  <c r="AB216" i="9"/>
  <c r="AB1467" i="9"/>
  <c r="AA1126" i="9"/>
  <c r="O1126" i="9" s="1"/>
  <c r="AA1125" i="9"/>
  <c r="O1125" i="9" s="1"/>
  <c r="AB262" i="9"/>
  <c r="AA1098" i="9"/>
  <c r="O1098" i="9" s="1"/>
  <c r="AA1111" i="9"/>
  <c r="O1111" i="9" s="1"/>
  <c r="AA1123" i="9"/>
  <c r="O1123" i="9" s="1"/>
  <c r="AB236" i="9"/>
  <c r="AA1101" i="9"/>
  <c r="O1101" i="9" s="1"/>
  <c r="AA1118" i="9"/>
  <c r="O1118" i="9" s="1"/>
  <c r="AB246" i="9"/>
  <c r="AB336" i="9"/>
  <c r="AA1103" i="9"/>
  <c r="O1103" i="9" s="1"/>
  <c r="AA1107" i="9"/>
  <c r="O1107" i="9" s="1"/>
  <c r="AA1104" i="9"/>
  <c r="O1104" i="9" s="1"/>
  <c r="AA1122" i="9"/>
  <c r="O1122" i="9" s="1"/>
  <c r="AA1106" i="9"/>
  <c r="O1106" i="9" s="1"/>
  <c r="AB147" i="9"/>
  <c r="AB296" i="9"/>
  <c r="AA1115" i="9"/>
  <c r="O1115" i="9" s="1"/>
  <c r="AB144" i="9"/>
  <c r="AB148" i="9"/>
  <c r="AB269" i="9"/>
  <c r="AB306" i="9"/>
  <c r="AA1112" i="9"/>
  <c r="O1112" i="9" s="1"/>
  <c r="AA1124" i="9"/>
  <c r="O1124" i="9" s="1"/>
  <c r="AB145" i="9"/>
  <c r="AB226" i="9"/>
  <c r="AB264" i="9"/>
  <c r="AA1100" i="9"/>
  <c r="O1100" i="9" s="1"/>
  <c r="AA1110" i="9"/>
  <c r="O1110" i="9" s="1"/>
  <c r="AB265" i="9"/>
  <c r="AB326" i="9"/>
  <c r="AA1109" i="9"/>
  <c r="O1109" i="9" s="1"/>
  <c r="AA1102" i="9"/>
  <c r="O1102" i="9" s="1"/>
  <c r="AA1108" i="9"/>
  <c r="O1108" i="9" s="1"/>
  <c r="AA1116" i="9"/>
  <c r="O1116" i="9" s="1"/>
  <c r="AB186" i="9"/>
  <c r="AB146" i="9"/>
  <c r="AB196" i="9"/>
  <c r="AB256" i="9"/>
  <c r="AB286" i="9"/>
  <c r="AB346" i="9"/>
  <c r="AA374" i="9"/>
  <c r="O374" i="9" s="1"/>
  <c r="AA1121" i="9"/>
  <c r="O1121" i="9" s="1"/>
  <c r="AA1105" i="9"/>
  <c r="O1105" i="9" s="1"/>
  <c r="AB268" i="9"/>
  <c r="AA1114" i="9"/>
  <c r="O1114" i="9" s="1"/>
  <c r="AA1097" i="9"/>
  <c r="O1097" i="9" s="1"/>
  <c r="AA1113" i="9"/>
  <c r="O1113" i="9" s="1"/>
  <c r="AB316" i="9"/>
  <c r="AA1119" i="9"/>
  <c r="O1119" i="9" s="1"/>
  <c r="AA1117" i="9"/>
  <c r="O1117" i="9" s="1"/>
  <c r="AA1120" i="9"/>
  <c r="O1120" i="9" s="1"/>
  <c r="AA41" i="9"/>
  <c r="AB49" i="9"/>
  <c r="AB43" i="9"/>
  <c r="AB105" i="9"/>
  <c r="AB54" i="9"/>
  <c r="AB64" i="9"/>
  <c r="AB46" i="9"/>
  <c r="AB75" i="9"/>
  <c r="AB135" i="9"/>
  <c r="AB45" i="9"/>
  <c r="AB44" i="9"/>
  <c r="AB47" i="9"/>
  <c r="AB142" i="9"/>
  <c r="AB115" i="9"/>
  <c r="AB85" i="9"/>
  <c r="AB42" i="9"/>
  <c r="AB48" i="9"/>
  <c r="AB95" i="9"/>
  <c r="AB143" i="9"/>
  <c r="AB14" i="9"/>
  <c r="AB271" i="9"/>
  <c r="AA44" i="9"/>
  <c r="O44" i="9" s="1"/>
  <c r="AB266" i="9"/>
  <c r="AB34" i="9"/>
  <c r="AB267" i="9"/>
  <c r="AB263" i="9"/>
  <c r="AB24" i="9"/>
  <c r="AB356" i="9"/>
  <c r="AB40" i="9"/>
  <c r="AB270" i="9"/>
  <c r="AB1395" i="9"/>
  <c r="AA1395" i="9"/>
  <c r="AA125" i="9"/>
  <c r="AA64" i="9"/>
  <c r="O64" i="9" s="1"/>
  <c r="AB206" i="9"/>
  <c r="AB276" i="9"/>
  <c r="AA1467" i="9"/>
  <c r="T150" i="9"/>
  <c r="T151" i="9"/>
  <c r="T152" i="9"/>
  <c r="AA146" i="9" l="1"/>
  <c r="AB152" i="9"/>
  <c r="AA246" i="9"/>
  <c r="AA336" i="9"/>
  <c r="AB150" i="9"/>
  <c r="AA145" i="9"/>
  <c r="AA296" i="9"/>
  <c r="AA264" i="9"/>
  <c r="AA346" i="9"/>
  <c r="AA262" i="9"/>
  <c r="AA306" i="9"/>
  <c r="AA326" i="9"/>
  <c r="AA226" i="9"/>
  <c r="AA286" i="9"/>
  <c r="AA269" i="9"/>
  <c r="AA256" i="9"/>
  <c r="AB149" i="9"/>
  <c r="AA236" i="9"/>
  <c r="AB151" i="9"/>
  <c r="AA265" i="9"/>
  <c r="AA196" i="9"/>
  <c r="O196" i="9" s="1"/>
  <c r="AA216" i="9"/>
  <c r="AA316" i="9"/>
  <c r="AA268" i="9"/>
  <c r="AA186" i="9"/>
  <c r="AA144" i="9"/>
  <c r="AA43" i="9"/>
  <c r="O43" i="9" s="1"/>
  <c r="AA206" i="9"/>
  <c r="AA270" i="9"/>
  <c r="AA263" i="9"/>
  <c r="AA276" i="9"/>
  <c r="AA356" i="9"/>
  <c r="AA267" i="9"/>
  <c r="AA266" i="9"/>
  <c r="AA271" i="9"/>
  <c r="AA42" i="9"/>
  <c r="O42" i="9" s="1"/>
  <c r="AA49" i="9"/>
  <c r="O49" i="9" s="1"/>
  <c r="AA24" i="9"/>
  <c r="O24" i="9" s="1"/>
  <c r="AA143" i="9"/>
  <c r="AA105" i="9"/>
  <c r="AA47" i="9"/>
  <c r="O47" i="9" s="1"/>
  <c r="AA40" i="9"/>
  <c r="O40" i="9" s="1"/>
  <c r="AA135" i="9"/>
  <c r="AA46" i="9"/>
  <c r="O46" i="9" s="1"/>
  <c r="AA54" i="9"/>
  <c r="O54" i="9" s="1"/>
  <c r="AA34" i="9"/>
  <c r="AA85" i="9"/>
  <c r="AA75" i="9"/>
  <c r="AA48" i="9"/>
  <c r="O48" i="9" s="1"/>
  <c r="AA115" i="9"/>
  <c r="AA95" i="9"/>
  <c r="AA45" i="9"/>
  <c r="O45" i="9" s="1"/>
  <c r="AA142" i="9"/>
  <c r="AA1078" i="9"/>
  <c r="O1078" i="9" s="1"/>
  <c r="AA1082" i="9"/>
  <c r="O1082" i="9" s="1"/>
  <c r="AA1083" i="9"/>
  <c r="O1083" i="9" s="1"/>
  <c r="AA1084" i="9"/>
  <c r="AA1091" i="9"/>
  <c r="O1091" i="9" s="1"/>
  <c r="AA1092" i="9"/>
  <c r="O1092" i="9" s="1"/>
  <c r="AA1093" i="9"/>
  <c r="AA1086" i="9"/>
  <c r="O1086" i="9" s="1"/>
  <c r="AA1096" i="9"/>
  <c r="O1096" i="9" s="1"/>
  <c r="AA152" i="9" l="1"/>
  <c r="O152" i="9" s="1"/>
  <c r="AA151" i="9"/>
  <c r="O151" i="9" s="1"/>
  <c r="AA149" i="9"/>
  <c r="O1084" i="9"/>
  <c r="T357" i="9" l="1"/>
  <c r="T358" i="9"/>
  <c r="T359" i="9"/>
  <c r="T360" i="9"/>
  <c r="T361" i="9"/>
  <c r="AB193" i="9" l="1"/>
  <c r="AB361" i="9"/>
  <c r="AB360" i="9"/>
  <c r="AB359" i="9"/>
  <c r="AB358" i="9"/>
  <c r="AB357" i="9"/>
  <c r="AB195" i="9"/>
  <c r="AB194" i="9"/>
  <c r="T1396" i="9"/>
  <c r="T1397" i="9"/>
  <c r="T1398" i="9"/>
  <c r="T1399" i="9"/>
  <c r="T1400" i="9"/>
  <c r="AA1400" i="9" l="1"/>
  <c r="AA1399" i="9"/>
  <c r="AA1396" i="9"/>
  <c r="AA1397" i="9"/>
  <c r="AA194" i="9"/>
  <c r="O194" i="9" s="1"/>
  <c r="AA361" i="9"/>
  <c r="AB1398" i="9"/>
  <c r="AA358" i="9"/>
  <c r="AA359" i="9"/>
  <c r="AA360" i="9"/>
  <c r="AA193" i="9"/>
  <c r="O193" i="9" s="1"/>
  <c r="AA195" i="9"/>
  <c r="O195" i="9" s="1"/>
  <c r="AA357" i="9"/>
  <c r="AB1400" i="9"/>
  <c r="AB1399" i="9"/>
  <c r="AA1398" i="9"/>
  <c r="AB1396" i="9"/>
  <c r="AB1397" i="9"/>
  <c r="AB1281" i="9" l="1"/>
  <c r="N243" i="9"/>
  <c r="T243" i="9"/>
  <c r="AB243" i="9" l="1"/>
  <c r="AA243" i="9" l="1"/>
  <c r="T207" i="9"/>
  <c r="T294" i="9"/>
  <c r="T293" i="9"/>
  <c r="T292" i="9"/>
  <c r="T291" i="9"/>
  <c r="T290" i="9"/>
  <c r="T289" i="9"/>
  <c r="T355" i="9"/>
  <c r="T205" i="9"/>
  <c r="T204" i="9"/>
  <c r="T178" i="9"/>
  <c r="N377" i="9" l="1"/>
  <c r="N376" i="9"/>
  <c r="N375" i="9"/>
  <c r="N370" i="9"/>
  <c r="N371" i="9"/>
  <c r="N372" i="9"/>
  <c r="AA376" i="9" l="1"/>
  <c r="AA372" i="9"/>
  <c r="AA371" i="9"/>
  <c r="AA377" i="9"/>
  <c r="AA373" i="9"/>
  <c r="AA375" i="9"/>
  <c r="N373" i="9"/>
  <c r="N369" i="9" s="1"/>
  <c r="G87" i="10"/>
  <c r="I87" i="10" s="1"/>
  <c r="G86" i="10"/>
  <c r="H86" i="10" s="1"/>
  <c r="W85" i="10"/>
  <c r="G83" i="10"/>
  <c r="G84" i="10" s="1"/>
  <c r="H82" i="10"/>
  <c r="I82" i="10" s="1"/>
  <c r="J82" i="10" s="1"/>
  <c r="E76" i="10"/>
  <c r="G72" i="10"/>
  <c r="H72" i="10" s="1"/>
  <c r="G70" i="10"/>
  <c r="H70" i="10" s="1"/>
  <c r="G68" i="10"/>
  <c r="H68" i="10" s="1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C20" i="10"/>
  <c r="C19" i="10"/>
  <c r="C18" i="10"/>
  <c r="T1469" i="9"/>
  <c r="N1469" i="9"/>
  <c r="T1468" i="9"/>
  <c r="N1468" i="9"/>
  <c r="T1466" i="9"/>
  <c r="N1466" i="9"/>
  <c r="T1465" i="9"/>
  <c r="N1465" i="9"/>
  <c r="T1464" i="9"/>
  <c r="N1464" i="9"/>
  <c r="T1463" i="9"/>
  <c r="N1463" i="9"/>
  <c r="T1462" i="9"/>
  <c r="N1462" i="9"/>
  <c r="T1461" i="9"/>
  <c r="N1461" i="9"/>
  <c r="T1460" i="9"/>
  <c r="N1460" i="9"/>
  <c r="AC1459" i="9"/>
  <c r="AC1280" i="9" s="1"/>
  <c r="S1459" i="9"/>
  <c r="S1280" i="9" s="1"/>
  <c r="R1459" i="9"/>
  <c r="Q1459" i="9"/>
  <c r="O1459" i="9"/>
  <c r="L1459" i="9"/>
  <c r="L1280" i="9" s="1"/>
  <c r="T1403" i="9"/>
  <c r="T1402" i="9"/>
  <c r="T1401" i="9"/>
  <c r="AB355" i="9"/>
  <c r="N355" i="9"/>
  <c r="T354" i="9"/>
  <c r="N354" i="9"/>
  <c r="T353" i="9"/>
  <c r="N353" i="9"/>
  <c r="T352" i="9"/>
  <c r="N352" i="9"/>
  <c r="T351" i="9"/>
  <c r="N351" i="9"/>
  <c r="T350" i="9"/>
  <c r="N350" i="9"/>
  <c r="T349" i="9"/>
  <c r="N349" i="9"/>
  <c r="T348" i="9"/>
  <c r="N348" i="9"/>
  <c r="AB347" i="9"/>
  <c r="N347" i="9"/>
  <c r="T345" i="9"/>
  <c r="N345" i="9"/>
  <c r="T344" i="9"/>
  <c r="N344" i="9"/>
  <c r="T343" i="9"/>
  <c r="N343" i="9"/>
  <c r="T342" i="9"/>
  <c r="N342" i="9"/>
  <c r="T341" i="9"/>
  <c r="N341" i="9"/>
  <c r="T340" i="9"/>
  <c r="N340" i="9"/>
  <c r="T339" i="9"/>
  <c r="N339" i="9"/>
  <c r="T338" i="9"/>
  <c r="N338" i="9"/>
  <c r="T337" i="9"/>
  <c r="N337" i="9"/>
  <c r="T335" i="9"/>
  <c r="N335" i="9"/>
  <c r="T334" i="9"/>
  <c r="N334" i="9"/>
  <c r="T333" i="9"/>
  <c r="N333" i="9"/>
  <c r="T332" i="9"/>
  <c r="N332" i="9"/>
  <c r="T331" i="9"/>
  <c r="N331" i="9"/>
  <c r="T330" i="9"/>
  <c r="N330" i="9"/>
  <c r="T329" i="9"/>
  <c r="N329" i="9"/>
  <c r="T328" i="9"/>
  <c r="N328" i="9"/>
  <c r="T327" i="9"/>
  <c r="N327" i="9"/>
  <c r="T325" i="9"/>
  <c r="N325" i="9"/>
  <c r="T324" i="9"/>
  <c r="N324" i="9"/>
  <c r="T323" i="9"/>
  <c r="N323" i="9"/>
  <c r="T322" i="9"/>
  <c r="N322" i="9"/>
  <c r="T321" i="9"/>
  <c r="N321" i="9"/>
  <c r="T320" i="9"/>
  <c r="N320" i="9"/>
  <c r="T319" i="9"/>
  <c r="N319" i="9"/>
  <c r="T318" i="9"/>
  <c r="N318" i="9"/>
  <c r="T317" i="9"/>
  <c r="N317" i="9"/>
  <c r="T315" i="9"/>
  <c r="N315" i="9"/>
  <c r="T314" i="9"/>
  <c r="N314" i="9"/>
  <c r="N313" i="9"/>
  <c r="N312" i="9"/>
  <c r="T311" i="9"/>
  <c r="N311" i="9"/>
  <c r="T310" i="9"/>
  <c r="N310" i="9"/>
  <c r="T309" i="9"/>
  <c r="N309" i="9"/>
  <c r="T308" i="9"/>
  <c r="N308" i="9"/>
  <c r="T307" i="9"/>
  <c r="N307" i="9"/>
  <c r="T305" i="9"/>
  <c r="N305" i="9"/>
  <c r="T304" i="9"/>
  <c r="N304" i="9"/>
  <c r="T303" i="9"/>
  <c r="N303" i="9"/>
  <c r="T302" i="9"/>
  <c r="N302" i="9"/>
  <c r="T301" i="9"/>
  <c r="N301" i="9"/>
  <c r="T300" i="9"/>
  <c r="N300" i="9"/>
  <c r="T299" i="9"/>
  <c r="N299" i="9"/>
  <c r="T298" i="9"/>
  <c r="N298" i="9"/>
  <c r="T297" i="9"/>
  <c r="N297" i="9"/>
  <c r="T295" i="9"/>
  <c r="N295" i="9"/>
  <c r="AB294" i="9"/>
  <c r="N294" i="9"/>
  <c r="AB293" i="9"/>
  <c r="N293" i="9"/>
  <c r="AB292" i="9"/>
  <c r="N292" i="9"/>
  <c r="N291" i="9"/>
  <c r="N290" i="9"/>
  <c r="AB289" i="9"/>
  <c r="N289" i="9"/>
  <c r="T288" i="9"/>
  <c r="N288" i="9"/>
  <c r="T287" i="9"/>
  <c r="N287" i="9"/>
  <c r="T285" i="9"/>
  <c r="N285" i="9"/>
  <c r="T284" i="9"/>
  <c r="N284" i="9"/>
  <c r="T283" i="9"/>
  <c r="N283" i="9"/>
  <c r="T282" i="9"/>
  <c r="N282" i="9"/>
  <c r="T281" i="9"/>
  <c r="N281" i="9"/>
  <c r="T280" i="9"/>
  <c r="N280" i="9"/>
  <c r="T279" i="9"/>
  <c r="N279" i="9"/>
  <c r="T278" i="9"/>
  <c r="N278" i="9"/>
  <c r="T277" i="9"/>
  <c r="N277" i="9"/>
  <c r="T275" i="9"/>
  <c r="N275" i="9"/>
  <c r="T274" i="9"/>
  <c r="N274" i="9"/>
  <c r="T273" i="9"/>
  <c r="N273" i="9"/>
  <c r="T272" i="9"/>
  <c r="N272" i="9"/>
  <c r="T261" i="9"/>
  <c r="N261" i="9"/>
  <c r="T260" i="9"/>
  <c r="N260" i="9"/>
  <c r="T259" i="9"/>
  <c r="N259" i="9"/>
  <c r="T258" i="9"/>
  <c r="N258" i="9"/>
  <c r="T257" i="9"/>
  <c r="N257" i="9"/>
  <c r="T255" i="9"/>
  <c r="N255" i="9"/>
  <c r="T254" i="9"/>
  <c r="N254" i="9"/>
  <c r="T253" i="9"/>
  <c r="N253" i="9"/>
  <c r="T252" i="9"/>
  <c r="N252" i="9"/>
  <c r="T251" i="9"/>
  <c r="N251" i="9"/>
  <c r="T250" i="9"/>
  <c r="N250" i="9"/>
  <c r="T249" i="9"/>
  <c r="N249" i="9"/>
  <c r="T248" i="9"/>
  <c r="N248" i="9"/>
  <c r="T247" i="9"/>
  <c r="N247" i="9"/>
  <c r="T203" i="9"/>
  <c r="N203" i="9"/>
  <c r="T242" i="9"/>
  <c r="N242" i="9"/>
  <c r="T241" i="9"/>
  <c r="N241" i="9"/>
  <c r="T240" i="9"/>
  <c r="N240" i="9"/>
  <c r="T239" i="9"/>
  <c r="N239" i="9"/>
  <c r="T238" i="9"/>
  <c r="N238" i="9"/>
  <c r="T237" i="9"/>
  <c r="N237" i="9"/>
  <c r="T235" i="9"/>
  <c r="N235" i="9"/>
  <c r="T234" i="9"/>
  <c r="N234" i="9"/>
  <c r="T233" i="9"/>
  <c r="N233" i="9"/>
  <c r="T232" i="9"/>
  <c r="N232" i="9"/>
  <c r="T231" i="9"/>
  <c r="N231" i="9"/>
  <c r="T230" i="9"/>
  <c r="N230" i="9"/>
  <c r="T229" i="9"/>
  <c r="N229" i="9"/>
  <c r="T228" i="9"/>
  <c r="N228" i="9"/>
  <c r="T227" i="9"/>
  <c r="N227" i="9"/>
  <c r="T225" i="9"/>
  <c r="N225" i="9"/>
  <c r="T224" i="9"/>
  <c r="N224" i="9"/>
  <c r="T223" i="9"/>
  <c r="N223" i="9"/>
  <c r="T222" i="9"/>
  <c r="N222" i="9"/>
  <c r="T221" i="9"/>
  <c r="N221" i="9"/>
  <c r="T220" i="9"/>
  <c r="N220" i="9"/>
  <c r="T219" i="9"/>
  <c r="N219" i="9"/>
  <c r="T218" i="9"/>
  <c r="N218" i="9"/>
  <c r="T217" i="9"/>
  <c r="N217" i="9"/>
  <c r="T215" i="9"/>
  <c r="N215" i="9"/>
  <c r="T214" i="9"/>
  <c r="N214" i="9"/>
  <c r="T213" i="9"/>
  <c r="N213" i="9"/>
  <c r="T212" i="9"/>
  <c r="N212" i="9"/>
  <c r="T211" i="9"/>
  <c r="N211" i="9"/>
  <c r="T210" i="9"/>
  <c r="N210" i="9"/>
  <c r="T209" i="9"/>
  <c r="N209" i="9"/>
  <c r="T208" i="9"/>
  <c r="N208" i="9"/>
  <c r="AB207" i="9"/>
  <c r="N207" i="9"/>
  <c r="T245" i="9"/>
  <c r="N245" i="9"/>
  <c r="T244" i="9"/>
  <c r="N244" i="9"/>
  <c r="T202" i="9"/>
  <c r="N202" i="9"/>
  <c r="N204" i="9"/>
  <c r="N205" i="9"/>
  <c r="T201" i="9"/>
  <c r="N201" i="9"/>
  <c r="T200" i="9"/>
  <c r="N200" i="9"/>
  <c r="T199" i="9"/>
  <c r="N199" i="9"/>
  <c r="T198" i="9"/>
  <c r="N198" i="9"/>
  <c r="T197" i="9"/>
  <c r="N197" i="9"/>
  <c r="T190" i="9"/>
  <c r="N190" i="9"/>
  <c r="T189" i="9"/>
  <c r="N189" i="9"/>
  <c r="T192" i="9"/>
  <c r="N192" i="9"/>
  <c r="T191" i="9"/>
  <c r="N191" i="9"/>
  <c r="T188" i="9"/>
  <c r="N188" i="9"/>
  <c r="T187" i="9"/>
  <c r="N187" i="9"/>
  <c r="T185" i="9"/>
  <c r="N185" i="9"/>
  <c r="T184" i="9"/>
  <c r="N184" i="9"/>
  <c r="T183" i="9"/>
  <c r="N183" i="9"/>
  <c r="T182" i="9"/>
  <c r="N182" i="9"/>
  <c r="T181" i="9"/>
  <c r="N181" i="9"/>
  <c r="T180" i="9"/>
  <c r="N180" i="9"/>
  <c r="AB178" i="9"/>
  <c r="N178" i="9"/>
  <c r="M177" i="9"/>
  <c r="M13" i="9" s="1"/>
  <c r="T141" i="9"/>
  <c r="N141" i="9"/>
  <c r="T140" i="9"/>
  <c r="N140" i="9"/>
  <c r="T138" i="9"/>
  <c r="N138" i="9"/>
  <c r="T137" i="9"/>
  <c r="N137" i="9"/>
  <c r="T136" i="9"/>
  <c r="N136" i="9"/>
  <c r="T134" i="9"/>
  <c r="N134" i="9"/>
  <c r="T133" i="9"/>
  <c r="N133" i="9"/>
  <c r="T132" i="9"/>
  <c r="N132" i="9"/>
  <c r="T131" i="9"/>
  <c r="N131" i="9"/>
  <c r="T130" i="9"/>
  <c r="N130" i="9"/>
  <c r="T129" i="9"/>
  <c r="N129" i="9"/>
  <c r="T128" i="9"/>
  <c r="N128" i="9"/>
  <c r="T127" i="9"/>
  <c r="N127" i="9"/>
  <c r="N126" i="9"/>
  <c r="N124" i="9"/>
  <c r="N123" i="9"/>
  <c r="T122" i="9"/>
  <c r="N122" i="9"/>
  <c r="T121" i="9"/>
  <c r="N121" i="9"/>
  <c r="T120" i="9"/>
  <c r="N120" i="9"/>
  <c r="T119" i="9"/>
  <c r="N119" i="9"/>
  <c r="T118" i="9"/>
  <c r="N118" i="9"/>
  <c r="T117" i="9"/>
  <c r="N117" i="9"/>
  <c r="T116" i="9"/>
  <c r="N116" i="9"/>
  <c r="T114" i="9"/>
  <c r="N114" i="9"/>
  <c r="T113" i="9"/>
  <c r="N113" i="9"/>
  <c r="T112" i="9"/>
  <c r="N112" i="9"/>
  <c r="T111" i="9"/>
  <c r="N111" i="9"/>
  <c r="N110" i="9"/>
  <c r="T109" i="9"/>
  <c r="N109" i="9"/>
  <c r="T108" i="9"/>
  <c r="N108" i="9"/>
  <c r="T107" i="9"/>
  <c r="N107" i="9"/>
  <c r="T106" i="9"/>
  <c r="N106" i="9"/>
  <c r="T104" i="9"/>
  <c r="N104" i="9"/>
  <c r="T103" i="9"/>
  <c r="N103" i="9"/>
  <c r="T102" i="9"/>
  <c r="N102" i="9"/>
  <c r="T101" i="9"/>
  <c r="N101" i="9"/>
  <c r="T100" i="9"/>
  <c r="N100" i="9"/>
  <c r="T99" i="9"/>
  <c r="N99" i="9"/>
  <c r="T98" i="9"/>
  <c r="N98" i="9"/>
  <c r="T97" i="9"/>
  <c r="N97" i="9"/>
  <c r="N96" i="9"/>
  <c r="T94" i="9"/>
  <c r="N94" i="9"/>
  <c r="T93" i="9"/>
  <c r="N93" i="9"/>
  <c r="T92" i="9"/>
  <c r="N92" i="9"/>
  <c r="T91" i="9"/>
  <c r="N91" i="9"/>
  <c r="T90" i="9"/>
  <c r="N90" i="9"/>
  <c r="T89" i="9"/>
  <c r="N89" i="9"/>
  <c r="T88" i="9"/>
  <c r="N88" i="9"/>
  <c r="T87" i="9"/>
  <c r="N87" i="9"/>
  <c r="T86" i="9"/>
  <c r="N86" i="9"/>
  <c r="T84" i="9"/>
  <c r="N84" i="9"/>
  <c r="T83" i="9"/>
  <c r="N83" i="9"/>
  <c r="T82" i="9"/>
  <c r="N82" i="9"/>
  <c r="T81" i="9"/>
  <c r="N81" i="9"/>
  <c r="T80" i="9"/>
  <c r="N80" i="9"/>
  <c r="T79" i="9"/>
  <c r="N79" i="9"/>
  <c r="T78" i="9"/>
  <c r="N78" i="9"/>
  <c r="T77" i="9"/>
  <c r="N77" i="9"/>
  <c r="T76" i="9"/>
  <c r="N76" i="9"/>
  <c r="T74" i="9"/>
  <c r="N74" i="9"/>
  <c r="T73" i="9"/>
  <c r="T71" i="9"/>
  <c r="N71" i="9"/>
  <c r="T70" i="9"/>
  <c r="N70" i="9"/>
  <c r="T69" i="9"/>
  <c r="N69" i="9"/>
  <c r="T68" i="9"/>
  <c r="N68" i="9"/>
  <c r="AB67" i="9"/>
  <c r="N67" i="9"/>
  <c r="T66" i="9"/>
  <c r="N66" i="9"/>
  <c r="T65" i="9"/>
  <c r="N65" i="9"/>
  <c r="T63" i="9"/>
  <c r="N63" i="9"/>
  <c r="T62" i="9"/>
  <c r="N62" i="9"/>
  <c r="T61" i="9"/>
  <c r="N61" i="9"/>
  <c r="T60" i="9"/>
  <c r="N60" i="9"/>
  <c r="T59" i="9"/>
  <c r="N59" i="9"/>
  <c r="T58" i="9"/>
  <c r="N58" i="9"/>
  <c r="T57" i="9"/>
  <c r="N57" i="9"/>
  <c r="T56" i="9"/>
  <c r="N56" i="9"/>
  <c r="T55" i="9"/>
  <c r="N55" i="9"/>
  <c r="T53" i="9"/>
  <c r="N53" i="9"/>
  <c r="T52" i="9"/>
  <c r="N52" i="9"/>
  <c r="T51" i="9"/>
  <c r="N51" i="9"/>
  <c r="T50" i="9"/>
  <c r="N50" i="9"/>
  <c r="T39" i="9"/>
  <c r="N39" i="9"/>
  <c r="T38" i="9"/>
  <c r="N38" i="9"/>
  <c r="T37" i="9"/>
  <c r="N37" i="9"/>
  <c r="AB36" i="9"/>
  <c r="N36" i="9"/>
  <c r="T35" i="9"/>
  <c r="N35" i="9"/>
  <c r="L34" i="9"/>
  <c r="T33" i="9"/>
  <c r="L33" i="9"/>
  <c r="T32" i="9"/>
  <c r="N32" i="9"/>
  <c r="T31" i="9"/>
  <c r="L31" i="9"/>
  <c r="N31" i="9" s="1"/>
  <c r="T30" i="9"/>
  <c r="L30" i="9"/>
  <c r="T29" i="9"/>
  <c r="N29" i="9"/>
  <c r="T28" i="9"/>
  <c r="N28" i="9"/>
  <c r="T27" i="9"/>
  <c r="T26" i="9"/>
  <c r="T25" i="9"/>
  <c r="N25" i="9"/>
  <c r="T23" i="9"/>
  <c r="N23" i="9"/>
  <c r="T22" i="9"/>
  <c r="N22" i="9"/>
  <c r="T21" i="9"/>
  <c r="N21" i="9"/>
  <c r="T20" i="9"/>
  <c r="N20" i="9"/>
  <c r="T19" i="9"/>
  <c r="N19" i="9"/>
  <c r="T18" i="9"/>
  <c r="N18" i="9"/>
  <c r="T17" i="9"/>
  <c r="N17" i="9"/>
  <c r="T16" i="9"/>
  <c r="N16" i="9"/>
  <c r="T15" i="9"/>
  <c r="N15" i="9"/>
  <c r="T11" i="9"/>
  <c r="S10" i="9"/>
  <c r="T10" i="9" s="1"/>
  <c r="S9" i="9"/>
  <c r="T9" i="9" s="1"/>
  <c r="W15" i="11"/>
  <c r="W13" i="11"/>
  <c r="W11" i="11"/>
  <c r="W7" i="11" s="1"/>
  <c r="V7" i="11"/>
  <c r="V6" i="11" s="1"/>
  <c r="U7" i="11"/>
  <c r="N7" i="11"/>
  <c r="N6" i="11" s="1"/>
  <c r="M7" i="11"/>
  <c r="M6" i="11" s="1"/>
  <c r="L7" i="11"/>
  <c r="L6" i="11" s="1"/>
  <c r="P525" i="2"/>
  <c r="P524" i="2"/>
  <c r="P520" i="2"/>
  <c r="P519" i="2"/>
  <c r="P514" i="2"/>
  <c r="P510" i="2"/>
  <c r="P508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88" i="2"/>
  <c r="P486" i="2"/>
  <c r="P485" i="2"/>
  <c r="P481" i="2"/>
  <c r="P478" i="2"/>
  <c r="P477" i="2"/>
  <c r="P476" i="2"/>
  <c r="P475" i="2"/>
  <c r="P474" i="2"/>
  <c r="P470" i="2"/>
  <c r="P469" i="2"/>
  <c r="P466" i="2"/>
  <c r="P463" i="2"/>
  <c r="P462" i="2"/>
  <c r="P461" i="2"/>
  <c r="P460" i="2"/>
  <c r="P459" i="2"/>
  <c r="P455" i="2"/>
  <c r="P454" i="2"/>
  <c r="T453" i="2"/>
  <c r="T451" i="2"/>
  <c r="P451" i="2"/>
  <c r="T450" i="2"/>
  <c r="P450" i="2"/>
  <c r="T449" i="2"/>
  <c r="P449" i="2"/>
  <c r="T448" i="2"/>
  <c r="P448" i="2"/>
  <c r="T447" i="2"/>
  <c r="P447" i="2"/>
  <c r="P446" i="2"/>
  <c r="P445" i="2"/>
  <c r="P441" i="2"/>
  <c r="P438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6" i="2"/>
  <c r="P415" i="2"/>
  <c r="P414" i="2"/>
  <c r="P412" i="2"/>
  <c r="P411" i="2"/>
  <c r="P410" i="2"/>
  <c r="P408" i="2"/>
  <c r="P407" i="2"/>
  <c r="P406" i="2"/>
  <c r="P405" i="2"/>
  <c r="P404" i="2"/>
  <c r="P401" i="2"/>
  <c r="P398" i="2"/>
  <c r="P397" i="2"/>
  <c r="P396" i="2"/>
  <c r="P393" i="2"/>
  <c r="P392" i="2"/>
  <c r="P389" i="2"/>
  <c r="P386" i="2"/>
  <c r="P385" i="2"/>
  <c r="P384" i="2"/>
  <c r="P383" i="2"/>
  <c r="P380" i="2"/>
  <c r="P379" i="2"/>
  <c r="P378" i="2"/>
  <c r="P377" i="2"/>
  <c r="P376" i="2"/>
  <c r="P375" i="2"/>
  <c r="P374" i="2"/>
  <c r="P373" i="2"/>
  <c r="P372" i="2"/>
  <c r="P371" i="2"/>
  <c r="P370" i="2"/>
  <c r="P366" i="2"/>
  <c r="P363" i="2"/>
  <c r="P360" i="2"/>
  <c r="P356" i="2"/>
  <c r="P353" i="2"/>
  <c r="P350" i="2"/>
  <c r="P347" i="2"/>
  <c r="P344" i="2"/>
  <c r="P337" i="2"/>
  <c r="P334" i="2"/>
  <c r="P333" i="2"/>
  <c r="P332" i="2"/>
  <c r="P331" i="2"/>
  <c r="P330" i="2"/>
  <c r="P329" i="2"/>
  <c r="P328" i="2"/>
  <c r="P327" i="2"/>
  <c r="P324" i="2"/>
  <c r="P323" i="2"/>
  <c r="P320" i="2"/>
  <c r="P319" i="2"/>
  <c r="P318" i="2"/>
  <c r="P317" i="2"/>
  <c r="P316" i="2"/>
  <c r="P315" i="2"/>
  <c r="P312" i="2"/>
  <c r="P311" i="2"/>
  <c r="P306" i="2"/>
  <c r="P305" i="2"/>
  <c r="P302" i="2"/>
  <c r="P299" i="2"/>
  <c r="P298" i="2"/>
  <c r="P297" i="2"/>
  <c r="P296" i="2"/>
  <c r="P295" i="2"/>
  <c r="P294" i="2"/>
  <c r="P293" i="2"/>
  <c r="P292" i="2"/>
  <c r="P291" i="2"/>
  <c r="P290" i="2"/>
  <c r="P289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6" i="2"/>
  <c r="P253" i="2"/>
  <c r="P250" i="2"/>
  <c r="P247" i="2"/>
  <c r="P244" i="2"/>
  <c r="P241" i="2"/>
  <c r="P238" i="2"/>
  <c r="P235" i="2"/>
  <c r="P232" i="2"/>
  <c r="P231" i="2"/>
  <c r="P228" i="2"/>
  <c r="P225" i="2"/>
  <c r="P222" i="2"/>
  <c r="P221" i="2"/>
  <c r="P220" i="2"/>
  <c r="P219" i="2"/>
  <c r="P216" i="2"/>
  <c r="P215" i="2"/>
  <c r="P214" i="2"/>
  <c r="P213" i="2"/>
  <c r="P210" i="2"/>
  <c r="P209" i="2"/>
  <c r="P206" i="2"/>
  <c r="P203" i="2"/>
  <c r="P202" i="2"/>
  <c r="P199" i="2"/>
  <c r="P191" i="2"/>
  <c r="P188" i="2"/>
  <c r="P185" i="2"/>
  <c r="P178" i="2"/>
  <c r="P177" i="2"/>
  <c r="P176" i="2"/>
  <c r="P175" i="2"/>
  <c r="P173" i="2"/>
  <c r="P172" i="2"/>
  <c r="P169" i="2"/>
  <c r="P168" i="2"/>
  <c r="P164" i="2"/>
  <c r="P161" i="2"/>
  <c r="P158" i="2"/>
  <c r="P155" i="2"/>
  <c r="P152" i="2"/>
  <c r="P149" i="2"/>
  <c r="P146" i="2"/>
  <c r="P143" i="2"/>
  <c r="P142" i="2"/>
  <c r="P139" i="2"/>
  <c r="P136" i="2"/>
  <c r="P133" i="2"/>
  <c r="P132" i="2"/>
  <c r="P131" i="2"/>
  <c r="P130" i="2"/>
  <c r="P126" i="2"/>
  <c r="P123" i="2"/>
  <c r="P115" i="2"/>
  <c r="P114" i="2"/>
  <c r="P113" i="2"/>
  <c r="P112" i="2"/>
  <c r="P111" i="2"/>
  <c r="P110" i="2"/>
  <c r="P109" i="2"/>
  <c r="P108" i="2"/>
  <c r="P104" i="2"/>
  <c r="P103" i="2"/>
  <c r="P100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78" i="2"/>
  <c r="P75" i="2"/>
  <c r="P72" i="2"/>
  <c r="P69" i="2"/>
  <c r="P66" i="2"/>
  <c r="P63" i="2"/>
  <c r="P62" i="2"/>
  <c r="P59" i="2"/>
  <c r="P58" i="2"/>
  <c r="P57" i="2"/>
  <c r="P54" i="2"/>
  <c r="P51" i="2"/>
  <c r="P48" i="2"/>
  <c r="P47" i="2"/>
  <c r="P46" i="2"/>
  <c r="P45" i="2"/>
  <c r="P42" i="2"/>
  <c r="P39" i="2"/>
  <c r="P36" i="2"/>
  <c r="P33" i="2"/>
  <c r="P32" i="2"/>
  <c r="P29" i="2"/>
  <c r="P28" i="2"/>
  <c r="P27" i="2"/>
  <c r="P24" i="2"/>
  <c r="P21" i="2"/>
  <c r="P20" i="2"/>
  <c r="P14" i="2"/>
  <c r="P11" i="2"/>
  <c r="P10" i="2"/>
  <c r="P9" i="2"/>
  <c r="P8" i="2"/>
  <c r="P7" i="2"/>
  <c r="P4" i="2"/>
  <c r="AA178" i="9" l="1"/>
  <c r="O178" i="9" s="1"/>
  <c r="T1393" i="9"/>
  <c r="Q1280" i="9"/>
  <c r="Q7" i="9"/>
  <c r="AB278" i="9"/>
  <c r="AB339" i="9"/>
  <c r="T13" i="9"/>
  <c r="AB208" i="9"/>
  <c r="AA1462" i="9"/>
  <c r="AA1464" i="9"/>
  <c r="AA1402" i="9"/>
  <c r="AB1403" i="9"/>
  <c r="AA1463" i="9"/>
  <c r="AA1466" i="9"/>
  <c r="AB1465" i="9"/>
  <c r="AB1468" i="9"/>
  <c r="AB10" i="9"/>
  <c r="AB1461" i="9"/>
  <c r="AB1469" i="9"/>
  <c r="AB9" i="9"/>
  <c r="AB11" i="9"/>
  <c r="AB222" i="9"/>
  <c r="L13" i="9"/>
  <c r="T177" i="9"/>
  <c r="AB182" i="9"/>
  <c r="AB199" i="9"/>
  <c r="AB219" i="9"/>
  <c r="AB248" i="9"/>
  <c r="AB312" i="9"/>
  <c r="AB332" i="9"/>
  <c r="AB183" i="9"/>
  <c r="AB213" i="9"/>
  <c r="AB227" i="9"/>
  <c r="AB240" i="9"/>
  <c r="AB272" i="9"/>
  <c r="AB279" i="9"/>
  <c r="AB285" i="9"/>
  <c r="AB300" i="9"/>
  <c r="AB313" i="9"/>
  <c r="AB327" i="9"/>
  <c r="AB201" i="9"/>
  <c r="AB214" i="9"/>
  <c r="AB228" i="9"/>
  <c r="AB250" i="9"/>
  <c r="AB273" i="9"/>
  <c r="AB280" i="9"/>
  <c r="AB287" i="9"/>
  <c r="AB301" i="9"/>
  <c r="AB314" i="9"/>
  <c r="AB328" i="9"/>
  <c r="AB229" i="9"/>
  <c r="AB295" i="9"/>
  <c r="AB244" i="9"/>
  <c r="AB211" i="9"/>
  <c r="AB218" i="9"/>
  <c r="AB231" i="9"/>
  <c r="AB238" i="9"/>
  <c r="AB247" i="9"/>
  <c r="AB277" i="9"/>
  <c r="AB283" i="9"/>
  <c r="AB304" i="9"/>
  <c r="AB311" i="9"/>
  <c r="AB318" i="9"/>
  <c r="AB324" i="9"/>
  <c r="AB212" i="9"/>
  <c r="AB239" i="9"/>
  <c r="AB284" i="9"/>
  <c r="AB305" i="9"/>
  <c r="AB325" i="9"/>
  <c r="AB200" i="9"/>
  <c r="AB220" i="9"/>
  <c r="AB249" i="9"/>
  <c r="AB307" i="9"/>
  <c r="AB320" i="9"/>
  <c r="AB333" i="9"/>
  <c r="AB184" i="9"/>
  <c r="AB221" i="9"/>
  <c r="AB234" i="9"/>
  <c r="AB308" i="9"/>
  <c r="AB321" i="9"/>
  <c r="AB334" i="9"/>
  <c r="AB242" i="9"/>
  <c r="AB251" i="9"/>
  <c r="AB274" i="9"/>
  <c r="AB281" i="9"/>
  <c r="AB288" i="9"/>
  <c r="AB309" i="9"/>
  <c r="AB329" i="9"/>
  <c r="AB335" i="9"/>
  <c r="AB187" i="9"/>
  <c r="AB197" i="9"/>
  <c r="AB202" i="9"/>
  <c r="AB210" i="9"/>
  <c r="AB217" i="9"/>
  <c r="AB223" i="9"/>
  <c r="AB230" i="9"/>
  <c r="AB237" i="9"/>
  <c r="AB203" i="9"/>
  <c r="AB297" i="9"/>
  <c r="AB303" i="9"/>
  <c r="AB310" i="9"/>
  <c r="AB317" i="9"/>
  <c r="AB323" i="9"/>
  <c r="AB330" i="9"/>
  <c r="AB57" i="9"/>
  <c r="AB20" i="9"/>
  <c r="AB28" i="9"/>
  <c r="AB127" i="9"/>
  <c r="AB141" i="9"/>
  <c r="AB83" i="9"/>
  <c r="AB50" i="9"/>
  <c r="AB70" i="9"/>
  <c r="AB51" i="9"/>
  <c r="AB58" i="9"/>
  <c r="AB71" i="9"/>
  <c r="AB79" i="9"/>
  <c r="AB92" i="9"/>
  <c r="AB99" i="9"/>
  <c r="AB119" i="9"/>
  <c r="AB27" i="9"/>
  <c r="AB111" i="9"/>
  <c r="AB21" i="9"/>
  <c r="AB29" i="9"/>
  <c r="AB26" i="9"/>
  <c r="AB63" i="9"/>
  <c r="AB52" i="9"/>
  <c r="AB59" i="9"/>
  <c r="AB66" i="9"/>
  <c r="AB87" i="9"/>
  <c r="AB103" i="9"/>
  <c r="AB19" i="9"/>
  <c r="AB84" i="9"/>
  <c r="AB16" i="9"/>
  <c r="AB22" i="9"/>
  <c r="AB56" i="9"/>
  <c r="AB37" i="9"/>
  <c r="AB60" i="9"/>
  <c r="AB88" i="9"/>
  <c r="AB108" i="9"/>
  <c r="AB23" i="9"/>
  <c r="AB31" i="9"/>
  <c r="AB55" i="9"/>
  <c r="AB76" i="9"/>
  <c r="AB116" i="9"/>
  <c r="AB32" i="9"/>
  <c r="W6" i="11"/>
  <c r="H83" i="10"/>
  <c r="H84" i="10" s="1"/>
  <c r="J87" i="10"/>
  <c r="I86" i="10"/>
  <c r="J86" i="10" s="1"/>
  <c r="G88" i="10"/>
  <c r="H87" i="10"/>
  <c r="AB15" i="9"/>
  <c r="N34" i="9"/>
  <c r="O34" i="9"/>
  <c r="AA1405" i="9"/>
  <c r="N177" i="9"/>
  <c r="AB17" i="9"/>
  <c r="AB252" i="9"/>
  <c r="AB352" i="9"/>
  <c r="O373" i="9"/>
  <c r="AB345" i="9"/>
  <c r="O371" i="9"/>
  <c r="AB136" i="9"/>
  <c r="AB340" i="9"/>
  <c r="AB261" i="9"/>
  <c r="AB343" i="9"/>
  <c r="AB131" i="9"/>
  <c r="AB185" i="9"/>
  <c r="AB344" i="9"/>
  <c r="AB353" i="9"/>
  <c r="AB132" i="9"/>
  <c r="AB254" i="9"/>
  <c r="AB354" i="9"/>
  <c r="AB338" i="9"/>
  <c r="O372" i="9"/>
  <c r="AB35" i="9"/>
  <c r="AB53" i="9"/>
  <c r="O377" i="9"/>
  <c r="AB245" i="9"/>
  <c r="AB104" i="9"/>
  <c r="AB215" i="9"/>
  <c r="AB253" i="9"/>
  <c r="O376" i="9"/>
  <c r="AB124" i="9"/>
  <c r="AB235" i="9"/>
  <c r="O375" i="9"/>
  <c r="AB257" i="9"/>
  <c r="AB348" i="9"/>
  <c r="AB337" i="9"/>
  <c r="AB259" i="9"/>
  <c r="AB341" i="9"/>
  <c r="AB350" i="9"/>
  <c r="AB38" i="9"/>
  <c r="AB30" i="9"/>
  <c r="AB260" i="9"/>
  <c r="AB342" i="9"/>
  <c r="AB351" i="9"/>
  <c r="AB191" i="9"/>
  <c r="AB192" i="9"/>
  <c r="AB189" i="9"/>
  <c r="AB188" i="9"/>
  <c r="AB190" i="9"/>
  <c r="AB1401" i="9"/>
  <c r="AA67" i="9"/>
  <c r="O67" i="9" s="1"/>
  <c r="O17" i="9"/>
  <c r="O16" i="9"/>
  <c r="AA293" i="9"/>
  <c r="AA36" i="9"/>
  <c r="AA207" i="9"/>
  <c r="AA370" i="9"/>
  <c r="AB1464" i="9"/>
  <c r="AB33" i="9"/>
  <c r="AA347" i="9"/>
  <c r="AB275" i="9"/>
  <c r="AB205" i="9"/>
  <c r="AB1463" i="9"/>
  <c r="AB62" i="9"/>
  <c r="AB204" i="9"/>
  <c r="AB241" i="9"/>
  <c r="AB322" i="9"/>
  <c r="AB233" i="9"/>
  <c r="AB299" i="9"/>
  <c r="N30" i="9"/>
  <c r="AB290" i="9"/>
  <c r="AA1401" i="9"/>
  <c r="AB1466" i="9"/>
  <c r="AB232" i="9"/>
  <c r="AB298" i="9"/>
  <c r="AB1402" i="9"/>
  <c r="AB1462" i="9"/>
  <c r="AA289" i="9"/>
  <c r="AB209" i="9"/>
  <c r="AB258" i="9"/>
  <c r="T1459" i="9"/>
  <c r="AB224" i="9"/>
  <c r="AB94" i="9"/>
  <c r="AB100" i="9"/>
  <c r="N27" i="9"/>
  <c r="AB39" i="9"/>
  <c r="AB120" i="9"/>
  <c r="AB1460" i="9"/>
  <c r="AB255" i="9"/>
  <c r="AB282" i="9"/>
  <c r="AA292" i="9"/>
  <c r="AB315" i="9"/>
  <c r="AB349" i="9"/>
  <c r="AB91" i="9"/>
  <c r="AB123" i="9"/>
  <c r="AB180" i="9"/>
  <c r="AB117" i="9"/>
  <c r="AB107" i="9"/>
  <c r="AB109" i="9"/>
  <c r="AB106" i="9"/>
  <c r="AB138" i="9"/>
  <c r="AA1403" i="9"/>
  <c r="AB68" i="9"/>
  <c r="AB225" i="9"/>
  <c r="AB319" i="9"/>
  <c r="AB77" i="9"/>
  <c r="AB89" i="9"/>
  <c r="AB96" i="9"/>
  <c r="AB121" i="9"/>
  <c r="AB128" i="9"/>
  <c r="AB291" i="9"/>
  <c r="AB90" i="9"/>
  <c r="O15" i="9"/>
  <c r="AB73" i="9"/>
  <c r="AB80" i="9"/>
  <c r="AB93" i="9"/>
  <c r="AB112" i="9"/>
  <c r="AB137" i="9"/>
  <c r="AB74" i="9"/>
  <c r="AB140" i="9"/>
  <c r="AB101" i="9"/>
  <c r="AB133" i="9"/>
  <c r="AB302" i="9"/>
  <c r="AB331" i="9"/>
  <c r="AA1460" i="9"/>
  <c r="AB78" i="9"/>
  <c r="AB110" i="9"/>
  <c r="AB122" i="9"/>
  <c r="AB181" i="9"/>
  <c r="AB25" i="9"/>
  <c r="AB69" i="9"/>
  <c r="AB86" i="9"/>
  <c r="AB102" i="9"/>
  <c r="AB118" i="9"/>
  <c r="AB134" i="9"/>
  <c r="AA355" i="9"/>
  <c r="AA294" i="9"/>
  <c r="AA1468" i="9"/>
  <c r="AB97" i="9"/>
  <c r="AB113" i="9"/>
  <c r="AB198" i="9"/>
  <c r="AB81" i="9"/>
  <c r="N33" i="9"/>
  <c r="AB65" i="9"/>
  <c r="AA65" i="9"/>
  <c r="O65" i="9" s="1"/>
  <c r="AB82" i="9"/>
  <c r="AB98" i="9"/>
  <c r="AB114" i="9"/>
  <c r="AB130" i="9"/>
  <c r="AB18" i="9"/>
  <c r="N26" i="9"/>
  <c r="AB129" i="9"/>
  <c r="AB61" i="9"/>
  <c r="AA1461" i="9"/>
  <c r="AA1465" i="9"/>
  <c r="AA1469" i="9"/>
  <c r="AB1393" i="9" l="1"/>
  <c r="AA1393" i="9"/>
  <c r="AA185" i="9"/>
  <c r="O185" i="9" s="1"/>
  <c r="AA181" i="9"/>
  <c r="O181" i="9" s="1"/>
  <c r="AA180" i="9"/>
  <c r="AB13" i="9"/>
  <c r="AC7" i="9"/>
  <c r="AA278" i="9"/>
  <c r="AB177" i="9"/>
  <c r="AC10" i="9"/>
  <c r="AA307" i="9"/>
  <c r="AA311" i="9"/>
  <c r="AA313" i="9"/>
  <c r="AA274" i="9"/>
  <c r="AA242" i="9"/>
  <c r="AA300" i="9"/>
  <c r="AA329" i="9"/>
  <c r="AA228" i="9"/>
  <c r="AA304" i="9"/>
  <c r="AA221" i="9"/>
  <c r="AA238" i="9"/>
  <c r="AA285" i="9"/>
  <c r="AA84" i="9"/>
  <c r="AA325" i="9"/>
  <c r="AA250" i="9"/>
  <c r="AA303" i="9"/>
  <c r="AA231" i="9"/>
  <c r="AC9" i="9"/>
  <c r="AA213" i="9"/>
  <c r="AA183" i="9"/>
  <c r="O183" i="9" s="1"/>
  <c r="AA328" i="9"/>
  <c r="AA335" i="9"/>
  <c r="AA284" i="9"/>
  <c r="AA27" i="9"/>
  <c r="O27" i="9" s="1"/>
  <c r="AC11" i="9"/>
  <c r="AA56" i="9"/>
  <c r="O56" i="9" s="1"/>
  <c r="AA223" i="9"/>
  <c r="AA218" i="9"/>
  <c r="AA314" i="9"/>
  <c r="AA116" i="9"/>
  <c r="AA1459" i="9"/>
  <c r="T7" i="9"/>
  <c r="N13" i="9"/>
  <c r="AA251" i="9"/>
  <c r="AA317" i="9"/>
  <c r="AA111" i="9"/>
  <c r="AA182" i="9"/>
  <c r="O182" i="9" s="1"/>
  <c r="AA187" i="9"/>
  <c r="O187" i="9" s="1"/>
  <c r="AA70" i="9"/>
  <c r="AA230" i="9"/>
  <c r="AA217" i="9"/>
  <c r="AA127" i="9"/>
  <c r="AA249" i="9"/>
  <c r="AA323" i="9"/>
  <c r="AA32" i="9"/>
  <c r="O32" i="9" s="1"/>
  <c r="AA234" i="9"/>
  <c r="AA281" i="9"/>
  <c r="AA310" i="9"/>
  <c r="AA305" i="9"/>
  <c r="AA273" i="9"/>
  <c r="AA55" i="9"/>
  <c r="O55" i="9" s="1"/>
  <c r="AA240" i="9"/>
  <c r="AA200" i="9"/>
  <c r="AA332" i="9"/>
  <c r="AA244" i="9"/>
  <c r="AA295" i="9"/>
  <c r="AA280" i="9"/>
  <c r="AA320" i="9"/>
  <c r="AA333" i="9"/>
  <c r="AA318" i="9"/>
  <c r="AA321" i="9"/>
  <c r="AA308" i="9"/>
  <c r="AA201" i="9"/>
  <c r="AA87" i="9"/>
  <c r="AA309" i="9"/>
  <c r="AA312" i="9"/>
  <c r="AA330" i="9"/>
  <c r="AA272" i="9"/>
  <c r="AA210" i="9"/>
  <c r="AA220" i="9"/>
  <c r="AA297" i="9"/>
  <c r="AA248" i="9"/>
  <c r="AA20" i="9"/>
  <c r="O20" i="9" s="1"/>
  <c r="AA203" i="9"/>
  <c r="AA208" i="9"/>
  <c r="AA334" i="9"/>
  <c r="AA222" i="9"/>
  <c r="AA214" i="9"/>
  <c r="AA103" i="9"/>
  <c r="AA301" i="9"/>
  <c r="AA197" i="9"/>
  <c r="AA237" i="9"/>
  <c r="AA184" i="9"/>
  <c r="O184" i="9" s="1"/>
  <c r="AA202" i="9"/>
  <c r="AA327" i="9"/>
  <c r="AA279" i="9"/>
  <c r="AA324" i="9"/>
  <c r="AA239" i="9"/>
  <c r="AA247" i="9"/>
  <c r="AA283" i="9"/>
  <c r="AA219" i="9"/>
  <c r="AA229" i="9"/>
  <c r="AA277" i="9"/>
  <c r="AA212" i="9"/>
  <c r="AA287" i="9"/>
  <c r="AA199" i="9"/>
  <c r="AA288" i="9"/>
  <c r="AA211" i="9"/>
  <c r="AA227" i="9"/>
  <c r="AA50" i="9"/>
  <c r="O50" i="9" s="1"/>
  <c r="AA57" i="9"/>
  <c r="O57" i="9" s="1"/>
  <c r="AA31" i="9"/>
  <c r="O31" i="9" s="1"/>
  <c r="AA92" i="9"/>
  <c r="AA253" i="9"/>
  <c r="AA215" i="9"/>
  <c r="AA191" i="9"/>
  <c r="O191" i="9" s="1"/>
  <c r="AA340" i="9"/>
  <c r="AA341" i="9"/>
  <c r="AA354" i="9"/>
  <c r="AA254" i="9"/>
  <c r="AA344" i="9"/>
  <c r="AA261" i="9"/>
  <c r="AA257" i="9"/>
  <c r="AA190" i="9"/>
  <c r="O190" i="9" s="1"/>
  <c r="AA245" i="9"/>
  <c r="AA260" i="9"/>
  <c r="AA188" i="9"/>
  <c r="O188" i="9" s="1"/>
  <c r="AA189" i="9"/>
  <c r="O189" i="9" s="1"/>
  <c r="AA351" i="9"/>
  <c r="AA352" i="9"/>
  <c r="AA192" i="9"/>
  <c r="O192" i="9" s="1"/>
  <c r="AA338" i="9"/>
  <c r="AA252" i="9"/>
  <c r="W87" i="10"/>
  <c r="AA99" i="9"/>
  <c r="AA63" i="9"/>
  <c r="O63" i="9" s="1"/>
  <c r="AA60" i="9"/>
  <c r="O60" i="9" s="1"/>
  <c r="AA29" i="9"/>
  <c r="O29" i="9" s="1"/>
  <c r="AA51" i="9"/>
  <c r="O51" i="9" s="1"/>
  <c r="AA37" i="9"/>
  <c r="O37" i="9" s="1"/>
  <c r="AA88" i="9"/>
  <c r="AA26" i="9"/>
  <c r="O26" i="9" s="1"/>
  <c r="AA52" i="9"/>
  <c r="O52" i="9" s="1"/>
  <c r="AA23" i="9"/>
  <c r="O23" i="9" s="1"/>
  <c r="AA38" i="9"/>
  <c r="O38" i="9" s="1"/>
  <c r="AA136" i="9"/>
  <c r="AA79" i="9"/>
  <c r="AA30" i="9"/>
  <c r="O30" i="9" s="1"/>
  <c r="AA28" i="9"/>
  <c r="O28" i="9" s="1"/>
  <c r="AA19" i="9"/>
  <c r="O19" i="9" s="1"/>
  <c r="AA53" i="9"/>
  <c r="O53" i="9" s="1"/>
  <c r="AA119" i="9"/>
  <c r="AA124" i="9"/>
  <c r="AA35" i="9"/>
  <c r="O35" i="9" s="1"/>
  <c r="AA22" i="9"/>
  <c r="O22" i="9" s="1"/>
  <c r="AA21" i="9"/>
  <c r="O21" i="9" s="1"/>
  <c r="AA83" i="9"/>
  <c r="AA59" i="9"/>
  <c r="O59" i="9" s="1"/>
  <c r="AA104" i="9"/>
  <c r="AA132" i="9"/>
  <c r="AA131" i="9"/>
  <c r="AA141" i="9"/>
  <c r="AA66" i="9"/>
  <c r="O66" i="9" s="1"/>
  <c r="AA108" i="9"/>
  <c r="AA71" i="9"/>
  <c r="AA58" i="9"/>
  <c r="O58" i="9" s="1"/>
  <c r="AA76" i="9"/>
  <c r="I83" i="10"/>
  <c r="J83" i="10" s="1"/>
  <c r="H88" i="10"/>
  <c r="I88" i="10" s="1"/>
  <c r="J88" i="10" s="1"/>
  <c r="W86" i="10"/>
  <c r="T1280" i="9"/>
  <c r="O370" i="9"/>
  <c r="O369" i="9" s="1"/>
  <c r="AA343" i="9"/>
  <c r="AA259" i="9"/>
  <c r="AA337" i="9"/>
  <c r="AA368" i="9"/>
  <c r="AA339" i="9"/>
  <c r="AA345" i="9"/>
  <c r="AA342" i="9"/>
  <c r="AA353" i="9"/>
  <c r="AA348" i="9"/>
  <c r="AA350" i="9"/>
  <c r="AA235" i="9"/>
  <c r="AA61" i="9"/>
  <c r="O61" i="9" s="1"/>
  <c r="AA114" i="9"/>
  <c r="AA134" i="9"/>
  <c r="AA106" i="9"/>
  <c r="AA315" i="9"/>
  <c r="AA94" i="9"/>
  <c r="AA209" i="9"/>
  <c r="AA62" i="9"/>
  <c r="O62" i="9" s="1"/>
  <c r="AA275" i="9"/>
  <c r="AA33" i="9"/>
  <c r="AA68" i="9"/>
  <c r="O68" i="9" s="1"/>
  <c r="AA82" i="9"/>
  <c r="AA122" i="9"/>
  <c r="AA137" i="9"/>
  <c r="AA128" i="9"/>
  <c r="AA224" i="9"/>
  <c r="AA18" i="9"/>
  <c r="O18" i="9" s="1"/>
  <c r="AA86" i="9"/>
  <c r="AA110" i="9"/>
  <c r="AA121" i="9"/>
  <c r="AA282" i="9"/>
  <c r="AA120" i="9"/>
  <c r="AA205" i="9"/>
  <c r="AA198" i="9"/>
  <c r="AA69" i="9"/>
  <c r="O69" i="9" s="1"/>
  <c r="AA78" i="9"/>
  <c r="AA140" i="9"/>
  <c r="AA112" i="9"/>
  <c r="AA96" i="9"/>
  <c r="AA109" i="9"/>
  <c r="AA299" i="9"/>
  <c r="AA98" i="9"/>
  <c r="AA90" i="9"/>
  <c r="AA89" i="9"/>
  <c r="AA118" i="9"/>
  <c r="AA102" i="9"/>
  <c r="AA331" i="9"/>
  <c r="AA126" i="9"/>
  <c r="AA93" i="9"/>
  <c r="AA77" i="9"/>
  <c r="AA39" i="9"/>
  <c r="AA298" i="9"/>
  <c r="AA233" i="9"/>
  <c r="AA302" i="9"/>
  <c r="AA74" i="9"/>
  <c r="AA80" i="9"/>
  <c r="AA107" i="9"/>
  <c r="AA123" i="9"/>
  <c r="AA129" i="9"/>
  <c r="AA81" i="9"/>
  <c r="AA97" i="9"/>
  <c r="AA73" i="9"/>
  <c r="AA319" i="9"/>
  <c r="AA91" i="9"/>
  <c r="AA322" i="9"/>
  <c r="AA255" i="9"/>
  <c r="AA290" i="9"/>
  <c r="AA113" i="9"/>
  <c r="AA133" i="9"/>
  <c r="AA117" i="9"/>
  <c r="AA100" i="9"/>
  <c r="AA258" i="9"/>
  <c r="AA241" i="9"/>
  <c r="AA291" i="9"/>
  <c r="AA130" i="9"/>
  <c r="AA25" i="9"/>
  <c r="O25" i="9" s="1"/>
  <c r="AA101" i="9"/>
  <c r="AA225" i="9"/>
  <c r="AA138" i="9"/>
  <c r="AA349" i="9"/>
  <c r="AA232" i="9"/>
  <c r="AA204" i="9"/>
  <c r="AB1459" i="9"/>
  <c r="AA1281" i="9"/>
  <c r="AB7" i="9" l="1"/>
  <c r="AB1280" i="9"/>
  <c r="AA1324" i="9"/>
  <c r="AA13" i="9"/>
  <c r="AC1479" i="9"/>
  <c r="O177" i="9"/>
  <c r="I84" i="10"/>
  <c r="W88" i="10"/>
  <c r="J84" i="10"/>
  <c r="W84" i="10" s="1"/>
  <c r="W83" i="10"/>
  <c r="O39" i="9"/>
  <c r="O33" i="9"/>
  <c r="AA1479" i="9"/>
  <c r="S7" i="9"/>
  <c r="AA7" i="9" l="1"/>
  <c r="AB1479" i="9"/>
  <c r="O13" i="9"/>
  <c r="AE1479" i="9" l="1"/>
  <c r="AD147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Burwell</author>
    <author>Microsoft</author>
  </authors>
  <commentList>
    <comment ref="C168" authorId="0" shapeId="0" xr:uid="{20DC119E-9EED-431E-AE14-9534D59E35D1}">
      <text>
        <r>
          <rPr>
            <b/>
            <i/>
            <sz val="9"/>
            <color indexed="81"/>
            <rFont val="Tahoma"/>
            <family val="2"/>
          </rPr>
          <t>Richard Burwell:</t>
        </r>
        <r>
          <rPr>
            <sz val="9"/>
            <color indexed="81"/>
            <rFont val="Tahoma"/>
            <family val="2"/>
          </rPr>
          <t xml:space="preserve">
Can these be consolidated into 1 line as RoC are the same?</t>
        </r>
      </text>
    </comment>
    <comment ref="C219" authorId="0" shapeId="0" xr:uid="{3D71CB6E-A513-4E86-8BAF-FA60D38AE7B2}">
      <text>
        <r>
          <rPr>
            <b/>
            <i/>
            <sz val="9"/>
            <color indexed="81"/>
            <rFont val="Tahoma"/>
            <family val="2"/>
          </rPr>
          <t>Richard Burwell:</t>
        </r>
        <r>
          <rPr>
            <sz val="9"/>
            <color indexed="81"/>
            <rFont val="Tahoma"/>
            <family val="2"/>
          </rPr>
          <t xml:space="preserve">
Can these be consolidated into 1 line as RoC are the same?</t>
        </r>
      </text>
    </comment>
    <comment ref="F388" authorId="1" shapeId="0" xr:uid="{B3006EDA-4C0B-433B-B237-F75EA35012A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Cable tags often get delayed due to being missing/misplaced and tracked as a punch item. Might be better to break them out as a milestone for progressing purposes</t>
        </r>
      </text>
    </comment>
    <comment ref="F414" authorId="1" shapeId="0" xr:uid="{453529F5-737C-4565-97F9-AC9CB65279A3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Is this tie wrap? Maybe we can rename this to show that instead of adding as a separate milestone</t>
        </r>
      </text>
    </comment>
    <comment ref="H414" authorId="1" shapeId="0" xr:uid="{4CDA0096-A1AB-47D6-A9D9-7A5235A1950E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Same comment as above on cable tags</t>
        </r>
      </text>
    </comment>
  </commentList>
</comments>
</file>

<file path=xl/sharedStrings.xml><?xml version="1.0" encoding="utf-8"?>
<sst xmlns="http://schemas.openxmlformats.org/spreadsheetml/2006/main" count="30543" uniqueCount="5453">
  <si>
    <t>APPROVED CHANGES</t>
  </si>
  <si>
    <t>TOTAL 
PROGRESS</t>
  </si>
  <si>
    <t>EARN HOURS</t>
  </si>
  <si>
    <t xml:space="preserve">ACTUAL HOURS </t>
  </si>
  <si>
    <t>PF</t>
  </si>
  <si>
    <t>COMMENT / NOTE</t>
  </si>
  <si>
    <t>Progress Item ID</t>
  </si>
  <si>
    <t>WBS</t>
  </si>
  <si>
    <t>Description</t>
  </si>
  <si>
    <t>ML01</t>
  </si>
  <si>
    <t>ML02</t>
  </si>
  <si>
    <t>ML03</t>
  </si>
  <si>
    <t>ML04</t>
  </si>
  <si>
    <t>ML05</t>
  </si>
  <si>
    <t>Backfill</t>
  </si>
  <si>
    <t>Grade</t>
  </si>
  <si>
    <t>Achieve Compaction</t>
  </si>
  <si>
    <t>Accept</t>
  </si>
  <si>
    <t>ROC Set</t>
  </si>
  <si>
    <t>Mass Backfill</t>
  </si>
  <si>
    <t>EARNED HOURS</t>
  </si>
  <si>
    <t>Slabs (at grade)</t>
  </si>
  <si>
    <t>Surface Prep / Set Forms</t>
  </si>
  <si>
    <t>Install Reinforcing &amp; Embeds</t>
  </si>
  <si>
    <t>Place &amp; Finish</t>
  </si>
  <si>
    <t>Strip Formwork, Patch, Rub &amp; Finish (if applicable)</t>
  </si>
  <si>
    <t>Complete Punch List &amp; Accept</t>
  </si>
  <si>
    <t>Working Line No.</t>
  </si>
  <si>
    <t>Item Description</t>
  </si>
  <si>
    <t>Milestone 1</t>
  </si>
  <si>
    <t>Partial Progress Permitted?</t>
  </si>
  <si>
    <t>Earthwork and Civil</t>
  </si>
  <si>
    <t>Clear &amp; Grub</t>
  </si>
  <si>
    <t>Clear / Excavate</t>
  </si>
  <si>
    <t>Remove For Disposal</t>
  </si>
  <si>
    <t>Yes</t>
  </si>
  <si>
    <t>Excavation</t>
  </si>
  <si>
    <t>Excavate</t>
  </si>
  <si>
    <t>Shore</t>
  </si>
  <si>
    <t>Dewater</t>
  </si>
  <si>
    <t>Mass Excavation (Above Water Line)</t>
  </si>
  <si>
    <t>Mass Excavation (Below Water Line)</t>
  </si>
  <si>
    <t xml:space="preserve">Trench Excavation </t>
  </si>
  <si>
    <t>Includes Individual Foundations</t>
  </si>
  <si>
    <t>Auger holes</t>
  </si>
  <si>
    <t>Ditches</t>
  </si>
  <si>
    <t>MSE Wall</t>
  </si>
  <si>
    <t>Prep</t>
  </si>
  <si>
    <t>Place</t>
  </si>
  <si>
    <t>Gabion Wall</t>
  </si>
  <si>
    <t>Mesh</t>
  </si>
  <si>
    <t xml:space="preserve">Place </t>
  </si>
  <si>
    <t>Trench Backfill</t>
  </si>
  <si>
    <t>Rough Grade</t>
  </si>
  <si>
    <t>Storm Water &amp; Drainage Infrastructure</t>
  </si>
  <si>
    <t>Install</t>
  </si>
  <si>
    <t>Testing &amp; Reinstatement</t>
  </si>
  <si>
    <t>Pipe (Concrete or Corrugated Metal Culvert)</t>
  </si>
  <si>
    <t>Concrete Inlet Boxes (Pre Cast) or Catch Basins</t>
  </si>
  <si>
    <t>Other associated components</t>
  </si>
  <si>
    <t>Piling</t>
  </si>
  <si>
    <t>Pre-drill</t>
  </si>
  <si>
    <t>Drive &amp; Trim Piles</t>
  </si>
  <si>
    <t>Remove &amp; Restore area (as req)</t>
  </si>
  <si>
    <t>Re Tap &amp; Confirm compliance</t>
  </si>
  <si>
    <t>Test (as required) &amp; Accept</t>
  </si>
  <si>
    <t>Sheet Piles (Install)</t>
  </si>
  <si>
    <t>Prefabricated Structural Piles (Driven Metal)</t>
  </si>
  <si>
    <t>Helical Piles</t>
  </si>
  <si>
    <t>Concrete Piles</t>
  </si>
  <si>
    <t>Install Rebar Cage</t>
  </si>
  <si>
    <t>Pour Concrete</t>
  </si>
  <si>
    <t xml:space="preserve">Cut / Cap Structural Piles </t>
  </si>
  <si>
    <t>Cut / Cap</t>
  </si>
  <si>
    <t>Permanent Roads</t>
  </si>
  <si>
    <t>Place Material</t>
  </si>
  <si>
    <t xml:space="preserve">Grade </t>
  </si>
  <si>
    <t>Compaction</t>
  </si>
  <si>
    <t>Reinforce</t>
  </si>
  <si>
    <t>Place Wearing Course Material</t>
  </si>
  <si>
    <t>Base Course</t>
  </si>
  <si>
    <t>Wearing Course (Asphalt Paved)</t>
  </si>
  <si>
    <t>Wearing Course (Concrete Paved)</t>
  </si>
  <si>
    <t>Wearing Course (Unpaved/Gravel)</t>
  </si>
  <si>
    <t>RCC - Rolled Compacted Concrete</t>
  </si>
  <si>
    <t>Material Processing - Preparation</t>
  </si>
  <si>
    <t>Transport / Install</t>
  </si>
  <si>
    <t>Complete Punch List  &amp; Accept</t>
  </si>
  <si>
    <t>Bollards</t>
  </si>
  <si>
    <t>Place Bollard &amp; Stabilize</t>
  </si>
  <si>
    <t>Clean &amp; Apply Coatings</t>
  </si>
  <si>
    <t>Pipe Bollards</t>
  </si>
  <si>
    <t>Lining &amp; Geotextiles</t>
  </si>
  <si>
    <t>Clay (or similar material) Lining</t>
  </si>
  <si>
    <t>Geotextile Material</t>
  </si>
  <si>
    <t>HDPE / Geomembrane Liner</t>
  </si>
  <si>
    <t>Fencing</t>
  </si>
  <si>
    <t>Clear &amp; Level Area, Layout</t>
  </si>
  <si>
    <t>Place Posts, Gates, &amp; Turnstiles</t>
  </si>
  <si>
    <t>Place Wire &amp; Tension</t>
  </si>
  <si>
    <t>Chain Link</t>
  </si>
  <si>
    <t>Multiple Wire</t>
  </si>
  <si>
    <t>Rock Anchoring - Drilling (Dam)</t>
  </si>
  <si>
    <t>Stage</t>
  </si>
  <si>
    <t>Drill</t>
  </si>
  <si>
    <t>Post Tension &amp; Test</t>
  </si>
  <si>
    <t>Rock anchoring</t>
  </si>
  <si>
    <t>Containment / Grout Curtain</t>
  </si>
  <si>
    <t>Test &amp; Acceptance</t>
  </si>
  <si>
    <t>Road Guards / Barricades</t>
  </si>
  <si>
    <t>Shotcreting (including fastening)</t>
  </si>
  <si>
    <t>Shotcrete Installation</t>
  </si>
  <si>
    <t>Stonework for Roads</t>
  </si>
  <si>
    <t>Concrete</t>
  </si>
  <si>
    <t>Mud Mats (with forms)</t>
  </si>
  <si>
    <t>Mud Mats (without forms)</t>
  </si>
  <si>
    <t>Drilled Piers</t>
  </si>
  <si>
    <t>Area Paving (non structural slab)</t>
  </si>
  <si>
    <t>Curbs</t>
  </si>
  <si>
    <t>Columns</t>
  </si>
  <si>
    <t>Slabs (elevated)</t>
  </si>
  <si>
    <t>Small Blocks (&lt; 3 CY) (square or rectangular)</t>
  </si>
  <si>
    <t>No</t>
  </si>
  <si>
    <t>Large Blocks (&gt; 3 CY) (square or rectangular)</t>
  </si>
  <si>
    <t xml:space="preserve">Octagonal Foundations </t>
  </si>
  <si>
    <t>Medium Pours (&lt;25 CY Structures)</t>
  </si>
  <si>
    <t>Mass Pours (&gt;25 CY Structures)</t>
  </si>
  <si>
    <t>Duct Bank</t>
  </si>
  <si>
    <t>Grout</t>
  </si>
  <si>
    <t xml:space="preserve">Concrete Cap Structural Piles </t>
  </si>
  <si>
    <t>Precast Concrete (manholes; catch basins; foundations; pads)</t>
  </si>
  <si>
    <t>Shakeout / Stage</t>
  </si>
  <si>
    <t>Joining</t>
  </si>
  <si>
    <t>Precast Concrete</t>
  </si>
  <si>
    <t>Precast Concrete Structural Members</t>
  </si>
  <si>
    <t>Erect / Install</t>
  </si>
  <si>
    <t>Bolt / Weld</t>
  </si>
  <si>
    <t>Precast Columns</t>
  </si>
  <si>
    <t>Precast Beams</t>
  </si>
  <si>
    <t>Structural Steel</t>
  </si>
  <si>
    <t>Shakeout &amp; Stage</t>
  </si>
  <si>
    <t>Complete Bolting / Welding</t>
  </si>
  <si>
    <t>Structural Steel, Miscellaneous</t>
  </si>
  <si>
    <t>This item applies to loose miscellaneous structural steel requiring field installation.</t>
  </si>
  <si>
    <t>Stair Stringers</t>
  </si>
  <si>
    <t>Stair Treads</t>
  </si>
  <si>
    <t>Crane Rails</t>
  </si>
  <si>
    <t>Hand Rails (including toe Plate)</t>
  </si>
  <si>
    <t>Ladders &amp; Platforms</t>
  </si>
  <si>
    <t xml:space="preserve">Grating </t>
  </si>
  <si>
    <t>This item applies to loose grating, where not in a pre fabricated platform or other application.</t>
  </si>
  <si>
    <t>Removal of Shipping / Temporary Steel, Bracing, Strapping etc.</t>
  </si>
  <si>
    <t>Remove Temporary Steel</t>
  </si>
  <si>
    <t>20.02.01</t>
  </si>
  <si>
    <t>Module Interconnecting Activities</t>
  </si>
  <si>
    <t xml:space="preserve">Prepare &amp; Stage </t>
  </si>
  <si>
    <t>Complete</t>
  </si>
  <si>
    <t>Structural Interconnections</t>
  </si>
  <si>
    <t>Architectural and Buildings</t>
  </si>
  <si>
    <t>Building Exteriors</t>
  </si>
  <si>
    <t>Stage Material</t>
  </si>
  <si>
    <t>Layout &amp; Begin Install</t>
  </si>
  <si>
    <t xml:space="preserve">Complete Installation </t>
  </si>
  <si>
    <t>Trim Work &amp; Finishes</t>
  </si>
  <si>
    <t>Inspect &amp; Accept</t>
  </si>
  <si>
    <t>Curtain Wall System</t>
  </si>
  <si>
    <t>Preinsulated Panel (Kingspan or other)</t>
  </si>
  <si>
    <t>Sheet Metal Siding</t>
  </si>
  <si>
    <t>Roofing</t>
  </si>
  <si>
    <t>Building Electrical</t>
  </si>
  <si>
    <t>Punch &amp; Accept</t>
  </si>
  <si>
    <t>Interior Fixtures &amp; Finishes</t>
  </si>
  <si>
    <t>HVAC Equipment</t>
  </si>
  <si>
    <t>Stage Components</t>
  </si>
  <si>
    <t>Set</t>
  </si>
  <si>
    <t>Complete Connections &amp; Insulation</t>
  </si>
  <si>
    <t>Inspect / Accept</t>
  </si>
  <si>
    <t>Louvers, Registers, etc.</t>
  </si>
  <si>
    <t xml:space="preserve">HVAC Ductwork </t>
  </si>
  <si>
    <t>Install Hangers</t>
  </si>
  <si>
    <t>Erect / Install Ductwork</t>
  </si>
  <si>
    <t>Test</t>
  </si>
  <si>
    <t>Ductwork Insulation</t>
  </si>
  <si>
    <t>Other Architectural &amp; Building Scope</t>
  </si>
  <si>
    <t>Not included in the above</t>
  </si>
  <si>
    <t>Drywall</t>
  </si>
  <si>
    <t>Install Stud Wall</t>
  </si>
  <si>
    <t>Install Gypsum Board</t>
  </si>
  <si>
    <t>Mud &amp; Tape Joints &amp; Fasteners</t>
  </si>
  <si>
    <t>Paint / Caulk</t>
  </si>
  <si>
    <t>Clean Room Panel Systems</t>
  </si>
  <si>
    <t>Install Ceiling Supports</t>
  </si>
  <si>
    <t>Install Ceiling Panels</t>
  </si>
  <si>
    <t>Install Floor Track</t>
  </si>
  <si>
    <t>Install Wall Panels</t>
  </si>
  <si>
    <t>Install Windows &amp; Doors</t>
  </si>
  <si>
    <t>Final Trim &amp; Accessories</t>
  </si>
  <si>
    <t>Cold Rooms</t>
  </si>
  <si>
    <t>Layout / Stage Components</t>
  </si>
  <si>
    <t>Install Insulated Panels</t>
  </si>
  <si>
    <t>Electrical Components</t>
  </si>
  <si>
    <t>Install Mechanical Equipment</t>
  </si>
  <si>
    <t xml:space="preserve">Test &amp; Punch </t>
  </si>
  <si>
    <t>Assumes a Cold Room System installation method, where there would be some electrical and HVAC man hours associated with this line item.</t>
  </si>
  <si>
    <t>Flooring</t>
  </si>
  <si>
    <t>Prep &amp; Layout</t>
  </si>
  <si>
    <t>Apply 3 Coats of Epoxy</t>
  </si>
  <si>
    <t>Cove</t>
  </si>
  <si>
    <t>Epoxy Flooring</t>
  </si>
  <si>
    <t>Raised / Floating Flooring</t>
  </si>
  <si>
    <t>Machinery and Equipment</t>
  </si>
  <si>
    <t>Pre Fabricated Non Rotating</t>
  </si>
  <si>
    <t>Set / Install &amp; Secure</t>
  </si>
  <si>
    <t>Align</t>
  </si>
  <si>
    <t>Shop Fabricated Tanks, Vessels, Reactors, etc. (With Internals)</t>
  </si>
  <si>
    <t>Shop Fabricated Tanks, Vessels, Reactors, etc. (Without Internals)</t>
  </si>
  <si>
    <t>Refer to 40.12.01 below for internals</t>
  </si>
  <si>
    <t>Field Fabricated Equipment</t>
  </si>
  <si>
    <t>Stage Materials</t>
  </si>
  <si>
    <t>Fit / Align</t>
  </si>
  <si>
    <t xml:space="preserve">Weld </t>
  </si>
  <si>
    <t>Erect</t>
  </si>
  <si>
    <t>Support</t>
  </si>
  <si>
    <t>Punch / Accept</t>
  </si>
  <si>
    <t>Field Fabricated Tanks (cone/fixed roof)</t>
  </si>
  <si>
    <t>Field Fabricated Tanks (floating roof)</t>
  </si>
  <si>
    <t>Field Fabricated Vessels</t>
  </si>
  <si>
    <t>Coal Silos</t>
  </si>
  <si>
    <t>Baghouse Hoppers</t>
  </si>
  <si>
    <t>Baghouse Poppet Vlvs</t>
  </si>
  <si>
    <t>Baghouse Dampers</t>
  </si>
  <si>
    <t>Field Erected Cooling Tower</t>
  </si>
  <si>
    <t>Cooling Tower</t>
  </si>
  <si>
    <t>Hookup &amp; Completion</t>
  </si>
  <si>
    <t>Package Cooling Tower</t>
  </si>
  <si>
    <t>Furnaces</t>
  </si>
  <si>
    <t>Acceptance</t>
  </si>
  <si>
    <t>Air Cooled Heat Exchangers</t>
  </si>
  <si>
    <t>Erect Structure / Supports</t>
  </si>
  <si>
    <t>Set &amp; Align</t>
  </si>
  <si>
    <t>Install Drive Components</t>
  </si>
  <si>
    <t>Heat Exchangers</t>
  </si>
  <si>
    <t>Shell and Tube Heat Exchangers</t>
  </si>
  <si>
    <t>Plate and Frame Heat Exchangers</t>
  </si>
  <si>
    <t>Electric Heaters</t>
  </si>
  <si>
    <t>Boilers</t>
  </si>
  <si>
    <t>Arrival at site</t>
  </si>
  <si>
    <t xml:space="preserve">Flares </t>
  </si>
  <si>
    <t>Install Enclosure</t>
  </si>
  <si>
    <t>Complete Refractory, Burner, &amp; Pilot</t>
  </si>
  <si>
    <t>Complete Header</t>
  </si>
  <si>
    <t>Flare Equipment (elevated)</t>
  </si>
  <si>
    <t>The basis of this item is a guyed flare, for derrick flares, the derrick structure should be progressed using the appropriate structural steel rules of credit.</t>
  </si>
  <si>
    <t>Flare Equipment (at grade)</t>
  </si>
  <si>
    <t>Turbine Equipment</t>
  </si>
  <si>
    <t>Stage  / Rough Set</t>
  </si>
  <si>
    <t>Preliminary Alignment</t>
  </si>
  <si>
    <t>Final Alignment</t>
  </si>
  <si>
    <t>Pumps</t>
  </si>
  <si>
    <t>Stage / Rough Set</t>
  </si>
  <si>
    <t>Pumps Set in Module; Final Alignment at Site / Post Module Set</t>
  </si>
  <si>
    <t>Compressors</t>
  </si>
  <si>
    <t>Blowers &amp; Fans</t>
  </si>
  <si>
    <t>Centrifugal</t>
  </si>
  <si>
    <t>Reciprocating</t>
  </si>
  <si>
    <t>Packaged Units (centrifugal or reciprocating)</t>
  </si>
  <si>
    <t>Material Handling Equipment</t>
  </si>
  <si>
    <t>Conveyors (Belt)</t>
  </si>
  <si>
    <t>Conveyors (Roller)</t>
  </si>
  <si>
    <t>Conveyors (Screw)</t>
  </si>
  <si>
    <t>Conveyors (Bucket Elevator)</t>
  </si>
  <si>
    <t>Generators/Gensets</t>
  </si>
  <si>
    <t xml:space="preserve">Skids &amp; Package Equipment </t>
  </si>
  <si>
    <t>Process Equipment Internals</t>
  </si>
  <si>
    <t xml:space="preserve">Stage  </t>
  </si>
  <si>
    <t>Remove Existing Internals</t>
  </si>
  <si>
    <t>Install New Internals</t>
  </si>
  <si>
    <t>Install Internals</t>
  </si>
  <si>
    <t>Remove Existing Internals &amp; Install New</t>
  </si>
  <si>
    <t>Surface Condenser</t>
  </si>
  <si>
    <t>Air heater</t>
  </si>
  <si>
    <t>Fit / Weld</t>
  </si>
  <si>
    <t>Coal Pipe</t>
  </si>
  <si>
    <t>Bolt Up / Weld</t>
  </si>
  <si>
    <t>Ductwork</t>
  </si>
  <si>
    <t>Fans</t>
  </si>
  <si>
    <t>Pre Assemble</t>
  </si>
  <si>
    <t>Rough Set</t>
  </si>
  <si>
    <t>Pulverizers</t>
  </si>
  <si>
    <t>Waterwalls</t>
  </si>
  <si>
    <t>Tube Fit / Weld</t>
  </si>
  <si>
    <t>Membrane Fit / Weld</t>
  </si>
  <si>
    <t>Cranes &amp; Hoists</t>
  </si>
  <si>
    <t>Load Test</t>
  </si>
  <si>
    <t>Other Processing Equipment</t>
  </si>
  <si>
    <t>Agitators (Top Entry)</t>
  </si>
  <si>
    <t>Agitators (Side Entry)</t>
  </si>
  <si>
    <t>Agitators (Bottom Entry)</t>
  </si>
  <si>
    <t>Centrifuge (Batch)</t>
  </si>
  <si>
    <t>Centrifuge (High Speed)</t>
  </si>
  <si>
    <t>Centrifuge (Conveyor)</t>
  </si>
  <si>
    <t>Centrifuge (Bowl)</t>
  </si>
  <si>
    <t>Crystalizer (Batch Vacuum)</t>
  </si>
  <si>
    <t>Crystalizer (Mechanical, Scraped Surface)</t>
  </si>
  <si>
    <t>Dryer (Drum)</t>
  </si>
  <si>
    <t>Dryer (Rotary)</t>
  </si>
  <si>
    <t>Dryer (Tray)</t>
  </si>
  <si>
    <t>Dryer (Spray)</t>
  </si>
  <si>
    <t>Dust Collector (Mechanical)</t>
  </si>
  <si>
    <t>Dust Collector (Spray)</t>
  </si>
  <si>
    <t>Dust Collector (Cloth Bay)</t>
  </si>
  <si>
    <t>Dust Collector (Precipitator)</t>
  </si>
  <si>
    <t>Extractor</t>
  </si>
  <si>
    <t>Filter (Plate &amp; Frame)</t>
  </si>
  <si>
    <t>Filter (Pressure Leaf)</t>
  </si>
  <si>
    <t>Filter (Rotary)</t>
  </si>
  <si>
    <t>Filter (Sewage)</t>
  </si>
  <si>
    <t>Filter (Sparkler)</t>
  </si>
  <si>
    <t>Filter (Vibrating Screens)</t>
  </si>
  <si>
    <t>Filter (Flotation)</t>
  </si>
  <si>
    <t>Mixer (Propeller)</t>
  </si>
  <si>
    <t>Mixer (Blender)</t>
  </si>
  <si>
    <t>Mixer (Batch)</t>
  </si>
  <si>
    <t>Size Reduction Equipment</t>
  </si>
  <si>
    <t>Crushers (Rotary)</t>
  </si>
  <si>
    <t>Crushers (Sawtooth)</t>
  </si>
  <si>
    <t>Crushers (Swing Hammer)</t>
  </si>
  <si>
    <t>Crushers (Swing Jaw)</t>
  </si>
  <si>
    <t>Crushers (Single Roll)</t>
  </si>
  <si>
    <t>Crushers (Gyratory)</t>
  </si>
  <si>
    <t>Mills (Attrition)</t>
  </si>
  <si>
    <t>Mills (Micro Pulverizer)</t>
  </si>
  <si>
    <t>Mills (Roller)</t>
  </si>
  <si>
    <t>Mills (Ball)</t>
  </si>
  <si>
    <t>Size Reduction Cutter (Rotary Knife)</t>
  </si>
  <si>
    <t>Ladders &amp; Platforms for Vessels &amp; Equipment</t>
  </si>
  <si>
    <t>Install Ladders &amp; Platforms for Vessels &amp; Equipment</t>
  </si>
  <si>
    <t>"Other" Equipment Not Covered in the Types Above</t>
  </si>
  <si>
    <t>Set / Install</t>
  </si>
  <si>
    <t>Alignment</t>
  </si>
  <si>
    <t>"Other Equipment" (Static)</t>
  </si>
  <si>
    <t>"Other Equipment" (Rotating, Reciprocating, etc.)</t>
  </si>
  <si>
    <t>Piping</t>
  </si>
  <si>
    <t xml:space="preserve">Complete Bolted Joints / Welds </t>
  </si>
  <si>
    <t>Complete Supports &amp; Trim</t>
  </si>
  <si>
    <t>Small Bore Piping, Pipe Rack</t>
  </si>
  <si>
    <t>Carbon Steel</t>
  </si>
  <si>
    <t>Stainless Steel &amp; Alloy</t>
  </si>
  <si>
    <t>Large Bore Piping, Pipe Rack</t>
  </si>
  <si>
    <t>Small Bore Piping, Process Area</t>
  </si>
  <si>
    <t>Large Bore Piping, Process Area</t>
  </si>
  <si>
    <t>Other Piping</t>
  </si>
  <si>
    <t>Fiberglass Piping</t>
  </si>
  <si>
    <t>Poly Vinyl Chloride (PVC) Piping</t>
  </si>
  <si>
    <t>Polypropylene Piping</t>
  </si>
  <si>
    <t>Copper Pipe</t>
  </si>
  <si>
    <t>Deluge / Fire Water Piping</t>
  </si>
  <si>
    <t>Steam Tracing</t>
  </si>
  <si>
    <t>Steam Tracing, hard piped</t>
  </si>
  <si>
    <t>HDPE Piping</t>
  </si>
  <si>
    <t xml:space="preserve">Hygienic Piping  </t>
  </si>
  <si>
    <t>Install Pipe</t>
  </si>
  <si>
    <t>Weld</t>
  </si>
  <si>
    <t>Slope Check</t>
  </si>
  <si>
    <t>Hygienic Piping (any  metallurgy)</t>
  </si>
  <si>
    <t>Test &amp; Reinstate</t>
  </si>
  <si>
    <t>Prep for Test</t>
  </si>
  <si>
    <t>Reinstate</t>
  </si>
  <si>
    <t>50.07.01</t>
  </si>
  <si>
    <t>Hot Taps &amp; Tie-ins</t>
  </si>
  <si>
    <t>Complete Welded / Bolted Joint</t>
  </si>
  <si>
    <t>Valve Handling (except Control Valves; see 70.6)</t>
  </si>
  <si>
    <t>Remove Temp Spool / Pup Piece</t>
  </si>
  <si>
    <t>Piping Interconnections</t>
  </si>
  <si>
    <t>Eye Wash Stations</t>
  </si>
  <si>
    <t>Pipelines</t>
  </si>
  <si>
    <t>Onshore Pipeline</t>
  </si>
  <si>
    <t>String and Bend</t>
  </si>
  <si>
    <t>Coat</t>
  </si>
  <si>
    <t>Tie-in</t>
  </si>
  <si>
    <t>Lower</t>
  </si>
  <si>
    <t>Lay Pipeline</t>
  </si>
  <si>
    <t>See 00 for Civil work (clear, grade, ditch, backfill)</t>
  </si>
  <si>
    <t>Horizontal Directional Drilling (HDD)</t>
  </si>
  <si>
    <t>Pilot</t>
  </si>
  <si>
    <t>Ream</t>
  </si>
  <si>
    <t>Pullback</t>
  </si>
  <si>
    <t>Road Bore</t>
  </si>
  <si>
    <t>Electrical</t>
  </si>
  <si>
    <t>Install Supports / Hangers</t>
  </si>
  <si>
    <t>Gland / Terminate</t>
  </si>
  <si>
    <t>Inspect, Test, Torque &amp; Accept</t>
  </si>
  <si>
    <t>60.01.01</t>
  </si>
  <si>
    <t>Cable Tray</t>
  </si>
  <si>
    <t>Channel Tray</t>
  </si>
  <si>
    <t>Install Tray Covers</t>
  </si>
  <si>
    <t>Conduit</t>
  </si>
  <si>
    <t>Lighting (Light Fixtures, including bulbs, Light Pole/Stanchion) / Receptacles</t>
  </si>
  <si>
    <t>Layout &amp; begin installation includes any preparation &amp; preassembly.</t>
  </si>
  <si>
    <t>Cable Bus</t>
  </si>
  <si>
    <t>Testing includes continuity tests, insulation resistance</t>
  </si>
  <si>
    <t>Bus Duct</t>
  </si>
  <si>
    <t>Electrical Equipment (Transformers, EDG, Switch Gear, EHT Controllers, MCC, UPS, VFD, Panels, etc.)</t>
  </si>
  <si>
    <t>Grounding</t>
  </si>
  <si>
    <t>Testing includes ground resistance tests, ground grid integrit tests, and connection</t>
  </si>
  <si>
    <t>Lightning Protection</t>
  </si>
  <si>
    <t>Junction Boxes &amp; Push / Pull Stations</t>
  </si>
  <si>
    <t>Cable Pull</t>
  </si>
  <si>
    <t>Stage / Install Tugger &amp; Rollers</t>
  </si>
  <si>
    <t>Pull</t>
  </si>
  <si>
    <t>Cable &amp; Wire (Medium/High Voltage) - Above Ground</t>
  </si>
  <si>
    <t>Cable &amp; Wire (Low Voltage, Instrument Cable) - Above Ground</t>
  </si>
  <si>
    <t>Cable &amp; Wire (Medium/High Voltage) - Below Ground</t>
  </si>
  <si>
    <t>Cable &amp; Wire (Low Voltage, Instrument Cable)  - Below Ground</t>
  </si>
  <si>
    <t>Cable Terminations</t>
  </si>
  <si>
    <t>Gland</t>
  </si>
  <si>
    <t>Test / Torque &amp; Accept</t>
  </si>
  <si>
    <t>Terminations (individual)</t>
  </si>
  <si>
    <t>Meggar testing &amp; continuity testing</t>
  </si>
  <si>
    <t>Cathodic Protection</t>
  </si>
  <si>
    <t>Intall Anode Pile</t>
  </si>
  <si>
    <t>Install Undergrounds</t>
  </si>
  <si>
    <t>Install Rectifiers / JB's</t>
  </si>
  <si>
    <t>Inspect, Energize, and Accept</t>
  </si>
  <si>
    <t>Impressed Current Cathodic Protection</t>
  </si>
  <si>
    <t>Testing includes electrode function tests</t>
  </si>
  <si>
    <t>Sacrificial Anode</t>
  </si>
  <si>
    <t>Specialty Test</t>
  </si>
  <si>
    <t>Setup</t>
  </si>
  <si>
    <t>Bump / Run / Test</t>
  </si>
  <si>
    <t>Motor Bump / Run Test</t>
  </si>
  <si>
    <t>Testing of Electrical Equipment (Switchgear/Transformers/etc.)</t>
  </si>
  <si>
    <t>Cable Hipot Test</t>
  </si>
  <si>
    <t>Electric Heat Tracing (EHT)</t>
  </si>
  <si>
    <t>Install &amp; Test</t>
  </si>
  <si>
    <t>Test (Post Insulation)</t>
  </si>
  <si>
    <t>60.06.01</t>
  </si>
  <si>
    <t>Pole Lines/Switchyards/Substations</t>
  </si>
  <si>
    <t>Assemble</t>
  </si>
  <si>
    <t>Anchor</t>
  </si>
  <si>
    <t>Guy Wires</t>
  </si>
  <si>
    <t>String / Set</t>
  </si>
  <si>
    <t>Splice / Sag / Test</t>
  </si>
  <si>
    <t>Mono Steel Power Poles/Supports (for powerline or bus supports)</t>
  </si>
  <si>
    <t>Wood Power Poles</t>
  </si>
  <si>
    <t>Power Pole Frames</t>
  </si>
  <si>
    <t xml:space="preserve">Powerline </t>
  </si>
  <si>
    <t>Switchyard/Outdoor Substation overhead bus</t>
  </si>
  <si>
    <t>Prefabricated Substations (excluding system interconnection work)</t>
  </si>
  <si>
    <t>Receive &amp; Offload from Transport</t>
  </si>
  <si>
    <t>Transport to Installation site</t>
  </si>
  <si>
    <t>Set in Place &amp; Secure</t>
  </si>
  <si>
    <t>Crane Set of Prefabricated Substation</t>
  </si>
  <si>
    <t>SPMT of Prefabricated Substation</t>
  </si>
  <si>
    <t>Stage / Prep / Test</t>
  </si>
  <si>
    <t>Gland / Terminate / Label</t>
  </si>
  <si>
    <t>Uncoil Cable (Electrical/Instrumentation)</t>
  </si>
  <si>
    <t>Module EHT Interconnecting Activities</t>
  </si>
  <si>
    <t>EHT Interconnect (excludes removal/install of insulation)</t>
  </si>
  <si>
    <t>Control Systems</t>
  </si>
  <si>
    <t>Connect Tubing</t>
  </si>
  <si>
    <t>Tubing</t>
  </si>
  <si>
    <t>Tubing Tray</t>
  </si>
  <si>
    <t>Gauges &amp; Indicators</t>
  </si>
  <si>
    <t>Transmitters</t>
  </si>
  <si>
    <t>Control Valves</t>
  </si>
  <si>
    <t>Switches</t>
  </si>
  <si>
    <t>Distributed Control System, Emergency Shut Down System, Fire &amp; Gas Detection System component Installation</t>
  </si>
  <si>
    <t>Marshalling Cabinets</t>
  </si>
  <si>
    <t>Instrument Calibration</t>
  </si>
  <si>
    <t>Loop Check</t>
  </si>
  <si>
    <t>Prefabricated Instrument/Control Buildings</t>
  </si>
  <si>
    <t>Instrumentation Interconnections</t>
  </si>
  <si>
    <t>Communications and Security</t>
  </si>
  <si>
    <t>Equipment</t>
  </si>
  <si>
    <t>Install Equipment</t>
  </si>
  <si>
    <t>Program / Test</t>
  </si>
  <si>
    <t>WAN (Antennas, Dishes, Transmission Equipment)</t>
  </si>
  <si>
    <t xml:space="preserve">LAN </t>
  </si>
  <si>
    <t>Telephone Systems</t>
  </si>
  <si>
    <t>Radio Frequency Systems</t>
  </si>
  <si>
    <t>Weather Monitoring Systems</t>
  </si>
  <si>
    <t>Entertainment Systems</t>
  </si>
  <si>
    <t>Security Alarm / CCTV / Access</t>
  </si>
  <si>
    <t>Stage / Test</t>
  </si>
  <si>
    <t>Gland / Terminate  / Cable Tags / Markers</t>
  </si>
  <si>
    <t>Fiber Optic</t>
  </si>
  <si>
    <t>CAT 5 / 6</t>
  </si>
  <si>
    <t>Painting and Coatings</t>
  </si>
  <si>
    <t>Blast / Surface Prep</t>
  </si>
  <si>
    <t>Prime</t>
  </si>
  <si>
    <t>Final Coat</t>
  </si>
  <si>
    <t>Primer Coat Only</t>
  </si>
  <si>
    <t>Prime &amp; Paint</t>
  </si>
  <si>
    <t>Final coat milestone includes touch up, as required.</t>
  </si>
  <si>
    <t>Thermal Spray Aluminum or Zinc (TSA/TSZn) Coating</t>
  </si>
  <si>
    <t>Intumescent Fireproofing</t>
  </si>
  <si>
    <t>Structural Fireproofing (cementitious type)</t>
  </si>
  <si>
    <t>Set Forms</t>
  </si>
  <si>
    <t>This item assumes fireproofing is broken into individual piece marks or small packages for progressing, not the entire scope of fireproofing on a project.</t>
  </si>
  <si>
    <t>Paint Touch Up &amp; Punch Items</t>
  </si>
  <si>
    <t>Fireproofing Interconnections</t>
  </si>
  <si>
    <t>Insulation/Refractory</t>
  </si>
  <si>
    <t>Place Insulation System</t>
  </si>
  <si>
    <t>Install Jacketing</t>
  </si>
  <si>
    <t>Pipe Insulation (mineral wool, cellular glass)</t>
  </si>
  <si>
    <t>Equipment Insulation</t>
  </si>
  <si>
    <t>Cryogenic Insulation (Piping)</t>
  </si>
  <si>
    <t>Multiple Layer Insulation (Piping)</t>
  </si>
  <si>
    <t>Insulated valve boxes</t>
  </si>
  <si>
    <t>Insulation Completion</t>
  </si>
  <si>
    <t>Modularization</t>
  </si>
  <si>
    <t>Module Setting (excluding system interconnection work)</t>
  </si>
  <si>
    <t>Crane Set Module</t>
  </si>
  <si>
    <t>SPMT Set Module</t>
  </si>
  <si>
    <t>Demolition</t>
  </si>
  <si>
    <t xml:space="preserve">Demolition </t>
  </si>
  <si>
    <t>Demolish</t>
  </si>
  <si>
    <t>Remove for Disposal</t>
  </si>
  <si>
    <t>Clear</t>
  </si>
  <si>
    <t>Under Ground Concrete Demolition</t>
  </si>
  <si>
    <t>Above Ground Concrete Demolition</t>
  </si>
  <si>
    <t>Area Paving (concrete) Demolition</t>
  </si>
  <si>
    <t>Structural Steel Demolition</t>
  </si>
  <si>
    <t>Asphalt Road Demolition (Wearing course only)</t>
  </si>
  <si>
    <t>Road Base Demolition (Base portion only)</t>
  </si>
  <si>
    <t>Underground Pipe Demolition</t>
  </si>
  <si>
    <t>Above Ground Pipe Demolition</t>
  </si>
  <si>
    <t>All Piles (Remove)</t>
  </si>
  <si>
    <t>Underground Electrical Demolition</t>
  </si>
  <si>
    <t>Above Ground Electrical Demolition</t>
  </si>
  <si>
    <t>Instrument Demolition</t>
  </si>
  <si>
    <t>General Requirements</t>
  </si>
  <si>
    <t>Scaffolding</t>
  </si>
  <si>
    <t>Maintenance</t>
  </si>
  <si>
    <t>Dismantle</t>
  </si>
  <si>
    <t>Hours to be distributed as per milestones, but do not include in the project progress calculation</t>
  </si>
  <si>
    <t>Startup and Commissioning</t>
  </si>
  <si>
    <t>Pre-Commissioning</t>
  </si>
  <si>
    <t>Walkdown</t>
  </si>
  <si>
    <t>Complete Task</t>
  </si>
  <si>
    <t>Pre-commissioning</t>
  </si>
  <si>
    <t>Commissioning</t>
  </si>
  <si>
    <t>Milestones and weightings will be dependant on the specific scope of work. A separate progress baseline will be established.</t>
  </si>
  <si>
    <t>Start-up</t>
  </si>
  <si>
    <t>CUB</t>
  </si>
  <si>
    <t>CONTROL HOURS</t>
  </si>
  <si>
    <t>% COMPLETE CUM</t>
  </si>
  <si>
    <t>ORIG QTYS</t>
  </si>
  <si>
    <t>CONTROL QTYS</t>
  </si>
  <si>
    <t>UOM</t>
  </si>
  <si>
    <t>CONTROL BASE HRS</t>
  </si>
  <si>
    <t>ORIGINAL BASE HRS</t>
  </si>
  <si>
    <t>INSTALL QTYS</t>
  </si>
  <si>
    <t>Fabrication</t>
  </si>
  <si>
    <t>Issue IWP</t>
  </si>
  <si>
    <t>Cut</t>
  </si>
  <si>
    <t>Fabricate</t>
  </si>
  <si>
    <t>NDE</t>
  </si>
  <si>
    <t>Steel Fabrication</t>
  </si>
  <si>
    <t>Handrails, Ladders and Platforms</t>
  </si>
  <si>
    <t>Decking/Grating Fabrication</t>
  </si>
  <si>
    <t>DESCRIPTION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</si>
  <si>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</si>
  <si>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</si>
  <si>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</si>
  <si>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</si>
  <si>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</si>
  <si>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</si>
  <si>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</si>
  <si>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</si>
  <si>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</si>
  <si>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</si>
  <si>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</si>
  <si>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</si>
  <si>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Estimated Total Quantity: </t>
  </si>
  <si>
    <t>CONSTRUCTION PHASE</t>
  </si>
  <si>
    <t xml:space="preserve">Actual Install To Date: </t>
  </si>
  <si>
    <t xml:space="preserve">Forecast Install To Date: </t>
  </si>
  <si>
    <t>Weekly Statistics</t>
  </si>
  <si>
    <t>RECOVERY PLAN CONSTRUCTION</t>
  </si>
  <si>
    <t>Installation Monthly</t>
  </si>
  <si>
    <t>Installation Cumulative</t>
  </si>
  <si>
    <t xml:space="preserve">Start Date </t>
  </si>
  <si>
    <t>Remarks / Comments</t>
  </si>
  <si>
    <t>REVISIONS</t>
  </si>
  <si>
    <t>Finish Date</t>
  </si>
  <si>
    <t>Date</t>
  </si>
  <si>
    <t>Revision</t>
  </si>
  <si>
    <t>Checked</t>
  </si>
  <si>
    <t>Approved</t>
  </si>
  <si>
    <t>Data Date</t>
  </si>
  <si>
    <t xml:space="preserve">Run Date </t>
  </si>
  <si>
    <t>QUANTITY PROGRESS S-CURVE</t>
  </si>
  <si>
    <t xml:space="preserve"> </t>
  </si>
  <si>
    <t>Actual Installation Weekly</t>
  </si>
  <si>
    <t>Actual Cumm. Installation</t>
  </si>
  <si>
    <t>Forecast Install. Weekly</t>
  </si>
  <si>
    <t>Forecast Cumm.</t>
  </si>
  <si>
    <t>Eli Lilly</t>
  </si>
  <si>
    <t>Lebanon Plant 1 (LP1)</t>
  </si>
  <si>
    <t>Indianapolis, US</t>
  </si>
  <si>
    <t>ACTUAL CONSTRUCTION</t>
  </si>
  <si>
    <t>Plan Installation Weekly</t>
  </si>
  <si>
    <t>Plan Cumm. Installation</t>
  </si>
  <si>
    <t xml:space="preserve"> PLAN CONSTRUCTION</t>
  </si>
  <si>
    <t>FORECAST CONSTRUCTION</t>
  </si>
  <si>
    <t xml:space="preserve">Plan Install to Date: </t>
  </si>
  <si>
    <t>LEBANON PLANT 1 (LP1)</t>
  </si>
  <si>
    <t>ML06</t>
  </si>
  <si>
    <t>ACTUAL HOURS</t>
  </si>
  <si>
    <t>Ship Loose Material</t>
  </si>
  <si>
    <t>83.02.01</t>
  </si>
  <si>
    <t xml:space="preserve">Prime Account Name </t>
  </si>
  <si>
    <t>Milestone 2</t>
  </si>
  <si>
    <t>Milestone 3</t>
  </si>
  <si>
    <t>Milestone 4</t>
  </si>
  <si>
    <t>Milestone 5</t>
  </si>
  <si>
    <t>Milestone 6</t>
  </si>
  <si>
    <t>Milestone 7</t>
  </si>
  <si>
    <t>Milestone 8</t>
  </si>
  <si>
    <t>Milestone 9</t>
  </si>
  <si>
    <t>Unit of Measure Imperial</t>
  </si>
  <si>
    <t>Unit of Measure Metric</t>
  </si>
  <si>
    <t>Check!</t>
  </si>
  <si>
    <t xml:space="preserve">Note </t>
  </si>
  <si>
    <t>Comments</t>
  </si>
  <si>
    <t>Cost Code of Account</t>
  </si>
  <si>
    <t>Craft</t>
  </si>
  <si>
    <t>S/C</t>
  </si>
  <si>
    <t>CCOA Notes</t>
  </si>
  <si>
    <t>* General comment - all final activities were changed to be a minimum of 10% as per Steve Laskowski's comment.</t>
  </si>
  <si>
    <t>ac</t>
  </si>
  <si>
    <t>ha</t>
  </si>
  <si>
    <t>Y</t>
  </si>
  <si>
    <t>yd3</t>
  </si>
  <si>
    <t>m3</t>
  </si>
  <si>
    <t>Dewatering milestone weighting increased as per CSA comments.</t>
  </si>
  <si>
    <t>Added Note</t>
  </si>
  <si>
    <t>ea</t>
  </si>
  <si>
    <t>ft2</t>
  </si>
  <si>
    <t>m2</t>
  </si>
  <si>
    <t>Weightings adjusted as per CSA (Civil) comments.</t>
  </si>
  <si>
    <t>Comment received from Scott Hounsell regarding hydro testing these items. This comment was rejected, as these items are not typically hydro tested.</t>
  </si>
  <si>
    <t>ft</t>
  </si>
  <si>
    <t>m</t>
  </si>
  <si>
    <t>highlighted green which is SAP Cost Element not SAP Labour Activity Type</t>
  </si>
  <si>
    <t>Retap milstone included as per Gary Gardner's comment.</t>
  </si>
  <si>
    <t>Trimming piles added as per Russell Lanes comments</t>
  </si>
  <si>
    <t>N</t>
  </si>
  <si>
    <t>Comments rejected from CSA (Civil) regarding weightings.</t>
  </si>
  <si>
    <t>* Rub &amp; Finish made to be as applicable as per Gary Gardner's comments.</t>
  </si>
  <si>
    <t>Comments from Patrick Purser were incorporated, reducing the 10% weighted final activity to 5% and distributing the final 5% among formwork and rebar.</t>
  </si>
  <si>
    <t>further breakout at Cost Element / SAP Detail Level</t>
  </si>
  <si>
    <t>Comment partially accepted from CSA regarding milestone weightings.</t>
  </si>
  <si>
    <t xml:space="preserve">m </t>
  </si>
  <si>
    <t>610130; 610140; 610150; 610160</t>
  </si>
  <si>
    <t>3001035; 3001036; 3001037; 3001038</t>
  </si>
  <si>
    <t>610165; 610180; 610190; 610200</t>
  </si>
  <si>
    <t>3001039; 3001040; 3001041</t>
  </si>
  <si>
    <t>Some milestone weightings adjusted, but not all as a result of conflicting comments. (CSA/S. Laskowski)</t>
  </si>
  <si>
    <t>ft3</t>
  </si>
  <si>
    <t>620020; 639910</t>
  </si>
  <si>
    <t>this is general, also available are 1085200 - Cementitious and 1085300 - Epoxy</t>
  </si>
  <si>
    <t xml:space="preserve">NP-7-Aug-18 - corrected line no. </t>
  </si>
  <si>
    <t>Ton</t>
  </si>
  <si>
    <t>MT</t>
  </si>
  <si>
    <t>Preassembled steel separated &amp; weighted differently as per CSA comments</t>
  </si>
  <si>
    <t xml:space="preserve">3001071; 3001073; 3001074; 3001072; 3001076; </t>
  </si>
  <si>
    <t>620350; 620360</t>
  </si>
  <si>
    <t>620340; 620310</t>
  </si>
  <si>
    <t>3001086; 3001083</t>
  </si>
  <si>
    <t>added Note</t>
  </si>
  <si>
    <t>`</t>
  </si>
  <si>
    <t>Lot</t>
  </si>
  <si>
    <t>Acceptance milestone increased in weight as per CSA comments.</t>
  </si>
  <si>
    <t>Moved from the HVAC equipment sections above (Row hidden in spreadsheet with comments)</t>
  </si>
  <si>
    <t>4020100 - 4020400</t>
  </si>
  <si>
    <t>By type</t>
  </si>
  <si>
    <t>4020100 - 4020300</t>
  </si>
  <si>
    <t>item for floating roof tanks added as per Russell Lane's comments</t>
  </si>
  <si>
    <t>Proposed</t>
  </si>
  <si>
    <t>Install radiant walls, floor, coils, arch, dress with platforms and refractory</t>
  </si>
  <si>
    <t>Install convection and transition sections, platforms, refractory</t>
  </si>
  <si>
    <t>Install stack with any refractory and dress with platforms</t>
  </si>
  <si>
    <t>Install burners, E&amp;I and piping</t>
  </si>
  <si>
    <t>Furnace</t>
  </si>
  <si>
    <t>Milestones may change. No Hydro, Chemical clean, pigging or purging of lines after hydro was included</t>
  </si>
  <si>
    <t>???</t>
  </si>
  <si>
    <t>Should this be under Conveyor's Cost Account 4080500</t>
  </si>
  <si>
    <t>Waste Heat Recovery Unit (WHRU)</t>
  </si>
  <si>
    <t>Stage material</t>
  </si>
  <si>
    <t>Install support structure</t>
  </si>
  <si>
    <t>Install coil bundle section up to transition and dress</t>
  </si>
  <si>
    <t>Install stack and dress</t>
  </si>
  <si>
    <t>Install inlet ducting support steel and ducting</t>
  </si>
  <si>
    <t>Additional activities &amp; intermediate milestones added as per Robert Van Baal's suggestion on 11/2/16</t>
  </si>
  <si>
    <t>Weighting Adjusted as per Russel Lane's comments</t>
  </si>
  <si>
    <t>Set package on foundations and dress with platforms/ladders/etc.</t>
  </si>
  <si>
    <t>Install burners and secondary components, superheater/condensor/piping/etc.</t>
  </si>
  <si>
    <t>Install fan, hot and cold flue gas ducting including stack</t>
  </si>
  <si>
    <t xml:space="preserve">Install insulation </t>
  </si>
  <si>
    <t>Does not include potential milestones like Hydro, Chemical cleaning, purging on installing burners. Milestones based on boiler being supplied as a package boiler</t>
  </si>
  <si>
    <t>Additional milestones for turbines were added as per Mechanical Discipline engineering comments, to be more like the compressor milestones.</t>
  </si>
  <si>
    <t xml:space="preserve">4030200 / 4030300 </t>
  </si>
  <si>
    <t>640320; 640330</t>
  </si>
  <si>
    <t>5537410; 5537415</t>
  </si>
  <si>
    <t>Steam / Gas</t>
  </si>
  <si>
    <t>4060100 -4060600</t>
  </si>
  <si>
    <t>640270; 640271</t>
  </si>
  <si>
    <t>5537421; 5537420</t>
  </si>
  <si>
    <t>Above</t>
  </si>
  <si>
    <t>Multiple - see above</t>
  </si>
  <si>
    <t>Too generic, too many variables</t>
  </si>
  <si>
    <t>640400 ????</t>
  </si>
  <si>
    <t>5537620 ????</t>
  </si>
  <si>
    <t>Exhaust Fans????</t>
  </si>
  <si>
    <t>Milestone for testing was added as per Scott Hounsell's comment</t>
  </si>
  <si>
    <t>641520 ????</t>
  </si>
  <si>
    <t>5537865???</t>
  </si>
  <si>
    <t>641640 ???</t>
  </si>
  <si>
    <t>5527839 ???</t>
  </si>
  <si>
    <t>4070600 / 4080300</t>
  </si>
  <si>
    <t>Liquids / Solids</t>
  </si>
  <si>
    <t>5537836?</t>
  </si>
  <si>
    <t>4070100 / 4070400 / 4080100</t>
  </si>
  <si>
    <t>4070100 / 4070500</t>
  </si>
  <si>
    <t>5537865?</t>
  </si>
  <si>
    <t>4070200 / 4080200</t>
  </si>
  <si>
    <t>Added as per comment from Scott Hounsell</t>
  </si>
  <si>
    <t>620340; 620370</t>
  </si>
  <si>
    <t>lots of CCOAs by equipment type</t>
  </si>
  <si>
    <t>Milestone weightings for piping adjusted as per Scott Housell's comment regarding the weighting of testing-reinstatement activities. (Typical for Metallic piping)</t>
  </si>
  <si>
    <t>Staging for all piping was raised to 10% weighting as per Gary Gardner's comment.</t>
  </si>
  <si>
    <t>Assumes all shop fab; where are ROC for field fab? Separate CCOA for Supports</t>
  </si>
  <si>
    <t>The final activity weighting for all items was increased to 25% based on comments by Patrick Purser</t>
  </si>
  <si>
    <t>Assumes all shop fab; where are ROC for field fab?</t>
  </si>
  <si>
    <t>601441; 601442</t>
  </si>
  <si>
    <t>Assumes all shop fab; where are ROC for field fab? Separate CCOA for Supports; AG only</t>
  </si>
  <si>
    <t>650692; 650694</t>
  </si>
  <si>
    <t>601360; 632000</t>
  </si>
  <si>
    <t>3001190; 3001191</t>
  </si>
  <si>
    <t>Weighting added for supporting Steam Tracing as per Gary Gardner's comments</t>
  </si>
  <si>
    <t>This line added for hard-piped steam tracing, as per Ronnie Westerhoven's comments.</t>
  </si>
  <si>
    <t>Added as per LS&amp;AM input (see Fred Pearson Comments)</t>
  </si>
  <si>
    <t>Cut/Bevel</t>
  </si>
  <si>
    <t>Piping Supports</t>
  </si>
  <si>
    <t>5545100?</t>
  </si>
  <si>
    <t>5545160?</t>
  </si>
  <si>
    <t>Electrical section was modified as per electrical engineering discipline comments., line items were renamed and testing descriptions added. Some weightings were changed)</t>
  </si>
  <si>
    <t>AG only</t>
  </si>
  <si>
    <t>6035200 / 6035210</t>
  </si>
  <si>
    <t>660130; 660135</t>
  </si>
  <si>
    <t>5547205; 5546260</t>
  </si>
  <si>
    <t>Separate CCOA for Lighting Poles</t>
  </si>
  <si>
    <t xml:space="preserve">Cable Pull                                                                                                                         </t>
  </si>
  <si>
    <t>Secure / Tie-Wrap/Cleanup</t>
  </si>
  <si>
    <t>Buried cable items added as per Russell Lane's comments</t>
  </si>
  <si>
    <t>680020?</t>
  </si>
  <si>
    <t>3001527?</t>
  </si>
  <si>
    <t>Terminate / Wire Tags</t>
  </si>
  <si>
    <t>Cable Tag</t>
  </si>
  <si>
    <t>New Line item added, EHT moved from Line 60.9 &amp; new milestones added as per Scott Hounsell's comments.</t>
  </si>
  <si>
    <t>5548600?</t>
  </si>
  <si>
    <t>further breakout at Cost Element / SAP Detail Level; testing with DFL is a separate activity type</t>
  </si>
  <si>
    <t>Support/Tie-wrap</t>
  </si>
  <si>
    <t>6070100 / 7070100</t>
  </si>
  <si>
    <t>5501515?</t>
  </si>
  <si>
    <t>Electrical / Instrumentation separate CCOAs</t>
  </si>
  <si>
    <t>General Instrument installation; Separate CCOA for testing / calibration</t>
  </si>
  <si>
    <t>Separate CCOA for testing / calibration</t>
  </si>
  <si>
    <t>see detail at SAP Detail Level</t>
  </si>
  <si>
    <t>Thermowells</t>
  </si>
  <si>
    <t>Relief Devices</t>
  </si>
  <si>
    <t>I/P Devices</t>
  </si>
  <si>
    <t>NP7-Aug-18 - updated to remove working line from title.</t>
  </si>
  <si>
    <t>NP7-Aug-18 - updated to correct working line .</t>
  </si>
  <si>
    <t>lot</t>
  </si>
  <si>
    <t>5501520?</t>
  </si>
  <si>
    <t>680380; 680600</t>
  </si>
  <si>
    <t>3001580; 3001609</t>
  </si>
  <si>
    <t>5001760?</t>
  </si>
  <si>
    <t>5551020?</t>
  </si>
  <si>
    <t>5551025?</t>
  </si>
  <si>
    <t>Note relocated</t>
  </si>
  <si>
    <t>Galvanizing</t>
  </si>
  <si>
    <t>Vendor performed scope</t>
  </si>
  <si>
    <t>The Description for milestones using the word "receive" was modified to only use the word "stage" for the avoidance of confusion with initial receipt of materials. - change made based on comments from Patrick Purser</t>
  </si>
  <si>
    <t>see SAP Activity for Patch Joints</t>
  </si>
  <si>
    <t>5562110?</t>
  </si>
  <si>
    <t>5562120?</t>
  </si>
  <si>
    <t>Cryogenic Insulation added as per Gary Gardner's comments</t>
  </si>
  <si>
    <t>Multi Layer Insulation added as per Gary Gardner's comments</t>
  </si>
  <si>
    <t>5501525?</t>
  </si>
  <si>
    <t>5505130?</t>
  </si>
  <si>
    <t>Packing &amp; Loadout</t>
  </si>
  <si>
    <t>Material Purchase</t>
  </si>
  <si>
    <t>RFP/MTO</t>
  </si>
  <si>
    <t>PO</t>
  </si>
  <si>
    <t>Material Delivery</t>
  </si>
  <si>
    <t>Bulk Material Purchase</t>
  </si>
  <si>
    <t>Calgary SAP Labor Activity Type
Craft</t>
  </si>
  <si>
    <t xml:space="preserve">Calgary SAP Labor Activity Type
Subcontract </t>
  </si>
  <si>
    <t>0005100</t>
  </si>
  <si>
    <t>600210</t>
  </si>
  <si>
    <t>3000927</t>
  </si>
  <si>
    <t>0010100</t>
  </si>
  <si>
    <t>600310</t>
  </si>
  <si>
    <t>3000930</t>
  </si>
  <si>
    <t>0025100</t>
  </si>
  <si>
    <t>682500</t>
  </si>
  <si>
    <t>0015100</t>
  </si>
  <si>
    <t>600390</t>
  </si>
  <si>
    <t>3000938</t>
  </si>
  <si>
    <t>600220</t>
  </si>
  <si>
    <t>0030300</t>
  </si>
  <si>
    <t>600555</t>
  </si>
  <si>
    <t>5505205</t>
  </si>
  <si>
    <t>0035200</t>
  </si>
  <si>
    <t>600970</t>
  </si>
  <si>
    <t>3000973</t>
  </si>
  <si>
    <t>0035300</t>
  </si>
  <si>
    <t>600900</t>
  </si>
  <si>
    <t>3000970</t>
  </si>
  <si>
    <t>600700</t>
  </si>
  <si>
    <t>3000964</t>
  </si>
  <si>
    <t>0030100</t>
  </si>
  <si>
    <t>600675</t>
  </si>
  <si>
    <t>3000956</t>
  </si>
  <si>
    <t>0030220</t>
  </si>
  <si>
    <t>5506290</t>
  </si>
  <si>
    <t>1010300</t>
  </si>
  <si>
    <t>610070</t>
  </si>
  <si>
    <t>5516500</t>
  </si>
  <si>
    <t>1025100</t>
  </si>
  <si>
    <t>610130</t>
  </si>
  <si>
    <t>3001037</t>
  </si>
  <si>
    <t>1045100</t>
  </si>
  <si>
    <t>610330</t>
  </si>
  <si>
    <t>3001048</t>
  </si>
  <si>
    <t>1020100</t>
  </si>
  <si>
    <t>610090</t>
  </si>
  <si>
    <t>3001030</t>
  </si>
  <si>
    <t>610320</t>
  </si>
  <si>
    <t>3001050</t>
  </si>
  <si>
    <t>610100</t>
  </si>
  <si>
    <t>3001031</t>
  </si>
  <si>
    <t>1030100</t>
  </si>
  <si>
    <t>610150</t>
  </si>
  <si>
    <t>3001036</t>
  </si>
  <si>
    <t>610190</t>
  </si>
  <si>
    <t>3001041</t>
  </si>
  <si>
    <t>610200</t>
  </si>
  <si>
    <t>3001040</t>
  </si>
  <si>
    <t>1050100</t>
  </si>
  <si>
    <t>1085100</t>
  </si>
  <si>
    <t>3001052</t>
  </si>
  <si>
    <r>
      <t>Structural Steel Members</t>
    </r>
    <r>
      <rPr>
        <sz val="11"/>
        <color theme="1"/>
        <rFont val="Calibri"/>
        <family val="2"/>
      </rPr>
      <t>,</t>
    </r>
    <r>
      <rPr>
        <sz val="11"/>
        <color theme="1"/>
        <rFont val="Calibri"/>
        <family val="2"/>
        <scheme val="minor"/>
      </rPr>
      <t xml:space="preserve"> individual</t>
    </r>
  </si>
  <si>
    <t>2010100</t>
  </si>
  <si>
    <t>620370</t>
  </si>
  <si>
    <t>620120</t>
  </si>
  <si>
    <t>3001085</t>
  </si>
  <si>
    <t>620320</t>
  </si>
  <si>
    <t>3001084</t>
  </si>
  <si>
    <t>2080100</t>
  </si>
  <si>
    <t>600141</t>
  </si>
  <si>
    <t>600140</t>
  </si>
  <si>
    <t>5501505</t>
  </si>
  <si>
    <t>3015400</t>
  </si>
  <si>
    <t>632240</t>
  </si>
  <si>
    <t>3001211</t>
  </si>
  <si>
    <t>3015300</t>
  </si>
  <si>
    <t>3015700</t>
  </si>
  <si>
    <t>3030100</t>
  </si>
  <si>
    <t>3020100</t>
  </si>
  <si>
    <t>630400</t>
  </si>
  <si>
    <t>3001130</t>
  </si>
  <si>
    <t>630480</t>
  </si>
  <si>
    <t>3001138</t>
  </si>
  <si>
    <t>3000100</t>
  </si>
  <si>
    <t>3035100</t>
  </si>
  <si>
    <t>640160</t>
  </si>
  <si>
    <t>3001265</t>
  </si>
  <si>
    <t>4010100</t>
  </si>
  <si>
    <t>640100</t>
  </si>
  <si>
    <t>3001262</t>
  </si>
  <si>
    <t>3001263</t>
  </si>
  <si>
    <t>4070400</t>
  </si>
  <si>
    <t>641370</t>
  </si>
  <si>
    <t>5537515</t>
  </si>
  <si>
    <t>640660</t>
  </si>
  <si>
    <t>5538105</t>
  </si>
  <si>
    <t>4040100</t>
  </si>
  <si>
    <t>640370</t>
  </si>
  <si>
    <t>3001283</t>
  </si>
  <si>
    <t>4050300</t>
  </si>
  <si>
    <t>640620</t>
  </si>
  <si>
    <t>3001304</t>
  </si>
  <si>
    <t>6400460</t>
  </si>
  <si>
    <t>3001294</t>
  </si>
  <si>
    <t>4030500</t>
  </si>
  <si>
    <t>4030100</t>
  </si>
  <si>
    <t>640260</t>
  </si>
  <si>
    <t>3001274</t>
  </si>
  <si>
    <t>640250</t>
  </si>
  <si>
    <t>3001273</t>
  </si>
  <si>
    <t>4080500</t>
  </si>
  <si>
    <t>4020400</t>
  </si>
  <si>
    <t>640230</t>
  </si>
  <si>
    <t>3001270</t>
  </si>
  <si>
    <t>4020900</t>
  </si>
  <si>
    <t>640240</t>
  </si>
  <si>
    <t>5537230</t>
  </si>
  <si>
    <t>4040400</t>
  </si>
  <si>
    <t>640352</t>
  </si>
  <si>
    <t>3001287</t>
  </si>
  <si>
    <t>4050500</t>
  </si>
  <si>
    <t>630440</t>
  </si>
  <si>
    <t>480400</t>
  </si>
  <si>
    <t>640810</t>
  </si>
  <si>
    <t>3001324</t>
  </si>
  <si>
    <t>4080600</t>
  </si>
  <si>
    <t>640670</t>
  </si>
  <si>
    <t>3001315</t>
  </si>
  <si>
    <t>4070200</t>
  </si>
  <si>
    <t>640580</t>
  </si>
  <si>
    <t>3001300</t>
  </si>
  <si>
    <t>4070100</t>
  </si>
  <si>
    <t>4080300</t>
  </si>
  <si>
    <t>641640</t>
  </si>
  <si>
    <t>5527839</t>
  </si>
  <si>
    <t>4080100</t>
  </si>
  <si>
    <t>641610</t>
  </si>
  <si>
    <t>641510</t>
  </si>
  <si>
    <t>641522</t>
  </si>
  <si>
    <t>5537821</t>
  </si>
  <si>
    <t>640820</t>
  </si>
  <si>
    <t>3001326</t>
  </si>
  <si>
    <t>640830</t>
  </si>
  <si>
    <t>3001325</t>
  </si>
  <si>
    <t>5010200</t>
  </si>
  <si>
    <t>650090</t>
  </si>
  <si>
    <t>5545102</t>
  </si>
  <si>
    <t>5010300</t>
  </si>
  <si>
    <t>650170</t>
  </si>
  <si>
    <t>5545103</t>
  </si>
  <si>
    <t>650100</t>
  </si>
  <si>
    <t>650180</t>
  </si>
  <si>
    <t>5010400</t>
  </si>
  <si>
    <t>5545125</t>
  </si>
  <si>
    <t>5545105</t>
  </si>
  <si>
    <t>5070100</t>
  </si>
  <si>
    <t>5065100</t>
  </si>
  <si>
    <t>650470</t>
  </si>
  <si>
    <t>3001403</t>
  </si>
  <si>
    <t>632000</t>
  </si>
  <si>
    <t>3001191</t>
  </si>
  <si>
    <t>3015600</t>
  </si>
  <si>
    <t>630700</t>
  </si>
  <si>
    <t>3001145</t>
  </si>
  <si>
    <t>5090100</t>
  </si>
  <si>
    <t>650670</t>
  </si>
  <si>
    <t>5080200</t>
  </si>
  <si>
    <t>601400</t>
  </si>
  <si>
    <t>3001404</t>
  </si>
  <si>
    <t>5030900</t>
  </si>
  <si>
    <t>650500</t>
  </si>
  <si>
    <t>5085100</t>
  </si>
  <si>
    <t>600136</t>
  </si>
  <si>
    <t>5505510</t>
  </si>
  <si>
    <t>650410</t>
  </si>
  <si>
    <t>554500</t>
  </si>
  <si>
    <t>5520200</t>
  </si>
  <si>
    <t>602370</t>
  </si>
  <si>
    <t>3001726</t>
  </si>
  <si>
    <t>6060100</t>
  </si>
  <si>
    <t>6030100</t>
  </si>
  <si>
    <t>660260</t>
  </si>
  <si>
    <t>3001442</t>
  </si>
  <si>
    <t>660270</t>
  </si>
  <si>
    <t>3001444</t>
  </si>
  <si>
    <t>660255</t>
  </si>
  <si>
    <t>6045200</t>
  </si>
  <si>
    <t>660350</t>
  </si>
  <si>
    <t>3001454</t>
  </si>
  <si>
    <t>6090100</t>
  </si>
  <si>
    <t>660360</t>
  </si>
  <si>
    <t>3001459</t>
  </si>
  <si>
    <t>6040100</t>
  </si>
  <si>
    <t>660400</t>
  </si>
  <si>
    <t>6050100</t>
  </si>
  <si>
    <t>660310</t>
  </si>
  <si>
    <t>3001449</t>
  </si>
  <si>
    <t>600137</t>
  </si>
  <si>
    <t>7040100</t>
  </si>
  <si>
    <t>670270</t>
  </si>
  <si>
    <t>3001511</t>
  </si>
  <si>
    <t>7010100</t>
  </si>
  <si>
    <t>6700200</t>
  </si>
  <si>
    <t>3001470</t>
  </si>
  <si>
    <t>7010220</t>
  </si>
  <si>
    <t>670080</t>
  </si>
  <si>
    <t>3001466</t>
  </si>
  <si>
    <t>7010300</t>
  </si>
  <si>
    <t>670110</t>
  </si>
  <si>
    <t>3001473</t>
  </si>
  <si>
    <t>7025100</t>
  </si>
  <si>
    <t>670130</t>
  </si>
  <si>
    <t>3001483</t>
  </si>
  <si>
    <t>7814310</t>
  </si>
  <si>
    <t>670250</t>
  </si>
  <si>
    <t>3001509</t>
  </si>
  <si>
    <t>7090100</t>
  </si>
  <si>
    <t>670360</t>
  </si>
  <si>
    <t>3001524</t>
  </si>
  <si>
    <t>670370</t>
  </si>
  <si>
    <t>3001525</t>
  </si>
  <si>
    <t>7050100</t>
  </si>
  <si>
    <t>632210</t>
  </si>
  <si>
    <t>3001208</t>
  </si>
  <si>
    <t>600138</t>
  </si>
  <si>
    <t>7510100</t>
  </si>
  <si>
    <t>7510110</t>
  </si>
  <si>
    <t xml:space="preserve">660200 </t>
  </si>
  <si>
    <t>3001418</t>
  </si>
  <si>
    <t>7510120</t>
  </si>
  <si>
    <t>3001526</t>
  </si>
  <si>
    <t>7510170</t>
  </si>
  <si>
    <t>680586</t>
  </si>
  <si>
    <t>7510180</t>
  </si>
  <si>
    <t>681005</t>
  </si>
  <si>
    <t>7520100</t>
  </si>
  <si>
    <t>660160</t>
  </si>
  <si>
    <t>3001422</t>
  </si>
  <si>
    <t>680210</t>
  </si>
  <si>
    <t>8110100</t>
  </si>
  <si>
    <t>690010</t>
  </si>
  <si>
    <t>3001664</t>
  </si>
  <si>
    <t>8130100</t>
  </si>
  <si>
    <t>690300</t>
  </si>
  <si>
    <t>3001676</t>
  </si>
  <si>
    <t>8210200</t>
  </si>
  <si>
    <t>690110</t>
  </si>
  <si>
    <t>8210400</t>
  </si>
  <si>
    <t>690130</t>
  </si>
  <si>
    <t>8310100</t>
  </si>
  <si>
    <t>600134</t>
  </si>
  <si>
    <t>8705100</t>
  </si>
  <si>
    <t>690200</t>
  </si>
  <si>
    <t>3001675</t>
  </si>
  <si>
    <t>600200</t>
  </si>
  <si>
    <t>3000924</t>
  </si>
  <si>
    <t>8810100</t>
  </si>
  <si>
    <t>690400</t>
  </si>
  <si>
    <t>5565000</t>
  </si>
  <si>
    <t>8820100</t>
  </si>
  <si>
    <t>690500</t>
  </si>
  <si>
    <t>5566100</t>
  </si>
  <si>
    <t>8830100</t>
  </si>
  <si>
    <t>690600</t>
  </si>
  <si>
    <t>5567100</t>
  </si>
  <si>
    <t>00.01.01</t>
  </si>
  <si>
    <t>00.02.01</t>
  </si>
  <si>
    <t>00.02.02</t>
  </si>
  <si>
    <t>00.02.03</t>
  </si>
  <si>
    <t>00.02.04</t>
  </si>
  <si>
    <t>00.02.05</t>
  </si>
  <si>
    <t>00.03.01</t>
  </si>
  <si>
    <t>00.04.01</t>
  </si>
  <si>
    <t>00.05.01</t>
  </si>
  <si>
    <t>00.05.02</t>
  </si>
  <si>
    <t>00.06.01</t>
  </si>
  <si>
    <t>00.07.01</t>
  </si>
  <si>
    <t>00.07.02</t>
  </si>
  <si>
    <t>00.07.03</t>
  </si>
  <si>
    <t>00.08.01</t>
  </si>
  <si>
    <t>00.08.02</t>
  </si>
  <si>
    <t>00.08.03</t>
  </si>
  <si>
    <t>00.08.04</t>
  </si>
  <si>
    <t>00.09.01</t>
  </si>
  <si>
    <t>00.10.01</t>
  </si>
  <si>
    <t>00.10.02</t>
  </si>
  <si>
    <t>00.10.03</t>
  </si>
  <si>
    <t>00.10.04</t>
  </si>
  <si>
    <t>00.10.05</t>
  </si>
  <si>
    <t>00.11.01</t>
  </si>
  <si>
    <t>00.12.01</t>
  </si>
  <si>
    <t>00.12.02</t>
  </si>
  <si>
    <t>00.12.03</t>
  </si>
  <si>
    <t>00.13.01</t>
  </si>
  <si>
    <t>00.13.02</t>
  </si>
  <si>
    <t>00.14.01</t>
  </si>
  <si>
    <t>00.15.01</t>
  </si>
  <si>
    <t>00.16.01</t>
  </si>
  <si>
    <t>00.17.01</t>
  </si>
  <si>
    <t>00.18.01</t>
  </si>
  <si>
    <t>10.01.01</t>
  </si>
  <si>
    <t>10.01.02</t>
  </si>
  <si>
    <t>10.01.03</t>
  </si>
  <si>
    <t>10.01.04</t>
  </si>
  <si>
    <t>10.01.05</t>
  </si>
  <si>
    <t>10.01.06</t>
  </si>
  <si>
    <t>10.01.07</t>
  </si>
  <si>
    <t>10.01.08</t>
  </si>
  <si>
    <t>10.01.09</t>
  </si>
  <si>
    <t>10.01.10</t>
  </si>
  <si>
    <t>10.01.11</t>
  </si>
  <si>
    <t>10.01.12</t>
  </si>
  <si>
    <t>10.01.13</t>
  </si>
  <si>
    <t>10.01.14</t>
  </si>
  <si>
    <t>10.01.15</t>
  </si>
  <si>
    <t>10.01.16</t>
  </si>
  <si>
    <t>10.02.01</t>
  </si>
  <si>
    <t>10.03.01</t>
  </si>
  <si>
    <t>10.03.02</t>
  </si>
  <si>
    <t>20.01.01</t>
  </si>
  <si>
    <t>20.01.02</t>
  </si>
  <si>
    <t>20.01.03</t>
  </si>
  <si>
    <t>20.01.04</t>
  </si>
  <si>
    <t>20.01.05</t>
  </si>
  <si>
    <t>20.01.06</t>
  </si>
  <si>
    <t>20.01.07</t>
  </si>
  <si>
    <t>20.01.08</t>
  </si>
  <si>
    <t>20.02.02</t>
  </si>
  <si>
    <t>20.02.03</t>
  </si>
  <si>
    <t>20.03.01</t>
  </si>
  <si>
    <t>20.04.01</t>
  </si>
  <si>
    <t>30.01.01</t>
  </si>
  <si>
    <t>30.01.02</t>
  </si>
  <si>
    <t>30.01.03</t>
  </si>
  <si>
    <t>30.01.04</t>
  </si>
  <si>
    <t>30.02.01</t>
  </si>
  <si>
    <t>30.03.01</t>
  </si>
  <si>
    <t>30.04.01</t>
  </si>
  <si>
    <t>30.04.02</t>
  </si>
  <si>
    <t>30.05.01</t>
  </si>
  <si>
    <t>30.06.01</t>
  </si>
  <si>
    <t>30.07.01</t>
  </si>
  <si>
    <t>30.08.01</t>
  </si>
  <si>
    <t>30.09.01</t>
  </si>
  <si>
    <t>30.10.01</t>
  </si>
  <si>
    <t>30.10.02</t>
  </si>
  <si>
    <t>40.01.01</t>
  </si>
  <si>
    <t>40.01.02</t>
  </si>
  <si>
    <t>40.02.01</t>
  </si>
  <si>
    <t>40.02.02</t>
  </si>
  <si>
    <t>40.02.03</t>
  </si>
  <si>
    <t>40.02.04</t>
  </si>
  <si>
    <t>40.02.05</t>
  </si>
  <si>
    <t>40.02.06</t>
  </si>
  <si>
    <t>40.02.07</t>
  </si>
  <si>
    <t>40.03.01</t>
  </si>
  <si>
    <t>40.04.01</t>
  </si>
  <si>
    <t>40.05.01</t>
  </si>
  <si>
    <t>40.06.01</t>
  </si>
  <si>
    <t>40.07.01</t>
  </si>
  <si>
    <t>40.07.02</t>
  </si>
  <si>
    <t>40.07.03</t>
  </si>
  <si>
    <t>40.08.01</t>
  </si>
  <si>
    <t>40.09.01</t>
  </si>
  <si>
    <t>40.09.02</t>
  </si>
  <si>
    <t>40.10.01</t>
  </si>
  <si>
    <t>40.11.01</t>
  </si>
  <si>
    <t>40.11.02</t>
  </si>
  <si>
    <t>40.12.01</t>
  </si>
  <si>
    <t>40.12.02</t>
  </si>
  <si>
    <t>40.12.03</t>
  </si>
  <si>
    <t>40.12.04</t>
  </si>
  <si>
    <t>40.13.01</t>
  </si>
  <si>
    <t>40.13.02</t>
  </si>
  <si>
    <t>40.13.03</t>
  </si>
  <si>
    <t>40.13.04</t>
  </si>
  <si>
    <t>40.14.01</t>
  </si>
  <si>
    <t>40.15.01</t>
  </si>
  <si>
    <t>40.16.01</t>
  </si>
  <si>
    <t>40.16.02</t>
  </si>
  <si>
    <t>40.17.01</t>
  </si>
  <si>
    <t>40.18.01</t>
  </si>
  <si>
    <t>40.19.01</t>
  </si>
  <si>
    <t>40.20.01</t>
  </si>
  <si>
    <t>40.21.01</t>
  </si>
  <si>
    <t>40.22.01</t>
  </si>
  <si>
    <t>40.23.01</t>
  </si>
  <si>
    <t>40.24.01</t>
  </si>
  <si>
    <t>40.25.01</t>
  </si>
  <si>
    <t>40.25.02</t>
  </si>
  <si>
    <t>40.25.03</t>
  </si>
  <si>
    <t>40.25.04</t>
  </si>
  <si>
    <t>40.25.05</t>
  </si>
  <si>
    <t>40.25.06</t>
  </si>
  <si>
    <t>40.25.07</t>
  </si>
  <si>
    <t>40.25.08</t>
  </si>
  <si>
    <t>40.25.09</t>
  </si>
  <si>
    <t>40.25.10</t>
  </si>
  <si>
    <t>40.25.11</t>
  </si>
  <si>
    <t>40.25.12</t>
  </si>
  <si>
    <t>40.25.13</t>
  </si>
  <si>
    <t>40.25.14</t>
  </si>
  <si>
    <t>40.25.15</t>
  </si>
  <si>
    <t>40.25.16</t>
  </si>
  <si>
    <t>40.25.17</t>
  </si>
  <si>
    <t>40.25.18</t>
  </si>
  <si>
    <t>40.25.19</t>
  </si>
  <si>
    <t>40.25.20</t>
  </si>
  <si>
    <t>40.25.21</t>
  </si>
  <si>
    <t>40.25.22</t>
  </si>
  <si>
    <t>40.25.23</t>
  </si>
  <si>
    <t>40.25.24</t>
  </si>
  <si>
    <t>40.25.25</t>
  </si>
  <si>
    <t>40.25.26</t>
  </si>
  <si>
    <t>40.25.27</t>
  </si>
  <si>
    <t>40.25.28</t>
  </si>
  <si>
    <t>40.26.01</t>
  </si>
  <si>
    <t>40.26.02</t>
  </si>
  <si>
    <t>40.26.03</t>
  </si>
  <si>
    <t>40.26.04</t>
  </si>
  <si>
    <t>40.26.05</t>
  </si>
  <si>
    <t>40.26.06</t>
  </si>
  <si>
    <t>40.26.07</t>
  </si>
  <si>
    <t>40.26.08</t>
  </si>
  <si>
    <t>40.26.09</t>
  </si>
  <si>
    <t>40.26.10</t>
  </si>
  <si>
    <t>40.26.11</t>
  </si>
  <si>
    <t>40.27.01</t>
  </si>
  <si>
    <t>40.28.01</t>
  </si>
  <si>
    <t>40.28.02</t>
  </si>
  <si>
    <t>50.01.01</t>
  </si>
  <si>
    <t>50.01.02</t>
  </si>
  <si>
    <t>50.02.01</t>
  </si>
  <si>
    <t>50.02.02</t>
  </si>
  <si>
    <t>50.03.01</t>
  </si>
  <si>
    <t>50.03.02</t>
  </si>
  <si>
    <t>50.04.01</t>
  </si>
  <si>
    <t>50.04.02</t>
  </si>
  <si>
    <t>50.05.01</t>
  </si>
  <si>
    <t>50.05.02</t>
  </si>
  <si>
    <t>50.05.03</t>
  </si>
  <si>
    <t>50.05.04</t>
  </si>
  <si>
    <t>50.05.05</t>
  </si>
  <si>
    <t>50.05.06</t>
  </si>
  <si>
    <t>50.05.07</t>
  </si>
  <si>
    <t>50.05.08</t>
  </si>
  <si>
    <t>50.06.01</t>
  </si>
  <si>
    <t>50.07.02</t>
  </si>
  <si>
    <t>50.08.01</t>
  </si>
  <si>
    <t>50.09.01</t>
  </si>
  <si>
    <t>50.10.01</t>
  </si>
  <si>
    <t>50.11.01</t>
  </si>
  <si>
    <t>50.12.01</t>
  </si>
  <si>
    <t>55.01.01</t>
  </si>
  <si>
    <t>55.02.01</t>
  </si>
  <si>
    <t>55.03.01</t>
  </si>
  <si>
    <t>60.01.02</t>
  </si>
  <si>
    <t>60.01.03</t>
  </si>
  <si>
    <t>60.01.04</t>
  </si>
  <si>
    <t>60.01.05</t>
  </si>
  <si>
    <t>60.01.06</t>
  </si>
  <si>
    <t>60.01.07</t>
  </si>
  <si>
    <t>60.01.08</t>
  </si>
  <si>
    <t>60.01.09</t>
  </si>
  <si>
    <t>60.01.10</t>
  </si>
  <si>
    <t>60.01.11</t>
  </si>
  <si>
    <t>60.02.01</t>
  </si>
  <si>
    <t>60.02.02</t>
  </si>
  <si>
    <t>60.02.03</t>
  </si>
  <si>
    <t>60.02.04</t>
  </si>
  <si>
    <t>60.03.01</t>
  </si>
  <si>
    <t>60.04.01</t>
  </si>
  <si>
    <t>60.04.02</t>
  </si>
  <si>
    <t>60.05.01</t>
  </si>
  <si>
    <t>60.05.02</t>
  </si>
  <si>
    <t>60.05.03</t>
  </si>
  <si>
    <t>60.07.01</t>
  </si>
  <si>
    <t>60.07.02</t>
  </si>
  <si>
    <t>60.07.03</t>
  </si>
  <si>
    <t>60.07.04</t>
  </si>
  <si>
    <t>60.07.05</t>
  </si>
  <si>
    <t>60.08.01</t>
  </si>
  <si>
    <t>60.08.02</t>
  </si>
  <si>
    <t>60.09.01</t>
  </si>
  <si>
    <t>60.09.02</t>
  </si>
  <si>
    <t>60.10.01</t>
  </si>
  <si>
    <t>70.01.01</t>
  </si>
  <si>
    <t>70.01.02</t>
  </si>
  <si>
    <t>70.01.03</t>
  </si>
  <si>
    <t>70.01.04</t>
  </si>
  <si>
    <t>70.01.05</t>
  </si>
  <si>
    <t>70.01.06</t>
  </si>
  <si>
    <t>70.01.07</t>
  </si>
  <si>
    <t>70.01.08</t>
  </si>
  <si>
    <t>70.01.09</t>
  </si>
  <si>
    <t>70.01.10</t>
  </si>
  <si>
    <t>70.01.11</t>
  </si>
  <si>
    <t>70.01.12</t>
  </si>
  <si>
    <t>70.01.13</t>
  </si>
  <si>
    <t>70.02.01</t>
  </si>
  <si>
    <t>70.03.01</t>
  </si>
  <si>
    <t>75.01.01</t>
  </si>
  <si>
    <t>75.01.02</t>
  </si>
  <si>
    <t>75.01.03</t>
  </si>
  <si>
    <t>75.01.04</t>
  </si>
  <si>
    <t>75.01.05</t>
  </si>
  <si>
    <t>75.01.06</t>
  </si>
  <si>
    <t>75.01.07</t>
  </si>
  <si>
    <t>75.02.01</t>
  </si>
  <si>
    <t>75.02.02</t>
  </si>
  <si>
    <t>81.01.01</t>
  </si>
  <si>
    <t>81.01.02</t>
  </si>
  <si>
    <t>81.01.03</t>
  </si>
  <si>
    <t>81.01.04</t>
  </si>
  <si>
    <t>81.01.05</t>
  </si>
  <si>
    <t>81.02.01</t>
  </si>
  <si>
    <t>81.03.01</t>
  </si>
  <si>
    <t>81.03.02</t>
  </si>
  <si>
    <t>82.01.01</t>
  </si>
  <si>
    <t>82.01.02</t>
  </si>
  <si>
    <t>82.01.03</t>
  </si>
  <si>
    <t>82.01.04</t>
  </si>
  <si>
    <t>82.01.05</t>
  </si>
  <si>
    <t>82.02.01</t>
  </si>
  <si>
    <t>83.01.01</t>
  </si>
  <si>
    <t>83.01.02</t>
  </si>
  <si>
    <t>84.01.01</t>
  </si>
  <si>
    <t>84.01.02</t>
  </si>
  <si>
    <t>84.01.03</t>
  </si>
  <si>
    <t>84.01.04</t>
  </si>
  <si>
    <t>84.01.05</t>
  </si>
  <si>
    <t>84.01.06</t>
  </si>
  <si>
    <t>84.01.07</t>
  </si>
  <si>
    <t>84.01.08</t>
  </si>
  <si>
    <t>84.01.09</t>
  </si>
  <si>
    <t>84.01.10</t>
  </si>
  <si>
    <t>84.01.11</t>
  </si>
  <si>
    <t>84.01.12</t>
  </si>
  <si>
    <t>87.01.01</t>
  </si>
  <si>
    <t>87.02.01</t>
  </si>
  <si>
    <t>88.01.01</t>
  </si>
  <si>
    <t>88.01.02</t>
  </si>
  <si>
    <t>88.02.01</t>
  </si>
  <si>
    <t>88.02.02</t>
  </si>
  <si>
    <t>88.03.01</t>
  </si>
  <si>
    <t>88.03.02</t>
  </si>
  <si>
    <t>Delivery</t>
  </si>
  <si>
    <t>Hydrostatic Test</t>
  </si>
  <si>
    <t>Delivery at Site</t>
  </si>
  <si>
    <t>Installed at Yard</t>
  </si>
  <si>
    <t>Installation at Yard</t>
  </si>
  <si>
    <t>Installation at Site</t>
  </si>
  <si>
    <t>Delivery at Yard</t>
  </si>
  <si>
    <t>Install &amp; Test Yard</t>
  </si>
  <si>
    <t>Test (Post Insulation) at Yard</t>
  </si>
  <si>
    <t>Painted or Galvanized</t>
  </si>
  <si>
    <t>Setting / Stacking</t>
  </si>
  <si>
    <t>IWP</t>
  </si>
  <si>
    <t>Module</t>
  </si>
  <si>
    <t>Ship Loose / Ext. Module Struct. Steel Installation</t>
  </si>
  <si>
    <t>Drawing Number (ISO)</t>
  </si>
  <si>
    <t>N/A</t>
  </si>
  <si>
    <t>EA</t>
  </si>
  <si>
    <t>MS Ship Loose / Off Module Cable Tray Installation</t>
  </si>
  <si>
    <t>MM Interconnects - ELEC (Cable Tray)</t>
  </si>
  <si>
    <t>LF</t>
  </si>
  <si>
    <t xml:space="preserve">EHT </t>
  </si>
  <si>
    <t>K214 - Structural Steel</t>
  </si>
  <si>
    <t xml:space="preserve">MILESTONES
</t>
  </si>
  <si>
    <t>Actual HOURS</t>
  </si>
  <si>
    <t>Release</t>
  </si>
  <si>
    <t>K214-TFS-0001</t>
  </si>
  <si>
    <t>TFS</t>
  </si>
  <si>
    <t>Weather impact</t>
  </si>
  <si>
    <t>Indirect hours</t>
  </si>
  <si>
    <t>-</t>
  </si>
  <si>
    <t>Ceremonial steel</t>
  </si>
  <si>
    <t>Remob</t>
  </si>
  <si>
    <t>TFS00A104MM</t>
  </si>
  <si>
    <t>tn</t>
  </si>
  <si>
    <t>K214-TFS-0002</t>
  </si>
  <si>
    <t>TFS00A105MM</t>
  </si>
  <si>
    <t>K214-TFS-0003</t>
  </si>
  <si>
    <t>TFS00A106MM</t>
  </si>
  <si>
    <t>K214-TFS-0004</t>
  </si>
  <si>
    <t>TFS00A107MM</t>
  </si>
  <si>
    <t>TFS STRUCTURAL STEEL INSTALLATION</t>
  </si>
  <si>
    <t>test</t>
  </si>
  <si>
    <r>
      <t>STRUCTURAL STEEL STATISTICS (</t>
    </r>
    <r>
      <rPr>
        <b/>
        <i/>
        <u/>
        <sz val="20"/>
        <color rgb="FF000080"/>
        <rFont val="Calibri"/>
        <family val="2"/>
        <scheme val="minor"/>
      </rPr>
      <t>Included only IFC Quantities</t>
    </r>
    <r>
      <rPr>
        <b/>
        <u/>
        <sz val="20"/>
        <color indexed="18"/>
        <rFont val="Calibri"/>
        <family val="2"/>
        <scheme val="minor"/>
      </rPr>
      <t>)</t>
    </r>
  </si>
  <si>
    <t>Status As of: 2025-06-27</t>
  </si>
  <si>
    <t xml:space="preserve">WEEKLY ACCOMPLISHMENT </t>
  </si>
  <si>
    <t>TOTAL</t>
  </si>
  <si>
    <t>EXTRA WORK - REMOVING BACKING PLATES</t>
  </si>
  <si>
    <t>EXTRA WORK - ASSIST MAMMOET WITH MODULE INSTALLATION</t>
  </si>
  <si>
    <t>K214-CUB-IC-0021</t>
  </si>
  <si>
    <t>Extra Work / Delays</t>
  </si>
  <si>
    <t>EXTRA WORK - FABBING FOR RFI B1LG-K214-RFI-000067-0001</t>
  </si>
  <si>
    <t>EXTRA WORK - SUPPORT LABOR FOR MATERIAL RELOCATION</t>
  </si>
  <si>
    <t>DELAY - WAITING ON FIREPROOF REMOVAL FROM COLUMNS</t>
  </si>
  <si>
    <t>TFS00A101MM</t>
  </si>
  <si>
    <t>TFS00A108MM</t>
  </si>
  <si>
    <t>TFS00A102MM</t>
  </si>
  <si>
    <t>TFS00A103MM</t>
  </si>
  <si>
    <t>TFS00A109MM</t>
  </si>
  <si>
    <t>TFS00A110MM</t>
  </si>
  <si>
    <t>TFS00A111MM</t>
  </si>
  <si>
    <t>TFS00A112MM</t>
  </si>
  <si>
    <t>07.13.2025</t>
  </si>
  <si>
    <t>06.15.2025</t>
  </si>
  <si>
    <t>K214-TFS-0005</t>
  </si>
  <si>
    <t>K214-TFS-0006</t>
  </si>
  <si>
    <t>K214-TFS-0007</t>
  </si>
  <si>
    <t>K214-TFS-0008</t>
  </si>
  <si>
    <t>K214-TFS-0009</t>
  </si>
  <si>
    <t>K214-TFS-0010</t>
  </si>
  <si>
    <t>K214-TFS-0011</t>
  </si>
  <si>
    <t>K214-TFS-0012</t>
  </si>
  <si>
    <t>Removed from Actual MH "Setting / Stacking"</t>
  </si>
  <si>
    <t>Removed from Actual MH "Ship Loose / Ext. Module Struct. Steel Installation"</t>
  </si>
  <si>
    <t>DELAY - WEATHER (CUB)</t>
  </si>
  <si>
    <t>DELAY - WEATHER (TFS)</t>
  </si>
  <si>
    <t>07.27.2025</t>
  </si>
  <si>
    <t>Remove 27MH from Actual MH "Single Weld - PIPE" and 50MH from "Ship Loose / Ext. Module Struct. Steel Installation"</t>
  </si>
  <si>
    <t xml:space="preserve">Remove from Actual MH "Main Steel" </t>
  </si>
  <si>
    <t xml:space="preserve">DELAY - WAITING ON SCAFFOLD </t>
  </si>
  <si>
    <t>Remove from Actual MH "Single Weld - PIPE"</t>
  </si>
  <si>
    <t>K214-TFS-0013</t>
  </si>
  <si>
    <t>K214-TFS-0014</t>
  </si>
  <si>
    <t>K214-TFS-0015</t>
  </si>
  <si>
    <t>TFS00B101MM</t>
  </si>
  <si>
    <t>TFS00B102MM</t>
  </si>
  <si>
    <t>TFS00B103MM</t>
  </si>
  <si>
    <t>TFS00B104MM</t>
  </si>
  <si>
    <t>TFS00B105MM</t>
  </si>
  <si>
    <t>TFS00B106MM</t>
  </si>
  <si>
    <t>TFS00B107MM</t>
  </si>
  <si>
    <t>TFS00B108MM</t>
  </si>
  <si>
    <t>TFS00B109MM</t>
  </si>
  <si>
    <t xml:space="preserve">TT109 UNABLE TO BOLT UP BEAMS TO SUPPORTING COLUMNS DUE TO BOLT HOLES NOT LINING UP. </t>
  </si>
  <si>
    <t>08.17.2025</t>
  </si>
  <si>
    <t>K214-TFS-0016</t>
  </si>
  <si>
    <t>K214-TFS-0017</t>
  </si>
  <si>
    <t>K214-TFS-0018</t>
  </si>
  <si>
    <t>K214-TFS-0019</t>
  </si>
  <si>
    <t>K214-TFS-0020</t>
  </si>
  <si>
    <t>K214-TFS-0021</t>
  </si>
  <si>
    <t>K214-TFS-0022</t>
  </si>
  <si>
    <t>K214-TFS-0023</t>
  </si>
  <si>
    <t>K214-TFS-0024</t>
  </si>
  <si>
    <t>K214-TFS-0025</t>
  </si>
  <si>
    <t>K214-TFS-0026</t>
  </si>
  <si>
    <t>K214-TFS-0027</t>
  </si>
  <si>
    <t>K214-TFS-0028</t>
  </si>
  <si>
    <t>K214-TFS-0029</t>
  </si>
  <si>
    <t>K214-TFS-0030</t>
  </si>
  <si>
    <t>K214-TFS-0031</t>
  </si>
  <si>
    <t>K214-TFS-0032</t>
  </si>
  <si>
    <t>8.21.2025</t>
  </si>
  <si>
    <t xml:space="preserve">moving beams around per Lilly request. </t>
  </si>
  <si>
    <t>WEEK ENDING DATE(S)</t>
  </si>
  <si>
    <t>06.15.2025 
06.22.2025</t>
  </si>
  <si>
    <t>07.20.2025
7.27.2025
08.03.2025
08.10.2025</t>
  </si>
  <si>
    <t>08.10.2025
08.24.2025</t>
  </si>
  <si>
    <t>07.20.2025 
07.27.2025
08.24.2025</t>
  </si>
  <si>
    <t>K214-TFS-0033</t>
  </si>
  <si>
    <t>K214-TFS-0034</t>
  </si>
  <si>
    <t>K214-TFS-0035</t>
  </si>
  <si>
    <t>K214-TFS-0036</t>
  </si>
  <si>
    <t>K214-TFS-0037</t>
  </si>
  <si>
    <t>K214-TFS-0038</t>
  </si>
  <si>
    <t>K214-TFS-0039</t>
  </si>
  <si>
    <t>K214-TFS-0040</t>
  </si>
  <si>
    <t>K214-TFS-0041</t>
  </si>
  <si>
    <t>REWORK</t>
  </si>
  <si>
    <t>K214-TFS-0042</t>
  </si>
  <si>
    <t>K214-TFS-0043</t>
  </si>
  <si>
    <t>K214-TFS-0044</t>
  </si>
  <si>
    <t>K214-TFS-0045</t>
  </si>
  <si>
    <t/>
  </si>
  <si>
    <t>TT110 HAS NO A LEVEL STEEL IT'S A LEVEL IS TT108</t>
  </si>
  <si>
    <t>K214-TFS-0046</t>
  </si>
  <si>
    <t>K214-TFS-0047</t>
  </si>
  <si>
    <t>K214-TFS-0048</t>
  </si>
  <si>
    <t>K214-TFS-0049</t>
  </si>
  <si>
    <t>K214-TFS-0050</t>
  </si>
  <si>
    <t>K214-TFS-0051</t>
  </si>
  <si>
    <t>K214-TFS-0052</t>
  </si>
  <si>
    <t>K214-TFS-0053</t>
  </si>
  <si>
    <t>K214-TFS-0054</t>
  </si>
  <si>
    <t>K214-TFS-0055</t>
  </si>
  <si>
    <t>K214-TFS-0056</t>
  </si>
  <si>
    <t>K214-TFS-0057</t>
  </si>
  <si>
    <t>K214-TFS-0058</t>
  </si>
  <si>
    <t>K214-TFS-0059</t>
  </si>
  <si>
    <t>K214-TFS-0060</t>
  </si>
  <si>
    <t>K214-TFS-0061</t>
  </si>
  <si>
    <t>K214-TFS-0062</t>
  </si>
  <si>
    <t>K214-TFS-0063</t>
  </si>
  <si>
    <t>K214-TFS-0064</t>
  </si>
  <si>
    <t>K214-TFS-0065</t>
  </si>
  <si>
    <t>K214-TFS-0066</t>
  </si>
  <si>
    <t>Grounding &amp; Bonding</t>
  </si>
  <si>
    <t>Control Cable Installation &amp; Terminations</t>
  </si>
  <si>
    <t>Secure / Tie-Wrap/ Cleanup/ Terminate</t>
  </si>
  <si>
    <t>07.27.2025
08.24.2025
09.28.2025</t>
  </si>
  <si>
    <t>K214-TFS-0067</t>
  </si>
  <si>
    <t>K214-TFS-0068</t>
  </si>
  <si>
    <t>K214-TFS-0069</t>
  </si>
  <si>
    <t>K214-TFS-0070</t>
  </si>
  <si>
    <t>K214-TFS-0071</t>
  </si>
  <si>
    <t>K214-TFS-0072</t>
  </si>
  <si>
    <t>K214-TFS-0073</t>
  </si>
  <si>
    <t>K214-TFS-0074</t>
  </si>
  <si>
    <t>K214-TFS-0075</t>
  </si>
  <si>
    <t>K214-TFS-0076</t>
  </si>
  <si>
    <t>K214-TFS-0077</t>
  </si>
  <si>
    <t>K214-TFS-0078</t>
  </si>
  <si>
    <t>K214-TFS-0079</t>
  </si>
  <si>
    <t>K214-TFS-0080</t>
  </si>
  <si>
    <t>K214-TFS-0081</t>
  </si>
  <si>
    <t>K214-TFS-0082</t>
  </si>
  <si>
    <t>K214-TFS-0083</t>
  </si>
  <si>
    <t>K214-TFS-0084</t>
  </si>
  <si>
    <t>K214-TFS-0085</t>
  </si>
  <si>
    <t>K214-TFS-0086</t>
  </si>
  <si>
    <t>K214-TFS-0087</t>
  </si>
  <si>
    <t>K214-TFS-0088</t>
  </si>
  <si>
    <t>K214-TFS-0089</t>
  </si>
  <si>
    <t>K214-TFS-0090</t>
  </si>
  <si>
    <t>K214-TFS-0091</t>
  </si>
  <si>
    <t>K214-TFS-0092</t>
  </si>
  <si>
    <t>K214-TFS-0093</t>
  </si>
  <si>
    <t>K214-TFS-0094</t>
  </si>
  <si>
    <t>K214-TFS-0095</t>
  </si>
  <si>
    <t>K214-TFS-0096</t>
  </si>
  <si>
    <t>K214-TFS-0097</t>
  </si>
  <si>
    <t>K214-TFS-0098</t>
  </si>
  <si>
    <t>K214-TFS-0099</t>
  </si>
  <si>
    <t>K214-TFS-0100</t>
  </si>
  <si>
    <t>K214-TFS-0101</t>
  </si>
  <si>
    <t>K214-TFS-0102</t>
  </si>
  <si>
    <t>K214-TFS-0103</t>
  </si>
  <si>
    <t>K214-TFS-0104</t>
  </si>
  <si>
    <t>K214-TFS-0105</t>
  </si>
  <si>
    <t>K214-TFS-0106</t>
  </si>
  <si>
    <t>K214-TFS-0107</t>
  </si>
  <si>
    <t>K214-TFS-0108</t>
  </si>
  <si>
    <t>K214-TFS-0109</t>
  </si>
  <si>
    <t>K214-TFS-0110</t>
  </si>
  <si>
    <t>K214-TFS-0111</t>
  </si>
  <si>
    <t>K214-TFS-0112</t>
  </si>
  <si>
    <t>K214-TFS-0113</t>
  </si>
  <si>
    <t>K214-TFS-0114</t>
  </si>
  <si>
    <t>K214-TFS-0115</t>
  </si>
  <si>
    <t>K214-TFS-0116</t>
  </si>
  <si>
    <t>K214-TFS-0117</t>
  </si>
  <si>
    <t>K214-TFS-0118</t>
  </si>
  <si>
    <t>K214-TFS-0119</t>
  </si>
  <si>
    <t>K214-TFS-0120</t>
  </si>
  <si>
    <t>K214-TFS-0121</t>
  </si>
  <si>
    <t>K214-TFS-0122</t>
  </si>
  <si>
    <t>K214-TFS-0123</t>
  </si>
  <si>
    <t>K214-TFS-0124</t>
  </si>
  <si>
    <t>K214-TFS-0125</t>
  </si>
  <si>
    <t>K214-TFS-0126</t>
  </si>
  <si>
    <t>K214-TFS-0127</t>
  </si>
  <si>
    <t>K214-TFS-0128</t>
  </si>
  <si>
    <t>K214-TFS-0129</t>
  </si>
  <si>
    <t>K214-TFS-0130</t>
  </si>
  <si>
    <t>K214-TFS-0131</t>
  </si>
  <si>
    <t>K214-TFS-0132</t>
  </si>
  <si>
    <t>K214-TFS-0133</t>
  </si>
  <si>
    <t>K214-TFS-0134</t>
  </si>
  <si>
    <t>K214-TFS-0135</t>
  </si>
  <si>
    <t>K214-TFS-0136</t>
  </si>
  <si>
    <t>K214-TFS-0137</t>
  </si>
  <si>
    <t>K214-TFS-0138</t>
  </si>
  <si>
    <t>K214-TFS-0139</t>
  </si>
  <si>
    <t>K214-TFS-0140</t>
  </si>
  <si>
    <t>K214-TFS-0141</t>
  </si>
  <si>
    <t>K214-TFS-0142</t>
  </si>
  <si>
    <t>K214-TFS-0143</t>
  </si>
  <si>
    <t>K214-TFS-0144</t>
  </si>
  <si>
    <t>K214-TFS-0145</t>
  </si>
  <si>
    <t>K214-TFS-0146</t>
  </si>
  <si>
    <t>K214-TFS-0147</t>
  </si>
  <si>
    <t>K214-TFS-0148</t>
  </si>
  <si>
    <t>K214-TFS-0149</t>
  </si>
  <si>
    <t>K214-TFS-0150</t>
  </si>
  <si>
    <t>K214-TFS-0151</t>
  </si>
  <si>
    <t>K214-TFS-0152</t>
  </si>
  <si>
    <t>K214-TFS-0153</t>
  </si>
  <si>
    <t>K214-TFS-0154</t>
  </si>
  <si>
    <t>K214-TFS-0155</t>
  </si>
  <si>
    <t>K214-TFS-0156</t>
  </si>
  <si>
    <t>K214-TFS-0157</t>
  </si>
  <si>
    <t>K214-TFS-0158</t>
  </si>
  <si>
    <t>K214-TFS-0159</t>
  </si>
  <si>
    <t>K214-TFS-0160</t>
  </si>
  <si>
    <t>K214-TFS-0161</t>
  </si>
  <si>
    <t>K214-TFS-0162</t>
  </si>
  <si>
    <t>K214-TFS-0163</t>
  </si>
  <si>
    <t>K214-TFS-0164</t>
  </si>
  <si>
    <t>K214-TFS-0165</t>
  </si>
  <si>
    <t>K214-TFS-0166</t>
  </si>
  <si>
    <t>K214-TFS-0167</t>
  </si>
  <si>
    <t>K214-TFS-0168</t>
  </si>
  <si>
    <t>K214-TFS-0169</t>
  </si>
  <si>
    <t>K214-TFS-0170</t>
  </si>
  <si>
    <t>K214-TFS-0171</t>
  </si>
  <si>
    <t>K214-TFS-0172</t>
  </si>
  <si>
    <t>K214-TFS-0173</t>
  </si>
  <si>
    <t>K214-TFS-0174</t>
  </si>
  <si>
    <t>K214-TFS-0175</t>
  </si>
  <si>
    <t>K214-TFS-0176</t>
  </si>
  <si>
    <t>K214-TFS-0177</t>
  </si>
  <si>
    <t>K214-TFS-0178</t>
  </si>
  <si>
    <t>K214-TFS-0179</t>
  </si>
  <si>
    <t>K214-TFS-0180</t>
  </si>
  <si>
    <t>K214-TFS-0181</t>
  </si>
  <si>
    <t>K214-TFS-0182</t>
  </si>
  <si>
    <t>K214-TFS-0183</t>
  </si>
  <si>
    <t>K214-TFS-0184</t>
  </si>
  <si>
    <t>K214-TFS-0185</t>
  </si>
  <si>
    <t>K214-TFS-0186</t>
  </si>
  <si>
    <t>K214-TFS-0187</t>
  </si>
  <si>
    <t>K214-TFS-0188</t>
  </si>
  <si>
    <t>K214-TFS-0189</t>
  </si>
  <si>
    <t>K214-TFS-0190</t>
  </si>
  <si>
    <t>K214-TFS-0191</t>
  </si>
  <si>
    <t>K214-TFS-0192</t>
  </si>
  <si>
    <t>K214-TFS-0193</t>
  </si>
  <si>
    <t>K214-TFS-0194</t>
  </si>
  <si>
    <t>K214-TFS-0195</t>
  </si>
  <si>
    <t>K214-TFS-0196</t>
  </si>
  <si>
    <t>K214-TFS-0197</t>
  </si>
  <si>
    <t>K214-TFS-0198</t>
  </si>
  <si>
    <t>K214-TFS-0199</t>
  </si>
  <si>
    <t>K214-TFS-0200</t>
  </si>
  <si>
    <t>K214-TFS-0201</t>
  </si>
  <si>
    <t>K214-TFS-0202</t>
  </si>
  <si>
    <t>K214-TFS-0203</t>
  </si>
  <si>
    <t>K214-TFS-0204</t>
  </si>
  <si>
    <t>K214-TFS-0205</t>
  </si>
  <si>
    <t>K214-TFS-0206</t>
  </si>
  <si>
    <t>K214-TFS-0207</t>
  </si>
  <si>
    <t>K214-TFS-0208</t>
  </si>
  <si>
    <t>K214-TFS-0209</t>
  </si>
  <si>
    <t>K214-TFS-0210</t>
  </si>
  <si>
    <t>K214-TFS-0211</t>
  </si>
  <si>
    <t>K214-TFS-0212</t>
  </si>
  <si>
    <t>K214-TFS-0213</t>
  </si>
  <si>
    <t>K214-TFS-0214</t>
  </si>
  <si>
    <t>K214-TFS-0215</t>
  </si>
  <si>
    <t>K214-TFS-0216</t>
  </si>
  <si>
    <t>K214-TFS-0217</t>
  </si>
  <si>
    <t>K214-TFS-0218</t>
  </si>
  <si>
    <t>K214-TFS-0219</t>
  </si>
  <si>
    <t>K214-TFS-0220</t>
  </si>
  <si>
    <t>K214-TFS-0221</t>
  </si>
  <si>
    <t>K214-TFS-0222</t>
  </si>
  <si>
    <t>K214-TFS-0223</t>
  </si>
  <si>
    <t>K214-TFS-0224</t>
  </si>
  <si>
    <t>K214-TFS-0225</t>
  </si>
  <si>
    <t>K214-TFS-0226</t>
  </si>
  <si>
    <t>K214-TFS-0227</t>
  </si>
  <si>
    <t>K214-TFS-0228</t>
  </si>
  <si>
    <t>K214-TFS-0229</t>
  </si>
  <si>
    <t>K214-TFS-0230</t>
  </si>
  <si>
    <t>K214-TFS-0231</t>
  </si>
  <si>
    <t>K214-TFS-0232</t>
  </si>
  <si>
    <t>K214-TFS-0233</t>
  </si>
  <si>
    <t>K214-TFS-0234</t>
  </si>
  <si>
    <t>K214-TFS-0235</t>
  </si>
  <si>
    <t>K214-TFS-0236</t>
  </si>
  <si>
    <t>K214-TFS-0237</t>
  </si>
  <si>
    <t>K214-TFS-0238</t>
  </si>
  <si>
    <t>K214-TFS-0239</t>
  </si>
  <si>
    <t>K214-TFS-0240</t>
  </si>
  <si>
    <t>K214-TFS-0241</t>
  </si>
  <si>
    <t>K214-TFS-0242</t>
  </si>
  <si>
    <t>K214-TFS-0243</t>
  </si>
  <si>
    <t>K214-TFS-0244</t>
  </si>
  <si>
    <t>K214-TFS-0245</t>
  </si>
  <si>
    <t>K214-TFS-0246</t>
  </si>
  <si>
    <t>K214-TFS-0247</t>
  </si>
  <si>
    <t>K214-TFS-0248</t>
  </si>
  <si>
    <t>K214-TFS-0249</t>
  </si>
  <si>
    <t>K214-TFS-0250</t>
  </si>
  <si>
    <t>K214-TFS-0251</t>
  </si>
  <si>
    <t>K214-TFS-0252</t>
  </si>
  <si>
    <t>K214-TFS-0253</t>
  </si>
  <si>
    <t>K214-TFS-0254</t>
  </si>
  <si>
    <t>K214-TFS-0255</t>
  </si>
  <si>
    <t>K214-TFS-0256</t>
  </si>
  <si>
    <t>K214-TFS-0257</t>
  </si>
  <si>
    <t>K214-TFS-0258</t>
  </si>
  <si>
    <t>K214-TFS-0259</t>
  </si>
  <si>
    <t>K214-TFS-0260</t>
  </si>
  <si>
    <t>K214-TFS-0261</t>
  </si>
  <si>
    <t>K214-TFS-0262</t>
  </si>
  <si>
    <t>K214-TFS-0263</t>
  </si>
  <si>
    <t>K214-TFS-0264</t>
  </si>
  <si>
    <t>K214-TFS-0265</t>
  </si>
  <si>
    <t>K214-TFS-0266</t>
  </si>
  <si>
    <t>K214-TFS-0267</t>
  </si>
  <si>
    <t>K214-TFS-0268</t>
  </si>
  <si>
    <t>K214-TFS-0269</t>
  </si>
  <si>
    <t>K214-TFS-0270</t>
  </si>
  <si>
    <t>K214-TFS-0271</t>
  </si>
  <si>
    <t>K214-TFS-0272</t>
  </si>
  <si>
    <t>K214-TFS-0273</t>
  </si>
  <si>
    <t>K214-TFS-0274</t>
  </si>
  <si>
    <t>K214-TFS-0275</t>
  </si>
  <si>
    <t>K214-TFS-0276</t>
  </si>
  <si>
    <t>K214-TFS-0277</t>
  </si>
  <si>
    <t>K214-TFS-0278</t>
  </si>
  <si>
    <t>K214-TFS-0279</t>
  </si>
  <si>
    <t>K214-TFS-0280</t>
  </si>
  <si>
    <t>K214-TFS-0281</t>
  </si>
  <si>
    <t>K214-TFS-0282</t>
  </si>
  <si>
    <t>K214-TFS-0283</t>
  </si>
  <si>
    <t>K214-TFS-0284</t>
  </si>
  <si>
    <t>K214-TFS-0285</t>
  </si>
  <si>
    <t>K214-TFS-0286</t>
  </si>
  <si>
    <t>K214-TFS-0287</t>
  </si>
  <si>
    <t>K214-TFS-0288</t>
  </si>
  <si>
    <t>K214-TFS-0289</t>
  </si>
  <si>
    <t>K214-TFS-0290</t>
  </si>
  <si>
    <t>K214-TFS-0292</t>
  </si>
  <si>
    <t>K214-TFS-0293</t>
  </si>
  <si>
    <t>K214-TFS-0294</t>
  </si>
  <si>
    <t>K214-TFS-0295</t>
  </si>
  <si>
    <t>K214-TFS-0296</t>
  </si>
  <si>
    <t>K214-TFS-0297</t>
  </si>
  <si>
    <t>K214-TFS-0298</t>
  </si>
  <si>
    <t>K214-TFS-0299</t>
  </si>
  <si>
    <t>K214-TFS-0300</t>
  </si>
  <si>
    <t>K214-TFS-0301</t>
  </si>
  <si>
    <t>K214-TFS-0302</t>
  </si>
  <si>
    <t>K214-TFS-0303</t>
  </si>
  <si>
    <t>K214-TFS-0304</t>
  </si>
  <si>
    <t>K214-TFS-0305</t>
  </si>
  <si>
    <t>K214-TFS-0306</t>
  </si>
  <si>
    <t>K214-TFS-0307</t>
  </si>
  <si>
    <t>K214-TFS-0308</t>
  </si>
  <si>
    <t>K214-TFS-0309</t>
  </si>
  <si>
    <t>K214-TFS-0320</t>
  </si>
  <si>
    <t>K214-TFS-0321</t>
  </si>
  <si>
    <t>K214-TFS-0322</t>
  </si>
  <si>
    <t>K214-TFS-0323</t>
  </si>
  <si>
    <t>K214-TFS-0324</t>
  </si>
  <si>
    <t>K214-TFS-0325</t>
  </si>
  <si>
    <t>K214-TFS-0326</t>
  </si>
  <si>
    <t>K214-TFS-0327</t>
  </si>
  <si>
    <t>K214-TFS-0328</t>
  </si>
  <si>
    <t>K214-TFS-0329</t>
  </si>
  <si>
    <t>K214-TFS-0330</t>
  </si>
  <si>
    <t>K214-TFS-0331</t>
  </si>
  <si>
    <t>K214-TFS-0332</t>
  </si>
  <si>
    <t>K214-TFS-0333</t>
  </si>
  <si>
    <t>K214-TFS-0334</t>
  </si>
  <si>
    <t>K214-TFS-0335</t>
  </si>
  <si>
    <t>K214-TFS-0336</t>
  </si>
  <si>
    <t>K214-TFS-0337</t>
  </si>
  <si>
    <t>K214-TFS-0338</t>
  </si>
  <si>
    <t>K214-TFS-0339</t>
  </si>
  <si>
    <t>K214-TFS-0340</t>
  </si>
  <si>
    <t>K214-TFS-0341</t>
  </si>
  <si>
    <t>K214-TFS-0342</t>
  </si>
  <si>
    <t>K214-TFS-0343</t>
  </si>
  <si>
    <t>K214-TFS-0344</t>
  </si>
  <si>
    <t>K214-TFS-0345</t>
  </si>
  <si>
    <t>K214-TFS-0346</t>
  </si>
  <si>
    <t>K214-TFS-0347</t>
  </si>
  <si>
    <t>K214-TFS-0348</t>
  </si>
  <si>
    <t>K214-TFS-0349</t>
  </si>
  <si>
    <t>K214-TFS-0350</t>
  </si>
  <si>
    <t>K214-TFS-0351</t>
  </si>
  <si>
    <t>K214-TFS-0352</t>
  </si>
  <si>
    <t>K214-TFS-0353</t>
  </si>
  <si>
    <t>LP1Y-AWNP-037002-02</t>
  </si>
  <si>
    <t>LP1Y-AWNP-037002-04</t>
  </si>
  <si>
    <t>LP1Y-AWNP-037002-05</t>
  </si>
  <si>
    <t>LP1Y-AWNP-037002-06</t>
  </si>
  <si>
    <t>LP1Y-AWNP-037002-07</t>
  </si>
  <si>
    <t>LP1Y-AWNP-037002-08</t>
  </si>
  <si>
    <t>LP1Y-AWNP-037002-09</t>
  </si>
  <si>
    <t>LP1Y-AWNP-037002-10</t>
  </si>
  <si>
    <t>LP1Y-AWNP-037002-11</t>
  </si>
  <si>
    <t>LP1Y-AWNP-037002-13</t>
  </si>
  <si>
    <t>LP1Y-AWNP-037004-01</t>
  </si>
  <si>
    <t>LP1Y-AWNP-037004-06</t>
  </si>
  <si>
    <t>LP1Y-AWNP-037006-03</t>
  </si>
  <si>
    <t>LP1Y-AWNP-037006-06</t>
  </si>
  <si>
    <t>LP1Y-AWNP-037006-07</t>
  </si>
  <si>
    <t>LP1Y-AWNP-037006-08</t>
  </si>
  <si>
    <t>LP1Y-AWNP-037006-11</t>
  </si>
  <si>
    <t>LP1Y-AWNP-037006-12</t>
  </si>
  <si>
    <t>LP1Y-AWNP-037007-09</t>
  </si>
  <si>
    <t>LP1Y-AWNP-037007-10</t>
  </si>
  <si>
    <t>LP1Y-AWNP-101309-03</t>
  </si>
  <si>
    <t>LP1Y-AWNP-168101-03</t>
  </si>
  <si>
    <t>LP1Y-AWNP-168101-04</t>
  </si>
  <si>
    <t>LP1Y-AWNP-168101-05</t>
  </si>
  <si>
    <t>LP1Y-AWNP-168101-06</t>
  </si>
  <si>
    <t>LP1Y-AWNP-802111-01</t>
  </si>
  <si>
    <t>LP1Y-AWNP-802111-02</t>
  </si>
  <si>
    <t>LP1Y-AWNP-802111-03</t>
  </si>
  <si>
    <t>LP1Y-AWNP-802111-04</t>
  </si>
  <si>
    <t>LP1Y-AWNP-850001-04</t>
  </si>
  <si>
    <t>LP1Y-AWNP-850001-05</t>
  </si>
  <si>
    <t>LP1Y-AWNP-850001-06</t>
  </si>
  <si>
    <t>LP1Y-BS-016012-01</t>
  </si>
  <si>
    <t>LP1Y-APL(100)-019072-19</t>
  </si>
  <si>
    <t>LP1Y-APL(100)-019072-20</t>
  </si>
  <si>
    <t>LP1Y-APL(100)-034026-01</t>
  </si>
  <si>
    <t>LP1Y-APL(100)-034026-02</t>
  </si>
  <si>
    <t>LP1Y-APL(100)-034026-04</t>
  </si>
  <si>
    <t>LP1Y-APL(100)-034026-05</t>
  </si>
  <si>
    <t>LP1Y-APL(100)-034026-06</t>
  </si>
  <si>
    <t>LP1Y-APL(100)-034026-07</t>
  </si>
  <si>
    <t>LP1Y-APL(100)-034026-08</t>
  </si>
  <si>
    <t>LP1Y-APL(100)-034032-02</t>
  </si>
  <si>
    <t>LP1Y-APL(100)-034033-01</t>
  </si>
  <si>
    <t>LP1Y-APL(100)-034033-02</t>
  </si>
  <si>
    <t>LP1Y-APL(100)-034033-04</t>
  </si>
  <si>
    <t>LP1Y-APL(100)-034033-05</t>
  </si>
  <si>
    <t>LP1Y-APL(100)-034033-06</t>
  </si>
  <si>
    <t>LP1Y-APL(100)-034033-07</t>
  </si>
  <si>
    <t>LP1Y-APL(100)-034033-08</t>
  </si>
  <si>
    <t>LP1Y-APL(100)-034033-09</t>
  </si>
  <si>
    <t>LP1Y-APL(100)-034040-06</t>
  </si>
  <si>
    <t>LP1Y-AWNP-015001-03</t>
  </si>
  <si>
    <t>LP1Y-AWNP-015001-04</t>
  </si>
  <si>
    <t>LP1Y-AWNP-015001-05</t>
  </si>
  <si>
    <t>LP1Y-AWNP-015001-06</t>
  </si>
  <si>
    <t>LP1Y-AWNP-015003-02</t>
  </si>
  <si>
    <t>LP1Y-AWNP-015003-03</t>
  </si>
  <si>
    <t>LP1Y-AWNP-015003-04</t>
  </si>
  <si>
    <t>LP1Y-AWNP-015003-05</t>
  </si>
  <si>
    <t>LP1Y-AWNP-015003-06</t>
  </si>
  <si>
    <t>LP1Y-AWNP-015003-10</t>
  </si>
  <si>
    <t>LP1Y-AWNP-015003-11</t>
  </si>
  <si>
    <t>LP1Y-AWNP-015004-01</t>
  </si>
  <si>
    <t>LP1Y-ACN-010018-01</t>
  </si>
  <si>
    <t>LP1Y-ACN-010018-03</t>
  </si>
  <si>
    <t>LP1Y-ACN-010018-04</t>
  </si>
  <si>
    <t>LP1Y-ACN-010018-05</t>
  </si>
  <si>
    <t>LP1Y-ACN-010018-06</t>
  </si>
  <si>
    <t>LP1Y-ACN-010018-07</t>
  </si>
  <si>
    <t>LP1Y-ACN-010018-08</t>
  </si>
  <si>
    <t>LP1Y-ACN-010018-09</t>
  </si>
  <si>
    <t>LP1Y-ACN-011008-01</t>
  </si>
  <si>
    <t>LP1Y-ACN-011008-04</t>
  </si>
  <si>
    <t>LP1Y-ACN-011008-05</t>
  </si>
  <si>
    <t>LP1Y-ACN-064102-03</t>
  </si>
  <si>
    <t>LP1Y-ACN-064102-04</t>
  </si>
  <si>
    <t>LP1Y-ACN-064102-05</t>
  </si>
  <si>
    <t>LP1Y-ACN-177302-06</t>
  </si>
  <si>
    <t>LP1Y-ACN-850013-02</t>
  </si>
  <si>
    <t>LP1Y-ACN-850013-03</t>
  </si>
  <si>
    <t>LP1Y-ACNDMSO-010008-01</t>
  </si>
  <si>
    <t>LP1Y-ACNDMSO-010008-03</t>
  </si>
  <si>
    <t>LP1Y-ACNDMSO-010008-04</t>
  </si>
  <si>
    <t>LP1Y-ACNDMSO-010008-05</t>
  </si>
  <si>
    <t>LP1Y-ACNDMSO-010008-06</t>
  </si>
  <si>
    <t>LP1Y-ACNDMSO-010008-07</t>
  </si>
  <si>
    <t>LP1Y-ACNDMSO-010008-08</t>
  </si>
  <si>
    <t>LP1Y-ACNDMSO-010032-01</t>
  </si>
  <si>
    <t>LP1Y-ACNDMSO-010032-03</t>
  </si>
  <si>
    <t>LP1Y-ACNDMSO-010032-04</t>
  </si>
  <si>
    <t>LP1Y-ACNDMSO-010032-09</t>
  </si>
  <si>
    <t>LP1Y-AI(100)-019009-04</t>
  </si>
  <si>
    <t>LP1Y-AI(100)-019009-05</t>
  </si>
  <si>
    <t>LP1Y-AI(100)-019009-06</t>
  </si>
  <si>
    <t>LP1Y-AI(100)-019009-07</t>
  </si>
  <si>
    <t>LP1Y-AI(100)-019009-08</t>
  </si>
  <si>
    <t>LP1Y-AI(100)-019009-09</t>
  </si>
  <si>
    <t>LP1Y-AI(100)-019009-10</t>
  </si>
  <si>
    <t>LP1Y-AI(100)-019009-11</t>
  </si>
  <si>
    <t>LP1Y-AI(100)-019009-12</t>
  </si>
  <si>
    <t>LP1Y-AI(100)-019009-13</t>
  </si>
  <si>
    <t>LP1Y-AI(100)-019009-14</t>
  </si>
  <si>
    <t>LP1Y-AI(100)-019009-15</t>
  </si>
  <si>
    <t>LP1Y-AI(100)-019009-20</t>
  </si>
  <si>
    <t>LP1Y-AI(100)-034028-01</t>
  </si>
  <si>
    <t>LP1Y-AI(100)-034028-02</t>
  </si>
  <si>
    <t>LP1Y-AI(100)-034028-04</t>
  </si>
  <si>
    <t>LP1Y-AI(100)-034028-05</t>
  </si>
  <si>
    <t>LP1Y-AI(100)-034028-06</t>
  </si>
  <si>
    <t>LP1Y-AI(100)-034028-07</t>
  </si>
  <si>
    <t>LP1Y-AI(100)-034028-08</t>
  </si>
  <si>
    <t>LP1Y-APL(100)-019001-02</t>
  </si>
  <si>
    <t>LP1Y-APL(100)-019053-01</t>
  </si>
  <si>
    <t>LP1Y-APL(100)-019053-03</t>
  </si>
  <si>
    <t>LP1Y-APL(100)-019053-04</t>
  </si>
  <si>
    <t>LP1Y-APL(100)-019053-05</t>
  </si>
  <si>
    <t>LP1Y-APL(100)-019053-06</t>
  </si>
  <si>
    <t>LP1Y-APL(100)-019053-07</t>
  </si>
  <si>
    <t>LP1Y-APL(100)-019072-02</t>
  </si>
  <si>
    <t>LP1Y-APL(100)-019072-03</t>
  </si>
  <si>
    <t>LP1Y-APL(100)-019072-05</t>
  </si>
  <si>
    <t>LP1Y-APL(100)-019072-06</t>
  </si>
  <si>
    <t>LP1Y-APL(100)-019072-07</t>
  </si>
  <si>
    <t>LP1Y-APL(100)-019072-08</t>
  </si>
  <si>
    <t>LP1Y-APL(100)-019072-09</t>
  </si>
  <si>
    <t>LP1Y-BS-100104-05</t>
  </si>
  <si>
    <t>LP1Y-BS-100104-06</t>
  </si>
  <si>
    <t>LP1Y-BS-100104-07</t>
  </si>
  <si>
    <t>LP1Y-BS-100104-08</t>
  </si>
  <si>
    <t>LP1Y-BS-100104-09</t>
  </si>
  <si>
    <t>LP1Y-BS-100104-12</t>
  </si>
  <si>
    <t>LP1Y-BS-100104-13</t>
  </si>
  <si>
    <t>LP1Y-CHWR-017024-02</t>
  </si>
  <si>
    <t>LP1Y-CHWR-017059-01</t>
  </si>
  <si>
    <t>LP1Y-CHWR-017059-03</t>
  </si>
  <si>
    <t>LP1Y-CHWR-017059-04</t>
  </si>
  <si>
    <t>LP1Y-CHWR-017059-05</t>
  </si>
  <si>
    <t>LP1Y-CHWR-017059-06</t>
  </si>
  <si>
    <t>LP1Y-CHWR-017059-07</t>
  </si>
  <si>
    <t>LP1Y-CHWR-017070-02</t>
  </si>
  <si>
    <t>LP1Y-CHWR-017070-03</t>
  </si>
  <si>
    <t>LP1Y-CHWR-017070-04</t>
  </si>
  <si>
    <t>LP1Y-CHWR-033041-06</t>
  </si>
  <si>
    <t>LP1Y-CHWR-033044-01</t>
  </si>
  <si>
    <t>LP1Y-CHWR-033044-02</t>
  </si>
  <si>
    <t>LP1Y-CHWR-033044-04</t>
  </si>
  <si>
    <t>LP1Y-CHWR-033044-05</t>
  </si>
  <si>
    <t>LP1Y-CHWR-033044-06</t>
  </si>
  <si>
    <t>LP1Y-CHWR-033044-07</t>
  </si>
  <si>
    <t>LP1Y-CHWR-033044-08</t>
  </si>
  <si>
    <t>LP1Y-CHWR-033044-09</t>
  </si>
  <si>
    <t>LP1Y-CHWR-033047-02</t>
  </si>
  <si>
    <t>LP1Y-CHWR-033068-02</t>
  </si>
  <si>
    <t>LP1Y-CHWR-033068-03</t>
  </si>
  <si>
    <t>LP1Y-CHWR-033068-04</t>
  </si>
  <si>
    <t>LP1Y-CHWS-017022-01</t>
  </si>
  <si>
    <t>LP1Y-CHWS-017022-03</t>
  </si>
  <si>
    <t>LP1Y-CHWS-017022-04</t>
  </si>
  <si>
    <t>LP1Y-CHWS-017022-05</t>
  </si>
  <si>
    <t>LP1Y-CHWS-017022-06</t>
  </si>
  <si>
    <t>LP1Y-CHWS-017022-07</t>
  </si>
  <si>
    <t>LP1Y-CHWS-017069-02</t>
  </si>
  <si>
    <t>LP1Y-CHWS-017069-03</t>
  </si>
  <si>
    <t>LP1Y-CHWS-017069-04</t>
  </si>
  <si>
    <t>LP1Y-CHWS-017111-02</t>
  </si>
  <si>
    <t>LP1Y-CHWS-033023-02</t>
  </si>
  <si>
    <t>LP1Y-CHWS-033032-01</t>
  </si>
  <si>
    <t>LP1Y-CHWS-033032-02</t>
  </si>
  <si>
    <t>LP1Y-CHWS-033032-04</t>
  </si>
  <si>
    <t>LP1Y-CHWS-033032-05</t>
  </si>
  <si>
    <t>LP1Y-CHWS-033032-06</t>
  </si>
  <si>
    <t>LP1Y-CHWS-033032-07</t>
  </si>
  <si>
    <t>LP1Y-CHWS-033032-08</t>
  </si>
  <si>
    <t>LP1Y-CHWS-033032-09</t>
  </si>
  <si>
    <t>LP1Y-CHWS-033038-06</t>
  </si>
  <si>
    <t>LP1Y-CHWS-033067-02</t>
  </si>
  <si>
    <t>LP1Y-CHWS-033067-03</t>
  </si>
  <si>
    <t>LP1Y-CHWS-033067-04</t>
  </si>
  <si>
    <t>LP1Y-DCM-010017-01</t>
  </si>
  <si>
    <t>LP1Y-DCM-010017-04</t>
  </si>
  <si>
    <t>LP1Y-DCM-010017-05</t>
  </si>
  <si>
    <t>LP1Y-DCM-010017-06</t>
  </si>
  <si>
    <t>LP1Y-DCM-010017-07</t>
  </si>
  <si>
    <t>LP1Y-DCM-010017-08</t>
  </si>
  <si>
    <t>LP1Y-DCM-010017-09</t>
  </si>
  <si>
    <t>LP1Y-DCM-010017-10</t>
  </si>
  <si>
    <t>LP1Y-DCM-177202-06</t>
  </si>
  <si>
    <t>LP1Y-DMF-010036-01</t>
  </si>
  <si>
    <t>LP1Y-DMF-010036-03</t>
  </si>
  <si>
    <t>LP1Y-DMF-010036-04</t>
  </si>
  <si>
    <t>LP1Y-DMF-065102-02</t>
  </si>
  <si>
    <t>LP1Y-DMF-065102-03</t>
  </si>
  <si>
    <t>LP1Y-DMF-065102-04</t>
  </si>
  <si>
    <t>LP1Y-DMF-065102-05</t>
  </si>
  <si>
    <t>LP1Y-DMF-065102-08</t>
  </si>
  <si>
    <t>LP1Y-DMF-065102-09</t>
  </si>
  <si>
    <t>LP1Y-DMF-065102-10</t>
  </si>
  <si>
    <t>LP1Y-DMF-065102-11</t>
  </si>
  <si>
    <t>LP1Y-DMSO-010012-01</t>
  </si>
  <si>
    <t>LP1Y-DMSO-010012-03</t>
  </si>
  <si>
    <t>LP1Y-DMSO-010012-04</t>
  </si>
  <si>
    <t>LP1Y-DMSO-010012-06</t>
  </si>
  <si>
    <t>LP1Y-DMSO-010033-01</t>
  </si>
  <si>
    <t>LP1Y-DMSO-010033-03</t>
  </si>
  <si>
    <t>LP1Y-DMSO-010033-04</t>
  </si>
  <si>
    <t>LP1Y-DMSO-010033-05</t>
  </si>
  <si>
    <t>LP1Y-DMSO-010033-07</t>
  </si>
  <si>
    <t>LP1Y-DMSO-010033-08</t>
  </si>
  <si>
    <t>LP1Y-H2SO4-013011-01</t>
  </si>
  <si>
    <t>LP1Y-H2SO4-013011-02</t>
  </si>
  <si>
    <t>LP1Y-H2SO4-013011-03</t>
  </si>
  <si>
    <t>LP1Y-H2SO4-013011-04</t>
  </si>
  <si>
    <t>LP1Y-H2SO4-013011-05</t>
  </si>
  <si>
    <t>LP1Y-H2SO4-013011-06</t>
  </si>
  <si>
    <t>LP1Y-H2SO4-013011-07</t>
  </si>
  <si>
    <t>LP1Y-H2SO4-013011-08</t>
  </si>
  <si>
    <t>LP1Y-H2SO4-013011-09</t>
  </si>
  <si>
    <t>LP1Y-H2SO4-013011-10</t>
  </si>
  <si>
    <t>LP1Y-H2SO4-013011-11</t>
  </si>
  <si>
    <t>LP1Y-H2SO4-013011-12</t>
  </si>
  <si>
    <t>LP1Y-H2SO4-013011-13</t>
  </si>
  <si>
    <t>LP1Y-H2SO4-013011-15</t>
  </si>
  <si>
    <t>LP1Y-H2SO4-013011-16</t>
  </si>
  <si>
    <t>LP1Y-H2SO4-032003-01</t>
  </si>
  <si>
    <t>LP1Y-H2SO4-032003-03</t>
  </si>
  <si>
    <t>LP1Y-H2SO4-032003-04</t>
  </si>
  <si>
    <t>LP1Y-H2SO4-032003-05</t>
  </si>
  <si>
    <t>LP1Y-H2SO4-032003-06</t>
  </si>
  <si>
    <t>LP1Y-H2SO4-032003-07</t>
  </si>
  <si>
    <t>LP1Y-H2SO4-032003-11</t>
  </si>
  <si>
    <t>LP1Y-H2SO4-032003-12</t>
  </si>
  <si>
    <t>LP1Y-H2SO4-032003-14</t>
  </si>
  <si>
    <t>LP1Y-H2SO4-032003-15</t>
  </si>
  <si>
    <t>LP1Y-H2SO4-032003-16</t>
  </si>
  <si>
    <t>LP1Y-H2SO4-032003-17</t>
  </si>
  <si>
    <t>LP1Y-H2SO4-032003-18</t>
  </si>
  <si>
    <t>LP1Y-H2SO4-032018-02</t>
  </si>
  <si>
    <t>LP1Y-IPA-010016-01</t>
  </si>
  <si>
    <t>LP1Y-IPA-010016-03</t>
  </si>
  <si>
    <t>LP1Y-IPA-010016-04</t>
  </si>
  <si>
    <t>LP1Y-IPA-010016-05</t>
  </si>
  <si>
    <t>LP1Y-IPA-010016-06</t>
  </si>
  <si>
    <t>LP1Y-IPA-010016-07</t>
  </si>
  <si>
    <t>LP1Y-IPA-010016-08</t>
  </si>
  <si>
    <t>LP1Y-IPA-010016-09</t>
  </si>
  <si>
    <t>LP1Y-IPA-177102-07</t>
  </si>
  <si>
    <t>LP1Y-MTBE-010019-01</t>
  </si>
  <si>
    <t>LP1Y-MTBE-010019-03</t>
  </si>
  <si>
    <t>LP1Y-MTBE-010019-04</t>
  </si>
  <si>
    <t>LP1Y-MTBE-010019-05</t>
  </si>
  <si>
    <t>LP1Y-MTBE-010019-06</t>
  </si>
  <si>
    <t>LP1Y-MTBE-010019-07</t>
  </si>
  <si>
    <t>LP1Y-MTBE-010019-08</t>
  </si>
  <si>
    <t>LP1Y-MTBE-010019-09</t>
  </si>
  <si>
    <t>LP1Y-MTBE-010019-10</t>
  </si>
  <si>
    <t>LP1Y-MTBE-063102-03</t>
  </si>
  <si>
    <t>LP1Y-MTBE-063102-04</t>
  </si>
  <si>
    <t>LP1Y-MTBE-063102-05</t>
  </si>
  <si>
    <t>LP1Y-N2(100)-018010-02</t>
  </si>
  <si>
    <t>LP1Y-N2(100)-018010-03</t>
  </si>
  <si>
    <t>LP1Y-N2(100)-018010-04</t>
  </si>
  <si>
    <t>LP1Y-N2(100)-018010-05</t>
  </si>
  <si>
    <t>LP1Y-N2(100)-018010-06</t>
  </si>
  <si>
    <t>LP1Y-N2(100)-018010-07</t>
  </si>
  <si>
    <t>LP1Y-N2(100)-018010-08</t>
  </si>
  <si>
    <t>LP1Y-N2(100)-018010-09</t>
  </si>
  <si>
    <t>LP1Y-N2(100)-018010-10</t>
  </si>
  <si>
    <t>LP1Y-N2(100)-018010-11</t>
  </si>
  <si>
    <t>LP1Y-N2(100)-018010-12</t>
  </si>
  <si>
    <t>LP1Y-N2(100)-018010-13</t>
  </si>
  <si>
    <t>LP1Y-N2(100)-018010-18</t>
  </si>
  <si>
    <t>LP1Y-N2(100)-018058-03</t>
  </si>
  <si>
    <t>LP1Y-N2(100)-018058-04</t>
  </si>
  <si>
    <t>LP1Y-N2(100)-018075-01</t>
  </si>
  <si>
    <t>LP1Y-N2(100)-018075-02</t>
  </si>
  <si>
    <t>LP1Y-N2(100)-018075-03</t>
  </si>
  <si>
    <t>LP1Y-N2(100)-018075-04</t>
  </si>
  <si>
    <t>LP1Y-N2(100)-018075-05</t>
  </si>
  <si>
    <t>LP1Y-N2(100)-018075-06</t>
  </si>
  <si>
    <t>LP1Y-N2(100)-018075-07</t>
  </si>
  <si>
    <t>LP1Y-N2(100)-018075-08</t>
  </si>
  <si>
    <t>LP1Y-N2(100)-018075-09</t>
  </si>
  <si>
    <t>LP1Y-N2(100)-018075-10</t>
  </si>
  <si>
    <t>LP1Y-N2(100)-018075-11</t>
  </si>
  <si>
    <t>LP1Y-N2(100)-018075-12</t>
  </si>
  <si>
    <t>LP1Y-N2(100)-018075-13</t>
  </si>
  <si>
    <t>LP1Y-N2(100)-018075-14</t>
  </si>
  <si>
    <t>LP1Y-N2(100)-018075-15</t>
  </si>
  <si>
    <t>LP1Y-N2(100)-018075-17</t>
  </si>
  <si>
    <t>LP1Y-N2(100)-018075-18</t>
  </si>
  <si>
    <t>LP1Y-N2(100)-034025-01</t>
  </si>
  <si>
    <t>LP1Y-N2(100)-034025-02</t>
  </si>
  <si>
    <t>LP1Y-N2(100)-034025-04</t>
  </si>
  <si>
    <t>LP1Y-N2(100)-034025-05</t>
  </si>
  <si>
    <t>LP1Y-N2(100)-034025-06</t>
  </si>
  <si>
    <t>LP1Y-N2(100)-034025-07</t>
  </si>
  <si>
    <t>LP1Y-N2(100)-034025-08</t>
  </si>
  <si>
    <t>LP1Y-N2(100)-034029-02</t>
  </si>
  <si>
    <t>LP1Y-N2(100)-034037-01</t>
  </si>
  <si>
    <t>LP1Y-N2(100)-034037-06</t>
  </si>
  <si>
    <t>LP1Y-N2-180029-04</t>
  </si>
  <si>
    <t>LP1Y-NAOH50-013012-02</t>
  </si>
  <si>
    <t>LP1Y-NAOH50-013012-03</t>
  </si>
  <si>
    <t>LP1Y-NAOH50-013012-04</t>
  </si>
  <si>
    <t>LP1Y-NAOH50-013012-05</t>
  </si>
  <si>
    <t>LP1Y-NAOH50-013012-06</t>
  </si>
  <si>
    <t>LP1Y-NAOH50-013012-07</t>
  </si>
  <si>
    <t>LP1Y-NAOH50-013012-08</t>
  </si>
  <si>
    <t>LP1Y-NAOH50-013012-09</t>
  </si>
  <si>
    <t>LP1Y-NAOH50-013012-10</t>
  </si>
  <si>
    <t>LP1Y-NAOH50-013012-11</t>
  </si>
  <si>
    <t>LP1Y-NAOH50-013012-12</t>
  </si>
  <si>
    <t>LP1Y-NAOH50-013012-13</t>
  </si>
  <si>
    <t>LP1Y-NAOH50-013012-15</t>
  </si>
  <si>
    <t>LP1Y-NAOH50-013012-16</t>
  </si>
  <si>
    <t>LP1Y-NAOH50-016011-01</t>
  </si>
  <si>
    <t>LP1Y-NAOH50-016020-01</t>
  </si>
  <si>
    <t>LP1Y-NAOH50-032002-01</t>
  </si>
  <si>
    <t>LP1Y-NAOH50-032002-03</t>
  </si>
  <si>
    <t>LP1Y-NAOH50-032002-04</t>
  </si>
  <si>
    <t>LP1Y-NAOH50-032002-05</t>
  </si>
  <si>
    <t>LP1Y-NAOH50-032002-06</t>
  </si>
  <si>
    <t>LP1Y-NAOH50-032002-07</t>
  </si>
  <si>
    <t>LP1Y-NAOH50-032002-08</t>
  </si>
  <si>
    <t>LP1Y-NAOH50-032002-09</t>
  </si>
  <si>
    <t>LP1Y-NAOH50-032002-11</t>
  </si>
  <si>
    <t>LP1Y-NAOH50-032002-12</t>
  </si>
  <si>
    <t>LP1Y-NAOH50-032002-13</t>
  </si>
  <si>
    <t>LP1Y-NAOH50-032002-14</t>
  </si>
  <si>
    <t>LP1Y-NAOH50-032002-15</t>
  </si>
  <si>
    <t>LP1Y-NAOH50-032002-16</t>
  </si>
  <si>
    <t>LP1Y-NAOH50-032002-17</t>
  </si>
  <si>
    <t>LP1Y-NAOH50-032002-18</t>
  </si>
  <si>
    <t>LP1Y-NAOH50-032017-02</t>
  </si>
  <si>
    <t>LP1Y-NG-018007-01</t>
  </si>
  <si>
    <t>LP1Y-NG-018007-03</t>
  </si>
  <si>
    <t>LP1Y-NG-018007-04</t>
  </si>
  <si>
    <t>LP1Y-NG-018007-05</t>
  </si>
  <si>
    <t>LP1Y-NG-018007-06</t>
  </si>
  <si>
    <t>LP1Y-NG-018007-07</t>
  </si>
  <si>
    <t>LP1Y-NG-018012-02</t>
  </si>
  <si>
    <t>LP1Y-NG-034031-02</t>
  </si>
  <si>
    <t>LP1Y-NG-034034-01</t>
  </si>
  <si>
    <t>LP1Y-NG-034034-02</t>
  </si>
  <si>
    <t>LP1Y-NG-034034-04</t>
  </si>
  <si>
    <t>LP1Y-NG-034034-05</t>
  </si>
  <si>
    <t>LP1Y-NG-034034-06</t>
  </si>
  <si>
    <t>LP1Y-NG-034034-07</t>
  </si>
  <si>
    <t>LP1Y-NG-034034-08</t>
  </si>
  <si>
    <t>LP1Y-NG-034034-09</t>
  </si>
  <si>
    <t>LP1Y-NG-034034-10</t>
  </si>
  <si>
    <t>LP1Y-NG-034039-06</t>
  </si>
  <si>
    <t>LP1Y-PSC-017027-02</t>
  </si>
  <si>
    <t>LP1Y-PSC-017031-01</t>
  </si>
  <si>
    <t>LP1Y-PSC-017031-03</t>
  </si>
  <si>
    <t>LP1Y-PSC-017031-05</t>
  </si>
  <si>
    <t>LP1Y-PSC-017031-06</t>
  </si>
  <si>
    <t>LP1Y-PSC-017031-07</t>
  </si>
  <si>
    <t>LP1Y-PSC-017031-11</t>
  </si>
  <si>
    <t>LP1Y-PSC-017031-13</t>
  </si>
  <si>
    <t>LP1Y-PSC-033040-06</t>
  </si>
  <si>
    <t>LP1Y-PSC-033042-01</t>
  </si>
  <si>
    <t>LP1Y-PSC-033042-02</t>
  </si>
  <si>
    <t>LP1Y-PSC-033042-04</t>
  </si>
  <si>
    <t>LP1Y-PSC-033042-05</t>
  </si>
  <si>
    <t>LP1Y-PSC-033042-06</t>
  </si>
  <si>
    <t>LP1Y-PSC-033042-07</t>
  </si>
  <si>
    <t>LP1Y-PSC-033042-08</t>
  </si>
  <si>
    <t>LP1Y-PSC-033042-09</t>
  </si>
  <si>
    <t>LP1Y-PSC-033042-10</t>
  </si>
  <si>
    <t>LP1Y-PSC-033049-02</t>
  </si>
  <si>
    <t>LP1Y-PV-013001-03</t>
  </si>
  <si>
    <t>LP1Y-PV-013001-04</t>
  </si>
  <si>
    <t>LP1Y-PV-013001-05</t>
  </si>
  <si>
    <t>LP1Y-PV-013001-06</t>
  </si>
  <si>
    <t>LP1Y-PV-013001-07</t>
  </si>
  <si>
    <t>LP1Y-PV-013001-08</t>
  </si>
  <si>
    <t>LP1Y-PV-013001-09</t>
  </si>
  <si>
    <t>LP1Y-PV-013001-10</t>
  </si>
  <si>
    <t>LP1Y-PV-300064-01</t>
  </si>
  <si>
    <t>LP1Y-PV-300064-02</t>
  </si>
  <si>
    <t>LP1Y-PV-300065-02</t>
  </si>
  <si>
    <t>LP1Y-PVP-013004-02</t>
  </si>
  <si>
    <t>LP1Y-PVP-013004-03</t>
  </si>
  <si>
    <t>LP1Y-PVP-013004-04</t>
  </si>
  <si>
    <t>LP1Y-PVP-013004-05</t>
  </si>
  <si>
    <t>LP1Y-PVP-013022-05</t>
  </si>
  <si>
    <t>LP1Y-PVP-102109-05</t>
  </si>
  <si>
    <t>LP1Y-PVP-110218-02</t>
  </si>
  <si>
    <t>LP1Y-PVP-112109-01</t>
  </si>
  <si>
    <t>LP1Y-PVP-300308-04</t>
  </si>
  <si>
    <t>LP1Y-PVP-300308-06</t>
  </si>
  <si>
    <t>LP1Y-PWP-014002-04</t>
  </si>
  <si>
    <t>LP1Y-PWP-014002-05</t>
  </si>
  <si>
    <t>LP1Y-PWP-014003-03</t>
  </si>
  <si>
    <t>LP1Y-PWP-014003-04</t>
  </si>
  <si>
    <t>LP1Y-PWP-014003-05</t>
  </si>
  <si>
    <t>LP1Y-PWP-014003-06</t>
  </si>
  <si>
    <t>LP1Y-PWP-014003-07</t>
  </si>
  <si>
    <t>LP1Y-PWP-014003-08</t>
  </si>
  <si>
    <t>LP1Y-PWP-014003-10</t>
  </si>
  <si>
    <t>LP1Y-PWP-014007-02</t>
  </si>
  <si>
    <t>LP1Y-PWP-014007-03</t>
  </si>
  <si>
    <t>LP1Y-PWP-014007-04</t>
  </si>
  <si>
    <t>LP1Y-PWP-014007-05</t>
  </si>
  <si>
    <t>LP1Y-PWP-014007-06</t>
  </si>
  <si>
    <t>LP1Y-PWP-014007-07</t>
  </si>
  <si>
    <t>LP1Y-PWP-014007-08</t>
  </si>
  <si>
    <t>LP1Y-PWP-014007-09</t>
  </si>
  <si>
    <t>LP1Y-PWP-014007-10</t>
  </si>
  <si>
    <t>LP1Y-PWP-014007-11</t>
  </si>
  <si>
    <t>LP1Y-PWP-014007-12</t>
  </si>
  <si>
    <t>LP1Y-PWP-014009-01</t>
  </si>
  <si>
    <t>LP1Y-PWP-014009-03</t>
  </si>
  <si>
    <t>LP1Y-PWP-036002-01</t>
  </si>
  <si>
    <t>LP1Y-PWP-036003-06</t>
  </si>
  <si>
    <t>LP1Y-PWP-036047-01</t>
  </si>
  <si>
    <t>LP1Y-PWP-036047-02</t>
  </si>
  <si>
    <t>LP1Y-PWP-036047-05</t>
  </si>
  <si>
    <t>LP1Y-PWP-036047-06</t>
  </si>
  <si>
    <t>LP1Y-PWP-036047-07</t>
  </si>
  <si>
    <t>LP1Y-PWP-036047-08</t>
  </si>
  <si>
    <t>LP1Y-PWP-036047-10</t>
  </si>
  <si>
    <t>LP1Y-PWP-036047-11</t>
  </si>
  <si>
    <t>LP1Y-PWP-036047-12</t>
  </si>
  <si>
    <t>LP1Y-PWP-036047-13</t>
  </si>
  <si>
    <t>LP1Y-PWP-036049-02</t>
  </si>
  <si>
    <t>LP1Y-PWP-036049-04</t>
  </si>
  <si>
    <t>LP1Y-PWP-036049-06</t>
  </si>
  <si>
    <t>LP1Y-PWP-036049-07</t>
  </si>
  <si>
    <t>LP1Y-PWP-036049-08</t>
  </si>
  <si>
    <t>LP1Y-PWP-036049-09</t>
  </si>
  <si>
    <t>LP1Y-PWP-036049-10</t>
  </si>
  <si>
    <t>LP1Y-PWP-036049-11</t>
  </si>
  <si>
    <t>LP1Y-PWP-036049-12</t>
  </si>
  <si>
    <t>LP1Y-PWP-036049-14</t>
  </si>
  <si>
    <t>LP1Y-PWP-850051-05</t>
  </si>
  <si>
    <t>LP1Y-PWP-850051-08</t>
  </si>
  <si>
    <t>LP1Y-S(130)-018062-01</t>
  </si>
  <si>
    <t>LP1Y-S(130)-018062-03</t>
  </si>
  <si>
    <t>LP1Y-S(130)-018062-05</t>
  </si>
  <si>
    <t>LP1Y-S(130)-018062-06</t>
  </si>
  <si>
    <t>LP1Y-S(130)-018062-09</t>
  </si>
  <si>
    <t>LP1Y-S(130)-018062-12</t>
  </si>
  <si>
    <t>LP1Y-S(130)-018062-13</t>
  </si>
  <si>
    <t>LP1Y-S(130)-018062-15</t>
  </si>
  <si>
    <t>LP1Y-S(130)-018062-18</t>
  </si>
  <si>
    <t>LP1Y-S(130)-018062-19</t>
  </si>
  <si>
    <t>LP1Y-S(130)-018062-20</t>
  </si>
  <si>
    <t>LP1Y-S(130)-018079-03</t>
  </si>
  <si>
    <t>LP1Y-S(130)-018079-04</t>
  </si>
  <si>
    <t>LP1Y-S(130)-018091-02</t>
  </si>
  <si>
    <t>LP1Y-S(130)-018091-03</t>
  </si>
  <si>
    <t>LP1Y-S(130)-018091-04</t>
  </si>
  <si>
    <t>LP1Y-S(130)-034030-02</t>
  </si>
  <si>
    <t>LP1Y-S(130)-034035-02</t>
  </si>
  <si>
    <t>LP1Y-S(130)-034035-05</t>
  </si>
  <si>
    <t>LP1Y-S(130)-034035-06</t>
  </si>
  <si>
    <t>LP1Y-S(130)-034035-07</t>
  </si>
  <si>
    <t>LP1Y-S(130)-034035-08</t>
  </si>
  <si>
    <t>LP1Y-S(130)-034035-09</t>
  </si>
  <si>
    <t>LP1Y-S(130)-034035-10</t>
  </si>
  <si>
    <t>LP1Y-S(130)-034035-18</t>
  </si>
  <si>
    <t>LP1Y-S(130)-034035-20</t>
  </si>
  <si>
    <t>LP1Y-S(130)-034038-06</t>
  </si>
  <si>
    <t>LP1Y-S(130)-034077-04</t>
  </si>
  <si>
    <t>LP1Y-S(130)-034109-01</t>
  </si>
  <si>
    <t>LP1Y-SOLV-300404-01</t>
  </si>
  <si>
    <t>LP1Y-SOLV-300404-06</t>
  </si>
  <si>
    <t>LP1Y-SOLV-300404-08</t>
  </si>
  <si>
    <t>LP1Y-SOLV-300404-10</t>
  </si>
  <si>
    <t>LP1Y-SOLV-322202-06</t>
  </si>
  <si>
    <t>LP1Y-SRACNP-011001-01</t>
  </si>
  <si>
    <t>LP1Y-SRACNP-011001-03</t>
  </si>
  <si>
    <t>LP1Y-SRACNP-011001-04</t>
  </si>
  <si>
    <t>LP1Y-SRACNP-011001-05</t>
  </si>
  <si>
    <t>LP1Y-SRACNP-011001-06</t>
  </si>
  <si>
    <t>LP1Y-SRACNP-011001-07</t>
  </si>
  <si>
    <t>LP1Y-SRACNP-011001-08</t>
  </si>
  <si>
    <t>LP1Y-SRACNP-108104-03</t>
  </si>
  <si>
    <t>LP1Y-STORMP-015002-13</t>
  </si>
  <si>
    <t>LP1Y-STORMP-015002-15</t>
  </si>
  <si>
    <t>LP1Y-STORMP-015002-17</t>
  </si>
  <si>
    <t>LP1Y-STORMP-015002-18</t>
  </si>
  <si>
    <t>LP1Y-STORMP-015002-19</t>
  </si>
  <si>
    <t>LP1Y-STORMP-015002-20</t>
  </si>
  <si>
    <t>LP1Y-STORMP-015002-21</t>
  </si>
  <si>
    <t>LP1Y-STORMP-015002-22</t>
  </si>
  <si>
    <t>LP1Y-STORMP-015002-23</t>
  </si>
  <si>
    <t>LP1Y-STORMP-015002-24</t>
  </si>
  <si>
    <t>LP1Y-STORMP-037007-03</t>
  </si>
  <si>
    <t>LP1Y-STORMP-037007-05</t>
  </si>
  <si>
    <t>LP1Y-STORMP-037007-07</t>
  </si>
  <si>
    <t>LP1Y-STORMP-037007-08</t>
  </si>
  <si>
    <t>LP1Y-STORMP-037007-12</t>
  </si>
  <si>
    <t>LP1Y-STORMP-037007-14</t>
  </si>
  <si>
    <t>LP1Y-STORMP-037007-15</t>
  </si>
  <si>
    <t>LP1Y-STORMP-037007-16</t>
  </si>
  <si>
    <t>LP1Y-STORMP-037009-02</t>
  </si>
  <si>
    <t>LP1Y-STORMP-165334-03</t>
  </si>
  <si>
    <t>LP1Y-SWP-014001-03</t>
  </si>
  <si>
    <t>LP1Y-SWP-014001-04</t>
  </si>
  <si>
    <t>LP1Y-SWP-014001-05</t>
  </si>
  <si>
    <t>LP1Y-SWP-014004-01</t>
  </si>
  <si>
    <t>LP1Y-SWP-014004-02</t>
  </si>
  <si>
    <t>LP1Y-SWP-014004-07</t>
  </si>
  <si>
    <t>LP1Y-SWP-014004-08</t>
  </si>
  <si>
    <t>LP1Y-SWP-014005-07</t>
  </si>
  <si>
    <t>LP1Y-SWP-014005-08</t>
  </si>
  <si>
    <t>LP1Y-SWP-014010-01</t>
  </si>
  <si>
    <t>LP1Y-SWP-014010-03</t>
  </si>
  <si>
    <t>LP1Y-SWP-014015-02</t>
  </si>
  <si>
    <t>LP1Y-SWP-036045-01</t>
  </si>
  <si>
    <t>LP1Y-SWP-036045-04</t>
  </si>
  <si>
    <t>LP1Y-SWP-036045-05</t>
  </si>
  <si>
    <t>LP1Y-SWP-036045-06</t>
  </si>
  <si>
    <t>LP1Y-SWP-036045-07</t>
  </si>
  <si>
    <t>LP1Y-SWP-036045-09</t>
  </si>
  <si>
    <t>LP1Y-SWP-036045-11</t>
  </si>
  <si>
    <t>LP1Y-SWP-036045-12</t>
  </si>
  <si>
    <t>LP1Y-SWP-036046-04</t>
  </si>
  <si>
    <t>LP1Y-SWP-036046-05</t>
  </si>
  <si>
    <t>LP1Y-SWP-036046-06</t>
  </si>
  <si>
    <t>LP1Y-SWP-036046-10</t>
  </si>
  <si>
    <t>LP1Y-SWP-036048-03</t>
  </si>
  <si>
    <t>LP1Y-SWP-036048-04</t>
  </si>
  <si>
    <t>LP1Y-SWP-036048-05</t>
  </si>
  <si>
    <t>LP1Y-SWP-036048-06</t>
  </si>
  <si>
    <t>LP1Y-SWP-036048-07</t>
  </si>
  <si>
    <t>LP1Y-SWP-036048-08</t>
  </si>
  <si>
    <t>LP1Y-SWP-036048-09</t>
  </si>
  <si>
    <t>LP1Y-SWP-036048-10</t>
  </si>
  <si>
    <t>LP1Y-SWP-036048-11</t>
  </si>
  <si>
    <t>LP1Y-SWP-036048-12</t>
  </si>
  <si>
    <t>LP1Y-SWP-036048-14</t>
  </si>
  <si>
    <t>LP1Y-SWP-036048-15</t>
  </si>
  <si>
    <t>LP1Y-SWP-036052-02</t>
  </si>
  <si>
    <t>LP1Y-SWP-100404-02</t>
  </si>
  <si>
    <t>LP1Y-SWP-100404-04</t>
  </si>
  <si>
    <t>LP1Y-SWP-100404-05</t>
  </si>
  <si>
    <t>LP1Y-SWP-109022-01</t>
  </si>
  <si>
    <t>LP1Y-SWP-109022-02</t>
  </si>
  <si>
    <t>LP1Y-SWP-109022-03</t>
  </si>
  <si>
    <t>LP1Y-SWP-109022-04</t>
  </si>
  <si>
    <t>LP1Y-SWP-109022-05</t>
  </si>
  <si>
    <t>LP1Y-SWP-109022-06</t>
  </si>
  <si>
    <t>LP1Y-SWP-850004-05</t>
  </si>
  <si>
    <t>LP1Y-SWP-850004-06</t>
  </si>
  <si>
    <t>LP1Y-TFA-010004-01</t>
  </si>
  <si>
    <t>LP1Y-TFA-010004-03</t>
  </si>
  <si>
    <t>LP1Y-TFA-010004-04</t>
  </si>
  <si>
    <t>LP1Y-TFA-010031-01</t>
  </si>
  <si>
    <t>LP1Y-TFA-010031-03</t>
  </si>
  <si>
    <t>LP1Y-TFA-010031-04</t>
  </si>
  <si>
    <t>LP1Y-TFA-010031-05</t>
  </si>
  <si>
    <t>LP1Y-TFA-010031-06</t>
  </si>
  <si>
    <t>LP1Y-TFA-010031-07</t>
  </si>
  <si>
    <t>LP1Y-TFA-010031-08</t>
  </si>
  <si>
    <t>LP1Y-TWRP-017021-01</t>
  </si>
  <si>
    <t>LP1Y-TWRP-017063-01</t>
  </si>
  <si>
    <t>LP1Y-TWRP-017063-03</t>
  </si>
  <si>
    <t>LP1Y-TWRP-017063-05</t>
  </si>
  <si>
    <t>LP1Y-TWRP-017063-06</t>
  </si>
  <si>
    <t>LP1Y-TWRP-017063-07</t>
  </si>
  <si>
    <t>LP1Y-TWRP-017063-10</t>
  </si>
  <si>
    <t>LP1Y-TWRP-033045-01</t>
  </si>
  <si>
    <t>LP1Y-TWRP-033045-03</t>
  </si>
  <si>
    <t>LP1Y-TWRP-033045-08</t>
  </si>
  <si>
    <t>LP1Y-TWRP-033045-09</t>
  </si>
  <si>
    <t>LP1Y-TWRP-109313-02</t>
  </si>
  <si>
    <t>LP1Y-TWRP-109313-03</t>
  </si>
  <si>
    <t>LP1Y-TWSP-017016-02</t>
  </si>
  <si>
    <t>LP1Y-TWSP-017017-01</t>
  </si>
  <si>
    <t>LP1Y-TWSP-017017-03</t>
  </si>
  <si>
    <t>LP1Y-TWSP-017017-04</t>
  </si>
  <si>
    <t>LP1Y-TWSP-017017-05</t>
  </si>
  <si>
    <t>LP1Y-TWSP-017017-06</t>
  </si>
  <si>
    <t>LP1Y-TWSP-017017-07</t>
  </si>
  <si>
    <t>LP1Y-TWSP-017020-02</t>
  </si>
  <si>
    <t>LP1Y-TWSP-017020-03</t>
  </si>
  <si>
    <t>LP1Y-TWSP-033021-02</t>
  </si>
  <si>
    <t>LP1Y-TWSP-033034-01</t>
  </si>
  <si>
    <t>LP1Y-TWSP-033034-03</t>
  </si>
  <si>
    <t>LP1Y-TWSP-033034-09</t>
  </si>
  <si>
    <t>LP1Y-TWSP-033034-10</t>
  </si>
  <si>
    <t>LP1Y-WFO-017007-70</t>
  </si>
  <si>
    <t>LP1Y-WFO-017007-71</t>
  </si>
  <si>
    <t>LP1Y-WI-037001-02</t>
  </si>
  <si>
    <t>LP1Y-WI-037001-04</t>
  </si>
  <si>
    <t>LP1Y-WNP-017007-01</t>
  </si>
  <si>
    <t>LP1Y-WNP-017007-02</t>
  </si>
  <si>
    <t>LP1Y-WNP-017007-03</t>
  </si>
  <si>
    <t>LP1Y-WNP-017007-04</t>
  </si>
  <si>
    <t>LP1Y-WNP-017007-05</t>
  </si>
  <si>
    <t>LP1Y-WNP-017007-06</t>
  </si>
  <si>
    <t>LP1Y-WNP-017007-07</t>
  </si>
  <si>
    <t>LP1Y-WNP-017007-09</t>
  </si>
  <si>
    <t>LP1Y-WNP-017007-10</t>
  </si>
  <si>
    <t>LP1Y-WNP-017007-16</t>
  </si>
  <si>
    <t>LP1Y-WNP-017007-40</t>
  </si>
  <si>
    <t>LP1Y-WNP-033018-01</t>
  </si>
  <si>
    <t>LP1Y-WNP-033018-02</t>
  </si>
  <si>
    <t>LP1Y-WNP-033018-05</t>
  </si>
  <si>
    <t>LP1Y-WNP-033018-06</t>
  </si>
  <si>
    <t>LP1Y-WNP-033018-07</t>
  </si>
  <si>
    <t>LP1Y-WNP-033018-08</t>
  </si>
  <si>
    <t>LP1Y-WNP-033056-03</t>
  </si>
  <si>
    <t>LP1Y-WPC-017015-02</t>
  </si>
  <si>
    <t>LP1Y-WPC-017056-02</t>
  </si>
  <si>
    <t>LP1Y-WPC-017056-03</t>
  </si>
  <si>
    <t>LP1Y-WPC-017061-04</t>
  </si>
  <si>
    <t>LP1Y-WPC-017062-01</t>
  </si>
  <si>
    <t>LP1Y-WPC-017062-02</t>
  </si>
  <si>
    <t>LP1Y-WPC-017062-03</t>
  </si>
  <si>
    <t>LP1Y-WPC-017062-04</t>
  </si>
  <si>
    <t>LP1Y-WPC-017062-05</t>
  </si>
  <si>
    <t>LP1Y-WPC-017062-06</t>
  </si>
  <si>
    <t>LP1Y-WPC-017062-07</t>
  </si>
  <si>
    <t>LP1Y-WPC-017062-08</t>
  </si>
  <si>
    <t>LP1Y-WPC-017062-09</t>
  </si>
  <si>
    <t>LP1Y-WPC-017062-10</t>
  </si>
  <si>
    <t>LP1Y-WPC-017062-12</t>
  </si>
  <si>
    <t>LP1Y-WPC-017064-02</t>
  </si>
  <si>
    <t>LP1Y-WPC-033020-02</t>
  </si>
  <si>
    <t>LP1Y-WPC-033035-01</t>
  </si>
  <si>
    <t>LP1Y-WPC-033035-02</t>
  </si>
  <si>
    <t>LP1Y-WPC-033035-05</t>
  </si>
  <si>
    <t>LP1Y-WPC-033035-06</t>
  </si>
  <si>
    <t>LP1Y-WPC-033035-07</t>
  </si>
  <si>
    <t>LP1Y-WPC-033035-08</t>
  </si>
  <si>
    <t>LP1Y-WPC-033035-09</t>
  </si>
  <si>
    <t>LP1Y-WPC-033035-10</t>
  </si>
  <si>
    <t>LP1Y-WPC-033039-01</t>
  </si>
  <si>
    <t>LP1Y-WPC-033039-06</t>
  </si>
  <si>
    <t>LP1Y-WS-017025-02</t>
  </si>
  <si>
    <t>LP1Y-WS-017025-04</t>
  </si>
  <si>
    <t>LP1Y-WS-017025-05</t>
  </si>
  <si>
    <t>LP1Y-WS-017025-06</t>
  </si>
  <si>
    <t>LP1Y-WS-017030-01</t>
  </si>
  <si>
    <t>LP1Y-WS-017030-06</t>
  </si>
  <si>
    <t>LP1Y-WS-017034-01</t>
  </si>
  <si>
    <t>LP1Y-WS-017034-02</t>
  </si>
  <si>
    <t>LP1Y-WS-017034-03</t>
  </si>
  <si>
    <t>LP1Y-WS-017034-04</t>
  </si>
  <si>
    <t>LP1Y-WS-017034-07</t>
  </si>
  <si>
    <t>LP1Y-WS-033030-01</t>
  </si>
  <si>
    <t>LP1Y-WS-033030-03</t>
  </si>
  <si>
    <t>LP1Y-WS-033030-05</t>
  </si>
  <si>
    <t>LP1Y-WS-033031-03</t>
  </si>
  <si>
    <t>LP1Y-WS-033043-01</t>
  </si>
  <si>
    <t>LP1Y-WS-033043-02</t>
  </si>
  <si>
    <t>LP1Y-WS-033043-04</t>
  </si>
  <si>
    <t>LP1Y-WS-033043-05</t>
  </si>
  <si>
    <t>LP1Y-WS-033052-01</t>
  </si>
  <si>
    <t>LP1Y-WS-033052-03</t>
  </si>
  <si>
    <t>LP1Y-WS-033052-04</t>
  </si>
  <si>
    <t>LP1Y-WS-033052-05</t>
  </si>
  <si>
    <t>LP1Y-WTFAP-014011-01</t>
  </si>
  <si>
    <t>LP1Y-WTFAP-014011-03</t>
  </si>
  <si>
    <t>LP1Y-WTFAP-014011-04</t>
  </si>
  <si>
    <t>LP1Y-WTFAP-014011-05</t>
  </si>
  <si>
    <t>LP1Y-WTFAP-014011-06</t>
  </si>
  <si>
    <t>LP1Y-WTFAP-014011-07</t>
  </si>
  <si>
    <t>LP1Y-WTFAP-014011-08</t>
  </si>
  <si>
    <t>LP1Y-WV-061046-18</t>
  </si>
  <si>
    <t>LP1Y-WV-061046-19</t>
  </si>
  <si>
    <t>LP1Y-WV-061046-20</t>
  </si>
  <si>
    <t>LP1Y-WV-061046-21</t>
  </si>
  <si>
    <t>LP1Y-WV-061046-22</t>
  </si>
  <si>
    <t>LP1Y-WV-061046-23</t>
  </si>
  <si>
    <t>LP1Y-WV-061046-24</t>
  </si>
  <si>
    <t>LP1Y-WV-061046-25</t>
  </si>
  <si>
    <t>LP1Y-WV-061046-26</t>
  </si>
  <si>
    <t>LP1Y-WV-061046-27</t>
  </si>
  <si>
    <t>LP1Y-WV-061046-28</t>
  </si>
  <si>
    <t>LP1Y-WV-321011-03</t>
  </si>
  <si>
    <t>Weld - PIPE</t>
  </si>
  <si>
    <t>K214-TFS-0363</t>
  </si>
  <si>
    <t>K214-TFS-0364</t>
  </si>
  <si>
    <t>K214-TFS-0365</t>
  </si>
  <si>
    <t>K214-TFS-0366</t>
  </si>
  <si>
    <t>K214-TFS-0367</t>
  </si>
  <si>
    <t>K214-TFS-0368</t>
  </si>
  <si>
    <t>K214-TFS-0369</t>
  </si>
  <si>
    <t>K214-TFS-0370</t>
  </si>
  <si>
    <t>K214-TFS-0371</t>
  </si>
  <si>
    <t>K214-TFS-0372</t>
  </si>
  <si>
    <t>K214-TFS-0373</t>
  </si>
  <si>
    <t>K214-TFS-0374</t>
  </si>
  <si>
    <t>K214-TFS-0375</t>
  </si>
  <si>
    <t>K214-TFS-0376</t>
  </si>
  <si>
    <t>K214-TFS-0377</t>
  </si>
  <si>
    <t>K214-TFS-0378</t>
  </si>
  <si>
    <t>K214-TFS-0379</t>
  </si>
  <si>
    <t>K214-TFS-0380</t>
  </si>
  <si>
    <t>K214-TFS-0381</t>
  </si>
  <si>
    <t>K214-TFS-0382</t>
  </si>
  <si>
    <t>K214-TFS-0383</t>
  </si>
  <si>
    <t>K214-TFS-0384</t>
  </si>
  <si>
    <t>K214-TFS-0385</t>
  </si>
  <si>
    <t>K214-TFS-0386</t>
  </si>
  <si>
    <t>K214-TFS-0387</t>
  </si>
  <si>
    <t>K214-TFS-0388</t>
  </si>
  <si>
    <t>K214-TFS-0389</t>
  </si>
  <si>
    <t>K214-TFS-0390</t>
  </si>
  <si>
    <t>K214-TFS-0391</t>
  </si>
  <si>
    <t>K214-TFS-0392</t>
  </si>
  <si>
    <t>K214-TFS-0393</t>
  </si>
  <si>
    <t>K214-TFS-0394</t>
  </si>
  <si>
    <t>K214-TFS-0395</t>
  </si>
  <si>
    <t>K214-TFS-0396</t>
  </si>
  <si>
    <t>K214-TFS-0397</t>
  </si>
  <si>
    <t>K214-TFS-0398</t>
  </si>
  <si>
    <t>K214-TFS-0399</t>
  </si>
  <si>
    <t>K214-TFS-0400</t>
  </si>
  <si>
    <t>K214-TFS-0401</t>
  </si>
  <si>
    <t>K214-TFS-0402</t>
  </si>
  <si>
    <t>K214-TFS-0403</t>
  </si>
  <si>
    <t>K214-TFS-0404</t>
  </si>
  <si>
    <t>K214-TFS-0405</t>
  </si>
  <si>
    <t>K214-TFS-0406</t>
  </si>
  <si>
    <t>K214-TFS-0407</t>
  </si>
  <si>
    <t>K214-TFS-0408</t>
  </si>
  <si>
    <t>K214-TFS-0409</t>
  </si>
  <si>
    <t>K214-TFS-0410</t>
  </si>
  <si>
    <t>K214-TFS-0411</t>
  </si>
  <si>
    <t>K214-TFS-0412</t>
  </si>
  <si>
    <t>K214-TFS-0413</t>
  </si>
  <si>
    <t>K214-TFS-0414</t>
  </si>
  <si>
    <t>K214-TFS-0415</t>
  </si>
  <si>
    <t>K214-TFS-0416</t>
  </si>
  <si>
    <t>K214-TFS-0417</t>
  </si>
  <si>
    <t>K214-TFS-0418</t>
  </si>
  <si>
    <t>K214-TFS-0419</t>
  </si>
  <si>
    <t>K214-TFS-0420</t>
  </si>
  <si>
    <t>K214-TFS-0421</t>
  </si>
  <si>
    <t>K214-TFS-0422</t>
  </si>
  <si>
    <t>K214-TFS-0423</t>
  </si>
  <si>
    <t>K214-TFS-0424</t>
  </si>
  <si>
    <t>K214-TFS-0425</t>
  </si>
  <si>
    <t>K214-TFS-0426</t>
  </si>
  <si>
    <t>K214-TFS-0427</t>
  </si>
  <si>
    <t>K214-TFS-0428</t>
  </si>
  <si>
    <t>K214-TFS-0429</t>
  </si>
  <si>
    <t>K214-TFS-0430</t>
  </si>
  <si>
    <t>K214-TFS-0431</t>
  </si>
  <si>
    <t>K214-TFS-0432</t>
  </si>
  <si>
    <t>K214-TFS-0433</t>
  </si>
  <si>
    <t>K214-TFS-0434</t>
  </si>
  <si>
    <t>K214-TFS-0435</t>
  </si>
  <si>
    <t>K214-TFS-0436</t>
  </si>
  <si>
    <t>K214-TFS-0437</t>
  </si>
  <si>
    <t>K214-TFS-0438</t>
  </si>
  <si>
    <t>K214-TFS-0439</t>
  </si>
  <si>
    <t>K214-TFS-0440</t>
  </si>
  <si>
    <t>K214-TFS-0441</t>
  </si>
  <si>
    <t>K214-TFS-0442</t>
  </si>
  <si>
    <t>K214-TFS-0443</t>
  </si>
  <si>
    <t>K214-TFS-0444</t>
  </si>
  <si>
    <t>K214-TFS-0445</t>
  </si>
  <si>
    <t>K214-TFS-0446</t>
  </si>
  <si>
    <t>K214-TFS-0447</t>
  </si>
  <si>
    <t>K214-TFS-0448</t>
  </si>
  <si>
    <t>K214-TFS-0449</t>
  </si>
  <si>
    <t>K214-TFS-0450</t>
  </si>
  <si>
    <t>K214-TFS-0451</t>
  </si>
  <si>
    <t>K214-TFS-0452</t>
  </si>
  <si>
    <t>K214-TFS-0453</t>
  </si>
  <si>
    <t>K214-TFS-0454</t>
  </si>
  <si>
    <t>K214-TFS-0455</t>
  </si>
  <si>
    <t>K214-TFS-0456</t>
  </si>
  <si>
    <t>K214-TFS-0457</t>
  </si>
  <si>
    <t>K214-TFS-0458</t>
  </si>
  <si>
    <t>K214-TFS-0459</t>
  </si>
  <si>
    <t>K214-TFS-0460</t>
  </si>
  <si>
    <t>K214-TFS-0461</t>
  </si>
  <si>
    <t>K214-TFS-0462</t>
  </si>
  <si>
    <t>K214-TFS-0463</t>
  </si>
  <si>
    <t>K214-TFS-0464</t>
  </si>
  <si>
    <t>K214-TFS-0465</t>
  </si>
  <si>
    <t>K214-TFS-0466</t>
  </si>
  <si>
    <t>K214-TFS-0467</t>
  </si>
  <si>
    <t>K214-TFS-0468</t>
  </si>
  <si>
    <t>K214-TFS-0469</t>
  </si>
  <si>
    <t>K214-TFS-0470</t>
  </si>
  <si>
    <t>K214-TFS-0471</t>
  </si>
  <si>
    <t>K214-TFS-0472</t>
  </si>
  <si>
    <t>K214-TFS-0473</t>
  </si>
  <si>
    <t>K214-TFS-0474</t>
  </si>
  <si>
    <t>K214-TFS-0475</t>
  </si>
  <si>
    <t>K214-TFS-0476</t>
  </si>
  <si>
    <t>K214-TFS-0477</t>
  </si>
  <si>
    <t>K214-TFS-0478</t>
  </si>
  <si>
    <t>K214-TFS-0479</t>
  </si>
  <si>
    <t>K214-TFS-0480</t>
  </si>
  <si>
    <t>K214-TFS-0481</t>
  </si>
  <si>
    <t>K214-TFS-0482</t>
  </si>
  <si>
    <t>K214-TFS-0483</t>
  </si>
  <si>
    <t>K214-TFS-0484</t>
  </si>
  <si>
    <t>K214-TFS-0485</t>
  </si>
  <si>
    <t>K214-TFS-0486</t>
  </si>
  <si>
    <t>K214-TFS-0487</t>
  </si>
  <si>
    <t>K214-TFS-0488</t>
  </si>
  <si>
    <t>K214-TFS-0489</t>
  </si>
  <si>
    <t>K214-TFS-0490</t>
  </si>
  <si>
    <t>K214-TFS-0491</t>
  </si>
  <si>
    <t>K214-TFS-0492</t>
  </si>
  <si>
    <t>K214-TFS-0493</t>
  </si>
  <si>
    <t>K214-TFS-0494</t>
  </si>
  <si>
    <t>K214-TFS-0495</t>
  </si>
  <si>
    <t>K214-TFS-0496</t>
  </si>
  <si>
    <t>K214-TFS-0497</t>
  </si>
  <si>
    <t>K214-TFS-0498</t>
  </si>
  <si>
    <t>K214-TFS-0499</t>
  </si>
  <si>
    <t>K214-TFS-0500</t>
  </si>
  <si>
    <t>K214-TFS-0501</t>
  </si>
  <si>
    <t>K214-TFS-0502</t>
  </si>
  <si>
    <t>K214-TFS-0503</t>
  </si>
  <si>
    <t>K214-TFS-0504</t>
  </si>
  <si>
    <t>K214-TFS-0505</t>
  </si>
  <si>
    <t>K214-TFS-0506</t>
  </si>
  <si>
    <t>K214-TFS-0507</t>
  </si>
  <si>
    <t>K214-TFS-0508</t>
  </si>
  <si>
    <t>K214-TFS-0509</t>
  </si>
  <si>
    <t>K214-TFS-0510</t>
  </si>
  <si>
    <t>K214-TFS-0511</t>
  </si>
  <si>
    <t>K214-TFS-0512</t>
  </si>
  <si>
    <t>K214-TFS-0513</t>
  </si>
  <si>
    <t>K214-TFS-0514</t>
  </si>
  <si>
    <t>K214-TFS-0515</t>
  </si>
  <si>
    <t>K214-TFS-0516</t>
  </si>
  <si>
    <t>K214-TFS-0517</t>
  </si>
  <si>
    <t>K214-TFS-0518</t>
  </si>
  <si>
    <t>K214-TFS-0519</t>
  </si>
  <si>
    <t>K214-TFS-0520</t>
  </si>
  <si>
    <t>K214-TFS-0521</t>
  </si>
  <si>
    <t>K214-TFS-0522</t>
  </si>
  <si>
    <t>K214-TFS-0523</t>
  </si>
  <si>
    <t>K214-TFS-0524</t>
  </si>
  <si>
    <t>K214-TFS-0525</t>
  </si>
  <si>
    <t>K214-TFS-0526</t>
  </si>
  <si>
    <t>K214-TFS-0527</t>
  </si>
  <si>
    <t>K214-TFS-0528</t>
  </si>
  <si>
    <t>K214-TFS-0529</t>
  </si>
  <si>
    <t>K214-TFS-0530</t>
  </si>
  <si>
    <t>K214-TFS-0531</t>
  </si>
  <si>
    <t>K214-TFS-0532</t>
  </si>
  <si>
    <t>K214-TFS-0533</t>
  </si>
  <si>
    <t>K214-TFS-0534</t>
  </si>
  <si>
    <t>K214-TFS-0535</t>
  </si>
  <si>
    <t>K214-TFS-0536</t>
  </si>
  <si>
    <t>K214-TFS-0537</t>
  </si>
  <si>
    <t>K214-TFS-0538</t>
  </si>
  <si>
    <t>K214-TFS-0539</t>
  </si>
  <si>
    <t>K214-TFS-0540</t>
  </si>
  <si>
    <t>K214-TFS-0541</t>
  </si>
  <si>
    <t>K214-TFS-0542</t>
  </si>
  <si>
    <t>K214-TFS-0543</t>
  </si>
  <si>
    <t>K214-TFS-0544</t>
  </si>
  <si>
    <t>K214-TFS-0545</t>
  </si>
  <si>
    <t>K214-TFS-0546</t>
  </si>
  <si>
    <t>K214-TFS-0547</t>
  </si>
  <si>
    <t>K214-TFS-0548</t>
  </si>
  <si>
    <t>K214-TFS-0549</t>
  </si>
  <si>
    <t>K214-TFS-0550</t>
  </si>
  <si>
    <t>K214-TFS-0551</t>
  </si>
  <si>
    <t>K214-TFS-0552</t>
  </si>
  <si>
    <t>K214-TFS-0553</t>
  </si>
  <si>
    <t>K214-TFS-0554</t>
  </si>
  <si>
    <t>K214-TFS-0555</t>
  </si>
  <si>
    <t>K214-TFS-0556</t>
  </si>
  <si>
    <t>K214-TFS-0557</t>
  </si>
  <si>
    <t>K214-TFS-0558</t>
  </si>
  <si>
    <t>K214-TFS-0559</t>
  </si>
  <si>
    <t>K214-TFS-0560</t>
  </si>
  <si>
    <t>K214-TFS-0561</t>
  </si>
  <si>
    <t>K214-TFS-0562</t>
  </si>
  <si>
    <t>K214-TFS-0563</t>
  </si>
  <si>
    <t>K214-TFS-0564</t>
  </si>
  <si>
    <t>K214-TFS-0565</t>
  </si>
  <si>
    <t>K214-TFS-0566</t>
  </si>
  <si>
    <t>K214-TFS-0567</t>
  </si>
  <si>
    <t>K214-TFS-0568</t>
  </si>
  <si>
    <t>K214-TFS-0569</t>
  </si>
  <si>
    <t>K214-TFS-0570</t>
  </si>
  <si>
    <t>K214-TFS-0571</t>
  </si>
  <si>
    <t>K214-TFS-0572</t>
  </si>
  <si>
    <t>K214-TFS-0573</t>
  </si>
  <si>
    <t>K214-TFS-0574</t>
  </si>
  <si>
    <t>K214-TFS-0575</t>
  </si>
  <si>
    <t>K214-TFS-0576</t>
  </si>
  <si>
    <t>K214-TFS-0577</t>
  </si>
  <si>
    <t>K214-TFS-0578</t>
  </si>
  <si>
    <t>K214-TFS-0579</t>
  </si>
  <si>
    <t>K214-TFS-0580</t>
  </si>
  <si>
    <t>K214-TFS-0581</t>
  </si>
  <si>
    <t>K214-TFS-0582</t>
  </si>
  <si>
    <t>K214-TFS-0583</t>
  </si>
  <si>
    <t>K214-TFS-0584</t>
  </si>
  <si>
    <t>K214-TFS-0585</t>
  </si>
  <si>
    <t>K214-TFS-0586</t>
  </si>
  <si>
    <t>K214-TFS-0587</t>
  </si>
  <si>
    <t>K214-TFS-0588</t>
  </si>
  <si>
    <t>K214-TFS-0589</t>
  </si>
  <si>
    <t>K214-TFS-0590</t>
  </si>
  <si>
    <t>K214-TFS-0591</t>
  </si>
  <si>
    <t>K214-TFS-0592</t>
  </si>
  <si>
    <t>K214-TFS-0593</t>
  </si>
  <si>
    <t>K214-TFS-0594</t>
  </si>
  <si>
    <t>K214-TFS-0595</t>
  </si>
  <si>
    <t>K214-TFS-0596</t>
  </si>
  <si>
    <t>K214-TFS-0597</t>
  </si>
  <si>
    <t>K214-TFS-0598</t>
  </si>
  <si>
    <t>K214-TFS-0599</t>
  </si>
  <si>
    <t>K214-TFS-0600</t>
  </si>
  <si>
    <t>K214-TFS-0601</t>
  </si>
  <si>
    <t>K214-TFS-0602</t>
  </si>
  <si>
    <t>K214-TFS-0603</t>
  </si>
  <si>
    <t>K214-TFS-0604</t>
  </si>
  <si>
    <t>K214-TFS-0605</t>
  </si>
  <si>
    <t>K214-TFS-0606</t>
  </si>
  <si>
    <t>K214-TFS-0607</t>
  </si>
  <si>
    <t>K214-TFS-0608</t>
  </si>
  <si>
    <t>K214-TFS-0609</t>
  </si>
  <si>
    <t>K214-TFS-0610</t>
  </si>
  <si>
    <t>K214-TFS-0611</t>
  </si>
  <si>
    <t>K214-TFS-0612</t>
  </si>
  <si>
    <t>K214-TFS-0613</t>
  </si>
  <si>
    <t>K214-TFS-0614</t>
  </si>
  <si>
    <t>K214-TFS-0615</t>
  </si>
  <si>
    <t>K214-TFS-0616</t>
  </si>
  <si>
    <t>K214-TFS-0617</t>
  </si>
  <si>
    <t>K214-TFS-0618</t>
  </si>
  <si>
    <t>K214-TFS-0619</t>
  </si>
  <si>
    <t>K214-TFS-0620</t>
  </si>
  <si>
    <t>K214-TFS-0621</t>
  </si>
  <si>
    <t>K214-TFS-0622</t>
  </si>
  <si>
    <t>K214-TFS-0623</t>
  </si>
  <si>
    <t>K214-TFS-0624</t>
  </si>
  <si>
    <t>K214-TFS-0625</t>
  </si>
  <si>
    <t>K214-TFS-0626</t>
  </si>
  <si>
    <t>K214-TFS-0627</t>
  </si>
  <si>
    <t>K214-TFS-0628</t>
  </si>
  <si>
    <t>K214-TFS-0629</t>
  </si>
  <si>
    <t>K214-TFS-0630</t>
  </si>
  <si>
    <t>K214-TFS-0631</t>
  </si>
  <si>
    <t>K214-TFS-0632</t>
  </si>
  <si>
    <t>K214-TFS-0633</t>
  </si>
  <si>
    <t>K214-TFS-0634</t>
  </si>
  <si>
    <t>K214-TFS-0635</t>
  </si>
  <si>
    <t>K214-TFS-0636</t>
  </si>
  <si>
    <t>K214-TFS-0637</t>
  </si>
  <si>
    <t>K214-TFS-0638</t>
  </si>
  <si>
    <t>K214-TFS-0639</t>
  </si>
  <si>
    <t>K214-TFS-0640</t>
  </si>
  <si>
    <t>K214-TFS-0641</t>
  </si>
  <si>
    <t>K214-TFS-0642</t>
  </si>
  <si>
    <t>K214-TFS-0643</t>
  </si>
  <si>
    <t>K214-TFS-0644</t>
  </si>
  <si>
    <t>K214-TFS-0645</t>
  </si>
  <si>
    <t>K214-TFS-0646</t>
  </si>
  <si>
    <t>K214-TFS-0647</t>
  </si>
  <si>
    <t>K214-TFS-0648</t>
  </si>
  <si>
    <t>K214-TFS-0649</t>
  </si>
  <si>
    <t>K214-TFS-0650</t>
  </si>
  <si>
    <t>K214-TFS-0651</t>
  </si>
  <si>
    <t>K214-TFS-0652</t>
  </si>
  <si>
    <t>K214-TFS-0653</t>
  </si>
  <si>
    <t>K214-TFS-0654</t>
  </si>
  <si>
    <t>K214-TFS-0655</t>
  </si>
  <si>
    <t>K214-TFS-0656</t>
  </si>
  <si>
    <t>K214-TFS-0657</t>
  </si>
  <si>
    <t>K214-TFS-0658</t>
  </si>
  <si>
    <t>K214-TFS-0659</t>
  </si>
  <si>
    <t>K214-TFS-0660</t>
  </si>
  <si>
    <t>K214-TFS-0661</t>
  </si>
  <si>
    <t>K214-TFS-0662</t>
  </si>
  <si>
    <t>K214-TFS-0663</t>
  </si>
  <si>
    <t>K214-TFS-0664</t>
  </si>
  <si>
    <t>K214-TFS-0665</t>
  </si>
  <si>
    <t>K214-TFS-0666</t>
  </si>
  <si>
    <t>K214-TFS-0667</t>
  </si>
  <si>
    <t>K214-TFS-0668</t>
  </si>
  <si>
    <t>K214-TFS-0669</t>
  </si>
  <si>
    <t>K214-TFS-0670</t>
  </si>
  <si>
    <t>K214-TFS-0671</t>
  </si>
  <si>
    <t>K214-TFS-0672</t>
  </si>
  <si>
    <t>K214-TFS-0673</t>
  </si>
  <si>
    <t>K214-TFS-0674</t>
  </si>
  <si>
    <t>K214-TFS-0675</t>
  </si>
  <si>
    <t>K214-TFS-0676</t>
  </si>
  <si>
    <t>K214-TFS-0677</t>
  </si>
  <si>
    <t>K214-TFS-0678</t>
  </si>
  <si>
    <t>K214-TFS-0679</t>
  </si>
  <si>
    <t>K214-TFS-0680</t>
  </si>
  <si>
    <t>K214-TFS-0681</t>
  </si>
  <si>
    <t>K214-TFS-0682</t>
  </si>
  <si>
    <t>K214-TFS-0683</t>
  </si>
  <si>
    <t>K214-TFS-0684</t>
  </si>
  <si>
    <t>K214-TFS-0685</t>
  </si>
  <si>
    <t>K214-TFS-0686</t>
  </si>
  <si>
    <t>K214-TFS-0687</t>
  </si>
  <si>
    <t>K214-TFS-0688</t>
  </si>
  <si>
    <t>K214-TFS-0689</t>
  </si>
  <si>
    <t>K214-TFS-0690</t>
  </si>
  <si>
    <t>K214-TFS-0691</t>
  </si>
  <si>
    <t>K214-TFS-0692</t>
  </si>
  <si>
    <t>K214-TFS-0693</t>
  </si>
  <si>
    <t>K214-TFS-0694</t>
  </si>
  <si>
    <t>K214-TFS-0695</t>
  </si>
  <si>
    <t>K214-TFS-0696</t>
  </si>
  <si>
    <t>K214-TFS-0697</t>
  </si>
  <si>
    <t>K214-TFS-0698</t>
  </si>
  <si>
    <t>K214-TFS-0699</t>
  </si>
  <si>
    <t>K214-TFS-0700</t>
  </si>
  <si>
    <t>K214-TFS-0701</t>
  </si>
  <si>
    <t>K214-TFS-0702</t>
  </si>
  <si>
    <t>K214-TFS-0703</t>
  </si>
  <si>
    <t>K214-TFS-0704</t>
  </si>
  <si>
    <t>K214-TFS-0705</t>
  </si>
  <si>
    <t>K214-TFS-0706</t>
  </si>
  <si>
    <t>K214-TFS-0707</t>
  </si>
  <si>
    <t>K214-TFS-0708</t>
  </si>
  <si>
    <t>K214-TFS-0709</t>
  </si>
  <si>
    <t>K214-TFS-0710</t>
  </si>
  <si>
    <t>K214-TFS-0711</t>
  </si>
  <si>
    <t>K214-TFS-0712</t>
  </si>
  <si>
    <t>K214-TFS-0713</t>
  </si>
  <si>
    <t>K214-TFS-0714</t>
  </si>
  <si>
    <t>K214-TFS-0715</t>
  </si>
  <si>
    <t>K214-TFS-0716</t>
  </si>
  <si>
    <t>K214-TFS-0717</t>
  </si>
  <si>
    <t>K214-TFS-0718</t>
  </si>
  <si>
    <t>K214-TFS-0719</t>
  </si>
  <si>
    <t>K214-TFS-0720</t>
  </si>
  <si>
    <t>K214-TFS-0721</t>
  </si>
  <si>
    <t>K214-TFS-0722</t>
  </si>
  <si>
    <t>K214-TFS-0723</t>
  </si>
  <si>
    <t>K214-TFS-0724</t>
  </si>
  <si>
    <t>K214-TFS-0725</t>
  </si>
  <si>
    <t>K214-TFS-0726</t>
  </si>
  <si>
    <t>K214-TFS-0727</t>
  </si>
  <si>
    <t>K214-TFS-0728</t>
  </si>
  <si>
    <t>K214-TFS-0729</t>
  </si>
  <si>
    <t>K214-TFS-0730</t>
  </si>
  <si>
    <t>K214-TFS-0731</t>
  </si>
  <si>
    <t>K214-TFS-0732</t>
  </si>
  <si>
    <t>K214-TFS-0733</t>
  </si>
  <si>
    <t>K214-TFS-0734</t>
  </si>
  <si>
    <t>K214-TFS-0735</t>
  </si>
  <si>
    <t>K214-TFS-0736</t>
  </si>
  <si>
    <t>K214-TFS-0737</t>
  </si>
  <si>
    <t>K214-TFS-0738</t>
  </si>
  <si>
    <t>K214-TFS-0739</t>
  </si>
  <si>
    <t>K214-TFS-0740</t>
  </si>
  <si>
    <t>K214-TFS-0741</t>
  </si>
  <si>
    <t>K214-TFS-0742</t>
  </si>
  <si>
    <t>K214-TFS-0743</t>
  </si>
  <si>
    <t>K214-TFS-0744</t>
  </si>
  <si>
    <t>K214-TFS-0745</t>
  </si>
  <si>
    <t>K214-TFS-0746</t>
  </si>
  <si>
    <t>K214-TFS-0747</t>
  </si>
  <si>
    <t>K214-TFS-0748</t>
  </si>
  <si>
    <t>K214-TFS-0749</t>
  </si>
  <si>
    <t>K214-TFS-0750</t>
  </si>
  <si>
    <t>K214-TFS-0751</t>
  </si>
  <si>
    <t>K214-TFS-0752</t>
  </si>
  <si>
    <t>K214-TFS-0753</t>
  </si>
  <si>
    <t>K214-TFS-0754</t>
  </si>
  <si>
    <t>K214-TFS-0755</t>
  </si>
  <si>
    <t>K214-TFS-0756</t>
  </si>
  <si>
    <t>K214-TFS-0757</t>
  </si>
  <si>
    <t>K214-TFS-0758</t>
  </si>
  <si>
    <t>K214-TFS-0759</t>
  </si>
  <si>
    <t>K214-TFS-0760</t>
  </si>
  <si>
    <t>K214-TFS-0761</t>
  </si>
  <si>
    <t>K214-TFS-0762</t>
  </si>
  <si>
    <t>K214-TFS-0763</t>
  </si>
  <si>
    <t>K214-TFS-0764</t>
  </si>
  <si>
    <t>K214-TFS-0765</t>
  </si>
  <si>
    <t>K214-TFS-0766</t>
  </si>
  <si>
    <t>K214-TFS-0767</t>
  </si>
  <si>
    <t>K214-TFS-0768</t>
  </si>
  <si>
    <t>K214-TFS-0769</t>
  </si>
  <si>
    <t>K214-TFS-0770</t>
  </si>
  <si>
    <t>K214-TFS-0771</t>
  </si>
  <si>
    <t>K214-TFS-0772</t>
  </si>
  <si>
    <t>K214-TFS-0773</t>
  </si>
  <si>
    <t>K214-TFS-0774</t>
  </si>
  <si>
    <t>K214-TFS-0775</t>
  </si>
  <si>
    <t>K214-TFS-0776</t>
  </si>
  <si>
    <t>K214-TFS-0777</t>
  </si>
  <si>
    <t>K214-TFS-0778</t>
  </si>
  <si>
    <t>K214-TFS-0779</t>
  </si>
  <si>
    <t>K214-TFS-0780</t>
  </si>
  <si>
    <t>K214-TFS-0781</t>
  </si>
  <si>
    <t>K214-TFS-0782</t>
  </si>
  <si>
    <t>K214-TFS-0783</t>
  </si>
  <si>
    <t>K214-TFS-0784</t>
  </si>
  <si>
    <t>K214-TFS-0785</t>
  </si>
  <si>
    <t>K214-TFS-0786</t>
  </si>
  <si>
    <t>K214-TFS-0787</t>
  </si>
  <si>
    <t>K214-TFS-0788</t>
  </si>
  <si>
    <t>K214-TFS-0789</t>
  </si>
  <si>
    <t>K214-TFS-0790</t>
  </si>
  <si>
    <t>K214-TFS-0791</t>
  </si>
  <si>
    <t>K214-TFS-0792</t>
  </si>
  <si>
    <t>K214-TFS-0793</t>
  </si>
  <si>
    <t>K214-TFS-0794</t>
  </si>
  <si>
    <t>K214-TFS-0795</t>
  </si>
  <si>
    <t>K214-TFS-0796</t>
  </si>
  <si>
    <t>K214-TFS-0797</t>
  </si>
  <si>
    <t>K214-TFS-0798</t>
  </si>
  <si>
    <t>K214-TFS-0799</t>
  </si>
  <si>
    <t>K214-TFS-0800</t>
  </si>
  <si>
    <t>K214-TFS-0801</t>
  </si>
  <si>
    <t>K214-TFS-0802</t>
  </si>
  <si>
    <t>K214-TFS-0803</t>
  </si>
  <si>
    <t>K214-TFS-0804</t>
  </si>
  <si>
    <t>K214-TFS-0805</t>
  </si>
  <si>
    <t>K214-TFS-0806</t>
  </si>
  <si>
    <t>K214-TFS-0807</t>
  </si>
  <si>
    <t>K214-TFS-0808</t>
  </si>
  <si>
    <t>K214-TFS-0809</t>
  </si>
  <si>
    <t>K214-TFS-0810</t>
  </si>
  <si>
    <t>K214-TFS-0811</t>
  </si>
  <si>
    <t>K214-TFS-0812</t>
  </si>
  <si>
    <t>K214-TFS-0813</t>
  </si>
  <si>
    <t>K214-TFS-0814</t>
  </si>
  <si>
    <t>K214-TFS-0815</t>
  </si>
  <si>
    <t>K214-TFS-0816</t>
  </si>
  <si>
    <t>K214-TFS-0817</t>
  </si>
  <si>
    <t>K214-TFS-0818</t>
  </si>
  <si>
    <t>K214-TFS-0819</t>
  </si>
  <si>
    <t>K214-TFS-0820</t>
  </si>
  <si>
    <t>K214-TFS-0821</t>
  </si>
  <si>
    <t>K214-TFS-0822</t>
  </si>
  <si>
    <t>K214-TFS-0823</t>
  </si>
  <si>
    <t>K214-TFS-0824</t>
  </si>
  <si>
    <t>K214-TFS-0825</t>
  </si>
  <si>
    <t>K214-TFS-0826</t>
  </si>
  <si>
    <t>K214-TFS-0827</t>
  </si>
  <si>
    <t>K214-TFS-0828</t>
  </si>
  <si>
    <t>K214-TFS-0829</t>
  </si>
  <si>
    <t>K214-TFS-0830</t>
  </si>
  <si>
    <t>K214-TFS-0831</t>
  </si>
  <si>
    <t>K214-TFS-0832</t>
  </si>
  <si>
    <t>K214-TFS-0833</t>
  </si>
  <si>
    <t>K214-TFS-0834</t>
  </si>
  <si>
    <t>K214-TFS-0835</t>
  </si>
  <si>
    <t>K214-TFS-0836</t>
  </si>
  <si>
    <t>K214-TFS-0837</t>
  </si>
  <si>
    <t>K214-TFS-0838</t>
  </si>
  <si>
    <t>K214-TFS-0839</t>
  </si>
  <si>
    <t>K214-TFS-0840</t>
  </si>
  <si>
    <t>K214-TFS-0841</t>
  </si>
  <si>
    <t>K214-TFS-0842</t>
  </si>
  <si>
    <t>K214-TFS-0843</t>
  </si>
  <si>
    <t>K214-TFS-0844</t>
  </si>
  <si>
    <t>K214-TFS-0845</t>
  </si>
  <si>
    <t>K214-TFS-0846</t>
  </si>
  <si>
    <t>K214-TFS-0847</t>
  </si>
  <si>
    <t>K214-TFS-0848</t>
  </si>
  <si>
    <t>K214-TFS-0849</t>
  </si>
  <si>
    <t>K214-TFS-0850</t>
  </si>
  <si>
    <t>K214-TFS-0851</t>
  </si>
  <si>
    <t>K214-TFS-0852</t>
  </si>
  <si>
    <t>K214-TFS-0853</t>
  </si>
  <si>
    <t>K214-TFS-0854</t>
  </si>
  <si>
    <t>K214-TFS-0855</t>
  </si>
  <si>
    <t>K214-TFS-0856</t>
  </si>
  <si>
    <t>K214-TFS-0857</t>
  </si>
  <si>
    <t>K214-TFS-0858</t>
  </si>
  <si>
    <t>K214-TFS-0859</t>
  </si>
  <si>
    <t>K214-TFS-0860</t>
  </si>
  <si>
    <t>K214-TFS-0861</t>
  </si>
  <si>
    <t>K214-TFS-0862</t>
  </si>
  <si>
    <t>K214-TFS-0863</t>
  </si>
  <si>
    <t>K214-TFS-0864</t>
  </si>
  <si>
    <t>K214-TFS-0865</t>
  </si>
  <si>
    <t>K214-TFS-0866</t>
  </si>
  <si>
    <t>K214-TFS-0867</t>
  </si>
  <si>
    <t>K214-TFS-0868</t>
  </si>
  <si>
    <t>K214-TFS-0869</t>
  </si>
  <si>
    <t>K214-TFS-0870</t>
  </si>
  <si>
    <t>K214-TFS-0871</t>
  </si>
  <si>
    <t>K214-TFS-0872</t>
  </si>
  <si>
    <t>K214-TFS-0873</t>
  </si>
  <si>
    <t>K214-TFS-0874</t>
  </si>
  <si>
    <t>K214-TFS-0875</t>
  </si>
  <si>
    <t>K214-TFS-0876</t>
  </si>
  <si>
    <t>K214-TFS-0877</t>
  </si>
  <si>
    <t>K214-TFS-0878</t>
  </si>
  <si>
    <t>K214-TFS-0879</t>
  </si>
  <si>
    <t>K214-TFS-0880</t>
  </si>
  <si>
    <t>K214-TFS-0881</t>
  </si>
  <si>
    <t>K214-TFS-0882</t>
  </si>
  <si>
    <t>K214-TFS-0883</t>
  </si>
  <si>
    <t>K214-TFS-0884</t>
  </si>
  <si>
    <t>K214-TFS-0885</t>
  </si>
  <si>
    <t>K214-TFS-0886</t>
  </si>
  <si>
    <t>K214-TFS-0887</t>
  </si>
  <si>
    <t>K214-TFS-0888</t>
  </si>
  <si>
    <t>K214-TFS-0889</t>
  </si>
  <si>
    <t>K214-TFS-0890</t>
  </si>
  <si>
    <t>K214-TFS-0891</t>
  </si>
  <si>
    <t>K214-TFS-0892</t>
  </si>
  <si>
    <t>K214-TFS-0893</t>
  </si>
  <si>
    <t>K214-TFS-0894</t>
  </si>
  <si>
    <t>K214-TFS-0895</t>
  </si>
  <si>
    <t>K214-TFS-0896</t>
  </si>
  <si>
    <t>K214-TFS-0897</t>
  </si>
  <si>
    <t>K214-TFS-0898</t>
  </si>
  <si>
    <t>K214-TFS-0899</t>
  </si>
  <si>
    <t>K214-TFS-0900</t>
  </si>
  <si>
    <t>K214-TFS-0901</t>
  </si>
  <si>
    <t>K214-TFS-0902</t>
  </si>
  <si>
    <t>K214-TFS-0903</t>
  </si>
  <si>
    <t>K214-TFS-0904</t>
  </si>
  <si>
    <t>K214-TFS-0905</t>
  </si>
  <si>
    <t>K214-TFS-0906</t>
  </si>
  <si>
    <t>K214-TFS-0907</t>
  </si>
  <si>
    <t>K214-TFS-0908</t>
  </si>
  <si>
    <t>K214-TFS-0909</t>
  </si>
  <si>
    <t>K214-TFS-0910</t>
  </si>
  <si>
    <t>K214-TFS-0911</t>
  </si>
  <si>
    <t>K214-TFS-0912</t>
  </si>
  <si>
    <t>K214-TFS-0913</t>
  </si>
  <si>
    <t>K214-TFS-0914</t>
  </si>
  <si>
    <t>K214-TFS-0915</t>
  </si>
  <si>
    <t>K214-TFS-0916</t>
  </si>
  <si>
    <t>K214-TFS-0917</t>
  </si>
  <si>
    <t>K214-TFS-0918</t>
  </si>
  <si>
    <t>K214-TFS-0919</t>
  </si>
  <si>
    <t>K214-TFS-0920</t>
  </si>
  <si>
    <t>K214-TFS-0921</t>
  </si>
  <si>
    <t>K214-TFS-0922</t>
  </si>
  <si>
    <t>K214-TFS-0923</t>
  </si>
  <si>
    <t>K214-TFS-0924</t>
  </si>
  <si>
    <t>K214-TFS-0925</t>
  </si>
  <si>
    <t>K214-TFS-0926</t>
  </si>
  <si>
    <t>K214-TFS-0927</t>
  </si>
  <si>
    <t>K214-TFS-0928</t>
  </si>
  <si>
    <t>K214-TFS-0929</t>
  </si>
  <si>
    <t>K214-TFS-0930</t>
  </si>
  <si>
    <t>K214-TFS-0931</t>
  </si>
  <si>
    <t>K214-TFS-0932</t>
  </si>
  <si>
    <t>K214-TFS-0933</t>
  </si>
  <si>
    <t>K214-TFS-0934</t>
  </si>
  <si>
    <t>K214-TFS-0935</t>
  </si>
  <si>
    <t>K214-TFS-0936</t>
  </si>
  <si>
    <t>K214-TFS-0937</t>
  </si>
  <si>
    <t>K214-TFS-0938</t>
  </si>
  <si>
    <t>K214-TFS-0939</t>
  </si>
  <si>
    <t>K214-TFS-0940</t>
  </si>
  <si>
    <t>K214-TFS-0941</t>
  </si>
  <si>
    <t>K214-TFS-0942</t>
  </si>
  <si>
    <t>K214-TFS-0943</t>
  </si>
  <si>
    <t>K214-TFS-0944</t>
  </si>
  <si>
    <t>K214-TFS-0945</t>
  </si>
  <si>
    <t>K214-TFS-0946</t>
  </si>
  <si>
    <t>K214-TFS-0947</t>
  </si>
  <si>
    <t>K214-TFS-0948</t>
  </si>
  <si>
    <t>K214-TFS-0949</t>
  </si>
  <si>
    <t>K214-TFS-0950</t>
  </si>
  <si>
    <t>K214-TFS-0951</t>
  </si>
  <si>
    <t>K214-TFS-0952</t>
  </si>
  <si>
    <t>K214-TFS-0953</t>
  </si>
  <si>
    <t>K214-TFS-0954</t>
  </si>
  <si>
    <t>K214-TFS-0955</t>
  </si>
  <si>
    <t>K214-TFS-0956</t>
  </si>
  <si>
    <t>K214-TFS-0957</t>
  </si>
  <si>
    <t>K214-TFS-0958</t>
  </si>
  <si>
    <t>K214-TFS-0959</t>
  </si>
  <si>
    <t>K214-TFS-0960</t>
  </si>
  <si>
    <t>K214-TFS-0961</t>
  </si>
  <si>
    <t>K214-TFS-0962</t>
  </si>
  <si>
    <t>K214-TFS-0963</t>
  </si>
  <si>
    <t>K214-TFS-0964</t>
  </si>
  <si>
    <t>K214-TFS-0965</t>
  </si>
  <si>
    <t>K214-TFS-0966</t>
  </si>
  <si>
    <t>K214-TFS-0967</t>
  </si>
  <si>
    <t>K214-TFS-0968</t>
  </si>
  <si>
    <t>K214-TFS-0969</t>
  </si>
  <si>
    <t>K214-TFS-0970</t>
  </si>
  <si>
    <t>K214-TFS-0971</t>
  </si>
  <si>
    <t>K214-TFS-0972</t>
  </si>
  <si>
    <t>K214-TFS-0973</t>
  </si>
  <si>
    <t>K214-TFS-0974</t>
  </si>
  <si>
    <t>K214-TFS-0975</t>
  </si>
  <si>
    <t>K214-TFS-0976</t>
  </si>
  <si>
    <t>K214-TFS-0977</t>
  </si>
  <si>
    <t>K214-TFS-0978</t>
  </si>
  <si>
    <t>K214-TFS-0979</t>
  </si>
  <si>
    <t>K214-TFS-0980</t>
  </si>
  <si>
    <t>K214-TFS-0981</t>
  </si>
  <si>
    <t>K214-TFS-0982</t>
  </si>
  <si>
    <t>K214-TFS-0983</t>
  </si>
  <si>
    <t>K214-TFS-0984</t>
  </si>
  <si>
    <t>K214-TFS-0985</t>
  </si>
  <si>
    <t>K214-TFS-0986</t>
  </si>
  <si>
    <t>K214-TFS-0987</t>
  </si>
  <si>
    <t>K214-TFS-0988</t>
  </si>
  <si>
    <t>K214-TFS-0989</t>
  </si>
  <si>
    <t>K214-TFS-0990</t>
  </si>
  <si>
    <t>K214-TFS-0991</t>
  </si>
  <si>
    <t>K214-TFS-0992</t>
  </si>
  <si>
    <t>K214-TFS-0993</t>
  </si>
  <si>
    <t>K214-TFS-0994</t>
  </si>
  <si>
    <t>K214-TFS-0995</t>
  </si>
  <si>
    <t>K214-TFS-0996</t>
  </si>
  <si>
    <t>K214-TFS-0997</t>
  </si>
  <si>
    <t>K214-TFS-0998</t>
  </si>
  <si>
    <t>K214-TFS-0999</t>
  </si>
  <si>
    <t>K214-TFS-1000</t>
  </si>
  <si>
    <t>K214-TFS-1001</t>
  </si>
  <si>
    <t>K214-TFS-1002</t>
  </si>
  <si>
    <t>K214-TFS-1003</t>
  </si>
  <si>
    <t>K214-TFS-1004</t>
  </si>
  <si>
    <t>K214-TFS-1005</t>
  </si>
  <si>
    <t>K214-TFS-1006</t>
  </si>
  <si>
    <t>K214-TFS-1007</t>
  </si>
  <si>
    <t>K214-TFS-1008</t>
  </si>
  <si>
    <t>K214-TFS-1009</t>
  </si>
  <si>
    <t>K214-TFS-1010</t>
  </si>
  <si>
    <t>K214-TFS-1011</t>
  </si>
  <si>
    <t>K214-TFS-1012</t>
  </si>
  <si>
    <t>K214-TFS-1013</t>
  </si>
  <si>
    <t>K214-TFS-1014</t>
  </si>
  <si>
    <t>K214-TFS-1015</t>
  </si>
  <si>
    <t>K214-TFS-1016</t>
  </si>
  <si>
    <t>K214-TFS-1017</t>
  </si>
  <si>
    <t>K214-TFS-1018</t>
  </si>
  <si>
    <t>K214-TFS-1019</t>
  </si>
  <si>
    <t>K214-TFS-1020</t>
  </si>
  <si>
    <t>K214-TFS-1021</t>
  </si>
  <si>
    <t>K214-TFS-1022</t>
  </si>
  <si>
    <t>K214-TFS-1023</t>
  </si>
  <si>
    <t>K214-TFS-1024</t>
  </si>
  <si>
    <t>K214-TFS-1025</t>
  </si>
  <si>
    <t>K214-TFS-1026</t>
  </si>
  <si>
    <t>K214-TFS-1027</t>
  </si>
  <si>
    <t>K214-TFS-1028</t>
  </si>
  <si>
    <t>K214-TFS-1029</t>
  </si>
  <si>
    <t>K214-TFS-1030</t>
  </si>
  <si>
    <t>K214-TFS-1031</t>
  </si>
  <si>
    <t>K214-TFS-1032</t>
  </si>
  <si>
    <t>K214-TFS-1033</t>
  </si>
  <si>
    <t>K214-TFS-1034</t>
  </si>
  <si>
    <t>K214-TFS-1035</t>
  </si>
  <si>
    <t>K214-TFS-1036</t>
  </si>
  <si>
    <t>K214-TFS-1037</t>
  </si>
  <si>
    <t>K214-TFS-1038</t>
  </si>
  <si>
    <t>K214-TFS-1039</t>
  </si>
  <si>
    <t>K214-TFS-1040</t>
  </si>
  <si>
    <t>K214-TFS-1041</t>
  </si>
  <si>
    <t>K214-TFS-1042</t>
  </si>
  <si>
    <t>K214-TFS-1043</t>
  </si>
  <si>
    <t>K214-TFS-1044</t>
  </si>
  <si>
    <t>K214-TFS-1045</t>
  </si>
  <si>
    <t>K214-TFS-1046</t>
  </si>
  <si>
    <t>K214-TFS-1047</t>
  </si>
  <si>
    <t>K214-TFS-1048</t>
  </si>
  <si>
    <t>K214-TFS-1049</t>
  </si>
  <si>
    <t>K214-TFS-1050</t>
  </si>
  <si>
    <t>K214-TFS-1051</t>
  </si>
  <si>
    <t>K214-TFS-1052</t>
  </si>
  <si>
    <t>K214-TFS-1053</t>
  </si>
  <si>
    <t>K214-TFS-1054</t>
  </si>
  <si>
    <t>Description SETTING</t>
  </si>
  <si>
    <t>K214-TFS-1056</t>
  </si>
  <si>
    <t>K214-TFS-1059</t>
  </si>
  <si>
    <t>K214-TFS-1060</t>
  </si>
  <si>
    <t>K214-TFS-1061</t>
  </si>
  <si>
    <t>K214-TFS-1062</t>
  </si>
  <si>
    <t>K214-TFS-1063</t>
  </si>
  <si>
    <t>K214-TFS-1064</t>
  </si>
  <si>
    <t>K214-TFS-1067</t>
  </si>
  <si>
    <t>K214-TFS-1065</t>
  </si>
  <si>
    <t>K214-TFS-1066</t>
  </si>
  <si>
    <t>K214-TFS-1068</t>
  </si>
  <si>
    <t>K214-TFS-1069</t>
  </si>
  <si>
    <t>K214-TFS-1070</t>
  </si>
  <si>
    <t>K214-TFS-1071</t>
  </si>
  <si>
    <t>K214-TFS-1072</t>
  </si>
  <si>
    <t>K214-TFS-1073</t>
  </si>
  <si>
    <t>K214-TFS-1075</t>
  </si>
  <si>
    <t>K214-TFS-1076</t>
  </si>
  <si>
    <t>K214-TFS-1077</t>
  </si>
  <si>
    <t>K214-TFS-1078</t>
  </si>
  <si>
    <t>K214-TFS-1079</t>
  </si>
  <si>
    <t>K214-TFS-1080</t>
  </si>
  <si>
    <t>K214-TFS-1081</t>
  </si>
  <si>
    <t>Assembly of Ship Loose Pipe for Module TA101</t>
  </si>
  <si>
    <t>Assembly of Ship Loose Pipe for Module TA105</t>
  </si>
  <si>
    <t>Assembly of Ship Loose Pipe for Module TA106</t>
  </si>
  <si>
    <t>Assembly of Ship Loose Pipe for Module TA107</t>
  </si>
  <si>
    <t>Assembly of Ship Loose Pipe for Module TA108</t>
  </si>
  <si>
    <t>Assembly of Ship Loose Pipe for Module TF101</t>
  </si>
  <si>
    <t>Assembly of Ship Loose Pipe for Module TF102</t>
  </si>
  <si>
    <t>Assembly of Ship Loose Pipe for Module TH101</t>
  </si>
  <si>
    <t>Assembly of Ship Loose Pipe for Module TK102</t>
  </si>
  <si>
    <t>Assembly of Ship Loose Pipe for Module TA104</t>
  </si>
  <si>
    <t>Assembly of Ship Loose Pipe for Module TA109</t>
  </si>
  <si>
    <t>K214-TFS-0354</t>
  </si>
  <si>
    <t>K214-TFS-0355</t>
  </si>
  <si>
    <t>K214-TFS-0356</t>
  </si>
  <si>
    <t>K214-TFS-0357</t>
  </si>
  <si>
    <t>K214-TFS-0358</t>
  </si>
  <si>
    <t>K214-TFS-0359</t>
  </si>
  <si>
    <t>K214-TFS-0360</t>
  </si>
  <si>
    <t>K214-TFS-0361</t>
  </si>
  <si>
    <t>K214-TFS-0362</t>
  </si>
  <si>
    <t>K214-TFS-1082</t>
  </si>
  <si>
    <t>K214-TFS-1083</t>
  </si>
  <si>
    <t>K214-TFS-1084</t>
  </si>
  <si>
    <t>K214-TFS-1085</t>
  </si>
  <si>
    <t>K214-TFS-1086</t>
  </si>
  <si>
    <t>K214-TFS-1087</t>
  </si>
  <si>
    <t>K214-TFS-1088</t>
  </si>
  <si>
    <t>K214-TFS-1089</t>
  </si>
  <si>
    <t>Drawing</t>
  </si>
  <si>
    <t>CWP</t>
  </si>
  <si>
    <t>N.A.</t>
  </si>
  <si>
    <t>Contract</t>
  </si>
  <si>
    <t>Indirects</t>
  </si>
  <si>
    <t>TFS00T101MM</t>
  </si>
  <si>
    <t>TFS00T102MM</t>
  </si>
  <si>
    <t>TFS00T103MM</t>
  </si>
  <si>
    <t>TFS00T104MM</t>
  </si>
  <si>
    <t>TFS00T105MM</t>
  </si>
  <si>
    <t>TFS00T106MM</t>
  </si>
  <si>
    <t>TFS00T107MM</t>
  </si>
  <si>
    <t>TFS00T108MM</t>
  </si>
  <si>
    <t>TFS00T109MM</t>
  </si>
  <si>
    <t>TFS00T110MM</t>
  </si>
  <si>
    <t>TFS00E141MM</t>
  </si>
  <si>
    <t>TFS00E142MM</t>
  </si>
  <si>
    <t>TFS00E143MM</t>
  </si>
  <si>
    <t>TFS00K101MM</t>
  </si>
  <si>
    <t>TFS00K102MM</t>
  </si>
  <si>
    <t>TFS00K103MM</t>
  </si>
  <si>
    <t>TFS00K104MM</t>
  </si>
  <si>
    <t>TFS00K105MM</t>
  </si>
  <si>
    <t>TFS00K106MM</t>
  </si>
  <si>
    <t>TFS00K107MM</t>
  </si>
  <si>
    <t>TFS00K108MM</t>
  </si>
  <si>
    <t>TFS00K109MM</t>
  </si>
  <si>
    <t>TFS00K110MM</t>
  </si>
  <si>
    <t>TFS00V101MM</t>
  </si>
  <si>
    <t>TFS00V102MM</t>
  </si>
  <si>
    <t>TFS00V103MM</t>
  </si>
  <si>
    <t>TFS00W101MM</t>
  </si>
  <si>
    <t>TFS00W102MM</t>
  </si>
  <si>
    <t>TFS00W103MM</t>
  </si>
  <si>
    <t>TFS00W104MM</t>
  </si>
  <si>
    <t>TFS00W105MM</t>
  </si>
  <si>
    <t>TFS00W106MM</t>
  </si>
  <si>
    <t>TFS00S101MM</t>
  </si>
  <si>
    <t>TFS00D101MM</t>
  </si>
  <si>
    <t>TFS00D102MM</t>
  </si>
  <si>
    <t>TFS00D103MM</t>
  </si>
  <si>
    <t>TFS00D104MM</t>
  </si>
  <si>
    <t>TFS00D105MM</t>
  </si>
  <si>
    <t>TFS00D106MM</t>
  </si>
  <si>
    <t>TFS00D107MM</t>
  </si>
  <si>
    <t>TFS00D108MM</t>
  </si>
  <si>
    <t>TFS00D109MM</t>
  </si>
  <si>
    <t>TFS00D110MM</t>
  </si>
  <si>
    <t>TFS00D113MM</t>
  </si>
  <si>
    <t>TFS00D114MM</t>
  </si>
  <si>
    <t>TFS00D115MM</t>
  </si>
  <si>
    <t>TFS00D116MM</t>
  </si>
  <si>
    <t>TFS00D117MM</t>
  </si>
  <si>
    <t>TFS00D118MM</t>
  </si>
  <si>
    <t>TFS00D119MM</t>
  </si>
  <si>
    <t>TFS00D120MM</t>
  </si>
  <si>
    <t>TFS00D121MM</t>
  </si>
  <si>
    <t>TFS00D122MM</t>
  </si>
  <si>
    <t>TFS00E103MM</t>
  </si>
  <si>
    <t>TFS00E104MM</t>
  </si>
  <si>
    <t>TFS00E105MM</t>
  </si>
  <si>
    <t>TFS00E106MM</t>
  </si>
  <si>
    <t>TFS00E107MM</t>
  </si>
  <si>
    <t>TFS00E108MM</t>
  </si>
  <si>
    <t>TFS00E109MM</t>
  </si>
  <si>
    <t>TFS00E110MM</t>
  </si>
  <si>
    <t>TFS00E111MM</t>
  </si>
  <si>
    <t>TFS00E112MM</t>
  </si>
  <si>
    <t>TFS00E113MM</t>
  </si>
  <si>
    <t>TFS00E114MM</t>
  </si>
  <si>
    <t>TFS00E115MM</t>
  </si>
  <si>
    <t>TFS00E116MM</t>
  </si>
  <si>
    <t>TFS00E117MM</t>
  </si>
  <si>
    <t>TFS00E118MM</t>
  </si>
  <si>
    <t>TFS00E119MM</t>
  </si>
  <si>
    <t>TFS00E120MM</t>
  </si>
  <si>
    <t>TFS00E123MM</t>
  </si>
  <si>
    <t>TFS00E126MM</t>
  </si>
  <si>
    <t>TFS00E128MM</t>
  </si>
  <si>
    <t>TFS00E129MM</t>
  </si>
  <si>
    <t>TFS00E130MM</t>
  </si>
  <si>
    <t>TFS00E131MM</t>
  </si>
  <si>
    <t>TFS00E132MM</t>
  </si>
  <si>
    <t>TFS00E133MM</t>
  </si>
  <si>
    <t>TFS00E134MM</t>
  </si>
  <si>
    <t>TFS00E136MM</t>
  </si>
  <si>
    <t>TFS00E137MM</t>
  </si>
  <si>
    <t>TFS00E138MM</t>
  </si>
  <si>
    <t>TFS00E139MM</t>
  </si>
  <si>
    <t>TFS00E140MM</t>
  </si>
  <si>
    <t>TFS00E144MM</t>
  </si>
  <si>
    <t>TFS00E145MM</t>
  </si>
  <si>
    <t>TFS00F101MM</t>
  </si>
  <si>
    <t>TFS00F102MM</t>
  </si>
  <si>
    <t>TFS00G101MM</t>
  </si>
  <si>
    <t>TFS00H101MM</t>
  </si>
  <si>
    <t>TFS00I101MM</t>
  </si>
  <si>
    <t>TFS00I102MM</t>
  </si>
  <si>
    <t>TFS00I103MM</t>
  </si>
  <si>
    <t>TFS00I104MM</t>
  </si>
  <si>
    <t>TFS00I105MM</t>
  </si>
  <si>
    <t>TFS00I106MM</t>
  </si>
  <si>
    <t>TFS00I107MM</t>
  </si>
  <si>
    <t>TFS00I108MM</t>
  </si>
  <si>
    <t>TFS00I109MM</t>
  </si>
  <si>
    <t>TFS00I110MM</t>
  </si>
  <si>
    <t>TFS00I111MM</t>
  </si>
  <si>
    <t>TFS00J101MM</t>
  </si>
  <si>
    <t>TFS00A105MMCS</t>
  </si>
  <si>
    <t>TFS00A106MMCS</t>
  </si>
  <si>
    <t>TFS00A107MMCS</t>
  </si>
  <si>
    <t>TFS00A108MMCS</t>
  </si>
  <si>
    <t>TFS00A109MMCS</t>
  </si>
  <si>
    <t>TFS00A110MMCS</t>
  </si>
  <si>
    <t>TFS00A111MMCS</t>
  </si>
  <si>
    <t>TFS00A112MMCS</t>
  </si>
  <si>
    <t>TFS00A101MMCS</t>
  </si>
  <si>
    <t>TFS00A102MMCS</t>
  </si>
  <si>
    <t>TFS00A103MMCS</t>
  </si>
  <si>
    <t>TFS00B101MMCS</t>
  </si>
  <si>
    <t>TFS00B102MMCS</t>
  </si>
  <si>
    <t>TFS00B103MMCS</t>
  </si>
  <si>
    <t>TFS00B104MMCS</t>
  </si>
  <si>
    <t>TFS00B105MMCS</t>
  </si>
  <si>
    <t>TFS00B106MMCS</t>
  </si>
  <si>
    <t>TFS00B107MMCS</t>
  </si>
  <si>
    <t>TFS00B108MMCS</t>
  </si>
  <si>
    <t>TFS00B109MMCS</t>
  </si>
  <si>
    <t>TFS00T101MMCS</t>
  </si>
  <si>
    <t>TFS00T102MMCS</t>
  </si>
  <si>
    <t>TFS00T103MMCS</t>
  </si>
  <si>
    <t>TFS00T104MMCS</t>
  </si>
  <si>
    <t>TFS00T105MMCS</t>
  </si>
  <si>
    <t>TFS00T106MMCS</t>
  </si>
  <si>
    <t>TFS00T107MMCS</t>
  </si>
  <si>
    <t>TFS00T108MMCS</t>
  </si>
  <si>
    <t>TFS00T109MMCS</t>
  </si>
  <si>
    <t>TFS00T110MMCS</t>
  </si>
  <si>
    <t>TFS00E141MMCS</t>
  </si>
  <si>
    <t>TFS00E142MMCS</t>
  </si>
  <si>
    <t>TFS00E143MMCS</t>
  </si>
  <si>
    <t>TFS00K101MMCS</t>
  </si>
  <si>
    <t>TFS00K102MMCS</t>
  </si>
  <si>
    <t>TFS00K103MMCS</t>
  </si>
  <si>
    <t>TFS00K104MMCS</t>
  </si>
  <si>
    <t>TFS00K105MMCS</t>
  </si>
  <si>
    <t>TFS00K106MMCS</t>
  </si>
  <si>
    <t>TFS00K107MMCS</t>
  </si>
  <si>
    <t>TFS00K108MMCS</t>
  </si>
  <si>
    <t>TFS00K109MMCS</t>
  </si>
  <si>
    <t>TFS00K110MMCS</t>
  </si>
  <si>
    <t>TFS00V101MMCS</t>
  </si>
  <si>
    <t>TFS00V102MMCS</t>
  </si>
  <si>
    <t>TFS00V103MMCS</t>
  </si>
  <si>
    <t>TFS00W101MMCS</t>
  </si>
  <si>
    <t>TFS00W102MMCS</t>
  </si>
  <si>
    <t>TFS00W103MMCS</t>
  </si>
  <si>
    <t>TFS00W104MMCS</t>
  </si>
  <si>
    <t>TFS00W105MMCS</t>
  </si>
  <si>
    <t>TFS00W106MMCS</t>
  </si>
  <si>
    <t>TFS00S101MMCS</t>
  </si>
  <si>
    <t>TFS00D101MMCS</t>
  </si>
  <si>
    <t>TFS00D102MMCS</t>
  </si>
  <si>
    <t>TFS00D103MMCS</t>
  </si>
  <si>
    <t>TFS00D104MMCS</t>
  </si>
  <si>
    <t>TFS00D105MMCS</t>
  </si>
  <si>
    <t>TFS00D106MMCS</t>
  </si>
  <si>
    <t>TFS00D107MMCS</t>
  </si>
  <si>
    <t>TFS00D108MMCS</t>
  </si>
  <si>
    <t>TFS00D109MMCS</t>
  </si>
  <si>
    <t>TFS00D110MMCS</t>
  </si>
  <si>
    <t>TFS00D114MMCS</t>
  </si>
  <si>
    <t>TFS00D115MMCS</t>
  </si>
  <si>
    <t>TFS00D116MMCS</t>
  </si>
  <si>
    <t>TFS00D117MMCS</t>
  </si>
  <si>
    <t>TFS00D119MMCS</t>
  </si>
  <si>
    <t>TFS00D120MMCS</t>
  </si>
  <si>
    <t>TFS00D121MMCS</t>
  </si>
  <si>
    <t>TFS00D122MMCS</t>
  </si>
  <si>
    <t>TFS00E103MMCS</t>
  </si>
  <si>
    <t>TFS00E104MMCS</t>
  </si>
  <si>
    <t>TFS00E105MMCS</t>
  </si>
  <si>
    <t>TFS00E106MMCS</t>
  </si>
  <si>
    <t>TFS00E107MMCS</t>
  </si>
  <si>
    <t>TFS00E108MMCS</t>
  </si>
  <si>
    <t>TFS00E109MMCS</t>
  </si>
  <si>
    <t>TFS00E110MMCS</t>
  </si>
  <si>
    <t>TFS00E111MMCS</t>
  </si>
  <si>
    <t>TFS00E112MMCS</t>
  </si>
  <si>
    <t>TFS00E113MMCS</t>
  </si>
  <si>
    <t>TFS00E114MMCS</t>
  </si>
  <si>
    <t>TFS00E115MMCS</t>
  </si>
  <si>
    <t>TFS00E116MMCS</t>
  </si>
  <si>
    <t>TFS00E117MMCS</t>
  </si>
  <si>
    <t>TFS00E118MMCS</t>
  </si>
  <si>
    <t>TFS00E119MMCS</t>
  </si>
  <si>
    <t>TFS00E120MMCS</t>
  </si>
  <si>
    <t>TFS00E126MMCS</t>
  </si>
  <si>
    <t>TFS00E128MMCS</t>
  </si>
  <si>
    <t>TFS00E129MMCS</t>
  </si>
  <si>
    <t>TFS00E130MMCS</t>
  </si>
  <si>
    <t>TFS00E131MMCS</t>
  </si>
  <si>
    <t>TFS00E132MMCS</t>
  </si>
  <si>
    <t>TFS00E133MMCS</t>
  </si>
  <si>
    <t>TFS00E134MMCS</t>
  </si>
  <si>
    <t>TFS00E137MMCS</t>
  </si>
  <si>
    <t>TFS00E138MMCS</t>
  </si>
  <si>
    <t>TFS00E139MMCS</t>
  </si>
  <si>
    <t>TFS00E140MMCS</t>
  </si>
  <si>
    <t>TFS00E144MMCS</t>
  </si>
  <si>
    <t>TFS00E145MMCS</t>
  </si>
  <si>
    <t>TFS00F101MMCS</t>
  </si>
  <si>
    <t>TFS00F102MMCS</t>
  </si>
  <si>
    <t>TFS00G101MMCS</t>
  </si>
  <si>
    <t>TFS00H101MMCS</t>
  </si>
  <si>
    <t>TFS00I101MMCS</t>
  </si>
  <si>
    <t>TFS00I102MMCS</t>
  </si>
  <si>
    <t>TFS00I103MMCS</t>
  </si>
  <si>
    <t>TFS00I104MMCS</t>
  </si>
  <si>
    <t>TFS00I105MMCS</t>
  </si>
  <si>
    <t>TFS00I106MMCS</t>
  </si>
  <si>
    <t>TFS00I109MMCS</t>
  </si>
  <si>
    <t>TFS00I110MMCS</t>
  </si>
  <si>
    <t>TFS00I111MMCS</t>
  </si>
  <si>
    <t>TFS00J101MMCS</t>
  </si>
  <si>
    <t>TFS00E047MMCS</t>
  </si>
  <si>
    <t>SUMMIT WP#</t>
  </si>
  <si>
    <t>A-LVL STEEL INSTALLATION ON TA105</t>
  </si>
  <si>
    <t>A-LVL STEEL INSTALLATION ON TA106</t>
  </si>
  <si>
    <t>A-LVL STEEL INSTALLATION ON TA107</t>
  </si>
  <si>
    <t>A-LVL STEEL INSTALLATION ON TA108</t>
  </si>
  <si>
    <t>A-LVL STEEL INSTALLATION ON TA109</t>
  </si>
  <si>
    <t>A-LVL STEEL INSTALLATION ON TA110</t>
  </si>
  <si>
    <t>A-LVL STEEL INSTALLATION ON TA111</t>
  </si>
  <si>
    <t>A-LVL STEEL INSTALLATION ON TA112</t>
  </si>
  <si>
    <t>A-LVL STEEL INSTALLATION ON TA101</t>
  </si>
  <si>
    <t>A-LVL STEEL INSTALLATION ON TA102</t>
  </si>
  <si>
    <t>A-LVL STEEL INSTALLATION ON TA103</t>
  </si>
  <si>
    <t>A-LVL STEEL INSTALLATION ON TB101</t>
  </si>
  <si>
    <t>A-LVL STEEL INSTALLATION ON TB102</t>
  </si>
  <si>
    <t>A-LVL STEEL INSTALLATION ON TB103</t>
  </si>
  <si>
    <t>A-LVL STEEL INSTALLATION ON TB104</t>
  </si>
  <si>
    <t>A-LVL STEEL INSTALLATION ON TB105</t>
  </si>
  <si>
    <t>A-LVL STEEL INSTALLATION ON TB106</t>
  </si>
  <si>
    <t>A-LVL STEEL INSTALLATION ON TB107</t>
  </si>
  <si>
    <t>A-LVL STEEL INSTALLATION ON TB108</t>
  </si>
  <si>
    <t>A-LVL STEEL INSTALLATION ON TB109</t>
  </si>
  <si>
    <t>A-LVL STEEL INSTALLATION ON TT101</t>
  </si>
  <si>
    <t>A-LVL STEEL INSTALLATION ON TT102</t>
  </si>
  <si>
    <t>A-LVL STEEL INSTALLATION ON TT103</t>
  </si>
  <si>
    <t>A-LVL STEEL INSTALLATION ON TT104</t>
  </si>
  <si>
    <t>A-LVL STEEL INSTALLATION ON TT105</t>
  </si>
  <si>
    <t>A-LVL STEEL INSTALLATION ON TT106</t>
  </si>
  <si>
    <t>A-LVL STEEL INSTALLATION ON TT107</t>
  </si>
  <si>
    <t>A-LVL STEEL INSTALLATION ON TT108</t>
  </si>
  <si>
    <t>A-LVL STEEL INSTALLATION ON TT109</t>
  </si>
  <si>
    <t>A-LVL STEEL INSTALLATION ON TT110</t>
  </si>
  <si>
    <t>MS STEEL ON TE142</t>
  </si>
  <si>
    <t>MS STEEL ON TE143</t>
  </si>
  <si>
    <t>A-LVL STEEL INSTALLATION ON TK101</t>
  </si>
  <si>
    <t>A-LVL STEEL INSTALLATION ON TK102</t>
  </si>
  <si>
    <t>A-LVL STEEL INSTALLATION ON TK103</t>
  </si>
  <si>
    <t>A-LVL STEEL INSTALLATION ON TK104</t>
  </si>
  <si>
    <t>A-LVL STEEL INSTALLATION ON TK105</t>
  </si>
  <si>
    <t>A-LVL STEEL INSTALLATION ON TK106</t>
  </si>
  <si>
    <t>A-LVL STEEL INSTALLATION ON TK107</t>
  </si>
  <si>
    <t>A-LVL STEEL INSTALLATION ON TK108</t>
  </si>
  <si>
    <t>A-LVL STEEL INSTALLATION ON TK109</t>
  </si>
  <si>
    <t>A-LVL STEEL INSTALLATION ON TK110</t>
  </si>
  <si>
    <t>A-LVL STEEL INSTALLATION ON TV101</t>
  </si>
  <si>
    <t>A-LVL STEEL INSTALLATION ON TV102</t>
  </si>
  <si>
    <t>A-LVL STEEL INSTALLATION ON TV103</t>
  </si>
  <si>
    <t>A-LVL STEEL INSTALLATION ON TW101</t>
  </si>
  <si>
    <t>A-LVL STEEL INSTALLATION ON TW102</t>
  </si>
  <si>
    <t>A-LVL STEEL INSTALLATION ON TW103</t>
  </si>
  <si>
    <t>A-LVL STEEL INSTALLATION ON TW104</t>
  </si>
  <si>
    <t>A-LVL STEEL INSTALLATION ON TW105</t>
  </si>
  <si>
    <t>A-LVL STEEL INSTALLATION ON TW106</t>
  </si>
  <si>
    <t>A-LVL STEEL INSTALLATION ON TS101</t>
  </si>
  <si>
    <t>MS STEEL ON TD102</t>
  </si>
  <si>
    <t>MS STEEL ON TD104</t>
  </si>
  <si>
    <t>MS STEEL ON TD105</t>
  </si>
  <si>
    <t>MS STEEL ON TD106</t>
  </si>
  <si>
    <t>MS STEEL ON TD108</t>
  </si>
  <si>
    <t>MS STEEL ON TD109</t>
  </si>
  <si>
    <t>MS STEEL ON TD110</t>
  </si>
  <si>
    <t>MS STEEL ON TD113</t>
  </si>
  <si>
    <t>MS STEEL ON TD114</t>
  </si>
  <si>
    <t>MS STEEL ON TD115</t>
  </si>
  <si>
    <t>MS STEEL ON TD116</t>
  </si>
  <si>
    <t>MS STEEL ON TD117</t>
  </si>
  <si>
    <t>MS STEEL ON TD118</t>
  </si>
  <si>
    <t>MS STEEL ON TD119</t>
  </si>
  <si>
    <t>MS STEEL ON TD120</t>
  </si>
  <si>
    <t>MS STEEL ON TD121</t>
  </si>
  <si>
    <t>MS STEEL ON TD122</t>
  </si>
  <si>
    <t>MS STEEL ON TE103</t>
  </si>
  <si>
    <t>MS STEEL ON TE104</t>
  </si>
  <si>
    <t>MS STEEL ON TE105</t>
  </si>
  <si>
    <t>MS STEEL ON TE106</t>
  </si>
  <si>
    <t>MS STEEL ON TE107</t>
  </si>
  <si>
    <t>MS STEEL ON TE108</t>
  </si>
  <si>
    <t>MS STEEL ON TE109</t>
  </si>
  <si>
    <t>MS STEEL ON TE110</t>
  </si>
  <si>
    <t>MS STEEL ON TE111</t>
  </si>
  <si>
    <t>MS STEEL ON TE112</t>
  </si>
  <si>
    <t>MS STEEL ON TE113</t>
  </si>
  <si>
    <t>MS STEEL ON TE114</t>
  </si>
  <si>
    <t>MS STEEL ON TE115</t>
  </si>
  <si>
    <t>MS STEEL ON TE116</t>
  </si>
  <si>
    <t>MS STEEL ON TE117</t>
  </si>
  <si>
    <t>MS STEEL ON TE118</t>
  </si>
  <si>
    <t>MS STEEL ON TE119</t>
  </si>
  <si>
    <t>MS STEEL ON TE120</t>
  </si>
  <si>
    <t>MS STEEL ON TE123</t>
  </si>
  <si>
    <t>MS STEEL ON TE126</t>
  </si>
  <si>
    <t>MS STEEL ON TE128</t>
  </si>
  <si>
    <t>MS STEEL ON TE129</t>
  </si>
  <si>
    <t>MS STEEL ON TE130</t>
  </si>
  <si>
    <t>MS STEEL ON TE131</t>
  </si>
  <si>
    <t>MS STEEL ON TE132</t>
  </si>
  <si>
    <t>MS STEEL ON TE133</t>
  </si>
  <si>
    <t>MS STEEL ON TE134</t>
  </si>
  <si>
    <t>MS STEEL ON TE136</t>
  </si>
  <si>
    <t>MS STEEL ON TE137</t>
  </si>
  <si>
    <t>MS STEEL ON TE138</t>
  </si>
  <si>
    <t>MS STEEL ON TE139</t>
  </si>
  <si>
    <t>MS STEEL ON TE140</t>
  </si>
  <si>
    <t>MS STEEL ON TE144</t>
  </si>
  <si>
    <t>MS STEEL ON TE145</t>
  </si>
  <si>
    <t>A-LVL STEEL INSTALLATION ON TF101</t>
  </si>
  <si>
    <t>A-LVL STEEL INSTALLATION ON TF102</t>
  </si>
  <si>
    <t>A-LVL STEEL INSTALLATION ON TH101</t>
  </si>
  <si>
    <t>MS STEEL ON TI101</t>
  </si>
  <si>
    <t>MS STEEL ON TI102</t>
  </si>
  <si>
    <t>MS STEEL ON TI103</t>
  </si>
  <si>
    <t>MS STEEL ON TI104</t>
  </si>
  <si>
    <t>MS STEEL ON TI105</t>
  </si>
  <si>
    <t>MS STEEL ON TI106</t>
  </si>
  <si>
    <t>MS STEEL ON TI107</t>
  </si>
  <si>
    <t>MS STEEL ON TI108</t>
  </si>
  <si>
    <t>MS STEEL ON TI109</t>
  </si>
  <si>
    <t>MS STEEL ON TI110</t>
  </si>
  <si>
    <t>MS STEEL ON TI111</t>
  </si>
  <si>
    <t>MS STEEL ON TJ101</t>
  </si>
  <si>
    <t>A-LVL STEEL INSTALLATION ON TA104</t>
  </si>
  <si>
    <t>TFS00E127MM</t>
  </si>
  <si>
    <t>TFS00L101MM</t>
  </si>
  <si>
    <t>TFS00L102MM</t>
  </si>
  <si>
    <t>INSTALLATION OF SRU-S01</t>
  </si>
  <si>
    <t>INSTALLATION OF SRU-V02</t>
  </si>
  <si>
    <t>INSTALLATION OF SRU-V03</t>
  </si>
  <si>
    <t>INSTALLATION OF SRU-V04</t>
  </si>
  <si>
    <t>INSTALLATION OF SRU-V05</t>
  </si>
  <si>
    <t>INSTALLATION OF MODULE TW101</t>
  </si>
  <si>
    <t>INSTALLATION OF MODULE TW102</t>
  </si>
  <si>
    <t>INSTALLATION OF MODULE TW103</t>
  </si>
  <si>
    <t>INSTALLATION OF MODULE TK101</t>
  </si>
  <si>
    <t>INSTALLATION OF MODULE TK103</t>
  </si>
  <si>
    <t>INSTALLATION OF MODULE TK106</t>
  </si>
  <si>
    <t>INSTALLATION OF MODULE TK105</t>
  </si>
  <si>
    <t>INSTALLATION OF MODULE TK107</t>
  </si>
  <si>
    <t>INSTALLATION OF MODULE TK109</t>
  </si>
  <si>
    <t>INSTALLATION OF MODULE TD114</t>
  </si>
  <si>
    <t>INSTALLATION OF MODULE TD115</t>
  </si>
  <si>
    <t>INSTALLATION OF MODULE TD121</t>
  </si>
  <si>
    <t>INSTALLATION OF MODULE TD116</t>
  </si>
  <si>
    <t>INSTALLATION OF MODULE TD117</t>
  </si>
  <si>
    <t>INSTALLATION OF MODULE TD122</t>
  </si>
  <si>
    <t>INSTALLATION OF MODULE TW106</t>
  </si>
  <si>
    <t>INSTALLATION OF MODULE TV101</t>
  </si>
  <si>
    <t>INSTALLATION OF MODULE TV102</t>
  </si>
  <si>
    <t>INSTALLATION OF MODULE TD109</t>
  </si>
  <si>
    <t>INSTALLATION OF MODULE TV103</t>
  </si>
  <si>
    <t>INSTALLATION OF MODULE TD110</t>
  </si>
  <si>
    <t>INSTALLATION OF MODULE TD119</t>
  </si>
  <si>
    <t>INSTALLATION OF MODULE TK110</t>
  </si>
  <si>
    <t>INSTALLATION OF MODULE TI101</t>
  </si>
  <si>
    <t>INSTALLATION OF MODULE TI102</t>
  </si>
  <si>
    <t>INSTALLATION OF MODULE TI109</t>
  </si>
  <si>
    <t>INSTALLATION OF MODULE TD101</t>
  </si>
  <si>
    <t>INSTALLATION OF MODULE TD102</t>
  </si>
  <si>
    <t>INSTALLATION OF MODULE TD103</t>
  </si>
  <si>
    <t>INSTALLATION OF MODULE TD104</t>
  </si>
  <si>
    <t>INSTALLATION OF MODULE TE107</t>
  </si>
  <si>
    <t>INSTALLATION OF MODULE TE108</t>
  </si>
  <si>
    <t>INSTALLATION OF MODULE TE128</t>
  </si>
  <si>
    <t>INSTALLATION OF MODULE TE144</t>
  </si>
  <si>
    <t>INSTALLATION OF MODULE TE138</t>
  </si>
  <si>
    <t>INSTALLATION OF MODULE TE111</t>
  </si>
  <si>
    <t>INSTALLATION OF MODULE TE112</t>
  </si>
  <si>
    <t>INSTALLATION OF MODULE TE130</t>
  </si>
  <si>
    <t>INSTALLATION OF MODULE TE113</t>
  </si>
  <si>
    <t>INSTALLATION OF MODULE TE114</t>
  </si>
  <si>
    <t>INSTALLATION OF MODULE TE131</t>
  </si>
  <si>
    <t>INSTALLATION OF MODULE TE139</t>
  </si>
  <si>
    <t>INSTALLATION OF MODULE TE140</t>
  </si>
  <si>
    <t>INSTALLATION OF MODULE TE141</t>
  </si>
  <si>
    <t>INSTALLATION OF MODULE TE142</t>
  </si>
  <si>
    <t>INSTALLATION OF MODULE TE143</t>
  </si>
  <si>
    <t>INSTALLATION OF MODULE TE145</t>
  </si>
  <si>
    <t>INSTALLATION OF MODULE TE109</t>
  </si>
  <si>
    <t>INSTALLATION OF MODULE TE103</t>
  </si>
  <si>
    <t>INSTALLATION OF MODULE TE104</t>
  </si>
  <si>
    <t>INSTALLATION OF MODULE TE119</t>
  </si>
  <si>
    <t>INSTALLATION OF MODULE TE120</t>
  </si>
  <si>
    <t>INSTALLATION OF MODULE TE134</t>
  </si>
  <si>
    <t>INSTALLATION OF MODULE TE110</t>
  </si>
  <si>
    <t>INSTALLATION OF MODULE TE129</t>
  </si>
  <si>
    <t>INSTALLATION OF MODULE TE126</t>
  </si>
  <si>
    <t>INSTALLATION OF MODULE TE105</t>
  </si>
  <si>
    <t>INSTALLATION OF MODULE TE106</t>
  </si>
  <si>
    <t>INSTALLATION OF MODULE TE115</t>
  </si>
  <si>
    <t>INSTALLATION OF MODULE TE127</t>
  </si>
  <si>
    <t>INSTALLATION OF MODULE TI103</t>
  </si>
  <si>
    <t>INSTALLATION OF MODULE TI104</t>
  </si>
  <si>
    <t>INSTALLATION OF MODULE TI110</t>
  </si>
  <si>
    <t>INSTALLATION OF MODULE TI105</t>
  </si>
  <si>
    <t>INSTALLATION OF MODULE TI106</t>
  </si>
  <si>
    <t>INSTALLATION OF MODULE TI111</t>
  </si>
  <si>
    <t>INSTALLATION OF MODULE TE116</t>
  </si>
  <si>
    <t>INSTALLATION OF MODULE TE132</t>
  </si>
  <si>
    <t>INSTALLATION OF MODULE TE117</t>
  </si>
  <si>
    <t>INSTALLATION OF MODULE TE118</t>
  </si>
  <si>
    <t>INSTALLATION OF MODULE TE133</t>
  </si>
  <si>
    <t>INSTALLATION OF MODULE TE137</t>
  </si>
  <si>
    <t>INSTALLATION OF MODULE TD105</t>
  </si>
  <si>
    <t>INSTALLATION OF MODULE TD106</t>
  </si>
  <si>
    <t>INSTALLATION OF MODULE TD107</t>
  </si>
  <si>
    <t>INSTALLATION OF MODULE TD108</t>
  </si>
  <si>
    <t>INSTALLATION OF MODULE TD120</t>
  </si>
  <si>
    <t>INSTALLATION OF SHOEBOX TT102-B</t>
  </si>
  <si>
    <t>INSTALLATION OF SHOEBOX TA108-B</t>
  </si>
  <si>
    <t>INSTALLATION OF SHOEBOX TA108-C</t>
  </si>
  <si>
    <t>INSTALLATION OF SHOEBOX TA108-D</t>
  </si>
  <si>
    <t>INSTALLATION OF SHOEBOX TA101-B</t>
  </si>
  <si>
    <t>INSTALLATION OF SHOEBOX TA101-C</t>
  </si>
  <si>
    <t>INSTALLATION OF SHOEBOX TA101-D</t>
  </si>
  <si>
    <t>INSTALLATION OF SHOEBOX TA102-B</t>
  </si>
  <si>
    <t>INSTALLATION OF SHOEBOX TA102-C</t>
  </si>
  <si>
    <t>INSTALLATION OF SHOEBOX TA102-D</t>
  </si>
  <si>
    <t>INSTALLATION OF SHOEBOX TA103-B</t>
  </si>
  <si>
    <t>INSTALLATION OF SHOEBOX TA103-C</t>
  </si>
  <si>
    <t>INSTALLATION OF SHOEBOX TA103-D</t>
  </si>
  <si>
    <t>INSTALLATION OF SHOEBOX TA104-B</t>
  </si>
  <si>
    <t>INSTALLATION OF SHOEBOX TA104-C</t>
  </si>
  <si>
    <t>INSTALLATION OF SHOEBOX TA104-D</t>
  </si>
  <si>
    <t>INSTALLATION OF SHOEBOX TA105-B</t>
  </si>
  <si>
    <t>INSTALLATION OF SHOEBOX TA105-C</t>
  </si>
  <si>
    <t>INSTALLATION OF SHOEBOX TA105-D</t>
  </si>
  <si>
    <t>INSTALLATION OF SHOEBOX TA106-B</t>
  </si>
  <si>
    <t>INSTALLATION OF SHOEBOX TA106-C</t>
  </si>
  <si>
    <t>INSTALLATION OF SHOEBOX TA106-D</t>
  </si>
  <si>
    <t>INSTALLATION OF SHOEBOX TA107-B</t>
  </si>
  <si>
    <t>INSTALLATION OF SHOEBOX TA107-C</t>
  </si>
  <si>
    <t>INSTALLATION OF SHOEBOX TA107-D</t>
  </si>
  <si>
    <t>INSTALLATION OF SHOEBOX TA109-B</t>
  </si>
  <si>
    <t>INSTALLATION OF SHOEBOX TA109-C</t>
  </si>
  <si>
    <t>INSTALLATION OF SHOEBOX TA109-D</t>
  </si>
  <si>
    <t>INSTALLATION OF SHOEBOX TA110-B</t>
  </si>
  <si>
    <t>INSTALLATION OF SHOEBOX TA110-C</t>
  </si>
  <si>
    <t>INSTALLATION OF SHOEBOX TA110-D</t>
  </si>
  <si>
    <t>INSTALLATION OF SHOEBOX TA111-B</t>
  </si>
  <si>
    <t>INSTALLATION OF SHOEBOX TA111-C</t>
  </si>
  <si>
    <t>INSTALLATION OF SHOEBOX TA111-D</t>
  </si>
  <si>
    <t>INSTALLATION OF SHOEBOX TA112-B</t>
  </si>
  <si>
    <t>INSTALLATION OF SHOEBOX TA112-C</t>
  </si>
  <si>
    <t>INSTALLATION OF SHOEBOX TB101-B</t>
  </si>
  <si>
    <t>INSTALLATION OF SHOEBOX TB101-C</t>
  </si>
  <si>
    <t>INSTALLATION OF SHOEBOX TB101-D</t>
  </si>
  <si>
    <t>INSTALLATION OF SHOEBOX TB102-B</t>
  </si>
  <si>
    <t>INSTALLATION OF SHOEBOX TB102-C</t>
  </si>
  <si>
    <t>INSTALLATION OF SHOEBOX TB102-D</t>
  </si>
  <si>
    <t>INSTALLATION OF SHOEBOX TB103-B</t>
  </si>
  <si>
    <t>INSTALLATION OF SHOEBOX TB103-C</t>
  </si>
  <si>
    <t>INSTALLATION OF SHOEBOX TB103-D</t>
  </si>
  <si>
    <t>INSTALLATION OF SHOEBOX TB104-B</t>
  </si>
  <si>
    <t>INSTALLATION OF SHOEBOX TB104-C</t>
  </si>
  <si>
    <t>INSTALLATION OF SHOEBOX TB104-D</t>
  </si>
  <si>
    <t>INSTALLATION OF SHOEBOX TB105-B</t>
  </si>
  <si>
    <t>INSTALLATION OF SHOEBOX TB105-C</t>
  </si>
  <si>
    <t>INSTALLATION OF SHOEBOX TB105-D</t>
  </si>
  <si>
    <t>INSTALLATION OF SHOEBOX TB106-B</t>
  </si>
  <si>
    <t>INSTALLATION OF SHOEBOX TB106-C</t>
  </si>
  <si>
    <t>INSTALLATION OF SHOEBOX TB106-D</t>
  </si>
  <si>
    <t>INSTALLATION OF SHOEBOX TB107-B</t>
  </si>
  <si>
    <t>INSTALLATION OF SHOEBOX TB107-C</t>
  </si>
  <si>
    <t>INSTALLATION OF SHOEBOX TB107-D</t>
  </si>
  <si>
    <t>INSTALLATION OF SHOEBOX TB108-B</t>
  </si>
  <si>
    <t>INSTALLATION OF SHOEBOX TB108-C</t>
  </si>
  <si>
    <t>INSTALLATION OF SHOEBOX TB108-D</t>
  </si>
  <si>
    <t>INSTALLATION OF SHOEBOX TB109-B</t>
  </si>
  <si>
    <t>INSTALLATION OF SHOEBOX TB109-C</t>
  </si>
  <si>
    <t>INSTALLATION OF SHOEBOX TB109-D</t>
  </si>
  <si>
    <t>INSTALLATION OF SHOEBOX TF101-B</t>
  </si>
  <si>
    <t>INSTALLATION OF SHOEBOX TF101-C</t>
  </si>
  <si>
    <t>INSTALLATION OF SHOEBOX TF102-B</t>
  </si>
  <si>
    <t>INSTALLATION OF SHOEBOX TF102-C</t>
  </si>
  <si>
    <t>INSTALLATION OF SHOEBOX TG101-B</t>
  </si>
  <si>
    <t>INSTALLATION OF SHOEBOX TG101-C</t>
  </si>
  <si>
    <t>INSTALLATION OF SHOEBOX TH101-B</t>
  </si>
  <si>
    <t>INSTALLATION OF SHOEBOX TH101-C</t>
  </si>
  <si>
    <t>INSTALLATION OF SHOEBOX TJ101-B</t>
  </si>
  <si>
    <t>INSTALLATION OF SHOEBOX TJ101-C</t>
  </si>
  <si>
    <t>INSTALLATION OF SHOEBOX TK102-B</t>
  </si>
  <si>
    <t>INSTALLATION OF SHOEBOX TK108-B</t>
  </si>
  <si>
    <t>INSTALLATION OF SHOEBOX TL101-B</t>
  </si>
  <si>
    <t>INSTALLATION OF SHOEBOX TL101-C</t>
  </si>
  <si>
    <t>INSTALLATION OF SHOEBOX TL102-B</t>
  </si>
  <si>
    <t>INSTALLATION OF SHOEBOX TS101-B</t>
  </si>
  <si>
    <t>INSTALLATION OF SHOEBOX TS101-C</t>
  </si>
  <si>
    <t>INSTALLATION OF SHOEBOX TW104-B</t>
  </si>
  <si>
    <t>INSTALLATION OF SHOEBOX TW105-B</t>
  </si>
  <si>
    <t>TFS00-EH-40</t>
  </si>
  <si>
    <t>TFS00-EH-41</t>
  </si>
  <si>
    <t>TFS00-EH-42</t>
  </si>
  <si>
    <t>TFS00-EH-43</t>
  </si>
  <si>
    <t>TFS00-EH-44</t>
  </si>
  <si>
    <t>TFS00-EH-45</t>
  </si>
  <si>
    <t>TFS00-EH-46</t>
  </si>
  <si>
    <t>TFS00-EH-47</t>
  </si>
  <si>
    <t>TFS00-EH-48</t>
  </si>
  <si>
    <t>TFS00SRUS01</t>
  </si>
  <si>
    <t>TFS00SRUV02</t>
  </si>
  <si>
    <t>TFS00SRUV03</t>
  </si>
  <si>
    <t>TFS00SRUV04</t>
  </si>
  <si>
    <t>TFS00SRUV05</t>
  </si>
  <si>
    <t>INSTALLATION OF E-HOUSE #40</t>
  </si>
  <si>
    <t>INSTALLATION OF E-HOUSE #41</t>
  </si>
  <si>
    <t>INSTALLATION OF E-HOUSE #42</t>
  </si>
  <si>
    <t>INSTALLATION OF E-HOUSE #43</t>
  </si>
  <si>
    <t>INSTALLATION OF E-HOUSE #44</t>
  </si>
  <si>
    <t>INSTALLATION OF E-HOUSE #45</t>
  </si>
  <si>
    <t>INSTALLATION OF E-HOUSE #46</t>
  </si>
  <si>
    <t>INSTALLATION OF E-HOUSE #47</t>
  </si>
  <si>
    <t>INSTALLATION OF E-HOUSE #48</t>
  </si>
  <si>
    <t>INSTALLATION OF PLATFORM STEEL ON E-HOUSE #40</t>
  </si>
  <si>
    <t>INSTALLATION OF PLATFORM STEEL ON E-HOUSE #44</t>
  </si>
  <si>
    <t>INSTALLATION OF PLATFORM STEEL ON E-HOUSE #41</t>
  </si>
  <si>
    <t>INSTALLATION OF PLATFORM STEEL ON E-HOUSE #42</t>
  </si>
  <si>
    <t>INSTALLATION OF PLATFORM STEEL ON E-HOUSE #45</t>
  </si>
  <si>
    <t>INSTALLATION OF PLATFORM STEEL ON E-HOUSE #46</t>
  </si>
  <si>
    <t>INSTALLATION OF PLATFORM STEEL ON E-HOUSE #47</t>
  </si>
  <si>
    <t>INSTALLATION OF PLATFORM STEEL ON E-HOUSE #48</t>
  </si>
  <si>
    <t>INSTALLATION OF PLATFORM STEEL ON E-HOUSE #43</t>
  </si>
  <si>
    <t>TFS00SRUOM7</t>
  </si>
  <si>
    <t>TFS00L101MMCS</t>
  </si>
  <si>
    <t>TFS00A104MMCS</t>
  </si>
  <si>
    <t>TFS00L102MMCS</t>
  </si>
  <si>
    <t>50.TA101-M.F</t>
  </si>
  <si>
    <t>50.TA105-M.F</t>
  </si>
  <si>
    <t>50.TA106-M.F</t>
  </si>
  <si>
    <t>50.TA107-M.F</t>
  </si>
  <si>
    <t>50.TA108-M.F</t>
  </si>
  <si>
    <t>50.TF101-M.F</t>
  </si>
  <si>
    <t>50.TF102-M.F</t>
  </si>
  <si>
    <t>50.TH101-M.F</t>
  </si>
  <si>
    <t>50.TK102-M.F</t>
  </si>
  <si>
    <t>50.TA104-M.F</t>
  </si>
  <si>
    <t>50.TA109-M.F</t>
  </si>
  <si>
    <t>TFS00A101MS</t>
  </si>
  <si>
    <t>TFS00A105MS</t>
  </si>
  <si>
    <t>TFS00A106MS</t>
  </si>
  <si>
    <t>TFS00A107MS</t>
  </si>
  <si>
    <t>TFS00A108MS</t>
  </si>
  <si>
    <t>TFS00F101MS</t>
  </si>
  <si>
    <t>TFS00F102MS</t>
  </si>
  <si>
    <t>TFS00H101MS</t>
  </si>
  <si>
    <t>TFS00K102MS</t>
  </si>
  <si>
    <t>TFS00A104MS</t>
  </si>
  <si>
    <t>TFS00A109MS</t>
  </si>
  <si>
    <t>(DWH)</t>
  </si>
  <si>
    <t>LP1Y-PSC-017027-05</t>
  </si>
  <si>
    <t>LP1Y-S(130)-018051-03</t>
  </si>
  <si>
    <t>LP1Y-APL(100)-019072-10</t>
  </si>
  <si>
    <t>LP1Y-APL(100)-019072-11</t>
  </si>
  <si>
    <t>LP1Y-APL(100)-019072-12</t>
  </si>
  <si>
    <t>LP1Y-APL(100)-019072-13</t>
  </si>
  <si>
    <t>LP1Y-APL(100)-019072-14</t>
  </si>
  <si>
    <t>LP1Y-APL(100)-019072-16</t>
  </si>
  <si>
    <t>50.TA110-M.F</t>
  </si>
  <si>
    <t>50.TA111-M.F</t>
  </si>
  <si>
    <t>50.TB101-M.F</t>
  </si>
  <si>
    <t>50.TB102-M.F</t>
  </si>
  <si>
    <t>50.TA112-M.F</t>
  </si>
  <si>
    <t>50.TL101-M.F</t>
  </si>
  <si>
    <t>50.TB108-M.F</t>
  </si>
  <si>
    <t>50.TJ101-M.F</t>
  </si>
  <si>
    <t>50.TB103-M.F</t>
  </si>
  <si>
    <t>50.TB104-M.F</t>
  </si>
  <si>
    <t>50.TB105-M.F</t>
  </si>
  <si>
    <t>50.TB106-M.F</t>
  </si>
  <si>
    <t>50.TB107-M.F</t>
  </si>
  <si>
    <t>50.TB109-M.F</t>
  </si>
  <si>
    <t>50.TS101-M.F</t>
  </si>
  <si>
    <t>50.TW105-M.F</t>
  </si>
  <si>
    <t>50.TA102-M.F</t>
  </si>
  <si>
    <t>50.TA103-M.F</t>
  </si>
  <si>
    <t>50.TL102-M.F</t>
  </si>
  <si>
    <t>50.TG101-M.F</t>
  </si>
  <si>
    <t>30.TA104-M.F</t>
  </si>
  <si>
    <t>30.TA105-M.F</t>
  </si>
  <si>
    <t>30.TA106-M.F</t>
  </si>
  <si>
    <t>30.TA107-M.F</t>
  </si>
  <si>
    <t>30.TA108-M.F</t>
  </si>
  <si>
    <t>30.TA109-M.F</t>
  </si>
  <si>
    <t>30.TA110-M.F</t>
  </si>
  <si>
    <t>30.TA111-M.F</t>
  </si>
  <si>
    <t>30.TA112-M.F</t>
  </si>
  <si>
    <t>30.TA101-M.F</t>
  </si>
  <si>
    <t>30.TA102-M.F</t>
  </si>
  <si>
    <t>30.TA103-M.F</t>
  </si>
  <si>
    <t>30.TB101-M.F</t>
  </si>
  <si>
    <t>30.TB102-M.F</t>
  </si>
  <si>
    <t>30.TB103-M.F</t>
  </si>
  <si>
    <t>30.TB104-M.F</t>
  </si>
  <si>
    <t>30.TB105-M.F</t>
  </si>
  <si>
    <t>30.TB106-M.F</t>
  </si>
  <si>
    <t>30.TB107-M.F</t>
  </si>
  <si>
    <t>30.TB108-M.F</t>
  </si>
  <si>
    <t>30.TB109-M.F</t>
  </si>
  <si>
    <t>30.TT101-M.F</t>
  </si>
  <si>
    <t>30.TT102-M.F</t>
  </si>
  <si>
    <t>30.TT103-M.F</t>
  </si>
  <si>
    <t>30.TT104-M.F</t>
  </si>
  <si>
    <t>30.TT105-M.F</t>
  </si>
  <si>
    <t>30.TT106-M.F</t>
  </si>
  <si>
    <t>30.TT107-M.F</t>
  </si>
  <si>
    <t>30.TT108-M.F</t>
  </si>
  <si>
    <t>30.TT109-M.F</t>
  </si>
  <si>
    <t>30.TT110-M.F</t>
  </si>
  <si>
    <t>30.TE141-M.F</t>
  </si>
  <si>
    <t>30.TE142-M.F</t>
  </si>
  <si>
    <t>30.TE143-M.F</t>
  </si>
  <si>
    <t>30.TK101-M.F</t>
  </si>
  <si>
    <t>30.TK102-M.F</t>
  </si>
  <si>
    <t>30.TK103-M.F</t>
  </si>
  <si>
    <t>30.TK104-M.F</t>
  </si>
  <si>
    <t>30.TK105-M.F</t>
  </si>
  <si>
    <t>30.TK106-M.F</t>
  </si>
  <si>
    <t>30.TK107-M.F</t>
  </si>
  <si>
    <t>30.TK108-M.F</t>
  </si>
  <si>
    <t>30.TK109-M.F</t>
  </si>
  <si>
    <t>30.TK110-M.F</t>
  </si>
  <si>
    <t>30.TV101-M.F</t>
  </si>
  <si>
    <t>30.TV102-M.F</t>
  </si>
  <si>
    <t>30.TV103-M.F</t>
  </si>
  <si>
    <t>30.TW101-M.F</t>
  </si>
  <si>
    <t>30.TW102-M.F</t>
  </si>
  <si>
    <t>30.TW103-M.F</t>
  </si>
  <si>
    <t>30.TW104-M.F</t>
  </si>
  <si>
    <t>30.TW105-M.F</t>
  </si>
  <si>
    <t>30.TW106-M.F</t>
  </si>
  <si>
    <t>30.TS101-M.F</t>
  </si>
  <si>
    <t>30.TD101-M.F</t>
  </si>
  <si>
    <t>30.TD102-M.F</t>
  </si>
  <si>
    <t>30.TD103-M.F</t>
  </si>
  <si>
    <t>30.TD104-M.F</t>
  </si>
  <si>
    <t>30.TD105-M.F</t>
  </si>
  <si>
    <t>30.TD106-M.F</t>
  </si>
  <si>
    <t>30.TD107-M.F</t>
  </si>
  <si>
    <t>30.TD108-M.F</t>
  </si>
  <si>
    <t>30.TD109-M.F</t>
  </si>
  <si>
    <t>30.TD110-M.F</t>
  </si>
  <si>
    <t>30.TD113-M.F</t>
  </si>
  <si>
    <t>30.TD114-M.F</t>
  </si>
  <si>
    <t>30.TD115-M.F</t>
  </si>
  <si>
    <t>30.TD116-M.F</t>
  </si>
  <si>
    <t>30.TD117-M.F</t>
  </si>
  <si>
    <t>30.TD118-M.F</t>
  </si>
  <si>
    <t>30.TD119-M.F</t>
  </si>
  <si>
    <t>30.TD120-M.F</t>
  </si>
  <si>
    <t>30.TD121-M.F</t>
  </si>
  <si>
    <t>30.TD122-M.F</t>
  </si>
  <si>
    <t>30.TE103-M.F</t>
  </si>
  <si>
    <t>30.TE104-M.F</t>
  </si>
  <si>
    <t>30.TE105-M.F</t>
  </si>
  <si>
    <t>30.TE106-M.F</t>
  </si>
  <si>
    <t>30.TE107-M.F</t>
  </si>
  <si>
    <t>30.TE108-M.F</t>
  </si>
  <si>
    <t>30.TE109-M.F</t>
  </si>
  <si>
    <t>30.TE110-M.F</t>
  </si>
  <si>
    <t>30.TE111-M.F</t>
  </si>
  <si>
    <t>30.TE112-M.F</t>
  </si>
  <si>
    <t>30.TE113-M.F</t>
  </si>
  <si>
    <t>30.TE114-M.F</t>
  </si>
  <si>
    <t>30.TE115-M.F</t>
  </si>
  <si>
    <t>30.TE116-M.F</t>
  </si>
  <si>
    <t>30.TE117-M.F</t>
  </si>
  <si>
    <t>30.TE118-M.F</t>
  </si>
  <si>
    <t>30.TE119-M.F</t>
  </si>
  <si>
    <t>30.TE120-M.F</t>
  </si>
  <si>
    <t>30.TE123-M.F</t>
  </si>
  <si>
    <t>30.TE126-M.F</t>
  </si>
  <si>
    <t>30.TE128-M.F</t>
  </si>
  <si>
    <t>30.TE129-M.F</t>
  </si>
  <si>
    <t>30.TE130-M.F</t>
  </si>
  <si>
    <t>30.TE131-M.F</t>
  </si>
  <si>
    <t>30.TE132-M.F</t>
  </si>
  <si>
    <t>30.TE133-M.F</t>
  </si>
  <si>
    <t>30.TE134-M.F</t>
  </si>
  <si>
    <t>30.TE136-M.F</t>
  </si>
  <si>
    <t>30.TE137-M.F</t>
  </si>
  <si>
    <t>30.TE138-M.F</t>
  </si>
  <si>
    <t>30.TE139-M.F</t>
  </si>
  <si>
    <t>30.TE140-M.F</t>
  </si>
  <si>
    <t>30.TE144-M.F</t>
  </si>
  <si>
    <t>30.TE145-M.F</t>
  </si>
  <si>
    <t>30.TF101-M.F</t>
  </si>
  <si>
    <t>30.TF102-M.F</t>
  </si>
  <si>
    <t>30.TG101-M.F</t>
  </si>
  <si>
    <t>30.TH101-M.F</t>
  </si>
  <si>
    <t>30.TI101-M.F</t>
  </si>
  <si>
    <t>30.TI102-M.F</t>
  </si>
  <si>
    <t>30.TI103-M.F</t>
  </si>
  <si>
    <t>30.TI104-M.F</t>
  </si>
  <si>
    <t>30.TI105-M.F</t>
  </si>
  <si>
    <t>30.TI106-M.F</t>
  </si>
  <si>
    <t>30.TI107-M.F</t>
  </si>
  <si>
    <t>30.TI108-M.F</t>
  </si>
  <si>
    <t>30.TI109-M.F</t>
  </si>
  <si>
    <t>30.TI110-M.F</t>
  </si>
  <si>
    <t>30.TI111-M.F</t>
  </si>
  <si>
    <t>30.TJ101-M.F</t>
  </si>
  <si>
    <t>30.TE127-M.F</t>
  </si>
  <si>
    <t>30.TL101-M.F</t>
  </si>
  <si>
    <t>30.TL102-M.F</t>
  </si>
  <si>
    <t>TFS00E141MSCS</t>
  </si>
  <si>
    <t>TFS00E142MSCS</t>
  </si>
  <si>
    <t>TFS00E143MSCS</t>
  </si>
  <si>
    <t>TFS00D101MSCS</t>
  </si>
  <si>
    <t>TFS00D102MSCS</t>
  </si>
  <si>
    <t>TFS00D103MSCS</t>
  </si>
  <si>
    <t>TFS00D104MSCS</t>
  </si>
  <si>
    <t>TFS00D105MSCS</t>
  </si>
  <si>
    <t>TFS00D106MSCS</t>
  </si>
  <si>
    <t>TFS00D107MSCS</t>
  </si>
  <si>
    <t>TFS00D108MSCS</t>
  </si>
  <si>
    <t>TFS00D109MSCS</t>
  </si>
  <si>
    <t>TFS00D110MSCS</t>
  </si>
  <si>
    <t>TFS00D113MSCS</t>
  </si>
  <si>
    <t>TFS00D114MSCS</t>
  </si>
  <si>
    <t>TFS00D115MSCS</t>
  </si>
  <si>
    <t>TFS00D116MSCS</t>
  </si>
  <si>
    <t>TFS00D117MSCS</t>
  </si>
  <si>
    <t>TFS00D118MSCS</t>
  </si>
  <si>
    <t>TFS00D119MSCS</t>
  </si>
  <si>
    <t>TFS00D120MSCS</t>
  </si>
  <si>
    <t>TFS00D121MSCS</t>
  </si>
  <si>
    <t>TFS00D122MSCS</t>
  </si>
  <si>
    <t>TFS00E103MSCS</t>
  </si>
  <si>
    <t>TFS00E104MSCS</t>
  </si>
  <si>
    <t>TFS00E105MSCS</t>
  </si>
  <si>
    <t>TFS00E106MSCS</t>
  </si>
  <si>
    <t>TFS00E107MSCS</t>
  </si>
  <si>
    <t>TFS00E108MSCS</t>
  </si>
  <si>
    <t>TFS00E109MSCS</t>
  </si>
  <si>
    <t>TFS00E110MSCS</t>
  </si>
  <si>
    <t>TFS00E111MSCS</t>
  </si>
  <si>
    <t>TFS00E112MSCS</t>
  </si>
  <si>
    <t>TFS00E113MSCS</t>
  </si>
  <si>
    <t>TFS00E114MSCS</t>
  </si>
  <si>
    <t>TFS00E115MSCS</t>
  </si>
  <si>
    <t>TFS00E116MSCS</t>
  </si>
  <si>
    <t>TFS00E117MSCS</t>
  </si>
  <si>
    <t>TFS00E118MSCS</t>
  </si>
  <si>
    <t>TFS00E119MSCS</t>
  </si>
  <si>
    <t>TFS00E120MSCS</t>
  </si>
  <si>
    <t>TFS00E123MSCS</t>
  </si>
  <si>
    <t>TFS00E126MSCS</t>
  </si>
  <si>
    <t>TFS00E128MSCS</t>
  </si>
  <si>
    <t>TFS00E129MSCS</t>
  </si>
  <si>
    <t>TFS00E130MSCS</t>
  </si>
  <si>
    <t>TFS00E131MSCS</t>
  </si>
  <si>
    <t>TFS00E132MSCS</t>
  </si>
  <si>
    <t>TFS00E133MSCS</t>
  </si>
  <si>
    <t>TFS00E134MSCS</t>
  </si>
  <si>
    <t>TFS00E136MSCS</t>
  </si>
  <si>
    <t>TFS00E137MSCS</t>
  </si>
  <si>
    <t>TFS00E138MSCS</t>
  </si>
  <si>
    <t>TFS00E139MSCS</t>
  </si>
  <si>
    <t>TFS00E140MSCS</t>
  </si>
  <si>
    <t>TFS00E144MSCS</t>
  </si>
  <si>
    <t>TFS00E145MSCS</t>
  </si>
  <si>
    <t>TFS00I101MSCS</t>
  </si>
  <si>
    <t>TFS00I102MSCS</t>
  </si>
  <si>
    <t>TFS00I103MSCS</t>
  </si>
  <si>
    <t>TFS00I104MSCS</t>
  </si>
  <si>
    <t>TFS00I105MSCS</t>
  </si>
  <si>
    <t>TFS00I106MSCS</t>
  </si>
  <si>
    <t>TFS00I107MSCS</t>
  </si>
  <si>
    <t>TFS00I108MSCS</t>
  </si>
  <si>
    <t>TFS00I109MSCS</t>
  </si>
  <si>
    <t>TFS00I110MSCS</t>
  </si>
  <si>
    <t>TFS00I111MSCS</t>
  </si>
  <si>
    <t>TFS00J101MSCS</t>
  </si>
  <si>
    <t>30.T-EH40M.F</t>
  </si>
  <si>
    <t>30.EH43-M.F</t>
  </si>
  <si>
    <t>30.EH44-M.F</t>
  </si>
  <si>
    <t>30.EH40-M.F</t>
  </si>
  <si>
    <t>30.EH41-M.F</t>
  </si>
  <si>
    <t>30.EH42-M.F</t>
  </si>
  <si>
    <t>30.EH45-M.F</t>
  </si>
  <si>
    <t>30.EH46-M.F</t>
  </si>
  <si>
    <t>30.EH47-M.F</t>
  </si>
  <si>
    <t>30.EH48-M.F</t>
  </si>
  <si>
    <t>30.T-EH41M.F</t>
  </si>
  <si>
    <t>30.T-EH42M.F</t>
  </si>
  <si>
    <t>30.T-EH43M.F</t>
  </si>
  <si>
    <t>30.T-EH44M.F</t>
  </si>
  <si>
    <t>30.T-EH45M.F</t>
  </si>
  <si>
    <t>30.T-EH46M.F</t>
  </si>
  <si>
    <t>30.T-EH47M.F</t>
  </si>
  <si>
    <t>30.T-EH48M.F</t>
  </si>
  <si>
    <t>TFS00-EH-47CS</t>
  </si>
  <si>
    <t>TFS00E127MMCS</t>
  </si>
  <si>
    <t>TFS00SRUS01CS</t>
  </si>
  <si>
    <t>TFS00SRUV02CS</t>
  </si>
  <si>
    <t>TFS00SRUV03CS</t>
  </si>
  <si>
    <t>TFS00SRUV04CS</t>
  </si>
  <si>
    <t>TFS00SRUV05CS</t>
  </si>
  <si>
    <t>30.SRUS01-M.F</t>
  </si>
  <si>
    <t>30.SRUV02-M.F</t>
  </si>
  <si>
    <t>30.SRUV03-M.F</t>
  </si>
  <si>
    <t>30.SRUV04-M.F</t>
  </si>
  <si>
    <t>30.SRUV05-M.F</t>
  </si>
  <si>
    <t>60.TT101-M.F</t>
  </si>
  <si>
    <t>60.TT102-M.F</t>
  </si>
  <si>
    <t>60.TT103-M.F</t>
  </si>
  <si>
    <t>60.TT104-M.F</t>
  </si>
  <si>
    <t>60.TT105-M.F</t>
  </si>
  <si>
    <t>60.TT106-M.F</t>
  </si>
  <si>
    <t>60.TT107-M.F</t>
  </si>
  <si>
    <t>60.TT108-M.F</t>
  </si>
  <si>
    <t>60.TT109-M.F</t>
  </si>
  <si>
    <t>60.TT110-M.F</t>
  </si>
  <si>
    <t>60.TB101-M.F</t>
  </si>
  <si>
    <t>60.TB102-M.F</t>
  </si>
  <si>
    <t>60.TB103-M.F</t>
  </si>
  <si>
    <t>60.TB104-M.F</t>
  </si>
  <si>
    <t>60.TB105-M.F</t>
  </si>
  <si>
    <t>60.TB106-M.F</t>
  </si>
  <si>
    <t>60.TB107-M.F</t>
  </si>
  <si>
    <t>60.TB108-M.F</t>
  </si>
  <si>
    <t>60.TB109-M.F</t>
  </si>
  <si>
    <t>60.TA101-M.F</t>
  </si>
  <si>
    <t>60.TA102-M.F</t>
  </si>
  <si>
    <t>60.TA103-M.F</t>
  </si>
  <si>
    <t>60.TA104-M.F</t>
  </si>
  <si>
    <t>60.TA105-M.F</t>
  </si>
  <si>
    <t>60.TA106-M.F</t>
  </si>
  <si>
    <t>60.TA107-M.F</t>
  </si>
  <si>
    <t>60.TA108-M.F</t>
  </si>
  <si>
    <t>CABLE TRAY INTERCONNECTS ON TT101</t>
  </si>
  <si>
    <t>CABLE TRAY INTERCONNECTS ON TT102</t>
  </si>
  <si>
    <t>CABLE TRAY INTERCONNECTS ON TT103</t>
  </si>
  <si>
    <t>CABLE TRAY INTERCONNECTS ON TT104</t>
  </si>
  <si>
    <t>CABLE TRAY INTERCONNECTS ON TT105</t>
  </si>
  <si>
    <t>CABLE TRAY INTERCONNECTS ON TT106</t>
  </si>
  <si>
    <t>CABLE TRAY INTERCONNECTS ON TT107</t>
  </si>
  <si>
    <t>CABLE TRAY INTERCONNECTS ON TT108</t>
  </si>
  <si>
    <t>CABLE TRAY INTERCONNECTS ON TT109</t>
  </si>
  <si>
    <t>CABLE TRAY INTERCONNECTS ON TT110</t>
  </si>
  <si>
    <t>CABLE TRAY INTERCONNECTS ON TB101</t>
  </si>
  <si>
    <t>CABLE TRAY INTERCONNECTS ON TB102</t>
  </si>
  <si>
    <t>CABLE TRAY INTERCONNECTS ON TB103</t>
  </si>
  <si>
    <t>CABLE TRAY INTERCONNECTS ON TB104</t>
  </si>
  <si>
    <t>CABLE TRAY INTERCONNECTS ON TB105</t>
  </si>
  <si>
    <t>CABLE TRAY INTERCONNECTS ON TB106</t>
  </si>
  <si>
    <t>CABLE TRAY INTERCONNECTS ON TB107</t>
  </si>
  <si>
    <t>CABLE TRAY INTERCONNECTS ON TB108</t>
  </si>
  <si>
    <t>CABLE TRAY INTERCONNECTS ON TB109</t>
  </si>
  <si>
    <t>CABLE TRAY INTERCONNECTS ON TA101</t>
  </si>
  <si>
    <t>CABLE TRAY INTERCONNECTS ON TA102</t>
  </si>
  <si>
    <t>CABLE TRAY INTERCONNECTS ON TA103</t>
  </si>
  <si>
    <t>CABLE TRAY INTERCONNECTS ON TA104</t>
  </si>
  <si>
    <t>CABLE TRAY INTERCONNECTS ON TA105</t>
  </si>
  <si>
    <t>CABLE TRAY INTERCONNECTS ON TA106</t>
  </si>
  <si>
    <t>CABLE TRAY INTERCONNECTS ON TA107</t>
  </si>
  <si>
    <t>CABLE TRAY INTERCONNECTS ON TA108</t>
  </si>
  <si>
    <t>EHT INSTALLATION ON TT101</t>
  </si>
  <si>
    <t>EHT INSTALLATION ON TT102</t>
  </si>
  <si>
    <t>EHT INSTALLATION ON TT103</t>
  </si>
  <si>
    <t>EHT INSTALLATION ON TT104</t>
  </si>
  <si>
    <t>EHT INSTALLATION ON TT105</t>
  </si>
  <si>
    <t>EHT INSTALLATION ON TT106</t>
  </si>
  <si>
    <t>EHT INSTALLATION ON TT107</t>
  </si>
  <si>
    <t>EHT INSTALLATION ON TT108</t>
  </si>
  <si>
    <t>EHT INSTALLATION ON TT109</t>
  </si>
  <si>
    <t>EHT INSTALLATION ON TT110</t>
  </si>
  <si>
    <t>GROUNDING INSTALLATION ON TT101</t>
  </si>
  <si>
    <t>GROUNDING INSTALLATION ON TT102</t>
  </si>
  <si>
    <t>GROUNDING INSTALLATION ON TT103</t>
  </si>
  <si>
    <t>GROUNDING INSTALLATION ON TT104</t>
  </si>
  <si>
    <t>GROUNDING INSTALLATION ON TT105</t>
  </si>
  <si>
    <t>GROUNDING INSTALLATION ON TT106</t>
  </si>
  <si>
    <t>GROUNDING INSTALLATION ON TT107</t>
  </si>
  <si>
    <t>GROUNDING INSTALLATION ON TT108</t>
  </si>
  <si>
    <t>GROUNDING INSTALLATION ON TT109</t>
  </si>
  <si>
    <t>GROUNDING INSTALLATION ON TT110</t>
  </si>
  <si>
    <t>LV CONTROL CABLE INSTALLATION ON TT101</t>
  </si>
  <si>
    <t>LV CONTROL CABLE INSTALLATION ON TT102</t>
  </si>
  <si>
    <t>LV CONTROL CABLE INSTALLATION ON TT103</t>
  </si>
  <si>
    <t>LV CONTROL CABLE INSTALLATION ON TT104</t>
  </si>
  <si>
    <t>LV CONTROL CABLE INSTALLATION ON TT105</t>
  </si>
  <si>
    <t>LV CONTROL CABLE INSTALLATION ON TT106</t>
  </si>
  <si>
    <t>LV CONTROL CABLE INSTALLATION ON TT107</t>
  </si>
  <si>
    <t>LV CONTROL CABLE INSTALLATION ON TT108</t>
  </si>
  <si>
    <t>LV CONTROL CABLE INSTALLATION ON TT109</t>
  </si>
  <si>
    <t>LV CONTROL CABLE INSTALLATION ON TT110</t>
  </si>
  <si>
    <t>K214</t>
  </si>
  <si>
    <t>K210</t>
  </si>
  <si>
    <t>K209</t>
  </si>
  <si>
    <t>A-LVL STEEL INSTALLATION ON SRU-OM7</t>
  </si>
  <si>
    <t>INSTALLATION OF MODULE TT101</t>
  </si>
  <si>
    <t>INSTALLATION OF MODULE TT103</t>
  </si>
  <si>
    <t>INSTALLATION OF MODULE TT104</t>
  </si>
  <si>
    <t>INSTALLATION OF MODULE TT105</t>
  </si>
  <si>
    <t>INSTALLATION OF MODULE TT106</t>
  </si>
  <si>
    <t>INSTALLATION OF MODULE TT107</t>
  </si>
  <si>
    <t>INSTALLATION OF MODULE TT108</t>
  </si>
  <si>
    <t>INSTALLATION OF MODULE TT109</t>
  </si>
  <si>
    <t>INSTALLATION OF MODULE TT110</t>
  </si>
  <si>
    <t>INSTALLATION OF MODULE TK104</t>
  </si>
  <si>
    <t>INSTALLATION OF SRU-H06</t>
  </si>
  <si>
    <t>30.SRUH06-M.F</t>
  </si>
  <si>
    <t>TFS00SRUH06</t>
  </si>
  <si>
    <t>TFS00SRUH06CS</t>
  </si>
  <si>
    <t>IP-TFS00A104MMCS-K214-030</t>
  </si>
  <si>
    <t>IP-TFS00A105MMCS-K214-030</t>
  </si>
  <si>
    <t>IP-TFS00A106MMCS-K214-030</t>
  </si>
  <si>
    <t>IP-TFS00A107MMCS-K214-030</t>
  </si>
  <si>
    <t>IP-TFS00A108MMCS-K214-030</t>
  </si>
  <si>
    <t>IP-TFS00A109MMCS-K214-030</t>
  </si>
  <si>
    <t>IP-TFS00A110MMCS-K214-030</t>
  </si>
  <si>
    <t>IP-TFS00A111MMCS-K214-030</t>
  </si>
  <si>
    <t>IP-TFS00A112MMCS-K214-030</t>
  </si>
  <si>
    <t>IP-TFS00A101MMCS-K214-030</t>
  </si>
  <si>
    <t>IP-TFS00A102MMCS-K214-030</t>
  </si>
  <si>
    <t>IP-TFS00A103MMCS-K214-030</t>
  </si>
  <si>
    <t>IP-TFS00B101MMCS-K214-030</t>
  </si>
  <si>
    <t>IP-TFS00B102MMCS-K214-030</t>
  </si>
  <si>
    <t>IP-TFS00B103MMCS-K214-030</t>
  </si>
  <si>
    <t>IP-TFS00B104MMCS-K214-030</t>
  </si>
  <si>
    <t>IP-TFS00B105MMCS-K214-030</t>
  </si>
  <si>
    <t>IP-TFS00B106MMCS-K214-030</t>
  </si>
  <si>
    <t>IP-TFS00B107MMCS-K214-030</t>
  </si>
  <si>
    <t>IP-TFS00B108MMCS-K214-030</t>
  </si>
  <si>
    <t>IP-TFS00B109MMCS-K214-030</t>
  </si>
  <si>
    <t>IP-TFS00T102MMCS-K214-030</t>
  </si>
  <si>
    <t>IP-TFS00T107MMCS-K214-030</t>
  </si>
  <si>
    <t>IP-TFS00K102MMCS-K214-030</t>
  </si>
  <si>
    <t>IP-TFS00K108MMCS-K214-030</t>
  </si>
  <si>
    <t>IP-TFS00W104MMCS-K214-030</t>
  </si>
  <si>
    <t>IP-TFS00W105MMCS-K214-030</t>
  </si>
  <si>
    <t>IP-TFS00S101MMCS-K214-030</t>
  </si>
  <si>
    <t>IP-TFS00D113MSCS-K214-030</t>
  </si>
  <si>
    <t>IP-TFS00D118MSCS-K214-030</t>
  </si>
  <si>
    <t>IP-TFS00E123MSCS-K214-030</t>
  </si>
  <si>
    <t>IP-TFS00E136MSCS-K214-030</t>
  </si>
  <si>
    <t>IP-TFS00F101MMCS-K214-030</t>
  </si>
  <si>
    <t>IP-TFS00F102MMCS-K214-030</t>
  </si>
  <si>
    <t>IP-TFS00G101MMCS-K214-030</t>
  </si>
  <si>
    <t>IP-TFS00H101MMCS-K214-030</t>
  </si>
  <si>
    <t>IP-TFS00I107MSCS-K214-030</t>
  </si>
  <si>
    <t>IP-TFS00I108MSCS-K214-030</t>
  </si>
  <si>
    <t>IP-TFS00J101MSCS-K214-030</t>
  </si>
  <si>
    <t>IP-TFS00E047MMCS-K214-030</t>
  </si>
  <si>
    <t>IP-TFS00T102MMCS-K214-045</t>
  </si>
  <si>
    <t>IP-TFS00T107MMCS-K214-045</t>
  </si>
  <si>
    <t>IP-TFS00-EH-47CS-K214-045</t>
  </si>
  <si>
    <t>IP-TFS00A108MMCS-K214-045</t>
  </si>
  <si>
    <t>IP-TFS00A101MMCS-K214-045</t>
  </si>
  <si>
    <t>IP-TFS00A102MMCS-K214-045</t>
  </si>
  <si>
    <t>IP-TFS00A103MMCS-K214-045</t>
  </si>
  <si>
    <t>IP-TFS00A104MMCS-K214-045</t>
  </si>
  <si>
    <t>IP-TFS00A105MMCS-K214-045</t>
  </si>
  <si>
    <t>IP-TFS00A106MMCS-K214-045</t>
  </si>
  <si>
    <t>IP-TFS00A107MMCS-K214-045</t>
  </si>
  <si>
    <t>IP-TFS00A109MMCS-K214-045</t>
  </si>
  <si>
    <t>IP-TFS00A110MMCS-K214-045</t>
  </si>
  <si>
    <t>IP-TFS00A111MMCS-K214-045</t>
  </si>
  <si>
    <t>IP-TFS00A112MMCS-K214-045</t>
  </si>
  <si>
    <t>IP-TFS00B101MMCS-K214-045</t>
  </si>
  <si>
    <t>IP-TFS00B102MMCS-K214-045</t>
  </si>
  <si>
    <t>IP-TFS00B103MMCS-K214-045</t>
  </si>
  <si>
    <t>IP-TFS00B104MMCS-K214-045</t>
  </si>
  <si>
    <t>IP-TFS00B105MMCS-K214-045</t>
  </si>
  <si>
    <t>IP-TFS00B106MMCS-K214-045</t>
  </si>
  <si>
    <t>IP-TFS00B107MMCS-K214-045</t>
  </si>
  <si>
    <t>IP-TFS00B108MMCS-K214-045</t>
  </si>
  <si>
    <t>IP-TFS00B109MMCS-K214-045</t>
  </si>
  <si>
    <t>IP-TFS00F101MMCS-K214-045</t>
  </si>
  <si>
    <t>IP-TFS00F102MMCS-K214-045</t>
  </si>
  <si>
    <t>IP-TFS00G101MMCS-K214-045</t>
  </si>
  <si>
    <t>IP-TFS00H101MMCS-K214-045</t>
  </si>
  <si>
    <t>IP-TFS00J101MMCS-K214-045</t>
  </si>
  <si>
    <t>IP-TFS00K102MMCS-K214-045</t>
  </si>
  <si>
    <t>IP-TFS00K108MMCS-K214-045</t>
  </si>
  <si>
    <t>IP-TFS00L101MMCS-K214-045</t>
  </si>
  <si>
    <t>IP-TFS00L102MMCS-K214-045</t>
  </si>
  <si>
    <t>IP-TFS00S101MMCS-K214-045</t>
  </si>
  <si>
    <t>IP-TFS00W104MMCS-K214-045</t>
  </si>
  <si>
    <t>IP-TFS00W105MMCS-K214-045</t>
  </si>
  <si>
    <t>61.TT101-M.F</t>
  </si>
  <si>
    <t>61.TT102-M.F</t>
  </si>
  <si>
    <t>61.TT103-M.F</t>
  </si>
  <si>
    <t>61.TT104-M.F</t>
  </si>
  <si>
    <t>61.TT105-M.F</t>
  </si>
  <si>
    <t>61.TT106-M.F</t>
  </si>
  <si>
    <t>61.TT107-M.F</t>
  </si>
  <si>
    <t>61.TT108-M.F</t>
  </si>
  <si>
    <t>61.TT109-M.F</t>
  </si>
  <si>
    <t>61.TT110-M.F</t>
  </si>
  <si>
    <t>62.TT101-M.F</t>
  </si>
  <si>
    <t>62.TT102-M.F</t>
  </si>
  <si>
    <t>62.TT103-M.F</t>
  </si>
  <si>
    <t>62.TT104-M.F</t>
  </si>
  <si>
    <t>62.TT105-M.F</t>
  </si>
  <si>
    <t>62.TT106-M.F</t>
  </si>
  <si>
    <t>62.TT107-M.F</t>
  </si>
  <si>
    <t>62.TT108-M.F</t>
  </si>
  <si>
    <t>62.TT109-M.F</t>
  </si>
  <si>
    <t>62.TT110-M.F</t>
  </si>
  <si>
    <t>63.TT101-M.F</t>
  </si>
  <si>
    <t>63.TT102-M.F</t>
  </si>
  <si>
    <t>63.TT103-M.F</t>
  </si>
  <si>
    <t>63.TT104-M.F</t>
  </si>
  <si>
    <t>63.TT105-M.F</t>
  </si>
  <si>
    <t>63.TT106-M.F</t>
  </si>
  <si>
    <t>63.TT107-M.F</t>
  </si>
  <si>
    <t>63.TT108-M.F</t>
  </si>
  <si>
    <t>63.TT109-M.F</t>
  </si>
  <si>
    <t>63.TT110-M.F</t>
  </si>
  <si>
    <t>IP-TFS00T101MMEN-K214-063</t>
  </si>
  <si>
    <t>IP-TFS00T102MMEN-K214-063</t>
  </si>
  <si>
    <t>IP-TFS00T103MMEN-K214-063</t>
  </si>
  <si>
    <t>IP-TFS00T104MMEN-K214-063</t>
  </si>
  <si>
    <t>IP-TFS00T105MMEN-K214-063</t>
  </si>
  <si>
    <t>IP-TFS00T106MMEN-K214-063</t>
  </si>
  <si>
    <t>IP-TFS00T107MMEN-K214-063</t>
  </si>
  <si>
    <t>IP-TFS00T108MMEN-K214-063</t>
  </si>
  <si>
    <t>IP-TFS00T109MMEN-K214-063</t>
  </si>
  <si>
    <t>IP-TFS00T110MMEN-K214-063</t>
  </si>
  <si>
    <t>IP-TFS00T101MMEN-K214-062</t>
  </si>
  <si>
    <t>IP-TFS00T102MMEN-K214-062</t>
  </si>
  <si>
    <t>IP-TFS00T103MMEN-K214-062</t>
  </si>
  <si>
    <t>IP-TFS00T104MMEN-K214-062</t>
  </si>
  <si>
    <t>IP-TFS00T105MMEN-K214-062</t>
  </si>
  <si>
    <t>IP-TFS00T106MMEN-K214-062</t>
  </si>
  <si>
    <t>IP-TFS00T107MMEN-K214-062</t>
  </si>
  <si>
    <t>IP-TFS00T108MMEN-K214-062</t>
  </si>
  <si>
    <t>IP-TFS00T109MMEN-K214-062</t>
  </si>
  <si>
    <t>IP-TFS00T110MMEN-K214-062</t>
  </si>
  <si>
    <t>IP-TFS00T101MMET-K214-061</t>
  </si>
  <si>
    <t>IP-TFS00T102MMET-K214-061</t>
  </si>
  <si>
    <t>IP-TFS00T103MMET-K214-061</t>
  </si>
  <si>
    <t>IP-TFS00T104MMET-K214-061</t>
  </si>
  <si>
    <t>IP-TFS00T105MMET-K214-061</t>
  </si>
  <si>
    <t>IP-TFS00T106MMET-K214-061</t>
  </si>
  <si>
    <t>IP-TFS00T107MMET-K214-061</t>
  </si>
  <si>
    <t>IP-TFS00T108MMET-K214-061</t>
  </si>
  <si>
    <t>IP-TFS00T109MMET-K214-061</t>
  </si>
  <si>
    <t>IP-TFS00T110MMET-K214-061</t>
  </si>
  <si>
    <t>IP-TFS00A101MSEN-K214-060</t>
  </si>
  <si>
    <t>IP-TFS00A102MSEN-K214-060</t>
  </si>
  <si>
    <t>IP-TFS00A103MSEN-K214-060</t>
  </si>
  <si>
    <t>IP-TFS00A104MSEN-K214-060</t>
  </si>
  <si>
    <t>IP-TFS00A105MSEN-K214-060</t>
  </si>
  <si>
    <t>IP-TFS00A106MSEN-K214-060</t>
  </si>
  <si>
    <t>IP-TFS00A107MSEN-K214-060</t>
  </si>
  <si>
    <t>IP-TFS00A108MSEN-K214-060</t>
  </si>
  <si>
    <t>IP-TFS00B101MSEN-K214-060</t>
  </si>
  <si>
    <t>IP-TFS00B102MSEN-K214-060</t>
  </si>
  <si>
    <t>IP-TFS00B103MSEN-K214-060</t>
  </si>
  <si>
    <t>IP-TFS00B104MSEN-K214-060</t>
  </si>
  <si>
    <t>IP-TFS00B105MSEN-K214-060</t>
  </si>
  <si>
    <t>IP-TFS00B106MSEN-K214-060</t>
  </si>
  <si>
    <t>IP-TFS00B107MSEN-K214-060</t>
  </si>
  <si>
    <t>IP-TFS00B108MSEN-K214-060</t>
  </si>
  <si>
    <t>IP-TFS00B109MSEN-K214-060</t>
  </si>
  <si>
    <t>IP-TFS00B101MMEN-K214-160</t>
  </si>
  <si>
    <t>IP-TFS00B102MMEN-K214-160</t>
  </si>
  <si>
    <t>IP-TFS00B103MMEN-K214-160</t>
  </si>
  <si>
    <t>IP-TFS00B104MMEN-K214-160</t>
  </si>
  <si>
    <t>IP-TFS00B105MMEN-K214-160</t>
  </si>
  <si>
    <t>IP-TFS00B106MMEN-K214-160</t>
  </si>
  <si>
    <t>IP-TFS00B107MMEN-K214-160</t>
  </si>
  <si>
    <t>IP-TFS00B108MMEN-K214-160</t>
  </si>
  <si>
    <t>IP-TFS00B109MMEN-K214-160</t>
  </si>
  <si>
    <t>IP-TFS00A101MMEN-K214-160</t>
  </si>
  <si>
    <t>IP-TFS00A102MMEN-K214-160</t>
  </si>
  <si>
    <t>IP-TFS00A103MMEN-K214-160</t>
  </si>
  <si>
    <t>IP-TFS00A104MMEN-K214-160</t>
  </si>
  <si>
    <t>IP-TFS00A105MMEN-K214-160</t>
  </si>
  <si>
    <t>IP-TFS00A106MMEN-K214-160</t>
  </si>
  <si>
    <t>IP-TFS00A107MMEN-K214-160</t>
  </si>
  <si>
    <t>IP-TFS00A108MMEN-K214-160</t>
  </si>
  <si>
    <t>IP-TFS00F101MMPP-K214-150</t>
  </si>
  <si>
    <t>IP-TFS00A110MMPP-K214-150</t>
  </si>
  <si>
    <t>IP-TFS00A111MMPP-K214-150</t>
  </si>
  <si>
    <t>IP-TFS00B101MMPP-K214-150</t>
  </si>
  <si>
    <t>IP-TFS00B102MMPP-K214-150</t>
  </si>
  <si>
    <t>IP-TFS00A112MMPP-K214-150</t>
  </si>
  <si>
    <t>IP-TFS00L101MMPP-K214-150</t>
  </si>
  <si>
    <t>IP-TFS00B108MMPP-K214-150</t>
  </si>
  <si>
    <t>IP-TFS00J101MMPP-K214-150</t>
  </si>
  <si>
    <t>IP-TFS00B103MMPP-K214-150</t>
  </si>
  <si>
    <t>IP-TFS00B104MMPP-K214-150</t>
  </si>
  <si>
    <t>IP-TFS00B105MMPP-K214-150</t>
  </si>
  <si>
    <t>IP-TFS00B106MMPP-K214-150</t>
  </si>
  <si>
    <t>IP-TFS00B107MMPP-K214-150</t>
  </si>
  <si>
    <t>IP-TFS00B109MMPP-K214-150</t>
  </si>
  <si>
    <t>IP-TFS00S101MMPP-K214-150</t>
  </si>
  <si>
    <t>IP-TFS00W105MMPP-K214-150</t>
  </si>
  <si>
    <t>IP-TFS00A102MMPP-K214-150</t>
  </si>
  <si>
    <t>IP-TFS00A105MMPP-K214-150</t>
  </si>
  <si>
    <t>IP-TFS00A104MMPP-K214-150</t>
  </si>
  <si>
    <t>IP-TFS00A103MMPP-K214-150</t>
  </si>
  <si>
    <t>IP-TFS00A107MMPP-K214-150</t>
  </si>
  <si>
    <t>IP-TFS00A108MMPP-K214-150</t>
  </si>
  <si>
    <t>IP-TFS00A109MMPP-K214-150</t>
  </si>
  <si>
    <t>IP-TFS00H101MMPP-K214-150</t>
  </si>
  <si>
    <t>IP-TFS00L102MMPP-K214-150</t>
  </si>
  <si>
    <t>IP-TFS00A106MMPP-K214-150</t>
  </si>
  <si>
    <t>IP-TFS00G101MMPP-K214-150</t>
  </si>
  <si>
    <t>IP-TFS00A101MSPP-K214-050</t>
  </si>
  <si>
    <t>IP-TFS00A105MSPP-K214-050</t>
  </si>
  <si>
    <t>IP-TFS00A106MSPP-K214-050</t>
  </si>
  <si>
    <t>IP-TFS00A107MSPP-K214-050</t>
  </si>
  <si>
    <t>IP-TFS00A108MSPP-K214-050</t>
  </si>
  <si>
    <t>IP-TFS00F101MSPP-K214-050</t>
  </si>
  <si>
    <t>IP-TFS00F102MSPP-K214-050</t>
  </si>
  <si>
    <t>IP-TFS00H101MSPP-K214-050</t>
  </si>
  <si>
    <t>IP-TFS00K102MSPP-K214-050</t>
  </si>
  <si>
    <t>IP-TFS00A104MSPP-K214-050</t>
  </si>
  <si>
    <t>IP-TFS00A109MSPP-K214-050</t>
  </si>
  <si>
    <t>IP-TFS00T101MMCS-K214-045</t>
  </si>
  <si>
    <t>IP-TFS00T103MMCS-K214-045</t>
  </si>
  <si>
    <t>IP-TFS00T104MMCS-K214-045</t>
  </si>
  <si>
    <t>IP-TFS00T105MMCS-K214-045</t>
  </si>
  <si>
    <t>IP-TFS00T106MMCS-K214-045</t>
  </si>
  <si>
    <t>IP-TFS00T108MMCS-K214-045</t>
  </si>
  <si>
    <t>IP-TFS00T109MMCS-K214-045</t>
  </si>
  <si>
    <t>IP-TFS00T110MMCS-K214-045</t>
  </si>
  <si>
    <t>IP-TFS00W101MMCS-K214-045</t>
  </si>
  <si>
    <t>IP-TFS00W102MMCS-K214-045</t>
  </si>
  <si>
    <t>IP-TFS00W103MMCS-K214-045</t>
  </si>
  <si>
    <t>IP-TFS00K101MMCS-K214-045</t>
  </si>
  <si>
    <t>IP-TFS00K103MMCS-K214-045</t>
  </si>
  <si>
    <t>IP-TFS00K106MMCS-K214-045</t>
  </si>
  <si>
    <t>IP-TFS00K105MMCS-K214-045</t>
  </si>
  <si>
    <t>IP-TFS00K107MMCS-K214-045</t>
  </si>
  <si>
    <t>IP-TFS00K109MMCS-K214-045</t>
  </si>
  <si>
    <t>IP-TFS00D114MMCS-K214-045</t>
  </si>
  <si>
    <t>IP-TFS00D115MMCS-K214-045</t>
  </si>
  <si>
    <t>IP-TFS00D121MMCS-K214-045</t>
  </si>
  <si>
    <t>IP-TFS00D116MMCS-K214-045</t>
  </si>
  <si>
    <t>IP-TFS00D117MMCS-K214-045</t>
  </si>
  <si>
    <t>IP-TFS00D122MMCS-K214-045</t>
  </si>
  <si>
    <t>IP-TFS00W106MMCS-K214-045</t>
  </si>
  <si>
    <t>IP-TFS00V101MMCS-K214-045</t>
  </si>
  <si>
    <t>IP-TFS00V102MMCS-K214-045</t>
  </si>
  <si>
    <t>IP-TFS00D109MMCS-K214-045</t>
  </si>
  <si>
    <t>IP-TFS00V103MMCS-K214-045</t>
  </si>
  <si>
    <t>IP-TFS00D110MMCS-K214-045</t>
  </si>
  <si>
    <t>IP-TFS00D119MMCS-K214-045</t>
  </si>
  <si>
    <t>IP-TFS00K110MMCS-K214-045</t>
  </si>
  <si>
    <t>IP-TFS00I101MMCS-K214-045</t>
  </si>
  <si>
    <t>IP-TFS00I102MMCS-K214-045</t>
  </si>
  <si>
    <t>IP-TFS00I109MMCS-K214-045</t>
  </si>
  <si>
    <t>IP-TFS00D101MMCS-K214-045</t>
  </si>
  <si>
    <t>IP-TFS00D102MMCS-K214-045</t>
  </si>
  <si>
    <t>IP-TFS00D103MMCS-K214-045</t>
  </si>
  <si>
    <t>IP-TFS00D104MMCS-K214-045</t>
  </si>
  <si>
    <t>IP-TFS00E107MMCS-K214-045</t>
  </si>
  <si>
    <t>IP-TFS00E108MMCS-K214-045</t>
  </si>
  <si>
    <t>IP-TFS00E128MMCS-K214-045</t>
  </si>
  <si>
    <t>IP-TFS00E144MMCS-K214-045</t>
  </si>
  <si>
    <t>IP-TFS00E138MMCS-K214-045</t>
  </si>
  <si>
    <t>IP-TFS00E111MMCS-K214-045</t>
  </si>
  <si>
    <t>IP-TFS00E112MMCS-K214-045</t>
  </si>
  <si>
    <t>IP-TFS00E130MMCS-K214-045</t>
  </si>
  <si>
    <t>IP-TFS00E113MMCS-K214-045</t>
  </si>
  <si>
    <t>IP-TFS00E114MMCS-K214-045</t>
  </si>
  <si>
    <t>IP-TFS00E131MMCS-K214-045</t>
  </si>
  <si>
    <t>IP-TFS00E139MMCS-K214-045</t>
  </si>
  <si>
    <t>IP-TFS00E140MMCS-K214-045</t>
  </si>
  <si>
    <t>IP-TFS00E141MMCS-K214-045</t>
  </si>
  <si>
    <t>IP-TFS00E142MMCS-K214-045</t>
  </si>
  <si>
    <t>IP-TFS00E143MMCS-K214-045</t>
  </si>
  <si>
    <t>IP-TFS00E145MMCS-K214-045</t>
  </si>
  <si>
    <t>IP-TFS00E109MMCS-K214-045</t>
  </si>
  <si>
    <t>IP-TFS00E103MMCS-K214-045</t>
  </si>
  <si>
    <t>IP-TFS00E104MMCS-K214-045</t>
  </si>
  <si>
    <t>IP-TFS00E119MMCS-K214-045</t>
  </si>
  <si>
    <t>IP-TFS00E120MMCS-K214-045</t>
  </si>
  <si>
    <t>IP-TFS00E134MMCS-K214-045</t>
  </si>
  <si>
    <t>IP-TFS00E110MMCS-K214-045</t>
  </si>
  <si>
    <t>IP-TFS00E129MMCS-K214-045</t>
  </si>
  <si>
    <t>IP-TFS00E126MMCS-K214-045</t>
  </si>
  <si>
    <t>IP-TFS00E105MMCS-K214-045</t>
  </si>
  <si>
    <t>IP-TFS00E106MMCS-K214-045</t>
  </si>
  <si>
    <t>IP-TFS00E115MMCS-K214-045</t>
  </si>
  <si>
    <t>IP-TFS00E127MMCS-K214-045</t>
  </si>
  <si>
    <t>IP-TFS00I103MMCS-K214-045</t>
  </si>
  <si>
    <t>IP-TFS00I104MMCS-K214-045</t>
  </si>
  <si>
    <t>IP-TFS00I110MMCS-K214-045</t>
  </si>
  <si>
    <t>IP-TFS00I105MMCS-K214-045</t>
  </si>
  <si>
    <t>IP-TFS00I106MMCS-K214-045</t>
  </si>
  <si>
    <t>IP-TFS00I111MMCS-K214-045</t>
  </si>
  <si>
    <t>IP-TFS00E116MMCS-K214-045</t>
  </si>
  <si>
    <t>IP-TFS00E132MMCS-K214-045</t>
  </si>
  <si>
    <t>IP-TFS00E117MMCS-K214-045</t>
  </si>
  <si>
    <t>IP-TFS00E118MMCS-K214-045</t>
  </si>
  <si>
    <t>IP-TFS00E133MMCS-K214-045</t>
  </si>
  <si>
    <t>IP-TFS00E137MMCS-K214-045</t>
  </si>
  <si>
    <t>IP-TFS00D105MMCS-K214-045</t>
  </si>
  <si>
    <t>IP-TFS00D106MMCS-K214-045</t>
  </si>
  <si>
    <t>IP-TFS00D107MMCS-K214-045</t>
  </si>
  <si>
    <t>IP-TFS00D108MMCS-K214-045</t>
  </si>
  <si>
    <t>IP-TFS00D120MMCS-K214-045</t>
  </si>
  <si>
    <t>IP-TFS00K104MMCS-K214-045</t>
  </si>
  <si>
    <t>TFS00T101MMEN</t>
  </si>
  <si>
    <t>TFS00T102MMEN</t>
  </si>
  <si>
    <t>TFS00T103MMEN</t>
  </si>
  <si>
    <t>TFS00T104MMEN</t>
  </si>
  <si>
    <t>TFS00T105MMEN</t>
  </si>
  <si>
    <t>TFS00T106MMEN</t>
  </si>
  <si>
    <t>TFS00T107MMEN</t>
  </si>
  <si>
    <t>TFS00T108MMEN</t>
  </si>
  <si>
    <t>TFS00T109MMEN</t>
  </si>
  <si>
    <t>TFS00T110MMEN</t>
  </si>
  <si>
    <t>TFS00T101MMET</t>
  </si>
  <si>
    <t>TFS00T102MMET</t>
  </si>
  <si>
    <t>TFS00T103MMET</t>
  </si>
  <si>
    <t>TFS00T104MMET</t>
  </si>
  <si>
    <t>TFS00T105MMET</t>
  </si>
  <si>
    <t>TFS00T106MMET</t>
  </si>
  <si>
    <t>TFS00T107MMET</t>
  </si>
  <si>
    <t>TFS00T108MMET</t>
  </si>
  <si>
    <t>TFS00T109MMET</t>
  </si>
  <si>
    <t>TFS00T110MMET</t>
  </si>
  <si>
    <t>TFS00A101MSEN</t>
  </si>
  <si>
    <t>TFS00A102MSEN</t>
  </si>
  <si>
    <t>TFS00A103MSEN</t>
  </si>
  <si>
    <t>TFS00A104MSEN</t>
  </si>
  <si>
    <t>TFS00A105MSEN</t>
  </si>
  <si>
    <t>TFS00A106MSEN</t>
  </si>
  <si>
    <t>TFS00A107MSEN</t>
  </si>
  <si>
    <t>TFS00A108MSEN</t>
  </si>
  <si>
    <t>TFS00B101MSEN</t>
  </si>
  <si>
    <t>TFS00B102MSEN</t>
  </si>
  <si>
    <t>TFS00B103MSEN</t>
  </si>
  <si>
    <t>TFS00B104MSEN</t>
  </si>
  <si>
    <t>TFS00B105MSEN</t>
  </si>
  <si>
    <t>TFS00B106MSEN</t>
  </si>
  <si>
    <t>TFS00B107MSEN</t>
  </si>
  <si>
    <t>TFS00B108MSEN</t>
  </si>
  <si>
    <t>TFS00B109MSEN</t>
  </si>
  <si>
    <t>TFS00B101MMEN</t>
  </si>
  <si>
    <t>TFS00B102MMEN</t>
  </si>
  <si>
    <t>TFS00B103MMEN</t>
  </si>
  <si>
    <t>TFS00B104MMEN</t>
  </si>
  <si>
    <t>TFS00B105MMEN</t>
  </si>
  <si>
    <t>TFS00B106MMEN</t>
  </si>
  <si>
    <t>TFS00B107MMEN</t>
  </si>
  <si>
    <t>TFS00B108MMEN</t>
  </si>
  <si>
    <t>TFS00B109MMEN</t>
  </si>
  <si>
    <t>TFS00A101MMEN</t>
  </si>
  <si>
    <t>TFS00A102MMEN</t>
  </si>
  <si>
    <t>TFS00A103MMEN</t>
  </si>
  <si>
    <t>TFS00A104MMEN</t>
  </si>
  <si>
    <t>TFS00A105MMEN</t>
  </si>
  <si>
    <t>TFS00A106MMEN</t>
  </si>
  <si>
    <t>TFS00A107MMEN</t>
  </si>
  <si>
    <t>TFS00A108MMEN</t>
  </si>
  <si>
    <t>TFS00F101MMPP</t>
  </si>
  <si>
    <t>TFS00A110MMPP</t>
  </si>
  <si>
    <t>TFS00A111MMPP</t>
  </si>
  <si>
    <t>TFS00B101MMPP</t>
  </si>
  <si>
    <t>TFS00B102MMPP</t>
  </si>
  <si>
    <t>TFS00A112MMPP</t>
  </si>
  <si>
    <t>TFS00L101MMPP</t>
  </si>
  <si>
    <t>TFS00B108MMPP</t>
  </si>
  <si>
    <t>TFS00J101MMPP</t>
  </si>
  <si>
    <t>TFS00B103MMPP</t>
  </si>
  <si>
    <t>TFS00B104MMPP</t>
  </si>
  <si>
    <t>TFS00B105MMPP</t>
  </si>
  <si>
    <t>TFS00B106MMPP</t>
  </si>
  <si>
    <t>TFS00B107MMPP</t>
  </si>
  <si>
    <t>TFS00B109MMPP</t>
  </si>
  <si>
    <t>TFS00S101MMPP</t>
  </si>
  <si>
    <t>TFS00W105MMPP</t>
  </si>
  <si>
    <t>TFS00A102MMPP</t>
  </si>
  <si>
    <t>TFS00A105MMPP</t>
  </si>
  <si>
    <t>TFS00A104MMPP</t>
  </si>
  <si>
    <t>TFS00A103MMPP</t>
  </si>
  <si>
    <t>TFS00A107MMPP</t>
  </si>
  <si>
    <t>TFS00A108MMPP</t>
  </si>
  <si>
    <t>TFS00A109MMPP</t>
  </si>
  <si>
    <t>TFS00H101MMPP</t>
  </si>
  <si>
    <t>TFS00L102MMPP</t>
  </si>
  <si>
    <t>TFS00A106MMPP</t>
  </si>
  <si>
    <t>TFS00G101MMPP</t>
  </si>
  <si>
    <t>TFS00A101MSPP</t>
  </si>
  <si>
    <t>TFS00A105MSPP</t>
  </si>
  <si>
    <t>TFS00A106MSPP</t>
  </si>
  <si>
    <t>TFS00A107MSPP</t>
  </si>
  <si>
    <t>TFS00A108MSPP</t>
  </si>
  <si>
    <t>TFS00F101MSPP</t>
  </si>
  <si>
    <t>TFS00F102MSPP</t>
  </si>
  <si>
    <t>TFS00H101MSPP</t>
  </si>
  <si>
    <t>TFS00K102MSPP</t>
  </si>
  <si>
    <t>TFS00A104MSPP</t>
  </si>
  <si>
    <t>TFS00A109MSPP</t>
  </si>
  <si>
    <t>TFS00M005YSCS</t>
  </si>
  <si>
    <t>IP-TFS00M005YSCS-K214-030</t>
  </si>
  <si>
    <t>TFS00M006YSCS</t>
  </si>
  <si>
    <t>IP-TFS00M006YSCS-K214-030</t>
  </si>
  <si>
    <t>TFS00M008YSCS</t>
  </si>
  <si>
    <t>TFS00M002YSCS</t>
  </si>
  <si>
    <t>TFS00M003YSCS</t>
  </si>
  <si>
    <t>IP-TFS00M003YSCS-K214-030</t>
  </si>
  <si>
    <t>TFS00M011YSCS</t>
  </si>
  <si>
    <t>IP-TFS00M011YSCS-K214-030</t>
  </si>
  <si>
    <t>TFS00M012YSCS</t>
  </si>
  <si>
    <t>IP-TFS00M012YSCS-K214-030</t>
  </si>
  <si>
    <t>TFS00M001YSCS</t>
  </si>
  <si>
    <t>IP-TFS00M001YSCS-K214-030</t>
  </si>
  <si>
    <t>IP-TFS00M008YSCS-K214-030</t>
  </si>
  <si>
    <t>IP-TFS00M002YSCS-K214-030</t>
  </si>
  <si>
    <t>IP-TFS00M003YSCS-K214-045</t>
  </si>
  <si>
    <t>IP-TFS00M002YSCS-K214-045</t>
  </si>
  <si>
    <t>IP-TFS00M005YSCS-K214-045</t>
  </si>
  <si>
    <t>IP-TFS00M006YSCS-K214-045</t>
  </si>
  <si>
    <t>IP-TFS00M008YSCS-K214-045</t>
  </si>
  <si>
    <t>IP-TFS00M011YSCS-K214-045</t>
  </si>
  <si>
    <t>IP-TFS00M012YSCS-K214-045</t>
  </si>
  <si>
    <t>IP-TFS00M001YSCS-K214-045</t>
  </si>
  <si>
    <t>IP-TFS00T101MMCS-K214-030</t>
  </si>
  <si>
    <t>IP-TFS00T103MMCS-K214-030</t>
  </si>
  <si>
    <t>IP-TFS00T104MMCS-K214-030</t>
  </si>
  <si>
    <t>IP-TFS00T105MMCS-K214-030</t>
  </si>
  <si>
    <t>IP-TFS00T106MMCS-K214-030</t>
  </si>
  <si>
    <t>IP-TFS00T108MMCS-K214-030</t>
  </si>
  <si>
    <t>IP-TFS00T109MMCS-K214-030</t>
  </si>
  <si>
    <t>IP-TFS00T110MMCS-K214-030</t>
  </si>
  <si>
    <t>IP-TFS00E141MSCS-K214-030</t>
  </si>
  <si>
    <t>IP-TFS00E142MSCS-K214-030</t>
  </si>
  <si>
    <t>IP-TFS00E143MSCS-K214-030</t>
  </si>
  <si>
    <t>IP-TFS00K101MMCS-K214-030</t>
  </si>
  <si>
    <t>IP-TFS00K103MMCS-K214-030</t>
  </si>
  <si>
    <t>IP-TFS00K104MMCS-K214-030</t>
  </si>
  <si>
    <t>IP-TFS00K105MMCS-K214-030</t>
  </si>
  <si>
    <t>IP-TFS00K106MMCS-K214-030</t>
  </si>
  <si>
    <t>IP-TFS00K107MMCS-K214-030</t>
  </si>
  <si>
    <t>IP-TFS00K109MMCS-K214-030</t>
  </si>
  <si>
    <t>IP-TFS00K110MMCS-K214-030</t>
  </si>
  <si>
    <t>IP-TFS00V101MMCS-K214-030</t>
  </si>
  <si>
    <t>IP-TFS00V102MMCS-K214-030</t>
  </si>
  <si>
    <t>IP-TFS00V103MMCS-K214-030</t>
  </si>
  <si>
    <t>IP-TFS00W101MMCS-K214-030</t>
  </si>
  <si>
    <t>IP-TFS00W102MMCS-K214-030</t>
  </si>
  <si>
    <t>IP-TFS00W103MMCS-K214-030</t>
  </si>
  <si>
    <t>IP-TFS00W106MMCS-K214-030</t>
  </si>
  <si>
    <t>IP-TFS00D101MSCS-K214-030</t>
  </si>
  <si>
    <t>IP-TFS00D102MSCS-K214-030</t>
  </si>
  <si>
    <t>IP-TFS00D103MSCS-K214-030</t>
  </si>
  <si>
    <t>IP-TFS00D104MSCS-K214-030</t>
  </si>
  <si>
    <t>IP-TFS00D105MSCS-K214-030</t>
  </si>
  <si>
    <t>IP-TFS00D106MSCS-K214-030</t>
  </si>
  <si>
    <t>IP-TFS00D107MSCS-K214-030</t>
  </si>
  <si>
    <t>IP-TFS00D108MSCS-K214-030</t>
  </si>
  <si>
    <t>IP-TFS00D109MSCS-K214-030</t>
  </si>
  <si>
    <t>IP-TFS00D110MSCS-K214-030</t>
  </si>
  <si>
    <t>IP-TFS00D114MSCS-K214-030</t>
  </si>
  <si>
    <t>IP-TFS00D115MSCS-K214-030</t>
  </si>
  <si>
    <t>IP-TFS00D116MSCS-K214-030</t>
  </si>
  <si>
    <t>IP-TFS00D117MSCS-K214-030</t>
  </si>
  <si>
    <t>IP-TFS00D119MSCS-K214-030</t>
  </si>
  <si>
    <t>IP-TFS00D120MSCS-K214-030</t>
  </si>
  <si>
    <t>IP-TFS00D121MSCS-K214-030</t>
  </si>
  <si>
    <t>IP-TFS00D122MSCS-K214-030</t>
  </si>
  <si>
    <t>IP-TFS00E103MSCS-K214-030</t>
  </si>
  <si>
    <t>IP-TFS00E104MSCS-K214-030</t>
  </si>
  <si>
    <t>IP-TFS00E105MSCS-K214-030</t>
  </si>
  <si>
    <t>IP-TFS00E106MSCS-K214-030</t>
  </si>
  <si>
    <t>IP-TFS00E107MSCS-K214-030</t>
  </si>
  <si>
    <t>IP-TFS00E108MSCS-K214-030</t>
  </si>
  <si>
    <t>IP-TFS00E109MSCS-K214-030</t>
  </si>
  <si>
    <t>IP-TFS00E110MSCS-K214-030</t>
  </si>
  <si>
    <t>IP-TFS00E111MSCS-K214-030</t>
  </si>
  <si>
    <t>IP-TFS00E112MSCS-K214-030</t>
  </si>
  <si>
    <t>IP-TFS00E113MSCS-K214-030</t>
  </si>
  <si>
    <t>IP-TFS00E114MSCS-K214-030</t>
  </si>
  <si>
    <t>IP-TFS00E115MSCS-K214-030</t>
  </si>
  <si>
    <t>IP-TFS00E116MSCS-K214-030</t>
  </si>
  <si>
    <t>IP-TFS00E117MSCS-K214-030</t>
  </si>
  <si>
    <t>IP-TFS00E118MSCS-K214-030</t>
  </si>
  <si>
    <t>IP-TFS00E119MSCS-K214-030</t>
  </si>
  <si>
    <t>IP-TFS00E120MSCS-K214-030</t>
  </si>
  <si>
    <t>IP-TFS00E126MSCS-K214-030</t>
  </si>
  <si>
    <t>IP-TFS00E128MSCS-K214-030</t>
  </si>
  <si>
    <t>IP-TFS00E129MSCS-K214-030</t>
  </si>
  <si>
    <t>IP-TFS00E130MSCS-K214-030</t>
  </si>
  <si>
    <t>IP-TFS00E131MSCS-K214-030</t>
  </si>
  <si>
    <t>IP-TFS00E132MSCS-K214-030</t>
  </si>
  <si>
    <t>IP-TFS00E133MSCS-K214-030</t>
  </si>
  <si>
    <t>IP-TFS00E134MSCS-K214-030</t>
  </si>
  <si>
    <t>IP-TFS00E137MSCS-K214-030</t>
  </si>
  <si>
    <t>IP-TFS00E138MSCS-K214-030</t>
  </si>
  <si>
    <t>IP-TFS00E139MSCS-K214-030</t>
  </si>
  <si>
    <t>IP-TFS00E140MSCS-K214-030</t>
  </si>
  <si>
    <t>IP-TFS00E144MSCS-K214-030</t>
  </si>
  <si>
    <t>IP-TFS00E145MSCS-K214-030</t>
  </si>
  <si>
    <t>IP-TFS00I101MSCS-K214-030</t>
  </si>
  <si>
    <t>IP-TFS00I102MSCS-K214-030</t>
  </si>
  <si>
    <t>IP-TFS00I103MSCS-K214-030</t>
  </si>
  <si>
    <t>IP-TFS00I104MSCS-K214-030</t>
  </si>
  <si>
    <t>IP-TFS00I105MSCS-K214-030</t>
  </si>
  <si>
    <t>IP-TFS00I106MSCS-K214-030</t>
  </si>
  <si>
    <t>IP-TFS00I109MSCS-K214-030</t>
  </si>
  <si>
    <t>IP-TFS00I110MSCS-K214-030</t>
  </si>
  <si>
    <t>IP-TFS00I111MSCS-K214-030</t>
  </si>
  <si>
    <t>IP-TFS00SRUH06CS-K214-045</t>
  </si>
  <si>
    <t>IP-TFS00SRUS01CS-K214-045</t>
  </si>
  <si>
    <t>IP-TFS00SRUV02CS-K214-045</t>
  </si>
  <si>
    <t>IP-TFS00SRUV03CS-K214-045</t>
  </si>
  <si>
    <t>IP-TFS00SRUV04CS-K214-045</t>
  </si>
  <si>
    <t>IP-TFS00SRUV05CS-K214-045</t>
  </si>
  <si>
    <t>TA106 TO TA107 DWHU Connection</t>
  </si>
  <si>
    <t>TA106 TO TA107 SWHU Connection</t>
  </si>
  <si>
    <t>TA105 TO TA106 SWHU Connection</t>
  </si>
  <si>
    <t>Assembly of A Level Steel for Module TD103</t>
  </si>
  <si>
    <t>Assembly of A Level Steel for Module TD101</t>
  </si>
  <si>
    <t>TB107 TO TB108 SWHU Connection</t>
  </si>
  <si>
    <t>TB108 TO TJ101 SWHU Connection</t>
  </si>
  <si>
    <t>TB101 TO TB102 SWHU Connection</t>
  </si>
  <si>
    <t>TB102 TO TB103 SWHU Connection</t>
  </si>
  <si>
    <t>TB103 TO TB104 SWHU Connection</t>
  </si>
  <si>
    <t>TB104 TO TB105 SWHU Connection</t>
  </si>
  <si>
    <t>TB105 TO TB106 SWHU Connection</t>
  </si>
  <si>
    <t>TB106 TO TB107 SWHU Connection</t>
  </si>
  <si>
    <t>TA101 TO TB101 SWHU Connection</t>
  </si>
  <si>
    <t>TB108 TO TB109 SWHU Connection</t>
  </si>
  <si>
    <t>TB101 TO TS101 SWHU Connection</t>
  </si>
  <si>
    <t>TW104 TO TW105 SWHU Connection</t>
  </si>
  <si>
    <t>TA101 TO TA102 SWHU Connection</t>
  </si>
  <si>
    <t>TA104 TO TA105 SWHU Connection</t>
  </si>
  <si>
    <t>TA103 TO TA104 SWHU Connection</t>
  </si>
  <si>
    <t>TA102TO TA103 SWHU Connection</t>
  </si>
  <si>
    <t>TA104 TO TF101 SWHU Connection</t>
  </si>
  <si>
    <t>TA107 TO TA108 SWHU Connection</t>
  </si>
  <si>
    <t>TA108 TO TA109 SWHU Connection</t>
  </si>
  <si>
    <t>TA103 TO TH101 SWHU Connection</t>
  </si>
  <si>
    <t>TL101 TO TL102 SWHU Connection</t>
  </si>
  <si>
    <t>TA109 TO TA110 SWHU Connection</t>
  </si>
  <si>
    <t>TA110 TO TA111 SWHU Connection</t>
  </si>
  <si>
    <t>TA102 TO TG101 SWHU Connection</t>
  </si>
  <si>
    <t>TA111 TO TA112 SWHU Connection</t>
  </si>
  <si>
    <t>TA112 TO TL101 SWHU Connection</t>
  </si>
  <si>
    <t>TA107 TO TA108 SWHU Connection *DWG VOIDED*</t>
  </si>
  <si>
    <t>INSTALLATION OF SHIP LOOSE STEEL ON TA101</t>
  </si>
  <si>
    <t>INSTALLATION OF SHIP LOOSE STEEL ON TA107</t>
  </si>
  <si>
    <t>INSTALLATION OF SHIP LOOSE STEEL ON TA108</t>
  </si>
  <si>
    <t>TA103 TO TA104 DWHU Connection</t>
  </si>
  <si>
    <t>TA105 TO TA106 DWHU Connection</t>
  </si>
  <si>
    <t>TK103 TO TK104 SWHU CONNECTION</t>
  </si>
  <si>
    <t>LP1Y-APL(100)-034012-04</t>
  </si>
  <si>
    <t>LP1Y-WPC-033024-03</t>
  </si>
  <si>
    <t>LP1Y-CHWR-033050-03</t>
  </si>
  <si>
    <t>LP1Y-CHWS-033013-03</t>
  </si>
  <si>
    <t>LP1Y-NG-034009-04</t>
  </si>
  <si>
    <t>LP1Y-N2(100)-034041-04</t>
  </si>
  <si>
    <t>LP1Y-SWP-036050-05</t>
  </si>
  <si>
    <t>LP1Y-PSC-033051-04</t>
  </si>
  <si>
    <t>LP1Y-S(130)-034010-06</t>
  </si>
  <si>
    <t>TK104 TO TK105 SWHU CONNECTION</t>
  </si>
  <si>
    <t>LP1Y-WPC-033024-04</t>
  </si>
  <si>
    <t>LP1Y-CHWR-033050-04</t>
  </si>
  <si>
    <t>LP1Y-CHWS-033013-04</t>
  </si>
  <si>
    <t>LP1Y-NG-034009-05</t>
  </si>
  <si>
    <t>LP1Y-N2(100)-034041-05</t>
  </si>
  <si>
    <t>LP1Y-SWP-036050-06</t>
  </si>
  <si>
    <t>LP1Y-PSC-033051-05</t>
  </si>
  <si>
    <t>LP1Y-APL(100)-034012-05</t>
  </si>
  <si>
    <t>LP1Y-S(130)-034010-07</t>
  </si>
  <si>
    <t>TK105 TO TK106 SWHU CONNECTION</t>
  </si>
  <si>
    <t>LP1Y-WPC-033024-05</t>
  </si>
  <si>
    <t>LP1Y-CHWR-033050-05</t>
  </si>
  <si>
    <t>LP1Y-CHWS-033013-05</t>
  </si>
  <si>
    <t>LP1Y-NG-034009-06</t>
  </si>
  <si>
    <t>LP1Y-N2(100)-034041-06</t>
  </si>
  <si>
    <t>LP1Y-SWP-036050-07</t>
  </si>
  <si>
    <t>LP1Y-PSC-033051-06</t>
  </si>
  <si>
    <t>LP1Y-APL(100)-034012-06</t>
  </si>
  <si>
    <t>LP1Y-S(130)-034010-10</t>
  </si>
  <si>
    <t>LP1Y-CHWS-033013-06</t>
  </si>
  <si>
    <t>LP1Y-NG-034009-07</t>
  </si>
  <si>
    <t>LP1Y-PSC-033051-07</t>
  </si>
  <si>
    <t>LP1Y-S(130)-034010-11</t>
  </si>
  <si>
    <t>TK106 TO TK107 SWHU CONNECTION</t>
  </si>
  <si>
    <t>TK102 TO TK103 SWHU CONNECTION</t>
  </si>
  <si>
    <t>K214-TFS-1128</t>
  </si>
  <si>
    <t>K214-TFS-1129</t>
  </si>
  <si>
    <t>K214-TFS-1130</t>
  </si>
  <si>
    <t>K214-TFS-1131</t>
  </si>
  <si>
    <t>K214-TFS-1132</t>
  </si>
  <si>
    <t>K214-TFS-1133</t>
  </si>
  <si>
    <t>K214-TFS-1134</t>
  </si>
  <si>
    <t>K214-TFS-1135</t>
  </si>
  <si>
    <t>K214-TFS-1136</t>
  </si>
  <si>
    <t>K214-TFS-1137</t>
  </si>
  <si>
    <t>K214-TFS-1138</t>
  </si>
  <si>
    <t>K214-TFS-1153</t>
  </si>
  <si>
    <t>K214-TFS-1154</t>
  </si>
  <si>
    <t>K214-TFS-1155</t>
  </si>
  <si>
    <t>K214-TFS-1156</t>
  </si>
  <si>
    <t>K214-TFS-1157</t>
  </si>
  <si>
    <t>K214-TFS-1158</t>
  </si>
  <si>
    <t>K214-TFS-1159</t>
  </si>
  <si>
    <t>K214-TFS-1160</t>
  </si>
  <si>
    <t>K214-TFS-1161</t>
  </si>
  <si>
    <t>K214-TFS-1162</t>
  </si>
  <si>
    <t>K214-TFS-1163</t>
  </si>
  <si>
    <t>K214-TFS-1164</t>
  </si>
  <si>
    <t>K214-TFS-1165</t>
  </si>
  <si>
    <t>K214-TFS-1166</t>
  </si>
  <si>
    <t>K214-TFS-1167</t>
  </si>
  <si>
    <t>K214-TFS-1168</t>
  </si>
  <si>
    <t>K214-TFS-1169</t>
  </si>
  <si>
    <t>K214-TFS-1170</t>
  </si>
  <si>
    <t>K214-TFS-1171</t>
  </si>
  <si>
    <t>K214-TFS-1172</t>
  </si>
  <si>
    <t>K214-TFS-1173</t>
  </si>
  <si>
    <t>K214-TFS-1174</t>
  </si>
  <si>
    <t>K214-TFS-1175</t>
  </si>
  <si>
    <t>K214-TFS-1176</t>
  </si>
  <si>
    <t>K214-TFS-1177</t>
  </si>
  <si>
    <t>K214-TFS-1178</t>
  </si>
  <si>
    <t>K214-TFS-1179</t>
  </si>
  <si>
    <t>K214-TFS-1180</t>
  </si>
  <si>
    <t>K214-TFS-1181</t>
  </si>
  <si>
    <t>K214-TFS-1182</t>
  </si>
  <si>
    <t>K214-TFS-1183</t>
  </si>
  <si>
    <t>K214-TFS-1184</t>
  </si>
  <si>
    <t>K214-TFS-1185</t>
  </si>
  <si>
    <t>K214-TFS-1186</t>
  </si>
  <si>
    <t>TW101 TO TW102 SWHU CONNECTION</t>
  </si>
  <si>
    <t>LP1Y-NG-034039-03</t>
  </si>
  <si>
    <t>LP1Y-S(130)-034038-03</t>
  </si>
  <si>
    <t>LP1Y-CHWS-033038-03</t>
  </si>
  <si>
    <t>TW102 TO TW101 SWHU CONNECTION</t>
  </si>
  <si>
    <t>INSTALLATION OF SHIP LOOSE STEEL ON TA104</t>
  </si>
  <si>
    <t>%</t>
  </si>
  <si>
    <t>LP1Y-WPC-033024-06</t>
  </si>
  <si>
    <t>TK105 TO TK106 SWHU Connection</t>
  </si>
  <si>
    <t>LP1Y-CHWR-033050-06</t>
  </si>
  <si>
    <t>LP1Y-N2(100)-034041-07</t>
  </si>
  <si>
    <t>LP1Y-SWP-036050-08</t>
  </si>
  <si>
    <t>LP1Y-APL(100)-034012-07</t>
  </si>
  <si>
    <t>LP1Y-WPC-033024-07</t>
  </si>
  <si>
    <t>LP1Y-CHWR-033050-07</t>
  </si>
  <si>
    <t>LP1Y-CHWS-033013-07</t>
  </si>
  <si>
    <t>TK106 TO TK107 SWHU Connection</t>
  </si>
  <si>
    <t>Assembly of Ship Loose Pipe for Module TK103</t>
  </si>
  <si>
    <t>Assembly of Ship Loose Pipe for Module TK105</t>
  </si>
  <si>
    <t>INSTALLATION OF SHIP LOOSE STEEL ON TA105</t>
  </si>
  <si>
    <t>LP1Y-TWSP-017063-04</t>
  </si>
  <si>
    <t>LP1Y-PV-013001-02</t>
  </si>
  <si>
    <t>TFA00A103MM</t>
  </si>
  <si>
    <t>TA102 TO TA103 SWHU Connection</t>
  </si>
  <si>
    <t>LP1Y-H2SO4-178102-02</t>
  </si>
  <si>
    <t>TD116 TO TD114 SWHU CONNECTION</t>
  </si>
  <si>
    <t>LP1Y-AI(100)-019009-19</t>
  </si>
  <si>
    <t>LP1Y-S(130)-034038-04</t>
  </si>
  <si>
    <t>TW103 TO TW102 SWHU CONNECTION</t>
  </si>
  <si>
    <t>LP1Y-CHWS-033038-04</t>
  </si>
  <si>
    <t xml:space="preserve">LP1Y-N2(100)-180087-03 </t>
  </si>
  <si>
    <t>LP1Y-APL(100)019072-18</t>
  </si>
  <si>
    <t>LP1Y-NG-034039-04</t>
  </si>
  <si>
    <t>INSTALLATION OF SHIP LOOSE STEEL ON TF101</t>
  </si>
  <si>
    <t>INSTALLATION OF SHIP LOOSE STEEL ON TF102</t>
  </si>
  <si>
    <t>INSTALLATION OF SHIP LOOSE STEEL ON TH101</t>
  </si>
  <si>
    <t>TA102TO TA103 DWHU Connection</t>
  </si>
  <si>
    <t>INSTALLATION OF SHIPLOOSE STEEL ON TG101</t>
  </si>
  <si>
    <t>TA106 TO TA107 SWHU Connection (VOIDED)</t>
  </si>
  <si>
    <t>TFS00K102</t>
  </si>
  <si>
    <t>TFS00K103</t>
  </si>
  <si>
    <t>TFS00K104</t>
  </si>
  <si>
    <t>TFS00K105</t>
  </si>
  <si>
    <t>TFS00K106</t>
  </si>
  <si>
    <t>TFS00K107</t>
  </si>
  <si>
    <t>TFS00K108</t>
  </si>
  <si>
    <t>TFS00V101</t>
  </si>
  <si>
    <t>TFS00V102</t>
  </si>
  <si>
    <t>LP1Y-PSC-033040-03</t>
  </si>
  <si>
    <t>TD116 VERTICAL SWHU CONNECTION</t>
  </si>
  <si>
    <t>LP1Y-APL(100)-034040-03</t>
  </si>
  <si>
    <t>LP1Y-AWNP-037004-03</t>
  </si>
  <si>
    <t>LP1Y-CHWR-033041-03</t>
  </si>
  <si>
    <t>LP1Y-N2(100)-034037-03</t>
  </si>
  <si>
    <t>LP1Y-PWP-036003-03</t>
  </si>
  <si>
    <t>LP1Y-WPC-033039-03</t>
  </si>
  <si>
    <t>LP1Y-APL(100)-034040-04</t>
  </si>
  <si>
    <t>TW103 TO TW102 DWHU CONNECTION</t>
  </si>
  <si>
    <t>LP1Y-AWNP-037004-04</t>
  </si>
  <si>
    <t>LP1Y-CHWR-033041-04</t>
  </si>
  <si>
    <t>LP1Y-N2(100)-034037-04</t>
  </si>
  <si>
    <t>LP1Y-PWP-036003-04</t>
  </si>
  <si>
    <t>LP1Y-WPC-033039-04</t>
  </si>
  <si>
    <t>LP1Y-S(130)-018131-03</t>
  </si>
  <si>
    <t>TD116 TO TD114 DWHU CONNECTION</t>
  </si>
  <si>
    <t>LP1Y-WFO-017060-19</t>
  </si>
  <si>
    <t>LP1Y-WPC-017061-07</t>
  </si>
  <si>
    <t>LP1Y-H2SO4-100303-03</t>
  </si>
  <si>
    <t>TD117 TO TD115 SWHU CONNECTION</t>
  </si>
  <si>
    <t>LP1Y-STORMP-165114-04</t>
  </si>
  <si>
    <t>LP1Y-SWP-165113-04</t>
  </si>
  <si>
    <t>K214-TFS-1187</t>
  </si>
  <si>
    <t>K214-TFS-1188</t>
  </si>
  <si>
    <t>K214-TFS-1189</t>
  </si>
  <si>
    <t>K214-TFS-1190</t>
  </si>
  <si>
    <t>K214-TFS-1191</t>
  </si>
  <si>
    <t>K214-TFS-1192</t>
  </si>
  <si>
    <t>K214-TFS-1193</t>
  </si>
  <si>
    <t>'K214-TFS-1194</t>
  </si>
  <si>
    <t>K214-TFS-1195</t>
  </si>
  <si>
    <t>K214-TFS-1196</t>
  </si>
  <si>
    <t>K214-TFS-1197</t>
  </si>
  <si>
    <t>K214-TFS-1198</t>
  </si>
  <si>
    <t>K214-TFS-1199</t>
  </si>
  <si>
    <t>K214-TFS-1200</t>
  </si>
  <si>
    <t>K214-TFS-1201</t>
  </si>
  <si>
    <t>K214-TFS-1202</t>
  </si>
  <si>
    <t>K214-TFS-1203</t>
  </si>
  <si>
    <t>K214-TFS-1204</t>
  </si>
  <si>
    <t>K214-TFS-1205</t>
  </si>
  <si>
    <t>K214-TFS-1206</t>
  </si>
  <si>
    <t>K214-TFS-1207</t>
  </si>
  <si>
    <t>K214-TFS-1208</t>
  </si>
  <si>
    <t>K214-TFS-1209</t>
  </si>
  <si>
    <t>K214-TFS-1210</t>
  </si>
  <si>
    <t>'K214-TFS-1211</t>
  </si>
  <si>
    <t>K214-TFS-1212</t>
  </si>
  <si>
    <t>K214-TFS-1213</t>
  </si>
  <si>
    <t>K214-TFS-1215</t>
  </si>
  <si>
    <t>K214-TFS-1216</t>
  </si>
  <si>
    <t>K214-TFS-1217</t>
  </si>
  <si>
    <t>K214-TFS-1218</t>
  </si>
  <si>
    <t>K214-TFS-1219</t>
  </si>
  <si>
    <t>K214-TFS-1220</t>
  </si>
  <si>
    <t>K214-TFS-1221</t>
  </si>
  <si>
    <t>K214-TFS-1222</t>
  </si>
  <si>
    <t>K214-TFS-1223</t>
  </si>
  <si>
    <t>K214-TFS-1224</t>
  </si>
  <si>
    <t>K214-TFS-1225</t>
  </si>
  <si>
    <t>K214-TFS-1226</t>
  </si>
  <si>
    <t>K214-TFS-1227</t>
  </si>
  <si>
    <t>K214-TFS-1228</t>
  </si>
  <si>
    <t>K214-TFS-1229</t>
  </si>
  <si>
    <t>K214-TFS-1230</t>
  </si>
  <si>
    <t>CABLE TRAY INTERCONNECTS ON TK103</t>
  </si>
  <si>
    <t>CABLE TRAY INTERCONNECTS ON TK104</t>
  </si>
  <si>
    <t>CABLE TRAY INTERCONNECTS ON TK105</t>
  </si>
  <si>
    <t>CABLE TRAY INTERCONNECTS ON TK106</t>
  </si>
  <si>
    <t>CABLE TRAY INTERCONNECTS ON TK108</t>
  </si>
  <si>
    <t>CABLE TRAY INTERCONNECTS ON TV101</t>
  </si>
  <si>
    <t>CABLE TRAY INTERCONNECTS ON TV102</t>
  </si>
  <si>
    <t>CABLE TRAY INTERCONNECTS ON TK102</t>
  </si>
  <si>
    <t>TA103 TO TH101 DWHU Connection</t>
  </si>
  <si>
    <t>Hangers Installed</t>
  </si>
  <si>
    <t>TFS00SRU</t>
  </si>
  <si>
    <t>LP1Y-AI(100)-019013-02</t>
  </si>
  <si>
    <t>TD103 TO TD101 SWHU CONNECTION</t>
  </si>
  <si>
    <t>LP1Y-APL(100)-198104-01</t>
  </si>
  <si>
    <t>LP1Y-NAHOH50-101304-02</t>
  </si>
  <si>
    <t>LP1Y-H2SO4-101303-02</t>
  </si>
  <si>
    <t>LP1Y-S(130)-018078-03</t>
  </si>
  <si>
    <t>LP1Y-AWNP-101302-02</t>
  </si>
  <si>
    <t>LP1Y-AWNP-101309-06</t>
  </si>
  <si>
    <t>LP1Y-H2SO4-016001-01</t>
  </si>
  <si>
    <t xml:space="preserve"> TD101 TO TA102 SWHU CONNECTION</t>
  </si>
  <si>
    <t>LP1Y-NAOH50-016002-02</t>
  </si>
  <si>
    <t>CABLE TRAY INTERCONNECTS ON TV103</t>
  </si>
  <si>
    <t>Assembly of Ship Loose Pipe for Module TA103</t>
  </si>
  <si>
    <t>H06V02 PIPE SPOOL INSTALLATION</t>
  </si>
  <si>
    <t>H06V03 PIPE SPOOL INSTALLATION</t>
  </si>
  <si>
    <t>H06V04 PIPE SPOOL INSTALLATION</t>
  </si>
  <si>
    <t>H06V05 PIPE SPOOL INSTALLATION</t>
  </si>
  <si>
    <t>V02V03 PIPE SPOOL INSTALLATION</t>
  </si>
  <si>
    <t>V03V04 PIPE SPOOL INSTALLATION</t>
  </si>
  <si>
    <t>V04V05 PIPE SPOOL INSTALLATION</t>
  </si>
  <si>
    <t>AI(90)(315)861001-01</t>
  </si>
  <si>
    <t>AWNP(315)(108)852004-01</t>
  </si>
  <si>
    <t>PWP(315)(108)854014-01</t>
  </si>
  <si>
    <t>SRACNP(315)P(108)852001-01</t>
  </si>
  <si>
    <t>TWRP(006)(108)854019-01</t>
  </si>
  <si>
    <t>TWSP(006)(108)854018-01</t>
  </si>
  <si>
    <t>CIPS(315)P(108)860010-01</t>
  </si>
  <si>
    <t>PSC(002)(101)862003-01</t>
  </si>
  <si>
    <t>S(130)(002)(103)860001-01</t>
  </si>
  <si>
    <t>N2(100)(315)E860017-01</t>
  </si>
  <si>
    <t>PV(315)(108)859007-01</t>
  </si>
  <si>
    <t>SWP(315)(108)859011-01</t>
  </si>
  <si>
    <t>TWRP(006)(108)856017-01</t>
  </si>
  <si>
    <t>TWRP(006)(108)859010-01</t>
  </si>
  <si>
    <t>TWSP(006)(108)856016-01</t>
  </si>
  <si>
    <t>TWSP-(006)(108)859009-01</t>
  </si>
  <si>
    <t>WPC(036)(108)861023-01</t>
  </si>
  <si>
    <t>ACN(315)P(108)857003-01</t>
  </si>
  <si>
    <t>TWRP(006)(108)857012-01</t>
  </si>
  <si>
    <t>TWRP(006)(108)858020-02</t>
  </si>
  <si>
    <t>TWSP(006)(108)858019-02</t>
  </si>
  <si>
    <t>TWSP(006)(108)857011-01</t>
  </si>
  <si>
    <t>CIPS(315)P(108)860011-01</t>
  </si>
  <si>
    <t>CIPS(315)P(108)860012-01</t>
  </si>
  <si>
    <t>P(315)P(101)853002-01</t>
  </si>
  <si>
    <t>P(315)P(101)855002-01</t>
  </si>
  <si>
    <t>PV(315)(108)854017-01</t>
  </si>
  <si>
    <t>S(002)(103)853006-01</t>
  </si>
  <si>
    <t>S(130)(002)(103)853004-01</t>
  </si>
  <si>
    <t>SC(002)(103)853025-01</t>
  </si>
  <si>
    <t>SC(002)(101)862005-01</t>
  </si>
  <si>
    <t>P(315)P(101)855009-01</t>
  </si>
  <si>
    <t>P(315)P(101)856013-01</t>
  </si>
  <si>
    <t>P(315)P(101)858016-01</t>
  </si>
  <si>
    <t>SC(002)(103)857007-01</t>
  </si>
  <si>
    <t>SC(002)(103)859003-01</t>
  </si>
  <si>
    <t>P(315)P(101)856012-01</t>
  </si>
  <si>
    <t>PV(315)(108)858018-01</t>
  </si>
  <si>
    <t>S(002)(103)857008-01</t>
  </si>
  <si>
    <t>S(130)(002)(103)857006-01</t>
  </si>
  <si>
    <t xml:space="preserve">WAREHOUSE </t>
  </si>
  <si>
    <t>OPERATORS</t>
  </si>
  <si>
    <t>ORIENTATION</t>
  </si>
  <si>
    <t>TF101 TO TF102 SWHU Connection</t>
  </si>
  <si>
    <t>LP1Y-APL(100)-019001-03</t>
  </si>
  <si>
    <t>LP1Y-CHWR-017024-03</t>
  </si>
  <si>
    <t>LP1Y-CHWS-017111-03</t>
  </si>
  <si>
    <t>LP1Y-NG-018012-03</t>
  </si>
  <si>
    <t>INSTALLATION OF SHIP LOOSE STEEL ON TA102</t>
  </si>
  <si>
    <t>LP1Y-WFO-017007-61</t>
  </si>
  <si>
    <t>LP1Y-APL(100)-019074-03</t>
  </si>
  <si>
    <t>LP1Y-AI(100)-019013-03</t>
  </si>
  <si>
    <t>LP1Y-AWNP-101309-10</t>
  </si>
  <si>
    <t>K214-TFS-1233</t>
  </si>
  <si>
    <t>K214-TFS-1234</t>
  </si>
  <si>
    <t>K214-TFS-1235</t>
  </si>
  <si>
    <t>K214-TFS-1236</t>
  </si>
  <si>
    <t>K214-TFS-1237</t>
  </si>
  <si>
    <t>K214-TFS-1238</t>
  </si>
  <si>
    <t>K214-TFS-1239</t>
  </si>
  <si>
    <t>K214-TFS-1240</t>
  </si>
  <si>
    <t>K214-TFS-1241</t>
  </si>
  <si>
    <t>K214-TFS-1232</t>
  </si>
  <si>
    <t>TFS00A103MS</t>
  </si>
  <si>
    <t>K214-TFS-1231</t>
  </si>
  <si>
    <t>TWSP-858019-02</t>
  </si>
  <si>
    <t>TWSP-858020-02</t>
  </si>
  <si>
    <t>H06V05 SWHU CONNECTION</t>
  </si>
  <si>
    <t>INSTALLATION OF STEEL FOR SRU GRATING</t>
  </si>
  <si>
    <t>TOTAL INDIRECTS</t>
  </si>
  <si>
    <t>EXTRA WORK</t>
  </si>
  <si>
    <t>INSTALLATION OF STEEL FOR SRU GIRTS AND SAG RODS</t>
  </si>
  <si>
    <t>K214-TFS-1261</t>
  </si>
  <si>
    <t>K214-TFS-1262</t>
  </si>
  <si>
    <t>K214-TFS-1263</t>
  </si>
  <si>
    <t>K214-TFS-1264</t>
  </si>
  <si>
    <t>K214-TFS-1265</t>
  </si>
  <si>
    <t>K214-TFS-1266</t>
  </si>
  <si>
    <t>K214-TFS-1267</t>
  </si>
  <si>
    <t>K214-TFS-1268</t>
  </si>
  <si>
    <t>K214-TFS-1269</t>
  </si>
  <si>
    <t>K214-TFS-1270</t>
  </si>
  <si>
    <t>K214-TFS-1271</t>
  </si>
  <si>
    <t>K214-TFS-1272</t>
  </si>
  <si>
    <t>K214-TFS-1273</t>
  </si>
  <si>
    <t>K214-TFS-1274</t>
  </si>
  <si>
    <t>K214-TFS-1284</t>
  </si>
  <si>
    <t>K214-TFS-1275</t>
  </si>
  <si>
    <t>K214-TFS-1276</t>
  </si>
  <si>
    <t>K214-TFS-1286</t>
  </si>
  <si>
    <t>K214-TFS-1277</t>
  </si>
  <si>
    <t>K214-TFS-1278</t>
  </si>
  <si>
    <t>K214-TFS-1288</t>
  </si>
  <si>
    <t>K214-TFS-1279</t>
  </si>
  <si>
    <t>K214-TFS-1280</t>
  </si>
  <si>
    <t>K214-TFS-1281</t>
  </si>
  <si>
    <t>K214-TFS-1282</t>
  </si>
  <si>
    <t>K214-TFS-1283</t>
  </si>
  <si>
    <t>K214-TFS-1285</t>
  </si>
  <si>
    <t>K214-TFS-1287</t>
  </si>
  <si>
    <t>K214-TFS-1289</t>
  </si>
  <si>
    <t>K214-TFS-1290</t>
  </si>
  <si>
    <t>K214-TFS-1291</t>
  </si>
  <si>
    <t>K214-TFS-1292</t>
  </si>
  <si>
    <t>K214-TFS-1293</t>
  </si>
  <si>
    <t>K214-TFS-1294</t>
  </si>
  <si>
    <t>K214-TFS-1295</t>
  </si>
  <si>
    <t>K214-TFS-1296</t>
  </si>
  <si>
    <t>K214-TFS-1297</t>
  </si>
  <si>
    <t>K214-TFS-1298</t>
  </si>
  <si>
    <t>K214-TFS-1299</t>
  </si>
  <si>
    <t>K214-TFS-1300</t>
  </si>
  <si>
    <t>K214-TFS-1301</t>
  </si>
  <si>
    <t>K214-TFS-1302</t>
  </si>
  <si>
    <t>K214-TFS-1303</t>
  </si>
  <si>
    <t>K214-TFS-1304</t>
  </si>
  <si>
    <t>K214-TFS-1305</t>
  </si>
  <si>
    <t>K214-TFS-1306</t>
  </si>
  <si>
    <t>K214-TFS-1307</t>
  </si>
  <si>
    <t>K214-TFS-1308</t>
  </si>
  <si>
    <t>K214-TFS-1309</t>
  </si>
  <si>
    <t>K214-TFS-1310</t>
  </si>
  <si>
    <t>K214-TFS-1311</t>
  </si>
  <si>
    <t>K214-TFS-1312</t>
  </si>
  <si>
    <t>TFS00W101</t>
  </si>
  <si>
    <t>TFS00W102</t>
  </si>
  <si>
    <t>TFS00W103</t>
  </si>
  <si>
    <t>PP1 DESCOPE</t>
  </si>
  <si>
    <t>03.01.2026</t>
  </si>
  <si>
    <t>Locating and gathering PP1 material to turn over</t>
  </si>
  <si>
    <t>Original hrs not accuate for all the ship loose steel</t>
  </si>
  <si>
    <t>TK109 TO TK110 SWHU CONNECTION</t>
  </si>
  <si>
    <t>LP1Y-SWP-036050-12</t>
  </si>
  <si>
    <t>LP1Y-N2(100)-034041-11</t>
  </si>
  <si>
    <t>LP1Y-PSC-033051-11</t>
  </si>
  <si>
    <t>LP1Y-S(130)-034010-17</t>
  </si>
  <si>
    <t>LP1Y-APL(100)-034012-10</t>
  </si>
  <si>
    <t>LP1Y-NG-034009-11</t>
  </si>
  <si>
    <t>LP1Y-CHWR-033050-11</t>
  </si>
  <si>
    <t>LP1Y-CHWS-033013-11</t>
  </si>
  <si>
    <t>LP1Y-S(130)-018079-01</t>
  </si>
  <si>
    <t>LP1Y-AWNP-015001-07</t>
  </si>
  <si>
    <t>TA101 TO TA102 DWHU Connection</t>
  </si>
  <si>
    <t>LP1Y-AI(100)-019009-02</t>
  </si>
  <si>
    <t>Assembly of Ship Loose Pipe for Module TA102</t>
  </si>
  <si>
    <t>INSTALLATION OF SHIP LOOSE STEEL ON TA109</t>
  </si>
  <si>
    <t>Installing SRU valve tags (V02)</t>
  </si>
  <si>
    <t>Installing SRU valve tags (V03)</t>
  </si>
  <si>
    <t>Installing SRU valve tags (V04)</t>
  </si>
  <si>
    <t>Installing SRU valve tags (V05)</t>
  </si>
  <si>
    <t>Installing SRU valve tags (H06)</t>
  </si>
  <si>
    <t>INSTALLATION OF SHIP LOOSE STEEL ON TA110</t>
  </si>
  <si>
    <t>INSTALLATION OF SHIP LOOSE STEEL ON TA111</t>
  </si>
  <si>
    <t>GROUNDING INSTALLATION ON TA101</t>
  </si>
  <si>
    <t>GROUNDING INSTALLATION ON TA102</t>
  </si>
  <si>
    <t>GROUNDING INSTALLATION ON TA103</t>
  </si>
  <si>
    <t>GROUNDING INSTALLATION ON TA104</t>
  </si>
  <si>
    <t>GROUNDING INSTALLATION ON TA105</t>
  </si>
  <si>
    <t>GROUNDING INSTALLATION ON TA106</t>
  </si>
  <si>
    <t>GROUNDING INSTALLATION ON TA107</t>
  </si>
  <si>
    <t>GROUNDING INSTALLATION ON TA108</t>
  </si>
  <si>
    <t>GROUNDING INSTALLATION ON TA109</t>
  </si>
  <si>
    <t>GROUNDING INSTALLATION ON TA110</t>
  </si>
  <si>
    <t>GROUNDING INSTALLATION ON TA111</t>
  </si>
  <si>
    <t>GROUNDING INSTALLATION ON TA112</t>
  </si>
  <si>
    <t>GROUNDING INSATALLATION ON TB101</t>
  </si>
  <si>
    <t>GROUNDING INSATALLATION ON TB102</t>
  </si>
  <si>
    <t>GROUNDING INSATALLATION ON TB103</t>
  </si>
  <si>
    <t>GROUNDING INSATALLATION ON TB104</t>
  </si>
  <si>
    <t>GROUNDING INSATALLATION ON TB105</t>
  </si>
  <si>
    <t>GROUNDING INSATALLATION ON TB106</t>
  </si>
  <si>
    <t>GROUNDING INSATALLATION ON TB107</t>
  </si>
  <si>
    <t>GROUNDING INSATALLATION ON TB108</t>
  </si>
  <si>
    <t>GROUNDING INSATALLATION ON TB109</t>
  </si>
  <si>
    <t>GROUNDING INSATALLATION ON TK102</t>
  </si>
  <si>
    <t>GROUNDING INSATALLATION ON TK103</t>
  </si>
  <si>
    <t>GROUNDING INSATALLATION ON TK104</t>
  </si>
  <si>
    <t>GROUNDING INSATALLATION ON TK105</t>
  </si>
  <si>
    <t>GROUNDING INSATALLATION ON TK106</t>
  </si>
  <si>
    <t>GROUNDING INSATALLATION ON TK107</t>
  </si>
  <si>
    <t>GROUNDING INSATALLATION ON TK108</t>
  </si>
  <si>
    <t>GROUNDING INSATALLATION ON TV101</t>
  </si>
  <si>
    <t>GROUNDING INSATALLATION ON TV102</t>
  </si>
  <si>
    <t>GROUNDING INSATALLATION ON TW101</t>
  </si>
  <si>
    <t>GROUNDING INSATALLATION ON TW102</t>
  </si>
  <si>
    <t>GROUNDING INSATALLATION ON TW103</t>
  </si>
  <si>
    <t>GROUNDING INSTALLATION ON TW104</t>
  </si>
  <si>
    <t>GROUNDING INSTALLTION ON TW105</t>
  </si>
  <si>
    <t>GROUNDING INSTALLTION ON TS101</t>
  </si>
  <si>
    <t>TFS00A109MSEN</t>
  </si>
  <si>
    <t>TFS00A110MSEN</t>
  </si>
  <si>
    <t>TFS00A111MSEN</t>
  </si>
  <si>
    <t>TFSA00112MSEN</t>
  </si>
  <si>
    <t>TFS00W104</t>
  </si>
  <si>
    <t>TFS00W105</t>
  </si>
  <si>
    <t>TFS00S101</t>
  </si>
  <si>
    <t>INSTALLATION OF SHIP LOOSE STEEL ON TA103</t>
  </si>
  <si>
    <t>INSTALLATION OF SHIP LOOSE STEEL ON TB101</t>
  </si>
  <si>
    <t>INSTALLATION OF SHIP LOOSE STEEL ON TB102</t>
  </si>
  <si>
    <t>INSTALLATION OF SHIP LOOSE STEEL ON TB103</t>
  </si>
  <si>
    <t>INSTALLATION OF SHIP LOOSE STEEL ON TB104</t>
  </si>
  <si>
    <t>INSTALLATION OF SHIP LOOSE STEEL ON TB105</t>
  </si>
  <si>
    <t>INSTALLATION OF SHIP LOOSE STEEL ON TB106</t>
  </si>
  <si>
    <t>INSTALLATION OF SHIP LOOSE STEEL ON TB107</t>
  </si>
  <si>
    <t>INSTALLATION OF SHIP LOOSE STEEL ON TB108</t>
  </si>
  <si>
    <t>INSTALLATION OF SHIP LOOSE STEEL ON TB109</t>
  </si>
  <si>
    <t>MS STEEL ON TK110</t>
  </si>
  <si>
    <t>TFS00A102MS</t>
  </si>
  <si>
    <t>TN</t>
  </si>
  <si>
    <t>LP1Y-CHWR-033050-09</t>
  </si>
  <si>
    <t>LP1Y-CHWS-033013-09</t>
  </si>
  <si>
    <t>TK107 TO TK108 SWHU CONNECTION</t>
  </si>
  <si>
    <t>LP1Y-APL(100)-034012-09</t>
  </si>
  <si>
    <t>LP1Y-N2(100)-034041-09</t>
  </si>
  <si>
    <t>LP1Y-SWP-036050-10</t>
  </si>
  <si>
    <t>LP1Y-NG-034009-09</t>
  </si>
  <si>
    <t>LP1Y-PSC-033051-09</t>
  </si>
  <si>
    <t>LP1Y-S(130)-034010-13</t>
  </si>
  <si>
    <t>IFC REVISION</t>
  </si>
  <si>
    <t>03.15.2026</t>
  </si>
  <si>
    <t>STANDBY/WEATHER</t>
  </si>
  <si>
    <t>K214-TFS-1335</t>
  </si>
  <si>
    <t>K214-TFS-1313</t>
  </si>
  <si>
    <t>K214-TFS-1336</t>
  </si>
  <si>
    <t>K214-TFS-1337</t>
  </si>
  <si>
    <t>K214-TFS-1338</t>
  </si>
  <si>
    <t>K214-TFS-1339</t>
  </si>
  <si>
    <t>K214-TFS-1314</t>
  </si>
  <si>
    <t>K214-TFS-1315</t>
  </si>
  <si>
    <t>K214-TFS-1316</t>
  </si>
  <si>
    <t>K214-TFS-1317</t>
  </si>
  <si>
    <t>K214-TFS-1318</t>
  </si>
  <si>
    <t>K214-TFS-1319</t>
  </si>
  <si>
    <t>K214-TFS-1320</t>
  </si>
  <si>
    <t>K214-TFS-1321</t>
  </si>
  <si>
    <t>K214-TFS-1322</t>
  </si>
  <si>
    <t>K214-TFS-1323</t>
  </si>
  <si>
    <t>K214-TFS-1324</t>
  </si>
  <si>
    <t>K214-TFS-1325</t>
  </si>
  <si>
    <t>K214-TFS-1326</t>
  </si>
  <si>
    <t>K214-TFS-1327</t>
  </si>
  <si>
    <t>K214-TFS-1328</t>
  </si>
  <si>
    <t>K214-TFS-1329</t>
  </si>
  <si>
    <t>K214-TFS-1330</t>
  </si>
  <si>
    <t>K214-TFS-1331</t>
  </si>
  <si>
    <t>K214-TFS-1332</t>
  </si>
  <si>
    <t>K214-TFS-1333</t>
  </si>
  <si>
    <t>LP1Y-TWRP-017021-02</t>
  </si>
  <si>
    <t>LP1Y-S(130)-018051-01</t>
  </si>
  <si>
    <t>Assembly of A Level Steel for Module TD105</t>
  </si>
  <si>
    <t>Split A-LVL into separate record</t>
  </si>
  <si>
    <t>TK108 TO TK109 DWHU CONNECTION</t>
  </si>
  <si>
    <t>K214-TFS-1358</t>
  </si>
  <si>
    <t>K214-TFS-1359</t>
  </si>
  <si>
    <t>K214-TFS-1360</t>
  </si>
  <si>
    <t>K214-TFS-1361</t>
  </si>
  <si>
    <t>K214-TFS-1362</t>
  </si>
  <si>
    <t>K214-TFS-1363</t>
  </si>
  <si>
    <t>K214-TFS-1364</t>
  </si>
  <si>
    <t>K214-TFS-1365</t>
  </si>
  <si>
    <t>K214-TFS-1366</t>
  </si>
  <si>
    <t>K214-TFS-1367</t>
  </si>
  <si>
    <t>LP1Y-PSC-033040-04</t>
  </si>
  <si>
    <t>TA108 TO TA109 DWHU Connection</t>
  </si>
  <si>
    <t>Not a DWHU</t>
  </si>
  <si>
    <t>LP1Y-AWNP-015003-08</t>
  </si>
  <si>
    <t>LP1Y-DMSO-010012-07</t>
  </si>
  <si>
    <t>LP1Y-TWSP-017016-03</t>
  </si>
  <si>
    <t>02.22.2026
03.01.2026
03.08.2026
03.15.2026
03.20.2026</t>
  </si>
  <si>
    <t> </t>
  </si>
  <si>
    <t>SRU Scope</t>
  </si>
  <si>
    <t>03.08.2026</t>
  </si>
  <si>
    <t>Support + Conduit Installed, Rework of EHT, Installed Equipment</t>
  </si>
  <si>
    <t>CHANGE ORDER FOR STEEL SUPPORTS ON TT RACK</t>
  </si>
  <si>
    <t>SRU scope</t>
  </si>
  <si>
    <t>60' RMC</t>
  </si>
  <si>
    <t>60' RMC, 24' Strut support installed.</t>
  </si>
  <si>
    <t>03.16.2026</t>
  </si>
  <si>
    <t>WINDOUT - WEATHER (TFS)</t>
  </si>
  <si>
    <t>03.17.2026</t>
  </si>
  <si>
    <t>03.18.2026</t>
  </si>
  <si>
    <t>OVERHEAD CRANE WORK CAUSED REDIRECT OF WORK</t>
  </si>
  <si>
    <t>03.19.2026</t>
  </si>
  <si>
    <t>SCAFFOLD MODS IN AREA AND EQUIPMENT (FROM OTHERS) IN THE WAY</t>
  </si>
  <si>
    <t>40' RMC</t>
  </si>
  <si>
    <t>SRU CONDUIT, KNOCKOUTS, SUPPORTS</t>
  </si>
  <si>
    <t>75' RMC</t>
  </si>
  <si>
    <t>SRU LIGHTING CONDUIT, KNOCKOUTS, SUPPORTS</t>
  </si>
  <si>
    <t>03.20.2026</t>
  </si>
  <si>
    <t>A LEVEL CABLE TRAY ON TA101</t>
  </si>
  <si>
    <t>A LEVEL CABLE TRAY ON TA102</t>
  </si>
  <si>
    <t>A LEVEL CABLE TRAY ON TA103</t>
  </si>
  <si>
    <t>A LEVEL CABLE TRAY ON TA104</t>
  </si>
  <si>
    <t>A LEVEL CABLE TRAY ON TA105</t>
  </si>
  <si>
    <t>A LEVEL CABLE TRAY ON TA106</t>
  </si>
  <si>
    <t>A LEVEL CABLE TRAY ON TA107</t>
  </si>
  <si>
    <t>A LEVEL CABLE TRAY ON TA108</t>
  </si>
  <si>
    <t>A LEVEL CABLE TRAY ON TA109</t>
  </si>
  <si>
    <t>A LEVEL CABLE TRAY ON TA110</t>
  </si>
  <si>
    <t>A LEVEL CABLE TRAY ON TA111</t>
  </si>
  <si>
    <t>A LEVEL CABLE TRAY ON TA112</t>
  </si>
  <si>
    <t>A LEVEL CABLE TRAY ON TB101</t>
  </si>
  <si>
    <t>A LEVEL CABLE TRAY  ON TB102</t>
  </si>
  <si>
    <t>A LEVEL CABLE TRAY  ON TB103</t>
  </si>
  <si>
    <t>A LEVEL CABLE TRAY ON TB104</t>
  </si>
  <si>
    <t>A LEVEL CABLE TRAY ON TB105</t>
  </si>
  <si>
    <t>A LEVEL CABLE TRAY ON TB106</t>
  </si>
  <si>
    <t>A LEVEL CABLE TRAY ON TB107</t>
  </si>
  <si>
    <t>A LEVEL CABLE TRAY ON TB108</t>
  </si>
  <si>
    <t>A LEVEL CABLE TRAY ON TB109</t>
  </si>
  <si>
    <t>CABLE TRAY INTERCONNECTS ON TW101</t>
  </si>
  <si>
    <t>CABLE TRAY INTERCONNECTS ON TW102</t>
  </si>
  <si>
    <t>CABLE TRAY INTERCONNECTS ON TW103</t>
  </si>
  <si>
    <t>03.15.2026
03.20.2026</t>
  </si>
  <si>
    <t>15 WE 03.20.2026</t>
  </si>
  <si>
    <t>LP1Y-DMF-062302-06</t>
  </si>
  <si>
    <t>LP1Y-NAOH50-032002-10</t>
  </si>
  <si>
    <t>LP1Y-TFA-010004-08</t>
  </si>
  <si>
    <t>A Level Cable Tray Installation</t>
  </si>
  <si>
    <t>Piers became available and module was set (should have been claimed out previously but got missed)</t>
  </si>
  <si>
    <t>Assembly of A level Steel for Module TE141</t>
  </si>
  <si>
    <t>K214-TFS-1369</t>
  </si>
  <si>
    <t>K214-TFS-1370</t>
  </si>
  <si>
    <t>K214-TFS-1371</t>
  </si>
  <si>
    <t>K214-TFS-1372</t>
  </si>
  <si>
    <t>K214-TFS-1373</t>
  </si>
  <si>
    <t>K214-TFS-1374</t>
  </si>
  <si>
    <t>K214-TFS-1375</t>
  </si>
  <si>
    <t>K214-TFS-1376</t>
  </si>
  <si>
    <t>K214-TFS-1377</t>
  </si>
  <si>
    <t>K214-TFS-1378</t>
  </si>
  <si>
    <t>K214-TFS-1379</t>
  </si>
  <si>
    <t>K214-TFS-1380</t>
  </si>
  <si>
    <t>K214-TFS-1381</t>
  </si>
  <si>
    <t>K214-TFS-1382</t>
  </si>
  <si>
    <t>K214-TFS-1383</t>
  </si>
  <si>
    <t>K214-TFS-1384</t>
  </si>
  <si>
    <t>K214-TFS-1385</t>
  </si>
  <si>
    <t>K214-TFS-1386</t>
  </si>
  <si>
    <t>K214-TFS-1387</t>
  </si>
  <si>
    <t>K214-TFS-1388</t>
  </si>
  <si>
    <t>K214-TFS-1389</t>
  </si>
  <si>
    <t>PROGRESS PERIOD DATE: 2026-03-27</t>
  </si>
  <si>
    <t>LP1Y-WFO-017007-50</t>
  </si>
  <si>
    <t>LP1Y-DMF-065102-06 (SUPERSEDED)</t>
  </si>
  <si>
    <t>Drawing Superseded</t>
  </si>
  <si>
    <t>LP1Y-SWP-036050-11</t>
  </si>
  <si>
    <t>LP1Y-WPC-033024-09</t>
  </si>
  <si>
    <t>LP1Y-AWNP-037004-02</t>
  </si>
  <si>
    <t>LP1Y-APL(100)-034040-02</t>
  </si>
  <si>
    <t>LP1Y-S(130)-034038-02</t>
  </si>
  <si>
    <t>LP1Y-PSC-033040-02</t>
  </si>
  <si>
    <t>LP1Y-CHWS-033038-02</t>
  </si>
  <si>
    <t>LP1Y-CHWR-033041-02</t>
  </si>
  <si>
    <t>LP1Y-PWP-036003-02</t>
  </si>
  <si>
    <t>LP1Y-NG-034039-02</t>
  </si>
  <si>
    <t>LP1Y-N2(100)-034037-02</t>
  </si>
  <si>
    <t>TS101 TO TW101 SWHU Connection</t>
  </si>
  <si>
    <t>TW103 TO TW104 SWHU Connection</t>
  </si>
  <si>
    <t>LP1Y-WFO-017060-11</t>
  </si>
  <si>
    <t>Assembly of A Level Steel for Module TD107</t>
  </si>
  <si>
    <t>INSTALLATION OF SHIP LOOSE STEEL ON TD101</t>
  </si>
  <si>
    <t>INSTALLATION OF SHIP LOOSE STEEL ON TD103</t>
  </si>
  <si>
    <t>728.5 hrs WE 03.27.2026</t>
  </si>
  <si>
    <t>398.75 hrs WE 03.27.2026</t>
  </si>
  <si>
    <t>184 hrs WE 03.27.2026</t>
  </si>
  <si>
    <t>0 WE 03.27.2026 (STDB due to others and weather out)</t>
  </si>
  <si>
    <t>02.15.2026
02.22.2026
03.01.2026
03.08.2025
03.15.2026
03.20.2026
03.27.2026</t>
  </si>
  <si>
    <t>02.15.2026
02.22.2026
03.01.2026
03.08.2026
03.15.2026
03.20.2026
03.27.2026</t>
  </si>
  <si>
    <t>1992.25 hrs for WE 03.27.2026</t>
  </si>
  <si>
    <t>02.22.2026
03.01.2026
03.08.2026
03.15.2026
03.20.2026
03.27.2026</t>
  </si>
  <si>
    <t>TFS00A109MMEN</t>
  </si>
  <si>
    <t>IP-TFS00A109MMEN-K214-160</t>
  </si>
  <si>
    <t>60.TA109-M.F</t>
  </si>
  <si>
    <t>TFS00A110MMEN</t>
  </si>
  <si>
    <t>IP-TFS00A110MMEN-K214-160</t>
  </si>
  <si>
    <t>60.TA110-M.F</t>
  </si>
  <si>
    <t>TFS00A111MMEN</t>
  </si>
  <si>
    <t>IP-TFS00A111MMEN-K214-160</t>
  </si>
  <si>
    <t>60.TA111-M.F</t>
  </si>
  <si>
    <t>TFS00A112MMEN</t>
  </si>
  <si>
    <t>IP-TFS00A112MMEN-K214-160</t>
  </si>
  <si>
    <t>60.TA112-M.F</t>
  </si>
  <si>
    <t>K214-TFS-1090</t>
  </si>
  <si>
    <t>K214-TFS-1091</t>
  </si>
  <si>
    <t>K214-TFS-1092</t>
  </si>
  <si>
    <t>K214-TFS-1093</t>
  </si>
  <si>
    <t>K214-TFS-1094</t>
  </si>
  <si>
    <t>K214-TFS-1095</t>
  </si>
  <si>
    <t>K214-TFS-1096</t>
  </si>
  <si>
    <t>K214-TFS-1097</t>
  </si>
  <si>
    <t>K214-TFS-1098</t>
  </si>
  <si>
    <t>TFS00T101MSEN</t>
  </si>
  <si>
    <t>IP-TFS00T101MSEN-K214-060</t>
  </si>
  <si>
    <t>REDESIGN</t>
  </si>
  <si>
    <t>TFS00T102MSEN</t>
  </si>
  <si>
    <t>IP-TFS00T102MSEN-K214-060</t>
  </si>
  <si>
    <t>TFS00T103MSEN</t>
  </si>
  <si>
    <t>IP-TFS00T103MSEN-K214-060</t>
  </si>
  <si>
    <t>TFS00T104MSEN</t>
  </si>
  <si>
    <t>IP-TFS00T104MSEN-K214-060</t>
  </si>
  <si>
    <t>TFS00T105MSEN</t>
  </si>
  <si>
    <t>IP-TFS00T105MSEN-K214-060</t>
  </si>
  <si>
    <t>TFS00T106MSEN</t>
  </si>
  <si>
    <t>IP-TFS00T106MSEN-K214-060</t>
  </si>
  <si>
    <t>TFS00T107MSEN</t>
  </si>
  <si>
    <t>IP-TFS00T107MSEN-K214-060</t>
  </si>
  <si>
    <t>TFS00T108MSEN</t>
  </si>
  <si>
    <t>IP-TFS00T108MSEN-K214-060</t>
  </si>
  <si>
    <t>TFS00T109MSEN</t>
  </si>
  <si>
    <t>IP-TFS00T109MSEN-K214-060</t>
  </si>
  <si>
    <t>TFS00T110MSEN</t>
  </si>
  <si>
    <t>IP-TFS00T110MSEN-K214-060</t>
  </si>
  <si>
    <t>CABLE TRAY INTERCONNECTSON TK107</t>
  </si>
  <si>
    <t>OFF-MODULE TRAY - TFS00A101</t>
  </si>
  <si>
    <t>OFF-MODULE TRAY - TFS00A102</t>
  </si>
  <si>
    <t>OFF-MODULE TRAY - TFS00A103</t>
  </si>
  <si>
    <t>OFF-MODULE TRAY - TFS00A104</t>
  </si>
  <si>
    <t>OFF-MODULE TRAY - TFS00A105</t>
  </si>
  <si>
    <t>OFF-MODULE TRAY - TFS00A106</t>
  </si>
  <si>
    <t>OFF-MODULE TRAY - TFS00A107</t>
  </si>
  <si>
    <t>OFF-MODULE TRAY - TFS00A108</t>
  </si>
  <si>
    <t>IP-TFS00A109MSEN-K214-060</t>
  </si>
  <si>
    <t>OFF-MODULE TRAY - TFS00A109</t>
  </si>
  <si>
    <t>IP-TFS00A110MSEN-K214-060</t>
  </si>
  <si>
    <t>OFF-MODULE TRAY - TFS00A110</t>
  </si>
  <si>
    <t>IP-TFS00A111MSEN-K214-060</t>
  </si>
  <si>
    <t>OFF-MODULE TRAY - TFS00A111</t>
  </si>
  <si>
    <t>TFS00A112MSEN</t>
  </si>
  <si>
    <t>IP-TFS00A112MSEN-K214-060</t>
  </si>
  <si>
    <t>OFF-MODULE TRAY - TFS00A112</t>
  </si>
  <si>
    <t>OFF-MODULE TRAY - TFS00B101</t>
  </si>
  <si>
    <t>OFF-MODULE TRAY - TFS00B102</t>
  </si>
  <si>
    <t>OFF-MODULE TRAY - TFS00B103</t>
  </si>
  <si>
    <t>OFF-MODULE TRAY - TFS00B104</t>
  </si>
  <si>
    <t>OFF-MODULE TRAY - TFS00B105</t>
  </si>
  <si>
    <t>OFF-MODULE TRAY - TFS00B106</t>
  </si>
  <si>
    <t>OFF-MODULE TRAY - TFS00B107</t>
  </si>
  <si>
    <t>OFF-MODULE TRAY - TFS00B108</t>
  </si>
  <si>
    <t>OFF-MODULE TRAY - TFS00B109</t>
  </si>
  <si>
    <t>TFS00F101MSEN</t>
  </si>
  <si>
    <t>IP-TFS00F101MSEN-K214-060</t>
  </si>
  <si>
    <t>60.TF101-M.F</t>
  </si>
  <si>
    <t>OFF-MODULE TRAY - TFS00F101</t>
  </si>
  <si>
    <t>TFS00F102MSEN</t>
  </si>
  <si>
    <t>IP-TFS00F102MSEN-K214-060</t>
  </si>
  <si>
    <t>60.TF102-M.F</t>
  </si>
  <si>
    <t>OFF-MODULE TRAY - TFS00F102</t>
  </si>
  <si>
    <t>TFS00G101MSEN</t>
  </si>
  <si>
    <t>IP-TFS00G101MSEN-K214-060</t>
  </si>
  <si>
    <t>60.TG101-M.F</t>
  </si>
  <si>
    <t>OFF-MODULE TRAY - TFS00G101</t>
  </si>
  <si>
    <t>TFS00J101MSEN</t>
  </si>
  <si>
    <t>IP-TFS00J101MSEN-K214-060</t>
  </si>
  <si>
    <t>60.TJ101-M.F</t>
  </si>
  <si>
    <t>OFF-MODULE TRAY - TFS00J101</t>
  </si>
  <si>
    <t>TFS00K101MSEN</t>
  </si>
  <si>
    <t>IP-TFS00K101MSEN-K214-060</t>
  </si>
  <si>
    <t>60.TK101-M.F</t>
  </si>
  <si>
    <t>OFF-MODULE TRAY - TFS00K101</t>
  </si>
  <si>
    <t>TFS00K103MSEN</t>
  </si>
  <si>
    <t>IP-TFS00K103MSEN-K214-060</t>
  </si>
  <si>
    <t>60.TK103-M.F</t>
  </si>
  <si>
    <t>OFF-MODULE TRAY - TFS00K103</t>
  </si>
  <si>
    <t>TFS00K105MSEN</t>
  </si>
  <si>
    <t>IP-TFS00K105MSEN-K214-060</t>
  </si>
  <si>
    <t>60.TK105-M.F</t>
  </si>
  <si>
    <t>OFF-MODULE TRAY - TFS00K105</t>
  </si>
  <si>
    <t>TFS00K106MSEN</t>
  </si>
  <si>
    <t>IP-TFS00K106MSEN-K214-060</t>
  </si>
  <si>
    <t>60.TK106-M.F</t>
  </si>
  <si>
    <t>OFF-MODULE TRAY - TFS00K106</t>
  </si>
  <si>
    <t>TFS00K107MSEN</t>
  </si>
  <si>
    <t>IP-TFS00K107MSEN-K214-060</t>
  </si>
  <si>
    <t>60.TK107-M.F</t>
  </si>
  <si>
    <t>OFF-MODULE TRAY - TFS00K107</t>
  </si>
  <si>
    <t>TFS00K108MSEN</t>
  </si>
  <si>
    <t>IP-TFS00K108MSEN-K214-060</t>
  </si>
  <si>
    <t>60.TK108-M.F</t>
  </si>
  <si>
    <t>OFF-MODULE TRAY - TFS00K108</t>
  </si>
  <si>
    <t>TFS00K109MSEN</t>
  </si>
  <si>
    <t>IP-TFS00K109MSEN-K214-060</t>
  </si>
  <si>
    <t>60.TK109-M.F</t>
  </si>
  <si>
    <t>OFF-MODULE TRAY - TFS00K109</t>
  </si>
  <si>
    <t>TFS00K110MSEN</t>
  </si>
  <si>
    <t>IP-TFS00K110MSEN-K214-060</t>
  </si>
  <si>
    <t>60.TK110-M.F</t>
  </si>
  <si>
    <t>OFF-MODULE TRAY - TFS00K110</t>
  </si>
  <si>
    <t>TFS00S101MSEN</t>
  </si>
  <si>
    <t>IP-TFS00S101MSEN-K214-060</t>
  </si>
  <si>
    <t>60.TS101-M.F</t>
  </si>
  <si>
    <t>OFF-MODULE TRAY - TFS00S101</t>
  </si>
  <si>
    <t>TFS00W101MSEN</t>
  </si>
  <si>
    <t>IP-TFS00W101MSEN-K214-060</t>
  </si>
  <si>
    <t>60.TW101-M.F</t>
  </si>
  <si>
    <t>OFF-MODULE TRAY - TFS00W101</t>
  </si>
  <si>
    <t>TFS00W102MSEN</t>
  </si>
  <si>
    <t>IP-TFS00W102MSEN-K214-060</t>
  </si>
  <si>
    <t>60.TW102-M.F</t>
  </si>
  <si>
    <t>OFF-MODULE TRAY - TFS00W102</t>
  </si>
  <si>
    <t>TFS00W103MSEN</t>
  </si>
  <si>
    <t>IP-TFS00W103MSEN-K214-060</t>
  </si>
  <si>
    <t>60.TW103-M.F</t>
  </si>
  <si>
    <t>OFF-MODULE TRAY - TFS00W103</t>
  </si>
  <si>
    <t>TFS00W104MSEN</t>
  </si>
  <si>
    <t>IP-TFS00W104MSEN-K214-060</t>
  </si>
  <si>
    <t>60.TW104-M.F</t>
  </si>
  <si>
    <t>OFF-MODULE TRAY - TFS00W104</t>
  </si>
  <si>
    <t>TFS00W106MSEN</t>
  </si>
  <si>
    <t>IP-TFS00W106MSEN-K214-060</t>
  </si>
  <si>
    <t>60.TW106-M.F</t>
  </si>
  <si>
    <t>OFF-MODULE TRAY - TFS00W106</t>
  </si>
  <si>
    <t>OFF MOD TRAY ESTIMATE</t>
  </si>
  <si>
    <t>03.29.2026</t>
  </si>
  <si>
    <t>40'</t>
  </si>
  <si>
    <t>3/4'' RMC Installed</t>
  </si>
  <si>
    <t>1'' RMC Installed</t>
  </si>
  <si>
    <t>90'</t>
  </si>
  <si>
    <t>2'' RMC Installed</t>
  </si>
  <si>
    <t>Strut Supports for RMC</t>
  </si>
  <si>
    <t>TB Rack Interconnect Plate Swap</t>
  </si>
  <si>
    <t>Expansion Plate swap on TB Interconnects</t>
  </si>
  <si>
    <t>TA Work to Go trays</t>
  </si>
  <si>
    <t>130'</t>
  </si>
  <si>
    <t>Installed trays that were designated (Work to go) from mod yard.</t>
  </si>
  <si>
    <t>709.75 hrs WE 03.27.2026</t>
  </si>
  <si>
    <t>Assembly of Ship Loose Pipe for Module TA110</t>
  </si>
  <si>
    <t>Assembly of Ship Loose Pipe for Module TA111</t>
  </si>
  <si>
    <t>Assembly of Ship Loose Pipe for Module TA112</t>
  </si>
  <si>
    <t>LP1Y-DMSO-010012-08</t>
  </si>
  <si>
    <t>A-LVL STEEL INSTALLATION ON TD101</t>
  </si>
  <si>
    <t>A-LVL STEEL INSTALLATION ON TD103</t>
  </si>
  <si>
    <t>A-LVL STEEL INSTALLATION ON TD105</t>
  </si>
  <si>
    <t>A-LVL STEEL INSTALLATION ON TD107</t>
  </si>
  <si>
    <t>A-LVL STEEL INSTALLATION ON TE141</t>
  </si>
  <si>
    <t>MS STEEL ON TG101</t>
  </si>
  <si>
    <t>MS STEEL ON TA101</t>
  </si>
  <si>
    <t>MS STEEL ON TA107</t>
  </si>
  <si>
    <t>MS STEEL ON TA108</t>
  </si>
  <si>
    <t>MS STEEL ON TA104</t>
  </si>
  <si>
    <t>MS STEEL ON TA105</t>
  </si>
  <si>
    <t>MS STEEL ON TF101</t>
  </si>
  <si>
    <t>MS STEEL ON TF102</t>
  </si>
  <si>
    <t>MS STEEL ON TH101</t>
  </si>
  <si>
    <t>MS STEEL ON TA102</t>
  </si>
  <si>
    <t>MS STEEL ON TA109</t>
  </si>
  <si>
    <t>MS STEEL ON TA110</t>
  </si>
  <si>
    <t>MS STEEL ON TA111</t>
  </si>
  <si>
    <t>MS STEEL ON TA103</t>
  </si>
  <si>
    <t>MS STEEL ON TB101</t>
  </si>
  <si>
    <t>MS STEEL ON TB102</t>
  </si>
  <si>
    <t>MS STEEL ON TB103</t>
  </si>
  <si>
    <t>MS STEEL ON TB104</t>
  </si>
  <si>
    <t>MS STEEL ON TB105</t>
  </si>
  <si>
    <t>MS STEEL ON TB106</t>
  </si>
  <si>
    <t>MS STEEL ON TB107</t>
  </si>
  <si>
    <t>MS STEEL ON TB108</t>
  </si>
  <si>
    <t>MS STEEL ON TB109</t>
  </si>
  <si>
    <t>MS STEEL ON TD101</t>
  </si>
  <si>
    <t>MS STEEL ON TD103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</si>
</sst>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409]d\-mmm\-yy;@"/>
    <numFmt numFmtId="167" formatCode="mmm"/>
    <numFmt numFmtId="168" formatCode="dd\-mmm\-yy"/>
    <numFmt numFmtId="169" formatCode="0.0_)"/>
    <numFmt numFmtId="170" formatCode="0.00_)"/>
    <numFmt numFmtId="171" formatCode="#,##0.000_);[Red]\(#,##0.000\)"/>
  </numFmts>
  <fonts count="9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4"/>
      <name val="Arial"/>
      <family val="2"/>
    </font>
    <font>
      <b/>
      <u/>
      <sz val="20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4"/>
      <name val="Arial"/>
      <family val="2"/>
    </font>
    <font>
      <sz val="14"/>
      <color indexed="20"/>
      <name val="Arial"/>
      <family val="2"/>
    </font>
    <font>
      <sz val="14"/>
      <color indexed="14"/>
      <name val="Arial"/>
      <family val="2"/>
    </font>
    <font>
      <sz val="14"/>
      <color indexed="12"/>
      <name val="Arial"/>
      <family val="2"/>
    </font>
    <font>
      <sz val="14"/>
      <color indexed="10"/>
      <name val="Arial"/>
      <family val="2"/>
    </font>
    <font>
      <sz val="12"/>
      <name val="Arial"/>
      <family val="2"/>
    </font>
    <font>
      <b/>
      <sz val="14"/>
      <color indexed="12"/>
      <name val="Calibri"/>
      <family val="2"/>
      <scheme val="minor"/>
    </font>
    <font>
      <sz val="14"/>
      <color theme="1"/>
      <name val="Verdana Pro"/>
      <family val="2"/>
    </font>
    <font>
      <sz val="11"/>
      <color theme="1"/>
      <name val="Calibri"/>
      <family val="2"/>
    </font>
    <font>
      <b/>
      <sz val="14"/>
      <color indexed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5"/>
      <name val="Calibri"/>
      <family val="2"/>
    </font>
    <font>
      <sz val="15"/>
      <name val="Calibri"/>
      <family val="2"/>
    </font>
    <font>
      <b/>
      <sz val="14"/>
      <color indexed="10"/>
      <name val="Calibri"/>
      <family val="2"/>
    </font>
    <font>
      <b/>
      <sz val="16"/>
      <color indexed="10"/>
      <name val="Calibri"/>
      <family val="2"/>
    </font>
    <font>
      <b/>
      <sz val="15"/>
      <color indexed="12"/>
      <name val="Calibri"/>
      <family val="2"/>
    </font>
    <font>
      <b/>
      <sz val="15"/>
      <color indexed="9"/>
      <name val="Calibri"/>
      <family val="2"/>
    </font>
    <font>
      <b/>
      <sz val="15"/>
      <color indexed="10"/>
      <name val="Calibri"/>
      <family val="2"/>
    </font>
    <font>
      <sz val="15"/>
      <color indexed="12"/>
      <name val="Calibri"/>
      <family val="2"/>
    </font>
    <font>
      <b/>
      <sz val="16"/>
      <color indexed="12"/>
      <name val="Calibri"/>
      <family val="2"/>
    </font>
    <font>
      <b/>
      <sz val="14"/>
      <color indexed="60"/>
      <name val="Calibri"/>
      <family val="2"/>
    </font>
    <font>
      <b/>
      <sz val="16"/>
      <color indexed="60"/>
      <name val="Calibri"/>
      <family val="2"/>
    </font>
    <font>
      <b/>
      <sz val="15"/>
      <color indexed="60"/>
      <name val="Calibri"/>
      <family val="2"/>
    </font>
    <font>
      <sz val="15"/>
      <color indexed="60"/>
      <name val="Calibri"/>
      <family val="2"/>
    </font>
    <font>
      <sz val="16"/>
      <name val="Calibri"/>
      <family val="2"/>
    </font>
    <font>
      <b/>
      <sz val="18"/>
      <color indexed="12"/>
      <name val="Calibri"/>
      <family val="2"/>
    </font>
    <font>
      <sz val="18"/>
      <color indexed="18"/>
      <name val="Calibri"/>
      <family val="2"/>
    </font>
    <font>
      <sz val="18"/>
      <name val="Calibri"/>
      <family val="2"/>
    </font>
    <font>
      <sz val="12"/>
      <name val="Calibri"/>
      <family val="2"/>
    </font>
    <font>
      <b/>
      <sz val="18"/>
      <color indexed="10"/>
      <name val="Calibri"/>
      <family val="2"/>
    </font>
    <font>
      <sz val="13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6"/>
      <color indexed="8"/>
      <name val="Calibri"/>
      <family val="2"/>
    </font>
    <font>
      <sz val="14"/>
      <name val="Calibri"/>
      <family val="2"/>
      <scheme val="minor"/>
    </font>
    <font>
      <b/>
      <u/>
      <sz val="20"/>
      <color indexed="18"/>
      <name val="Calibri"/>
      <family val="2"/>
      <scheme val="minor"/>
    </font>
    <font>
      <i/>
      <sz val="14"/>
      <name val="Calibri"/>
      <family val="2"/>
      <scheme val="minor"/>
    </font>
    <font>
      <b/>
      <u/>
      <sz val="14"/>
      <color indexed="18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5"/>
      <color theme="5" tint="-0.499984740745262"/>
      <name val="Calibri"/>
      <family val="2"/>
    </font>
    <font>
      <b/>
      <sz val="36"/>
      <color theme="4" tint="-0.249977111117893"/>
      <name val="Calibri"/>
      <family val="2"/>
      <scheme val="minor"/>
    </font>
    <font>
      <b/>
      <u val="double"/>
      <sz val="2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rgb="FF002060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b/>
      <i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theme="5" tint="-0.249977111117893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i/>
      <u/>
      <sz val="20"/>
      <color rgb="FF000080"/>
      <name val="Calibri"/>
      <family val="2"/>
      <scheme val="minor"/>
    </font>
    <font>
      <sz val="14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467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  <bgColor rgb="FF000000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DashDot">
        <color rgb="FFFF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59" fillId="10" borderId="0" applyNumberFormat="0" applyBorder="0" applyAlignment="0" applyProtection="0"/>
    <xf numFmtId="0" fontId="60" fillId="11" borderId="0" applyNumberFormat="0" applyBorder="0" applyAlignment="0" applyProtection="0"/>
    <xf numFmtId="0" fontId="61" fillId="12" borderId="0" applyNumberFormat="0" applyBorder="0" applyAlignment="0" applyProtection="0"/>
    <xf numFmtId="0" fontId="64" fillId="13" borderId="0" applyNumberFormat="0" applyBorder="0" applyAlignment="0" applyProtection="0"/>
    <xf numFmtId="0" fontId="68" fillId="0" borderId="0"/>
    <xf numFmtId="0" fontId="90" fillId="0" borderId="0"/>
    <xf numFmtId="0" fontId="91" fillId="0" borderId="0"/>
    <xf numFmtId="0" fontId="8" fillId="0" borderId="0"/>
    <xf numFmtId="0" fontId="91" fillId="0" borderId="0"/>
    <xf numFmtId="0" fontId="90" fillId="0" borderId="0"/>
    <xf numFmtId="0" fontId="90" fillId="0" borderId="0"/>
  </cellStyleXfs>
  <cellXfs count="695">
    <xf numFmtId="0" fontId="0" fillId="0" borderId="0" xfId="0"/>
    <xf numFmtId="0" fontId="5" fillId="0" borderId="6" xfId="0" quotePrefix="1" applyFont="1" applyBorder="1" applyAlignment="1">
      <alignment horizontal="center"/>
    </xf>
    <xf numFmtId="38" fontId="5" fillId="0" borderId="7" xfId="1" applyNumberFormat="1" applyFont="1" applyBorder="1" applyAlignment="1">
      <alignment horizontal="right"/>
    </xf>
    <xf numFmtId="38" fontId="5" fillId="0" borderId="7" xfId="1" applyNumberFormat="1" applyFont="1" applyBorder="1" applyAlignment="1">
      <alignment horizontal="center"/>
    </xf>
    <xf numFmtId="40" fontId="5" fillId="0" borderId="7" xfId="1" applyNumberFormat="1" applyFont="1" applyBorder="1" applyAlignment="1">
      <alignment horizontal="right"/>
    </xf>
    <xf numFmtId="166" fontId="5" fillId="0" borderId="8" xfId="1" applyNumberFormat="1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38" fontId="0" fillId="0" borderId="9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7" fillId="0" borderId="0" xfId="0" applyFont="1"/>
    <xf numFmtId="38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0" fontId="9" fillId="0" borderId="32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11" fillId="0" borderId="35" xfId="0" applyFont="1" applyBorder="1" applyAlignment="1">
      <alignment horizontal="centerContinuous"/>
    </xf>
    <xf numFmtId="0" fontId="11" fillId="0" borderId="36" xfId="0" applyFont="1" applyBorder="1" applyAlignment="1">
      <alignment horizontal="centerContinuous"/>
    </xf>
    <xf numFmtId="0" fontId="0" fillId="0" borderId="37" xfId="0" applyBorder="1"/>
    <xf numFmtId="0" fontId="12" fillId="0" borderId="35" xfId="0" applyFont="1" applyBorder="1"/>
    <xf numFmtId="0" fontId="12" fillId="0" borderId="36" xfId="0" applyFont="1" applyBorder="1"/>
    <xf numFmtId="0" fontId="9" fillId="0" borderId="32" xfId="0" applyFont="1" applyBorder="1" applyAlignment="1">
      <alignment horizontal="left" vertical="center" indent="1"/>
    </xf>
    <xf numFmtId="0" fontId="11" fillId="0" borderId="0" xfId="0" applyFont="1"/>
    <xf numFmtId="0" fontId="0" fillId="0" borderId="35" xfId="0" applyBorder="1"/>
    <xf numFmtId="0" fontId="0" fillId="0" borderId="36" xfId="0" applyBorder="1"/>
    <xf numFmtId="0" fontId="11" fillId="0" borderId="35" xfId="0" applyFont="1" applyBorder="1"/>
    <xf numFmtId="0" fontId="11" fillId="0" borderId="36" xfId="0" applyFont="1" applyBorder="1"/>
    <xf numFmtId="37" fontId="9" fillId="0" borderId="36" xfId="0" applyNumberFormat="1" applyFont="1" applyBorder="1"/>
    <xf numFmtId="37" fontId="16" fillId="0" borderId="36" xfId="0" applyNumberFormat="1" applyFont="1" applyBorder="1"/>
    <xf numFmtId="37" fontId="17" fillId="0" borderId="36" xfId="0" applyNumberFormat="1" applyFont="1" applyBorder="1"/>
    <xf numFmtId="0" fontId="9" fillId="0" borderId="36" xfId="0" applyFont="1" applyBorder="1"/>
    <xf numFmtId="37" fontId="18" fillId="0" borderId="36" xfId="0" applyNumberFormat="1" applyFont="1" applyBorder="1"/>
    <xf numFmtId="164" fontId="9" fillId="0" borderId="0" xfId="1" applyNumberFormat="1" applyFont="1" applyBorder="1" applyAlignment="1">
      <alignment horizontal="left" vertical="center"/>
    </xf>
    <xf numFmtId="37" fontId="19" fillId="0" borderId="36" xfId="0" applyNumberFormat="1" applyFont="1" applyBorder="1"/>
    <xf numFmtId="37" fontId="9" fillId="0" borderId="36" xfId="0" applyNumberFormat="1" applyFont="1" applyBorder="1" applyAlignment="1">
      <alignment horizontal="center"/>
    </xf>
    <xf numFmtId="0" fontId="0" fillId="0" borderId="3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169" fontId="20" fillId="0" borderId="0" xfId="0" applyNumberFormat="1" applyFont="1"/>
    <xf numFmtId="0" fontId="13" fillId="0" borderId="0" xfId="0" applyFont="1"/>
    <xf numFmtId="0" fontId="20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68" xfId="0" applyBorder="1"/>
    <xf numFmtId="0" fontId="10" fillId="0" borderId="0" xfId="0" applyFont="1" applyAlignment="1">
      <alignment horizontal="left"/>
    </xf>
    <xf numFmtId="0" fontId="12" fillId="0" borderId="0" xfId="0" applyFont="1"/>
    <xf numFmtId="0" fontId="9" fillId="0" borderId="0" xfId="0" applyFont="1" applyAlignment="1">
      <alignment horizontal="left" vertical="center" indent="4"/>
    </xf>
    <xf numFmtId="0" fontId="14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5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3" fillId="0" borderId="3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5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167" fontId="24" fillId="7" borderId="27" xfId="0" applyNumberFormat="1" applyFont="1" applyFill="1" applyBorder="1" applyAlignment="1">
      <alignment horizontal="center" vertical="center"/>
    </xf>
    <xf numFmtId="167" fontId="24" fillId="7" borderId="16" xfId="0" applyNumberFormat="1" applyFont="1" applyFill="1" applyBorder="1" applyAlignment="1">
      <alignment horizontal="center" vertical="center"/>
    </xf>
    <xf numFmtId="167" fontId="24" fillId="7" borderId="28" xfId="0" applyNumberFormat="1" applyFont="1" applyFill="1" applyBorder="1" applyAlignment="1">
      <alignment horizontal="center" vertical="center"/>
    </xf>
    <xf numFmtId="167" fontId="24" fillId="7" borderId="29" xfId="0" applyNumberFormat="1" applyFont="1" applyFill="1" applyBorder="1" applyAlignment="1">
      <alignment horizontal="center" vertical="center"/>
    </xf>
    <xf numFmtId="0" fontId="24" fillId="7" borderId="30" xfId="0" applyFont="1" applyFill="1" applyBorder="1" applyAlignment="1">
      <alignment horizontal="center" vertical="center"/>
    </xf>
    <xf numFmtId="0" fontId="24" fillId="7" borderId="31" xfId="0" applyFont="1" applyFill="1" applyBorder="1" applyAlignment="1">
      <alignment horizontal="center" vertical="center"/>
    </xf>
    <xf numFmtId="0" fontId="24" fillId="7" borderId="16" xfId="0" applyFont="1" applyFill="1" applyBorder="1" applyAlignment="1">
      <alignment horizontal="center" vertical="center"/>
    </xf>
    <xf numFmtId="0" fontId="24" fillId="7" borderId="28" xfId="0" applyFont="1" applyFill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/>
    </xf>
    <xf numFmtId="3" fontId="27" fillId="0" borderId="48" xfId="0" applyNumberFormat="1" applyFont="1" applyBorder="1" applyAlignment="1">
      <alignment horizontal="center" vertical="center"/>
    </xf>
    <xf numFmtId="3" fontId="27" fillId="0" borderId="49" xfId="0" applyNumberFormat="1" applyFont="1" applyBorder="1" applyAlignment="1">
      <alignment horizontal="center" vertical="center"/>
    </xf>
    <xf numFmtId="3" fontId="28" fillId="0" borderId="49" xfId="0" applyNumberFormat="1" applyFont="1" applyBorder="1" applyAlignment="1">
      <alignment horizontal="center" vertical="center"/>
    </xf>
    <xf numFmtId="3" fontId="28" fillId="0" borderId="69" xfId="0" applyNumberFormat="1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 vertical="center"/>
    </xf>
    <xf numFmtId="3" fontId="27" fillId="0" borderId="16" xfId="0" applyNumberFormat="1" applyFont="1" applyBorder="1" applyAlignment="1">
      <alignment horizontal="center" vertical="center"/>
    </xf>
    <xf numFmtId="3" fontId="28" fillId="0" borderId="16" xfId="0" applyNumberFormat="1" applyFont="1" applyBorder="1" applyAlignment="1">
      <alignment horizontal="center" vertical="center"/>
    </xf>
    <xf numFmtId="3" fontId="28" fillId="0" borderId="52" xfId="0" applyNumberFormat="1" applyFont="1" applyBorder="1" applyAlignment="1">
      <alignment horizontal="center" vertical="center"/>
    </xf>
    <xf numFmtId="3" fontId="31" fillId="0" borderId="16" xfId="0" applyNumberFormat="1" applyFont="1" applyBorder="1" applyAlignment="1">
      <alignment horizontal="center" vertical="center"/>
    </xf>
    <xf numFmtId="3" fontId="32" fillId="0" borderId="16" xfId="0" applyNumberFormat="1" applyFont="1" applyBorder="1" applyAlignment="1">
      <alignment horizontal="center" vertical="center"/>
    </xf>
    <xf numFmtId="3" fontId="33" fillId="0" borderId="16" xfId="0" applyNumberFormat="1" applyFont="1" applyBorder="1" applyAlignment="1">
      <alignment horizontal="center" vertical="center"/>
    </xf>
    <xf numFmtId="3" fontId="34" fillId="0" borderId="52" xfId="0" applyNumberFormat="1" applyFont="1" applyBorder="1" applyAlignment="1">
      <alignment horizontal="center" vertical="center"/>
    </xf>
    <xf numFmtId="3" fontId="38" fillId="0" borderId="16" xfId="0" applyNumberFormat="1" applyFont="1" applyBorder="1" applyAlignment="1">
      <alignment horizontal="center" vertical="center"/>
    </xf>
    <xf numFmtId="3" fontId="39" fillId="0" borderId="52" xfId="0" applyNumberFormat="1" applyFont="1" applyBorder="1" applyAlignment="1">
      <alignment horizontal="center" vertical="center"/>
    </xf>
    <xf numFmtId="3" fontId="38" fillId="0" borderId="63" xfId="0" applyNumberFormat="1" applyFont="1" applyBorder="1" applyAlignment="1">
      <alignment horizontal="center" vertical="center"/>
    </xf>
    <xf numFmtId="3" fontId="39" fillId="0" borderId="67" xfId="0" applyNumberFormat="1" applyFont="1" applyBorder="1" applyAlignment="1">
      <alignment horizontal="center" vertical="center"/>
    </xf>
    <xf numFmtId="0" fontId="40" fillId="0" borderId="53" xfId="0" applyFont="1" applyBorder="1"/>
    <xf numFmtId="0" fontId="40" fillId="0" borderId="54" xfId="0" applyFont="1" applyBorder="1"/>
    <xf numFmtId="168" fontId="40" fillId="0" borderId="55" xfId="0" applyNumberFormat="1" applyFont="1" applyBorder="1"/>
    <xf numFmtId="0" fontId="40" fillId="0" borderId="32" xfId="0" applyFont="1" applyBorder="1"/>
    <xf numFmtId="0" fontId="40" fillId="0" borderId="0" xfId="0" applyFont="1"/>
    <xf numFmtId="168" fontId="40" fillId="0" borderId="57" xfId="0" applyNumberFormat="1" applyFont="1" applyBorder="1"/>
    <xf numFmtId="169" fontId="43" fillId="0" borderId="58" xfId="0" quotePrefix="1" applyNumberFormat="1" applyFont="1" applyBorder="1" applyAlignment="1">
      <alignment vertical="center"/>
    </xf>
    <xf numFmtId="169" fontId="43" fillId="0" borderId="34" xfId="0" applyNumberFormat="1" applyFont="1" applyBorder="1" applyAlignment="1">
      <alignment vertical="center"/>
    </xf>
    <xf numFmtId="169" fontId="44" fillId="0" borderId="34" xfId="0" applyNumberFormat="1" applyFont="1" applyBorder="1" applyAlignment="1">
      <alignment horizontal="center" vertical="center"/>
    </xf>
    <xf numFmtId="169" fontId="44" fillId="0" borderId="34" xfId="0" applyNumberFormat="1" applyFont="1" applyBorder="1"/>
    <xf numFmtId="169" fontId="44" fillId="0" borderId="59" xfId="0" applyNumberFormat="1" applyFont="1" applyBorder="1"/>
    <xf numFmtId="169" fontId="44" fillId="0" borderId="16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52" xfId="0" applyFont="1" applyBorder="1" applyAlignment="1">
      <alignment horizontal="center" vertical="center"/>
    </xf>
    <xf numFmtId="169" fontId="41" fillId="0" borderId="60" xfId="0" quotePrefix="1" applyNumberFormat="1" applyFont="1" applyBorder="1" applyAlignment="1">
      <alignment vertical="center"/>
    </xf>
    <xf numFmtId="169" fontId="43" fillId="0" borderId="0" xfId="0" applyNumberFormat="1" applyFont="1" applyAlignment="1">
      <alignment vertical="center"/>
    </xf>
    <xf numFmtId="169" fontId="44" fillId="0" borderId="0" xfId="0" applyNumberFormat="1" applyFont="1" applyAlignment="1">
      <alignment vertical="center"/>
    </xf>
    <xf numFmtId="170" fontId="44" fillId="0" borderId="0" xfId="0" applyNumberFormat="1" applyFont="1"/>
    <xf numFmtId="169" fontId="44" fillId="0" borderId="0" xfId="0" applyNumberFormat="1" applyFont="1"/>
    <xf numFmtId="169" fontId="44" fillId="0" borderId="57" xfId="0" applyNumberFormat="1" applyFont="1" applyBorder="1"/>
    <xf numFmtId="169" fontId="44" fillId="0" borderId="16" xfId="0" applyNumberFormat="1" applyFont="1" applyBorder="1"/>
    <xf numFmtId="0" fontId="44" fillId="0" borderId="16" xfId="0" applyFont="1" applyBorder="1"/>
    <xf numFmtId="0" fontId="44" fillId="0" borderId="52" xfId="0" applyFont="1" applyBorder="1"/>
    <xf numFmtId="169" fontId="44" fillId="0" borderId="40" xfId="0" applyNumberFormat="1" applyFont="1" applyBorder="1"/>
    <xf numFmtId="169" fontId="44" fillId="0" borderId="61" xfId="0" applyNumberFormat="1" applyFont="1" applyBorder="1"/>
    <xf numFmtId="169" fontId="44" fillId="0" borderId="63" xfId="0" applyNumberFormat="1" applyFont="1" applyBorder="1"/>
    <xf numFmtId="0" fontId="44" fillId="0" borderId="63" xfId="0" applyFont="1" applyBorder="1"/>
    <xf numFmtId="0" fontId="44" fillId="0" borderId="67" xfId="0" applyFont="1" applyBorder="1"/>
    <xf numFmtId="0" fontId="47" fillId="0" borderId="0" xfId="0" applyFont="1"/>
    <xf numFmtId="165" fontId="44" fillId="0" borderId="0" xfId="2" applyNumberFormat="1" applyFont="1" applyProtection="1"/>
    <xf numFmtId="0" fontId="44" fillId="0" borderId="0" xfId="0" applyFont="1"/>
    <xf numFmtId="0" fontId="49" fillId="0" borderId="1" xfId="0" applyFont="1" applyBorder="1" applyAlignment="1">
      <alignment horizontal="left" vertical="center"/>
    </xf>
    <xf numFmtId="0" fontId="47" fillId="0" borderId="2" xfId="0" applyFont="1" applyBorder="1"/>
    <xf numFmtId="0" fontId="49" fillId="0" borderId="10" xfId="0" applyFont="1" applyBorder="1" applyAlignment="1">
      <alignment horizontal="left" vertical="center"/>
    </xf>
    <xf numFmtId="0" fontId="47" fillId="0" borderId="11" xfId="0" applyFont="1" applyBorder="1"/>
    <xf numFmtId="0" fontId="50" fillId="0" borderId="32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50" fillId="0" borderId="5" xfId="0" applyFont="1" applyBorder="1" applyAlignment="1">
      <alignment vertical="center"/>
    </xf>
    <xf numFmtId="0" fontId="51" fillId="0" borderId="32" xfId="0" applyFont="1" applyBorder="1" applyAlignment="1">
      <alignment horizontal="left" vertical="center" indent="1"/>
    </xf>
    <xf numFmtId="0" fontId="51" fillId="0" borderId="0" xfId="0" applyFont="1" applyAlignment="1">
      <alignment horizontal="left" vertical="center" indent="4"/>
    </xf>
    <xf numFmtId="0" fontId="50" fillId="0" borderId="32" xfId="0" applyFont="1" applyBorder="1" applyAlignment="1">
      <alignment horizontal="left" vertical="center" indent="1"/>
    </xf>
    <xf numFmtId="0" fontId="50" fillId="0" borderId="0" xfId="0" applyFont="1" applyAlignment="1">
      <alignment horizontal="left" vertical="center" indent="4"/>
    </xf>
    <xf numFmtId="0" fontId="52" fillId="0" borderId="0" xfId="0" applyFont="1" applyAlignment="1">
      <alignment horizontal="left" vertical="center" indent="4"/>
    </xf>
    <xf numFmtId="164" fontId="50" fillId="0" borderId="38" xfId="1" applyNumberFormat="1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 indent="1"/>
    </xf>
    <xf numFmtId="0" fontId="53" fillId="0" borderId="0" xfId="0" applyFont="1" applyAlignment="1">
      <alignment horizontal="left" vertical="center" indent="4"/>
    </xf>
    <xf numFmtId="0" fontId="54" fillId="0" borderId="32" xfId="0" applyFont="1" applyBorder="1" applyAlignment="1">
      <alignment horizontal="left" vertical="center" indent="1"/>
    </xf>
    <xf numFmtId="164" fontId="50" fillId="0" borderId="38" xfId="1" applyNumberFormat="1" applyFont="1" applyBorder="1" applyAlignment="1">
      <alignment vertical="center"/>
    </xf>
    <xf numFmtId="0" fontId="55" fillId="0" borderId="32" xfId="0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50" fillId="0" borderId="5" xfId="0" applyFont="1" applyBorder="1" applyAlignment="1">
      <alignment horizontal="centerContinuous" vertical="center"/>
    </xf>
    <xf numFmtId="3" fontId="56" fillId="0" borderId="16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65" fillId="0" borderId="0" xfId="0" applyFont="1" applyAlignment="1">
      <alignment vertical="center"/>
    </xf>
    <xf numFmtId="0" fontId="0" fillId="0" borderId="16" xfId="0" applyBorder="1" applyAlignment="1">
      <alignment horizontal="left" vertical="center"/>
    </xf>
    <xf numFmtId="9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6" fillId="0" borderId="16" xfId="0" applyFont="1" applyBorder="1" applyAlignment="1">
      <alignment horizontal="left" vertical="center"/>
    </xf>
    <xf numFmtId="0" fontId="0" fillId="0" borderId="27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66" fillId="0" borderId="0" xfId="0" applyFont="1"/>
    <xf numFmtId="0" fontId="66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62" fillId="0" borderId="0" xfId="0" applyFont="1"/>
    <xf numFmtId="0" fontId="62" fillId="0" borderId="16" xfId="0" applyFont="1" applyBorder="1" applyAlignment="1">
      <alignment vertical="center"/>
    </xf>
    <xf numFmtId="9" fontId="62" fillId="0" borderId="16" xfId="0" applyNumberFormat="1" applyFont="1" applyBorder="1" applyAlignment="1">
      <alignment horizontal="center" vertical="center" wrapText="1"/>
    </xf>
    <xf numFmtId="0" fontId="62" fillId="0" borderId="16" xfId="0" applyFont="1" applyBorder="1" applyAlignment="1">
      <alignment horizontal="center" vertical="center" wrapText="1"/>
    </xf>
    <xf numFmtId="0" fontId="62" fillId="0" borderId="16" xfId="0" applyFont="1" applyBorder="1" applyAlignment="1">
      <alignment vertical="center" wrapText="1"/>
    </xf>
    <xf numFmtId="0" fontId="66" fillId="0" borderId="27" xfId="0" applyFont="1" applyBorder="1" applyAlignment="1">
      <alignment vertical="center"/>
    </xf>
    <xf numFmtId="0" fontId="66" fillId="0" borderId="0" xfId="0" applyFont="1" applyAlignment="1">
      <alignment vertical="center"/>
    </xf>
    <xf numFmtId="0" fontId="66" fillId="0" borderId="16" xfId="0" applyFont="1" applyBorder="1" applyAlignment="1">
      <alignment vertical="center" wrapText="1"/>
    </xf>
    <xf numFmtId="0" fontId="62" fillId="0" borderId="0" xfId="0" applyFont="1" applyAlignment="1">
      <alignment vertical="center"/>
    </xf>
    <xf numFmtId="0" fontId="62" fillId="0" borderId="27" xfId="0" applyFont="1" applyBorder="1" applyAlignment="1">
      <alignment vertical="center"/>
    </xf>
    <xf numFmtId="0" fontId="66" fillId="0" borderId="16" xfId="0" applyFont="1" applyBorder="1" applyAlignment="1">
      <alignment vertical="center"/>
    </xf>
    <xf numFmtId="0" fontId="62" fillId="0" borderId="16" xfId="0" applyFont="1" applyBorder="1" applyAlignment="1">
      <alignment horizontal="left" vertical="center"/>
    </xf>
    <xf numFmtId="0" fontId="65" fillId="0" borderId="16" xfId="0" applyFont="1" applyBorder="1" applyAlignment="1">
      <alignment vertical="center" wrapText="1"/>
    </xf>
    <xf numFmtId="0" fontId="66" fillId="0" borderId="57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66" fillId="0" borderId="0" xfId="0" applyFont="1" applyAlignment="1">
      <alignment vertical="center" wrapText="1"/>
    </xf>
    <xf numFmtId="0" fontId="62" fillId="0" borderId="28" xfId="0" applyFont="1" applyBorder="1" applyAlignment="1">
      <alignment vertical="center"/>
    </xf>
    <xf numFmtId="0" fontId="69" fillId="14" borderId="73" xfId="8" applyFont="1" applyFill="1" applyBorder="1" applyAlignment="1">
      <alignment horizontal="center" vertical="center" wrapText="1"/>
    </xf>
    <xf numFmtId="0" fontId="70" fillId="14" borderId="74" xfId="8" applyFont="1" applyFill="1" applyBorder="1" applyAlignment="1">
      <alignment horizontal="center" vertical="center" wrapText="1"/>
    </xf>
    <xf numFmtId="0" fontId="70" fillId="14" borderId="71" xfId="8" applyFont="1" applyFill="1" applyBorder="1" applyAlignment="1">
      <alignment horizontal="center" vertical="center" wrapText="1"/>
    </xf>
    <xf numFmtId="0" fontId="63" fillId="4" borderId="0" xfId="0" applyFont="1" applyFill="1" applyAlignment="1">
      <alignment horizontal="center" vertical="center" wrapText="1"/>
    </xf>
    <xf numFmtId="0" fontId="71" fillId="14" borderId="59" xfId="8" applyFont="1" applyFill="1" applyBorder="1" applyAlignment="1">
      <alignment horizontal="center" vertical="center" wrapText="1"/>
    </xf>
    <xf numFmtId="49" fontId="72" fillId="14" borderId="72" xfId="8" applyNumberFormat="1" applyFont="1" applyFill="1" applyBorder="1" applyAlignment="1">
      <alignment horizontal="center" vertical="center" wrapText="1"/>
    </xf>
    <xf numFmtId="49" fontId="72" fillId="14" borderId="72" xfId="8" applyNumberFormat="1" applyFont="1" applyFill="1" applyBorder="1" applyAlignment="1">
      <alignment horizontal="center" vertical="center" textRotation="90" wrapText="1"/>
    </xf>
    <xf numFmtId="0" fontId="72" fillId="14" borderId="60" xfId="8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73" fillId="5" borderId="16" xfId="8" applyFont="1" applyFill="1" applyBorder="1" applyAlignment="1">
      <alignment horizontal="center" vertical="center" wrapText="1"/>
    </xf>
    <xf numFmtId="0" fontId="73" fillId="5" borderId="28" xfId="8" applyFont="1" applyFill="1" applyBorder="1" applyAlignment="1">
      <alignment horizontal="center" vertical="center" wrapText="1"/>
    </xf>
    <xf numFmtId="0" fontId="73" fillId="5" borderId="16" xfId="8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49" fontId="65" fillId="0" borderId="0" xfId="0" applyNumberFormat="1" applyFont="1" applyAlignment="1">
      <alignment vertical="center"/>
    </xf>
    <xf numFmtId="49" fontId="65" fillId="0" borderId="0" xfId="0" applyNumberFormat="1" applyFont="1" applyAlignment="1">
      <alignment horizontal="center" vertical="center"/>
    </xf>
    <xf numFmtId="9" fontId="0" fillId="0" borderId="0" xfId="2" applyFont="1" applyFill="1" applyBorder="1" applyAlignment="1">
      <alignment vertical="center"/>
    </xf>
    <xf numFmtId="0" fontId="74" fillId="9" borderId="16" xfId="8" applyFont="1" applyFill="1" applyBorder="1" applyAlignment="1">
      <alignment horizontal="center" vertical="center" wrapText="1"/>
    </xf>
    <xf numFmtId="0" fontId="74" fillId="9" borderId="16" xfId="8" quotePrefix="1" applyFont="1" applyFill="1" applyBorder="1" applyAlignment="1">
      <alignment horizontal="center" vertical="center" wrapText="1"/>
    </xf>
    <xf numFmtId="0" fontId="74" fillId="9" borderId="28" xfId="8" applyFont="1" applyFill="1" applyBorder="1" applyAlignment="1">
      <alignment horizontal="center" vertical="center" wrapText="1"/>
    </xf>
    <xf numFmtId="0" fontId="74" fillId="9" borderId="16" xfId="8" applyFont="1" applyFill="1" applyBorder="1" applyAlignment="1">
      <alignment vertical="center" wrapText="1"/>
    </xf>
    <xf numFmtId="9" fontId="0" fillId="4" borderId="0" xfId="2" applyFont="1" applyFill="1" applyAlignment="1">
      <alignment vertical="center"/>
    </xf>
    <xf numFmtId="9" fontId="0" fillId="0" borderId="27" xfId="2" applyFont="1" applyFill="1" applyBorder="1" applyAlignment="1">
      <alignment vertical="center"/>
    </xf>
    <xf numFmtId="9" fontId="0" fillId="0" borderId="16" xfId="2" applyFont="1" applyBorder="1" applyAlignment="1">
      <alignment horizontal="center" vertical="center" wrapText="1"/>
    </xf>
    <xf numFmtId="9" fontId="0" fillId="0" borderId="16" xfId="2" applyFont="1" applyBorder="1" applyAlignment="1">
      <alignment vertical="center" wrapText="1"/>
    </xf>
    <xf numFmtId="49" fontId="65" fillId="0" borderId="0" xfId="0" quotePrefix="1" applyNumberFormat="1" applyFont="1" applyAlignment="1">
      <alignment vertical="center"/>
    </xf>
    <xf numFmtId="49" fontId="65" fillId="0" borderId="0" xfId="0" quotePrefix="1" applyNumberFormat="1" applyFont="1" applyAlignment="1">
      <alignment horizontal="center" vertical="center"/>
    </xf>
    <xf numFmtId="0" fontId="0" fillId="9" borderId="16" xfId="0" applyFill="1" applyBorder="1" applyAlignment="1">
      <alignment horizontal="left" vertical="center"/>
    </xf>
    <xf numFmtId="0" fontId="0" fillId="15" borderId="16" xfId="0" applyFill="1" applyBorder="1" applyAlignment="1">
      <alignment horizontal="left" vertical="center"/>
    </xf>
    <xf numFmtId="9" fontId="0" fillId="15" borderId="16" xfId="2" applyFont="1" applyFill="1" applyBorder="1" applyAlignment="1">
      <alignment horizontal="center" vertical="center" wrapText="1"/>
    </xf>
    <xf numFmtId="49" fontId="65" fillId="16" borderId="0" xfId="0" quotePrefix="1" applyNumberFormat="1" applyFont="1" applyFill="1" applyAlignment="1">
      <alignment horizontal="center" vertical="center"/>
    </xf>
    <xf numFmtId="0" fontId="0" fillId="9" borderId="16" xfId="0" applyFill="1" applyBorder="1" applyAlignment="1">
      <alignment horizontal="center" vertical="center" wrapText="1"/>
    </xf>
    <xf numFmtId="0" fontId="0" fillId="9" borderId="16" xfId="0" applyFill="1" applyBorder="1" applyAlignment="1">
      <alignment vertical="center" wrapText="1"/>
    </xf>
    <xf numFmtId="0" fontId="0" fillId="15" borderId="16" xfId="0" applyFill="1" applyBorder="1" applyAlignment="1">
      <alignment horizontal="center" vertical="center" wrapText="1"/>
    </xf>
    <xf numFmtId="49" fontId="65" fillId="16" borderId="0" xfId="0" applyNumberFormat="1" applyFont="1" applyFill="1" applyAlignment="1">
      <alignment vertical="center"/>
    </xf>
    <xf numFmtId="49" fontId="65" fillId="16" borderId="0" xfId="0" applyNumberFormat="1" applyFont="1" applyFill="1" applyAlignment="1">
      <alignment horizontal="center" vertical="center"/>
    </xf>
    <xf numFmtId="9" fontId="0" fillId="0" borderId="27" xfId="2" applyFont="1" applyFill="1" applyBorder="1" applyAlignment="1">
      <alignment vertical="center" wrapText="1"/>
    </xf>
    <xf numFmtId="49" fontId="60" fillId="11" borderId="0" xfId="5" applyNumberFormat="1" applyAlignment="1">
      <alignment vertical="center"/>
    </xf>
    <xf numFmtId="49" fontId="65" fillId="17" borderId="0" xfId="0" applyNumberFormat="1" applyFont="1" applyFill="1" applyAlignment="1">
      <alignment horizontal="center" vertical="center"/>
    </xf>
    <xf numFmtId="0" fontId="48" fillId="9" borderId="28" xfId="8" applyFont="1" applyFill="1" applyBorder="1" applyAlignment="1">
      <alignment horizontal="center" vertical="center" wrapText="1"/>
    </xf>
    <xf numFmtId="0" fontId="48" fillId="9" borderId="16" xfId="8" applyFont="1" applyFill="1" applyBorder="1" applyAlignment="1">
      <alignment vertical="center" wrapText="1"/>
    </xf>
    <xf numFmtId="0" fontId="48" fillId="9" borderId="16" xfId="8" applyFont="1" applyFill="1" applyBorder="1" applyAlignment="1">
      <alignment horizontal="center" vertical="center" wrapText="1"/>
    </xf>
    <xf numFmtId="9" fontId="66" fillId="0" borderId="16" xfId="2" applyFont="1" applyBorder="1" applyAlignment="1">
      <alignment horizontal="center" vertical="center" wrapText="1"/>
    </xf>
    <xf numFmtId="9" fontId="0" fillId="0" borderId="25" xfId="2" applyFont="1" applyFill="1" applyBorder="1" applyAlignment="1">
      <alignment vertical="center"/>
    </xf>
    <xf numFmtId="0" fontId="66" fillId="9" borderId="16" xfId="0" applyFont="1" applyFill="1" applyBorder="1" applyAlignment="1">
      <alignment horizontal="left" vertical="center"/>
    </xf>
    <xf numFmtId="9" fontId="66" fillId="9" borderId="16" xfId="4" applyNumberFormat="1" applyFont="1" applyFill="1" applyBorder="1" applyAlignment="1">
      <alignment horizontal="center" vertical="center" wrapText="1"/>
    </xf>
    <xf numFmtId="9" fontId="59" fillId="9" borderId="16" xfId="4" applyNumberFormat="1" applyFill="1" applyBorder="1" applyAlignment="1">
      <alignment horizontal="center" vertical="center" wrapText="1"/>
    </xf>
    <xf numFmtId="9" fontId="0" fillId="9" borderId="16" xfId="2" applyFont="1" applyFill="1" applyBorder="1" applyAlignment="1">
      <alignment vertical="center" wrapText="1"/>
    </xf>
    <xf numFmtId="0" fontId="66" fillId="15" borderId="16" xfId="0" applyFont="1" applyFill="1" applyBorder="1" applyAlignment="1">
      <alignment horizontal="left" vertical="center"/>
    </xf>
    <xf numFmtId="0" fontId="66" fillId="15" borderId="16" xfId="4" applyFont="1" applyFill="1" applyBorder="1" applyAlignment="1">
      <alignment horizontal="left" vertical="center"/>
    </xf>
    <xf numFmtId="9" fontId="66" fillId="15" borderId="16" xfId="4" applyNumberFormat="1" applyFont="1" applyFill="1" applyBorder="1" applyAlignment="1">
      <alignment horizontal="center" vertical="center" wrapText="1"/>
    </xf>
    <xf numFmtId="9" fontId="59" fillId="15" borderId="16" xfId="4" applyNumberFormat="1" applyFill="1" applyBorder="1" applyAlignment="1">
      <alignment horizontal="center" vertical="center" wrapText="1"/>
    </xf>
    <xf numFmtId="9" fontId="0" fillId="15" borderId="0" xfId="2" applyFont="1" applyFill="1" applyAlignment="1">
      <alignment vertical="center"/>
    </xf>
    <xf numFmtId="9" fontId="0" fillId="15" borderId="16" xfId="2" applyFont="1" applyFill="1" applyBorder="1" applyAlignment="1">
      <alignment vertical="center" wrapText="1"/>
    </xf>
    <xf numFmtId="9" fontId="0" fillId="15" borderId="25" xfId="2" applyFont="1" applyFill="1" applyBorder="1" applyAlignment="1">
      <alignment vertical="center"/>
    </xf>
    <xf numFmtId="49" fontId="65" fillId="15" borderId="0" xfId="0" applyNumberFormat="1" applyFont="1" applyFill="1" applyAlignment="1">
      <alignment vertical="center"/>
    </xf>
    <xf numFmtId="49" fontId="65" fillId="15" borderId="0" xfId="0" applyNumberFormat="1" applyFont="1" applyFill="1" applyAlignment="1">
      <alignment horizontal="center" vertical="center"/>
    </xf>
    <xf numFmtId="0" fontId="65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66" fillId="9" borderId="16" xfId="4" applyFont="1" applyFill="1" applyBorder="1" applyAlignment="1">
      <alignment horizontal="left" vertical="center"/>
    </xf>
    <xf numFmtId="9" fontId="0" fillId="9" borderId="16" xfId="2" applyFont="1" applyFill="1" applyBorder="1" applyAlignment="1">
      <alignment horizontal="center" vertical="center" wrapText="1"/>
    </xf>
    <xf numFmtId="9" fontId="0" fillId="9" borderId="0" xfId="2" applyFont="1" applyFill="1" applyAlignment="1">
      <alignment vertical="center"/>
    </xf>
    <xf numFmtId="49" fontId="60" fillId="11" borderId="0" xfId="5" applyNumberFormat="1" applyAlignment="1">
      <alignment horizontal="center" vertical="center"/>
    </xf>
    <xf numFmtId="0" fontId="0" fillId="9" borderId="16" xfId="0" applyFill="1" applyBorder="1" applyAlignment="1">
      <alignment vertical="center"/>
    </xf>
    <xf numFmtId="9" fontId="0" fillId="9" borderId="16" xfId="0" applyNumberFormat="1" applyFill="1" applyBorder="1" applyAlignment="1">
      <alignment horizontal="center" vertical="center" wrapText="1"/>
    </xf>
    <xf numFmtId="0" fontId="73" fillId="9" borderId="16" xfId="8" applyFont="1" applyFill="1" applyBorder="1" applyAlignment="1">
      <alignment horizontal="center" vertical="center" wrapText="1"/>
    </xf>
    <xf numFmtId="0" fontId="74" fillId="9" borderId="28" xfId="8" applyFont="1" applyFill="1" applyBorder="1" applyAlignment="1">
      <alignment horizontal="left" vertical="center" wrapText="1"/>
    </xf>
    <xf numFmtId="0" fontId="0" fillId="9" borderId="0" xfId="0" applyFill="1" applyAlignment="1">
      <alignment vertical="center"/>
    </xf>
    <xf numFmtId="0" fontId="0" fillId="9" borderId="27" xfId="0" applyFill="1" applyBorder="1" applyAlignment="1">
      <alignment vertical="center" wrapText="1"/>
    </xf>
    <xf numFmtId="49" fontId="65" fillId="0" borderId="0" xfId="0" applyNumberFormat="1" applyFont="1" applyAlignment="1">
      <alignment horizontal="center" vertical="center" wrapText="1"/>
    </xf>
    <xf numFmtId="49" fontId="66" fillId="15" borderId="0" xfId="5" applyNumberFormat="1" applyFont="1" applyFill="1" applyAlignment="1">
      <alignment vertical="center"/>
    </xf>
    <xf numFmtId="0" fontId="0" fillId="0" borderId="28" xfId="0" applyBorder="1" applyAlignment="1">
      <alignment vertical="center"/>
    </xf>
    <xf numFmtId="9" fontId="0" fillId="0" borderId="28" xfId="2" applyFont="1" applyBorder="1" applyAlignment="1">
      <alignment horizontal="center" vertical="center" wrapText="1"/>
    </xf>
    <xf numFmtId="0" fontId="0" fillId="15" borderId="16" xfId="0" applyFill="1" applyBorder="1" applyAlignment="1">
      <alignment vertical="center"/>
    </xf>
    <xf numFmtId="0" fontId="74" fillId="0" borderId="16" xfId="8" applyFont="1" applyBorder="1" applyAlignment="1">
      <alignment vertical="center" wrapText="1"/>
    </xf>
    <xf numFmtId="9" fontId="0" fillId="0" borderId="27" xfId="0" applyNumberFormat="1" applyBorder="1" applyAlignment="1">
      <alignment vertical="center" wrapText="1"/>
    </xf>
    <xf numFmtId="9" fontId="0" fillId="0" borderId="27" xfId="0" applyNumberFormat="1" applyBorder="1" applyAlignment="1">
      <alignment vertical="center"/>
    </xf>
    <xf numFmtId="0" fontId="75" fillId="9" borderId="16" xfId="8" applyFont="1" applyFill="1" applyBorder="1" applyAlignment="1">
      <alignment horizontal="center" vertical="center" wrapText="1"/>
    </xf>
    <xf numFmtId="0" fontId="75" fillId="9" borderId="28" xfId="8" applyFont="1" applyFill="1" applyBorder="1" applyAlignment="1">
      <alignment horizontal="center" vertical="center" wrapText="1"/>
    </xf>
    <xf numFmtId="0" fontId="62" fillId="9" borderId="16" xfId="0" applyFont="1" applyFill="1" applyBorder="1" applyAlignment="1">
      <alignment vertical="center"/>
    </xf>
    <xf numFmtId="0" fontId="62" fillId="9" borderId="16" xfId="0" applyFont="1" applyFill="1" applyBorder="1" applyAlignment="1">
      <alignment horizontal="center" vertical="center"/>
    </xf>
    <xf numFmtId="9" fontId="62" fillId="4" borderId="0" xfId="2" applyFont="1" applyFill="1" applyAlignment="1">
      <alignment vertical="center"/>
    </xf>
    <xf numFmtId="0" fontId="62" fillId="9" borderId="16" xfId="0" applyFont="1" applyFill="1" applyBorder="1" applyAlignment="1">
      <alignment vertical="center" wrapText="1"/>
    </xf>
    <xf numFmtId="9" fontId="62" fillId="0" borderId="16" xfId="2" applyFont="1" applyBorder="1" applyAlignment="1">
      <alignment horizontal="center" vertical="center" wrapText="1"/>
    </xf>
    <xf numFmtId="9" fontId="62" fillId="0" borderId="16" xfId="2" applyFont="1" applyBorder="1" applyAlignment="1">
      <alignment vertical="center" wrapText="1"/>
    </xf>
    <xf numFmtId="9" fontId="0" fillId="4" borderId="0" xfId="0" applyNumberFormat="1" applyFill="1" applyAlignment="1">
      <alignment vertical="center"/>
    </xf>
    <xf numFmtId="49" fontId="60" fillId="16" borderId="0" xfId="5" applyNumberFormat="1" applyFill="1" applyAlignment="1">
      <alignment horizontal="center" vertical="center"/>
    </xf>
    <xf numFmtId="49" fontId="60" fillId="17" borderId="0" xfId="5" applyNumberFormat="1" applyFill="1" applyAlignment="1">
      <alignment horizontal="center" vertical="center"/>
    </xf>
    <xf numFmtId="9" fontId="0" fillId="15" borderId="0" xfId="0" applyNumberFormat="1" applyFill="1" applyAlignment="1">
      <alignment vertical="center"/>
    </xf>
    <xf numFmtId="0" fontId="0" fillId="15" borderId="16" xfId="0" applyFill="1" applyBorder="1" applyAlignment="1">
      <alignment vertical="center" wrapText="1"/>
    </xf>
    <xf numFmtId="0" fontId="74" fillId="15" borderId="27" xfId="8" applyFont="1" applyFill="1" applyBorder="1" applyAlignment="1">
      <alignment horizontal="center" vertical="center" wrapText="1"/>
    </xf>
    <xf numFmtId="0" fontId="48" fillId="9" borderId="16" xfId="0" applyFont="1" applyFill="1" applyBorder="1" applyAlignment="1">
      <alignment vertical="center"/>
    </xf>
    <xf numFmtId="0" fontId="74" fillId="9" borderId="27" xfId="8" applyFont="1" applyFill="1" applyBorder="1" applyAlignment="1">
      <alignment horizontal="center" vertical="center" wrapText="1"/>
    </xf>
    <xf numFmtId="0" fontId="66" fillId="15" borderId="16" xfId="6" applyFont="1" applyFill="1" applyBorder="1" applyAlignment="1">
      <alignment horizontal="left" vertical="center"/>
    </xf>
    <xf numFmtId="9" fontId="66" fillId="15" borderId="16" xfId="6" applyNumberFormat="1" applyFont="1" applyFill="1" applyBorder="1" applyAlignment="1">
      <alignment horizontal="center" vertical="center" wrapText="1"/>
    </xf>
    <xf numFmtId="49" fontId="0" fillId="17" borderId="0" xfId="0" applyNumberFormat="1" applyFill="1" applyAlignment="1">
      <alignment horizontal="center" vertical="center"/>
    </xf>
    <xf numFmtId="9" fontId="66" fillId="9" borderId="16" xfId="2" applyFont="1" applyFill="1" applyBorder="1" applyAlignment="1">
      <alignment horizontal="center" vertical="center" wrapText="1"/>
    </xf>
    <xf numFmtId="0" fontId="66" fillId="9" borderId="16" xfId="0" applyFont="1" applyFill="1" applyBorder="1" applyAlignment="1">
      <alignment horizontal="center" vertical="center" wrapText="1"/>
    </xf>
    <xf numFmtId="9" fontId="66" fillId="4" borderId="0" xfId="0" applyNumberFormat="1" applyFont="1" applyFill="1" applyAlignment="1">
      <alignment vertical="center"/>
    </xf>
    <xf numFmtId="0" fontId="66" fillId="9" borderId="16" xfId="0" applyFont="1" applyFill="1" applyBorder="1" applyAlignment="1">
      <alignment vertical="center" wrapText="1"/>
    </xf>
    <xf numFmtId="9" fontId="66" fillId="0" borderId="27" xfId="0" applyNumberFormat="1" applyFont="1" applyBorder="1" applyAlignment="1">
      <alignment vertical="center"/>
    </xf>
    <xf numFmtId="49" fontId="66" fillId="0" borderId="0" xfId="0" applyNumberFormat="1" applyFont="1" applyAlignment="1">
      <alignment vertical="center"/>
    </xf>
    <xf numFmtId="49" fontId="66" fillId="0" borderId="0" xfId="0" applyNumberFormat="1" applyFont="1" applyAlignment="1">
      <alignment horizontal="center" vertical="center"/>
    </xf>
    <xf numFmtId="9" fontId="66" fillId="0" borderId="0" xfId="2" applyFont="1" applyFill="1" applyBorder="1" applyAlignment="1">
      <alignment vertical="center"/>
    </xf>
    <xf numFmtId="9" fontId="66" fillId="4" borderId="0" xfId="2" applyFont="1" applyFill="1" applyAlignment="1">
      <alignment vertical="center"/>
    </xf>
    <xf numFmtId="0" fontId="75" fillId="0" borderId="16" xfId="8" applyFont="1" applyBorder="1" applyAlignment="1">
      <alignment horizontal="center" vertical="center" wrapText="1"/>
    </xf>
    <xf numFmtId="0" fontId="75" fillId="0" borderId="28" xfId="8" applyFont="1" applyBorder="1" applyAlignment="1">
      <alignment horizontal="center" vertical="center" wrapText="1"/>
    </xf>
    <xf numFmtId="9" fontId="62" fillId="0" borderId="0" xfId="0" applyNumberFormat="1" applyFont="1" applyAlignment="1">
      <alignment vertical="center"/>
    </xf>
    <xf numFmtId="9" fontId="62" fillId="0" borderId="27" xfId="0" applyNumberFormat="1" applyFont="1" applyBorder="1" applyAlignment="1">
      <alignment vertical="center"/>
    </xf>
    <xf numFmtId="49" fontId="62" fillId="0" borderId="0" xfId="0" applyNumberFormat="1" applyFont="1" applyAlignment="1">
      <alignment vertical="center"/>
    </xf>
    <xf numFmtId="49" fontId="62" fillId="0" borderId="0" xfId="0" applyNumberFormat="1" applyFont="1" applyAlignment="1">
      <alignment horizontal="center" vertical="center"/>
    </xf>
    <xf numFmtId="49" fontId="66" fillId="11" borderId="0" xfId="5" applyNumberFormat="1" applyFont="1" applyAlignment="1">
      <alignment vertical="center"/>
    </xf>
    <xf numFmtId="49" fontId="66" fillId="16" borderId="0" xfId="0" applyNumberFormat="1" applyFont="1" applyFill="1" applyAlignment="1">
      <alignment horizontal="center" vertical="center"/>
    </xf>
    <xf numFmtId="49" fontId="66" fillId="17" borderId="0" xfId="0" applyNumberFormat="1" applyFont="1" applyFill="1" applyAlignment="1">
      <alignment horizontal="center" vertical="center"/>
    </xf>
    <xf numFmtId="49" fontId="66" fillId="11" borderId="0" xfId="5" applyNumberFormat="1" applyFont="1" applyAlignment="1">
      <alignment horizontal="center" vertical="center"/>
    </xf>
    <xf numFmtId="0" fontId="66" fillId="18" borderId="0" xfId="0" applyFont="1" applyFill="1" applyAlignment="1">
      <alignment vertical="center"/>
    </xf>
    <xf numFmtId="49" fontId="67" fillId="17" borderId="75" xfId="1" applyNumberFormat="1" applyFont="1" applyFill="1" applyBorder="1" applyAlignment="1">
      <alignment horizontal="center" vertical="center"/>
    </xf>
    <xf numFmtId="0" fontId="66" fillId="0" borderId="16" xfId="6" applyFont="1" applyFill="1" applyBorder="1" applyAlignment="1">
      <alignment horizontal="left" vertical="center"/>
    </xf>
    <xf numFmtId="9" fontId="66" fillId="0" borderId="16" xfId="6" applyNumberFormat="1" applyFont="1" applyFill="1" applyBorder="1" applyAlignment="1">
      <alignment horizontal="center" vertical="center" wrapText="1"/>
    </xf>
    <xf numFmtId="0" fontId="23" fillId="9" borderId="16" xfId="8" applyFont="1" applyFill="1" applyBorder="1" applyAlignment="1">
      <alignment horizontal="center" vertical="center" wrapText="1"/>
    </xf>
    <xf numFmtId="0" fontId="23" fillId="9" borderId="28" xfId="8" applyFont="1" applyFill="1" applyBorder="1" applyAlignment="1">
      <alignment horizontal="center" vertical="center" wrapText="1"/>
    </xf>
    <xf numFmtId="0" fontId="0" fillId="9" borderId="27" xfId="0" applyFill="1" applyBorder="1" applyAlignment="1">
      <alignment vertical="center"/>
    </xf>
    <xf numFmtId="49" fontId="65" fillId="9" borderId="0" xfId="0" applyNumberFormat="1" applyFont="1" applyFill="1" applyAlignment="1">
      <alignment vertical="center"/>
    </xf>
    <xf numFmtId="49" fontId="65" fillId="9" borderId="0" xfId="0" applyNumberFormat="1" applyFont="1" applyFill="1" applyAlignment="1">
      <alignment horizontal="center" vertical="center"/>
    </xf>
    <xf numFmtId="0" fontId="65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9" fontId="0" fillId="9" borderId="0" xfId="2" applyFont="1" applyFill="1" applyBorder="1" applyAlignment="1">
      <alignment vertical="center"/>
    </xf>
    <xf numFmtId="9" fontId="60" fillId="9" borderId="16" xfId="5" applyNumberFormat="1" applyFill="1" applyBorder="1" applyAlignment="1">
      <alignment horizontal="center" vertical="center" wrapText="1"/>
    </xf>
    <xf numFmtId="9" fontId="66" fillId="15" borderId="16" xfId="2" applyFont="1" applyFill="1" applyBorder="1" applyAlignment="1">
      <alignment horizontal="center" vertical="center" wrapText="1"/>
    </xf>
    <xf numFmtId="9" fontId="66" fillId="9" borderId="16" xfId="5" applyNumberFormat="1" applyFont="1" applyFill="1" applyBorder="1" applyAlignment="1">
      <alignment horizontal="center" vertical="center" wrapText="1"/>
    </xf>
    <xf numFmtId="9" fontId="62" fillId="9" borderId="16" xfId="2" applyFont="1" applyFill="1" applyBorder="1" applyAlignment="1">
      <alignment horizontal="center" vertical="center" wrapText="1"/>
    </xf>
    <xf numFmtId="9" fontId="62" fillId="9" borderId="16" xfId="5" applyNumberFormat="1" applyFont="1" applyFill="1" applyBorder="1" applyAlignment="1">
      <alignment horizontal="center" vertical="center" wrapText="1"/>
    </xf>
    <xf numFmtId="0" fontId="62" fillId="9" borderId="16" xfId="0" applyFont="1" applyFill="1" applyBorder="1" applyAlignment="1">
      <alignment horizontal="center" vertical="center" wrapText="1"/>
    </xf>
    <xf numFmtId="9" fontId="0" fillId="0" borderId="28" xfId="2" applyFont="1" applyBorder="1" applyAlignment="1">
      <alignment vertical="center"/>
    </xf>
    <xf numFmtId="9" fontId="0" fillId="0" borderId="25" xfId="2" applyFont="1" applyBorder="1" applyAlignment="1">
      <alignment vertical="center"/>
    </xf>
    <xf numFmtId="9" fontId="0" fillId="0" borderId="25" xfId="2" applyFont="1" applyBorder="1" applyAlignment="1">
      <alignment horizontal="center" vertical="center"/>
    </xf>
    <xf numFmtId="9" fontId="0" fillId="0" borderId="27" xfId="2" applyFont="1" applyBorder="1" applyAlignment="1">
      <alignment horizontal="center" vertical="center" wrapText="1"/>
    </xf>
    <xf numFmtId="9" fontId="0" fillId="0" borderId="25" xfId="2" applyFont="1" applyBorder="1" applyAlignment="1">
      <alignment horizontal="center" vertical="center" wrapText="1"/>
    </xf>
    <xf numFmtId="0" fontId="73" fillId="9" borderId="28" xfId="8" applyFont="1" applyFill="1" applyBorder="1" applyAlignment="1">
      <alignment horizontal="center" vertical="center" wrapText="1"/>
    </xf>
    <xf numFmtId="0" fontId="23" fillId="9" borderId="16" xfId="8" applyFont="1" applyFill="1" applyBorder="1" applyAlignment="1">
      <alignment vertical="center" wrapText="1"/>
    </xf>
    <xf numFmtId="0" fontId="73" fillId="9" borderId="27" xfId="8" applyFont="1" applyFill="1" applyBorder="1" applyAlignment="1">
      <alignment horizontal="center" vertical="center" wrapText="1"/>
    </xf>
    <xf numFmtId="9" fontId="0" fillId="0" borderId="0" xfId="2" applyFont="1" applyAlignment="1">
      <alignment vertical="center"/>
    </xf>
    <xf numFmtId="0" fontId="0" fillId="16" borderId="0" xfId="0" applyFill="1" applyAlignment="1">
      <alignment vertical="center"/>
    </xf>
    <xf numFmtId="9" fontId="0" fillId="16" borderId="0" xfId="2" applyFont="1" applyFill="1" applyAlignment="1">
      <alignment vertical="center"/>
    </xf>
    <xf numFmtId="0" fontId="0" fillId="9" borderId="16" xfId="0" applyFill="1" applyBorder="1" applyAlignment="1">
      <alignment horizontal="center" vertical="center"/>
    </xf>
    <xf numFmtId="49" fontId="13" fillId="0" borderId="5" xfId="1" applyNumberFormat="1" applyFont="1" applyFill="1" applyBorder="1" applyAlignment="1">
      <alignment horizontal="center" vertical="center"/>
    </xf>
    <xf numFmtId="0" fontId="66" fillId="9" borderId="16" xfId="6" applyFont="1" applyFill="1" applyBorder="1" applyAlignment="1">
      <alignment horizontal="center" vertical="center" wrapText="1"/>
    </xf>
    <xf numFmtId="0" fontId="1" fillId="9" borderId="16" xfId="6" applyFont="1" applyFill="1" applyBorder="1" applyAlignment="1">
      <alignment vertical="center"/>
    </xf>
    <xf numFmtId="9" fontId="1" fillId="9" borderId="16" xfId="6" applyNumberFormat="1" applyFont="1" applyFill="1" applyBorder="1" applyAlignment="1">
      <alignment horizontal="center" vertical="center" wrapText="1"/>
    </xf>
    <xf numFmtId="9" fontId="0" fillId="9" borderId="16" xfId="6" applyNumberFormat="1" applyFont="1" applyFill="1" applyBorder="1" applyAlignment="1">
      <alignment horizontal="center" vertical="center" wrapText="1"/>
    </xf>
    <xf numFmtId="0" fontId="66" fillId="9" borderId="16" xfId="4" applyFont="1" applyFill="1" applyBorder="1" applyAlignment="1">
      <alignment vertical="center"/>
    </xf>
    <xf numFmtId="9" fontId="66" fillId="9" borderId="16" xfId="7" applyNumberFormat="1" applyFont="1" applyFill="1" applyBorder="1" applyAlignment="1">
      <alignment horizontal="center" vertical="center" wrapText="1"/>
    </xf>
    <xf numFmtId="0" fontId="66" fillId="9" borderId="16" xfId="0" applyFont="1" applyFill="1" applyBorder="1" applyAlignment="1">
      <alignment vertical="center"/>
    </xf>
    <xf numFmtId="9" fontId="0" fillId="0" borderId="16" xfId="2" applyFont="1" applyFill="1" applyBorder="1" applyAlignment="1">
      <alignment horizontal="center" vertical="center" wrapText="1"/>
    </xf>
    <xf numFmtId="0" fontId="73" fillId="9" borderId="16" xfId="8" applyFont="1" applyFill="1" applyBorder="1" applyAlignment="1">
      <alignment vertical="center" wrapText="1"/>
    </xf>
    <xf numFmtId="0" fontId="65" fillId="11" borderId="0" xfId="5" applyFont="1" applyAlignment="1">
      <alignment vertical="center"/>
    </xf>
    <xf numFmtId="0" fontId="74" fillId="15" borderId="16" xfId="8" applyFont="1" applyFill="1" applyBorder="1" applyAlignment="1">
      <alignment horizontal="center" vertical="center" wrapText="1"/>
    </xf>
    <xf numFmtId="0" fontId="74" fillId="15" borderId="28" xfId="8" applyFont="1" applyFill="1" applyBorder="1" applyAlignment="1">
      <alignment horizontal="center" vertical="center" wrapText="1"/>
    </xf>
    <xf numFmtId="0" fontId="59" fillId="15" borderId="16" xfId="4" applyFill="1" applyBorder="1" applyAlignment="1">
      <alignment vertical="center"/>
    </xf>
    <xf numFmtId="9" fontId="0" fillId="15" borderId="27" xfId="0" applyNumberFormat="1" applyFill="1" applyBorder="1" applyAlignment="1">
      <alignment vertical="center"/>
    </xf>
    <xf numFmtId="9" fontId="66" fillId="0" borderId="27" xfId="2" applyFont="1" applyFill="1" applyBorder="1" applyAlignment="1">
      <alignment vertical="center"/>
    </xf>
    <xf numFmtId="9" fontId="66" fillId="0" borderId="16" xfId="2" applyFont="1" applyFill="1" applyBorder="1" applyAlignment="1">
      <alignment vertical="center" wrapText="1"/>
    </xf>
    <xf numFmtId="9" fontId="62" fillId="0" borderId="16" xfId="2" applyFont="1" applyFill="1" applyBorder="1" applyAlignment="1">
      <alignment vertical="center" wrapText="1"/>
    </xf>
    <xf numFmtId="0" fontId="48" fillId="9" borderId="28" xfId="8" applyFont="1" applyFill="1" applyBorder="1" applyAlignment="1">
      <alignment horizontal="left" vertical="center" wrapText="1"/>
    </xf>
    <xf numFmtId="0" fontId="65" fillId="15" borderId="0" xfId="5" applyFont="1" applyFill="1" applyAlignment="1">
      <alignment vertical="center"/>
    </xf>
    <xf numFmtId="9" fontId="66" fillId="9" borderId="0" xfId="2" applyFont="1" applyFill="1" applyAlignment="1">
      <alignment vertical="center"/>
    </xf>
    <xf numFmtId="0" fontId="75" fillId="9" borderId="16" xfId="8" applyFont="1" applyFill="1" applyBorder="1" applyAlignment="1">
      <alignment vertical="center" wrapText="1"/>
    </xf>
    <xf numFmtId="9" fontId="62" fillId="0" borderId="0" xfId="2" applyFont="1" applyFill="1" applyBorder="1" applyAlignment="1">
      <alignment vertical="center"/>
    </xf>
    <xf numFmtId="9" fontId="62" fillId="15" borderId="16" xfId="2" applyFont="1" applyFill="1" applyBorder="1" applyAlignment="1">
      <alignment vertical="center" wrapText="1"/>
    </xf>
    <xf numFmtId="0" fontId="74" fillId="9" borderId="27" xfId="8" quotePrefix="1" applyFont="1" applyFill="1" applyBorder="1" applyAlignment="1">
      <alignment horizontal="center" vertical="center" wrapText="1"/>
    </xf>
    <xf numFmtId="9" fontId="0" fillId="0" borderId="0" xfId="2" applyFont="1" applyFill="1" applyBorder="1" applyAlignment="1">
      <alignment horizontal="center" vertical="center" wrapText="1"/>
    </xf>
    <xf numFmtId="9" fontId="0" fillId="4" borderId="38" xfId="2" applyFont="1" applyFill="1" applyBorder="1" applyAlignment="1">
      <alignment vertical="center"/>
    </xf>
    <xf numFmtId="0" fontId="0" fillId="0" borderId="0" xfId="0" applyAlignment="1">
      <alignment vertical="center" wrapText="1"/>
    </xf>
    <xf numFmtId="38" fontId="3" fillId="0" borderId="7" xfId="1" applyNumberFormat="1" applyFont="1" applyBorder="1" applyAlignment="1">
      <alignment horizontal="right"/>
    </xf>
    <xf numFmtId="9" fontId="3" fillId="3" borderId="7" xfId="2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 wrapText="1"/>
    </xf>
    <xf numFmtId="164" fontId="4" fillId="2" borderId="77" xfId="1" applyNumberFormat="1" applyFont="1" applyFill="1" applyBorder="1" applyAlignment="1">
      <alignment horizontal="center" vertical="center" wrapText="1"/>
    </xf>
    <xf numFmtId="0" fontId="4" fillId="2" borderId="78" xfId="0" applyFont="1" applyFill="1" applyBorder="1" applyAlignment="1">
      <alignment horizontal="center" vertical="center" wrapText="1"/>
    </xf>
    <xf numFmtId="0" fontId="79" fillId="9" borderId="3" xfId="0" applyFont="1" applyFill="1" applyBorder="1" applyAlignment="1">
      <alignment horizontal="center"/>
    </xf>
    <xf numFmtId="0" fontId="79" fillId="9" borderId="4" xfId="0" applyFont="1" applyFill="1" applyBorder="1" applyAlignment="1">
      <alignment horizontal="center"/>
    </xf>
    <xf numFmtId="0" fontId="79" fillId="9" borderId="79" xfId="0" applyFont="1" applyFill="1" applyBorder="1" applyAlignment="1">
      <alignment horizontal="center"/>
    </xf>
    <xf numFmtId="38" fontId="80" fillId="9" borderId="79" xfId="1" applyNumberFormat="1" applyFont="1" applyFill="1" applyBorder="1" applyAlignment="1">
      <alignment horizontal="right"/>
    </xf>
    <xf numFmtId="9" fontId="80" fillId="9" borderId="79" xfId="2" applyFont="1" applyFill="1" applyBorder="1" applyAlignment="1">
      <alignment horizontal="center" wrapText="1"/>
    </xf>
    <xf numFmtId="165" fontId="81" fillId="9" borderId="79" xfId="2" applyNumberFormat="1" applyFont="1" applyFill="1" applyBorder="1" applyAlignment="1">
      <alignment horizontal="center"/>
    </xf>
    <xf numFmtId="40" fontId="80" fillId="9" borderId="79" xfId="1" applyNumberFormat="1" applyFont="1" applyFill="1" applyBorder="1" applyAlignment="1">
      <alignment horizontal="right"/>
    </xf>
    <xf numFmtId="166" fontId="82" fillId="9" borderId="80" xfId="1" applyNumberFormat="1" applyFont="1" applyFill="1" applyBorder="1" applyAlignment="1">
      <alignment horizontal="center" wrapText="1"/>
    </xf>
    <xf numFmtId="0" fontId="80" fillId="6" borderId="6" xfId="0" applyFont="1" applyFill="1" applyBorder="1" applyAlignment="1">
      <alignment horizontal="left" vertical="top" wrapText="1"/>
    </xf>
    <xf numFmtId="0" fontId="80" fillId="6" borderId="7" xfId="0" applyFont="1" applyFill="1" applyBorder="1" applyAlignment="1">
      <alignment horizontal="left" vertical="top" wrapText="1"/>
    </xf>
    <xf numFmtId="0" fontId="80" fillId="6" borderId="7" xfId="0" applyFont="1" applyFill="1" applyBorder="1" applyAlignment="1">
      <alignment horizontal="center" vertical="center" wrapText="1"/>
    </xf>
    <xf numFmtId="38" fontId="80" fillId="6" borderId="7" xfId="0" applyNumberFormat="1" applyFont="1" applyFill="1" applyBorder="1" applyAlignment="1">
      <alignment horizontal="right" vertical="top" wrapText="1"/>
    </xf>
    <xf numFmtId="0" fontId="80" fillId="6" borderId="7" xfId="0" applyFont="1" applyFill="1" applyBorder="1" applyAlignment="1">
      <alignment horizontal="right" vertical="top" wrapText="1"/>
    </xf>
    <xf numFmtId="9" fontId="80" fillId="6" borderId="7" xfId="2" applyFont="1" applyFill="1" applyBorder="1" applyAlignment="1">
      <alignment horizontal="center" vertical="top" wrapText="1"/>
    </xf>
    <xf numFmtId="165" fontId="80" fillId="6" borderId="7" xfId="2" applyNumberFormat="1" applyFont="1" applyFill="1" applyBorder="1" applyAlignment="1">
      <alignment horizontal="center" vertical="top" wrapText="1"/>
    </xf>
    <xf numFmtId="38" fontId="80" fillId="9" borderId="7" xfId="1" applyNumberFormat="1" applyFont="1" applyFill="1" applyBorder="1" applyAlignment="1">
      <alignment horizontal="center"/>
    </xf>
    <xf numFmtId="38" fontId="80" fillId="9" borderId="7" xfId="1" applyNumberFormat="1" applyFont="1" applyFill="1" applyBorder="1" applyAlignment="1">
      <alignment horizontal="right"/>
    </xf>
    <xf numFmtId="9" fontId="80" fillId="9" borderId="0" xfId="2" applyFont="1" applyFill="1" applyBorder="1" applyAlignment="1">
      <alignment horizontal="center" wrapText="1"/>
    </xf>
    <xf numFmtId="165" fontId="80" fillId="9" borderId="7" xfId="2" applyNumberFormat="1" applyFont="1" applyFill="1" applyBorder="1" applyAlignment="1">
      <alignment horizontal="center" wrapText="1"/>
    </xf>
    <xf numFmtId="165" fontId="80" fillId="9" borderId="7" xfId="0" applyNumberFormat="1" applyFont="1" applyFill="1" applyBorder="1" applyAlignment="1">
      <alignment horizontal="center"/>
    </xf>
    <xf numFmtId="0" fontId="80" fillId="6" borderId="6" xfId="0" quotePrefix="1" applyFont="1" applyFill="1" applyBorder="1" applyAlignment="1">
      <alignment horizontal="center"/>
    </xf>
    <xf numFmtId="38" fontId="80" fillId="6" borderId="7" xfId="1" applyNumberFormat="1" applyFont="1" applyFill="1" applyBorder="1" applyAlignment="1">
      <alignment horizontal="center"/>
    </xf>
    <xf numFmtId="38" fontId="80" fillId="6" borderId="7" xfId="1" applyNumberFormat="1" applyFont="1" applyFill="1" applyBorder="1" applyAlignment="1">
      <alignment horizontal="right"/>
    </xf>
    <xf numFmtId="0" fontId="83" fillId="6" borderId="7" xfId="0" applyFont="1" applyFill="1" applyBorder="1" applyAlignment="1">
      <alignment horizontal="left" vertical="top" wrapText="1"/>
    </xf>
    <xf numFmtId="0" fontId="83" fillId="6" borderId="8" xfId="0" applyFont="1" applyFill="1" applyBorder="1" applyAlignment="1">
      <alignment horizontal="left" vertical="top" wrapText="1"/>
    </xf>
    <xf numFmtId="38" fontId="83" fillId="9" borderId="7" xfId="1" applyNumberFormat="1" applyFont="1" applyFill="1" applyBorder="1" applyAlignment="1">
      <alignment horizontal="right"/>
    </xf>
    <xf numFmtId="40" fontId="83" fillId="9" borderId="7" xfId="1" applyNumberFormat="1" applyFont="1" applyFill="1" applyBorder="1" applyAlignment="1">
      <alignment horizontal="right"/>
    </xf>
    <xf numFmtId="38" fontId="83" fillId="6" borderId="7" xfId="1" applyNumberFormat="1" applyFont="1" applyFill="1" applyBorder="1" applyAlignment="1">
      <alignment horizontal="right"/>
    </xf>
    <xf numFmtId="40" fontId="83" fillId="6" borderId="7" xfId="1" applyNumberFormat="1" applyFont="1" applyFill="1" applyBorder="1" applyAlignment="1">
      <alignment horizontal="right"/>
    </xf>
    <xf numFmtId="0" fontId="66" fillId="19" borderId="16" xfId="0" applyFont="1" applyFill="1" applyBorder="1" applyAlignment="1">
      <alignment horizontal="left" vertical="center"/>
    </xf>
    <xf numFmtId="0" fontId="0" fillId="19" borderId="16" xfId="0" applyFill="1" applyBorder="1" applyAlignment="1">
      <alignment vertical="center"/>
    </xf>
    <xf numFmtId="0" fontId="0" fillId="19" borderId="16" xfId="0" applyFill="1" applyBorder="1" applyAlignment="1">
      <alignment horizontal="left" vertical="center"/>
    </xf>
    <xf numFmtId="38" fontId="5" fillId="0" borderId="7" xfId="1" applyNumberFormat="1" applyFont="1" applyFill="1" applyBorder="1" applyAlignment="1">
      <alignment horizontal="center"/>
    </xf>
    <xf numFmtId="0" fontId="84" fillId="20" borderId="1" xfId="0" applyFont="1" applyFill="1" applyBorder="1" applyAlignment="1">
      <alignment wrapText="1"/>
    </xf>
    <xf numFmtId="0" fontId="84" fillId="20" borderId="2" xfId="0" applyFont="1" applyFill="1" applyBorder="1" applyAlignment="1">
      <alignment horizontal="center" wrapText="1"/>
    </xf>
    <xf numFmtId="0" fontId="84" fillId="20" borderId="2" xfId="0" applyFont="1" applyFill="1" applyBorder="1" applyAlignment="1">
      <alignment wrapText="1"/>
    </xf>
    <xf numFmtId="164" fontId="84" fillId="20" borderId="2" xfId="1" applyNumberFormat="1" applyFont="1" applyFill="1" applyBorder="1" applyAlignment="1">
      <alignment horizontal="center" wrapText="1"/>
    </xf>
    <xf numFmtId="164" fontId="84" fillId="20" borderId="81" xfId="1" applyNumberFormat="1" applyFont="1" applyFill="1" applyBorder="1" applyAlignment="1">
      <alignment horizontal="center" wrapText="1"/>
    </xf>
    <xf numFmtId="0" fontId="84" fillId="21" borderId="3" xfId="0" applyFont="1" applyFill="1" applyBorder="1" applyAlignment="1">
      <alignment horizontal="center"/>
    </xf>
    <xf numFmtId="0" fontId="84" fillId="21" borderId="4" xfId="0" applyFont="1" applyFill="1" applyBorder="1" applyAlignment="1">
      <alignment horizontal="center"/>
    </xf>
    <xf numFmtId="38" fontId="3" fillId="21" borderId="0" xfId="1" applyNumberFormat="1" applyFont="1" applyFill="1" applyBorder="1" applyAlignment="1">
      <alignment horizontal="right"/>
    </xf>
    <xf numFmtId="9" fontId="3" fillId="21" borderId="0" xfId="2" applyFont="1" applyFill="1" applyBorder="1" applyAlignment="1">
      <alignment horizontal="center"/>
    </xf>
    <xf numFmtId="9" fontId="3" fillId="21" borderId="0" xfId="2" applyFont="1" applyFill="1" applyBorder="1" applyAlignment="1">
      <alignment horizontal="center" wrapText="1"/>
    </xf>
    <xf numFmtId="165" fontId="85" fillId="21" borderId="0" xfId="2" applyNumberFormat="1" applyFont="1" applyFill="1" applyBorder="1" applyAlignment="1">
      <alignment horizontal="center"/>
    </xf>
    <xf numFmtId="40" fontId="3" fillId="21" borderId="0" xfId="1" applyNumberFormat="1" applyFont="1" applyFill="1" applyBorder="1" applyAlignment="1">
      <alignment horizontal="right"/>
    </xf>
    <xf numFmtId="166" fontId="4" fillId="21" borderId="5" xfId="1" applyNumberFormat="1" applyFont="1" applyFill="1" applyBorder="1" applyAlignment="1">
      <alignment horizontal="center" wrapText="1"/>
    </xf>
    <xf numFmtId="0" fontId="86" fillId="22" borderId="6" xfId="0" applyFont="1" applyFill="1" applyBorder="1" applyAlignment="1">
      <alignment horizontal="left" vertical="top" wrapText="1"/>
    </xf>
    <xf numFmtId="0" fontId="86" fillId="22" borderId="7" xfId="0" applyFont="1" applyFill="1" applyBorder="1" applyAlignment="1">
      <alignment horizontal="left" vertical="top" wrapText="1"/>
    </xf>
    <xf numFmtId="0" fontId="86" fillId="22" borderId="82" xfId="0" applyFont="1" applyFill="1" applyBorder="1" applyAlignment="1">
      <alignment horizontal="left" vertical="top" wrapText="1"/>
    </xf>
    <xf numFmtId="38" fontId="86" fillId="22" borderId="7" xfId="0" applyNumberFormat="1" applyFont="1" applyFill="1" applyBorder="1" applyAlignment="1">
      <alignment horizontal="left" vertical="top" wrapText="1"/>
    </xf>
    <xf numFmtId="9" fontId="86" fillId="22" borderId="7" xfId="2" applyFont="1" applyFill="1" applyBorder="1" applyAlignment="1">
      <alignment horizontal="center" vertical="top" wrapText="1"/>
    </xf>
    <xf numFmtId="0" fontId="86" fillId="22" borderId="8" xfId="0" applyFont="1" applyFill="1" applyBorder="1" applyAlignment="1">
      <alignment horizontal="left" vertical="top" wrapText="1"/>
    </xf>
    <xf numFmtId="38" fontId="5" fillId="0" borderId="83" xfId="1" applyNumberFormat="1" applyFont="1" applyBorder="1" applyAlignment="1">
      <alignment horizontal="center"/>
    </xf>
    <xf numFmtId="38" fontId="5" fillId="0" borderId="84" xfId="1" applyNumberFormat="1" applyFont="1" applyBorder="1" applyAlignment="1">
      <alignment horizontal="center"/>
    </xf>
    <xf numFmtId="9" fontId="5" fillId="0" borderId="7" xfId="2" applyFont="1" applyFill="1" applyBorder="1" applyAlignment="1">
      <alignment horizontal="center"/>
    </xf>
    <xf numFmtId="9" fontId="87" fillId="0" borderId="7" xfId="2" applyFont="1" applyFill="1" applyBorder="1" applyAlignment="1">
      <alignment horizontal="center"/>
    </xf>
    <xf numFmtId="9" fontId="5" fillId="3" borderId="7" xfId="2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38" fontId="5" fillId="0" borderId="85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38" fontId="5" fillId="0" borderId="0" xfId="1" applyNumberFormat="1" applyFont="1" applyBorder="1" applyAlignment="1">
      <alignment horizontal="center"/>
    </xf>
    <xf numFmtId="169" fontId="25" fillId="0" borderId="0" xfId="0" applyNumberFormat="1" applyFont="1"/>
    <xf numFmtId="168" fontId="89" fillId="0" borderId="0" xfId="0" applyNumberFormat="1" applyFont="1"/>
    <xf numFmtId="169" fontId="89" fillId="0" borderId="0" xfId="0" applyNumberFormat="1" applyFont="1"/>
    <xf numFmtId="0" fontId="89" fillId="0" borderId="0" xfId="0" applyFont="1"/>
    <xf numFmtId="169" fontId="89" fillId="0" borderId="2" xfId="0" applyNumberFormat="1" applyFont="1" applyBorder="1"/>
    <xf numFmtId="3" fontId="89" fillId="0" borderId="2" xfId="0" applyNumberFormat="1" applyFont="1" applyBorder="1"/>
    <xf numFmtId="3" fontId="89" fillId="0" borderId="81" xfId="0" applyNumberFormat="1" applyFont="1" applyBorder="1"/>
    <xf numFmtId="169" fontId="89" fillId="0" borderId="11" xfId="0" applyNumberFormat="1" applyFont="1" applyBorder="1"/>
    <xf numFmtId="3" fontId="89" fillId="0" borderId="11" xfId="0" applyNumberFormat="1" applyFont="1" applyBorder="1"/>
    <xf numFmtId="3" fontId="89" fillId="0" borderId="12" xfId="0" applyNumberFormat="1" applyFont="1" applyBorder="1"/>
    <xf numFmtId="0" fontId="89" fillId="0" borderId="2" xfId="0" applyFont="1" applyBorder="1"/>
    <xf numFmtId="0" fontId="89" fillId="0" borderId="81" xfId="0" applyFont="1" applyBorder="1"/>
    <xf numFmtId="1" fontId="0" fillId="0" borderId="0" xfId="0" applyNumberFormat="1"/>
    <xf numFmtId="40" fontId="5" fillId="0" borderId="7" xfId="1" applyNumberFormat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38" fontId="5" fillId="0" borderId="4" xfId="1" applyNumberFormat="1" applyFont="1" applyBorder="1" applyAlignment="1">
      <alignment horizontal="center"/>
    </xf>
    <xf numFmtId="38" fontId="5" fillId="0" borderId="4" xfId="1" applyNumberFormat="1" applyFont="1" applyBorder="1" applyAlignment="1">
      <alignment horizontal="center" wrapText="1"/>
    </xf>
    <xf numFmtId="171" fontId="83" fillId="6" borderId="7" xfId="1" applyNumberFormat="1" applyFont="1" applyFill="1" applyBorder="1" applyAlignment="1">
      <alignment horizontal="right"/>
    </xf>
    <xf numFmtId="38" fontId="5" fillId="0" borderId="82" xfId="1" applyNumberFormat="1" applyFont="1" applyBorder="1" applyAlignment="1">
      <alignment horizontal="right"/>
    </xf>
    <xf numFmtId="9" fontId="87" fillId="0" borderId="82" xfId="2" applyFont="1" applyFill="1" applyBorder="1" applyAlignment="1">
      <alignment horizontal="center"/>
    </xf>
    <xf numFmtId="9" fontId="5" fillId="3" borderId="82" xfId="2" applyFont="1" applyFill="1" applyBorder="1" applyAlignment="1">
      <alignment horizontal="center"/>
    </xf>
    <xf numFmtId="165" fontId="5" fillId="0" borderId="82" xfId="0" applyNumberFormat="1" applyFont="1" applyBorder="1" applyAlignment="1">
      <alignment horizontal="center"/>
    </xf>
    <xf numFmtId="40" fontId="5" fillId="0" borderId="82" xfId="1" applyNumberFormat="1" applyFont="1" applyBorder="1" applyAlignment="1">
      <alignment horizontal="right"/>
    </xf>
    <xf numFmtId="166" fontId="5" fillId="0" borderId="86" xfId="1" applyNumberFormat="1" applyFont="1" applyBorder="1" applyAlignment="1">
      <alignment wrapText="1"/>
    </xf>
    <xf numFmtId="38" fontId="5" fillId="0" borderId="83" xfId="1" applyNumberFormat="1" applyFont="1" applyFill="1" applyBorder="1" applyAlignment="1">
      <alignment horizontal="center"/>
    </xf>
    <xf numFmtId="38" fontId="5" fillId="0" borderId="85" xfId="1" applyNumberFormat="1" applyFont="1" applyFill="1" applyBorder="1" applyAlignment="1">
      <alignment horizontal="center"/>
    </xf>
    <xf numFmtId="38" fontId="5" fillId="0" borderId="82" xfId="1" applyNumberFormat="1" applyFont="1" applyFill="1" applyBorder="1" applyAlignment="1">
      <alignment horizontal="center"/>
    </xf>
    <xf numFmtId="38" fontId="5" fillId="0" borderId="82" xfId="1" applyNumberFormat="1" applyFont="1" applyFill="1" applyBorder="1" applyAlignment="1">
      <alignment horizontal="right"/>
    </xf>
    <xf numFmtId="38" fontId="5" fillId="0" borderId="4" xfId="1" applyNumberFormat="1" applyFont="1" applyFill="1" applyBorder="1" applyAlignment="1">
      <alignment horizontal="center"/>
    </xf>
    <xf numFmtId="38" fontId="86" fillId="22" borderId="7" xfId="0" applyNumberFormat="1" applyFont="1" applyFill="1" applyBorder="1" applyAlignment="1">
      <alignment horizontal="center" vertical="top" wrapText="1"/>
    </xf>
    <xf numFmtId="38" fontId="5" fillId="21" borderId="82" xfId="1" applyNumberFormat="1" applyFont="1" applyFill="1" applyBorder="1" applyAlignment="1">
      <alignment horizontal="center"/>
    </xf>
    <xf numFmtId="38" fontId="5" fillId="21" borderId="7" xfId="1" applyNumberFormat="1" applyFont="1" applyFill="1" applyBorder="1" applyAlignment="1">
      <alignment horizontal="center"/>
    </xf>
    <xf numFmtId="38" fontId="3" fillId="21" borderId="82" xfId="1" applyNumberFormat="1" applyFont="1" applyFill="1" applyBorder="1" applyAlignment="1">
      <alignment horizontal="center"/>
    </xf>
    <xf numFmtId="9" fontId="87" fillId="21" borderId="82" xfId="2" applyFont="1" applyFill="1" applyBorder="1" applyAlignment="1">
      <alignment horizontal="center"/>
    </xf>
    <xf numFmtId="9" fontId="80" fillId="21" borderId="79" xfId="2" applyFont="1" applyFill="1" applyBorder="1" applyAlignment="1">
      <alignment horizontal="center" wrapText="1"/>
    </xf>
    <xf numFmtId="165" fontId="5" fillId="21" borderId="82" xfId="0" applyNumberFormat="1" applyFont="1" applyFill="1" applyBorder="1" applyAlignment="1">
      <alignment horizontal="center"/>
    </xf>
    <xf numFmtId="38" fontId="5" fillId="21" borderId="82" xfId="1" applyNumberFormat="1" applyFont="1" applyFill="1" applyBorder="1" applyAlignment="1">
      <alignment horizontal="right"/>
    </xf>
    <xf numFmtId="40" fontId="5" fillId="21" borderId="82" xfId="1" applyNumberFormat="1" applyFont="1" applyFill="1" applyBorder="1" applyAlignment="1">
      <alignment horizontal="right"/>
    </xf>
    <xf numFmtId="166" fontId="5" fillId="21" borderId="86" xfId="1" applyNumberFormat="1" applyFont="1" applyFill="1" applyBorder="1" applyAlignment="1">
      <alignment wrapText="1"/>
    </xf>
    <xf numFmtId="38" fontId="5" fillId="0" borderId="82" xfId="1" applyNumberFormat="1" applyFont="1" applyBorder="1" applyAlignment="1"/>
    <xf numFmtId="38" fontId="5" fillId="0" borderId="7" xfId="1" applyNumberFormat="1" applyFont="1" applyBorder="1" applyAlignment="1"/>
    <xf numFmtId="38" fontId="3" fillId="21" borderId="0" xfId="1" applyNumberFormat="1" applyFont="1" applyFill="1" applyBorder="1" applyAlignment="1"/>
    <xf numFmtId="38" fontId="5" fillId="0" borderId="82" xfId="1" applyNumberFormat="1" applyFont="1" applyFill="1" applyBorder="1" applyAlignment="1"/>
    <xf numFmtId="38" fontId="5" fillId="0" borderId="7" xfId="1" applyNumberFormat="1" applyFont="1" applyFill="1" applyBorder="1" applyAlignment="1"/>
    <xf numFmtId="14" fontId="5" fillId="0" borderId="7" xfId="1" applyNumberFormat="1" applyFont="1" applyBorder="1" applyAlignment="1">
      <alignment horizontal="center"/>
    </xf>
    <xf numFmtId="38" fontId="5" fillId="0" borderId="7" xfId="1" applyNumberFormat="1" applyFont="1" applyFill="1" applyBorder="1" applyAlignment="1">
      <alignment horizontal="right"/>
    </xf>
    <xf numFmtId="38" fontId="5" fillId="0" borderId="7" xfId="1" applyNumberFormat="1" applyFont="1" applyBorder="1" applyAlignment="1">
      <alignment horizontal="center"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5" fillId="0" borderId="84" xfId="0" quotePrefix="1" applyFont="1" applyBorder="1" applyAlignment="1">
      <alignment horizontal="center"/>
    </xf>
    <xf numFmtId="38" fontId="3" fillId="0" borderId="7" xfId="1" applyNumberFormat="1" applyFont="1" applyFill="1" applyBorder="1" applyAlignment="1">
      <alignment horizontal="right"/>
    </xf>
    <xf numFmtId="165" fontId="80" fillId="6" borderId="7" xfId="0" applyNumberFormat="1" applyFont="1" applyFill="1" applyBorder="1" applyAlignment="1">
      <alignment horizontal="center"/>
    </xf>
    <xf numFmtId="38" fontId="5" fillId="0" borderId="0" xfId="1" applyNumberFormat="1" applyFont="1" applyBorder="1" applyAlignment="1">
      <alignment horizontal="right"/>
    </xf>
    <xf numFmtId="40" fontId="5" fillId="0" borderId="0" xfId="1" applyNumberFormat="1" applyFont="1" applyBorder="1" applyAlignment="1">
      <alignment horizontal="right"/>
    </xf>
    <xf numFmtId="38" fontId="5" fillId="0" borderId="0" xfId="1" applyNumberFormat="1" applyFont="1" applyFill="1" applyBorder="1" applyAlignment="1">
      <alignment horizontal="center"/>
    </xf>
    <xf numFmtId="38" fontId="5" fillId="0" borderId="0" xfId="1" applyNumberFormat="1" applyFont="1" applyFill="1" applyBorder="1" applyAlignment="1">
      <alignment horizontal="right"/>
    </xf>
    <xf numFmtId="38" fontId="5" fillId="0" borderId="0" xfId="1" applyNumberFormat="1" applyFont="1" applyFill="1" applyBorder="1" applyAlignment="1"/>
    <xf numFmtId="9" fontId="5" fillId="0" borderId="0" xfId="2" applyFont="1" applyFill="1" applyBorder="1" applyAlignment="1">
      <alignment horizontal="center"/>
    </xf>
    <xf numFmtId="0" fontId="84" fillId="21" borderId="0" xfId="0" applyFont="1" applyFill="1" applyAlignment="1">
      <alignment horizontal="center"/>
    </xf>
    <xf numFmtId="1" fontId="0" fillId="21" borderId="0" xfId="0" applyNumberFormat="1" applyFill="1" applyAlignment="1">
      <alignment horizontal="center"/>
    </xf>
    <xf numFmtId="0" fontId="5" fillId="0" borderId="9" xfId="0" quotePrefix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40" fontId="5" fillId="0" borderId="82" xfId="1" applyNumberFormat="1" applyFont="1" applyFill="1" applyBorder="1" applyAlignment="1">
      <alignment horizontal="right"/>
    </xf>
    <xf numFmtId="166" fontId="5" fillId="0" borderId="86" xfId="1" applyNumberFormat="1" applyFont="1" applyFill="1" applyBorder="1" applyAlignment="1">
      <alignment wrapText="1"/>
    </xf>
    <xf numFmtId="0" fontId="84" fillId="20" borderId="9" xfId="0" applyFont="1" applyFill="1" applyBorder="1" applyAlignment="1">
      <alignment wrapText="1"/>
    </xf>
    <xf numFmtId="0" fontId="84" fillId="20" borderId="0" xfId="0" applyFont="1" applyFill="1" applyAlignment="1">
      <alignment horizontal="center" wrapText="1"/>
    </xf>
    <xf numFmtId="0" fontId="84" fillId="20" borderId="0" xfId="0" applyFont="1" applyFill="1" applyAlignment="1">
      <alignment wrapText="1"/>
    </xf>
    <xf numFmtId="164" fontId="84" fillId="20" borderId="0" xfId="1" applyNumberFormat="1" applyFont="1" applyFill="1" applyBorder="1" applyAlignment="1">
      <alignment horizontal="center" wrapText="1"/>
    </xf>
    <xf numFmtId="164" fontId="84" fillId="20" borderId="5" xfId="1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164" fontId="4" fillId="2" borderId="2" xfId="1" applyNumberFormat="1" applyFont="1" applyFill="1" applyBorder="1" applyAlignment="1">
      <alignment horizontal="center" wrapText="1"/>
    </xf>
    <xf numFmtId="0" fontId="4" fillId="2" borderId="81" xfId="0" applyFont="1" applyFill="1" applyBorder="1" applyAlignment="1">
      <alignment horizontal="center" wrapText="1"/>
    </xf>
    <xf numFmtId="166" fontId="83" fillId="9" borderId="83" xfId="1" applyNumberFormat="1" applyFont="1" applyFill="1" applyBorder="1" applyAlignment="1">
      <alignment wrapText="1"/>
    </xf>
    <xf numFmtId="166" fontId="83" fillId="6" borderId="83" xfId="1" applyNumberFormat="1" applyFont="1" applyFill="1" applyBorder="1" applyAlignment="1">
      <alignment wrapText="1"/>
    </xf>
    <xf numFmtId="166" fontId="5" fillId="0" borderId="83" xfId="1" applyNumberFormat="1" applyFont="1" applyBorder="1" applyAlignment="1">
      <alignment wrapText="1"/>
    </xf>
    <xf numFmtId="0" fontId="4" fillId="2" borderId="14" xfId="0" applyFont="1" applyFill="1" applyBorder="1" applyAlignment="1">
      <alignment horizontal="center" vertical="center" wrapText="1"/>
    </xf>
    <xf numFmtId="164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38" fontId="80" fillId="9" borderId="4" xfId="1" applyNumberFormat="1" applyFont="1" applyFill="1" applyBorder="1" applyAlignment="1">
      <alignment horizontal="center"/>
    </xf>
    <xf numFmtId="38" fontId="80" fillId="9" borderId="4" xfId="1" applyNumberFormat="1" applyFont="1" applyFill="1" applyBorder="1" applyAlignment="1">
      <alignment horizontal="right"/>
    </xf>
    <xf numFmtId="165" fontId="80" fillId="9" borderId="4" xfId="0" applyNumberFormat="1" applyFont="1" applyFill="1" applyBorder="1" applyAlignment="1">
      <alignment horizontal="center"/>
    </xf>
    <xf numFmtId="38" fontId="83" fillId="9" borderId="4" xfId="1" applyNumberFormat="1" applyFont="1" applyFill="1" applyBorder="1" applyAlignment="1">
      <alignment horizontal="right"/>
    </xf>
    <xf numFmtId="40" fontId="83" fillId="9" borderId="4" xfId="1" applyNumberFormat="1" applyFont="1" applyFill="1" applyBorder="1" applyAlignment="1">
      <alignment horizontal="right"/>
    </xf>
    <xf numFmtId="166" fontId="83" fillId="9" borderId="90" xfId="1" applyNumberFormat="1" applyFont="1" applyFill="1" applyBorder="1" applyAlignment="1">
      <alignment wrapText="1"/>
    </xf>
    <xf numFmtId="38" fontId="5" fillId="0" borderId="5" xfId="1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38" fontId="3" fillId="0" borderId="0" xfId="1" applyNumberFormat="1" applyFont="1" applyBorder="1" applyAlignment="1">
      <alignment horizontal="right"/>
    </xf>
    <xf numFmtId="9" fontId="3" fillId="0" borderId="0" xfId="2" applyFont="1" applyFill="1" applyBorder="1" applyAlignment="1">
      <alignment horizontal="center"/>
    </xf>
    <xf numFmtId="166" fontId="5" fillId="0" borderId="0" xfId="1" applyNumberFormat="1" applyFont="1" applyFill="1" applyBorder="1" applyAlignment="1">
      <alignment wrapText="1"/>
    </xf>
    <xf numFmtId="38" fontId="80" fillId="6" borderId="91" xfId="1" applyNumberFormat="1" applyFont="1" applyFill="1" applyBorder="1" applyAlignment="1">
      <alignment horizontal="center"/>
    </xf>
    <xf numFmtId="38" fontId="5" fillId="0" borderId="92" xfId="1" applyNumberFormat="1" applyFont="1" applyBorder="1" applyAlignment="1">
      <alignment horizontal="center"/>
    </xf>
    <xf numFmtId="0" fontId="79" fillId="9" borderId="92" xfId="0" applyFont="1" applyFill="1" applyBorder="1" applyAlignment="1">
      <alignment horizontal="center"/>
    </xf>
    <xf numFmtId="38" fontId="80" fillId="6" borderId="92" xfId="1" applyNumberFormat="1" applyFont="1" applyFill="1" applyBorder="1" applyAlignment="1">
      <alignment horizontal="center"/>
    </xf>
    <xf numFmtId="0" fontId="79" fillId="9" borderId="91" xfId="0" applyFont="1" applyFill="1" applyBorder="1" applyAlignment="1">
      <alignment horizontal="center"/>
    </xf>
    <xf numFmtId="165" fontId="80" fillId="9" borderId="7" xfId="2" applyNumberFormat="1" applyFont="1" applyFill="1" applyBorder="1" applyAlignment="1">
      <alignment horizontal="center" vertical="center" wrapText="1"/>
    </xf>
    <xf numFmtId="166" fontId="5" fillId="0" borderId="93" xfId="1" applyNumberFormat="1" applyFont="1" applyBorder="1" applyAlignment="1">
      <alignment wrapText="1"/>
    </xf>
    <xf numFmtId="0" fontId="86" fillId="22" borderId="7" xfId="0" applyFont="1" applyFill="1" applyBorder="1" applyAlignment="1">
      <alignment horizontal="center" vertical="top" wrapText="1"/>
    </xf>
    <xf numFmtId="38" fontId="5" fillId="0" borderId="82" xfId="1" applyNumberFormat="1" applyFont="1" applyBorder="1" applyAlignment="1">
      <alignment horizontal="center"/>
    </xf>
    <xf numFmtId="0" fontId="0" fillId="0" borderId="82" xfId="0" applyBorder="1"/>
    <xf numFmtId="0" fontId="0" fillId="0" borderId="86" xfId="0" applyBorder="1"/>
    <xf numFmtId="38" fontId="3" fillId="22" borderId="0" xfId="1" applyNumberFormat="1" applyFont="1" applyFill="1" applyBorder="1" applyAlignment="1"/>
    <xf numFmtId="38" fontId="3" fillId="21" borderId="95" xfId="1" applyNumberFormat="1" applyFont="1" applyFill="1" applyBorder="1"/>
    <xf numFmtId="0" fontId="5" fillId="20" borderId="3" xfId="0" quotePrefix="1" applyFont="1" applyFill="1" applyBorder="1" applyAlignment="1">
      <alignment horizontal="center"/>
    </xf>
    <xf numFmtId="165" fontId="80" fillId="9" borderId="4" xfId="2" applyNumberFormat="1" applyFont="1" applyFill="1" applyBorder="1" applyAlignment="1">
      <alignment horizontal="center" wrapText="1"/>
    </xf>
    <xf numFmtId="165" fontId="80" fillId="9" borderId="4" xfId="2" applyNumberFormat="1" applyFont="1" applyFill="1" applyBorder="1" applyAlignment="1">
      <alignment horizontal="center" vertical="center" wrapText="1"/>
    </xf>
    <xf numFmtId="0" fontId="5" fillId="20" borderId="96" xfId="0" applyFont="1" applyFill="1" applyBorder="1" applyAlignment="1">
      <alignment horizontal="center"/>
    </xf>
    <xf numFmtId="38" fontId="5" fillId="20" borderId="96" xfId="1" applyNumberFormat="1" applyFont="1" applyFill="1" applyBorder="1" applyAlignment="1">
      <alignment horizontal="center"/>
    </xf>
    <xf numFmtId="38" fontId="5" fillId="20" borderId="96" xfId="1" applyNumberFormat="1" applyFont="1" applyFill="1" applyBorder="1" applyAlignment="1">
      <alignment horizontal="right"/>
    </xf>
    <xf numFmtId="164" fontId="84" fillId="20" borderId="97" xfId="1" applyNumberFormat="1" applyFont="1" applyFill="1" applyBorder="1" applyAlignment="1">
      <alignment horizontal="center" wrapText="1"/>
    </xf>
    <xf numFmtId="9" fontId="5" fillId="20" borderId="96" xfId="2" applyFont="1" applyFill="1" applyBorder="1" applyAlignment="1">
      <alignment horizontal="center"/>
    </xf>
    <xf numFmtId="0" fontId="0" fillId="20" borderId="97" xfId="0" applyFill="1" applyBorder="1"/>
    <xf numFmtId="38" fontId="3" fillId="20" borderId="98" xfId="1" applyNumberFormat="1" applyFont="1" applyFill="1" applyBorder="1" applyAlignment="1">
      <alignment horizontal="center"/>
    </xf>
    <xf numFmtId="0" fontId="5" fillId="2" borderId="13" xfId="0" quotePrefix="1" applyFont="1" applyFill="1" applyBorder="1" applyAlignment="1">
      <alignment horizontal="center"/>
    </xf>
    <xf numFmtId="38" fontId="5" fillId="2" borderId="14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wrapText="1"/>
    </xf>
    <xf numFmtId="9" fontId="86" fillId="3" borderId="7" xfId="2" applyFont="1" applyFill="1" applyBorder="1" applyAlignment="1">
      <alignment horizontal="center" vertical="top" wrapText="1"/>
    </xf>
    <xf numFmtId="0" fontId="79" fillId="23" borderId="4" xfId="0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 vertical="center" wrapText="1"/>
    </xf>
    <xf numFmtId="0" fontId="86" fillId="6" borderId="6" xfId="0" applyFont="1" applyFill="1" applyBorder="1" applyAlignment="1">
      <alignment horizontal="left" vertical="top" wrapText="1"/>
    </xf>
    <xf numFmtId="0" fontId="86" fillId="6" borderId="7" xfId="0" applyFont="1" applyFill="1" applyBorder="1" applyAlignment="1">
      <alignment horizontal="left" vertical="top" wrapText="1"/>
    </xf>
    <xf numFmtId="0" fontId="86" fillId="6" borderId="82" xfId="0" applyFont="1" applyFill="1" applyBorder="1" applyAlignment="1">
      <alignment horizontal="left" vertical="top" wrapText="1"/>
    </xf>
    <xf numFmtId="1" fontId="86" fillId="6" borderId="7" xfId="0" applyNumberFormat="1" applyFont="1" applyFill="1" applyBorder="1" applyAlignment="1">
      <alignment horizontal="center" vertical="top" wrapText="1"/>
    </xf>
    <xf numFmtId="38" fontId="86" fillId="6" borderId="7" xfId="0" applyNumberFormat="1" applyFont="1" applyFill="1" applyBorder="1" applyAlignment="1">
      <alignment vertical="top" wrapText="1"/>
    </xf>
    <xf numFmtId="9" fontId="86" fillId="6" borderId="7" xfId="2" applyFont="1" applyFill="1" applyBorder="1" applyAlignment="1">
      <alignment horizontal="center" vertical="top" wrapText="1"/>
    </xf>
    <xf numFmtId="0" fontId="86" fillId="6" borderId="8" xfId="0" applyFont="1" applyFill="1" applyBorder="1" applyAlignment="1">
      <alignment horizontal="left" vertical="top" wrapText="1"/>
    </xf>
    <xf numFmtId="38" fontId="86" fillId="6" borderId="7" xfId="0" applyNumberFormat="1" applyFont="1" applyFill="1" applyBorder="1" applyAlignment="1">
      <alignment horizontal="left" vertical="top" wrapText="1"/>
    </xf>
    <xf numFmtId="38" fontId="86" fillId="6" borderId="7" xfId="0" applyNumberFormat="1" applyFont="1" applyFill="1" applyBorder="1" applyAlignment="1">
      <alignment horizontal="center" vertical="top" wrapText="1"/>
    </xf>
    <xf numFmtId="0" fontId="86" fillId="6" borderId="7" xfId="0" applyFont="1" applyFill="1" applyBorder="1" applyAlignment="1">
      <alignment horizontal="center" wrapText="1"/>
    </xf>
    <xf numFmtId="38" fontId="5" fillId="0" borderId="101" xfId="1" applyNumberFormat="1" applyFont="1" applyBorder="1" applyAlignment="1">
      <alignment horizontal="center"/>
    </xf>
    <xf numFmtId="1" fontId="86" fillId="6" borderId="7" xfId="0" applyNumberFormat="1" applyFont="1" applyFill="1" applyBorder="1" applyAlignment="1">
      <alignment horizontal="left" vertical="top" wrapText="1"/>
    </xf>
    <xf numFmtId="0" fontId="87" fillId="0" borderId="7" xfId="0" applyFont="1" applyBorder="1" applyAlignment="1">
      <alignment horizontal="center" vertical="center"/>
    </xf>
    <xf numFmtId="38" fontId="3" fillId="21" borderId="0" xfId="1" applyNumberFormat="1" applyFont="1" applyFill="1" applyBorder="1" applyAlignment="1">
      <alignment horizontal="left"/>
    </xf>
    <xf numFmtId="38" fontId="5" fillId="0" borderId="90" xfId="1" applyNumberFormat="1" applyFont="1" applyBorder="1" applyAlignment="1">
      <alignment horizontal="center"/>
    </xf>
    <xf numFmtId="0" fontId="5" fillId="0" borderId="102" xfId="0" quotePrefix="1" applyFont="1" applyBorder="1" applyAlignment="1">
      <alignment horizontal="center"/>
    </xf>
    <xf numFmtId="9" fontId="87" fillId="0" borderId="0" xfId="2" applyFont="1" applyFill="1" applyBorder="1" applyAlignment="1">
      <alignment horizontal="center"/>
    </xf>
    <xf numFmtId="0" fontId="0" fillId="0" borderId="0" xfId="0" applyAlignment="1">
      <alignment horizontal="center"/>
    </xf>
    <xf numFmtId="9" fontId="5" fillId="3" borderId="79" xfId="2" applyFont="1" applyFill="1" applyBorder="1" applyAlignment="1">
      <alignment horizontal="center"/>
    </xf>
    <xf numFmtId="38" fontId="87" fillId="0" borderId="4" xfId="1" applyNumberFormat="1" applyFont="1" applyFill="1" applyBorder="1" applyAlignment="1">
      <alignment horizontal="center"/>
    </xf>
    <xf numFmtId="38" fontId="87" fillId="0" borderId="7" xfId="1" applyNumberFormat="1" applyFont="1" applyFill="1" applyBorder="1" applyAlignment="1">
      <alignment horizontal="center"/>
    </xf>
    <xf numFmtId="38" fontId="87" fillId="0" borderId="7" xfId="1" applyNumberFormat="1" applyFont="1" applyFill="1" applyBorder="1" applyAlignment="1">
      <alignment horizontal="right"/>
    </xf>
    <xf numFmtId="165" fontId="87" fillId="0" borderId="82" xfId="0" applyNumberFormat="1" applyFont="1" applyBorder="1" applyAlignment="1">
      <alignment horizontal="center"/>
    </xf>
    <xf numFmtId="38" fontId="87" fillId="0" borderId="82" xfId="1" applyNumberFormat="1" applyFont="1" applyFill="1" applyBorder="1" applyAlignment="1"/>
    <xf numFmtId="38" fontId="84" fillId="0" borderId="7" xfId="1" applyNumberFormat="1" applyFont="1" applyFill="1" applyBorder="1" applyAlignment="1">
      <alignment horizontal="right"/>
    </xf>
    <xf numFmtId="40" fontId="87" fillId="0" borderId="7" xfId="1" applyNumberFormat="1" applyFont="1" applyFill="1" applyBorder="1" applyAlignment="1">
      <alignment horizontal="right"/>
    </xf>
    <xf numFmtId="166" fontId="87" fillId="0" borderId="83" xfId="1" applyNumberFormat="1" applyFont="1" applyFill="1" applyBorder="1" applyAlignment="1">
      <alignment wrapText="1"/>
    </xf>
    <xf numFmtId="38" fontId="87" fillId="0" borderId="92" xfId="1" applyNumberFormat="1" applyFont="1" applyFill="1" applyBorder="1" applyAlignment="1">
      <alignment horizontal="center"/>
    </xf>
    <xf numFmtId="0" fontId="5" fillId="0" borderId="94" xfId="0" quotePrefix="1" applyFont="1" applyBorder="1" applyAlignment="1">
      <alignment horizontal="center"/>
    </xf>
    <xf numFmtId="0" fontId="5" fillId="0" borderId="103" xfId="0" quotePrefix="1" applyFont="1" applyBorder="1" applyAlignment="1">
      <alignment horizontal="center"/>
    </xf>
    <xf numFmtId="0" fontId="5" fillId="0" borderId="8" xfId="1" applyNumberFormat="1" applyFont="1" applyBorder="1" applyAlignment="1">
      <alignment horizontal="left" wrapText="1"/>
    </xf>
    <xf numFmtId="9" fontId="3" fillId="3" borderId="0" xfId="2" applyFont="1" applyFill="1" applyBorder="1" applyAlignment="1">
      <alignment horizontal="center"/>
    </xf>
    <xf numFmtId="0" fontId="5" fillId="19" borderId="6" xfId="0" quotePrefix="1" applyFont="1" applyFill="1" applyBorder="1" applyAlignment="1">
      <alignment horizontal="center"/>
    </xf>
    <xf numFmtId="0" fontId="47" fillId="0" borderId="7" xfId="0" applyFont="1" applyBorder="1"/>
    <xf numFmtId="0" fontId="47" fillId="0" borderId="84" xfId="0" applyFont="1" applyBorder="1"/>
    <xf numFmtId="0" fontId="92" fillId="24" borderId="84" xfId="0" applyFont="1" applyFill="1" applyBorder="1"/>
    <xf numFmtId="0" fontId="92" fillId="0" borderId="84" xfId="0" applyFont="1" applyBorder="1"/>
    <xf numFmtId="0" fontId="47" fillId="0" borderId="92" xfId="0" applyFont="1" applyBorder="1" applyAlignment="1">
      <alignment wrapText="1"/>
    </xf>
    <xf numFmtId="0" fontId="47" fillId="0" borderId="4" xfId="0" applyFont="1" applyBorder="1"/>
    <xf numFmtId="0" fontId="47" fillId="0" borderId="104" xfId="0" applyFont="1" applyBorder="1"/>
    <xf numFmtId="0" fontId="92" fillId="24" borderId="104" xfId="0" applyFont="1" applyFill="1" applyBorder="1"/>
    <xf numFmtId="0" fontId="92" fillId="0" borderId="104" xfId="0" applyFont="1" applyBorder="1"/>
    <xf numFmtId="0" fontId="47" fillId="0" borderId="91" xfId="0" applyFont="1" applyBorder="1" applyAlignment="1">
      <alignment wrapText="1"/>
    </xf>
    <xf numFmtId="3" fontId="47" fillId="0" borderId="4" xfId="0" applyNumberFormat="1" applyFont="1" applyBorder="1"/>
    <xf numFmtId="38" fontId="87" fillId="0" borderId="92" xfId="1" applyNumberFormat="1" applyFont="1" applyBorder="1" applyAlignment="1">
      <alignment horizontal="center"/>
    </xf>
    <xf numFmtId="166" fontId="87" fillId="0" borderId="83" xfId="1" applyNumberFormat="1" applyFont="1" applyBorder="1" applyAlignment="1">
      <alignment wrapText="1"/>
    </xf>
    <xf numFmtId="40" fontId="87" fillId="0" borderId="7" xfId="1" applyNumberFormat="1" applyFont="1" applyBorder="1" applyAlignment="1">
      <alignment horizontal="right"/>
    </xf>
    <xf numFmtId="38" fontId="87" fillId="0" borderId="7" xfId="1" applyNumberFormat="1" applyFont="1" applyBorder="1" applyAlignment="1">
      <alignment horizontal="right"/>
    </xf>
    <xf numFmtId="38" fontId="5" fillId="0" borderId="82" xfId="1" applyNumberFormat="1" applyFont="1" applyBorder="1"/>
    <xf numFmtId="38" fontId="87" fillId="0" borderId="7" xfId="1" applyNumberFormat="1" applyFont="1" applyBorder="1" applyAlignment="1">
      <alignment horizontal="center"/>
    </xf>
    <xf numFmtId="38" fontId="87" fillId="0" borderId="4" xfId="1" applyNumberFormat="1" applyFont="1" applyBorder="1" applyAlignment="1">
      <alignment horizontal="center"/>
    </xf>
    <xf numFmtId="9" fontId="80" fillId="9" borderId="0" xfId="2" applyFont="1" applyFill="1" applyAlignment="1">
      <alignment horizontal="center" wrapText="1"/>
    </xf>
    <xf numFmtId="0" fontId="80" fillId="6" borderId="6" xfId="0" applyFont="1" applyFill="1" applyBorder="1" applyAlignment="1">
      <alignment horizontal="center"/>
    </xf>
    <xf numFmtId="38" fontId="5" fillId="0" borderId="7" xfId="1" quotePrefix="1" applyNumberFormat="1" applyFont="1" applyBorder="1" applyAlignment="1">
      <alignment horizontal="center"/>
    </xf>
    <xf numFmtId="0" fontId="92" fillId="0" borderId="7" xfId="0" applyFont="1" applyBorder="1"/>
    <xf numFmtId="0" fontId="94" fillId="0" borderId="7" xfId="0" applyFont="1" applyBorder="1"/>
    <xf numFmtId="0" fontId="94" fillId="0" borderId="4" xfId="0" applyFont="1" applyBorder="1"/>
    <xf numFmtId="0" fontId="92" fillId="0" borderId="4" xfId="0" applyFont="1" applyBorder="1"/>
    <xf numFmtId="0" fontId="93" fillId="0" borderId="4" xfId="0" applyFont="1" applyBorder="1"/>
    <xf numFmtId="0" fontId="5" fillId="0" borderId="9" xfId="0" applyFont="1" applyBorder="1" applyAlignment="1">
      <alignment horizontal="center"/>
    </xf>
    <xf numFmtId="0" fontId="93" fillId="0" borderId="104" xfId="0" applyFont="1" applyBorder="1"/>
    <xf numFmtId="38" fontId="87" fillId="0" borderId="82" xfId="1" applyNumberFormat="1" applyFont="1" applyBorder="1"/>
    <xf numFmtId="0" fontId="47" fillId="0" borderId="82" xfId="0" applyFont="1" applyBorder="1"/>
    <xf numFmtId="38" fontId="3" fillId="0" borderId="82" xfId="1" applyNumberFormat="1" applyFont="1" applyFill="1" applyBorder="1" applyAlignment="1">
      <alignment horizontal="right"/>
    </xf>
    <xf numFmtId="0" fontId="47" fillId="0" borderId="3" xfId="0" applyFont="1" applyBorder="1"/>
    <xf numFmtId="0" fontId="5" fillId="0" borderId="3" xfId="0" applyFont="1" applyBorder="1" applyAlignment="1">
      <alignment horizontal="center"/>
    </xf>
    <xf numFmtId="0" fontId="47" fillId="0" borderId="6" xfId="0" applyFont="1" applyBorder="1"/>
    <xf numFmtId="0" fontId="7" fillId="0" borderId="0" xfId="0" applyFont="1" applyAlignment="1">
      <alignment horizontal="center"/>
    </xf>
    <xf numFmtId="164" fontId="4" fillId="2" borderId="14" xfId="1" applyNumberFormat="1" applyFont="1" applyFill="1" applyBorder="1" applyAlignment="1">
      <alignment horizontal="center" wrapText="1"/>
    </xf>
    <xf numFmtId="164" fontId="4" fillId="2" borderId="2" xfId="1" applyNumberFormat="1" applyFont="1" applyFill="1" applyBorder="1" applyAlignment="1">
      <alignment horizontal="center" wrapText="1"/>
    </xf>
    <xf numFmtId="164" fontId="4" fillId="2" borderId="99" xfId="1" applyNumberFormat="1" applyFont="1" applyFill="1" applyBorder="1" applyAlignment="1">
      <alignment horizontal="center" wrapText="1"/>
    </xf>
    <xf numFmtId="164" fontId="4" fillId="2" borderId="100" xfId="1" applyNumberFormat="1" applyFont="1" applyFill="1" applyBorder="1" applyAlignment="1">
      <alignment horizontal="center" wrapText="1"/>
    </xf>
    <xf numFmtId="0" fontId="58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21" fillId="7" borderId="17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21" fillId="7" borderId="24" xfId="0" applyFont="1" applyFill="1" applyBorder="1" applyAlignment="1">
      <alignment horizontal="center" vertical="center"/>
    </xf>
    <xf numFmtId="0" fontId="21" fillId="7" borderId="25" xfId="0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7" borderId="2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1" fillId="7" borderId="22" xfId="0" applyFont="1" applyFill="1" applyBorder="1" applyAlignment="1">
      <alignment horizontal="center" vertical="center"/>
    </xf>
    <xf numFmtId="0" fontId="21" fillId="7" borderId="21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4" fillId="7" borderId="20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4" fillId="7" borderId="21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0" borderId="46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6" fillId="0" borderId="27" xfId="0" applyFont="1" applyBorder="1" applyAlignment="1">
      <alignment vertical="center"/>
    </xf>
    <xf numFmtId="169" fontId="41" fillId="8" borderId="46" xfId="0" applyNumberFormat="1" applyFont="1" applyFill="1" applyBorder="1" applyAlignment="1">
      <alignment horizontal="center" vertical="center"/>
    </xf>
    <xf numFmtId="169" fontId="41" fillId="8" borderId="18" xfId="0" applyNumberFormat="1" applyFont="1" applyFill="1" applyBorder="1" applyAlignment="1">
      <alignment horizontal="center" vertical="center"/>
    </xf>
    <xf numFmtId="169" fontId="41" fillId="8" borderId="23" xfId="0" applyNumberFormat="1" applyFont="1" applyFill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0" fillId="0" borderId="28" xfId="0" applyFont="1" applyBorder="1" applyAlignment="1">
      <alignment vertical="center"/>
    </xf>
    <xf numFmtId="0" fontId="30" fillId="0" borderId="25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24" fillId="0" borderId="51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35" fillId="0" borderId="28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36" fillId="0" borderId="51" xfId="0" applyFont="1" applyBorder="1" applyAlignment="1">
      <alignment horizontal="center" vertical="center" wrapText="1"/>
    </xf>
    <xf numFmtId="0" fontId="36" fillId="0" borderId="70" xfId="0" applyFont="1" applyBorder="1" applyAlignment="1">
      <alignment horizontal="center" vertical="center" wrapText="1"/>
    </xf>
    <xf numFmtId="0" fontId="37" fillId="0" borderId="28" xfId="0" applyFont="1" applyBorder="1" applyAlignment="1">
      <alignment vertical="center"/>
    </xf>
    <xf numFmtId="0" fontId="37" fillId="0" borderId="25" xfId="0" applyFont="1" applyBorder="1" applyAlignment="1">
      <alignment vertical="center"/>
    </xf>
    <xf numFmtId="0" fontId="37" fillId="0" borderId="27" xfId="0" applyFont="1" applyBorder="1" applyAlignment="1">
      <alignment vertical="center"/>
    </xf>
    <xf numFmtId="0" fontId="37" fillId="0" borderId="64" xfId="0" applyFont="1" applyBorder="1" applyAlignment="1">
      <alignment vertical="center"/>
    </xf>
    <xf numFmtId="0" fontId="37" fillId="0" borderId="65" xfId="0" applyFont="1" applyBorder="1" applyAlignment="1">
      <alignment vertical="center"/>
    </xf>
    <xf numFmtId="0" fontId="37" fillId="0" borderId="66" xfId="0" applyFont="1" applyBorder="1" applyAlignment="1">
      <alignment vertical="center"/>
    </xf>
    <xf numFmtId="169" fontId="41" fillId="8" borderId="47" xfId="0" applyNumberFormat="1" applyFont="1" applyFill="1" applyBorder="1" applyAlignment="1">
      <alignment horizontal="center" vertical="center"/>
    </xf>
    <xf numFmtId="169" fontId="42" fillId="0" borderId="56" xfId="0" applyNumberFormat="1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6" fillId="0" borderId="43" xfId="0" applyFont="1" applyBorder="1" applyAlignment="1">
      <alignment horizontal="center" vertical="center"/>
    </xf>
    <xf numFmtId="0" fontId="46" fillId="0" borderId="40" xfId="0" applyFont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169" fontId="43" fillId="0" borderId="62" xfId="0" applyNumberFormat="1" applyFont="1" applyBorder="1" applyAlignment="1">
      <alignment horizontal="center" vertical="center"/>
    </xf>
    <xf numFmtId="169" fontId="43" fillId="0" borderId="40" xfId="0" applyNumberFormat="1" applyFont="1" applyBorder="1" applyAlignment="1">
      <alignment horizontal="center" vertical="center"/>
    </xf>
    <xf numFmtId="169" fontId="44" fillId="0" borderId="40" xfId="0" applyNumberFormat="1" applyFont="1" applyBorder="1"/>
    <xf numFmtId="0" fontId="44" fillId="0" borderId="64" xfId="0" applyFont="1" applyBorder="1"/>
    <xf numFmtId="0" fontId="44" fillId="0" borderId="65" xfId="0" applyFont="1" applyBorder="1"/>
    <xf numFmtId="0" fontId="44" fillId="0" borderId="66" xfId="0" applyFont="1" applyBorder="1"/>
    <xf numFmtId="169" fontId="42" fillId="0" borderId="60" xfId="0" applyNumberFormat="1" applyFont="1" applyBorder="1" applyAlignment="1">
      <alignment horizontal="center" vertical="center"/>
    </xf>
    <xf numFmtId="169" fontId="42" fillId="0" borderId="0" xfId="0" applyNumberFormat="1" applyFont="1" applyAlignment="1">
      <alignment horizontal="center" vertical="center"/>
    </xf>
    <xf numFmtId="169" fontId="42" fillId="0" borderId="57" xfId="0" applyNumberFormat="1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4" fillId="0" borderId="28" xfId="0" applyFont="1" applyBorder="1"/>
    <xf numFmtId="0" fontId="44" fillId="0" borderId="25" xfId="0" applyFont="1" applyBorder="1"/>
    <xf numFmtId="0" fontId="44" fillId="0" borderId="27" xfId="0" applyFont="1" applyBorder="1"/>
    <xf numFmtId="169" fontId="43" fillId="0" borderId="60" xfId="0" applyNumberFormat="1" applyFont="1" applyBorder="1" applyAlignment="1">
      <alignment horizontal="center" vertical="center"/>
    </xf>
    <xf numFmtId="169" fontId="43" fillId="0" borderId="0" xfId="0" applyNumberFormat="1" applyFont="1" applyAlignment="1">
      <alignment horizontal="center" vertical="center"/>
    </xf>
    <xf numFmtId="169" fontId="44" fillId="0" borderId="0" xfId="0" applyNumberFormat="1" applyFont="1"/>
    <xf numFmtId="169" fontId="45" fillId="0" borderId="60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43" fontId="86" fillId="6" borderId="7" xfId="1" applyFont="1" applyFill="1" applyBorder="1" applyAlignment="1">
      <alignment horizontal="center" vertical="top" wrapText="1"/>
    </xf>
    <xf numFmtId="43" fontId="86" fillId="6" borderId="7" xfId="1" applyFont="1" applyFill="1" applyBorder="1" applyAlignment="1">
      <alignment horizontal="left" vertical="top" wrapText="1"/>
    </xf>
    <xf numFmtId="43" fontId="86" fillId="6" borderId="7" xfId="1" applyFont="1" applyFill="1" applyBorder="1" applyAlignment="1">
      <alignment vertical="top" wrapText="1"/>
    </xf>
  </cellXfs>
  <cellStyles count="15">
    <cellStyle name="Accent5" xfId="7" builtinId="45"/>
    <cellStyle name="Bad" xfId="5" builtinId="27"/>
    <cellStyle name="Comma" xfId="1" builtinId="3"/>
    <cellStyle name="Good" xfId="4" builtinId="26"/>
    <cellStyle name="Neutral" xfId="6" builtinId="28"/>
    <cellStyle name="Normal" xfId="0" builtinId="0"/>
    <cellStyle name="Normal 2" xfId="3" xr:uid="{A42F7E34-D12E-4AA8-8ACE-9CF2E1687D7A}"/>
    <cellStyle name="Normal 2 2" xfId="9" xr:uid="{EFA5EAAD-AD51-4491-B650-F31082CDC5F0}"/>
    <cellStyle name="Normal 2 2 2" xfId="12" xr:uid="{2DF1CC80-A7C0-42AD-956D-603D4863DF15}"/>
    <cellStyle name="Normal 2 2 2 2" xfId="14" xr:uid="{DAF0C8AF-54BE-4B61-9B62-7B89081908D6}"/>
    <cellStyle name="Normal 2 3" xfId="11" xr:uid="{EDE37E6B-E9D9-41DF-96CC-8D49B6EF6A5A}"/>
    <cellStyle name="Normal 3" xfId="10" xr:uid="{651C403F-1F7C-4C75-A43B-603EBDEEA16D}"/>
    <cellStyle name="Normal 3 2" xfId="13" xr:uid="{841FE6A6-7BCB-4A74-9F6E-DE9BD9E06CE0}"/>
    <cellStyle name="Normal_Sheet1" xfId="8" xr:uid="{29337754-92B5-4C01-BEF2-693C78A94C97}"/>
    <cellStyle name="Percent" xfId="2" builtinId="5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880347237456517E-3"/>
          <c:y val="1.4265587127302694E-2"/>
          <c:w val="0.96396414674029929"/>
          <c:h val="0.94067398332502705"/>
        </c:manualLayout>
      </c:layout>
      <c:lineChart>
        <c:grouping val="standard"/>
        <c:varyColors val="0"/>
        <c:ser>
          <c:idx val="1"/>
          <c:order val="2"/>
          <c:tx>
            <c:v>Forecast Construction</c:v>
          </c:tx>
          <c:spPr>
            <a:ln w="38100">
              <a:solidFill>
                <a:schemeClr val="accent2">
                  <a:lumMod val="75000"/>
                </a:schemeClr>
              </a:solidFill>
              <a:prstDash val="sysDash"/>
            </a:ln>
          </c:spPr>
          <c:marker>
            <c:symbol val="diamond"/>
            <c:size val="1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  <a:prstDash val="solid"/>
              </a:ln>
            </c:spPr>
          </c:marker>
          <c:val>
            <c:numLit>
              <c:formatCode>General</c:formatCode>
              <c:ptCount val="28"/>
              <c:pt idx="1">
                <c:v>250</c:v>
              </c:pt>
              <c:pt idx="2">
                <c:v>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2A-4AF4-B6BB-47F386ACB81D}"/>
            </c:ext>
          </c:extLst>
        </c:ser>
        <c:ser>
          <c:idx val="3"/>
          <c:order val="3"/>
          <c:tx>
            <c:v>Plan Construction</c:v>
          </c:tx>
          <c:spPr>
            <a:ln w="38100">
              <a:solidFill>
                <a:srgbClr val="FF0000"/>
              </a:solidFill>
              <a:prstDash val="lgDash"/>
            </a:ln>
          </c:spPr>
          <c:marker>
            <c:symbol val="x"/>
            <c:size val="8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28"/>
              <c:pt idx="1">
                <c:v>250</c:v>
              </c:pt>
              <c:pt idx="2">
                <c:v>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A2A-4AF4-B6BB-47F386ACB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338576"/>
        <c:axId val="1"/>
      </c:lineChart>
      <c:lineChart>
        <c:grouping val="standard"/>
        <c:varyColors val="0"/>
        <c:ser>
          <c:idx val="0"/>
          <c:order val="0"/>
          <c:tx>
            <c:v>Recovery Plan Construction</c:v>
          </c:tx>
          <c:marker>
            <c:symbol val="circle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28"/>
            </c:numLit>
          </c:val>
          <c:smooth val="0"/>
          <c:extLst>
            <c:ext xmlns:c16="http://schemas.microsoft.com/office/drawing/2014/chart" uri="{C3380CC4-5D6E-409C-BE32-E72D297353CC}">
              <c16:uniqueId val="{00000002-9A2A-4AF4-B6BB-47F386ACB81D}"/>
            </c:ext>
          </c:extLst>
        </c:ser>
        <c:ser>
          <c:idx val="2"/>
          <c:order val="1"/>
          <c:tx>
            <c:v>Actual Construction Cumulative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Lit>
              <c:formatCode>General</c:formatCode>
              <c:ptCount val="28"/>
              <c:pt idx="1">
                <c:v>0</c:v>
              </c:pt>
              <c:pt idx="2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A2A-4AF4-B6BB-47F386ACB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62338576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12623385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2400"/>
          <c:min val="0"/>
        </c:scaling>
        <c:delete val="0"/>
        <c:axPos val="r"/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5668678971836274E-3"/>
          <c:y val="3.2084725093881085E-2"/>
          <c:w val="0.23555776108386967"/>
          <c:h val="0.21049648262397511"/>
        </c:manualLayout>
      </c:layout>
      <c:overlay val="0"/>
      <c:spPr>
        <a:solidFill>
          <a:srgbClr val="CCFFFF"/>
        </a:solidFill>
        <a:ln w="3175">
          <a:solidFill>
            <a:srgbClr val="008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55" b="1" i="1" u="none" strike="noStrike" baseline="0">
              <a:solidFill>
                <a:srgbClr val="000000"/>
              </a:solidFill>
              <a:latin typeface="Calibri" panose="020F0502020204030204" pitchFamily="34" charset="0"/>
              <a:ea typeface="Arial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68937572290847E-2"/>
          <c:y val="5.1094999812820542E-2"/>
          <c:w val="0.79239836789704965"/>
          <c:h val="0.8004879256373767"/>
        </c:manualLayout>
      </c:layout>
      <c:barChart>
        <c:barDir val="col"/>
        <c:grouping val="clustered"/>
        <c:varyColors val="0"/>
        <c:ser>
          <c:idx val="0"/>
          <c:order val="0"/>
          <c:tx>
            <c:v>Plan Weekly</c:v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45834</c:v>
              </c:pt>
              <c:pt idx="1">
                <c:v>45841</c:v>
              </c:pt>
              <c:pt idx="2">
                <c:v>45848</c:v>
              </c:pt>
              <c:pt idx="3">
                <c:v>45855</c:v>
              </c:pt>
            </c:num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9C4-4866-B367-0477E2FFC92C}"/>
            </c:ext>
          </c:extLst>
        </c:ser>
        <c:ser>
          <c:idx val="2"/>
          <c:order val="2"/>
          <c:tx>
            <c:v>Actual Weekly</c:v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45834</c:v>
              </c:pt>
              <c:pt idx="1">
                <c:v>45841</c:v>
              </c:pt>
              <c:pt idx="2">
                <c:v>45848</c:v>
              </c:pt>
              <c:pt idx="3">
                <c:v>45855</c:v>
              </c:pt>
            </c:numLit>
          </c:cat>
          <c:val>
            <c:numLit>
              <c:formatCode>General</c:formatCode>
              <c:ptCount val="4"/>
              <c:pt idx="0">
                <c:v>20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9C4-4866-B367-0477E2FFC92C}"/>
            </c:ext>
          </c:extLst>
        </c:ser>
        <c:ser>
          <c:idx val="4"/>
          <c:order val="4"/>
          <c:tx>
            <c:v>Fcst Weekly</c:v>
          </c:tx>
          <c:spPr>
            <a:pattFill prst="ltHorz">
              <a:fgClr>
                <a:srgbClr xmlns:mc="http://schemas.openxmlformats.org/markup-compatibility/2006" xmlns:a14="http://schemas.microsoft.com/office/drawing/2010/main" val="FF0000" mc:Ignorable="a14" a14:legacySpreadsheetColorIndex="10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45834</c:v>
              </c:pt>
              <c:pt idx="1">
                <c:v>45841</c:v>
              </c:pt>
              <c:pt idx="2">
                <c:v>45848</c:v>
              </c:pt>
              <c:pt idx="3">
                <c:v>45855</c:v>
              </c:pt>
            </c:num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9C4-4866-B367-0477E2FFC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0"/>
        <c:overlap val="-20"/>
        <c:axId val="844636816"/>
        <c:axId val="1"/>
      </c:barChart>
      <c:lineChart>
        <c:grouping val="standard"/>
        <c:varyColors val="0"/>
        <c:ser>
          <c:idx val="1"/>
          <c:order val="1"/>
          <c:tx>
            <c:v>Plan Cumm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9C4-4866-B367-0477E2FFC92C}"/>
            </c:ext>
          </c:extLst>
        </c:ser>
        <c:ser>
          <c:idx val="3"/>
          <c:order val="3"/>
          <c:tx>
            <c:v>Actual Cumm.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11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Lit>
              <c:formatCode>General</c:formatCode>
              <c:ptCount val="4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39C4-4866-B367-0477E2FFC92C}"/>
            </c:ext>
          </c:extLst>
        </c:ser>
        <c:ser>
          <c:idx val="5"/>
          <c:order val="5"/>
          <c:tx>
            <c:v>Fcst. Cumm.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39C4-4866-B367-0477E2FFC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84463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463681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9</xdr:row>
      <xdr:rowOff>38101</xdr:rowOff>
    </xdr:from>
    <xdr:to>
      <xdr:col>34</xdr:col>
      <xdr:colOff>162560</xdr:colOff>
      <xdr:row>61</xdr:row>
      <xdr:rowOff>95251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1148DC07-BEE1-40E2-BBE2-82EE34974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131174</xdr:colOff>
      <xdr:row>26</xdr:row>
      <xdr:rowOff>15240</xdr:rowOff>
    </xdr:from>
    <xdr:to>
      <xdr:col>4</xdr:col>
      <xdr:colOff>884465</xdr:colOff>
      <xdr:row>57</xdr:row>
      <xdr:rowOff>167640</xdr:rowOff>
    </xdr:to>
    <xdr:graphicFrame macro="">
      <xdr:nvGraphicFramePr>
        <xdr:cNvPr id="3" name="Chart 15">
          <a:extLst>
            <a:ext uri="{FF2B5EF4-FFF2-40B4-BE49-F238E27FC236}">
              <a16:creationId xmlns:a16="http://schemas.microsoft.com/office/drawing/2014/main" id="{21FEFAC7-B76C-497F-B5A1-FA984022A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4626</xdr:colOff>
      <xdr:row>8</xdr:row>
      <xdr:rowOff>202202</xdr:rowOff>
    </xdr:from>
    <xdr:to>
      <xdr:col>12</xdr:col>
      <xdr:colOff>4626</xdr:colOff>
      <xdr:row>62</xdr:row>
      <xdr:rowOff>5987</xdr:rowOff>
    </xdr:to>
    <xdr:sp macro="" textlink="">
      <xdr:nvSpPr>
        <xdr:cNvPr id="4" name="Line 17">
          <a:extLst>
            <a:ext uri="{FF2B5EF4-FFF2-40B4-BE49-F238E27FC236}">
              <a16:creationId xmlns:a16="http://schemas.microsoft.com/office/drawing/2014/main" id="{2A49D395-C682-4D0E-AF85-EC545E85C74A}"/>
            </a:ext>
          </a:extLst>
        </xdr:cNvPr>
        <xdr:cNvSpPr>
          <a:spLocks noChangeShapeType="1"/>
        </xdr:cNvSpPr>
      </xdr:nvSpPr>
      <xdr:spPr bwMode="auto">
        <a:xfrm>
          <a:off x="15322731" y="2958737"/>
          <a:ext cx="0" cy="1143190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398780</xdr:colOff>
      <xdr:row>20</xdr:row>
      <xdr:rowOff>130968</xdr:rowOff>
    </xdr:from>
    <xdr:to>
      <xdr:col>11</xdr:col>
      <xdr:colOff>222250</xdr:colOff>
      <xdr:row>40</xdr:row>
      <xdr:rowOff>148748</xdr:rowOff>
    </xdr:to>
    <xdr:sp macro="" textlink="">
      <xdr:nvSpPr>
        <xdr:cNvPr id="5" name="Text Box 18">
          <a:extLst>
            <a:ext uri="{FF2B5EF4-FFF2-40B4-BE49-F238E27FC236}">
              <a16:creationId xmlns:a16="http://schemas.microsoft.com/office/drawing/2014/main" id="{98C0058D-050C-40CC-AB01-5322FEF57A90}"/>
            </a:ext>
          </a:extLst>
        </xdr:cNvPr>
        <xdr:cNvSpPr txBox="1">
          <a:spLocks noChangeArrowheads="1"/>
        </xdr:cNvSpPr>
      </xdr:nvSpPr>
      <xdr:spPr bwMode="auto">
        <a:xfrm>
          <a:off x="10489565" y="6116478"/>
          <a:ext cx="4465955" cy="44240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Includes:</a:t>
          </a:r>
          <a:endParaRPr lang="en-US" sz="1800" b="0" i="0" u="none" strike="noStrike" baseline="0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Main Steel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Misc. Steel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Metal Deck                         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  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TBD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en-US" sz="19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900" b="1" i="1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Total    </a:t>
          </a:r>
        </a:p>
      </xdr:txBody>
    </xdr:sp>
    <xdr:clientData/>
  </xdr:twoCellAnchor>
  <xdr:twoCellAnchor>
    <xdr:from>
      <xdr:col>9</xdr:col>
      <xdr:colOff>2541</xdr:colOff>
      <xdr:row>20</xdr:row>
      <xdr:rowOff>174782</xdr:rowOff>
    </xdr:from>
    <xdr:to>
      <xdr:col>9</xdr:col>
      <xdr:colOff>27781</xdr:colOff>
      <xdr:row>37</xdr:row>
      <xdr:rowOff>97744</xdr:rowOff>
    </xdr:to>
    <xdr:sp macro="" textlink="">
      <xdr:nvSpPr>
        <xdr:cNvPr id="6" name="Line 19">
          <a:extLst>
            <a:ext uri="{FF2B5EF4-FFF2-40B4-BE49-F238E27FC236}">
              <a16:creationId xmlns:a16="http://schemas.microsoft.com/office/drawing/2014/main" id="{E0476BD3-8884-4E8C-A2E7-179A33ED1B41}"/>
            </a:ext>
          </a:extLst>
        </xdr:cNvPr>
        <xdr:cNvSpPr>
          <a:spLocks noChangeShapeType="1"/>
        </xdr:cNvSpPr>
      </xdr:nvSpPr>
      <xdr:spPr bwMode="auto">
        <a:xfrm flipH="1">
          <a:off x="13356591" y="6152672"/>
          <a:ext cx="23335" cy="379011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663395</xdr:colOff>
      <xdr:row>37</xdr:row>
      <xdr:rowOff>108200</xdr:rowOff>
    </xdr:from>
    <xdr:to>
      <xdr:col>9</xdr:col>
      <xdr:colOff>743404</xdr:colOff>
      <xdr:row>37</xdr:row>
      <xdr:rowOff>108200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7A4DB503-727F-4DDF-82B3-E4E2999631FA}"/>
            </a:ext>
          </a:extLst>
        </xdr:cNvPr>
        <xdr:cNvSpPr>
          <a:spLocks noChangeShapeType="1"/>
        </xdr:cNvSpPr>
      </xdr:nvSpPr>
      <xdr:spPr bwMode="auto">
        <a:xfrm>
          <a:off x="11640005" y="9955145"/>
          <a:ext cx="24536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548594</xdr:colOff>
      <xdr:row>20</xdr:row>
      <xdr:rowOff>170974</xdr:rowOff>
    </xdr:from>
    <xdr:to>
      <xdr:col>10</xdr:col>
      <xdr:colOff>398318</xdr:colOff>
      <xdr:row>40</xdr:row>
      <xdr:rowOff>92869</xdr:rowOff>
    </xdr:to>
    <xdr:sp macro="" textlink="">
      <xdr:nvSpPr>
        <xdr:cNvPr id="8" name="Text Box 23">
          <a:extLst>
            <a:ext uri="{FF2B5EF4-FFF2-40B4-BE49-F238E27FC236}">
              <a16:creationId xmlns:a16="http://schemas.microsoft.com/office/drawing/2014/main" id="{29E658A9-D097-41ED-8E8D-FDBC1A35356A}"/>
            </a:ext>
          </a:extLst>
        </xdr:cNvPr>
        <xdr:cNvSpPr txBox="1">
          <a:spLocks noChangeArrowheads="1"/>
        </xdr:cNvSpPr>
      </xdr:nvSpPr>
      <xdr:spPr bwMode="auto">
        <a:xfrm>
          <a:off x="13106354" y="6156484"/>
          <a:ext cx="1449924" cy="43319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107763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18288" bIns="0" anchor="t" upright="1"/>
        <a:lstStyle/>
        <a:p>
          <a:pPr algn="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500           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  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  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r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0 </a:t>
          </a:r>
        </a:p>
        <a:p>
          <a:pPr algn="r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700" b="1" i="1" u="none" strike="noStrike" baseline="0">
              <a:solidFill>
                <a:srgbClr val="000000"/>
              </a:solidFill>
              <a:latin typeface="Arial"/>
              <a:cs typeface="Arial"/>
            </a:rPr>
            <a:t>500</a:t>
          </a:r>
        </a:p>
      </xdr:txBody>
    </xdr:sp>
    <xdr:clientData/>
  </xdr:twoCellAnchor>
  <xdr:twoCellAnchor editAs="oneCell">
    <xdr:from>
      <xdr:col>0</xdr:col>
      <xdr:colOff>0</xdr:colOff>
      <xdr:row>0</xdr:row>
      <xdr:rowOff>321310</xdr:rowOff>
    </xdr:from>
    <xdr:to>
      <xdr:col>0</xdr:col>
      <xdr:colOff>2456814</xdr:colOff>
      <xdr:row>2</xdr:row>
      <xdr:rowOff>254000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6639B3-2CFA-44C4-8A18-7F8B3AFF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1310"/>
          <a:ext cx="2456814" cy="1155065"/>
        </a:xfrm>
        <a:prstGeom prst="rect">
          <a:avLst/>
        </a:prstGeom>
      </xdr:spPr>
    </xdr:pic>
    <xdr:clientData/>
  </xdr:twoCellAnchor>
  <xdr:twoCellAnchor editAs="oneCell">
    <xdr:from>
      <xdr:col>31</xdr:col>
      <xdr:colOff>21591</xdr:colOff>
      <xdr:row>0</xdr:row>
      <xdr:rowOff>476885</xdr:rowOff>
    </xdr:from>
    <xdr:to>
      <xdr:col>32</xdr:col>
      <xdr:colOff>903606</xdr:colOff>
      <xdr:row>2</xdr:row>
      <xdr:rowOff>329565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36CE71-B9BC-477E-8ED0-AB339184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3966" y="476885"/>
          <a:ext cx="1675765" cy="1075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F984-D037-43F0-AE16-7176D9CD302C}">
  <sheetPr filterMode="1"/>
  <dimension ref="A1:FX525"/>
  <sheetViews>
    <sheetView tabSelected="1" zoomScale="80" zoomScaleNormal="80" workbookViewId="0">
      <pane xSplit="3" ySplit="2" topLeftCell="D107" activePane="bottomRight" state="frozen"/>
      <selection pane="topRight" activeCell="D1" sqref="D1"/>
      <selection pane="bottomLeft" activeCell="A3" sqref="A3"/>
      <selection pane="bottomRight" activeCell="A126" sqref="A126"/>
    </sheetView>
  </sheetViews>
  <sheetFormatPr defaultColWidth="8.5703125" defaultRowHeight="15" outlineLevelCol="1" x14ac:dyDescent="0.25"/>
  <cols>
    <col min="1" max="1" width="10.42578125" style="150" customWidth="1"/>
    <col min="2" max="2" width="21" style="150" customWidth="1"/>
    <col min="3" max="3" width="73.42578125" style="60" customWidth="1"/>
    <col min="4" max="5" width="14" style="157" customWidth="1"/>
    <col min="6" max="6" width="15.42578125" style="157" customWidth="1"/>
    <col min="7" max="7" width="12.42578125" style="157" customWidth="1"/>
    <col min="8" max="8" width="12.5703125" style="157" customWidth="1"/>
    <col min="9" max="9" width="13.42578125" style="157" customWidth="1"/>
    <col min="10" max="10" width="14.42578125" style="157" customWidth="1"/>
    <col min="11" max="11" width="14.42578125" style="157" bestFit="1" customWidth="1"/>
    <col min="12" max="12" width="12.5703125" style="157" bestFit="1" customWidth="1"/>
    <col min="13" max="14" width="16.5703125" style="157" customWidth="1"/>
    <col min="15" max="15" width="15" style="157" customWidth="1"/>
    <col min="16" max="16" width="10.42578125" style="188" bestFit="1" customWidth="1" outlineLevel="1"/>
    <col min="17" max="17" width="41" style="347" customWidth="1" outlineLevel="1"/>
    <col min="18" max="18" width="59.5703125" style="60" customWidth="1" outlineLevel="1"/>
    <col min="19" max="19" width="20.42578125" style="189" customWidth="1"/>
    <col min="20" max="21" width="3.5703125" style="190" customWidth="1"/>
    <col min="22" max="22" width="15.5703125" style="190" customWidth="1"/>
    <col min="23" max="23" width="19" style="190" customWidth="1"/>
    <col min="24" max="24" width="53.5703125" style="146" customWidth="1"/>
    <col min="25" max="25" width="8.5703125" style="184"/>
    <col min="26" max="16384" width="8.5703125" style="60"/>
  </cols>
  <sheetData>
    <row r="1" spans="1:28" customFormat="1" ht="60" x14ac:dyDescent="0.25">
      <c r="A1" s="176" t="s">
        <v>27</v>
      </c>
      <c r="B1" s="177" t="s">
        <v>613</v>
      </c>
      <c r="C1" s="178" t="s">
        <v>28</v>
      </c>
      <c r="D1" s="178" t="s">
        <v>29</v>
      </c>
      <c r="E1" s="178" t="s">
        <v>614</v>
      </c>
      <c r="F1" s="178" t="s">
        <v>615</v>
      </c>
      <c r="G1" s="178" t="s">
        <v>616</v>
      </c>
      <c r="H1" s="178" t="s">
        <v>617</v>
      </c>
      <c r="I1" s="178" t="s">
        <v>618</v>
      </c>
      <c r="J1" s="178" t="s">
        <v>619</v>
      </c>
      <c r="K1" s="178" t="s">
        <v>620</v>
      </c>
      <c r="L1" s="178" t="s">
        <v>621</v>
      </c>
      <c r="M1" s="178" t="s">
        <v>622</v>
      </c>
      <c r="N1" s="178" t="s">
        <v>623</v>
      </c>
      <c r="O1" s="178" t="s">
        <v>30</v>
      </c>
      <c r="P1" s="179" t="s">
        <v>624</v>
      </c>
      <c r="Q1" s="178" t="s">
        <v>625</v>
      </c>
      <c r="R1" s="180" t="s">
        <v>626</v>
      </c>
      <c r="S1" s="181" t="s">
        <v>627</v>
      </c>
      <c r="T1" s="182" t="s">
        <v>628</v>
      </c>
      <c r="U1" s="182" t="s">
        <v>629</v>
      </c>
      <c r="V1" s="181" t="s">
        <v>801</v>
      </c>
      <c r="W1" s="181" t="s">
        <v>802</v>
      </c>
      <c r="X1" s="183" t="s">
        <v>630</v>
      </c>
      <c r="Y1" s="184"/>
      <c r="Z1" s="60"/>
      <c r="AA1" s="60"/>
      <c r="AB1" s="60"/>
    </row>
    <row r="2" spans="1:28" customFormat="1" ht="30" hidden="1" x14ac:dyDescent="0.25">
      <c r="A2" s="185"/>
      <c r="B2" s="186" t="s">
        <v>31</v>
      </c>
      <c r="C2" s="187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8"/>
      <c r="Q2" s="185"/>
      <c r="R2" s="145" t="s">
        <v>631</v>
      </c>
      <c r="S2" s="189"/>
      <c r="T2" s="190"/>
      <c r="U2" s="190"/>
      <c r="V2" s="190"/>
      <c r="W2" s="190"/>
      <c r="X2" s="146"/>
      <c r="Y2" s="184"/>
      <c r="Z2" s="60"/>
      <c r="AA2" s="191"/>
      <c r="AB2" s="60"/>
    </row>
    <row r="3" spans="1:28" customFormat="1" ht="30" hidden="1" x14ac:dyDescent="0.25">
      <c r="A3" s="192"/>
      <c r="B3" s="194" t="s">
        <v>31</v>
      </c>
      <c r="C3" s="195" t="s">
        <v>32</v>
      </c>
      <c r="D3" s="192" t="s">
        <v>33</v>
      </c>
      <c r="E3" s="192" t="s">
        <v>34</v>
      </c>
      <c r="F3" s="192" t="s">
        <v>17</v>
      </c>
      <c r="G3" s="192"/>
      <c r="H3" s="192"/>
      <c r="I3" s="192"/>
      <c r="J3" s="192"/>
      <c r="K3" s="192"/>
      <c r="L3" s="192"/>
      <c r="M3" s="192"/>
      <c r="N3" s="192"/>
      <c r="O3" s="192"/>
      <c r="P3" s="196"/>
      <c r="Q3" s="195"/>
      <c r="R3" s="197"/>
      <c r="S3" s="189"/>
      <c r="T3" s="190"/>
      <c r="U3" s="190"/>
      <c r="V3" s="190"/>
      <c r="W3" s="190"/>
      <c r="X3" s="146"/>
      <c r="Y3" s="184"/>
      <c r="Z3" s="60"/>
      <c r="AA3" s="191"/>
      <c r="AB3" s="60"/>
    </row>
    <row r="4" spans="1:28" customFormat="1" hidden="1" x14ac:dyDescent="0.25">
      <c r="A4" s="192" t="s">
        <v>1061</v>
      </c>
      <c r="B4" s="194" t="s">
        <v>31</v>
      </c>
      <c r="C4" s="147" t="s">
        <v>32</v>
      </c>
      <c r="D4" s="198">
        <v>0.5</v>
      </c>
      <c r="E4" s="198">
        <v>0.4</v>
      </c>
      <c r="F4" s="198">
        <v>0.1</v>
      </c>
      <c r="G4" s="198"/>
      <c r="H4" s="198"/>
      <c r="I4" s="198"/>
      <c r="J4" s="198"/>
      <c r="K4" s="198"/>
      <c r="L4" s="198"/>
      <c r="M4" s="198" t="s">
        <v>632</v>
      </c>
      <c r="N4" s="198" t="s">
        <v>633</v>
      </c>
      <c r="O4" s="198" t="s">
        <v>35</v>
      </c>
      <c r="P4" s="196">
        <f>SUM(D4:K4)</f>
        <v>1</v>
      </c>
      <c r="Q4" s="199"/>
      <c r="R4" s="197"/>
      <c r="S4" s="200" t="s">
        <v>803</v>
      </c>
      <c r="T4" s="201" t="s">
        <v>634</v>
      </c>
      <c r="U4" s="201" t="s">
        <v>634</v>
      </c>
      <c r="V4" s="201" t="s">
        <v>804</v>
      </c>
      <c r="W4" s="201" t="s">
        <v>805</v>
      </c>
      <c r="X4" s="146"/>
      <c r="Y4" s="184"/>
      <c r="Z4" s="60"/>
      <c r="AA4" s="191"/>
      <c r="AB4" s="60"/>
    </row>
    <row r="5" spans="1:28" customFormat="1" hidden="1" x14ac:dyDescent="0.25">
      <c r="A5" s="192"/>
      <c r="B5" s="194"/>
      <c r="C5" s="156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96"/>
      <c r="Q5" s="153"/>
      <c r="R5" s="197"/>
      <c r="S5" s="189"/>
      <c r="T5" s="190"/>
      <c r="U5" s="190"/>
      <c r="V5" s="190"/>
      <c r="W5" s="190"/>
      <c r="X5" s="146"/>
      <c r="Y5" s="184"/>
      <c r="Z5" s="60"/>
      <c r="AA5" s="191"/>
      <c r="AB5" s="60"/>
    </row>
    <row r="6" spans="1:28" customFormat="1" hidden="1" x14ac:dyDescent="0.25">
      <c r="A6" s="192"/>
      <c r="B6" s="194" t="s">
        <v>31</v>
      </c>
      <c r="C6" s="195" t="s">
        <v>36</v>
      </c>
      <c r="D6" s="192" t="s">
        <v>37</v>
      </c>
      <c r="E6" s="192" t="s">
        <v>38</v>
      </c>
      <c r="F6" s="192" t="s">
        <v>39</v>
      </c>
      <c r="G6" s="192" t="s">
        <v>15</v>
      </c>
      <c r="H6" s="192" t="s">
        <v>17</v>
      </c>
      <c r="I6" s="192"/>
      <c r="J6" s="192"/>
      <c r="K6" s="192"/>
      <c r="L6" s="192"/>
      <c r="M6" s="192"/>
      <c r="N6" s="192"/>
      <c r="O6" s="192"/>
      <c r="P6" s="196"/>
      <c r="Q6" s="195"/>
      <c r="R6" s="197"/>
      <c r="S6" s="189"/>
      <c r="T6" s="190"/>
      <c r="U6" s="190"/>
      <c r="V6" s="190"/>
      <c r="W6" s="190"/>
      <c r="X6" s="146"/>
      <c r="Y6" s="184"/>
      <c r="Z6" s="60"/>
      <c r="AA6" s="191"/>
      <c r="AB6" s="60"/>
    </row>
    <row r="7" spans="1:28" customFormat="1" hidden="1" x14ac:dyDescent="0.25">
      <c r="A7" s="192" t="s">
        <v>1062</v>
      </c>
      <c r="B7" s="194" t="s">
        <v>31</v>
      </c>
      <c r="C7" s="151" t="s">
        <v>40</v>
      </c>
      <c r="D7" s="198">
        <v>0.75</v>
      </c>
      <c r="E7" s="198"/>
      <c r="F7" s="198"/>
      <c r="G7" s="198">
        <v>0.15</v>
      </c>
      <c r="H7" s="198">
        <v>0.1</v>
      </c>
      <c r="I7" s="149"/>
      <c r="J7" s="149"/>
      <c r="K7" s="149"/>
      <c r="L7" s="149"/>
      <c r="M7" s="149" t="s">
        <v>635</v>
      </c>
      <c r="N7" s="149" t="s">
        <v>636</v>
      </c>
      <c r="O7" s="149" t="s">
        <v>35</v>
      </c>
      <c r="P7" s="196">
        <f>SUM(D7:K7)</f>
        <v>1</v>
      </c>
      <c r="Q7" s="153"/>
      <c r="R7" s="197"/>
      <c r="S7" s="189" t="s">
        <v>806</v>
      </c>
      <c r="T7" s="190" t="s">
        <v>634</v>
      </c>
      <c r="U7" s="190" t="s">
        <v>634</v>
      </c>
      <c r="V7" s="190" t="s">
        <v>807</v>
      </c>
      <c r="W7" s="190" t="s">
        <v>808</v>
      </c>
      <c r="X7" s="146"/>
      <c r="Y7" s="184"/>
      <c r="Z7" s="60"/>
      <c r="AA7" s="191"/>
      <c r="AB7" s="60"/>
    </row>
    <row r="8" spans="1:28" customFormat="1" hidden="1" x14ac:dyDescent="0.25">
      <c r="A8" s="192" t="s">
        <v>1063</v>
      </c>
      <c r="B8" s="194" t="s">
        <v>31</v>
      </c>
      <c r="C8" s="147" t="s">
        <v>41</v>
      </c>
      <c r="D8" s="198">
        <v>0.45</v>
      </c>
      <c r="E8" s="198">
        <v>0.3</v>
      </c>
      <c r="F8" s="198">
        <v>0.1</v>
      </c>
      <c r="G8" s="198">
        <v>0.05</v>
      </c>
      <c r="H8" s="198">
        <v>0.1</v>
      </c>
      <c r="I8" s="149"/>
      <c r="J8" s="149"/>
      <c r="K8" s="149"/>
      <c r="L8" s="149"/>
      <c r="M8" s="149" t="s">
        <v>635</v>
      </c>
      <c r="N8" s="149" t="s">
        <v>636</v>
      </c>
      <c r="O8" s="149" t="s">
        <v>35</v>
      </c>
      <c r="P8" s="196">
        <f>SUM(D8:K8)</f>
        <v>1</v>
      </c>
      <c r="Q8" s="153"/>
      <c r="R8" s="197" t="s">
        <v>637</v>
      </c>
      <c r="S8" s="189" t="s">
        <v>806</v>
      </c>
      <c r="T8" s="190" t="s">
        <v>634</v>
      </c>
      <c r="U8" s="190" t="s">
        <v>634</v>
      </c>
      <c r="V8" s="190" t="s">
        <v>807</v>
      </c>
      <c r="W8" s="190" t="s">
        <v>808</v>
      </c>
      <c r="X8" s="146"/>
      <c r="Y8" s="184"/>
      <c r="Z8" s="60"/>
      <c r="AA8" s="191"/>
      <c r="AB8" s="60"/>
    </row>
    <row r="9" spans="1:28" customFormat="1" hidden="1" x14ac:dyDescent="0.25">
      <c r="A9" s="192" t="s">
        <v>1064</v>
      </c>
      <c r="B9" s="194" t="s">
        <v>31</v>
      </c>
      <c r="C9" s="147" t="s">
        <v>42</v>
      </c>
      <c r="D9" s="198">
        <v>0.8</v>
      </c>
      <c r="E9" s="198"/>
      <c r="F9" s="198"/>
      <c r="G9" s="198">
        <v>0.1</v>
      </c>
      <c r="H9" s="198">
        <v>0.1</v>
      </c>
      <c r="I9" s="149"/>
      <c r="J9" s="149"/>
      <c r="K9" s="149"/>
      <c r="L9" s="149"/>
      <c r="M9" s="149" t="s">
        <v>635</v>
      </c>
      <c r="N9" s="149" t="s">
        <v>636</v>
      </c>
      <c r="O9" s="149" t="s">
        <v>35</v>
      </c>
      <c r="P9" s="196">
        <f>SUM(D9:K9)</f>
        <v>1</v>
      </c>
      <c r="Q9" s="153" t="s">
        <v>43</v>
      </c>
      <c r="R9" s="197" t="s">
        <v>638</v>
      </c>
      <c r="S9" s="189" t="s">
        <v>806</v>
      </c>
      <c r="T9" s="190" t="s">
        <v>634</v>
      </c>
      <c r="U9" s="190" t="s">
        <v>634</v>
      </c>
      <c r="V9" s="190" t="s">
        <v>807</v>
      </c>
      <c r="W9" s="190" t="s">
        <v>808</v>
      </c>
      <c r="X9" s="146"/>
      <c r="Y9" s="184"/>
      <c r="Z9" s="60"/>
      <c r="AA9" s="191"/>
      <c r="AB9" s="60"/>
    </row>
    <row r="10" spans="1:28" customFormat="1" hidden="1" x14ac:dyDescent="0.25">
      <c r="A10" s="192" t="s">
        <v>1065</v>
      </c>
      <c r="B10" s="194" t="s">
        <v>31</v>
      </c>
      <c r="C10" s="147" t="s">
        <v>44</v>
      </c>
      <c r="D10" s="198">
        <v>0.9</v>
      </c>
      <c r="E10" s="198"/>
      <c r="F10" s="198"/>
      <c r="G10" s="198"/>
      <c r="H10" s="198">
        <v>0.1</v>
      </c>
      <c r="I10" s="149"/>
      <c r="J10" s="149"/>
      <c r="K10" s="149"/>
      <c r="L10" s="149"/>
      <c r="M10" s="149" t="s">
        <v>639</v>
      </c>
      <c r="N10" s="149" t="s">
        <v>639</v>
      </c>
      <c r="O10" s="149" t="s">
        <v>35</v>
      </c>
      <c r="P10" s="196">
        <f>SUM(D10:K10)</f>
        <v>1</v>
      </c>
      <c r="Q10" s="153"/>
      <c r="R10" s="197"/>
      <c r="S10" s="189" t="s">
        <v>806</v>
      </c>
      <c r="T10" s="190" t="s">
        <v>634</v>
      </c>
      <c r="U10" s="190" t="s">
        <v>634</v>
      </c>
      <c r="V10" s="190" t="s">
        <v>807</v>
      </c>
      <c r="W10" s="190" t="s">
        <v>808</v>
      </c>
      <c r="X10" s="146"/>
      <c r="Y10" s="184"/>
      <c r="Z10" s="60"/>
      <c r="AA10" s="191"/>
      <c r="AB10" s="60"/>
    </row>
    <row r="11" spans="1:28" customFormat="1" hidden="1" x14ac:dyDescent="0.25">
      <c r="A11" s="192" t="s">
        <v>1066</v>
      </c>
      <c r="B11" s="194" t="s">
        <v>31</v>
      </c>
      <c r="C11" s="147" t="s">
        <v>45</v>
      </c>
      <c r="D11" s="198">
        <v>0.8</v>
      </c>
      <c r="E11" s="198"/>
      <c r="F11" s="198"/>
      <c r="G11" s="198">
        <v>0.1</v>
      </c>
      <c r="H11" s="198">
        <v>0.1</v>
      </c>
      <c r="I11" s="149"/>
      <c r="J11" s="149"/>
      <c r="K11" s="149"/>
      <c r="L11" s="149"/>
      <c r="M11" s="149" t="s">
        <v>635</v>
      </c>
      <c r="N11" s="149" t="s">
        <v>636</v>
      </c>
      <c r="O11" s="149" t="s">
        <v>35</v>
      </c>
      <c r="P11" s="196">
        <f>SUM(D11:K11)</f>
        <v>1</v>
      </c>
      <c r="Q11" s="153"/>
      <c r="R11" s="197"/>
      <c r="S11" s="189" t="s">
        <v>806</v>
      </c>
      <c r="T11" s="190" t="s">
        <v>634</v>
      </c>
      <c r="U11" s="190" t="s">
        <v>634</v>
      </c>
      <c r="V11" s="190" t="s">
        <v>807</v>
      </c>
      <c r="W11" s="190" t="s">
        <v>808</v>
      </c>
      <c r="X11" s="146"/>
      <c r="Y11" s="184"/>
      <c r="Z11" s="60"/>
      <c r="AA11" s="191"/>
      <c r="AB11" s="60"/>
    </row>
    <row r="12" spans="1:28" customFormat="1" hidden="1" x14ac:dyDescent="0.25">
      <c r="A12" s="192"/>
      <c r="B12" s="194"/>
      <c r="C12" s="147"/>
      <c r="D12" s="198"/>
      <c r="E12" s="198"/>
      <c r="F12" s="198"/>
      <c r="G12" s="198"/>
      <c r="H12" s="198"/>
      <c r="I12" s="149"/>
      <c r="J12" s="149"/>
      <c r="K12" s="149"/>
      <c r="L12" s="149"/>
      <c r="M12" s="149"/>
      <c r="N12" s="149"/>
      <c r="O12" s="149"/>
      <c r="P12" s="196"/>
      <c r="Q12" s="153"/>
      <c r="R12" s="197"/>
      <c r="S12" s="189"/>
      <c r="T12" s="190"/>
      <c r="U12" s="190"/>
      <c r="V12" s="190"/>
      <c r="W12" s="190"/>
      <c r="X12" s="146"/>
      <c r="Y12" s="184"/>
      <c r="Z12" s="60"/>
      <c r="AA12" s="191"/>
      <c r="AB12" s="60"/>
    </row>
    <row r="13" spans="1:28" customFormat="1" hidden="1" x14ac:dyDescent="0.25">
      <c r="A13" s="192"/>
      <c r="B13" s="194" t="s">
        <v>31</v>
      </c>
      <c r="C13" s="202" t="s">
        <v>46</v>
      </c>
      <c r="D13" s="192" t="s">
        <v>47</v>
      </c>
      <c r="E13" s="192" t="s">
        <v>48</v>
      </c>
      <c r="F13" s="192" t="s">
        <v>17</v>
      </c>
      <c r="G13" s="192"/>
      <c r="H13" s="192"/>
      <c r="I13" s="192"/>
      <c r="J13" s="192"/>
      <c r="K13" s="192"/>
      <c r="L13" s="192"/>
      <c r="M13" s="192"/>
      <c r="N13" s="192"/>
      <c r="O13" s="192"/>
      <c r="P13" s="196"/>
      <c r="Q13" s="195"/>
      <c r="R13" s="197"/>
      <c r="S13" s="189"/>
      <c r="T13" s="190"/>
      <c r="U13" s="190"/>
      <c r="V13" s="190"/>
      <c r="W13" s="190"/>
      <c r="X13" s="146"/>
      <c r="Y13" s="184"/>
      <c r="Z13" s="60"/>
      <c r="AA13" s="191"/>
      <c r="AB13" s="60"/>
    </row>
    <row r="14" spans="1:28" customFormat="1" hidden="1" x14ac:dyDescent="0.25">
      <c r="A14" s="192" t="s">
        <v>1067</v>
      </c>
      <c r="B14" s="194" t="s">
        <v>31</v>
      </c>
      <c r="C14" s="203" t="s">
        <v>46</v>
      </c>
      <c r="D14" s="204">
        <v>0.1</v>
      </c>
      <c r="E14" s="204">
        <v>0.8</v>
      </c>
      <c r="F14" s="204">
        <v>0.1</v>
      </c>
      <c r="G14" s="204"/>
      <c r="H14" s="198"/>
      <c r="I14" s="149"/>
      <c r="J14" s="149"/>
      <c r="K14" s="149"/>
      <c r="L14" s="149"/>
      <c r="M14" s="149" t="s">
        <v>640</v>
      </c>
      <c r="N14" s="149" t="s">
        <v>641</v>
      </c>
      <c r="O14" s="149" t="s">
        <v>35</v>
      </c>
      <c r="P14" s="196">
        <f>SUM(D14:K14)</f>
        <v>1</v>
      </c>
      <c r="Q14" s="153"/>
      <c r="R14" s="197"/>
      <c r="S14" s="200" t="s">
        <v>809</v>
      </c>
      <c r="T14" s="201" t="s">
        <v>634</v>
      </c>
      <c r="U14" s="201" t="s">
        <v>634</v>
      </c>
      <c r="V14" s="201" t="s">
        <v>810</v>
      </c>
      <c r="W14" s="205"/>
      <c r="X14" s="146"/>
      <c r="Y14" s="184"/>
      <c r="Z14" s="60"/>
      <c r="AA14" s="191"/>
      <c r="AB14" s="60"/>
    </row>
    <row r="15" spans="1:28" customFormat="1" hidden="1" x14ac:dyDescent="0.25">
      <c r="A15" s="192"/>
      <c r="B15" s="194"/>
      <c r="C15" s="203"/>
      <c r="D15" s="204"/>
      <c r="E15" s="204"/>
      <c r="F15" s="204"/>
      <c r="G15" s="204"/>
      <c r="H15" s="198"/>
      <c r="I15" s="149"/>
      <c r="J15" s="149"/>
      <c r="K15" s="149"/>
      <c r="L15" s="149"/>
      <c r="M15" s="149"/>
      <c r="N15" s="149"/>
      <c r="O15" s="149"/>
      <c r="P15" s="196"/>
      <c r="Q15" s="153"/>
      <c r="R15" s="197"/>
      <c r="S15" s="200"/>
      <c r="T15" s="201"/>
      <c r="U15" s="201"/>
      <c r="V15" s="201"/>
      <c r="W15" s="205"/>
      <c r="X15" s="146"/>
      <c r="Y15" s="184"/>
      <c r="Z15" s="60"/>
      <c r="AA15" s="191"/>
      <c r="AB15" s="60"/>
    </row>
    <row r="16" spans="1:28" customFormat="1" hidden="1" x14ac:dyDescent="0.25">
      <c r="A16" s="192"/>
      <c r="B16" s="194" t="s">
        <v>31</v>
      </c>
      <c r="C16" s="195" t="s">
        <v>49</v>
      </c>
      <c r="D16" s="192" t="s">
        <v>50</v>
      </c>
      <c r="E16" s="192" t="s">
        <v>51</v>
      </c>
      <c r="F16" s="192" t="s">
        <v>17</v>
      </c>
      <c r="G16" s="192"/>
      <c r="H16" s="192"/>
      <c r="I16" s="206"/>
      <c r="J16" s="206"/>
      <c r="K16" s="206"/>
      <c r="L16" s="206"/>
      <c r="M16" s="206"/>
      <c r="N16" s="206"/>
      <c r="O16" s="206"/>
      <c r="P16" s="196"/>
      <c r="Q16" s="207"/>
      <c r="R16" s="197"/>
      <c r="S16" s="200"/>
      <c r="T16" s="201"/>
      <c r="U16" s="201"/>
      <c r="V16" s="201"/>
      <c r="W16" s="201"/>
      <c r="X16" s="146"/>
      <c r="Y16" s="184"/>
      <c r="Z16" s="60"/>
      <c r="AA16" s="191"/>
      <c r="AB16" s="60"/>
    </row>
    <row r="17" spans="1:180" hidden="1" x14ac:dyDescent="0.25">
      <c r="A17" s="192" t="s">
        <v>1068</v>
      </c>
      <c r="B17" s="194" t="s">
        <v>31</v>
      </c>
      <c r="C17" s="203" t="s">
        <v>49</v>
      </c>
      <c r="D17" s="204">
        <v>0.4</v>
      </c>
      <c r="E17" s="204">
        <v>0.55000000000000004</v>
      </c>
      <c r="F17" s="204">
        <v>0.05</v>
      </c>
      <c r="G17" s="204"/>
      <c r="H17" s="204"/>
      <c r="I17" s="208"/>
      <c r="J17" s="149"/>
      <c r="K17" s="149"/>
      <c r="L17" s="149"/>
      <c r="M17" s="149" t="s">
        <v>640</v>
      </c>
      <c r="N17" s="149" t="s">
        <v>641</v>
      </c>
      <c r="O17" s="149" t="s">
        <v>35</v>
      </c>
      <c r="P17" s="196"/>
      <c r="Q17" s="153"/>
      <c r="R17" s="197"/>
      <c r="S17" s="209"/>
      <c r="T17" s="210"/>
      <c r="U17" s="210"/>
      <c r="V17" s="210"/>
      <c r="W17" s="210"/>
      <c r="AA17" s="191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hidden="1" x14ac:dyDescent="0.25">
      <c r="A18" s="192"/>
      <c r="B18" s="194"/>
      <c r="C18" s="203"/>
      <c r="D18" s="204"/>
      <c r="E18" s="204"/>
      <c r="F18" s="204"/>
      <c r="G18" s="204"/>
      <c r="H18" s="204"/>
      <c r="I18" s="208"/>
      <c r="J18" s="149"/>
      <c r="K18" s="149"/>
      <c r="L18" s="149"/>
      <c r="M18" s="149"/>
      <c r="N18" s="149"/>
      <c r="O18" s="149"/>
      <c r="P18" s="196"/>
      <c r="Q18" s="153"/>
      <c r="R18" s="197"/>
      <c r="S18" s="209"/>
      <c r="T18" s="210"/>
      <c r="U18" s="210"/>
      <c r="V18" s="210"/>
      <c r="W18" s="210"/>
      <c r="AA18" s="191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ht="30" hidden="1" x14ac:dyDescent="0.25">
      <c r="A19" s="192"/>
      <c r="B19" s="194" t="s">
        <v>31</v>
      </c>
      <c r="C19" s="195" t="s">
        <v>14</v>
      </c>
      <c r="D19" s="192" t="s">
        <v>14</v>
      </c>
      <c r="E19" s="192" t="s">
        <v>15</v>
      </c>
      <c r="F19" s="192" t="s">
        <v>16</v>
      </c>
      <c r="G19" s="192" t="s">
        <v>17</v>
      </c>
      <c r="H19" s="192"/>
      <c r="I19" s="192"/>
      <c r="J19" s="192"/>
      <c r="K19" s="192"/>
      <c r="L19" s="192"/>
      <c r="M19" s="192"/>
      <c r="N19" s="192"/>
      <c r="O19" s="192"/>
      <c r="P19" s="196"/>
      <c r="Q19" s="195"/>
      <c r="R19" s="197"/>
      <c r="AA19" s="191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hidden="1" x14ac:dyDescent="0.25">
      <c r="A20" s="192" t="s">
        <v>1069</v>
      </c>
      <c r="B20" s="194" t="s">
        <v>31</v>
      </c>
      <c r="C20" s="147" t="s">
        <v>19</v>
      </c>
      <c r="D20" s="198">
        <v>0.7</v>
      </c>
      <c r="E20" s="198">
        <v>0.1</v>
      </c>
      <c r="F20" s="198">
        <v>0.1</v>
      </c>
      <c r="G20" s="198">
        <v>0.1</v>
      </c>
      <c r="H20" s="198"/>
      <c r="I20" s="149"/>
      <c r="J20" s="149"/>
      <c r="K20" s="149"/>
      <c r="L20" s="149"/>
      <c r="M20" s="149" t="s">
        <v>635</v>
      </c>
      <c r="N20" s="149" t="s">
        <v>636</v>
      </c>
      <c r="O20" s="149" t="s">
        <v>35</v>
      </c>
      <c r="P20" s="196">
        <f>SUM(D20:K20)</f>
        <v>0.99999999999999989</v>
      </c>
      <c r="Q20" s="153"/>
      <c r="R20" s="197"/>
      <c r="S20" s="189" t="s">
        <v>811</v>
      </c>
      <c r="T20" s="190" t="s">
        <v>634</v>
      </c>
      <c r="U20" s="190" t="s">
        <v>634</v>
      </c>
      <c r="V20" s="190" t="s">
        <v>812</v>
      </c>
      <c r="W20" s="190" t="s">
        <v>813</v>
      </c>
      <c r="AA20" s="191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hidden="1" x14ac:dyDescent="0.25">
      <c r="A21" s="192" t="s">
        <v>1070</v>
      </c>
      <c r="B21" s="194" t="s">
        <v>31</v>
      </c>
      <c r="C21" s="147" t="s">
        <v>52</v>
      </c>
      <c r="D21" s="198">
        <v>0.7</v>
      </c>
      <c r="E21" s="198">
        <v>0.1</v>
      </c>
      <c r="F21" s="198">
        <v>0.1</v>
      </c>
      <c r="G21" s="198">
        <v>0.1</v>
      </c>
      <c r="H21" s="198"/>
      <c r="I21" s="149"/>
      <c r="J21" s="149"/>
      <c r="K21" s="149"/>
      <c r="L21" s="149"/>
      <c r="M21" s="149" t="s">
        <v>635</v>
      </c>
      <c r="N21" s="149" t="s">
        <v>636</v>
      </c>
      <c r="O21" s="149" t="s">
        <v>35</v>
      </c>
      <c r="P21" s="196">
        <f>SUM(D21:K21)</f>
        <v>0.99999999999999989</v>
      </c>
      <c r="Q21" s="153"/>
      <c r="R21" s="197" t="s">
        <v>642</v>
      </c>
      <c r="S21" s="189" t="s">
        <v>811</v>
      </c>
      <c r="T21" s="190" t="s">
        <v>634</v>
      </c>
      <c r="U21" s="190" t="s">
        <v>634</v>
      </c>
      <c r="V21" s="190" t="s">
        <v>812</v>
      </c>
      <c r="W21" s="190" t="s">
        <v>813</v>
      </c>
      <c r="AA21" s="19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hidden="1" x14ac:dyDescent="0.25">
      <c r="A22" s="192"/>
      <c r="B22" s="194"/>
      <c r="C22" s="156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96"/>
      <c r="Q22" s="153"/>
      <c r="R22" s="197"/>
      <c r="AA22" s="191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hidden="1" x14ac:dyDescent="0.25">
      <c r="A23" s="192"/>
      <c r="B23" s="194" t="s">
        <v>31</v>
      </c>
      <c r="C23" s="195" t="s">
        <v>53</v>
      </c>
      <c r="D23" s="192" t="s">
        <v>53</v>
      </c>
      <c r="E23" s="192" t="s">
        <v>17</v>
      </c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6"/>
      <c r="Q23" s="195"/>
      <c r="R23" s="197"/>
      <c r="AA23" s="191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hidden="1" x14ac:dyDescent="0.25">
      <c r="A24" s="192" t="s">
        <v>1071</v>
      </c>
      <c r="B24" s="194" t="s">
        <v>31</v>
      </c>
      <c r="C24" s="147" t="s">
        <v>53</v>
      </c>
      <c r="D24" s="198">
        <v>0.9</v>
      </c>
      <c r="E24" s="198">
        <v>0.1</v>
      </c>
      <c r="F24" s="198"/>
      <c r="G24" s="198"/>
      <c r="H24" s="198"/>
      <c r="I24" s="149"/>
      <c r="J24" s="149"/>
      <c r="K24" s="149"/>
      <c r="L24" s="149"/>
      <c r="M24" s="149" t="s">
        <v>635</v>
      </c>
      <c r="N24" s="149" t="s">
        <v>636</v>
      </c>
      <c r="O24" s="149" t="s">
        <v>35</v>
      </c>
      <c r="P24" s="196">
        <f>SUM(D24:K24)</f>
        <v>1</v>
      </c>
      <c r="Q24" s="153"/>
      <c r="R24" s="197"/>
      <c r="S24" s="200" t="s">
        <v>803</v>
      </c>
      <c r="T24" s="201" t="s">
        <v>634</v>
      </c>
      <c r="U24" s="201" t="s">
        <v>634</v>
      </c>
      <c r="V24" s="201" t="s">
        <v>814</v>
      </c>
      <c r="W24" s="201" t="s">
        <v>805</v>
      </c>
      <c r="AA24" s="191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hidden="1" x14ac:dyDescent="0.25">
      <c r="A25" s="192"/>
      <c r="B25" s="194"/>
      <c r="C25" s="156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96"/>
      <c r="Q25" s="153"/>
      <c r="R25" s="197"/>
      <c r="AA25" s="191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ht="45" hidden="1" x14ac:dyDescent="0.25">
      <c r="A26" s="192"/>
      <c r="B26" s="194" t="s">
        <v>31</v>
      </c>
      <c r="C26" s="195" t="s">
        <v>54</v>
      </c>
      <c r="D26" s="192" t="s">
        <v>55</v>
      </c>
      <c r="E26" s="192" t="s">
        <v>56</v>
      </c>
      <c r="F26" s="192" t="s">
        <v>17</v>
      </c>
      <c r="G26" s="192"/>
      <c r="H26" s="192"/>
      <c r="I26" s="192"/>
      <c r="J26" s="192"/>
      <c r="K26" s="192"/>
      <c r="L26" s="192"/>
      <c r="M26" s="192"/>
      <c r="N26" s="192"/>
      <c r="O26" s="192"/>
      <c r="P26" s="196"/>
      <c r="Q26" s="195"/>
      <c r="R26" s="211" t="s">
        <v>643</v>
      </c>
      <c r="AA26" s="191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hidden="1" x14ac:dyDescent="0.25">
      <c r="A27" s="192" t="s">
        <v>1072</v>
      </c>
      <c r="B27" s="194" t="s">
        <v>31</v>
      </c>
      <c r="C27" s="147" t="s">
        <v>57</v>
      </c>
      <c r="D27" s="198">
        <v>0.4</v>
      </c>
      <c r="E27" s="198">
        <v>0.5</v>
      </c>
      <c r="F27" s="198">
        <v>0.1</v>
      </c>
      <c r="G27" s="198"/>
      <c r="H27" s="198"/>
      <c r="I27" s="149"/>
      <c r="J27" s="149"/>
      <c r="K27" s="149"/>
      <c r="L27" s="149"/>
      <c r="M27" s="149" t="s">
        <v>644</v>
      </c>
      <c r="N27" s="149" t="s">
        <v>645</v>
      </c>
      <c r="O27" s="149" t="s">
        <v>35</v>
      </c>
      <c r="P27" s="196">
        <f>SUM(D27:K27)</f>
        <v>1</v>
      </c>
      <c r="Q27" s="153"/>
      <c r="R27" s="197"/>
      <c r="S27" s="212" t="s">
        <v>815</v>
      </c>
      <c r="T27" s="190" t="s">
        <v>634</v>
      </c>
      <c r="U27" s="190" t="s">
        <v>634</v>
      </c>
      <c r="V27" s="190" t="s">
        <v>816</v>
      </c>
      <c r="W27" s="213" t="s">
        <v>817</v>
      </c>
      <c r="X27" s="146" t="s">
        <v>646</v>
      </c>
      <c r="AA27" s="191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hidden="1" x14ac:dyDescent="0.25">
      <c r="A28" s="192" t="s">
        <v>1073</v>
      </c>
      <c r="B28" s="194" t="s">
        <v>31</v>
      </c>
      <c r="C28" s="147" t="s">
        <v>58</v>
      </c>
      <c r="D28" s="198">
        <v>0.4</v>
      </c>
      <c r="E28" s="198">
        <v>0.5</v>
      </c>
      <c r="F28" s="198">
        <v>0.1</v>
      </c>
      <c r="G28" s="198"/>
      <c r="H28" s="198"/>
      <c r="I28" s="149"/>
      <c r="J28" s="149"/>
      <c r="K28" s="149"/>
      <c r="L28" s="149"/>
      <c r="M28" s="149" t="s">
        <v>639</v>
      </c>
      <c r="N28" s="149" t="s">
        <v>639</v>
      </c>
      <c r="O28" s="149" t="s">
        <v>35</v>
      </c>
      <c r="P28" s="196">
        <f>SUM(D28:K28)</f>
        <v>1</v>
      </c>
      <c r="Q28" s="153"/>
      <c r="R28" s="197"/>
      <c r="S28" s="212" t="s">
        <v>815</v>
      </c>
      <c r="T28" s="190" t="s">
        <v>634</v>
      </c>
      <c r="U28" s="190" t="s">
        <v>634</v>
      </c>
      <c r="V28" s="190" t="s">
        <v>816</v>
      </c>
      <c r="W28" s="213" t="s">
        <v>817</v>
      </c>
      <c r="X28" s="146" t="s">
        <v>646</v>
      </c>
      <c r="AA28" s="191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hidden="1" x14ac:dyDescent="0.25">
      <c r="A29" s="192" t="s">
        <v>1074</v>
      </c>
      <c r="B29" s="194" t="s">
        <v>31</v>
      </c>
      <c r="C29" s="147" t="s">
        <v>59</v>
      </c>
      <c r="D29" s="198">
        <v>0.4</v>
      </c>
      <c r="E29" s="198">
        <v>0.5</v>
      </c>
      <c r="F29" s="198">
        <v>0.1</v>
      </c>
      <c r="G29" s="198"/>
      <c r="H29" s="198"/>
      <c r="I29" s="149"/>
      <c r="J29" s="149"/>
      <c r="K29" s="149"/>
      <c r="L29" s="149"/>
      <c r="M29" s="149" t="s">
        <v>639</v>
      </c>
      <c r="N29" s="149" t="s">
        <v>639</v>
      </c>
      <c r="O29" s="149" t="s">
        <v>35</v>
      </c>
      <c r="P29" s="196">
        <f>SUM(D29:K29)</f>
        <v>1</v>
      </c>
      <c r="Q29" s="153"/>
      <c r="R29" s="197"/>
      <c r="S29" s="212" t="s">
        <v>815</v>
      </c>
      <c r="T29" s="190" t="s">
        <v>634</v>
      </c>
      <c r="U29" s="190" t="s">
        <v>634</v>
      </c>
      <c r="V29" s="190" t="s">
        <v>816</v>
      </c>
      <c r="W29" s="213" t="s">
        <v>817</v>
      </c>
      <c r="X29" s="146" t="s">
        <v>646</v>
      </c>
      <c r="AA29" s="191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hidden="1" x14ac:dyDescent="0.25">
      <c r="A30" s="192"/>
      <c r="B30" s="194"/>
      <c r="C30" s="156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96"/>
      <c r="Q30" s="153"/>
      <c r="R30" s="197"/>
      <c r="AA30" s="191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ht="45" hidden="1" x14ac:dyDescent="0.25">
      <c r="A31" s="192"/>
      <c r="B31" s="214" t="s">
        <v>31</v>
      </c>
      <c r="C31" s="215" t="s">
        <v>60</v>
      </c>
      <c r="D31" s="216" t="s">
        <v>61</v>
      </c>
      <c r="E31" s="216" t="s">
        <v>62</v>
      </c>
      <c r="F31" s="216" t="s">
        <v>63</v>
      </c>
      <c r="G31" s="216" t="s">
        <v>64</v>
      </c>
      <c r="H31" s="192" t="s">
        <v>65</v>
      </c>
      <c r="I31" s="192"/>
      <c r="J31" s="192"/>
      <c r="K31" s="192"/>
      <c r="L31" s="192"/>
      <c r="M31" s="192"/>
      <c r="N31" s="192"/>
      <c r="O31" s="192"/>
      <c r="P31" s="196"/>
      <c r="Q31" s="195"/>
      <c r="R31" s="197" t="s">
        <v>647</v>
      </c>
      <c r="AA31" s="19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hidden="1" x14ac:dyDescent="0.25">
      <c r="A32" s="192" t="s">
        <v>1075</v>
      </c>
      <c r="B32" s="214" t="s">
        <v>31</v>
      </c>
      <c r="C32" s="151" t="s">
        <v>66</v>
      </c>
      <c r="D32" s="217"/>
      <c r="E32" s="217">
        <v>0.8</v>
      </c>
      <c r="F32" s="217"/>
      <c r="G32" s="217">
        <v>0.1</v>
      </c>
      <c r="H32" s="198">
        <v>0.1</v>
      </c>
      <c r="I32" s="149"/>
      <c r="J32" s="149"/>
      <c r="K32" s="149"/>
      <c r="L32" s="149"/>
      <c r="M32" s="149" t="s">
        <v>639</v>
      </c>
      <c r="N32" s="149" t="s">
        <v>639</v>
      </c>
      <c r="O32" s="149" t="s">
        <v>35</v>
      </c>
      <c r="P32" s="196">
        <f>SUM(D32:K32)</f>
        <v>1</v>
      </c>
      <c r="Q32" s="153"/>
      <c r="R32" s="218" t="s">
        <v>648</v>
      </c>
      <c r="S32" s="189" t="s">
        <v>818</v>
      </c>
      <c r="T32" s="190" t="s">
        <v>634</v>
      </c>
      <c r="U32" s="190" t="s">
        <v>634</v>
      </c>
      <c r="V32" s="190" t="s">
        <v>819</v>
      </c>
      <c r="W32" s="190" t="s">
        <v>820</v>
      </c>
      <c r="AA32" s="191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hidden="1" x14ac:dyDescent="0.25">
      <c r="A33" s="192" t="s">
        <v>1076</v>
      </c>
      <c r="B33" s="214" t="s">
        <v>31</v>
      </c>
      <c r="C33" s="151" t="s">
        <v>67</v>
      </c>
      <c r="D33" s="217">
        <v>0.1</v>
      </c>
      <c r="E33" s="217">
        <v>0.7</v>
      </c>
      <c r="F33" s="217"/>
      <c r="G33" s="217">
        <v>0.1</v>
      </c>
      <c r="H33" s="198">
        <v>0.1</v>
      </c>
      <c r="I33" s="149"/>
      <c r="J33" s="149"/>
      <c r="K33" s="149"/>
      <c r="L33" s="149"/>
      <c r="M33" s="149" t="s">
        <v>639</v>
      </c>
      <c r="N33" s="149" t="s">
        <v>639</v>
      </c>
      <c r="O33" s="149" t="s">
        <v>35</v>
      </c>
      <c r="P33" s="196">
        <f>SUM(D33:K33)</f>
        <v>0.99999999999999989</v>
      </c>
      <c r="Q33" s="153"/>
      <c r="R33" s="218"/>
      <c r="S33" s="189" t="s">
        <v>821</v>
      </c>
      <c r="T33" s="190" t="s">
        <v>634</v>
      </c>
      <c r="U33" s="190" t="s">
        <v>634</v>
      </c>
      <c r="V33" s="190" t="s">
        <v>822</v>
      </c>
      <c r="W33" s="190" t="s">
        <v>823</v>
      </c>
      <c r="AA33" s="191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hidden="1" x14ac:dyDescent="0.25">
      <c r="A34" s="192"/>
      <c r="B34" s="214"/>
      <c r="C34" s="151"/>
      <c r="D34" s="217"/>
      <c r="E34" s="217"/>
      <c r="F34" s="217"/>
      <c r="G34" s="217"/>
      <c r="H34" s="198"/>
      <c r="I34" s="149"/>
      <c r="J34" s="149"/>
      <c r="K34" s="149"/>
      <c r="L34" s="149"/>
      <c r="M34" s="149"/>
      <c r="N34" s="149"/>
      <c r="O34" s="149"/>
      <c r="P34" s="196"/>
      <c r="Q34" s="153"/>
      <c r="R34" s="218"/>
      <c r="AA34" s="191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hidden="1" x14ac:dyDescent="0.25">
      <c r="A35" s="192"/>
      <c r="B35" s="214" t="s">
        <v>31</v>
      </c>
      <c r="C35" s="219" t="s">
        <v>68</v>
      </c>
      <c r="D35" s="220" t="s">
        <v>55</v>
      </c>
      <c r="E35" s="220" t="s">
        <v>17</v>
      </c>
      <c r="F35" s="220"/>
      <c r="G35" s="220"/>
      <c r="H35" s="221"/>
      <c r="I35" s="221"/>
      <c r="J35" s="221"/>
      <c r="K35" s="221"/>
      <c r="L35" s="221"/>
      <c r="M35" s="221"/>
      <c r="N35" s="221"/>
      <c r="O35" s="221"/>
      <c r="P35" s="196"/>
      <c r="Q35" s="222"/>
      <c r="R35" s="218"/>
      <c r="AA35" s="191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hidden="1" x14ac:dyDescent="0.25">
      <c r="A36" s="192" t="s">
        <v>1077</v>
      </c>
      <c r="B36" s="214" t="s">
        <v>31</v>
      </c>
      <c r="C36" s="223" t="s">
        <v>68</v>
      </c>
      <c r="D36" s="217">
        <v>0.95</v>
      </c>
      <c r="E36" s="217">
        <v>0.05</v>
      </c>
      <c r="F36" s="217"/>
      <c r="G36" s="217"/>
      <c r="H36" s="149"/>
      <c r="I36" s="149"/>
      <c r="J36" s="149"/>
      <c r="K36" s="149"/>
      <c r="L36" s="149"/>
      <c r="M36" s="149" t="s">
        <v>639</v>
      </c>
      <c r="N36" s="149" t="s">
        <v>639</v>
      </c>
      <c r="O36" s="149" t="s">
        <v>35</v>
      </c>
      <c r="P36" s="196">
        <f>SUM(D36:K36)</f>
        <v>1</v>
      </c>
      <c r="Q36" s="199"/>
      <c r="R36" s="218"/>
      <c r="S36" s="189" t="s">
        <v>821</v>
      </c>
      <c r="T36" s="190" t="s">
        <v>634</v>
      </c>
      <c r="U36" s="190" t="s">
        <v>634</v>
      </c>
      <c r="V36" s="190" t="s">
        <v>822</v>
      </c>
      <c r="W36" s="190" t="s">
        <v>823</v>
      </c>
      <c r="AA36" s="191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hidden="1" x14ac:dyDescent="0.25">
      <c r="A37" s="192"/>
      <c r="B37" s="214"/>
      <c r="C37" s="223"/>
      <c r="D37" s="217"/>
      <c r="E37" s="217"/>
      <c r="F37" s="217"/>
      <c r="G37" s="217"/>
      <c r="H37" s="149"/>
      <c r="I37" s="149"/>
      <c r="J37" s="149"/>
      <c r="K37" s="149"/>
      <c r="L37" s="149"/>
      <c r="M37" s="149"/>
      <c r="N37" s="149"/>
      <c r="O37" s="149"/>
      <c r="P37" s="196"/>
      <c r="Q37" s="199"/>
      <c r="R37" s="218"/>
      <c r="AA37" s="191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ht="30" hidden="1" x14ac:dyDescent="0.25">
      <c r="A38" s="192"/>
      <c r="B38" s="214" t="s">
        <v>31</v>
      </c>
      <c r="C38" s="219" t="s">
        <v>69</v>
      </c>
      <c r="D38" s="216" t="s">
        <v>61</v>
      </c>
      <c r="E38" s="216" t="s">
        <v>70</v>
      </c>
      <c r="F38" s="216" t="s">
        <v>71</v>
      </c>
      <c r="G38" s="216" t="s">
        <v>17</v>
      </c>
      <c r="H38" s="192"/>
      <c r="I38" s="206"/>
      <c r="J38" s="206"/>
      <c r="K38" s="206"/>
      <c r="L38" s="206"/>
      <c r="M38" s="206"/>
      <c r="N38" s="206"/>
      <c r="O38" s="206"/>
      <c r="P38" s="196"/>
      <c r="Q38" s="207"/>
      <c r="R38" s="218"/>
      <c r="AA38" s="191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hidden="1" x14ac:dyDescent="0.25">
      <c r="A39" s="192" t="s">
        <v>1078</v>
      </c>
      <c r="B39" s="214" t="s">
        <v>31</v>
      </c>
      <c r="C39" s="224" t="s">
        <v>69</v>
      </c>
      <c r="D39" s="225">
        <v>0.2</v>
      </c>
      <c r="E39" s="225">
        <v>0.2</v>
      </c>
      <c r="F39" s="225">
        <v>0.5</v>
      </c>
      <c r="G39" s="225">
        <v>0.1</v>
      </c>
      <c r="H39" s="149"/>
      <c r="I39" s="149"/>
      <c r="J39" s="149"/>
      <c r="K39" s="149"/>
      <c r="L39" s="149"/>
      <c r="M39" s="149" t="s">
        <v>639</v>
      </c>
      <c r="N39" s="149" t="s">
        <v>639</v>
      </c>
      <c r="O39" s="149" t="s">
        <v>35</v>
      </c>
      <c r="P39" s="196">
        <f>SUM(D39:K39)</f>
        <v>1</v>
      </c>
      <c r="Q39" s="199"/>
      <c r="R39" s="218"/>
      <c r="S39" s="189" t="s">
        <v>821</v>
      </c>
      <c r="T39" s="190" t="s">
        <v>634</v>
      </c>
      <c r="U39" s="190" t="s">
        <v>634</v>
      </c>
      <c r="V39" s="190" t="s">
        <v>822</v>
      </c>
      <c r="W39" s="190" t="s">
        <v>823</v>
      </c>
      <c r="AA39" s="191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233" customFormat="1" hidden="1" x14ac:dyDescent="0.25">
      <c r="A40" s="192"/>
      <c r="B40" s="214"/>
      <c r="C40" s="224"/>
      <c r="D40" s="225"/>
      <c r="E40" s="225"/>
      <c r="F40" s="225"/>
      <c r="G40" s="225"/>
      <c r="H40" s="226"/>
      <c r="I40" s="226"/>
      <c r="J40" s="226"/>
      <c r="K40" s="226"/>
      <c r="L40" s="226"/>
      <c r="M40" s="226"/>
      <c r="N40" s="226"/>
      <c r="O40" s="226"/>
      <c r="P40" s="227"/>
      <c r="Q40" s="228"/>
      <c r="R40" s="229"/>
      <c r="S40" s="230"/>
      <c r="T40" s="231"/>
      <c r="U40" s="231"/>
      <c r="V40" s="231"/>
      <c r="W40" s="231"/>
      <c r="X40" s="232"/>
      <c r="Y40" s="184"/>
      <c r="Z40" s="60"/>
      <c r="AA40" s="191"/>
      <c r="AB40" s="6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hidden="1" x14ac:dyDescent="0.25">
      <c r="A41" s="192"/>
      <c r="B41" s="214" t="s">
        <v>31</v>
      </c>
      <c r="C41" s="234" t="s">
        <v>72</v>
      </c>
      <c r="D41" s="220" t="s">
        <v>73</v>
      </c>
      <c r="E41" s="220" t="s">
        <v>17</v>
      </c>
      <c r="F41" s="220"/>
      <c r="G41" s="220"/>
      <c r="H41" s="221"/>
      <c r="I41" s="221"/>
      <c r="J41" s="221"/>
      <c r="K41" s="221"/>
      <c r="L41" s="221"/>
      <c r="M41" s="221"/>
      <c r="N41" s="221"/>
      <c r="O41" s="221"/>
      <c r="P41" s="196"/>
      <c r="Q41" s="222"/>
      <c r="R41" s="218"/>
      <c r="AA41" s="19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hidden="1" x14ac:dyDescent="0.25">
      <c r="A42" s="192" t="s">
        <v>1079</v>
      </c>
      <c r="B42" s="214" t="s">
        <v>31</v>
      </c>
      <c r="C42" s="224" t="s">
        <v>72</v>
      </c>
      <c r="D42" s="225">
        <v>0.9</v>
      </c>
      <c r="E42" s="225">
        <v>0.1</v>
      </c>
      <c r="F42" s="225"/>
      <c r="G42" s="225"/>
      <c r="H42" s="226"/>
      <c r="I42" s="226"/>
      <c r="J42" s="226"/>
      <c r="K42" s="226"/>
      <c r="L42" s="226"/>
      <c r="M42" s="226" t="s">
        <v>639</v>
      </c>
      <c r="N42" s="226" t="s">
        <v>639</v>
      </c>
      <c r="O42" s="226" t="s">
        <v>35</v>
      </c>
      <c r="P42" s="196">
        <f>SUM(D42:K42)</f>
        <v>1</v>
      </c>
      <c r="Q42" s="199"/>
      <c r="R42" s="197"/>
      <c r="S42" s="189" t="s">
        <v>821</v>
      </c>
      <c r="T42" s="190" t="s">
        <v>634</v>
      </c>
      <c r="U42" s="190" t="s">
        <v>634</v>
      </c>
      <c r="V42" s="210"/>
      <c r="W42" s="210"/>
      <c r="AA42" s="191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hidden="1" x14ac:dyDescent="0.25">
      <c r="A43" s="192"/>
      <c r="B43" s="214"/>
      <c r="C43" s="224"/>
      <c r="D43" s="225"/>
      <c r="E43" s="225"/>
      <c r="F43" s="225"/>
      <c r="G43" s="225"/>
      <c r="H43" s="226"/>
      <c r="I43" s="226"/>
      <c r="J43" s="226"/>
      <c r="K43" s="226"/>
      <c r="L43" s="226"/>
      <c r="M43" s="226"/>
      <c r="N43" s="226"/>
      <c r="O43" s="226"/>
      <c r="P43" s="196"/>
      <c r="Q43" s="199"/>
      <c r="R43" s="197"/>
      <c r="V43" s="210"/>
      <c r="W43" s="210"/>
      <c r="AA43" s="191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ht="53.1" hidden="1" customHeight="1" x14ac:dyDescent="0.25">
      <c r="A44" s="192"/>
      <c r="B44" s="214" t="s">
        <v>31</v>
      </c>
      <c r="C44" s="215" t="s">
        <v>74</v>
      </c>
      <c r="D44" s="216" t="s">
        <v>75</v>
      </c>
      <c r="E44" s="216" t="s">
        <v>76</v>
      </c>
      <c r="F44" s="216" t="s">
        <v>77</v>
      </c>
      <c r="G44" s="216" t="s">
        <v>78</v>
      </c>
      <c r="H44" s="192" t="s">
        <v>79</v>
      </c>
      <c r="I44" s="192" t="s">
        <v>17</v>
      </c>
      <c r="J44" s="192"/>
      <c r="K44" s="192"/>
      <c r="L44" s="192"/>
      <c r="M44" s="192"/>
      <c r="N44" s="192"/>
      <c r="O44" s="192"/>
      <c r="P44" s="196"/>
      <c r="Q44" s="195"/>
      <c r="R44" s="197"/>
      <c r="AA44" s="191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hidden="1" x14ac:dyDescent="0.25">
      <c r="A45" s="192" t="s">
        <v>1080</v>
      </c>
      <c r="B45" s="214" t="s">
        <v>31</v>
      </c>
      <c r="C45" s="151" t="s">
        <v>80</v>
      </c>
      <c r="D45" s="217">
        <v>0.7</v>
      </c>
      <c r="E45" s="217">
        <v>0.1</v>
      </c>
      <c r="F45" s="217">
        <v>0.1</v>
      </c>
      <c r="G45" s="217"/>
      <c r="H45" s="198"/>
      <c r="I45" s="198">
        <v>0.1</v>
      </c>
      <c r="J45" s="149"/>
      <c r="K45" s="149"/>
      <c r="L45" s="149"/>
      <c r="M45" s="149" t="s">
        <v>640</v>
      </c>
      <c r="N45" s="149" t="s">
        <v>641</v>
      </c>
      <c r="O45" s="149" t="s">
        <v>35</v>
      </c>
      <c r="P45" s="196">
        <f>SUM(D45:K45)</f>
        <v>0.99999999999999989</v>
      </c>
      <c r="Q45" s="153"/>
      <c r="R45" s="197" t="s">
        <v>642</v>
      </c>
      <c r="S45" s="189" t="s">
        <v>809</v>
      </c>
      <c r="T45" s="190" t="s">
        <v>634</v>
      </c>
      <c r="U45" s="190" t="s">
        <v>634</v>
      </c>
      <c r="V45" s="190" t="s">
        <v>824</v>
      </c>
      <c r="W45" s="190" t="s">
        <v>825</v>
      </c>
      <c r="AA45" s="191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hidden="1" x14ac:dyDescent="0.25">
      <c r="A46" s="192" t="s">
        <v>1081</v>
      </c>
      <c r="B46" s="214" t="s">
        <v>31</v>
      </c>
      <c r="C46" s="151" t="s">
        <v>81</v>
      </c>
      <c r="D46" s="217"/>
      <c r="E46" s="217">
        <v>0.15</v>
      </c>
      <c r="F46" s="217"/>
      <c r="G46" s="217"/>
      <c r="H46" s="198">
        <v>0.75</v>
      </c>
      <c r="I46" s="198">
        <v>0.1</v>
      </c>
      <c r="J46" s="149"/>
      <c r="K46" s="149"/>
      <c r="L46" s="149"/>
      <c r="M46" s="149" t="s">
        <v>640</v>
      </c>
      <c r="N46" s="149" t="s">
        <v>641</v>
      </c>
      <c r="O46" s="149" t="s">
        <v>35</v>
      </c>
      <c r="P46" s="196">
        <f>SUM(D46:K46)</f>
        <v>1</v>
      </c>
      <c r="Q46" s="153"/>
      <c r="R46" s="197"/>
      <c r="S46" s="189" t="s">
        <v>809</v>
      </c>
      <c r="T46" s="190" t="s">
        <v>634</v>
      </c>
      <c r="U46" s="190" t="s">
        <v>634</v>
      </c>
      <c r="V46" s="190" t="s">
        <v>824</v>
      </c>
      <c r="W46" s="190" t="s">
        <v>825</v>
      </c>
      <c r="AA46" s="191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hidden="1" x14ac:dyDescent="0.25">
      <c r="A47" s="192" t="s">
        <v>1082</v>
      </c>
      <c r="B47" s="214" t="s">
        <v>31</v>
      </c>
      <c r="C47" s="151" t="s">
        <v>82</v>
      </c>
      <c r="D47" s="217"/>
      <c r="E47" s="217">
        <v>0.1</v>
      </c>
      <c r="F47" s="217"/>
      <c r="G47" s="217">
        <v>0.5</v>
      </c>
      <c r="H47" s="198">
        <v>0.3</v>
      </c>
      <c r="I47" s="198">
        <v>0.1</v>
      </c>
      <c r="J47" s="149"/>
      <c r="K47" s="149"/>
      <c r="L47" s="149"/>
      <c r="M47" s="149" t="s">
        <v>640</v>
      </c>
      <c r="N47" s="149" t="s">
        <v>641</v>
      </c>
      <c r="O47" s="149" t="s">
        <v>35</v>
      </c>
      <c r="P47" s="196">
        <f>SUM(D47:K47)</f>
        <v>0.99999999999999989</v>
      </c>
      <c r="Q47" s="153"/>
      <c r="R47" s="197"/>
      <c r="S47" s="189" t="s">
        <v>809</v>
      </c>
      <c r="T47" s="190" t="s">
        <v>634</v>
      </c>
      <c r="U47" s="190" t="s">
        <v>634</v>
      </c>
      <c r="V47" s="190" t="s">
        <v>824</v>
      </c>
      <c r="W47" s="190" t="s">
        <v>825</v>
      </c>
      <c r="AA47" s="191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hidden="1" x14ac:dyDescent="0.25">
      <c r="A48" s="192" t="s">
        <v>1083</v>
      </c>
      <c r="B48" s="214" t="s">
        <v>31</v>
      </c>
      <c r="C48" s="151" t="s">
        <v>83</v>
      </c>
      <c r="D48" s="217">
        <v>0.7</v>
      </c>
      <c r="E48" s="217">
        <v>0.15</v>
      </c>
      <c r="F48" s="217">
        <v>0.05</v>
      </c>
      <c r="G48" s="217"/>
      <c r="H48" s="198"/>
      <c r="I48" s="198">
        <v>0.1</v>
      </c>
      <c r="J48" s="149"/>
      <c r="K48" s="149"/>
      <c r="L48" s="149"/>
      <c r="M48" s="149" t="s">
        <v>640</v>
      </c>
      <c r="N48" s="149" t="s">
        <v>641</v>
      </c>
      <c r="O48" s="149" t="s">
        <v>35</v>
      </c>
      <c r="P48" s="196">
        <f>SUM(D48:K48)</f>
        <v>1</v>
      </c>
      <c r="Q48" s="153"/>
      <c r="R48" s="197" t="s">
        <v>642</v>
      </c>
      <c r="S48" s="189" t="s">
        <v>809</v>
      </c>
      <c r="T48" s="190" t="s">
        <v>634</v>
      </c>
      <c r="U48" s="190" t="s">
        <v>634</v>
      </c>
      <c r="V48" s="190" t="s">
        <v>824</v>
      </c>
      <c r="W48" s="190" t="s">
        <v>825</v>
      </c>
      <c r="AA48" s="191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hidden="1" x14ac:dyDescent="0.25">
      <c r="A49" s="192"/>
      <c r="B49" s="194"/>
      <c r="C49" s="147"/>
      <c r="D49" s="198"/>
      <c r="E49" s="198"/>
      <c r="F49" s="198"/>
      <c r="G49" s="198"/>
      <c r="H49" s="198"/>
      <c r="I49" s="198"/>
      <c r="J49" s="149"/>
      <c r="K49" s="149"/>
      <c r="L49" s="149"/>
      <c r="M49" s="149"/>
      <c r="N49" s="149"/>
      <c r="O49" s="149"/>
      <c r="P49" s="196"/>
      <c r="Q49" s="153"/>
      <c r="R49" s="197"/>
      <c r="AA49" s="191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ht="45" hidden="1" x14ac:dyDescent="0.25">
      <c r="A50" s="192"/>
      <c r="B50" s="194" t="s">
        <v>31</v>
      </c>
      <c r="C50" s="202" t="s">
        <v>84</v>
      </c>
      <c r="D50" s="235" t="s">
        <v>85</v>
      </c>
      <c r="E50" s="235" t="s">
        <v>86</v>
      </c>
      <c r="F50" s="235" t="s">
        <v>87</v>
      </c>
      <c r="G50" s="235"/>
      <c r="H50" s="235"/>
      <c r="I50" s="235"/>
      <c r="J50" s="206"/>
      <c r="K50" s="206"/>
      <c r="L50" s="206"/>
      <c r="M50" s="206"/>
      <c r="N50" s="206"/>
      <c r="O50" s="206"/>
      <c r="P50" s="236"/>
      <c r="Q50" s="207"/>
      <c r="R50" s="197"/>
      <c r="AA50" s="191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hidden="1" x14ac:dyDescent="0.25">
      <c r="A51" s="192" t="s">
        <v>1084</v>
      </c>
      <c r="B51" s="194" t="s">
        <v>31</v>
      </c>
      <c r="C51" s="147" t="s">
        <v>84</v>
      </c>
      <c r="D51" s="198">
        <v>0.6</v>
      </c>
      <c r="E51" s="198">
        <v>0.3</v>
      </c>
      <c r="F51" s="198">
        <v>0.1</v>
      </c>
      <c r="G51" s="198"/>
      <c r="H51" s="198"/>
      <c r="I51" s="198"/>
      <c r="J51" s="149"/>
      <c r="K51" s="149"/>
      <c r="L51" s="149"/>
      <c r="M51" s="149" t="s">
        <v>640</v>
      </c>
      <c r="N51" s="149" t="s">
        <v>641</v>
      </c>
      <c r="O51" s="149" t="s">
        <v>35</v>
      </c>
      <c r="P51" s="196">
        <f>SUM(D51:K51)</f>
        <v>0.99999999999999989</v>
      </c>
      <c r="Q51" s="153"/>
      <c r="R51" s="197"/>
      <c r="AA51" s="19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hidden="1" x14ac:dyDescent="0.25">
      <c r="A52" s="192"/>
      <c r="B52" s="194"/>
      <c r="C52" s="147"/>
      <c r="D52" s="198"/>
      <c r="E52" s="198"/>
      <c r="F52" s="198"/>
      <c r="G52" s="198"/>
      <c r="H52" s="198"/>
      <c r="I52" s="198"/>
      <c r="J52" s="149"/>
      <c r="K52" s="149"/>
      <c r="L52" s="149"/>
      <c r="M52" s="149"/>
      <c r="N52" s="149"/>
      <c r="O52" s="149"/>
      <c r="P52" s="196"/>
      <c r="Q52" s="153"/>
      <c r="R52" s="197"/>
      <c r="AA52" s="191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ht="30" hidden="1" x14ac:dyDescent="0.25">
      <c r="A53" s="192"/>
      <c r="B53" s="194" t="s">
        <v>31</v>
      </c>
      <c r="C53" s="195" t="s">
        <v>88</v>
      </c>
      <c r="D53" s="192" t="s">
        <v>89</v>
      </c>
      <c r="E53" s="192" t="s">
        <v>90</v>
      </c>
      <c r="F53" s="192" t="s">
        <v>17</v>
      </c>
      <c r="G53" s="192"/>
      <c r="H53" s="192"/>
      <c r="I53" s="192"/>
      <c r="J53" s="192"/>
      <c r="K53" s="192"/>
      <c r="L53" s="192"/>
      <c r="M53" s="192"/>
      <c r="N53" s="192"/>
      <c r="O53" s="192"/>
      <c r="P53" s="196"/>
      <c r="Q53" s="195"/>
      <c r="R53" s="197"/>
      <c r="AA53" s="191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hidden="1" x14ac:dyDescent="0.25">
      <c r="A54" s="192" t="s">
        <v>1085</v>
      </c>
      <c r="B54" s="194" t="s">
        <v>31</v>
      </c>
      <c r="C54" s="147" t="s">
        <v>91</v>
      </c>
      <c r="D54" s="198">
        <v>0.75</v>
      </c>
      <c r="E54" s="198">
        <v>0.15</v>
      </c>
      <c r="F54" s="198">
        <v>0.1</v>
      </c>
      <c r="G54" s="198"/>
      <c r="H54" s="198"/>
      <c r="I54" s="198"/>
      <c r="J54" s="149"/>
      <c r="K54" s="149"/>
      <c r="L54" s="149"/>
      <c r="M54" s="149" t="s">
        <v>639</v>
      </c>
      <c r="N54" s="149" t="s">
        <v>639</v>
      </c>
      <c r="O54" s="149" t="s">
        <v>35</v>
      </c>
      <c r="P54" s="196">
        <f>SUM(D54:K54)</f>
        <v>1</v>
      </c>
      <c r="Q54" s="153"/>
      <c r="R54" s="197"/>
      <c r="S54" s="189" t="s">
        <v>826</v>
      </c>
      <c r="T54" s="190" t="s">
        <v>634</v>
      </c>
      <c r="U54" s="190" t="s">
        <v>634</v>
      </c>
      <c r="V54" s="190" t="s">
        <v>827</v>
      </c>
      <c r="W54" s="190" t="s">
        <v>828</v>
      </c>
      <c r="AA54" s="191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hidden="1" x14ac:dyDescent="0.25">
      <c r="A55" s="192"/>
      <c r="B55" s="194"/>
      <c r="C55" s="147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96"/>
      <c r="Q55" s="153"/>
      <c r="R55" s="197"/>
      <c r="AA55" s="191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hidden="1" x14ac:dyDescent="0.25">
      <c r="A56" s="192"/>
      <c r="B56" s="194" t="s">
        <v>31</v>
      </c>
      <c r="C56" s="195" t="s">
        <v>92</v>
      </c>
      <c r="D56" s="192" t="s">
        <v>75</v>
      </c>
      <c r="E56" s="192" t="s">
        <v>15</v>
      </c>
      <c r="F56" s="192" t="s">
        <v>77</v>
      </c>
      <c r="G56" s="192" t="s">
        <v>17</v>
      </c>
      <c r="H56" s="192"/>
      <c r="I56" s="192"/>
      <c r="J56" s="192"/>
      <c r="K56" s="192"/>
      <c r="L56" s="192"/>
      <c r="M56" s="192"/>
      <c r="N56" s="192"/>
      <c r="O56" s="192"/>
      <c r="P56" s="196"/>
      <c r="Q56" s="195"/>
      <c r="R56" s="197"/>
      <c r="AA56" s="191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hidden="1" x14ac:dyDescent="0.25">
      <c r="A57" s="192" t="s">
        <v>1086</v>
      </c>
      <c r="B57" s="194" t="s">
        <v>31</v>
      </c>
      <c r="C57" s="147" t="s">
        <v>93</v>
      </c>
      <c r="D57" s="198">
        <v>0.5</v>
      </c>
      <c r="E57" s="198">
        <v>0.25</v>
      </c>
      <c r="F57" s="198">
        <v>0.15</v>
      </c>
      <c r="G57" s="198">
        <v>0.1</v>
      </c>
      <c r="H57" s="198"/>
      <c r="I57" s="149"/>
      <c r="J57" s="149"/>
      <c r="K57" s="149"/>
      <c r="L57" s="149"/>
      <c r="M57" s="149" t="s">
        <v>640</v>
      </c>
      <c r="N57" s="149" t="s">
        <v>641</v>
      </c>
      <c r="O57" s="149" t="s">
        <v>35</v>
      </c>
      <c r="P57" s="196">
        <f>SUM(D57:K57)</f>
        <v>1</v>
      </c>
      <c r="Q57" s="153"/>
      <c r="R57" s="197"/>
      <c r="S57" s="209"/>
      <c r="T57" s="189" t="s">
        <v>649</v>
      </c>
      <c r="U57" s="190" t="s">
        <v>634</v>
      </c>
      <c r="V57" s="210"/>
      <c r="W57" s="210"/>
      <c r="AA57" s="191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hidden="1" x14ac:dyDescent="0.25">
      <c r="A58" s="192" t="s">
        <v>1087</v>
      </c>
      <c r="B58" s="194" t="s">
        <v>31</v>
      </c>
      <c r="C58" s="147" t="s">
        <v>94</v>
      </c>
      <c r="D58" s="198">
        <v>0.9</v>
      </c>
      <c r="E58" s="198"/>
      <c r="F58" s="198"/>
      <c r="G58" s="198">
        <v>0.1</v>
      </c>
      <c r="H58" s="198"/>
      <c r="I58" s="149"/>
      <c r="J58" s="149"/>
      <c r="K58" s="149"/>
      <c r="L58" s="149"/>
      <c r="M58" s="149" t="s">
        <v>640</v>
      </c>
      <c r="N58" s="149" t="s">
        <v>641</v>
      </c>
      <c r="O58" s="149" t="s">
        <v>35</v>
      </c>
      <c r="P58" s="196">
        <f>SUM(D58:K58)</f>
        <v>1</v>
      </c>
      <c r="Q58" s="153"/>
      <c r="R58" s="197"/>
      <c r="S58" s="209"/>
      <c r="T58" s="189" t="s">
        <v>649</v>
      </c>
      <c r="U58" s="190" t="s">
        <v>634</v>
      </c>
      <c r="V58" s="210"/>
      <c r="W58" s="210"/>
      <c r="AA58" s="191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hidden="1" x14ac:dyDescent="0.25">
      <c r="A59" s="192" t="s">
        <v>1088</v>
      </c>
      <c r="B59" s="194" t="s">
        <v>31</v>
      </c>
      <c r="C59" s="147" t="s">
        <v>95</v>
      </c>
      <c r="D59" s="198">
        <v>0.9</v>
      </c>
      <c r="E59" s="198"/>
      <c r="F59" s="198"/>
      <c r="G59" s="198">
        <v>0.1</v>
      </c>
      <c r="H59" s="198"/>
      <c r="I59" s="149"/>
      <c r="J59" s="149"/>
      <c r="K59" s="149"/>
      <c r="L59" s="149"/>
      <c r="M59" s="149" t="s">
        <v>640</v>
      </c>
      <c r="N59" s="149" t="s">
        <v>641</v>
      </c>
      <c r="O59" s="149" t="s">
        <v>35</v>
      </c>
      <c r="P59" s="196">
        <f>SUM(D59:K59)</f>
        <v>1</v>
      </c>
      <c r="Q59" s="199"/>
      <c r="R59" s="218"/>
      <c r="S59" s="209"/>
      <c r="V59" s="210"/>
      <c r="W59" s="210"/>
      <c r="AA59" s="191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hidden="1" x14ac:dyDescent="0.25">
      <c r="A60" s="192"/>
      <c r="B60" s="194"/>
      <c r="C60" s="156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96"/>
      <c r="Q60" s="153"/>
      <c r="R60" s="197"/>
      <c r="AA60" s="191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ht="45" hidden="1" x14ac:dyDescent="0.25">
      <c r="A61" s="192"/>
      <c r="B61" s="194" t="s">
        <v>31</v>
      </c>
      <c r="C61" s="195" t="s">
        <v>96</v>
      </c>
      <c r="D61" s="192" t="s">
        <v>97</v>
      </c>
      <c r="E61" s="192" t="s">
        <v>98</v>
      </c>
      <c r="F61" s="192" t="s">
        <v>99</v>
      </c>
      <c r="G61" s="192" t="s">
        <v>17</v>
      </c>
      <c r="H61" s="192"/>
      <c r="I61" s="206"/>
      <c r="J61" s="206"/>
      <c r="K61" s="206"/>
      <c r="L61" s="206"/>
      <c r="M61" s="206"/>
      <c r="N61" s="206"/>
      <c r="O61" s="206"/>
      <c r="P61" s="196"/>
      <c r="Q61" s="207"/>
      <c r="R61" s="197"/>
      <c r="AA61" s="19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hidden="1" x14ac:dyDescent="0.25">
      <c r="A62" s="192" t="s">
        <v>1089</v>
      </c>
      <c r="B62" s="194" t="s">
        <v>31</v>
      </c>
      <c r="C62" s="147" t="s">
        <v>100</v>
      </c>
      <c r="D62" s="198">
        <v>0.15</v>
      </c>
      <c r="E62" s="198">
        <v>0.45</v>
      </c>
      <c r="F62" s="198">
        <v>0.3</v>
      </c>
      <c r="G62" s="198">
        <v>0.1</v>
      </c>
      <c r="H62" s="198"/>
      <c r="I62" s="198"/>
      <c r="J62" s="149"/>
      <c r="K62" s="149"/>
      <c r="L62" s="149"/>
      <c r="M62" s="149" t="s">
        <v>644</v>
      </c>
      <c r="N62" s="149" t="s">
        <v>645</v>
      </c>
      <c r="O62" s="149" t="s">
        <v>35</v>
      </c>
      <c r="P62" s="196">
        <f>SUM(D62:K62)</f>
        <v>0.99999999999999989</v>
      </c>
      <c r="Q62" s="153"/>
      <c r="R62" s="197" t="s">
        <v>650</v>
      </c>
      <c r="S62" s="189" t="s">
        <v>829</v>
      </c>
      <c r="T62" s="237" t="s">
        <v>649</v>
      </c>
      <c r="U62" s="190" t="s">
        <v>634</v>
      </c>
      <c r="W62" s="213" t="s">
        <v>830</v>
      </c>
      <c r="X62" s="146" t="s">
        <v>646</v>
      </c>
      <c r="AA62" s="191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hidden="1" x14ac:dyDescent="0.25">
      <c r="A63" s="192" t="s">
        <v>1090</v>
      </c>
      <c r="B63" s="194" t="s">
        <v>31</v>
      </c>
      <c r="C63" s="147" t="s">
        <v>101</v>
      </c>
      <c r="D63" s="198">
        <v>0.15</v>
      </c>
      <c r="E63" s="198">
        <v>0.3</v>
      </c>
      <c r="F63" s="198">
        <v>0.45</v>
      </c>
      <c r="G63" s="198">
        <v>0.1</v>
      </c>
      <c r="H63" s="198"/>
      <c r="I63" s="198"/>
      <c r="J63" s="149"/>
      <c r="K63" s="149"/>
      <c r="L63" s="149"/>
      <c r="M63" s="149" t="s">
        <v>644</v>
      </c>
      <c r="N63" s="149" t="s">
        <v>645</v>
      </c>
      <c r="O63" s="149" t="s">
        <v>35</v>
      </c>
      <c r="P63" s="196">
        <f>SUM(D63:K63)</f>
        <v>0.99999999999999989</v>
      </c>
      <c r="Q63" s="153"/>
      <c r="R63" s="197" t="s">
        <v>650</v>
      </c>
      <c r="S63" s="189" t="s">
        <v>829</v>
      </c>
      <c r="T63" s="237" t="s">
        <v>649</v>
      </c>
      <c r="U63" s="190" t="s">
        <v>634</v>
      </c>
      <c r="W63" s="213" t="s">
        <v>830</v>
      </c>
      <c r="X63" s="146" t="s">
        <v>646</v>
      </c>
      <c r="AA63" s="191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hidden="1" x14ac:dyDescent="0.25">
      <c r="A64" s="192"/>
      <c r="B64" s="194"/>
      <c r="C64" s="147"/>
      <c r="D64" s="198"/>
      <c r="E64" s="198"/>
      <c r="F64" s="198"/>
      <c r="G64" s="198"/>
      <c r="H64" s="198"/>
      <c r="I64" s="198"/>
      <c r="J64" s="149"/>
      <c r="K64" s="149"/>
      <c r="L64" s="149"/>
      <c r="M64" s="149"/>
      <c r="N64" s="149"/>
      <c r="O64" s="149"/>
      <c r="P64" s="196"/>
      <c r="Q64" s="153"/>
      <c r="R64" s="197"/>
      <c r="T64" s="237"/>
      <c r="W64" s="213"/>
      <c r="AA64" s="191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ht="30" hidden="1" x14ac:dyDescent="0.25">
      <c r="A65" s="192"/>
      <c r="B65" s="194" t="s">
        <v>31</v>
      </c>
      <c r="C65" s="202" t="s">
        <v>102</v>
      </c>
      <c r="D65" s="235" t="s">
        <v>103</v>
      </c>
      <c r="E65" s="235" t="s">
        <v>104</v>
      </c>
      <c r="F65" s="235" t="s">
        <v>55</v>
      </c>
      <c r="G65" s="235" t="s">
        <v>105</v>
      </c>
      <c r="H65" s="235" t="s">
        <v>17</v>
      </c>
      <c r="I65" s="235"/>
      <c r="J65" s="206"/>
      <c r="K65" s="206"/>
      <c r="L65" s="206"/>
      <c r="M65" s="206"/>
      <c r="N65" s="206"/>
      <c r="O65" s="206"/>
      <c r="P65" s="196"/>
      <c r="Q65" s="207"/>
      <c r="R65" s="197"/>
      <c r="T65" s="237"/>
      <c r="W65" s="213"/>
      <c r="AA65" s="191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hidden="1" x14ac:dyDescent="0.25">
      <c r="A66" s="192" t="s">
        <v>1091</v>
      </c>
      <c r="B66" s="194" t="s">
        <v>31</v>
      </c>
      <c r="C66" s="147" t="s">
        <v>106</v>
      </c>
      <c r="D66" s="198">
        <v>0.1</v>
      </c>
      <c r="E66" s="198">
        <v>0.3</v>
      </c>
      <c r="F66" s="198">
        <v>0.4</v>
      </c>
      <c r="G66" s="198">
        <v>0.1</v>
      </c>
      <c r="H66" s="198">
        <v>0.1</v>
      </c>
      <c r="I66" s="198"/>
      <c r="J66" s="149"/>
      <c r="K66" s="149"/>
      <c r="L66" s="149"/>
      <c r="M66" s="149" t="s">
        <v>640</v>
      </c>
      <c r="N66" s="149" t="s">
        <v>641</v>
      </c>
      <c r="O66" s="149" t="s">
        <v>35</v>
      </c>
      <c r="P66" s="196">
        <f>SUM(D66:K66)</f>
        <v>1</v>
      </c>
      <c r="Q66" s="153"/>
      <c r="R66" s="197"/>
      <c r="T66" s="237"/>
      <c r="W66" s="213"/>
      <c r="AA66" s="191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hidden="1" x14ac:dyDescent="0.25">
      <c r="A67" s="192"/>
      <c r="B67" s="194"/>
      <c r="C67" s="147"/>
      <c r="D67" s="198"/>
      <c r="E67" s="198"/>
      <c r="F67" s="198"/>
      <c r="G67" s="198"/>
      <c r="H67" s="198"/>
      <c r="I67" s="198"/>
      <c r="J67" s="149"/>
      <c r="K67" s="149"/>
      <c r="L67" s="149"/>
      <c r="M67" s="149"/>
      <c r="N67" s="149"/>
      <c r="O67" s="149"/>
      <c r="P67" s="196"/>
      <c r="Q67" s="153"/>
      <c r="R67" s="197"/>
      <c r="T67" s="237"/>
      <c r="W67" s="213"/>
      <c r="AA67" s="191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ht="30" hidden="1" x14ac:dyDescent="0.25">
      <c r="A68" s="192"/>
      <c r="B68" s="194" t="s">
        <v>31</v>
      </c>
      <c r="C68" s="202" t="s">
        <v>107</v>
      </c>
      <c r="D68" s="235" t="s">
        <v>103</v>
      </c>
      <c r="E68" s="235" t="s">
        <v>104</v>
      </c>
      <c r="F68" s="235" t="s">
        <v>55</v>
      </c>
      <c r="G68" s="235" t="s">
        <v>108</v>
      </c>
      <c r="H68" s="235"/>
      <c r="I68" s="235"/>
      <c r="J68" s="206"/>
      <c r="K68" s="206"/>
      <c r="L68" s="206"/>
      <c r="M68" s="206"/>
      <c r="N68" s="206"/>
      <c r="O68" s="206"/>
      <c r="P68" s="196"/>
      <c r="Q68" s="207"/>
      <c r="R68" s="197"/>
      <c r="T68" s="237"/>
      <c r="W68" s="213"/>
      <c r="AA68" s="191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hidden="1" x14ac:dyDescent="0.25">
      <c r="A69" s="192" t="s">
        <v>1092</v>
      </c>
      <c r="B69" s="194" t="s">
        <v>31</v>
      </c>
      <c r="C69" s="147" t="s">
        <v>107</v>
      </c>
      <c r="D69" s="198">
        <v>0.1</v>
      </c>
      <c r="E69" s="198">
        <v>0.4</v>
      </c>
      <c r="F69" s="198">
        <v>0.4</v>
      </c>
      <c r="G69" s="198">
        <v>0.1</v>
      </c>
      <c r="H69" s="198"/>
      <c r="I69" s="198"/>
      <c r="J69" s="149"/>
      <c r="K69" s="149"/>
      <c r="L69" s="149"/>
      <c r="M69" s="149" t="s">
        <v>640</v>
      </c>
      <c r="N69" s="149" t="s">
        <v>641</v>
      </c>
      <c r="O69" s="149" t="s">
        <v>35</v>
      </c>
      <c r="P69" s="196">
        <f>SUM(D69:K69)</f>
        <v>1</v>
      </c>
      <c r="Q69" s="153"/>
      <c r="R69" s="197"/>
      <c r="T69" s="237"/>
      <c r="W69" s="213"/>
      <c r="AA69" s="191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hidden="1" x14ac:dyDescent="0.25">
      <c r="A70" s="192"/>
      <c r="B70" s="194"/>
      <c r="C70" s="147"/>
      <c r="D70" s="198"/>
      <c r="E70" s="198"/>
      <c r="F70" s="198"/>
      <c r="G70" s="198"/>
      <c r="H70" s="198"/>
      <c r="I70" s="198"/>
      <c r="J70" s="149"/>
      <c r="K70" s="149"/>
      <c r="L70" s="149"/>
      <c r="M70" s="149"/>
      <c r="N70" s="149"/>
      <c r="O70" s="149"/>
      <c r="P70" s="196"/>
      <c r="Q70" s="153"/>
      <c r="R70" s="197"/>
      <c r="T70" s="237"/>
      <c r="W70" s="213"/>
      <c r="AA70" s="191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hidden="1" x14ac:dyDescent="0.25">
      <c r="A71" s="192"/>
      <c r="B71" s="194" t="s">
        <v>31</v>
      </c>
      <c r="C71" s="202" t="s">
        <v>109</v>
      </c>
      <c r="D71" s="235" t="s">
        <v>103</v>
      </c>
      <c r="E71" s="235" t="s">
        <v>55</v>
      </c>
      <c r="F71" s="235" t="s">
        <v>17</v>
      </c>
      <c r="G71" s="235"/>
      <c r="H71" s="235"/>
      <c r="I71" s="235"/>
      <c r="J71" s="206"/>
      <c r="K71" s="206"/>
      <c r="L71" s="206"/>
      <c r="M71" s="206"/>
      <c r="N71" s="206"/>
      <c r="O71" s="206"/>
      <c r="P71" s="196"/>
      <c r="Q71" s="207"/>
      <c r="R71" s="197"/>
      <c r="T71" s="237"/>
      <c r="W71" s="213"/>
      <c r="AA71" s="19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hidden="1" x14ac:dyDescent="0.25">
      <c r="A72" s="192" t="s">
        <v>1093</v>
      </c>
      <c r="B72" s="194" t="s">
        <v>31</v>
      </c>
      <c r="C72" s="147" t="s">
        <v>109</v>
      </c>
      <c r="D72" s="198">
        <v>0.1</v>
      </c>
      <c r="E72" s="198">
        <v>0.8</v>
      </c>
      <c r="F72" s="198">
        <v>0.1</v>
      </c>
      <c r="G72" s="198"/>
      <c r="H72" s="198"/>
      <c r="I72" s="198"/>
      <c r="J72" s="149"/>
      <c r="K72" s="149"/>
      <c r="L72" s="149"/>
      <c r="M72" s="149" t="s">
        <v>639</v>
      </c>
      <c r="N72" s="149" t="s">
        <v>639</v>
      </c>
      <c r="O72" s="149" t="s">
        <v>35</v>
      </c>
      <c r="P72" s="196">
        <f>SUM(D72:K72)</f>
        <v>1</v>
      </c>
      <c r="Q72" s="153"/>
      <c r="R72" s="197"/>
      <c r="T72" s="237"/>
      <c r="W72" s="213"/>
      <c r="AA72" s="191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hidden="1" x14ac:dyDescent="0.25">
      <c r="A73" s="192"/>
      <c r="B73" s="194"/>
      <c r="C73" s="147"/>
      <c r="D73" s="198"/>
      <c r="E73" s="198"/>
      <c r="F73" s="198"/>
      <c r="G73" s="198"/>
      <c r="H73" s="198"/>
      <c r="I73" s="198"/>
      <c r="J73" s="149"/>
      <c r="K73" s="149"/>
      <c r="L73" s="149"/>
      <c r="M73" s="149"/>
      <c r="N73" s="149"/>
      <c r="O73" s="149"/>
      <c r="P73" s="196"/>
      <c r="Q73" s="153"/>
      <c r="R73" s="197"/>
      <c r="T73" s="237"/>
      <c r="W73" s="213"/>
      <c r="AA73" s="191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hidden="1" x14ac:dyDescent="0.25">
      <c r="A74" s="192"/>
      <c r="B74" s="194" t="s">
        <v>31</v>
      </c>
      <c r="C74" s="202" t="s">
        <v>110</v>
      </c>
      <c r="D74" s="235" t="s">
        <v>103</v>
      </c>
      <c r="E74" s="235" t="s">
        <v>48</v>
      </c>
      <c r="F74" s="235" t="s">
        <v>17</v>
      </c>
      <c r="G74" s="235"/>
      <c r="H74" s="235"/>
      <c r="I74" s="235"/>
      <c r="J74" s="206"/>
      <c r="K74" s="206"/>
      <c r="L74" s="206"/>
      <c r="M74" s="206"/>
      <c r="N74" s="206"/>
      <c r="O74" s="206"/>
      <c r="P74" s="196"/>
      <c r="Q74" s="207"/>
      <c r="R74" s="197"/>
      <c r="T74" s="237"/>
      <c r="W74" s="213"/>
      <c r="AA74" s="191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hidden="1" x14ac:dyDescent="0.25">
      <c r="A75" s="192" t="s">
        <v>1094</v>
      </c>
      <c r="B75" s="194" t="s">
        <v>31</v>
      </c>
      <c r="C75" s="147" t="s">
        <v>111</v>
      </c>
      <c r="D75" s="198">
        <v>0.1</v>
      </c>
      <c r="E75" s="198">
        <v>0.8</v>
      </c>
      <c r="F75" s="198">
        <v>0.1</v>
      </c>
      <c r="G75" s="198"/>
      <c r="H75" s="198"/>
      <c r="I75" s="198"/>
      <c r="J75" s="149"/>
      <c r="K75" s="149"/>
      <c r="L75" s="149"/>
      <c r="M75" s="149" t="s">
        <v>635</v>
      </c>
      <c r="N75" s="149" t="s">
        <v>636</v>
      </c>
      <c r="O75" s="149" t="s">
        <v>35</v>
      </c>
      <c r="P75" s="196">
        <f>SUM(D75:K75)</f>
        <v>1</v>
      </c>
      <c r="Q75" s="153"/>
      <c r="R75" s="152"/>
      <c r="AA75" s="191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hidden="1" x14ac:dyDescent="0.25">
      <c r="A76" s="192"/>
      <c r="B76" s="194"/>
      <c r="C76" s="147"/>
      <c r="D76" s="198"/>
      <c r="E76" s="198"/>
      <c r="F76" s="198"/>
      <c r="G76" s="198"/>
      <c r="H76" s="198"/>
      <c r="I76" s="198"/>
      <c r="J76" s="149"/>
      <c r="K76" s="149"/>
      <c r="L76" s="149"/>
      <c r="M76" s="149"/>
      <c r="N76" s="149"/>
      <c r="O76" s="149"/>
      <c r="P76" s="196"/>
      <c r="Q76" s="153"/>
      <c r="R76" s="152"/>
      <c r="AA76" s="191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hidden="1" x14ac:dyDescent="0.25">
      <c r="A77" s="192" t="s">
        <v>1095</v>
      </c>
      <c r="B77" s="194" t="s">
        <v>31</v>
      </c>
      <c r="C77" s="238" t="s">
        <v>112</v>
      </c>
      <c r="D77" s="239" t="s">
        <v>103</v>
      </c>
      <c r="E77" s="239" t="s">
        <v>55</v>
      </c>
      <c r="F77" s="239" t="s">
        <v>17</v>
      </c>
      <c r="G77" s="206"/>
      <c r="H77" s="206"/>
      <c r="I77" s="206"/>
      <c r="J77" s="206"/>
      <c r="K77" s="206"/>
      <c r="L77" s="206"/>
      <c r="M77" s="206"/>
      <c r="N77" s="206"/>
      <c r="O77" s="206"/>
      <c r="Q77" s="207"/>
      <c r="R77" s="152"/>
      <c r="AA77" s="191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hidden="1" x14ac:dyDescent="0.25">
      <c r="A78" s="192"/>
      <c r="B78" s="194" t="s">
        <v>31</v>
      </c>
      <c r="C78" s="147" t="s">
        <v>112</v>
      </c>
      <c r="D78" s="198">
        <v>0.1</v>
      </c>
      <c r="E78" s="198">
        <v>0.8</v>
      </c>
      <c r="F78" s="198">
        <v>0.1</v>
      </c>
      <c r="G78" s="198"/>
      <c r="H78" s="198"/>
      <c r="I78" s="198"/>
      <c r="J78" s="149"/>
      <c r="K78" s="149"/>
      <c r="L78" s="149"/>
      <c r="M78" s="149"/>
      <c r="N78" s="149"/>
      <c r="O78" s="149" t="s">
        <v>35</v>
      </c>
      <c r="P78" s="196">
        <f>SUM(D78:K78)</f>
        <v>1</v>
      </c>
      <c r="Q78" s="153"/>
      <c r="R78" s="152"/>
      <c r="AA78" s="191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hidden="1" x14ac:dyDescent="0.25">
      <c r="A79" s="192"/>
      <c r="B79" s="194"/>
      <c r="C79" s="147"/>
      <c r="D79" s="198"/>
      <c r="E79" s="198"/>
      <c r="F79" s="198"/>
      <c r="G79" s="198"/>
      <c r="H79" s="198"/>
      <c r="I79" s="198"/>
      <c r="J79" s="149"/>
      <c r="K79" s="149"/>
      <c r="L79" s="149"/>
      <c r="M79" s="149"/>
      <c r="N79" s="149"/>
      <c r="O79" s="149"/>
      <c r="P79" s="196"/>
      <c r="Q79" s="153"/>
      <c r="R79" s="152"/>
      <c r="AA79" s="191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ht="30" hidden="1" x14ac:dyDescent="0.25">
      <c r="A80" s="185"/>
      <c r="B80" s="186" t="s">
        <v>113</v>
      </c>
      <c r="C80" s="187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Q80" s="185"/>
      <c r="R80" s="145" t="s">
        <v>651</v>
      </c>
      <c r="AA80" s="191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ht="75" hidden="1" x14ac:dyDescent="0.25">
      <c r="A81" s="240"/>
      <c r="B81" s="194" t="s">
        <v>113</v>
      </c>
      <c r="C81" s="241" t="s">
        <v>113</v>
      </c>
      <c r="D81" s="194" t="s">
        <v>22</v>
      </c>
      <c r="E81" s="194" t="s">
        <v>23</v>
      </c>
      <c r="F81" s="194" t="s">
        <v>24</v>
      </c>
      <c r="G81" s="194" t="s">
        <v>25</v>
      </c>
      <c r="H81" s="194" t="s">
        <v>26</v>
      </c>
      <c r="I81" s="240"/>
      <c r="J81" s="240"/>
      <c r="K81" s="240"/>
      <c r="L81" s="240"/>
      <c r="M81" s="240"/>
      <c r="N81" s="240"/>
      <c r="O81" s="240"/>
      <c r="P81" s="242"/>
      <c r="Q81" s="240"/>
      <c r="R81" s="243"/>
      <c r="AA81" s="19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ht="45" hidden="1" x14ac:dyDescent="0.25">
      <c r="A82" s="192" t="s">
        <v>1096</v>
      </c>
      <c r="B82" s="194" t="s">
        <v>113</v>
      </c>
      <c r="C82" s="156" t="s">
        <v>114</v>
      </c>
      <c r="D82" s="198">
        <v>0.2</v>
      </c>
      <c r="E82" s="198"/>
      <c r="F82" s="198">
        <v>0.7</v>
      </c>
      <c r="G82" s="198">
        <v>0.05</v>
      </c>
      <c r="H82" s="198">
        <v>0.05</v>
      </c>
      <c r="I82" s="149"/>
      <c r="J82" s="149"/>
      <c r="K82" s="149"/>
      <c r="L82" s="149"/>
      <c r="M82" s="149" t="s">
        <v>635</v>
      </c>
      <c r="N82" s="149" t="s">
        <v>636</v>
      </c>
      <c r="O82" s="149" t="s">
        <v>35</v>
      </c>
      <c r="P82" s="196">
        <f t="shared" ref="P82:P97" si="0">SUM(D82:K82)</f>
        <v>1</v>
      </c>
      <c r="Q82" s="153"/>
      <c r="R82" s="211" t="s">
        <v>652</v>
      </c>
      <c r="S82" s="189" t="s">
        <v>831</v>
      </c>
      <c r="T82" s="190" t="s">
        <v>634</v>
      </c>
      <c r="U82" s="190" t="s">
        <v>634</v>
      </c>
      <c r="V82" s="190" t="s">
        <v>832</v>
      </c>
      <c r="W82" s="213" t="s">
        <v>833</v>
      </c>
      <c r="X82" s="146" t="s">
        <v>646</v>
      </c>
      <c r="AA82" s="191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hidden="1" x14ac:dyDescent="0.25">
      <c r="A83" s="192" t="s">
        <v>1097</v>
      </c>
      <c r="B83" s="194" t="s">
        <v>113</v>
      </c>
      <c r="C83" s="156" t="s">
        <v>115</v>
      </c>
      <c r="D83" s="198"/>
      <c r="E83" s="198"/>
      <c r="F83" s="198">
        <v>1</v>
      </c>
      <c r="G83" s="198"/>
      <c r="H83" s="198"/>
      <c r="I83" s="149"/>
      <c r="J83" s="149"/>
      <c r="K83" s="149"/>
      <c r="L83" s="149"/>
      <c r="M83" s="149" t="s">
        <v>635</v>
      </c>
      <c r="N83" s="149" t="s">
        <v>636</v>
      </c>
      <c r="O83" s="149" t="s">
        <v>35</v>
      </c>
      <c r="P83" s="196">
        <f t="shared" si="0"/>
        <v>1</v>
      </c>
      <c r="Q83" s="153"/>
      <c r="R83" s="197"/>
      <c r="S83" s="189" t="s">
        <v>831</v>
      </c>
      <c r="T83" s="190" t="s">
        <v>634</v>
      </c>
      <c r="U83" s="190" t="s">
        <v>634</v>
      </c>
      <c r="V83" s="190" t="s">
        <v>832</v>
      </c>
      <c r="W83" s="213" t="s">
        <v>833</v>
      </c>
      <c r="X83" s="146" t="s">
        <v>646</v>
      </c>
      <c r="AA83" s="191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hidden="1" x14ac:dyDescent="0.25">
      <c r="A84" s="192" t="s">
        <v>1098</v>
      </c>
      <c r="B84" s="194" t="s">
        <v>113</v>
      </c>
      <c r="C84" s="156" t="s">
        <v>116</v>
      </c>
      <c r="D84" s="198">
        <v>0.25</v>
      </c>
      <c r="E84" s="198">
        <v>0.4</v>
      </c>
      <c r="F84" s="198">
        <v>0.3</v>
      </c>
      <c r="G84" s="198"/>
      <c r="H84" s="198">
        <v>0.05</v>
      </c>
      <c r="I84" s="149"/>
      <c r="J84" s="149"/>
      <c r="K84" s="149"/>
      <c r="L84" s="149"/>
      <c r="M84" s="149" t="s">
        <v>639</v>
      </c>
      <c r="N84" s="149" t="s">
        <v>639</v>
      </c>
      <c r="O84" s="149" t="s">
        <v>35</v>
      </c>
      <c r="P84" s="196">
        <f t="shared" si="0"/>
        <v>1</v>
      </c>
      <c r="Q84" s="153"/>
      <c r="R84" s="197"/>
      <c r="S84" s="189" t="s">
        <v>834</v>
      </c>
      <c r="T84" s="190" t="s">
        <v>634</v>
      </c>
      <c r="U84" s="190" t="s">
        <v>634</v>
      </c>
      <c r="V84" s="190" t="s">
        <v>835</v>
      </c>
      <c r="W84" s="190" t="s">
        <v>836</v>
      </c>
      <c r="X84" s="146" t="s">
        <v>653</v>
      </c>
      <c r="AA84" s="191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ht="30" hidden="1" x14ac:dyDescent="0.25">
      <c r="A85" s="192" t="s">
        <v>1099</v>
      </c>
      <c r="B85" s="194" t="s">
        <v>113</v>
      </c>
      <c r="C85" s="156" t="s">
        <v>117</v>
      </c>
      <c r="D85" s="198">
        <v>0.2</v>
      </c>
      <c r="E85" s="198">
        <v>0.4</v>
      </c>
      <c r="F85" s="198">
        <v>0.3</v>
      </c>
      <c r="G85" s="198">
        <v>0.05</v>
      </c>
      <c r="H85" s="198">
        <v>0.05</v>
      </c>
      <c r="I85" s="149"/>
      <c r="J85" s="149"/>
      <c r="K85" s="149"/>
      <c r="L85" s="149"/>
      <c r="M85" s="149" t="s">
        <v>635</v>
      </c>
      <c r="N85" s="149" t="s">
        <v>636</v>
      </c>
      <c r="O85" s="149" t="s">
        <v>35</v>
      </c>
      <c r="P85" s="196">
        <f t="shared" si="0"/>
        <v>1.0000000000000002</v>
      </c>
      <c r="Q85" s="153"/>
      <c r="R85" s="211" t="s">
        <v>654</v>
      </c>
      <c r="S85" s="189" t="s">
        <v>837</v>
      </c>
      <c r="T85" s="190" t="s">
        <v>634</v>
      </c>
      <c r="U85" s="190" t="s">
        <v>634</v>
      </c>
      <c r="V85" s="190" t="s">
        <v>838</v>
      </c>
      <c r="W85" s="190" t="s">
        <v>839</v>
      </c>
      <c r="X85" s="146" t="s">
        <v>653</v>
      </c>
      <c r="AA85" s="191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hidden="1" x14ac:dyDescent="0.25">
      <c r="A86" s="192" t="s">
        <v>1100</v>
      </c>
      <c r="B86" s="194" t="s">
        <v>113</v>
      </c>
      <c r="C86" s="156" t="s">
        <v>118</v>
      </c>
      <c r="D86" s="198">
        <v>0.3</v>
      </c>
      <c r="E86" s="198">
        <v>0.3</v>
      </c>
      <c r="F86" s="198">
        <v>0.15</v>
      </c>
      <c r="G86" s="198">
        <v>0.2</v>
      </c>
      <c r="H86" s="198">
        <v>0.05</v>
      </c>
      <c r="I86" s="149"/>
      <c r="J86" s="149"/>
      <c r="K86" s="149"/>
      <c r="L86" s="149"/>
      <c r="M86" s="149" t="s">
        <v>644</v>
      </c>
      <c r="N86" s="149" t="s">
        <v>655</v>
      </c>
      <c r="O86" s="149" t="s">
        <v>35</v>
      </c>
      <c r="P86" s="196">
        <f t="shared" si="0"/>
        <v>1</v>
      </c>
      <c r="Q86" s="153"/>
      <c r="R86" s="211"/>
      <c r="AA86" s="191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hidden="1" x14ac:dyDescent="0.25">
      <c r="A87" s="192" t="s">
        <v>1101</v>
      </c>
      <c r="B87" s="194" t="s">
        <v>113</v>
      </c>
      <c r="C87" s="156" t="s">
        <v>119</v>
      </c>
      <c r="D87" s="198">
        <v>0.45</v>
      </c>
      <c r="E87" s="198">
        <v>0.3</v>
      </c>
      <c r="F87" s="198">
        <v>0.05</v>
      </c>
      <c r="G87" s="198">
        <v>0.15</v>
      </c>
      <c r="H87" s="198">
        <v>0.05</v>
      </c>
      <c r="I87" s="149"/>
      <c r="J87" s="149"/>
      <c r="K87" s="149"/>
      <c r="L87" s="149"/>
      <c r="M87" s="149" t="s">
        <v>635</v>
      </c>
      <c r="N87" s="149" t="s">
        <v>636</v>
      </c>
      <c r="O87" s="149" t="s">
        <v>35</v>
      </c>
      <c r="P87" s="196">
        <f t="shared" si="0"/>
        <v>1</v>
      </c>
      <c r="Q87" s="153"/>
      <c r="R87" s="197"/>
      <c r="S87" s="189" t="s">
        <v>840</v>
      </c>
      <c r="T87" s="190" t="s">
        <v>634</v>
      </c>
      <c r="U87" s="190" t="s">
        <v>634</v>
      </c>
      <c r="V87" s="190" t="s">
        <v>841</v>
      </c>
      <c r="W87" s="190" t="s">
        <v>842</v>
      </c>
      <c r="X87" s="146" t="s">
        <v>653</v>
      </c>
      <c r="AA87" s="191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hidden="1" x14ac:dyDescent="0.25">
      <c r="A88" s="192" t="s">
        <v>1102</v>
      </c>
      <c r="B88" s="194" t="s">
        <v>113</v>
      </c>
      <c r="C88" s="156" t="s">
        <v>21</v>
      </c>
      <c r="D88" s="198">
        <v>0.3</v>
      </c>
      <c r="E88" s="198">
        <v>0.3</v>
      </c>
      <c r="F88" s="198">
        <v>0.15</v>
      </c>
      <c r="G88" s="198">
        <v>0.2</v>
      </c>
      <c r="H88" s="198">
        <v>0.05</v>
      </c>
      <c r="I88" s="149"/>
      <c r="J88" s="149"/>
      <c r="K88" s="149"/>
      <c r="L88" s="149"/>
      <c r="M88" s="149" t="s">
        <v>635</v>
      </c>
      <c r="N88" s="149" t="s">
        <v>636</v>
      </c>
      <c r="O88" s="149" t="s">
        <v>35</v>
      </c>
      <c r="P88" s="196">
        <f t="shared" si="0"/>
        <v>1</v>
      </c>
      <c r="Q88" s="153"/>
      <c r="R88" s="197"/>
      <c r="S88" s="189" t="s">
        <v>837</v>
      </c>
      <c r="T88" s="190" t="s">
        <v>634</v>
      </c>
      <c r="U88" s="190" t="s">
        <v>634</v>
      </c>
      <c r="V88" s="190" t="s">
        <v>843</v>
      </c>
      <c r="W88" s="190" t="s">
        <v>844</v>
      </c>
      <c r="X88" s="146" t="s">
        <v>653</v>
      </c>
      <c r="AA88" s="191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hidden="1" x14ac:dyDescent="0.25">
      <c r="A89" s="192" t="s">
        <v>1103</v>
      </c>
      <c r="B89" s="194" t="s">
        <v>113</v>
      </c>
      <c r="C89" s="156" t="s">
        <v>120</v>
      </c>
      <c r="D89" s="198">
        <v>0.4</v>
      </c>
      <c r="E89" s="198">
        <v>0.25</v>
      </c>
      <c r="F89" s="198">
        <v>0.2</v>
      </c>
      <c r="G89" s="198">
        <v>0.1</v>
      </c>
      <c r="H89" s="198">
        <v>0.05</v>
      </c>
      <c r="I89" s="149"/>
      <c r="J89" s="149"/>
      <c r="K89" s="149"/>
      <c r="L89" s="149"/>
      <c r="M89" s="149" t="s">
        <v>635</v>
      </c>
      <c r="N89" s="149" t="s">
        <v>636</v>
      </c>
      <c r="O89" s="149" t="s">
        <v>35</v>
      </c>
      <c r="P89" s="196">
        <f t="shared" si="0"/>
        <v>1</v>
      </c>
      <c r="Q89" s="153"/>
      <c r="R89" s="197"/>
      <c r="S89" s="189" t="s">
        <v>840</v>
      </c>
      <c r="T89" s="190" t="s">
        <v>634</v>
      </c>
      <c r="U89" s="190" t="s">
        <v>634</v>
      </c>
      <c r="V89" s="190" t="s">
        <v>845</v>
      </c>
      <c r="W89" s="190" t="s">
        <v>846</v>
      </c>
      <c r="X89" s="146" t="s">
        <v>653</v>
      </c>
      <c r="AA89" s="191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ht="30" hidden="1" x14ac:dyDescent="0.25">
      <c r="A90" s="192" t="s">
        <v>1104</v>
      </c>
      <c r="B90" s="194" t="s">
        <v>113</v>
      </c>
      <c r="C90" s="156" t="s">
        <v>121</v>
      </c>
      <c r="D90" s="198">
        <v>0.45</v>
      </c>
      <c r="E90" s="198">
        <v>0.3</v>
      </c>
      <c r="F90" s="198">
        <v>0.05</v>
      </c>
      <c r="G90" s="198">
        <v>0.15</v>
      </c>
      <c r="H90" s="198">
        <v>0.05</v>
      </c>
      <c r="I90" s="149"/>
      <c r="J90" s="149"/>
      <c r="K90" s="149"/>
      <c r="L90" s="149"/>
      <c r="M90" s="149" t="s">
        <v>635</v>
      </c>
      <c r="N90" s="149" t="s">
        <v>636</v>
      </c>
      <c r="O90" s="149" t="s">
        <v>122</v>
      </c>
      <c r="P90" s="196">
        <f t="shared" si="0"/>
        <v>1</v>
      </c>
      <c r="Q90" s="153"/>
      <c r="R90" s="197"/>
      <c r="S90" s="189" t="s">
        <v>834</v>
      </c>
      <c r="T90" s="190" t="s">
        <v>634</v>
      </c>
      <c r="U90" s="190" t="s">
        <v>634</v>
      </c>
      <c r="V90" s="244" t="s">
        <v>656</v>
      </c>
      <c r="W90" s="244" t="s">
        <v>657</v>
      </c>
      <c r="X90" s="146" t="s">
        <v>653</v>
      </c>
      <c r="AA90" s="191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ht="30" hidden="1" x14ac:dyDescent="0.25">
      <c r="A91" s="192" t="s">
        <v>1105</v>
      </c>
      <c r="B91" s="194" t="s">
        <v>113</v>
      </c>
      <c r="C91" s="156" t="s">
        <v>123</v>
      </c>
      <c r="D91" s="198">
        <v>0.3</v>
      </c>
      <c r="E91" s="198">
        <v>0.45</v>
      </c>
      <c r="F91" s="198">
        <v>0.1</v>
      </c>
      <c r="G91" s="198">
        <v>0.1</v>
      </c>
      <c r="H91" s="198">
        <v>0.05</v>
      </c>
      <c r="I91" s="149"/>
      <c r="J91" s="149"/>
      <c r="K91" s="149"/>
      <c r="L91" s="149"/>
      <c r="M91" s="149" t="s">
        <v>635</v>
      </c>
      <c r="N91" s="149" t="s">
        <v>636</v>
      </c>
      <c r="O91" s="149" t="s">
        <v>35</v>
      </c>
      <c r="P91" s="196">
        <f t="shared" si="0"/>
        <v>1</v>
      </c>
      <c r="Q91" s="153"/>
      <c r="R91" s="197"/>
      <c r="S91" s="189" t="s">
        <v>847</v>
      </c>
      <c r="T91" s="190" t="s">
        <v>634</v>
      </c>
      <c r="U91" s="190" t="s">
        <v>634</v>
      </c>
      <c r="V91" s="244" t="s">
        <v>658</v>
      </c>
      <c r="W91" s="244" t="s">
        <v>659</v>
      </c>
      <c r="X91" s="146" t="s">
        <v>653</v>
      </c>
      <c r="AA91" s="1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hidden="1" x14ac:dyDescent="0.25">
      <c r="A92" s="192" t="s">
        <v>1106</v>
      </c>
      <c r="B92" s="194" t="s">
        <v>113</v>
      </c>
      <c r="C92" s="156" t="s">
        <v>124</v>
      </c>
      <c r="D92" s="198">
        <v>0.45</v>
      </c>
      <c r="E92" s="198">
        <v>0.35</v>
      </c>
      <c r="F92" s="198">
        <v>0.05</v>
      </c>
      <c r="G92" s="198">
        <v>0.1</v>
      </c>
      <c r="H92" s="198">
        <v>0.05</v>
      </c>
      <c r="I92" s="149"/>
      <c r="J92" s="149"/>
      <c r="K92" s="149"/>
      <c r="L92" s="149"/>
      <c r="M92" s="149" t="s">
        <v>635</v>
      </c>
      <c r="N92" s="149" t="s">
        <v>636</v>
      </c>
      <c r="O92" s="149" t="s">
        <v>35</v>
      </c>
      <c r="P92" s="196">
        <f t="shared" si="0"/>
        <v>1</v>
      </c>
      <c r="Q92" s="153"/>
      <c r="R92" s="197"/>
      <c r="S92" s="189" t="s">
        <v>834</v>
      </c>
      <c r="T92" s="190" t="s">
        <v>634</v>
      </c>
      <c r="U92" s="190" t="s">
        <v>634</v>
      </c>
      <c r="V92" s="190" t="s">
        <v>848</v>
      </c>
      <c r="W92" s="190" t="s">
        <v>849</v>
      </c>
      <c r="X92" s="146" t="s">
        <v>653</v>
      </c>
      <c r="AA92" s="191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hidden="1" x14ac:dyDescent="0.25">
      <c r="A93" s="192" t="s">
        <v>1107</v>
      </c>
      <c r="B93" s="194" t="s">
        <v>113</v>
      </c>
      <c r="C93" s="156" t="s">
        <v>125</v>
      </c>
      <c r="D93" s="198">
        <v>0.35</v>
      </c>
      <c r="E93" s="198">
        <v>0.4</v>
      </c>
      <c r="F93" s="198">
        <v>0.1</v>
      </c>
      <c r="G93" s="198">
        <v>0.1</v>
      </c>
      <c r="H93" s="198">
        <v>0.05</v>
      </c>
      <c r="I93" s="149"/>
      <c r="J93" s="149"/>
      <c r="K93" s="149"/>
      <c r="L93" s="149"/>
      <c r="M93" s="149" t="s">
        <v>635</v>
      </c>
      <c r="N93" s="149" t="s">
        <v>636</v>
      </c>
      <c r="O93" s="149" t="s">
        <v>35</v>
      </c>
      <c r="P93" s="196">
        <f t="shared" si="0"/>
        <v>1</v>
      </c>
      <c r="Q93" s="153"/>
      <c r="R93" s="197"/>
      <c r="S93" s="189" t="s">
        <v>847</v>
      </c>
      <c r="T93" s="190" t="s">
        <v>634</v>
      </c>
      <c r="U93" s="190" t="s">
        <v>634</v>
      </c>
      <c r="V93" s="190" t="s">
        <v>850</v>
      </c>
      <c r="W93" s="190" t="s">
        <v>851</v>
      </c>
      <c r="X93" s="146" t="s">
        <v>653</v>
      </c>
      <c r="AA93" s="191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ht="30" hidden="1" x14ac:dyDescent="0.25">
      <c r="A94" s="192" t="s">
        <v>1108</v>
      </c>
      <c r="B94" s="194" t="s">
        <v>113</v>
      </c>
      <c r="C94" s="156" t="s">
        <v>126</v>
      </c>
      <c r="D94" s="198">
        <v>0.35</v>
      </c>
      <c r="E94" s="198">
        <v>0.4</v>
      </c>
      <c r="F94" s="198">
        <v>0.1</v>
      </c>
      <c r="G94" s="198">
        <v>0.1</v>
      </c>
      <c r="H94" s="198">
        <v>0.05</v>
      </c>
      <c r="I94" s="149"/>
      <c r="J94" s="149"/>
      <c r="K94" s="149"/>
      <c r="L94" s="149"/>
      <c r="M94" s="149" t="s">
        <v>635</v>
      </c>
      <c r="N94" s="149" t="s">
        <v>636</v>
      </c>
      <c r="O94" s="149" t="s">
        <v>35</v>
      </c>
      <c r="P94" s="196">
        <f t="shared" si="0"/>
        <v>1</v>
      </c>
      <c r="Q94" s="153"/>
      <c r="R94" s="211" t="s">
        <v>660</v>
      </c>
      <c r="S94" s="189" t="s">
        <v>847</v>
      </c>
      <c r="T94" s="190" t="s">
        <v>634</v>
      </c>
      <c r="U94" s="190" t="s">
        <v>634</v>
      </c>
      <c r="V94" s="190" t="s">
        <v>852</v>
      </c>
      <c r="W94" s="190" t="s">
        <v>853</v>
      </c>
      <c r="X94" s="146" t="s">
        <v>653</v>
      </c>
      <c r="AA94" s="191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hidden="1" x14ac:dyDescent="0.25">
      <c r="A95" s="192" t="s">
        <v>1109</v>
      </c>
      <c r="B95" s="194" t="s">
        <v>113</v>
      </c>
      <c r="C95" s="156" t="s">
        <v>127</v>
      </c>
      <c r="D95" s="198">
        <v>0.3</v>
      </c>
      <c r="E95" s="198">
        <v>0.2</v>
      </c>
      <c r="F95" s="198">
        <v>0.35</v>
      </c>
      <c r="G95" s="198">
        <v>0.1</v>
      </c>
      <c r="H95" s="198">
        <v>0.05</v>
      </c>
      <c r="I95" s="149"/>
      <c r="J95" s="149"/>
      <c r="K95" s="149"/>
      <c r="L95" s="149"/>
      <c r="M95" s="149" t="s">
        <v>635</v>
      </c>
      <c r="N95" s="149" t="s">
        <v>636</v>
      </c>
      <c r="O95" s="149" t="s">
        <v>35</v>
      </c>
      <c r="P95" s="196">
        <f t="shared" si="0"/>
        <v>1</v>
      </c>
      <c r="Q95" s="153"/>
      <c r="R95" s="197" t="s">
        <v>650</v>
      </c>
      <c r="S95" s="189" t="s">
        <v>854</v>
      </c>
      <c r="T95" s="190" t="s">
        <v>634</v>
      </c>
      <c r="U95" s="190" t="s">
        <v>634</v>
      </c>
      <c r="V95" s="210"/>
      <c r="W95" s="210"/>
      <c r="X95" s="146" t="s">
        <v>653</v>
      </c>
      <c r="AA95" s="191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hidden="1" x14ac:dyDescent="0.25">
      <c r="A96" s="192" t="s">
        <v>1110</v>
      </c>
      <c r="B96" s="194" t="s">
        <v>113</v>
      </c>
      <c r="C96" s="156" t="s">
        <v>128</v>
      </c>
      <c r="D96" s="198">
        <v>0.25</v>
      </c>
      <c r="E96" s="198"/>
      <c r="F96" s="198">
        <v>0.5</v>
      </c>
      <c r="G96" s="198">
        <v>0.2</v>
      </c>
      <c r="H96" s="198">
        <v>0.05</v>
      </c>
      <c r="I96" s="149"/>
      <c r="J96" s="149"/>
      <c r="K96" s="149"/>
      <c r="L96" s="149"/>
      <c r="M96" s="149" t="s">
        <v>661</v>
      </c>
      <c r="N96" s="149" t="s">
        <v>636</v>
      </c>
      <c r="O96" s="149" t="s">
        <v>35</v>
      </c>
      <c r="P96" s="196">
        <f t="shared" si="0"/>
        <v>1</v>
      </c>
      <c r="Q96" s="153"/>
      <c r="R96" s="197"/>
      <c r="S96" s="245" t="s">
        <v>855</v>
      </c>
      <c r="T96" s="190" t="s">
        <v>634</v>
      </c>
      <c r="U96" s="190" t="s">
        <v>634</v>
      </c>
      <c r="V96" s="190" t="s">
        <v>662</v>
      </c>
      <c r="W96" s="190" t="s">
        <v>856</v>
      </c>
      <c r="X96" s="146" t="s">
        <v>663</v>
      </c>
      <c r="AA96" s="191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hidden="1" x14ac:dyDescent="0.25">
      <c r="A97" s="192" t="s">
        <v>1111</v>
      </c>
      <c r="B97" s="194" t="s">
        <v>113</v>
      </c>
      <c r="C97" s="156" t="s">
        <v>129</v>
      </c>
      <c r="D97" s="198">
        <v>0.2</v>
      </c>
      <c r="E97" s="198">
        <v>0.45</v>
      </c>
      <c r="F97" s="198">
        <v>0.2</v>
      </c>
      <c r="G97" s="198">
        <v>0.1</v>
      </c>
      <c r="H97" s="198">
        <v>0.05</v>
      </c>
      <c r="I97" s="149"/>
      <c r="J97" s="149"/>
      <c r="K97" s="149"/>
      <c r="L97" s="149"/>
      <c r="M97" s="149" t="s">
        <v>639</v>
      </c>
      <c r="N97" s="149" t="s">
        <v>639</v>
      </c>
      <c r="O97" s="149" t="s">
        <v>35</v>
      </c>
      <c r="P97" s="196">
        <f t="shared" si="0"/>
        <v>1</v>
      </c>
      <c r="Q97" s="153"/>
      <c r="R97" s="211"/>
      <c r="S97" s="189" t="s">
        <v>847</v>
      </c>
      <c r="T97" s="190" t="s">
        <v>634</v>
      </c>
      <c r="U97" s="190" t="s">
        <v>634</v>
      </c>
      <c r="V97" s="190" t="s">
        <v>850</v>
      </c>
      <c r="W97" s="190" t="s">
        <v>851</v>
      </c>
      <c r="AA97" s="191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hidden="1" x14ac:dyDescent="0.25">
      <c r="A98" s="192"/>
      <c r="B98" s="194"/>
      <c r="C98" s="246"/>
      <c r="D98" s="247"/>
      <c r="E98" s="247"/>
      <c r="F98" s="247"/>
      <c r="G98" s="247"/>
      <c r="H98" s="247"/>
      <c r="I98" s="149"/>
      <c r="J98" s="149"/>
      <c r="K98" s="149"/>
      <c r="L98" s="149"/>
      <c r="M98" s="149"/>
      <c r="N98" s="149"/>
      <c r="O98" s="149"/>
      <c r="P98" s="196"/>
      <c r="Q98" s="153"/>
      <c r="R98" s="211"/>
      <c r="AA98" s="191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ht="30" hidden="1" x14ac:dyDescent="0.25">
      <c r="A99" s="240"/>
      <c r="B99" s="194" t="s">
        <v>113</v>
      </c>
      <c r="C99" s="241" t="s">
        <v>130</v>
      </c>
      <c r="D99" s="194" t="s">
        <v>131</v>
      </c>
      <c r="E99" s="194" t="s">
        <v>55</v>
      </c>
      <c r="F99" s="194" t="s">
        <v>132</v>
      </c>
      <c r="G99" s="194" t="s">
        <v>17</v>
      </c>
      <c r="H99" s="194"/>
      <c r="I99" s="240"/>
      <c r="J99" s="240"/>
      <c r="K99" s="240"/>
      <c r="L99" s="240"/>
      <c r="M99" s="240"/>
      <c r="N99" s="240"/>
      <c r="O99" s="240"/>
      <c r="P99" s="242"/>
      <c r="Q99" s="240"/>
      <c r="R99" s="243"/>
      <c r="AA99" s="191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hidden="1" x14ac:dyDescent="0.25">
      <c r="A100" s="192" t="s">
        <v>1112</v>
      </c>
      <c r="B100" s="194" t="s">
        <v>113</v>
      </c>
      <c r="C100" s="156" t="s">
        <v>133</v>
      </c>
      <c r="D100" s="198">
        <v>0.1</v>
      </c>
      <c r="E100" s="198">
        <v>0.6</v>
      </c>
      <c r="F100" s="198">
        <v>0.25</v>
      </c>
      <c r="G100" s="198">
        <v>0.05</v>
      </c>
      <c r="H100" s="198"/>
      <c r="I100" s="149"/>
      <c r="J100" s="149"/>
      <c r="K100" s="149"/>
      <c r="L100" s="149"/>
      <c r="M100" s="149" t="s">
        <v>635</v>
      </c>
      <c r="N100" s="149" t="s">
        <v>636</v>
      </c>
      <c r="O100" s="149" t="s">
        <v>35</v>
      </c>
      <c r="P100" s="196">
        <f>SUM(D100:K100)</f>
        <v>1</v>
      </c>
      <c r="Q100" s="153"/>
      <c r="R100" s="211" t="s">
        <v>664</v>
      </c>
      <c r="AA100" s="191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hidden="1" x14ac:dyDescent="0.25">
      <c r="A101" s="192"/>
      <c r="B101" s="194"/>
      <c r="C101" s="246"/>
      <c r="D101" s="247"/>
      <c r="E101" s="247"/>
      <c r="F101" s="247"/>
      <c r="G101" s="247"/>
      <c r="H101" s="247"/>
      <c r="I101" s="149"/>
      <c r="J101" s="149"/>
      <c r="K101" s="149"/>
      <c r="L101" s="149"/>
      <c r="M101" s="149"/>
      <c r="N101" s="149"/>
      <c r="O101" s="149"/>
      <c r="P101" s="196"/>
      <c r="Q101" s="153"/>
      <c r="R101" s="211"/>
      <c r="AA101" s="19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ht="30" hidden="1" x14ac:dyDescent="0.25">
      <c r="A102" s="240"/>
      <c r="B102" s="194" t="s">
        <v>113</v>
      </c>
      <c r="C102" s="241" t="s">
        <v>134</v>
      </c>
      <c r="D102" s="194" t="s">
        <v>131</v>
      </c>
      <c r="E102" s="194" t="s">
        <v>135</v>
      </c>
      <c r="F102" s="194" t="s">
        <v>136</v>
      </c>
      <c r="G102" s="194" t="s">
        <v>17</v>
      </c>
      <c r="H102" s="194"/>
      <c r="I102" s="240"/>
      <c r="J102" s="240"/>
      <c r="K102" s="240"/>
      <c r="L102" s="240"/>
      <c r="M102" s="240"/>
      <c r="N102" s="240"/>
      <c r="O102" s="240"/>
      <c r="P102" s="242"/>
      <c r="Q102" s="240"/>
      <c r="R102" s="243"/>
      <c r="AA102" s="191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hidden="1" x14ac:dyDescent="0.25">
      <c r="A103" s="192" t="s">
        <v>1113</v>
      </c>
      <c r="B103" s="194" t="s">
        <v>113</v>
      </c>
      <c r="C103" s="248" t="s">
        <v>137</v>
      </c>
      <c r="D103" s="148">
        <v>0.1</v>
      </c>
      <c r="E103" s="148">
        <v>0.6</v>
      </c>
      <c r="F103" s="148">
        <v>0.25</v>
      </c>
      <c r="G103" s="148">
        <v>0.05</v>
      </c>
      <c r="H103" s="149"/>
      <c r="I103" s="149"/>
      <c r="J103" s="149"/>
      <c r="K103" s="149"/>
      <c r="L103" s="149"/>
      <c r="M103" s="149" t="s">
        <v>635</v>
      </c>
      <c r="N103" s="149" t="s">
        <v>636</v>
      </c>
      <c r="O103" s="149" t="s">
        <v>35</v>
      </c>
      <c r="P103" s="196">
        <f>SUM(D103:K103)</f>
        <v>1</v>
      </c>
      <c r="Q103" s="153"/>
      <c r="R103" s="152"/>
      <c r="AA103" s="191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hidden="1" x14ac:dyDescent="0.25">
      <c r="A104" s="192" t="s">
        <v>1114</v>
      </c>
      <c r="B104" s="194" t="s">
        <v>113</v>
      </c>
      <c r="C104" s="248" t="s">
        <v>138</v>
      </c>
      <c r="D104" s="148">
        <v>0.1</v>
      </c>
      <c r="E104" s="148">
        <v>0.4</v>
      </c>
      <c r="F104" s="148">
        <v>0.45</v>
      </c>
      <c r="G104" s="148">
        <v>0.05</v>
      </c>
      <c r="H104" s="149"/>
      <c r="I104" s="149"/>
      <c r="J104" s="149"/>
      <c r="K104" s="149"/>
      <c r="L104" s="149"/>
      <c r="M104" s="149" t="s">
        <v>635</v>
      </c>
      <c r="N104" s="149" t="s">
        <v>636</v>
      </c>
      <c r="O104" s="149" t="s">
        <v>35</v>
      </c>
      <c r="P104" s="196">
        <f>SUM(D104:K104)</f>
        <v>1</v>
      </c>
      <c r="Q104" s="153"/>
      <c r="R104" s="152"/>
      <c r="AA104" s="191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hidden="1" x14ac:dyDescent="0.25">
      <c r="A105" s="192"/>
      <c r="B105" s="194"/>
      <c r="C105" s="248"/>
      <c r="D105" s="148"/>
      <c r="E105" s="148"/>
      <c r="F105" s="148"/>
      <c r="G105" s="148"/>
      <c r="H105" s="149"/>
      <c r="I105" s="149"/>
      <c r="J105" s="149"/>
      <c r="K105" s="149"/>
      <c r="L105" s="149"/>
      <c r="M105" s="149"/>
      <c r="N105" s="149"/>
      <c r="O105" s="149"/>
      <c r="P105" s="196"/>
      <c r="Q105" s="153"/>
      <c r="R105" s="152"/>
      <c r="AA105" s="191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x14ac:dyDescent="0.25">
      <c r="A106" s="185"/>
      <c r="B106" s="186" t="s">
        <v>139</v>
      </c>
      <c r="C106" s="187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Q106" s="185"/>
      <c r="R106" s="152"/>
      <c r="AA106" s="191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ht="45" x14ac:dyDescent="0.25">
      <c r="A107" s="240"/>
      <c r="B107" s="194" t="s">
        <v>139</v>
      </c>
      <c r="C107" s="241" t="s">
        <v>139</v>
      </c>
      <c r="D107" s="194" t="s">
        <v>140</v>
      </c>
      <c r="E107" s="194" t="s">
        <v>135</v>
      </c>
      <c r="F107" s="194" t="s">
        <v>141</v>
      </c>
      <c r="G107" s="194" t="s">
        <v>17</v>
      </c>
      <c r="H107" s="240"/>
      <c r="I107" s="240"/>
      <c r="J107" s="240"/>
      <c r="K107" s="240"/>
      <c r="L107" s="240"/>
      <c r="M107" s="240"/>
      <c r="N107" s="240"/>
      <c r="O107" s="240"/>
      <c r="P107" s="242"/>
      <c r="Q107" s="240"/>
      <c r="R107" s="152"/>
      <c r="AA107" s="191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ht="45" x14ac:dyDescent="0.25">
      <c r="A108" s="192" t="s">
        <v>1115</v>
      </c>
      <c r="B108" s="194" t="s">
        <v>139</v>
      </c>
      <c r="C108" s="249" t="s">
        <v>857</v>
      </c>
      <c r="D108" s="198">
        <v>0.1</v>
      </c>
      <c r="E108" s="198">
        <v>0.4</v>
      </c>
      <c r="F108" s="198">
        <v>0.45</v>
      </c>
      <c r="G108" s="198">
        <v>0.05</v>
      </c>
      <c r="H108" s="198"/>
      <c r="I108" s="198"/>
      <c r="J108" s="198"/>
      <c r="K108" s="198"/>
      <c r="L108" s="198"/>
      <c r="M108" s="198" t="s">
        <v>665</v>
      </c>
      <c r="N108" s="198" t="s">
        <v>666</v>
      </c>
      <c r="O108" s="198" t="s">
        <v>35</v>
      </c>
      <c r="P108" s="196">
        <f>SUM(D108:K108)</f>
        <v>1</v>
      </c>
      <c r="Q108" s="199"/>
      <c r="R108" s="250" t="s">
        <v>667</v>
      </c>
      <c r="S108" s="189" t="s">
        <v>858</v>
      </c>
      <c r="T108" s="190" t="s">
        <v>634</v>
      </c>
      <c r="U108" s="190" t="s">
        <v>634</v>
      </c>
      <c r="V108" s="210"/>
      <c r="W108" s="244" t="s">
        <v>668</v>
      </c>
      <c r="X108" s="146" t="s">
        <v>653</v>
      </c>
      <c r="AA108" s="191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ht="45" x14ac:dyDescent="0.25">
      <c r="A109" s="192" t="s">
        <v>1116</v>
      </c>
      <c r="B109" s="194" t="s">
        <v>139</v>
      </c>
      <c r="C109" s="249" t="s">
        <v>142</v>
      </c>
      <c r="D109" s="198">
        <v>0.1</v>
      </c>
      <c r="E109" s="198">
        <v>0.6</v>
      </c>
      <c r="F109" s="198">
        <v>0.25</v>
      </c>
      <c r="G109" s="198">
        <v>0.05</v>
      </c>
      <c r="H109" s="198"/>
      <c r="I109" s="198"/>
      <c r="J109" s="198"/>
      <c r="K109" s="198"/>
      <c r="L109" s="198"/>
      <c r="M109" s="198" t="s">
        <v>665</v>
      </c>
      <c r="N109" s="198" t="s">
        <v>666</v>
      </c>
      <c r="O109" s="198" t="s">
        <v>35</v>
      </c>
      <c r="P109" s="196">
        <f>SUM(D109:K109)</f>
        <v>1</v>
      </c>
      <c r="Q109" s="199" t="s">
        <v>143</v>
      </c>
      <c r="R109" s="197" t="s">
        <v>638</v>
      </c>
      <c r="S109" s="189" t="s">
        <v>858</v>
      </c>
      <c r="T109" s="190" t="s">
        <v>634</v>
      </c>
      <c r="U109" s="190" t="s">
        <v>634</v>
      </c>
      <c r="V109" s="210"/>
      <c r="W109" s="244" t="s">
        <v>668</v>
      </c>
      <c r="X109" s="146" t="s">
        <v>653</v>
      </c>
      <c r="AA109" s="191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x14ac:dyDescent="0.25">
      <c r="A110" s="192" t="s">
        <v>1117</v>
      </c>
      <c r="B110" s="194" t="s">
        <v>139</v>
      </c>
      <c r="C110" s="156" t="s">
        <v>144</v>
      </c>
      <c r="D110" s="198">
        <v>0.05</v>
      </c>
      <c r="E110" s="198">
        <v>0.55000000000000004</v>
      </c>
      <c r="F110" s="198">
        <v>0.35</v>
      </c>
      <c r="G110" s="198">
        <v>0.05</v>
      </c>
      <c r="H110" s="198"/>
      <c r="I110" s="198"/>
      <c r="J110" s="198"/>
      <c r="K110" s="198"/>
      <c r="L110" s="198"/>
      <c r="M110" s="198" t="s">
        <v>665</v>
      </c>
      <c r="N110" s="198" t="s">
        <v>666</v>
      </c>
      <c r="O110" s="198" t="s">
        <v>35</v>
      </c>
      <c r="P110" s="196">
        <f t="shared" ref="P110:P115" si="1">SUM(D110:K110)</f>
        <v>1</v>
      </c>
      <c r="Q110" s="199"/>
      <c r="R110" s="251"/>
      <c r="S110" s="189" t="s">
        <v>858</v>
      </c>
      <c r="T110" s="190" t="s">
        <v>634</v>
      </c>
      <c r="U110" s="190" t="s">
        <v>634</v>
      </c>
      <c r="V110" s="190" t="s">
        <v>859</v>
      </c>
      <c r="W110" s="210"/>
      <c r="X110" s="146" t="s">
        <v>653</v>
      </c>
      <c r="AA110" s="191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x14ac:dyDescent="0.25">
      <c r="A111" s="192" t="s">
        <v>1118</v>
      </c>
      <c r="B111" s="194" t="s">
        <v>139</v>
      </c>
      <c r="C111" s="156" t="s">
        <v>145</v>
      </c>
      <c r="D111" s="198">
        <v>0.1</v>
      </c>
      <c r="E111" s="198">
        <v>0.85</v>
      </c>
      <c r="F111" s="198"/>
      <c r="G111" s="198">
        <v>0.05</v>
      </c>
      <c r="H111" s="198"/>
      <c r="I111" s="198"/>
      <c r="J111" s="198"/>
      <c r="K111" s="198"/>
      <c r="L111" s="198"/>
      <c r="M111" s="198" t="s">
        <v>665</v>
      </c>
      <c r="N111" s="198" t="s">
        <v>666</v>
      </c>
      <c r="O111" s="198" t="s">
        <v>35</v>
      </c>
      <c r="P111" s="196">
        <f t="shared" si="1"/>
        <v>1</v>
      </c>
      <c r="Q111" s="199"/>
      <c r="R111" s="251"/>
      <c r="S111" s="189" t="s">
        <v>858</v>
      </c>
      <c r="T111" s="190" t="s">
        <v>634</v>
      </c>
      <c r="U111" s="190" t="s">
        <v>634</v>
      </c>
      <c r="V111" s="190" t="s">
        <v>859</v>
      </c>
      <c r="W111" s="210"/>
      <c r="X111" s="146" t="s">
        <v>653</v>
      </c>
      <c r="AA111" s="19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x14ac:dyDescent="0.25">
      <c r="A112" s="192" t="s">
        <v>1119</v>
      </c>
      <c r="B112" s="194" t="s">
        <v>139</v>
      </c>
      <c r="C112" s="156" t="s">
        <v>146</v>
      </c>
      <c r="D112" s="198">
        <v>0.05</v>
      </c>
      <c r="E112" s="198">
        <v>0.55000000000000004</v>
      </c>
      <c r="F112" s="198">
        <v>0.35</v>
      </c>
      <c r="G112" s="198">
        <v>0.05</v>
      </c>
      <c r="H112" s="198"/>
      <c r="I112" s="198"/>
      <c r="J112" s="198"/>
      <c r="K112" s="198"/>
      <c r="L112" s="198"/>
      <c r="M112" s="198" t="s">
        <v>665</v>
      </c>
      <c r="N112" s="198" t="s">
        <v>666</v>
      </c>
      <c r="O112" s="198" t="s">
        <v>35</v>
      </c>
      <c r="P112" s="196">
        <f t="shared" si="1"/>
        <v>1</v>
      </c>
      <c r="Q112" s="199"/>
      <c r="R112" s="251"/>
      <c r="S112" s="189" t="s">
        <v>858</v>
      </c>
      <c r="T112" s="190" t="s">
        <v>634</v>
      </c>
      <c r="U112" s="190" t="s">
        <v>634</v>
      </c>
      <c r="V112" s="190" t="s">
        <v>860</v>
      </c>
      <c r="W112" s="210"/>
      <c r="X112" s="146" t="s">
        <v>653</v>
      </c>
      <c r="AA112" s="191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x14ac:dyDescent="0.25">
      <c r="A113" s="192" t="s">
        <v>1120</v>
      </c>
      <c r="B113" s="194" t="s">
        <v>139</v>
      </c>
      <c r="C113" s="156" t="s">
        <v>147</v>
      </c>
      <c r="D113" s="198">
        <v>0.1</v>
      </c>
      <c r="E113" s="198">
        <v>0.85</v>
      </c>
      <c r="F113" s="198"/>
      <c r="G113" s="198">
        <v>0.05</v>
      </c>
      <c r="H113" s="198"/>
      <c r="I113" s="198"/>
      <c r="J113" s="198"/>
      <c r="K113" s="198"/>
      <c r="L113" s="198"/>
      <c r="M113" s="198" t="s">
        <v>665</v>
      </c>
      <c r="N113" s="198" t="s">
        <v>666</v>
      </c>
      <c r="O113" s="198" t="s">
        <v>35</v>
      </c>
      <c r="P113" s="196">
        <f t="shared" si="1"/>
        <v>1</v>
      </c>
      <c r="Q113" s="199"/>
      <c r="R113" s="251"/>
      <c r="S113" s="189" t="s">
        <v>858</v>
      </c>
      <c r="T113" s="190" t="s">
        <v>634</v>
      </c>
      <c r="U113" s="190" t="s">
        <v>634</v>
      </c>
      <c r="V113" s="190" t="s">
        <v>669</v>
      </c>
      <c r="W113" s="190" t="s">
        <v>861</v>
      </c>
      <c r="X113" s="146" t="s">
        <v>653</v>
      </c>
      <c r="AA113" s="191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x14ac:dyDescent="0.25">
      <c r="A114" s="192" t="s">
        <v>1121</v>
      </c>
      <c r="B114" s="194" t="s">
        <v>139</v>
      </c>
      <c r="C114" s="156" t="s">
        <v>148</v>
      </c>
      <c r="D114" s="198">
        <v>0.1</v>
      </c>
      <c r="E114" s="198">
        <v>0.85</v>
      </c>
      <c r="F114" s="198"/>
      <c r="G114" s="198">
        <v>0.05</v>
      </c>
      <c r="H114" s="198"/>
      <c r="I114" s="198"/>
      <c r="J114" s="198"/>
      <c r="K114" s="198"/>
      <c r="L114" s="198"/>
      <c r="M114" s="198" t="s">
        <v>665</v>
      </c>
      <c r="N114" s="198" t="s">
        <v>666</v>
      </c>
      <c r="O114" s="198" t="s">
        <v>35</v>
      </c>
      <c r="P114" s="196">
        <f t="shared" si="1"/>
        <v>1</v>
      </c>
      <c r="Q114" s="199"/>
      <c r="R114" s="251"/>
      <c r="S114" s="189" t="s">
        <v>858</v>
      </c>
      <c r="T114" s="190" t="s">
        <v>634</v>
      </c>
      <c r="U114" s="190" t="s">
        <v>634</v>
      </c>
      <c r="V114" s="190" t="s">
        <v>670</v>
      </c>
      <c r="W114" s="190" t="s">
        <v>671</v>
      </c>
      <c r="X114" s="146" t="s">
        <v>653</v>
      </c>
      <c r="AA114" s="191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ht="45" x14ac:dyDescent="0.25">
      <c r="A115" s="192" t="s">
        <v>1122</v>
      </c>
      <c r="B115" s="194" t="s">
        <v>139</v>
      </c>
      <c r="C115" s="156" t="s">
        <v>149</v>
      </c>
      <c r="D115" s="198">
        <v>0.1</v>
      </c>
      <c r="E115" s="198">
        <v>0.6</v>
      </c>
      <c r="F115" s="198">
        <v>0.25</v>
      </c>
      <c r="G115" s="198">
        <v>0.05</v>
      </c>
      <c r="H115" s="198"/>
      <c r="I115" s="198"/>
      <c r="J115" s="198"/>
      <c r="K115" s="198"/>
      <c r="L115" s="198"/>
      <c r="M115" s="198" t="s">
        <v>665</v>
      </c>
      <c r="N115" s="198" t="s">
        <v>666</v>
      </c>
      <c r="O115" s="198" t="s">
        <v>35</v>
      </c>
      <c r="P115" s="196">
        <f t="shared" si="1"/>
        <v>1</v>
      </c>
      <c r="Q115" s="199" t="s">
        <v>150</v>
      </c>
      <c r="R115" s="197" t="s">
        <v>672</v>
      </c>
      <c r="S115" s="189" t="s">
        <v>858</v>
      </c>
      <c r="T115" s="190" t="s">
        <v>634</v>
      </c>
      <c r="U115" s="190" t="s">
        <v>634</v>
      </c>
      <c r="V115" s="190" t="s">
        <v>862</v>
      </c>
      <c r="W115" s="190" t="s">
        <v>863</v>
      </c>
      <c r="X115" s="146" t="s">
        <v>653</v>
      </c>
      <c r="AA115" s="191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hidden="1" x14ac:dyDescent="0.25">
      <c r="A116" s="192"/>
      <c r="B116" s="194"/>
      <c r="C116" s="156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6"/>
      <c r="Q116" s="199"/>
      <c r="R116" s="197"/>
      <c r="AA116" s="191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ht="44.25" customHeight="1" x14ac:dyDescent="0.25">
      <c r="A117" s="252"/>
      <c r="B117" s="253" t="s">
        <v>139</v>
      </c>
      <c r="C117" s="254" t="s">
        <v>554</v>
      </c>
      <c r="D117" s="255" t="s">
        <v>555</v>
      </c>
      <c r="E117" s="255" t="s">
        <v>556</v>
      </c>
      <c r="F117" s="255" t="s">
        <v>557</v>
      </c>
      <c r="G117" s="255" t="s">
        <v>558</v>
      </c>
      <c r="H117" s="307" t="s">
        <v>1351</v>
      </c>
      <c r="I117" s="307" t="s">
        <v>1344</v>
      </c>
      <c r="J117" s="307" t="s">
        <v>1345</v>
      </c>
      <c r="K117" s="254"/>
      <c r="L117" s="254"/>
      <c r="M117" s="254"/>
      <c r="N117" s="254"/>
      <c r="O117" s="254"/>
      <c r="P117" s="256"/>
      <c r="Q117" s="257"/>
      <c r="R117" s="197"/>
      <c r="AA117" s="191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x14ac:dyDescent="0.25">
      <c r="A118" s="252" t="s">
        <v>153</v>
      </c>
      <c r="B118" s="253" t="s">
        <v>139</v>
      </c>
      <c r="C118" s="159" t="s">
        <v>559</v>
      </c>
      <c r="D118" s="258">
        <v>0.05</v>
      </c>
      <c r="E118" s="258">
        <v>0.1</v>
      </c>
      <c r="F118" s="258">
        <v>0.5</v>
      </c>
      <c r="G118" s="258">
        <v>0.05</v>
      </c>
      <c r="H118" s="258">
        <v>0.1</v>
      </c>
      <c r="I118" s="258">
        <v>0.05</v>
      </c>
      <c r="J118" s="258">
        <v>0.15</v>
      </c>
      <c r="K118" s="258"/>
      <c r="L118" s="258"/>
      <c r="M118" s="258" t="s">
        <v>665</v>
      </c>
      <c r="N118" s="258" t="s">
        <v>666</v>
      </c>
      <c r="O118" s="258" t="s">
        <v>35</v>
      </c>
      <c r="P118" s="256"/>
      <c r="Q118" s="259"/>
      <c r="R118" s="251"/>
      <c r="AA118" s="191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x14ac:dyDescent="0.25">
      <c r="A119" s="252" t="s">
        <v>1123</v>
      </c>
      <c r="B119" s="253" t="s">
        <v>139</v>
      </c>
      <c r="C119" s="159" t="s">
        <v>560</v>
      </c>
      <c r="D119" s="258">
        <v>0.05</v>
      </c>
      <c r="E119" s="258">
        <v>0.1</v>
      </c>
      <c r="F119" s="258">
        <v>0.75</v>
      </c>
      <c r="G119" s="258">
        <v>0.05</v>
      </c>
      <c r="H119" s="258">
        <v>0</v>
      </c>
      <c r="I119" s="258">
        <v>0.05</v>
      </c>
      <c r="J119" s="258"/>
      <c r="K119" s="258"/>
      <c r="L119" s="258"/>
      <c r="M119" s="258" t="s">
        <v>665</v>
      </c>
      <c r="N119" s="258" t="s">
        <v>666</v>
      </c>
      <c r="O119" s="258" t="s">
        <v>35</v>
      </c>
      <c r="P119" s="256"/>
      <c r="Q119" s="259" t="s">
        <v>673</v>
      </c>
      <c r="R119" s="251"/>
      <c r="AA119" s="191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x14ac:dyDescent="0.25">
      <c r="A120" s="252" t="s">
        <v>1124</v>
      </c>
      <c r="B120" s="253" t="s">
        <v>139</v>
      </c>
      <c r="C120" s="159" t="s">
        <v>561</v>
      </c>
      <c r="D120" s="258">
        <v>0.05</v>
      </c>
      <c r="E120" s="258">
        <v>0.1</v>
      </c>
      <c r="F120" s="258">
        <v>0.8</v>
      </c>
      <c r="G120" s="258">
        <v>0</v>
      </c>
      <c r="H120" s="258">
        <v>0</v>
      </c>
      <c r="I120" s="258">
        <v>0.05</v>
      </c>
      <c r="J120" s="258"/>
      <c r="K120" s="258"/>
      <c r="L120" s="258"/>
      <c r="M120" s="258" t="s">
        <v>665</v>
      </c>
      <c r="N120" s="258" t="s">
        <v>666</v>
      </c>
      <c r="O120" s="258" t="s">
        <v>35</v>
      </c>
      <c r="P120" s="256"/>
      <c r="Q120" s="259"/>
      <c r="R120" s="251"/>
      <c r="AA120" s="191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hidden="1" x14ac:dyDescent="0.25">
      <c r="A121" s="192"/>
      <c r="B121" s="194"/>
      <c r="C121" s="156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6"/>
      <c r="Q121" s="199"/>
      <c r="R121" s="251"/>
      <c r="AA121" s="19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ht="45" x14ac:dyDescent="0.25">
      <c r="A122" s="192"/>
      <c r="B122" s="194" t="s">
        <v>139</v>
      </c>
      <c r="C122" s="238" t="s">
        <v>151</v>
      </c>
      <c r="D122" s="192" t="s">
        <v>152</v>
      </c>
      <c r="E122" s="192"/>
      <c r="F122" s="192"/>
      <c r="G122" s="192"/>
      <c r="H122" s="192"/>
      <c r="I122" s="206"/>
      <c r="J122" s="206"/>
      <c r="K122" s="206"/>
      <c r="L122" s="206"/>
      <c r="M122" s="206"/>
      <c r="N122" s="206"/>
      <c r="O122" s="206"/>
      <c r="P122" s="260"/>
      <c r="Q122" s="207"/>
      <c r="R122" s="251"/>
      <c r="AA122" s="191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ht="45" x14ac:dyDescent="0.25">
      <c r="A123" s="192" t="s">
        <v>1125</v>
      </c>
      <c r="B123" s="194" t="s">
        <v>139</v>
      </c>
      <c r="C123" s="156" t="s">
        <v>151</v>
      </c>
      <c r="D123" s="198">
        <v>1</v>
      </c>
      <c r="E123" s="198"/>
      <c r="F123" s="198"/>
      <c r="G123" s="198"/>
      <c r="H123" s="198"/>
      <c r="I123" s="198"/>
      <c r="J123" s="198"/>
      <c r="K123" s="198"/>
      <c r="L123" s="198"/>
      <c r="M123" s="198" t="s">
        <v>674</v>
      </c>
      <c r="N123" s="198" t="s">
        <v>674</v>
      </c>
      <c r="O123" s="198" t="s">
        <v>35</v>
      </c>
      <c r="P123" s="196">
        <f>SUM(D123:K123)</f>
        <v>1</v>
      </c>
      <c r="Q123" s="199" t="s">
        <v>150</v>
      </c>
      <c r="R123" s="197" t="s">
        <v>672</v>
      </c>
      <c r="S123" s="189" t="s">
        <v>864</v>
      </c>
      <c r="T123" s="190" t="s">
        <v>634</v>
      </c>
      <c r="U123" s="237" t="s">
        <v>649</v>
      </c>
      <c r="V123" s="237" t="s">
        <v>865</v>
      </c>
      <c r="W123" s="261"/>
      <c r="X123" s="146" t="s">
        <v>653</v>
      </c>
      <c r="AA123" s="191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hidden="1" x14ac:dyDescent="0.25">
      <c r="A124" s="192"/>
      <c r="B124" s="194"/>
      <c r="C124" s="156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6"/>
      <c r="Q124" s="199"/>
      <c r="R124" s="251"/>
      <c r="U124" s="237"/>
      <c r="V124" s="237"/>
      <c r="W124" s="261"/>
      <c r="AA124" s="191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ht="30" x14ac:dyDescent="0.25">
      <c r="A125" s="192"/>
      <c r="B125" s="194" t="s">
        <v>139</v>
      </c>
      <c r="C125" s="195" t="s">
        <v>154</v>
      </c>
      <c r="D125" s="192" t="s">
        <v>155</v>
      </c>
      <c r="E125" s="192" t="s">
        <v>156</v>
      </c>
      <c r="F125" s="192" t="s">
        <v>17</v>
      </c>
      <c r="G125" s="192"/>
      <c r="H125" s="192"/>
      <c r="I125" s="206"/>
      <c r="J125" s="206"/>
      <c r="K125" s="206"/>
      <c r="L125" s="206"/>
      <c r="M125" s="206"/>
      <c r="N125" s="206"/>
      <c r="O125" s="206"/>
      <c r="P125" s="260"/>
      <c r="Q125" s="207"/>
      <c r="R125" s="251"/>
      <c r="AA125" s="191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x14ac:dyDescent="0.25">
      <c r="A126" s="192" t="s">
        <v>1126</v>
      </c>
      <c r="B126" s="194" t="s">
        <v>139</v>
      </c>
      <c r="C126" s="385" t="s">
        <v>157</v>
      </c>
      <c r="D126" s="198">
        <v>0.1</v>
      </c>
      <c r="E126" s="198">
        <v>0.8</v>
      </c>
      <c r="F126" s="198">
        <v>0.1</v>
      </c>
      <c r="G126" s="198"/>
      <c r="H126" s="198"/>
      <c r="I126" s="198"/>
      <c r="J126" s="198"/>
      <c r="K126" s="198"/>
      <c r="L126" s="198"/>
      <c r="M126" s="198" t="s">
        <v>639</v>
      </c>
      <c r="N126" s="198" t="s">
        <v>639</v>
      </c>
      <c r="O126" s="198" t="s">
        <v>35</v>
      </c>
      <c r="P126" s="196">
        <f>SUM(D126:K126)</f>
        <v>1</v>
      </c>
      <c r="Q126" s="199"/>
      <c r="R126" s="251"/>
      <c r="S126" s="189" t="s">
        <v>864</v>
      </c>
      <c r="T126" s="190" t="s">
        <v>634</v>
      </c>
      <c r="U126" s="237" t="s">
        <v>634</v>
      </c>
      <c r="V126" s="237" t="s">
        <v>866</v>
      </c>
      <c r="W126" s="262" t="s">
        <v>867</v>
      </c>
      <c r="X126" s="146" t="s">
        <v>646</v>
      </c>
      <c r="AA126" s="191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hidden="1" x14ac:dyDescent="0.25">
      <c r="A127" s="192"/>
      <c r="B127" s="194"/>
      <c r="C127" s="156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Q127" s="153"/>
      <c r="R127" s="152"/>
      <c r="AA127" s="191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ht="30" hidden="1" x14ac:dyDescent="0.25">
      <c r="A128" s="185"/>
      <c r="B128" s="186" t="s">
        <v>158</v>
      </c>
      <c r="C128" s="187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Q128" s="185"/>
      <c r="R128" s="152"/>
      <c r="AA128" s="191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ht="30" hidden="1" x14ac:dyDescent="0.25">
      <c r="A129" s="192"/>
      <c r="B129" s="194" t="s">
        <v>158</v>
      </c>
      <c r="C129" s="195" t="s">
        <v>159</v>
      </c>
      <c r="D129" s="192" t="s">
        <v>160</v>
      </c>
      <c r="E129" s="192" t="s">
        <v>161</v>
      </c>
      <c r="F129" s="192" t="s">
        <v>162</v>
      </c>
      <c r="G129" s="192" t="s">
        <v>163</v>
      </c>
      <c r="H129" s="192" t="s">
        <v>164</v>
      </c>
      <c r="I129" s="206"/>
      <c r="J129" s="206"/>
      <c r="K129" s="206"/>
      <c r="L129" s="206"/>
      <c r="M129" s="206"/>
      <c r="N129" s="206"/>
      <c r="O129" s="206"/>
      <c r="P129" s="260"/>
      <c r="Q129" s="207"/>
      <c r="R129" s="251"/>
      <c r="AA129" s="191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ht="30" hidden="1" x14ac:dyDescent="0.25">
      <c r="A130" s="192" t="s">
        <v>1127</v>
      </c>
      <c r="B130" s="194" t="s">
        <v>158</v>
      </c>
      <c r="C130" s="156" t="s">
        <v>165</v>
      </c>
      <c r="D130" s="198">
        <v>0.05</v>
      </c>
      <c r="E130" s="198">
        <v>0.15</v>
      </c>
      <c r="F130" s="198">
        <v>0.6</v>
      </c>
      <c r="G130" s="198">
        <v>0.1</v>
      </c>
      <c r="H130" s="198">
        <v>0.1</v>
      </c>
      <c r="I130" s="149"/>
      <c r="J130" s="149"/>
      <c r="K130" s="149"/>
      <c r="L130" s="149"/>
      <c r="M130" s="149" t="s">
        <v>640</v>
      </c>
      <c r="N130" s="149" t="s">
        <v>641</v>
      </c>
      <c r="O130" s="149" t="s">
        <v>35</v>
      </c>
      <c r="P130" s="196">
        <f>SUM(D130:K130)</f>
        <v>1</v>
      </c>
      <c r="Q130" s="153"/>
      <c r="R130" s="251"/>
      <c r="S130" s="189" t="s">
        <v>868</v>
      </c>
      <c r="T130" s="190" t="s">
        <v>634</v>
      </c>
      <c r="U130" s="190" t="s">
        <v>634</v>
      </c>
      <c r="V130" s="190" t="s">
        <v>869</v>
      </c>
      <c r="W130" s="190" t="s">
        <v>870</v>
      </c>
      <c r="AA130" s="191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ht="30" hidden="1" x14ac:dyDescent="0.25">
      <c r="A131" s="192" t="s">
        <v>1128</v>
      </c>
      <c r="B131" s="194" t="s">
        <v>158</v>
      </c>
      <c r="C131" s="156" t="s">
        <v>166</v>
      </c>
      <c r="D131" s="198">
        <v>0.05</v>
      </c>
      <c r="E131" s="198">
        <v>0.15</v>
      </c>
      <c r="F131" s="198">
        <v>0.6</v>
      </c>
      <c r="G131" s="198">
        <v>0.1</v>
      </c>
      <c r="H131" s="198">
        <v>0.1</v>
      </c>
      <c r="I131" s="149"/>
      <c r="J131" s="149"/>
      <c r="K131" s="149"/>
      <c r="L131" s="149"/>
      <c r="M131" s="149" t="s">
        <v>640</v>
      </c>
      <c r="N131" s="149" t="s">
        <v>641</v>
      </c>
      <c r="O131" s="149" t="s">
        <v>35</v>
      </c>
      <c r="P131" s="196">
        <f>SUM(D131:K131)</f>
        <v>1</v>
      </c>
      <c r="Q131" s="153"/>
      <c r="R131" s="251"/>
      <c r="S131" s="189" t="s">
        <v>868</v>
      </c>
      <c r="T131" s="190" t="s">
        <v>634</v>
      </c>
      <c r="U131" s="190" t="s">
        <v>634</v>
      </c>
      <c r="V131" s="190" t="s">
        <v>869</v>
      </c>
      <c r="W131" s="190" t="s">
        <v>870</v>
      </c>
      <c r="AA131" s="19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ht="30" hidden="1" x14ac:dyDescent="0.25">
      <c r="A132" s="192" t="s">
        <v>1129</v>
      </c>
      <c r="B132" s="194" t="s">
        <v>158</v>
      </c>
      <c r="C132" s="156" t="s">
        <v>167</v>
      </c>
      <c r="D132" s="198">
        <v>0.05</v>
      </c>
      <c r="E132" s="198">
        <v>0.05</v>
      </c>
      <c r="F132" s="198">
        <v>0.7</v>
      </c>
      <c r="G132" s="198">
        <v>0.1</v>
      </c>
      <c r="H132" s="198">
        <v>0.1</v>
      </c>
      <c r="I132" s="149"/>
      <c r="J132" s="149"/>
      <c r="K132" s="149"/>
      <c r="L132" s="149"/>
      <c r="M132" s="149" t="s">
        <v>640</v>
      </c>
      <c r="N132" s="149" t="s">
        <v>641</v>
      </c>
      <c r="O132" s="149" t="s">
        <v>35</v>
      </c>
      <c r="P132" s="196">
        <f>SUM(D132:K132)</f>
        <v>0.99999999999999989</v>
      </c>
      <c r="Q132" s="153"/>
      <c r="R132" s="251"/>
      <c r="S132" s="189" t="s">
        <v>868</v>
      </c>
      <c r="T132" s="190" t="s">
        <v>634</v>
      </c>
      <c r="U132" s="190" t="s">
        <v>634</v>
      </c>
      <c r="V132" s="190" t="s">
        <v>869</v>
      </c>
      <c r="W132" s="190" t="s">
        <v>870</v>
      </c>
      <c r="AA132" s="191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ht="30" hidden="1" x14ac:dyDescent="0.25">
      <c r="A133" s="192" t="s">
        <v>1130</v>
      </c>
      <c r="B133" s="194" t="s">
        <v>158</v>
      </c>
      <c r="C133" s="156" t="s">
        <v>168</v>
      </c>
      <c r="D133" s="198">
        <v>0.05</v>
      </c>
      <c r="E133" s="198">
        <v>0.05</v>
      </c>
      <c r="F133" s="198">
        <v>0.55000000000000004</v>
      </c>
      <c r="G133" s="198">
        <v>0.25</v>
      </c>
      <c r="H133" s="198">
        <v>0.1</v>
      </c>
      <c r="I133" s="149"/>
      <c r="J133" s="149"/>
      <c r="K133" s="149"/>
      <c r="L133" s="149"/>
      <c r="M133" s="149" t="s">
        <v>640</v>
      </c>
      <c r="N133" s="149" t="s">
        <v>641</v>
      </c>
      <c r="O133" s="149" t="s">
        <v>35</v>
      </c>
      <c r="P133" s="196">
        <f>SUM(D133:K133)</f>
        <v>1</v>
      </c>
      <c r="Q133" s="153"/>
      <c r="R133" s="251"/>
      <c r="S133" s="189" t="s">
        <v>871</v>
      </c>
      <c r="T133" s="190" t="s">
        <v>634</v>
      </c>
      <c r="U133" s="190" t="s">
        <v>634</v>
      </c>
      <c r="V133" s="190" t="s">
        <v>869</v>
      </c>
      <c r="W133" s="190" t="s">
        <v>870</v>
      </c>
      <c r="AA133" s="191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hidden="1" x14ac:dyDescent="0.25">
      <c r="A134" s="192"/>
      <c r="B134" s="194"/>
      <c r="C134" s="156"/>
      <c r="D134" s="198"/>
      <c r="E134" s="198"/>
      <c r="F134" s="198"/>
      <c r="G134" s="198"/>
      <c r="H134" s="198"/>
      <c r="I134" s="149"/>
      <c r="J134" s="149"/>
      <c r="K134" s="149"/>
      <c r="L134" s="149"/>
      <c r="M134" s="149"/>
      <c r="N134" s="149"/>
      <c r="O134" s="149"/>
      <c r="P134" s="260"/>
      <c r="Q134" s="153"/>
      <c r="R134" s="251"/>
      <c r="AA134" s="191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ht="30" hidden="1" x14ac:dyDescent="0.25">
      <c r="A135" s="192"/>
      <c r="B135" s="194" t="s">
        <v>158</v>
      </c>
      <c r="C135" s="195" t="s">
        <v>169</v>
      </c>
      <c r="D135" s="192" t="s">
        <v>160</v>
      </c>
      <c r="E135" s="192" t="s">
        <v>55</v>
      </c>
      <c r="F135" s="192" t="s">
        <v>170</v>
      </c>
      <c r="G135" s="192"/>
      <c r="H135" s="192"/>
      <c r="I135" s="206"/>
      <c r="J135" s="206"/>
      <c r="K135" s="206"/>
      <c r="L135" s="206"/>
      <c r="M135" s="206"/>
      <c r="N135" s="206"/>
      <c r="O135" s="206"/>
      <c r="P135" s="260"/>
      <c r="Q135" s="207"/>
      <c r="R135" s="251"/>
      <c r="AA135" s="191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ht="30" hidden="1" x14ac:dyDescent="0.25">
      <c r="A136" s="192" t="s">
        <v>1131</v>
      </c>
      <c r="B136" s="194" t="s">
        <v>158</v>
      </c>
      <c r="C136" s="156" t="s">
        <v>169</v>
      </c>
      <c r="D136" s="198">
        <v>0.05</v>
      </c>
      <c r="E136" s="198">
        <v>0.9</v>
      </c>
      <c r="F136" s="198">
        <v>0.05</v>
      </c>
      <c r="G136" s="198"/>
      <c r="H136" s="198"/>
      <c r="I136" s="149"/>
      <c r="J136" s="149"/>
      <c r="K136" s="149"/>
      <c r="L136" s="149"/>
      <c r="M136" s="149" t="s">
        <v>674</v>
      </c>
      <c r="N136" s="149" t="s">
        <v>674</v>
      </c>
      <c r="O136" s="149" t="s">
        <v>35</v>
      </c>
      <c r="P136" s="196">
        <f>SUM(D136:K136)</f>
        <v>1</v>
      </c>
      <c r="Q136" s="153"/>
      <c r="R136" s="251"/>
      <c r="S136" s="189" t="s">
        <v>872</v>
      </c>
      <c r="T136" s="190" t="s">
        <v>634</v>
      </c>
      <c r="U136" s="190" t="s">
        <v>634</v>
      </c>
      <c r="V136" s="190" t="s">
        <v>869</v>
      </c>
      <c r="W136" s="190" t="s">
        <v>870</v>
      </c>
      <c r="AA136" s="191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hidden="1" x14ac:dyDescent="0.25">
      <c r="A137" s="192"/>
      <c r="B137" s="194"/>
      <c r="C137" s="156"/>
      <c r="D137" s="198"/>
      <c r="E137" s="198"/>
      <c r="F137" s="198"/>
      <c r="G137" s="198"/>
      <c r="H137" s="198"/>
      <c r="I137" s="149"/>
      <c r="J137" s="149"/>
      <c r="K137" s="149"/>
      <c r="L137" s="149"/>
      <c r="M137" s="149"/>
      <c r="N137" s="149"/>
      <c r="O137" s="149"/>
      <c r="P137" s="260"/>
      <c r="Q137" s="153"/>
      <c r="R137" s="251"/>
      <c r="U137" s="146"/>
      <c r="V137" s="146"/>
      <c r="W137" s="146"/>
      <c r="AA137" s="191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ht="30" hidden="1" x14ac:dyDescent="0.25">
      <c r="A138" s="192"/>
      <c r="B138" s="194" t="s">
        <v>158</v>
      </c>
      <c r="C138" s="195" t="s">
        <v>171</v>
      </c>
      <c r="D138" s="192" t="s">
        <v>160</v>
      </c>
      <c r="E138" s="192" t="s">
        <v>55</v>
      </c>
      <c r="F138" s="192" t="s">
        <v>170</v>
      </c>
      <c r="G138" s="192"/>
      <c r="H138" s="192"/>
      <c r="I138" s="206"/>
      <c r="J138" s="206"/>
      <c r="K138" s="206"/>
      <c r="L138" s="206"/>
      <c r="M138" s="206"/>
      <c r="N138" s="206"/>
      <c r="O138" s="206"/>
      <c r="P138" s="260"/>
      <c r="Q138" s="207"/>
      <c r="R138" s="251"/>
      <c r="AA138" s="191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ht="30" hidden="1" x14ac:dyDescent="0.25">
      <c r="A139" s="192" t="s">
        <v>1132</v>
      </c>
      <c r="B139" s="194" t="s">
        <v>158</v>
      </c>
      <c r="C139" s="147" t="s">
        <v>171</v>
      </c>
      <c r="D139" s="198">
        <v>0.05</v>
      </c>
      <c r="E139" s="198">
        <v>0.75</v>
      </c>
      <c r="F139" s="198">
        <v>0.2</v>
      </c>
      <c r="G139" s="198"/>
      <c r="H139" s="198"/>
      <c r="I139" s="149"/>
      <c r="J139" s="149"/>
      <c r="K139" s="149"/>
      <c r="L139" s="149"/>
      <c r="M139" s="149" t="s">
        <v>674</v>
      </c>
      <c r="N139" s="149" t="s">
        <v>674</v>
      </c>
      <c r="O139" s="149" t="s">
        <v>35</v>
      </c>
      <c r="P139" s="196">
        <f>SUM(D139:K139)</f>
        <v>1</v>
      </c>
      <c r="Q139" s="153"/>
      <c r="R139" s="251" t="s">
        <v>675</v>
      </c>
      <c r="S139" s="189" t="s">
        <v>873</v>
      </c>
      <c r="T139" s="190" t="s">
        <v>634</v>
      </c>
      <c r="U139" s="190" t="s">
        <v>634</v>
      </c>
      <c r="V139" s="190" t="s">
        <v>869</v>
      </c>
      <c r="W139" s="190" t="s">
        <v>870</v>
      </c>
      <c r="X139" s="146" t="s">
        <v>653</v>
      </c>
      <c r="AA139" s="191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hidden="1" x14ac:dyDescent="0.25">
      <c r="A140" s="192"/>
      <c r="B140" s="194"/>
      <c r="C140" s="156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260"/>
      <c r="Q140" s="153"/>
      <c r="R140" s="251"/>
      <c r="AA140" s="191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ht="45" hidden="1" x14ac:dyDescent="0.25">
      <c r="A141" s="192"/>
      <c r="B141" s="194" t="s">
        <v>158</v>
      </c>
      <c r="C141" s="195" t="s">
        <v>172</v>
      </c>
      <c r="D141" s="192" t="s">
        <v>173</v>
      </c>
      <c r="E141" s="192" t="s">
        <v>174</v>
      </c>
      <c r="F141" s="192" t="s">
        <v>55</v>
      </c>
      <c r="G141" s="192" t="s">
        <v>175</v>
      </c>
      <c r="H141" s="192" t="s">
        <v>176</v>
      </c>
      <c r="I141" s="206"/>
      <c r="J141" s="206"/>
      <c r="K141" s="206"/>
      <c r="L141" s="206"/>
      <c r="M141" s="206"/>
      <c r="N141" s="206"/>
      <c r="O141" s="206"/>
      <c r="P141" s="260"/>
      <c r="Q141" s="207"/>
      <c r="R141" s="251"/>
      <c r="AA141" s="19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30" hidden="1" x14ac:dyDescent="0.25">
      <c r="A142" s="192" t="s">
        <v>1133</v>
      </c>
      <c r="B142" s="194" t="s">
        <v>158</v>
      </c>
      <c r="C142" s="147" t="s">
        <v>172</v>
      </c>
      <c r="D142" s="198">
        <v>0.15</v>
      </c>
      <c r="E142" s="198">
        <v>0.75</v>
      </c>
      <c r="F142" s="198"/>
      <c r="G142" s="198"/>
      <c r="H142" s="198">
        <v>0.1</v>
      </c>
      <c r="I142" s="149"/>
      <c r="J142" s="149"/>
      <c r="K142" s="149"/>
      <c r="L142" s="149"/>
      <c r="M142" s="149" t="s">
        <v>639</v>
      </c>
      <c r="N142" s="149" t="s">
        <v>639</v>
      </c>
      <c r="O142" s="149" t="s">
        <v>35</v>
      </c>
      <c r="P142" s="196">
        <f>SUM(D142:K142)</f>
        <v>1</v>
      </c>
      <c r="Q142" s="153"/>
      <c r="R142" s="251"/>
      <c r="S142" s="189" t="s">
        <v>874</v>
      </c>
      <c r="T142" s="190" t="s">
        <v>634</v>
      </c>
      <c r="U142" s="190" t="s">
        <v>634</v>
      </c>
      <c r="V142" s="190" t="s">
        <v>875</v>
      </c>
      <c r="W142" s="190" t="s">
        <v>876</v>
      </c>
      <c r="AA142" s="191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</row>
    <row r="143" spans="1:180" ht="30" hidden="1" x14ac:dyDescent="0.25">
      <c r="A143" s="192" t="s">
        <v>1134</v>
      </c>
      <c r="B143" s="194" t="s">
        <v>158</v>
      </c>
      <c r="C143" s="147" t="s">
        <v>177</v>
      </c>
      <c r="D143" s="198">
        <v>0.05</v>
      </c>
      <c r="E143" s="198"/>
      <c r="F143" s="198">
        <v>0.9</v>
      </c>
      <c r="G143" s="198"/>
      <c r="H143" s="198">
        <v>0.05</v>
      </c>
      <c r="I143" s="149"/>
      <c r="J143" s="149"/>
      <c r="K143" s="149"/>
      <c r="L143" s="149"/>
      <c r="M143" s="149" t="s">
        <v>639</v>
      </c>
      <c r="N143" s="149" t="s">
        <v>639</v>
      </c>
      <c r="O143" s="149" t="s">
        <v>35</v>
      </c>
      <c r="P143" s="196">
        <f>SUM(D143:K143)</f>
        <v>1</v>
      </c>
      <c r="Q143" s="153"/>
      <c r="R143" s="251"/>
      <c r="S143" s="189" t="s">
        <v>874</v>
      </c>
      <c r="T143" s="190" t="s">
        <v>634</v>
      </c>
      <c r="U143" s="190" t="s">
        <v>634</v>
      </c>
      <c r="V143" s="190" t="s">
        <v>877</v>
      </c>
      <c r="W143" s="190" t="s">
        <v>878</v>
      </c>
      <c r="AA143" s="191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</row>
    <row r="144" spans="1:180" hidden="1" x14ac:dyDescent="0.25">
      <c r="A144" s="192"/>
      <c r="B144" s="194"/>
      <c r="C144" s="147"/>
      <c r="D144" s="198"/>
      <c r="E144" s="198"/>
      <c r="F144" s="198"/>
      <c r="G144" s="198"/>
      <c r="H144" s="198"/>
      <c r="I144" s="149"/>
      <c r="J144" s="149"/>
      <c r="K144" s="149"/>
      <c r="L144" s="149"/>
      <c r="M144" s="149"/>
      <c r="N144" s="149"/>
      <c r="O144" s="149"/>
      <c r="P144" s="260"/>
      <c r="Q144" s="153"/>
      <c r="R144" s="251"/>
      <c r="AA144" s="191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</row>
    <row r="145" spans="1:180" ht="30" hidden="1" x14ac:dyDescent="0.25">
      <c r="A145" s="192"/>
      <c r="B145" s="194" t="s">
        <v>158</v>
      </c>
      <c r="C145" s="195" t="s">
        <v>178</v>
      </c>
      <c r="D145" s="192" t="s">
        <v>173</v>
      </c>
      <c r="E145" s="192" t="s">
        <v>179</v>
      </c>
      <c r="F145" s="192" t="s">
        <v>180</v>
      </c>
      <c r="G145" s="192" t="s">
        <v>181</v>
      </c>
      <c r="H145" s="192" t="s">
        <v>182</v>
      </c>
      <c r="I145" s="192" t="s">
        <v>17</v>
      </c>
      <c r="J145" s="206"/>
      <c r="K145" s="206"/>
      <c r="L145" s="206"/>
      <c r="M145" s="206"/>
      <c r="N145" s="206"/>
      <c r="O145" s="206"/>
      <c r="P145" s="260"/>
      <c r="Q145" s="207"/>
      <c r="R145" s="251"/>
      <c r="AA145" s="191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</row>
    <row r="146" spans="1:180" ht="30" hidden="1" x14ac:dyDescent="0.25">
      <c r="A146" s="192" t="s">
        <v>1135</v>
      </c>
      <c r="B146" s="194" t="s">
        <v>158</v>
      </c>
      <c r="C146" s="147" t="s">
        <v>178</v>
      </c>
      <c r="D146" s="198">
        <v>0.05</v>
      </c>
      <c r="E146" s="198">
        <v>0.1</v>
      </c>
      <c r="F146" s="198">
        <v>0.55000000000000004</v>
      </c>
      <c r="G146" s="198">
        <v>0.05</v>
      </c>
      <c r="H146" s="198">
        <v>0.15</v>
      </c>
      <c r="I146" s="198">
        <v>0.1</v>
      </c>
      <c r="J146" s="149"/>
      <c r="K146" s="149"/>
      <c r="L146" s="149"/>
      <c r="M146" s="149" t="s">
        <v>644</v>
      </c>
      <c r="N146" s="149" t="s">
        <v>645</v>
      </c>
      <c r="O146" s="149" t="s">
        <v>35</v>
      </c>
      <c r="P146" s="196">
        <f>SUM(D146:K146)</f>
        <v>1.0000000000000002</v>
      </c>
      <c r="Q146" s="153"/>
      <c r="R146" s="251" t="s">
        <v>676</v>
      </c>
      <c r="S146" s="189" t="s">
        <v>874</v>
      </c>
      <c r="T146" s="190" t="s">
        <v>634</v>
      </c>
      <c r="U146" s="190" t="s">
        <v>634</v>
      </c>
      <c r="V146" s="190" t="s">
        <v>877</v>
      </c>
      <c r="W146" s="190" t="s">
        <v>878</v>
      </c>
      <c r="AA146" s="191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</row>
    <row r="147" spans="1:180" hidden="1" x14ac:dyDescent="0.25">
      <c r="A147" s="192"/>
      <c r="B147" s="194"/>
      <c r="C147" s="156"/>
      <c r="D147" s="198"/>
      <c r="E147" s="198"/>
      <c r="F147" s="198"/>
      <c r="G147" s="198"/>
      <c r="H147" s="198"/>
      <c r="I147" s="149"/>
      <c r="J147" s="149"/>
      <c r="K147" s="149"/>
      <c r="L147" s="149"/>
      <c r="M147" s="149"/>
      <c r="N147" s="149"/>
      <c r="O147" s="149"/>
      <c r="P147" s="260"/>
      <c r="Q147" s="153"/>
      <c r="R147" s="251"/>
      <c r="AA147" s="191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</row>
    <row r="148" spans="1:180" ht="30" hidden="1" x14ac:dyDescent="0.25">
      <c r="A148" s="192"/>
      <c r="B148" s="194" t="s">
        <v>158</v>
      </c>
      <c r="C148" s="195" t="s">
        <v>183</v>
      </c>
      <c r="D148" s="192" t="s">
        <v>55</v>
      </c>
      <c r="E148" s="192" t="s">
        <v>17</v>
      </c>
      <c r="F148" s="192"/>
      <c r="G148" s="192"/>
      <c r="H148" s="192"/>
      <c r="I148" s="206"/>
      <c r="J148" s="206"/>
      <c r="K148" s="206"/>
      <c r="L148" s="206"/>
      <c r="M148" s="206"/>
      <c r="N148" s="206"/>
      <c r="O148" s="206"/>
      <c r="P148" s="260"/>
      <c r="Q148" s="207"/>
      <c r="R148" s="251"/>
      <c r="AA148" s="191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</row>
    <row r="149" spans="1:180" ht="30" hidden="1" x14ac:dyDescent="0.25">
      <c r="A149" s="192" t="s">
        <v>1136</v>
      </c>
      <c r="B149" s="194" t="s">
        <v>158</v>
      </c>
      <c r="C149" s="156" t="s">
        <v>184</v>
      </c>
      <c r="D149" s="198">
        <v>0.9</v>
      </c>
      <c r="E149" s="198">
        <v>0.1</v>
      </c>
      <c r="F149" s="198"/>
      <c r="G149" s="198"/>
      <c r="H149" s="198"/>
      <c r="I149" s="149"/>
      <c r="J149" s="149"/>
      <c r="K149" s="149"/>
      <c r="L149" s="149"/>
      <c r="M149" s="149" t="s">
        <v>674</v>
      </c>
      <c r="N149" s="149" t="s">
        <v>674</v>
      </c>
      <c r="O149" s="149" t="s">
        <v>35</v>
      </c>
      <c r="P149" s="196">
        <f>SUM(D149:K149)</f>
        <v>1</v>
      </c>
      <c r="Q149" s="153"/>
      <c r="R149" s="251"/>
      <c r="S149" s="189" t="s">
        <v>879</v>
      </c>
      <c r="T149" s="237" t="s">
        <v>649</v>
      </c>
      <c r="U149" s="190" t="s">
        <v>634</v>
      </c>
      <c r="V149" s="190" t="s">
        <v>869</v>
      </c>
      <c r="W149" s="190" t="s">
        <v>870</v>
      </c>
      <c r="AA149" s="191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</row>
    <row r="150" spans="1:180" hidden="1" x14ac:dyDescent="0.25">
      <c r="A150" s="192"/>
      <c r="B150" s="194"/>
      <c r="C150" s="156"/>
      <c r="D150" s="198"/>
      <c r="E150" s="198"/>
      <c r="F150" s="198"/>
      <c r="G150" s="198"/>
      <c r="H150" s="198"/>
      <c r="I150" s="149"/>
      <c r="J150" s="149"/>
      <c r="K150" s="149"/>
      <c r="L150" s="149"/>
      <c r="M150" s="149"/>
      <c r="N150" s="149"/>
      <c r="O150" s="149"/>
      <c r="P150" s="260"/>
      <c r="Q150" s="153"/>
      <c r="R150" s="251"/>
      <c r="AA150" s="191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</row>
    <row r="151" spans="1:180" ht="45" hidden="1" x14ac:dyDescent="0.25">
      <c r="A151" s="192"/>
      <c r="B151" s="194" t="s">
        <v>158</v>
      </c>
      <c r="C151" s="195" t="s">
        <v>185</v>
      </c>
      <c r="D151" s="192" t="s">
        <v>186</v>
      </c>
      <c r="E151" s="192" t="s">
        <v>187</v>
      </c>
      <c r="F151" s="192" t="s">
        <v>188</v>
      </c>
      <c r="G151" s="192" t="s">
        <v>189</v>
      </c>
      <c r="H151" s="192" t="s">
        <v>17</v>
      </c>
      <c r="I151" s="206"/>
      <c r="J151" s="206"/>
      <c r="K151" s="206"/>
      <c r="L151" s="206"/>
      <c r="M151" s="206"/>
      <c r="N151" s="206"/>
      <c r="O151" s="206"/>
      <c r="P151" s="260"/>
      <c r="Q151" s="207"/>
      <c r="R151" s="251"/>
      <c r="AA151" s="19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</row>
    <row r="152" spans="1:180" ht="30" hidden="1" x14ac:dyDescent="0.25">
      <c r="A152" s="192" t="s">
        <v>1137</v>
      </c>
      <c r="B152" s="194" t="s">
        <v>158</v>
      </c>
      <c r="C152" s="147" t="s">
        <v>185</v>
      </c>
      <c r="D152" s="198">
        <v>0.2</v>
      </c>
      <c r="E152" s="198">
        <v>0.45</v>
      </c>
      <c r="F152" s="198">
        <v>0.15</v>
      </c>
      <c r="G152" s="198">
        <v>0.15</v>
      </c>
      <c r="H152" s="198">
        <v>0.05</v>
      </c>
      <c r="I152" s="149"/>
      <c r="J152" s="149"/>
      <c r="K152" s="149"/>
      <c r="L152" s="149"/>
      <c r="M152" s="149" t="s">
        <v>640</v>
      </c>
      <c r="N152" s="149" t="s">
        <v>641</v>
      </c>
      <c r="O152" s="149" t="s">
        <v>35</v>
      </c>
      <c r="P152" s="196">
        <f>SUM(D152:K152)</f>
        <v>1</v>
      </c>
      <c r="Q152" s="153"/>
      <c r="R152" s="251"/>
      <c r="S152" s="189" t="s">
        <v>873</v>
      </c>
      <c r="T152" s="190" t="s">
        <v>634</v>
      </c>
      <c r="U152" s="190" t="s">
        <v>634</v>
      </c>
      <c r="V152" s="190" t="s">
        <v>869</v>
      </c>
      <c r="W152" s="190" t="s">
        <v>870</v>
      </c>
      <c r="X152" s="146" t="s">
        <v>653</v>
      </c>
      <c r="AA152" s="191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</row>
    <row r="153" spans="1:180" hidden="1" x14ac:dyDescent="0.25">
      <c r="A153" s="192"/>
      <c r="B153" s="194"/>
      <c r="C153" s="156"/>
      <c r="D153" s="198"/>
      <c r="E153" s="198"/>
      <c r="F153" s="198"/>
      <c r="G153" s="198"/>
      <c r="H153" s="198"/>
      <c r="I153" s="149"/>
      <c r="J153" s="149"/>
      <c r="K153" s="149"/>
      <c r="L153" s="149"/>
      <c r="M153" s="149"/>
      <c r="N153" s="149"/>
      <c r="O153" s="149"/>
      <c r="P153" s="260"/>
      <c r="Q153" s="153"/>
      <c r="R153" s="251"/>
      <c r="AA153" s="191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</row>
    <row r="154" spans="1:180" ht="45" hidden="1" x14ac:dyDescent="0.25">
      <c r="A154" s="192"/>
      <c r="B154" s="194" t="s">
        <v>158</v>
      </c>
      <c r="C154" s="195" t="s">
        <v>190</v>
      </c>
      <c r="D154" s="192" t="s">
        <v>191</v>
      </c>
      <c r="E154" s="192" t="s">
        <v>192</v>
      </c>
      <c r="F154" s="192" t="s">
        <v>193</v>
      </c>
      <c r="G154" s="192" t="s">
        <v>194</v>
      </c>
      <c r="H154" s="192" t="s">
        <v>195</v>
      </c>
      <c r="I154" s="206" t="s">
        <v>196</v>
      </c>
      <c r="J154" s="206" t="s">
        <v>17</v>
      </c>
      <c r="K154" s="206"/>
      <c r="L154" s="206"/>
      <c r="M154" s="206"/>
      <c r="N154" s="206"/>
      <c r="O154" s="206"/>
      <c r="P154" s="260"/>
      <c r="Q154" s="207"/>
      <c r="R154" s="251"/>
      <c r="AA154" s="191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</row>
    <row r="155" spans="1:180" ht="30" hidden="1" x14ac:dyDescent="0.25">
      <c r="A155" s="192" t="s">
        <v>1138</v>
      </c>
      <c r="B155" s="194" t="s">
        <v>158</v>
      </c>
      <c r="C155" s="147" t="s">
        <v>190</v>
      </c>
      <c r="D155" s="198">
        <v>0.1</v>
      </c>
      <c r="E155" s="198">
        <v>0.25</v>
      </c>
      <c r="F155" s="198">
        <v>0.05</v>
      </c>
      <c r="G155" s="198">
        <v>0.25</v>
      </c>
      <c r="H155" s="198">
        <v>0.1</v>
      </c>
      <c r="I155" s="198">
        <v>0.2</v>
      </c>
      <c r="J155" s="198">
        <v>0.05</v>
      </c>
      <c r="K155" s="198"/>
      <c r="L155" s="198"/>
      <c r="M155" s="198" t="s">
        <v>640</v>
      </c>
      <c r="N155" s="198" t="s">
        <v>641</v>
      </c>
      <c r="O155" s="198" t="s">
        <v>35</v>
      </c>
      <c r="P155" s="196">
        <f>SUM(D155:K155)</f>
        <v>1</v>
      </c>
      <c r="Q155" s="153"/>
      <c r="R155" s="251"/>
      <c r="S155" s="189" t="s">
        <v>880</v>
      </c>
      <c r="T155" s="190" t="s">
        <v>634</v>
      </c>
      <c r="U155" s="190" t="s">
        <v>634</v>
      </c>
      <c r="V155" s="190" t="s">
        <v>869</v>
      </c>
      <c r="W155" s="190" t="s">
        <v>870</v>
      </c>
      <c r="AA155" s="191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</row>
    <row r="156" spans="1:180" hidden="1" x14ac:dyDescent="0.25">
      <c r="A156" s="192"/>
      <c r="B156" s="194"/>
      <c r="C156" s="156"/>
      <c r="D156" s="198"/>
      <c r="E156" s="198"/>
      <c r="F156" s="198"/>
      <c r="G156" s="198"/>
      <c r="H156" s="198"/>
      <c r="I156" s="149"/>
      <c r="J156" s="149"/>
      <c r="K156" s="149"/>
      <c r="L156" s="149"/>
      <c r="M156" s="149"/>
      <c r="N156" s="149"/>
      <c r="O156" s="149"/>
      <c r="P156" s="260"/>
      <c r="Q156" s="153"/>
      <c r="R156" s="251"/>
      <c r="AA156" s="191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ht="45" hidden="1" x14ac:dyDescent="0.25">
      <c r="A157" s="192"/>
      <c r="B157" s="194" t="s">
        <v>158</v>
      </c>
      <c r="C157" s="195" t="s">
        <v>197</v>
      </c>
      <c r="D157" s="192" t="s">
        <v>198</v>
      </c>
      <c r="E157" s="192" t="s">
        <v>199</v>
      </c>
      <c r="F157" s="192" t="s">
        <v>200</v>
      </c>
      <c r="G157" s="192" t="s">
        <v>201</v>
      </c>
      <c r="H157" s="192" t="s">
        <v>202</v>
      </c>
      <c r="I157" s="206" t="s">
        <v>17</v>
      </c>
      <c r="J157" s="206"/>
      <c r="K157" s="206"/>
      <c r="L157" s="206"/>
      <c r="M157" s="206"/>
      <c r="N157" s="206"/>
      <c r="O157" s="206"/>
      <c r="P157" s="260"/>
      <c r="Q157" s="207"/>
      <c r="R157" s="251"/>
      <c r="AA157" s="191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ht="60" hidden="1" x14ac:dyDescent="0.25">
      <c r="A158" s="192" t="s">
        <v>1139</v>
      </c>
      <c r="B158" s="194" t="s">
        <v>158</v>
      </c>
      <c r="C158" s="147" t="s">
        <v>197</v>
      </c>
      <c r="D158" s="198">
        <v>0.05</v>
      </c>
      <c r="E158" s="198">
        <v>0.45</v>
      </c>
      <c r="F158" s="198">
        <v>0.15</v>
      </c>
      <c r="G158" s="198">
        <v>0.2</v>
      </c>
      <c r="H158" s="198">
        <v>0.1</v>
      </c>
      <c r="I158" s="198">
        <v>0.05</v>
      </c>
      <c r="J158" s="198"/>
      <c r="K158" s="198"/>
      <c r="L158" s="198"/>
      <c r="M158" s="198" t="s">
        <v>640</v>
      </c>
      <c r="N158" s="198" t="s">
        <v>641</v>
      </c>
      <c r="O158" s="198" t="s">
        <v>35</v>
      </c>
      <c r="P158" s="196">
        <f>SUM(D158:K158)</f>
        <v>1</v>
      </c>
      <c r="Q158" s="153" t="s">
        <v>203</v>
      </c>
      <c r="R158" s="152" t="s">
        <v>638</v>
      </c>
      <c r="S158" s="189" t="s">
        <v>873</v>
      </c>
      <c r="T158" s="190" t="s">
        <v>634</v>
      </c>
      <c r="U158" s="190" t="s">
        <v>634</v>
      </c>
      <c r="V158" s="190" t="s">
        <v>869</v>
      </c>
      <c r="W158" s="190" t="s">
        <v>870</v>
      </c>
      <c r="X158" s="146" t="s">
        <v>653</v>
      </c>
      <c r="AA158" s="191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233" customFormat="1" hidden="1" x14ac:dyDescent="0.25">
      <c r="A159" s="192"/>
      <c r="B159" s="194"/>
      <c r="C159" s="248"/>
      <c r="D159" s="204"/>
      <c r="E159" s="204"/>
      <c r="F159" s="204"/>
      <c r="G159" s="204"/>
      <c r="H159" s="204"/>
      <c r="I159" s="204"/>
      <c r="J159" s="208"/>
      <c r="K159" s="208"/>
      <c r="L159" s="208"/>
      <c r="M159" s="208"/>
      <c r="N159" s="208"/>
      <c r="O159" s="208"/>
      <c r="P159" s="263"/>
      <c r="Q159" s="264"/>
      <c r="R159" s="265"/>
      <c r="S159" s="230"/>
      <c r="T159" s="231"/>
      <c r="U159" s="231"/>
      <c r="V159" s="231"/>
      <c r="W159" s="231"/>
      <c r="X159" s="232"/>
      <c r="Y159" s="184"/>
      <c r="Z159" s="60"/>
      <c r="AA159" s="191"/>
      <c r="AB159" s="60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ht="30" hidden="1" x14ac:dyDescent="0.25">
      <c r="A160" s="192"/>
      <c r="B160" s="194" t="s">
        <v>158</v>
      </c>
      <c r="C160" s="266" t="s">
        <v>204</v>
      </c>
      <c r="D160" s="235" t="s">
        <v>205</v>
      </c>
      <c r="E160" s="235" t="s">
        <v>206</v>
      </c>
      <c r="F160" s="235" t="s">
        <v>207</v>
      </c>
      <c r="G160" s="235" t="s">
        <v>17</v>
      </c>
      <c r="H160" s="235"/>
      <c r="I160" s="235"/>
      <c r="J160" s="206"/>
      <c r="K160" s="206"/>
      <c r="L160" s="206"/>
      <c r="M160" s="206"/>
      <c r="N160" s="206"/>
      <c r="O160" s="206"/>
      <c r="P160" s="260"/>
      <c r="Q160" s="207"/>
      <c r="R160" s="267"/>
      <c r="AA160" s="191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ht="30" hidden="1" x14ac:dyDescent="0.25">
      <c r="A161" s="192" t="s">
        <v>1140</v>
      </c>
      <c r="B161" s="194" t="s">
        <v>158</v>
      </c>
      <c r="C161" s="147" t="s">
        <v>208</v>
      </c>
      <c r="D161" s="198">
        <v>0.05</v>
      </c>
      <c r="E161" s="198">
        <v>0.75</v>
      </c>
      <c r="F161" s="198">
        <v>0.15</v>
      </c>
      <c r="G161" s="198">
        <v>0.05</v>
      </c>
      <c r="H161" s="198"/>
      <c r="I161" s="149"/>
      <c r="J161" s="149"/>
      <c r="K161" s="149"/>
      <c r="L161" s="149"/>
      <c r="M161" s="149" t="s">
        <v>640</v>
      </c>
      <c r="N161" s="149" t="s">
        <v>641</v>
      </c>
      <c r="O161" s="149" t="s">
        <v>35</v>
      </c>
      <c r="P161" s="196">
        <f>SUM(D161:K161)</f>
        <v>1</v>
      </c>
      <c r="Q161" s="153"/>
      <c r="R161" s="251"/>
      <c r="S161" s="189" t="s">
        <v>873</v>
      </c>
      <c r="T161" s="190" t="s">
        <v>634</v>
      </c>
      <c r="U161" s="190" t="s">
        <v>634</v>
      </c>
      <c r="V161" s="190" t="s">
        <v>869</v>
      </c>
      <c r="W161" s="190" t="s">
        <v>870</v>
      </c>
      <c r="X161" s="146" t="s">
        <v>653</v>
      </c>
      <c r="AA161" s="19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hidden="1" x14ac:dyDescent="0.25">
      <c r="A162" s="192"/>
      <c r="B162" s="194"/>
      <c r="C162" s="147"/>
      <c r="D162" s="198"/>
      <c r="E162" s="198"/>
      <c r="F162" s="198"/>
      <c r="G162" s="198"/>
      <c r="H162" s="198"/>
      <c r="I162" s="149"/>
      <c r="J162" s="149"/>
      <c r="K162" s="149"/>
      <c r="L162" s="149"/>
      <c r="M162" s="149"/>
      <c r="N162" s="149"/>
      <c r="O162" s="149"/>
      <c r="P162" s="196"/>
      <c r="Q162" s="153"/>
      <c r="R162" s="251"/>
      <c r="AA162" s="191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ht="30" hidden="1" x14ac:dyDescent="0.25">
      <c r="A163" s="192"/>
      <c r="B163" s="194" t="s">
        <v>158</v>
      </c>
      <c r="C163" s="238"/>
      <c r="D163" s="235" t="s">
        <v>205</v>
      </c>
      <c r="E163" s="235" t="s">
        <v>55</v>
      </c>
      <c r="F163" s="235" t="s">
        <v>17</v>
      </c>
      <c r="G163" s="235"/>
      <c r="H163" s="235"/>
      <c r="I163" s="235"/>
      <c r="J163" s="206"/>
      <c r="K163" s="206"/>
      <c r="L163" s="206"/>
      <c r="M163" s="206"/>
      <c r="N163" s="206"/>
      <c r="O163" s="206"/>
      <c r="P163" s="260"/>
      <c r="Q163" s="207"/>
      <c r="R163" s="267"/>
      <c r="AA163" s="191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ht="30" hidden="1" x14ac:dyDescent="0.25">
      <c r="A164" s="192" t="s">
        <v>1141</v>
      </c>
      <c r="B164" s="194" t="s">
        <v>158</v>
      </c>
      <c r="C164" s="147" t="s">
        <v>209</v>
      </c>
      <c r="D164" s="198">
        <v>0.15</v>
      </c>
      <c r="E164" s="198">
        <v>0.8</v>
      </c>
      <c r="F164" s="198">
        <v>0.05</v>
      </c>
      <c r="G164" s="198"/>
      <c r="H164" s="198"/>
      <c r="I164" s="149"/>
      <c r="J164" s="149"/>
      <c r="K164" s="149"/>
      <c r="L164" s="149"/>
      <c r="M164" s="149" t="s">
        <v>640</v>
      </c>
      <c r="N164" s="149" t="s">
        <v>641</v>
      </c>
      <c r="O164" s="149" t="s">
        <v>35</v>
      </c>
      <c r="P164" s="196">
        <f>SUM(D164:K164)</f>
        <v>1</v>
      </c>
      <c r="Q164" s="153"/>
      <c r="R164" s="251"/>
      <c r="S164" s="212" t="s">
        <v>873</v>
      </c>
      <c r="T164" s="190" t="s">
        <v>634</v>
      </c>
      <c r="U164" s="190" t="s">
        <v>634</v>
      </c>
      <c r="V164" s="190" t="s">
        <v>869</v>
      </c>
      <c r="W164" s="190" t="s">
        <v>870</v>
      </c>
      <c r="X164" s="146" t="s">
        <v>653</v>
      </c>
      <c r="AA164" s="191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hidden="1" x14ac:dyDescent="0.25">
      <c r="A165" s="192"/>
      <c r="B165" s="194"/>
      <c r="C165" s="156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Q165" s="153"/>
      <c r="R165" s="152"/>
      <c r="AA165" s="191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ht="30" hidden="1" x14ac:dyDescent="0.25">
      <c r="A166" s="185"/>
      <c r="B166" s="186" t="s">
        <v>210</v>
      </c>
      <c r="C166" s="187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Q166" s="185"/>
      <c r="R166" s="152"/>
      <c r="AA166" s="191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ht="30" hidden="1" x14ac:dyDescent="0.25">
      <c r="A167" s="192"/>
      <c r="B167" s="194" t="s">
        <v>210</v>
      </c>
      <c r="C167" s="238" t="s">
        <v>211</v>
      </c>
      <c r="D167" s="235" t="s">
        <v>103</v>
      </c>
      <c r="E167" s="235" t="s">
        <v>212</v>
      </c>
      <c r="F167" s="235" t="s">
        <v>213</v>
      </c>
      <c r="G167" s="235" t="s">
        <v>17</v>
      </c>
      <c r="H167" s="235"/>
      <c r="I167" s="206"/>
      <c r="J167" s="206"/>
      <c r="K167" s="206"/>
      <c r="L167" s="206"/>
      <c r="M167" s="206"/>
      <c r="N167" s="206"/>
      <c r="O167" s="206"/>
      <c r="Q167" s="207"/>
      <c r="R167" s="152"/>
      <c r="AA167" s="191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ht="30" hidden="1" x14ac:dyDescent="0.25">
      <c r="A168" s="192" t="s">
        <v>1142</v>
      </c>
      <c r="B168" s="194" t="s">
        <v>210</v>
      </c>
      <c r="C168" s="268" t="s">
        <v>214</v>
      </c>
      <c r="D168" s="269">
        <v>0.05</v>
      </c>
      <c r="E168" s="269">
        <v>0.55000000000000004</v>
      </c>
      <c r="F168" s="269">
        <v>0.3</v>
      </c>
      <c r="G168" s="269">
        <v>0.1</v>
      </c>
      <c r="H168" s="198"/>
      <c r="I168" s="149"/>
      <c r="J168" s="149"/>
      <c r="K168" s="149"/>
      <c r="L168" s="149"/>
      <c r="M168" s="149" t="s">
        <v>639</v>
      </c>
      <c r="N168" s="149" t="s">
        <v>639</v>
      </c>
      <c r="O168" s="149" t="s">
        <v>35</v>
      </c>
      <c r="P168" s="196">
        <f>SUM(D168:K168)</f>
        <v>1.0000000000000002</v>
      </c>
      <c r="Q168" s="153"/>
      <c r="R168" s="251"/>
      <c r="S168" s="189" t="s">
        <v>677</v>
      </c>
      <c r="T168" s="190" t="s">
        <v>634</v>
      </c>
      <c r="U168" s="190" t="s">
        <v>634</v>
      </c>
      <c r="V168" s="190" t="s">
        <v>881</v>
      </c>
      <c r="W168" s="190" t="s">
        <v>882</v>
      </c>
      <c r="X168" s="146" t="s">
        <v>678</v>
      </c>
      <c r="AA168" s="191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ht="30" hidden="1" x14ac:dyDescent="0.25">
      <c r="A169" s="192" t="s">
        <v>1143</v>
      </c>
      <c r="B169" s="194" t="s">
        <v>210</v>
      </c>
      <c r="C169" s="268" t="s">
        <v>215</v>
      </c>
      <c r="D169" s="269">
        <v>0.05</v>
      </c>
      <c r="E169" s="269">
        <v>0.55000000000000004</v>
      </c>
      <c r="F169" s="269">
        <v>0.3</v>
      </c>
      <c r="G169" s="269">
        <v>0.1</v>
      </c>
      <c r="H169" s="198"/>
      <c r="I169" s="149"/>
      <c r="J169" s="149"/>
      <c r="K169" s="149"/>
      <c r="L169" s="149"/>
      <c r="M169" s="149" t="s">
        <v>639</v>
      </c>
      <c r="N169" s="149" t="s">
        <v>639</v>
      </c>
      <c r="O169" s="149" t="s">
        <v>35</v>
      </c>
      <c r="P169" s="196">
        <f>SUM(D169:K169)</f>
        <v>1.0000000000000002</v>
      </c>
      <c r="Q169" s="153" t="s">
        <v>216</v>
      </c>
      <c r="R169" s="251" t="s">
        <v>638</v>
      </c>
      <c r="S169" s="189" t="s">
        <v>679</v>
      </c>
      <c r="T169" s="190" t="s">
        <v>634</v>
      </c>
      <c r="U169" s="190" t="s">
        <v>634</v>
      </c>
      <c r="V169" s="190" t="s">
        <v>881</v>
      </c>
      <c r="W169" s="190" t="s">
        <v>882</v>
      </c>
      <c r="X169" s="146" t="s">
        <v>678</v>
      </c>
      <c r="Y169" s="60" t="s">
        <v>216</v>
      </c>
      <c r="AA169" s="191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hidden="1" x14ac:dyDescent="0.25">
      <c r="A170" s="192"/>
      <c r="B170" s="194"/>
      <c r="C170" s="156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260"/>
      <c r="Q170" s="153"/>
      <c r="R170" s="251"/>
      <c r="AA170" s="191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ht="30" hidden="1" x14ac:dyDescent="0.25">
      <c r="A171" s="192"/>
      <c r="B171" s="194" t="s">
        <v>210</v>
      </c>
      <c r="C171" s="195" t="s">
        <v>217</v>
      </c>
      <c r="D171" s="192" t="s">
        <v>218</v>
      </c>
      <c r="E171" s="192" t="s">
        <v>219</v>
      </c>
      <c r="F171" s="192" t="s">
        <v>220</v>
      </c>
      <c r="G171" s="192" t="s">
        <v>221</v>
      </c>
      <c r="H171" s="192" t="s">
        <v>222</v>
      </c>
      <c r="I171" s="192" t="s">
        <v>181</v>
      </c>
      <c r="J171" s="192" t="s">
        <v>223</v>
      </c>
      <c r="K171" s="192"/>
      <c r="L171" s="192"/>
      <c r="M171" s="192"/>
      <c r="N171" s="192"/>
      <c r="O171" s="192"/>
      <c r="P171" s="260"/>
      <c r="Q171" s="195"/>
      <c r="R171" s="251"/>
      <c r="AA171" s="19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ht="30" hidden="1" x14ac:dyDescent="0.25">
      <c r="A172" s="192" t="s">
        <v>1144</v>
      </c>
      <c r="B172" s="194" t="s">
        <v>210</v>
      </c>
      <c r="C172" s="147" t="s">
        <v>224</v>
      </c>
      <c r="D172" s="198">
        <v>0.05</v>
      </c>
      <c r="E172" s="198"/>
      <c r="F172" s="198">
        <v>0.55000000000000004</v>
      </c>
      <c r="G172" s="198">
        <v>0.25</v>
      </c>
      <c r="H172" s="198"/>
      <c r="I172" s="198">
        <v>0.05</v>
      </c>
      <c r="J172" s="198">
        <v>0.1</v>
      </c>
      <c r="K172" s="198"/>
      <c r="L172" s="198"/>
      <c r="M172" s="198" t="s">
        <v>639</v>
      </c>
      <c r="N172" s="198" t="s">
        <v>639</v>
      </c>
      <c r="O172" s="198" t="s">
        <v>35</v>
      </c>
      <c r="P172" s="196">
        <f t="shared" ref="P172:P178" si="2">SUM(D172:K172)</f>
        <v>1.0000000000000002</v>
      </c>
      <c r="Q172" s="199"/>
      <c r="R172" s="251"/>
      <c r="S172" s="189" t="s">
        <v>883</v>
      </c>
      <c r="T172" s="190" t="s">
        <v>634</v>
      </c>
      <c r="U172" s="190" t="s">
        <v>634</v>
      </c>
      <c r="V172" s="190" t="s">
        <v>884</v>
      </c>
      <c r="W172" s="190" t="s">
        <v>885</v>
      </c>
      <c r="X172" s="146" t="s">
        <v>653</v>
      </c>
      <c r="AA172" s="191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ht="30" hidden="1" x14ac:dyDescent="0.25">
      <c r="A173" s="192" t="s">
        <v>1145</v>
      </c>
      <c r="B173" s="194" t="s">
        <v>210</v>
      </c>
      <c r="C173" s="147" t="s">
        <v>225</v>
      </c>
      <c r="D173" s="198">
        <v>0.05</v>
      </c>
      <c r="E173" s="198"/>
      <c r="F173" s="198">
        <v>0.4</v>
      </c>
      <c r="G173" s="198">
        <v>0.35</v>
      </c>
      <c r="H173" s="198"/>
      <c r="I173" s="198">
        <v>0.1</v>
      </c>
      <c r="J173" s="198">
        <v>0.1</v>
      </c>
      <c r="K173" s="198"/>
      <c r="L173" s="198"/>
      <c r="M173" s="198" t="s">
        <v>639</v>
      </c>
      <c r="N173" s="198" t="s">
        <v>639</v>
      </c>
      <c r="O173" s="198" t="s">
        <v>35</v>
      </c>
      <c r="P173" s="196">
        <f t="shared" si="2"/>
        <v>1</v>
      </c>
      <c r="Q173" s="199"/>
      <c r="R173" s="251" t="s">
        <v>680</v>
      </c>
      <c r="S173" s="189" t="s">
        <v>883</v>
      </c>
      <c r="T173" s="190" t="s">
        <v>634</v>
      </c>
      <c r="U173" s="190" t="s">
        <v>634</v>
      </c>
      <c r="V173" s="190" t="s">
        <v>884</v>
      </c>
      <c r="W173" s="190" t="s">
        <v>886</v>
      </c>
      <c r="X173" s="146" t="s">
        <v>653</v>
      </c>
      <c r="AA173" s="191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ht="30" hidden="1" x14ac:dyDescent="0.25">
      <c r="A174" s="192" t="s">
        <v>1145</v>
      </c>
      <c r="B174" s="194" t="s">
        <v>210</v>
      </c>
      <c r="C174" s="147" t="s">
        <v>226</v>
      </c>
      <c r="D174" s="198">
        <v>0.05</v>
      </c>
      <c r="E174" s="198"/>
      <c r="F174" s="198">
        <v>0.55000000000000004</v>
      </c>
      <c r="G174" s="198">
        <v>0.25</v>
      </c>
      <c r="H174" s="198"/>
      <c r="I174" s="198">
        <v>0.05</v>
      </c>
      <c r="J174" s="198">
        <v>0.1</v>
      </c>
      <c r="K174" s="198"/>
      <c r="L174" s="198"/>
      <c r="M174" s="198" t="s">
        <v>639</v>
      </c>
      <c r="N174" s="198" t="s">
        <v>639</v>
      </c>
      <c r="O174" s="198" t="s">
        <v>35</v>
      </c>
      <c r="P174" s="196"/>
      <c r="Q174" s="199"/>
      <c r="R174" s="251" t="s">
        <v>681</v>
      </c>
      <c r="AA174" s="191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ht="30" hidden="1" x14ac:dyDescent="0.25">
      <c r="A175" s="216" t="s">
        <v>1146</v>
      </c>
      <c r="B175" s="194" t="s">
        <v>210</v>
      </c>
      <c r="C175" s="147" t="s">
        <v>227</v>
      </c>
      <c r="D175" s="198">
        <v>0.05</v>
      </c>
      <c r="E175" s="198"/>
      <c r="F175" s="198">
        <v>0.55000000000000004</v>
      </c>
      <c r="G175" s="198">
        <v>0.3</v>
      </c>
      <c r="H175" s="198"/>
      <c r="I175" s="198"/>
      <c r="J175" s="198">
        <v>0.1</v>
      </c>
      <c r="K175" s="198"/>
      <c r="L175" s="198"/>
      <c r="M175" s="198" t="s">
        <v>639</v>
      </c>
      <c r="N175" s="198" t="s">
        <v>639</v>
      </c>
      <c r="O175" s="198" t="s">
        <v>35</v>
      </c>
      <c r="P175" s="196">
        <f t="shared" si="2"/>
        <v>1.0000000000000002</v>
      </c>
      <c r="Q175" s="199"/>
      <c r="R175" s="251"/>
      <c r="S175" s="189" t="s">
        <v>883</v>
      </c>
      <c r="T175" s="190" t="s">
        <v>634</v>
      </c>
      <c r="U175" s="190" t="s">
        <v>634</v>
      </c>
      <c r="W175" s="190" t="s">
        <v>886</v>
      </c>
      <c r="X175" s="146" t="s">
        <v>653</v>
      </c>
      <c r="AA175" s="191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ht="30" hidden="1" x14ac:dyDescent="0.25">
      <c r="A176" s="216" t="s">
        <v>1147</v>
      </c>
      <c r="B176" s="194" t="s">
        <v>210</v>
      </c>
      <c r="C176" s="147" t="s">
        <v>228</v>
      </c>
      <c r="D176" s="198">
        <v>0.05</v>
      </c>
      <c r="E176" s="198"/>
      <c r="F176" s="198">
        <v>0.45</v>
      </c>
      <c r="G176" s="198">
        <v>0.4</v>
      </c>
      <c r="H176" s="198"/>
      <c r="I176" s="198"/>
      <c r="J176" s="198">
        <v>0.1</v>
      </c>
      <c r="K176" s="198"/>
      <c r="L176" s="198"/>
      <c r="M176" s="198" t="s">
        <v>639</v>
      </c>
      <c r="N176" s="198" t="s">
        <v>639</v>
      </c>
      <c r="O176" s="198" t="s">
        <v>35</v>
      </c>
      <c r="P176" s="196">
        <f t="shared" si="2"/>
        <v>1</v>
      </c>
      <c r="Q176" s="199"/>
      <c r="R176" s="251"/>
      <c r="S176" s="189" t="s">
        <v>887</v>
      </c>
      <c r="T176" s="190" t="s">
        <v>634</v>
      </c>
      <c r="U176" s="190" t="s">
        <v>634</v>
      </c>
      <c r="V176" s="190" t="s">
        <v>888</v>
      </c>
      <c r="W176" s="270" t="s">
        <v>889</v>
      </c>
      <c r="X176" s="146" t="s">
        <v>653</v>
      </c>
      <c r="AA176" s="191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ht="30" hidden="1" x14ac:dyDescent="0.25">
      <c r="A177" s="216" t="s">
        <v>1148</v>
      </c>
      <c r="B177" s="194" t="s">
        <v>210</v>
      </c>
      <c r="C177" s="147" t="s">
        <v>229</v>
      </c>
      <c r="D177" s="198"/>
      <c r="E177" s="198">
        <v>0.2</v>
      </c>
      <c r="F177" s="198">
        <v>0.25</v>
      </c>
      <c r="G177" s="198">
        <v>0.25</v>
      </c>
      <c r="H177" s="198">
        <v>0.2</v>
      </c>
      <c r="I177" s="198"/>
      <c r="J177" s="198">
        <v>0.1</v>
      </c>
      <c r="K177" s="198"/>
      <c r="L177" s="198"/>
      <c r="M177" s="198" t="s">
        <v>639</v>
      </c>
      <c r="N177" s="198" t="s">
        <v>639</v>
      </c>
      <c r="O177" s="198" t="s">
        <v>35</v>
      </c>
      <c r="P177" s="196">
        <f t="shared" si="2"/>
        <v>0.99999999999999989</v>
      </c>
      <c r="Q177" s="199"/>
      <c r="R177" s="251"/>
      <c r="S177" s="189" t="s">
        <v>887</v>
      </c>
      <c r="T177" s="190" t="s">
        <v>634</v>
      </c>
      <c r="U177" s="190" t="s">
        <v>634</v>
      </c>
      <c r="V177" s="190" t="s">
        <v>888</v>
      </c>
      <c r="W177" s="270" t="s">
        <v>889</v>
      </c>
      <c r="X177" s="146" t="s">
        <v>653</v>
      </c>
      <c r="AA177" s="191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ht="30" hidden="1" x14ac:dyDescent="0.25">
      <c r="A178" s="216" t="s">
        <v>1149</v>
      </c>
      <c r="B178" s="194" t="s">
        <v>210</v>
      </c>
      <c r="C178" s="147" t="s">
        <v>230</v>
      </c>
      <c r="D178" s="198"/>
      <c r="E178" s="198">
        <v>0.3</v>
      </c>
      <c r="F178" s="198">
        <v>0.15</v>
      </c>
      <c r="G178" s="198">
        <v>0.25</v>
      </c>
      <c r="H178" s="198">
        <v>0.2</v>
      </c>
      <c r="I178" s="149"/>
      <c r="J178" s="198">
        <v>0.1</v>
      </c>
      <c r="K178" s="198"/>
      <c r="L178" s="198"/>
      <c r="M178" s="198" t="s">
        <v>639</v>
      </c>
      <c r="N178" s="198" t="s">
        <v>639</v>
      </c>
      <c r="O178" s="198" t="s">
        <v>35</v>
      </c>
      <c r="P178" s="196">
        <f t="shared" si="2"/>
        <v>0.99999999999999989</v>
      </c>
      <c r="Q178" s="199"/>
      <c r="R178" s="251"/>
      <c r="S178" s="189" t="s">
        <v>887</v>
      </c>
      <c r="T178" s="190" t="s">
        <v>634</v>
      </c>
      <c r="U178" s="190" t="s">
        <v>634</v>
      </c>
      <c r="V178" s="190" t="s">
        <v>888</v>
      </c>
      <c r="W178" s="270" t="s">
        <v>889</v>
      </c>
      <c r="X178" s="146" t="s">
        <v>653</v>
      </c>
      <c r="AA178" s="191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ht="30" hidden="1" x14ac:dyDescent="0.25">
      <c r="A179" s="192" t="s">
        <v>1150</v>
      </c>
      <c r="B179" s="194" t="s">
        <v>210</v>
      </c>
      <c r="C179" s="147" t="s">
        <v>231</v>
      </c>
      <c r="D179" s="198">
        <v>0.05</v>
      </c>
      <c r="E179" s="198"/>
      <c r="F179" s="198"/>
      <c r="G179" s="198">
        <v>0.55000000000000004</v>
      </c>
      <c r="H179" s="198">
        <v>0.3</v>
      </c>
      <c r="I179" s="198"/>
      <c r="J179" s="198">
        <v>0.1</v>
      </c>
      <c r="K179" s="198"/>
      <c r="L179" s="198"/>
      <c r="M179" s="198" t="s">
        <v>639</v>
      </c>
      <c r="N179" s="198" t="s">
        <v>639</v>
      </c>
      <c r="O179" s="198" t="s">
        <v>35</v>
      </c>
      <c r="P179" s="196"/>
      <c r="Q179" s="199"/>
      <c r="R179" s="251" t="s">
        <v>681</v>
      </c>
      <c r="AA179" s="191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hidden="1" x14ac:dyDescent="0.25">
      <c r="A180" s="192"/>
      <c r="B180" s="194"/>
      <c r="C180" s="147"/>
      <c r="D180" s="198"/>
      <c r="E180" s="198"/>
      <c r="F180" s="198"/>
      <c r="G180" s="198"/>
      <c r="H180" s="198"/>
      <c r="I180" s="149"/>
      <c r="J180" s="198"/>
      <c r="K180" s="198"/>
      <c r="L180" s="198"/>
      <c r="M180" s="198"/>
      <c r="N180" s="198"/>
      <c r="O180" s="198"/>
      <c r="P180" s="196"/>
      <c r="Q180" s="199"/>
      <c r="R180" s="251"/>
      <c r="W180" s="270"/>
      <c r="AA180" s="191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ht="30" hidden="1" x14ac:dyDescent="0.25">
      <c r="A181" s="192"/>
      <c r="B181" s="194" t="s">
        <v>210</v>
      </c>
      <c r="C181" s="147" t="s">
        <v>232</v>
      </c>
      <c r="D181" s="198" t="s">
        <v>103</v>
      </c>
      <c r="E181" s="198" t="s">
        <v>212</v>
      </c>
      <c r="F181" s="198" t="s">
        <v>233</v>
      </c>
      <c r="G181" s="198" t="s">
        <v>17</v>
      </c>
      <c r="H181" s="198"/>
      <c r="I181" s="198"/>
      <c r="J181" s="198"/>
      <c r="K181" s="198"/>
      <c r="L181" s="198"/>
      <c r="M181" s="198"/>
      <c r="N181" s="198"/>
      <c r="O181" s="198"/>
      <c r="P181" s="196"/>
      <c r="Q181" s="199"/>
      <c r="R181" s="251" t="s">
        <v>681</v>
      </c>
      <c r="AA181" s="19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ht="30" hidden="1" x14ac:dyDescent="0.25">
      <c r="A182" s="192" t="s">
        <v>1151</v>
      </c>
      <c r="B182" s="194" t="s">
        <v>210</v>
      </c>
      <c r="C182" s="147" t="s">
        <v>234</v>
      </c>
      <c r="D182" s="198">
        <v>0.05</v>
      </c>
      <c r="E182" s="198">
        <v>0.3</v>
      </c>
      <c r="F182" s="198">
        <v>0.45</v>
      </c>
      <c r="G182" s="198">
        <v>0.2</v>
      </c>
      <c r="H182" s="198"/>
      <c r="I182" s="198"/>
      <c r="J182" s="198"/>
      <c r="K182" s="198"/>
      <c r="L182" s="198"/>
      <c r="M182" s="198" t="s">
        <v>639</v>
      </c>
      <c r="N182" s="198" t="s">
        <v>639</v>
      </c>
      <c r="O182" s="198" t="s">
        <v>122</v>
      </c>
      <c r="P182" s="196"/>
      <c r="Q182" s="199"/>
      <c r="R182" s="251" t="s">
        <v>681</v>
      </c>
      <c r="AA182" s="191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hidden="1" x14ac:dyDescent="0.25">
      <c r="A183" s="192"/>
      <c r="B183" s="194"/>
      <c r="C183" s="156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260"/>
      <c r="Q183" s="153"/>
      <c r="R183" s="251"/>
      <c r="AA183" s="191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ht="90" hidden="1" x14ac:dyDescent="0.25">
      <c r="A184" s="192"/>
      <c r="B184" s="194" t="s">
        <v>210</v>
      </c>
      <c r="C184" s="195" t="s">
        <v>235</v>
      </c>
      <c r="D184" s="192" t="s">
        <v>218</v>
      </c>
      <c r="E184" s="192" t="s">
        <v>682</v>
      </c>
      <c r="F184" s="192" t="s">
        <v>683</v>
      </c>
      <c r="G184" s="192" t="s">
        <v>684</v>
      </c>
      <c r="H184" s="192" t="s">
        <v>685</v>
      </c>
      <c r="I184" s="192" t="s">
        <v>236</v>
      </c>
      <c r="J184" s="192"/>
      <c r="K184" s="192"/>
      <c r="L184" s="192"/>
      <c r="M184" s="192"/>
      <c r="N184" s="192"/>
      <c r="O184" s="192"/>
      <c r="P184" s="260"/>
      <c r="Q184" s="195"/>
      <c r="R184" s="251"/>
      <c r="AA184" s="191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ht="30" hidden="1" x14ac:dyDescent="0.25">
      <c r="A185" s="192" t="s">
        <v>1152</v>
      </c>
      <c r="B185" s="194" t="s">
        <v>210</v>
      </c>
      <c r="C185" s="147" t="s">
        <v>686</v>
      </c>
      <c r="D185" s="198">
        <v>0.05</v>
      </c>
      <c r="E185" s="198">
        <v>0.25</v>
      </c>
      <c r="F185" s="198">
        <v>0.2</v>
      </c>
      <c r="G185" s="198">
        <v>0.15</v>
      </c>
      <c r="H185" s="198">
        <v>0.25</v>
      </c>
      <c r="I185" s="198">
        <v>0.1</v>
      </c>
      <c r="J185" s="198"/>
      <c r="K185" s="198"/>
      <c r="L185" s="198"/>
      <c r="M185" s="198" t="s">
        <v>639</v>
      </c>
      <c r="N185" s="198" t="s">
        <v>639</v>
      </c>
      <c r="O185" s="198" t="s">
        <v>35</v>
      </c>
      <c r="P185" s="196">
        <f>SUM(D185:N185)</f>
        <v>1</v>
      </c>
      <c r="Q185" s="199"/>
      <c r="R185" s="251" t="s">
        <v>687</v>
      </c>
      <c r="S185" s="189" t="s">
        <v>688</v>
      </c>
      <c r="T185" s="190" t="s">
        <v>634</v>
      </c>
      <c r="U185" s="190" t="s">
        <v>634</v>
      </c>
      <c r="V185" s="190" t="s">
        <v>890</v>
      </c>
      <c r="W185" s="190" t="s">
        <v>891</v>
      </c>
      <c r="X185" s="146" t="s">
        <v>689</v>
      </c>
      <c r="AA185" s="191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hidden="1" x14ac:dyDescent="0.25">
      <c r="A186" s="192"/>
      <c r="B186" s="194"/>
      <c r="C186" s="156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260"/>
      <c r="Q186" s="153"/>
      <c r="R186" s="251"/>
      <c r="AA186" s="191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ht="75" hidden="1" x14ac:dyDescent="0.25">
      <c r="A187" s="192"/>
      <c r="B187" s="194" t="s">
        <v>210</v>
      </c>
      <c r="C187" s="195" t="s">
        <v>690</v>
      </c>
      <c r="D187" s="192" t="s">
        <v>691</v>
      </c>
      <c r="E187" s="192" t="s">
        <v>692</v>
      </c>
      <c r="F187" s="192" t="s">
        <v>693</v>
      </c>
      <c r="G187" s="192" t="s">
        <v>694</v>
      </c>
      <c r="H187" s="192" t="s">
        <v>695</v>
      </c>
      <c r="I187" s="192" t="s">
        <v>236</v>
      </c>
      <c r="J187" s="192"/>
      <c r="K187" s="192"/>
      <c r="L187" s="192"/>
      <c r="M187" s="192" t="s">
        <v>639</v>
      </c>
      <c r="N187" s="192" t="s">
        <v>639</v>
      </c>
      <c r="O187" s="192"/>
      <c r="P187" s="260"/>
      <c r="Q187" s="195"/>
      <c r="R187" s="251"/>
      <c r="AA187" s="191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ht="30" hidden="1" x14ac:dyDescent="0.25">
      <c r="A188" s="192" t="s">
        <v>1153</v>
      </c>
      <c r="B188" s="194" t="s">
        <v>210</v>
      </c>
      <c r="C188" s="147" t="s">
        <v>690</v>
      </c>
      <c r="D188" s="198">
        <v>0.05</v>
      </c>
      <c r="E188" s="198">
        <v>0.1</v>
      </c>
      <c r="F188" s="198">
        <v>0.4</v>
      </c>
      <c r="G188" s="198">
        <v>0.15</v>
      </c>
      <c r="H188" s="198">
        <v>0.2</v>
      </c>
      <c r="I188" s="198">
        <v>0.1</v>
      </c>
      <c r="J188" s="198"/>
      <c r="K188" s="198"/>
      <c r="L188" s="198"/>
      <c r="M188" s="198" t="s">
        <v>639</v>
      </c>
      <c r="N188" s="198" t="s">
        <v>639</v>
      </c>
      <c r="O188" s="198" t="s">
        <v>35</v>
      </c>
      <c r="P188" s="196">
        <f>SUM(D188:N188)</f>
        <v>1.0000000000000002</v>
      </c>
      <c r="Q188" s="199"/>
      <c r="R188" s="251"/>
      <c r="AA188" s="191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hidden="1" x14ac:dyDescent="0.25">
      <c r="A189" s="192"/>
      <c r="B189" s="194"/>
      <c r="C189" s="156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260"/>
      <c r="Q189" s="153"/>
      <c r="R189" s="152" t="s">
        <v>696</v>
      </c>
      <c r="AA189" s="191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164" customFormat="1" ht="45" hidden="1" x14ac:dyDescent="0.25">
      <c r="A190" s="216"/>
      <c r="B190" s="214" t="s">
        <v>210</v>
      </c>
      <c r="C190" s="215" t="s">
        <v>237</v>
      </c>
      <c r="D190" s="216" t="s">
        <v>218</v>
      </c>
      <c r="E190" s="271" t="s">
        <v>238</v>
      </c>
      <c r="F190" s="216" t="s">
        <v>239</v>
      </c>
      <c r="G190" s="216" t="s">
        <v>240</v>
      </c>
      <c r="H190" s="216" t="s">
        <v>17</v>
      </c>
      <c r="I190" s="272"/>
      <c r="J190" s="272"/>
      <c r="K190" s="272"/>
      <c r="L190" s="272"/>
      <c r="M190" s="272"/>
      <c r="N190" s="272"/>
      <c r="O190" s="272"/>
      <c r="P190" s="273"/>
      <c r="Q190" s="274"/>
      <c r="R190" s="275"/>
      <c r="S190" s="276"/>
      <c r="T190" s="277"/>
      <c r="U190" s="277"/>
      <c r="V190" s="277"/>
      <c r="W190" s="277"/>
      <c r="AA190" s="278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154"/>
      <c r="BO190" s="154"/>
      <c r="BP190" s="154"/>
      <c r="BQ190" s="154"/>
      <c r="BR190" s="154"/>
      <c r="BS190" s="154"/>
      <c r="BT190" s="154"/>
      <c r="BU190" s="154"/>
      <c r="BV190" s="154"/>
      <c r="BW190" s="154"/>
      <c r="BX190" s="154"/>
      <c r="BY190" s="154"/>
      <c r="BZ190" s="154"/>
      <c r="CA190" s="154"/>
      <c r="CB190" s="154"/>
      <c r="CC190" s="154"/>
      <c r="CD190" s="154"/>
      <c r="CE190" s="154"/>
      <c r="CF190" s="154"/>
      <c r="CG190" s="154"/>
      <c r="CH190" s="154"/>
      <c r="CI190" s="154"/>
      <c r="CJ190" s="154"/>
      <c r="CK190" s="154"/>
      <c r="CL190" s="154"/>
      <c r="CM190" s="154"/>
      <c r="CN190" s="154"/>
      <c r="CO190" s="154"/>
      <c r="CP190" s="154"/>
      <c r="CQ190" s="154"/>
      <c r="CR190" s="154"/>
      <c r="CS190" s="154"/>
      <c r="CT190" s="154"/>
      <c r="CU190" s="154"/>
      <c r="CV190" s="154"/>
      <c r="CW190" s="154"/>
      <c r="CX190" s="154"/>
      <c r="CY190" s="154"/>
      <c r="CZ190" s="154"/>
      <c r="DA190" s="154"/>
      <c r="DB190" s="154"/>
      <c r="DC190" s="154"/>
      <c r="DD190" s="154"/>
      <c r="DE190" s="154"/>
      <c r="DF190" s="154"/>
      <c r="DG190" s="154"/>
      <c r="DH190" s="154"/>
      <c r="DI190" s="154"/>
      <c r="DJ190" s="154"/>
      <c r="DK190" s="154"/>
      <c r="DL190" s="154"/>
      <c r="DM190" s="154"/>
      <c r="DN190" s="154"/>
      <c r="DO190" s="154"/>
      <c r="DP190" s="154"/>
      <c r="DQ190" s="154"/>
      <c r="DR190" s="154"/>
      <c r="DS190" s="154"/>
      <c r="DT190" s="154"/>
      <c r="DU190" s="154"/>
      <c r="DV190" s="154"/>
      <c r="DW190" s="154"/>
      <c r="DX190" s="154"/>
      <c r="DY190" s="154"/>
      <c r="DZ190" s="154"/>
      <c r="EA190" s="154"/>
      <c r="EB190" s="154"/>
      <c r="EC190" s="154"/>
      <c r="ED190" s="154"/>
      <c r="EE190" s="154"/>
      <c r="EF190" s="154"/>
      <c r="EG190" s="154"/>
      <c r="EH190" s="154"/>
      <c r="EI190" s="154"/>
      <c r="EJ190" s="154"/>
      <c r="EK190" s="154"/>
      <c r="EL190" s="154"/>
      <c r="EM190" s="154"/>
      <c r="EN190" s="154"/>
      <c r="EO190" s="154"/>
      <c r="EP190" s="154"/>
      <c r="EQ190" s="154"/>
      <c r="ER190" s="154"/>
      <c r="ES190" s="154"/>
      <c r="ET190" s="154"/>
      <c r="EU190" s="154"/>
      <c r="EV190" s="154"/>
      <c r="EW190" s="154"/>
      <c r="EX190" s="154"/>
      <c r="EY190" s="154"/>
      <c r="EZ190" s="154"/>
      <c r="FA190" s="154"/>
      <c r="FB190" s="154"/>
      <c r="FC190" s="154"/>
      <c r="FD190" s="154"/>
      <c r="FE190" s="154"/>
      <c r="FF190" s="154"/>
      <c r="FG190" s="154"/>
      <c r="FH190" s="154"/>
      <c r="FI190" s="154"/>
      <c r="FJ190" s="154"/>
      <c r="FK190" s="154"/>
      <c r="FL190" s="154"/>
      <c r="FM190" s="154"/>
      <c r="FN190" s="154"/>
      <c r="FO190" s="154"/>
      <c r="FP190" s="154"/>
      <c r="FQ190" s="154"/>
      <c r="FR190" s="154"/>
      <c r="FS190" s="154"/>
      <c r="FT190" s="154"/>
      <c r="FU190" s="154"/>
      <c r="FV190" s="154"/>
      <c r="FW190" s="154"/>
      <c r="FX190" s="154"/>
    </row>
    <row r="191" spans="1:180" s="164" customFormat="1" ht="30" hidden="1" x14ac:dyDescent="0.25">
      <c r="A191" s="216" t="s">
        <v>1154</v>
      </c>
      <c r="B191" s="214" t="s">
        <v>210</v>
      </c>
      <c r="C191" s="151" t="s">
        <v>237</v>
      </c>
      <c r="D191" s="217">
        <v>0.05</v>
      </c>
      <c r="E191" s="217">
        <v>0.35</v>
      </c>
      <c r="F191" s="217">
        <v>0.25</v>
      </c>
      <c r="G191" s="217">
        <v>0.25</v>
      </c>
      <c r="H191" s="217">
        <v>0.1</v>
      </c>
      <c r="I191" s="155"/>
      <c r="J191" s="155"/>
      <c r="K191" s="155"/>
      <c r="L191" s="155"/>
      <c r="M191" s="155" t="s">
        <v>639</v>
      </c>
      <c r="N191" s="155" t="s">
        <v>639</v>
      </c>
      <c r="O191" s="155" t="s">
        <v>122</v>
      </c>
      <c r="P191" s="279">
        <f>SUM(D191:K191)</f>
        <v>0.99999999999999989</v>
      </c>
      <c r="Q191" s="165"/>
      <c r="R191" s="163" t="s">
        <v>697</v>
      </c>
      <c r="S191" s="276" t="s">
        <v>892</v>
      </c>
      <c r="T191" s="277" t="s">
        <v>634</v>
      </c>
      <c r="U191" s="277" t="s">
        <v>634</v>
      </c>
      <c r="V191" s="277" t="s">
        <v>893</v>
      </c>
      <c r="W191" s="277" t="s">
        <v>894</v>
      </c>
      <c r="AA191" s="278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  <c r="BN191" s="154"/>
      <c r="BO191" s="154"/>
      <c r="BP191" s="154"/>
      <c r="BQ191" s="154"/>
      <c r="BR191" s="154"/>
      <c r="BS191" s="154"/>
      <c r="BT191" s="154"/>
      <c r="BU191" s="154"/>
      <c r="BV191" s="154"/>
      <c r="BW191" s="154"/>
      <c r="BX191" s="154"/>
      <c r="BY191" s="154"/>
      <c r="BZ191" s="154"/>
      <c r="CA191" s="154"/>
      <c r="CB191" s="154"/>
      <c r="CC191" s="154"/>
      <c r="CD191" s="154"/>
      <c r="CE191" s="154"/>
      <c r="CF191" s="154"/>
      <c r="CG191" s="154"/>
      <c r="CH191" s="154"/>
      <c r="CI191" s="154"/>
      <c r="CJ191" s="154"/>
      <c r="CK191" s="154"/>
      <c r="CL191" s="154"/>
      <c r="CM191" s="154"/>
      <c r="CN191" s="154"/>
      <c r="CO191" s="154"/>
      <c r="CP191" s="154"/>
      <c r="CQ191" s="154"/>
      <c r="CR191" s="154"/>
      <c r="CS191" s="154"/>
      <c r="CT191" s="154"/>
      <c r="CU191" s="154"/>
      <c r="CV191" s="154"/>
      <c r="CW191" s="154"/>
      <c r="CX191" s="154"/>
      <c r="CY191" s="154"/>
      <c r="CZ191" s="154"/>
      <c r="DA191" s="154"/>
      <c r="DB191" s="154"/>
      <c r="DC191" s="154"/>
      <c r="DD191" s="154"/>
      <c r="DE191" s="154"/>
      <c r="DF191" s="154"/>
      <c r="DG191" s="154"/>
      <c r="DH191" s="154"/>
      <c r="DI191" s="154"/>
      <c r="DJ191" s="154"/>
      <c r="DK191" s="154"/>
      <c r="DL191" s="154"/>
      <c r="DM191" s="154"/>
      <c r="DN191" s="154"/>
      <c r="DO191" s="154"/>
      <c r="DP191" s="154"/>
      <c r="DQ191" s="154"/>
      <c r="DR191" s="154"/>
      <c r="DS191" s="154"/>
      <c r="DT191" s="154"/>
      <c r="DU191" s="154"/>
      <c r="DV191" s="154"/>
      <c r="DW191" s="154"/>
      <c r="DX191" s="154"/>
      <c r="DY191" s="154"/>
      <c r="DZ191" s="154"/>
      <c r="EA191" s="154"/>
      <c r="EB191" s="154"/>
      <c r="EC191" s="154"/>
      <c r="ED191" s="154"/>
      <c r="EE191" s="154"/>
      <c r="EF191" s="154"/>
      <c r="EG191" s="154"/>
      <c r="EH191" s="154"/>
      <c r="EI191" s="154"/>
      <c r="EJ191" s="154"/>
      <c r="EK191" s="154"/>
      <c r="EL191" s="154"/>
      <c r="EM191" s="154"/>
      <c r="EN191" s="154"/>
      <c r="EO191" s="154"/>
      <c r="EP191" s="154"/>
      <c r="EQ191" s="154"/>
      <c r="ER191" s="154"/>
      <c r="ES191" s="154"/>
      <c r="ET191" s="154"/>
      <c r="EU191" s="154"/>
      <c r="EV191" s="154"/>
      <c r="EW191" s="154"/>
      <c r="EX191" s="154"/>
      <c r="EY191" s="154"/>
      <c r="EZ191" s="154"/>
      <c r="FA191" s="154"/>
      <c r="FB191" s="154"/>
      <c r="FC191" s="154"/>
      <c r="FD191" s="154"/>
      <c r="FE191" s="154"/>
      <c r="FF191" s="154"/>
      <c r="FG191" s="154"/>
      <c r="FH191" s="154"/>
      <c r="FI191" s="154"/>
      <c r="FJ191" s="154"/>
      <c r="FK191" s="154"/>
      <c r="FL191" s="154"/>
      <c r="FM191" s="154"/>
      <c r="FN191" s="154"/>
      <c r="FO191" s="154"/>
      <c r="FP191" s="154"/>
      <c r="FQ191" s="154"/>
      <c r="FR191" s="154"/>
      <c r="FS191" s="154"/>
      <c r="FT191" s="154"/>
      <c r="FU191" s="154"/>
      <c r="FV191" s="154"/>
      <c r="FW191" s="154"/>
      <c r="FX191" s="154"/>
    </row>
    <row r="192" spans="1:180" hidden="1" x14ac:dyDescent="0.25">
      <c r="A192" s="192"/>
      <c r="B192" s="194"/>
      <c r="C192" s="156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260"/>
      <c r="Q192" s="153"/>
      <c r="R192" s="251"/>
      <c r="AA192" s="191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164" customFormat="1" ht="30" hidden="1" x14ac:dyDescent="0.25">
      <c r="A193" s="216"/>
      <c r="B193" s="214" t="s">
        <v>210</v>
      </c>
      <c r="C193" s="215" t="s">
        <v>241</v>
      </c>
      <c r="D193" s="216" t="s">
        <v>103</v>
      </c>
      <c r="E193" s="271" t="s">
        <v>212</v>
      </c>
      <c r="F193" s="216" t="s">
        <v>233</v>
      </c>
      <c r="G193" s="216" t="s">
        <v>17</v>
      </c>
      <c r="H193" s="216"/>
      <c r="I193" s="272"/>
      <c r="J193" s="272"/>
      <c r="K193" s="272"/>
      <c r="L193" s="272"/>
      <c r="M193" s="272"/>
      <c r="N193" s="272"/>
      <c r="O193" s="272"/>
      <c r="P193" s="273"/>
      <c r="Q193" s="274"/>
      <c r="R193" s="275" t="s">
        <v>681</v>
      </c>
      <c r="S193" s="276"/>
      <c r="T193" s="277"/>
      <c r="U193" s="277"/>
      <c r="V193" s="277"/>
      <c r="W193" s="277"/>
      <c r="AA193" s="278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  <c r="BN193" s="154"/>
      <c r="BO193" s="154"/>
      <c r="BP193" s="154"/>
      <c r="BQ193" s="154"/>
      <c r="BR193" s="154"/>
      <c r="BS193" s="154"/>
      <c r="BT193" s="154"/>
      <c r="BU193" s="154"/>
      <c r="BV193" s="154"/>
      <c r="BW193" s="154"/>
      <c r="BX193" s="154"/>
      <c r="BY193" s="154"/>
      <c r="BZ193" s="154"/>
      <c r="CA193" s="154"/>
      <c r="CB193" s="154"/>
      <c r="CC193" s="154"/>
      <c r="CD193" s="154"/>
      <c r="CE193" s="154"/>
      <c r="CF193" s="154"/>
      <c r="CG193" s="154"/>
      <c r="CH193" s="154"/>
      <c r="CI193" s="154"/>
      <c r="CJ193" s="154"/>
      <c r="CK193" s="154"/>
      <c r="CL193" s="154"/>
      <c r="CM193" s="154"/>
      <c r="CN193" s="154"/>
      <c r="CO193" s="154"/>
      <c r="CP193" s="154"/>
      <c r="CQ193" s="154"/>
      <c r="CR193" s="154"/>
      <c r="CS193" s="154"/>
      <c r="CT193" s="154"/>
      <c r="CU193" s="154"/>
      <c r="CV193" s="154"/>
      <c r="CW193" s="154"/>
      <c r="CX193" s="154"/>
      <c r="CY193" s="154"/>
      <c r="CZ193" s="154"/>
      <c r="DA193" s="154"/>
      <c r="DB193" s="154"/>
      <c r="DC193" s="154"/>
      <c r="DD193" s="154"/>
      <c r="DE193" s="154"/>
      <c r="DF193" s="154"/>
      <c r="DG193" s="154"/>
      <c r="DH193" s="154"/>
      <c r="DI193" s="154"/>
      <c r="DJ193" s="154"/>
      <c r="DK193" s="154"/>
      <c r="DL193" s="154"/>
      <c r="DM193" s="154"/>
      <c r="DN193" s="154"/>
      <c r="DO193" s="154"/>
      <c r="DP193" s="154"/>
      <c r="DQ193" s="154"/>
      <c r="DR193" s="154"/>
      <c r="DS193" s="154"/>
      <c r="DT193" s="154"/>
      <c r="DU193" s="154"/>
      <c r="DV193" s="154"/>
      <c r="DW193" s="154"/>
      <c r="DX193" s="154"/>
      <c r="DY193" s="154"/>
      <c r="DZ193" s="154"/>
      <c r="EA193" s="154"/>
      <c r="EB193" s="154"/>
      <c r="EC193" s="154"/>
      <c r="ED193" s="154"/>
      <c r="EE193" s="154"/>
      <c r="EF193" s="154"/>
      <c r="EG193" s="154"/>
      <c r="EH193" s="154"/>
      <c r="EI193" s="154"/>
      <c r="EJ193" s="154"/>
      <c r="EK193" s="154"/>
      <c r="EL193" s="154"/>
      <c r="EM193" s="154"/>
      <c r="EN193" s="154"/>
      <c r="EO193" s="154"/>
      <c r="EP193" s="154"/>
      <c r="EQ193" s="154"/>
      <c r="ER193" s="154"/>
      <c r="ES193" s="154"/>
      <c r="ET193" s="154"/>
      <c r="EU193" s="154"/>
      <c r="EV193" s="154"/>
      <c r="EW193" s="154"/>
      <c r="EX193" s="154"/>
      <c r="EY193" s="154"/>
      <c r="EZ193" s="154"/>
      <c r="FA193" s="154"/>
      <c r="FB193" s="154"/>
      <c r="FC193" s="154"/>
      <c r="FD193" s="154"/>
      <c r="FE193" s="154"/>
      <c r="FF193" s="154"/>
      <c r="FG193" s="154"/>
      <c r="FH193" s="154"/>
      <c r="FI193" s="154"/>
      <c r="FJ193" s="154"/>
      <c r="FK193" s="154"/>
      <c r="FL193" s="154"/>
      <c r="FM193" s="154"/>
      <c r="FN193" s="154"/>
      <c r="FO193" s="154"/>
      <c r="FP193" s="154"/>
      <c r="FQ193" s="154"/>
      <c r="FR193" s="154"/>
      <c r="FS193" s="154"/>
      <c r="FT193" s="154"/>
      <c r="FU193" s="154"/>
      <c r="FV193" s="154"/>
      <c r="FW193" s="154"/>
      <c r="FX193" s="154"/>
    </row>
    <row r="194" spans="1:180" s="164" customFormat="1" ht="30" hidden="1" x14ac:dyDescent="0.25">
      <c r="A194" s="216" t="s">
        <v>1155</v>
      </c>
      <c r="B194" s="214" t="s">
        <v>210</v>
      </c>
      <c r="C194" s="151" t="s">
        <v>242</v>
      </c>
      <c r="D194" s="217">
        <v>0.05</v>
      </c>
      <c r="E194" s="217">
        <v>0.3</v>
      </c>
      <c r="F194" s="217">
        <v>0.45</v>
      </c>
      <c r="G194" s="217">
        <v>0.2</v>
      </c>
      <c r="H194" s="217"/>
      <c r="I194" s="155"/>
      <c r="J194" s="155"/>
      <c r="K194" s="155"/>
      <c r="L194" s="155"/>
      <c r="M194" s="155" t="s">
        <v>639</v>
      </c>
      <c r="N194" s="155" t="s">
        <v>639</v>
      </c>
      <c r="O194" s="155" t="s">
        <v>122</v>
      </c>
      <c r="P194" s="279"/>
      <c r="Q194" s="165"/>
      <c r="R194" s="163" t="s">
        <v>681</v>
      </c>
      <c r="S194" s="276"/>
      <c r="T194" s="277"/>
      <c r="U194" s="277"/>
      <c r="V194" s="277"/>
      <c r="W194" s="277"/>
      <c r="AA194" s="278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154"/>
      <c r="BO194" s="154"/>
      <c r="BP194" s="154"/>
      <c r="BQ194" s="154"/>
      <c r="BR194" s="154"/>
      <c r="BS194" s="154"/>
      <c r="BT194" s="154"/>
      <c r="BU194" s="154"/>
      <c r="BV194" s="154"/>
      <c r="BW194" s="154"/>
      <c r="BX194" s="154"/>
      <c r="BY194" s="154"/>
      <c r="BZ194" s="154"/>
      <c r="CA194" s="154"/>
      <c r="CB194" s="154"/>
      <c r="CC194" s="154"/>
      <c r="CD194" s="154"/>
      <c r="CE194" s="154"/>
      <c r="CF194" s="154"/>
      <c r="CG194" s="154"/>
      <c r="CH194" s="154"/>
      <c r="CI194" s="154"/>
      <c r="CJ194" s="154"/>
      <c r="CK194" s="154"/>
      <c r="CL194" s="154"/>
      <c r="CM194" s="154"/>
      <c r="CN194" s="154"/>
      <c r="CO194" s="154"/>
      <c r="CP194" s="154"/>
      <c r="CQ194" s="154"/>
      <c r="CR194" s="154"/>
      <c r="CS194" s="154"/>
      <c r="CT194" s="154"/>
      <c r="CU194" s="154"/>
      <c r="CV194" s="154"/>
      <c r="CW194" s="154"/>
      <c r="CX194" s="154"/>
      <c r="CY194" s="154"/>
      <c r="CZ194" s="154"/>
      <c r="DA194" s="154"/>
      <c r="DB194" s="154"/>
      <c r="DC194" s="154"/>
      <c r="DD194" s="154"/>
      <c r="DE194" s="154"/>
      <c r="DF194" s="154"/>
      <c r="DG194" s="154"/>
      <c r="DH194" s="154"/>
      <c r="DI194" s="154"/>
      <c r="DJ194" s="154"/>
      <c r="DK194" s="154"/>
      <c r="DL194" s="154"/>
      <c r="DM194" s="154"/>
      <c r="DN194" s="154"/>
      <c r="DO194" s="154"/>
      <c r="DP194" s="154"/>
      <c r="DQ194" s="154"/>
      <c r="DR194" s="154"/>
      <c r="DS194" s="154"/>
      <c r="DT194" s="154"/>
      <c r="DU194" s="154"/>
      <c r="DV194" s="154"/>
      <c r="DW194" s="154"/>
      <c r="DX194" s="154"/>
      <c r="DY194" s="154"/>
      <c r="DZ194" s="154"/>
      <c r="EA194" s="154"/>
      <c r="EB194" s="154"/>
      <c r="EC194" s="154"/>
      <c r="ED194" s="154"/>
      <c r="EE194" s="154"/>
      <c r="EF194" s="154"/>
      <c r="EG194" s="154"/>
      <c r="EH194" s="154"/>
      <c r="EI194" s="154"/>
      <c r="EJ194" s="154"/>
      <c r="EK194" s="154"/>
      <c r="EL194" s="154"/>
      <c r="EM194" s="154"/>
      <c r="EN194" s="154"/>
      <c r="EO194" s="154"/>
      <c r="EP194" s="154"/>
      <c r="EQ194" s="154"/>
      <c r="ER194" s="154"/>
      <c r="ES194" s="154"/>
      <c r="ET194" s="154"/>
      <c r="EU194" s="154"/>
      <c r="EV194" s="154"/>
      <c r="EW194" s="154"/>
      <c r="EX194" s="154"/>
      <c r="EY194" s="154"/>
      <c r="EZ194" s="154"/>
      <c r="FA194" s="154"/>
      <c r="FB194" s="154"/>
      <c r="FC194" s="154"/>
      <c r="FD194" s="154"/>
      <c r="FE194" s="154"/>
      <c r="FF194" s="154"/>
      <c r="FG194" s="154"/>
      <c r="FH194" s="154"/>
      <c r="FI194" s="154"/>
      <c r="FJ194" s="154"/>
      <c r="FK194" s="154"/>
      <c r="FL194" s="154"/>
      <c r="FM194" s="154"/>
      <c r="FN194" s="154"/>
      <c r="FO194" s="154"/>
      <c r="FP194" s="154"/>
      <c r="FQ194" s="154"/>
      <c r="FR194" s="154"/>
      <c r="FS194" s="154"/>
      <c r="FT194" s="154"/>
      <c r="FU194" s="154"/>
      <c r="FV194" s="154"/>
      <c r="FW194" s="154"/>
      <c r="FX194" s="154"/>
    </row>
    <row r="195" spans="1:180" s="164" customFormat="1" ht="30" hidden="1" x14ac:dyDescent="0.25">
      <c r="A195" s="216" t="s">
        <v>1156</v>
      </c>
      <c r="B195" s="214" t="s">
        <v>210</v>
      </c>
      <c r="C195" s="151" t="s">
        <v>243</v>
      </c>
      <c r="D195" s="217">
        <v>0.05</v>
      </c>
      <c r="E195" s="217">
        <v>0.3</v>
      </c>
      <c r="F195" s="217">
        <v>0.45</v>
      </c>
      <c r="G195" s="217">
        <v>0.2</v>
      </c>
      <c r="H195" s="217"/>
      <c r="I195" s="155"/>
      <c r="J195" s="155"/>
      <c r="K195" s="155"/>
      <c r="L195" s="155"/>
      <c r="M195" s="155" t="s">
        <v>639</v>
      </c>
      <c r="N195" s="155" t="s">
        <v>639</v>
      </c>
      <c r="O195" s="155" t="s">
        <v>122</v>
      </c>
      <c r="P195" s="279"/>
      <c r="Q195" s="165"/>
      <c r="R195" s="163" t="s">
        <v>681</v>
      </c>
      <c r="S195" s="276"/>
      <c r="T195" s="277"/>
      <c r="U195" s="277"/>
      <c r="V195" s="277"/>
      <c r="W195" s="277"/>
      <c r="AA195" s="278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  <c r="BN195" s="154"/>
      <c r="BO195" s="154"/>
      <c r="BP195" s="154"/>
      <c r="BQ195" s="154"/>
      <c r="BR195" s="154"/>
      <c r="BS195" s="154"/>
      <c r="BT195" s="154"/>
      <c r="BU195" s="154"/>
      <c r="BV195" s="154"/>
      <c r="BW195" s="154"/>
      <c r="BX195" s="154"/>
      <c r="BY195" s="154"/>
      <c r="BZ195" s="154"/>
      <c r="CA195" s="154"/>
      <c r="CB195" s="154"/>
      <c r="CC195" s="154"/>
      <c r="CD195" s="154"/>
      <c r="CE195" s="154"/>
      <c r="CF195" s="154"/>
      <c r="CG195" s="154"/>
      <c r="CH195" s="154"/>
      <c r="CI195" s="154"/>
      <c r="CJ195" s="154"/>
      <c r="CK195" s="154"/>
      <c r="CL195" s="154"/>
      <c r="CM195" s="154"/>
      <c r="CN195" s="154"/>
      <c r="CO195" s="154"/>
      <c r="CP195" s="154"/>
      <c r="CQ195" s="154"/>
      <c r="CR195" s="154"/>
      <c r="CS195" s="154"/>
      <c r="CT195" s="154"/>
      <c r="CU195" s="154"/>
      <c r="CV195" s="154"/>
      <c r="CW195" s="154"/>
      <c r="CX195" s="154"/>
      <c r="CY195" s="154"/>
      <c r="CZ195" s="154"/>
      <c r="DA195" s="154"/>
      <c r="DB195" s="154"/>
      <c r="DC195" s="154"/>
      <c r="DD195" s="154"/>
      <c r="DE195" s="154"/>
      <c r="DF195" s="154"/>
      <c r="DG195" s="154"/>
      <c r="DH195" s="154"/>
      <c r="DI195" s="154"/>
      <c r="DJ195" s="154"/>
      <c r="DK195" s="154"/>
      <c r="DL195" s="154"/>
      <c r="DM195" s="154"/>
      <c r="DN195" s="154"/>
      <c r="DO195" s="154"/>
      <c r="DP195" s="154"/>
      <c r="DQ195" s="154"/>
      <c r="DR195" s="154"/>
      <c r="DS195" s="154"/>
      <c r="DT195" s="154"/>
      <c r="DU195" s="154"/>
      <c r="DV195" s="154"/>
      <c r="DW195" s="154"/>
      <c r="DX195" s="154"/>
      <c r="DY195" s="154"/>
      <c r="DZ195" s="154"/>
      <c r="EA195" s="154"/>
      <c r="EB195" s="154"/>
      <c r="EC195" s="154"/>
      <c r="ED195" s="154"/>
      <c r="EE195" s="154"/>
      <c r="EF195" s="154"/>
      <c r="EG195" s="154"/>
      <c r="EH195" s="154"/>
      <c r="EI195" s="154"/>
      <c r="EJ195" s="154"/>
      <c r="EK195" s="154"/>
      <c r="EL195" s="154"/>
      <c r="EM195" s="154"/>
      <c r="EN195" s="154"/>
      <c r="EO195" s="154"/>
      <c r="EP195" s="154"/>
      <c r="EQ195" s="154"/>
      <c r="ER195" s="154"/>
      <c r="ES195" s="154"/>
      <c r="ET195" s="154"/>
      <c r="EU195" s="154"/>
      <c r="EV195" s="154"/>
      <c r="EW195" s="154"/>
      <c r="EX195" s="154"/>
      <c r="EY195" s="154"/>
      <c r="EZ195" s="154"/>
      <c r="FA195" s="154"/>
      <c r="FB195" s="154"/>
      <c r="FC195" s="154"/>
      <c r="FD195" s="154"/>
      <c r="FE195" s="154"/>
      <c r="FF195" s="154"/>
      <c r="FG195" s="154"/>
      <c r="FH195" s="154"/>
      <c r="FI195" s="154"/>
      <c r="FJ195" s="154"/>
      <c r="FK195" s="154"/>
      <c r="FL195" s="154"/>
      <c r="FM195" s="154"/>
      <c r="FN195" s="154"/>
      <c r="FO195" s="154"/>
      <c r="FP195" s="154"/>
      <c r="FQ195" s="154"/>
      <c r="FR195" s="154"/>
      <c r="FS195" s="154"/>
      <c r="FT195" s="154"/>
      <c r="FU195" s="154"/>
      <c r="FV195" s="154"/>
      <c r="FW195" s="154"/>
      <c r="FX195" s="154"/>
    </row>
    <row r="196" spans="1:180" s="164" customFormat="1" ht="30" hidden="1" x14ac:dyDescent="0.25">
      <c r="A196" s="216" t="s">
        <v>1157</v>
      </c>
      <c r="B196" s="214" t="s">
        <v>210</v>
      </c>
      <c r="C196" s="151" t="s">
        <v>244</v>
      </c>
      <c r="D196" s="217">
        <v>0.05</v>
      </c>
      <c r="E196" s="217">
        <v>0.3</v>
      </c>
      <c r="F196" s="217">
        <v>0.45</v>
      </c>
      <c r="G196" s="217">
        <v>0.2</v>
      </c>
      <c r="H196" s="217"/>
      <c r="I196" s="155"/>
      <c r="J196" s="155"/>
      <c r="K196" s="155"/>
      <c r="L196" s="155"/>
      <c r="M196" s="155" t="s">
        <v>639</v>
      </c>
      <c r="N196" s="155" t="s">
        <v>639</v>
      </c>
      <c r="O196" s="155" t="s">
        <v>122</v>
      </c>
      <c r="P196" s="279"/>
      <c r="Q196" s="165"/>
      <c r="R196" s="163" t="s">
        <v>681</v>
      </c>
      <c r="S196" s="276"/>
      <c r="T196" s="277"/>
      <c r="U196" s="277"/>
      <c r="V196" s="277"/>
      <c r="W196" s="277"/>
      <c r="AA196" s="278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154"/>
      <c r="BO196" s="154"/>
      <c r="BP196" s="154"/>
      <c r="BQ196" s="154"/>
      <c r="BR196" s="154"/>
      <c r="BS196" s="154"/>
      <c r="BT196" s="154"/>
      <c r="BU196" s="154"/>
      <c r="BV196" s="154"/>
      <c r="BW196" s="154"/>
      <c r="BX196" s="154"/>
      <c r="BY196" s="154"/>
      <c r="BZ196" s="154"/>
      <c r="CA196" s="154"/>
      <c r="CB196" s="154"/>
      <c r="CC196" s="154"/>
      <c r="CD196" s="154"/>
      <c r="CE196" s="154"/>
      <c r="CF196" s="154"/>
      <c r="CG196" s="154"/>
      <c r="CH196" s="154"/>
      <c r="CI196" s="154"/>
      <c r="CJ196" s="154"/>
      <c r="CK196" s="154"/>
      <c r="CL196" s="154"/>
      <c r="CM196" s="154"/>
      <c r="CN196" s="154"/>
      <c r="CO196" s="154"/>
      <c r="CP196" s="154"/>
      <c r="CQ196" s="154"/>
      <c r="CR196" s="154"/>
      <c r="CS196" s="154"/>
      <c r="CT196" s="154"/>
      <c r="CU196" s="154"/>
      <c r="CV196" s="154"/>
      <c r="CW196" s="154"/>
      <c r="CX196" s="154"/>
      <c r="CY196" s="154"/>
      <c r="CZ196" s="154"/>
      <c r="DA196" s="154"/>
      <c r="DB196" s="154"/>
      <c r="DC196" s="154"/>
      <c r="DD196" s="154"/>
      <c r="DE196" s="154"/>
      <c r="DF196" s="154"/>
      <c r="DG196" s="154"/>
      <c r="DH196" s="154"/>
      <c r="DI196" s="154"/>
      <c r="DJ196" s="154"/>
      <c r="DK196" s="154"/>
      <c r="DL196" s="154"/>
      <c r="DM196" s="154"/>
      <c r="DN196" s="154"/>
      <c r="DO196" s="154"/>
      <c r="DP196" s="154"/>
      <c r="DQ196" s="154"/>
      <c r="DR196" s="154"/>
      <c r="DS196" s="154"/>
      <c r="DT196" s="154"/>
      <c r="DU196" s="154"/>
      <c r="DV196" s="154"/>
      <c r="DW196" s="154"/>
      <c r="DX196" s="154"/>
      <c r="DY196" s="154"/>
      <c r="DZ196" s="154"/>
      <c r="EA196" s="154"/>
      <c r="EB196" s="154"/>
      <c r="EC196" s="154"/>
      <c r="ED196" s="154"/>
      <c r="EE196" s="154"/>
      <c r="EF196" s="154"/>
      <c r="EG196" s="154"/>
      <c r="EH196" s="154"/>
      <c r="EI196" s="154"/>
      <c r="EJ196" s="154"/>
      <c r="EK196" s="154"/>
      <c r="EL196" s="154"/>
      <c r="EM196" s="154"/>
      <c r="EN196" s="154"/>
      <c r="EO196" s="154"/>
      <c r="EP196" s="154"/>
      <c r="EQ196" s="154"/>
      <c r="ER196" s="154"/>
      <c r="ES196" s="154"/>
      <c r="ET196" s="154"/>
      <c r="EU196" s="154"/>
      <c r="EV196" s="154"/>
      <c r="EW196" s="154"/>
      <c r="EX196" s="154"/>
      <c r="EY196" s="154"/>
      <c r="EZ196" s="154"/>
      <c r="FA196" s="154"/>
      <c r="FB196" s="154"/>
      <c r="FC196" s="154"/>
      <c r="FD196" s="154"/>
      <c r="FE196" s="154"/>
      <c r="FF196" s="154"/>
      <c r="FG196" s="154"/>
      <c r="FH196" s="154"/>
      <c r="FI196" s="154"/>
      <c r="FJ196" s="154"/>
      <c r="FK196" s="154"/>
      <c r="FL196" s="154"/>
      <c r="FM196" s="154"/>
      <c r="FN196" s="154"/>
      <c r="FO196" s="154"/>
      <c r="FP196" s="154"/>
      <c r="FQ196" s="154"/>
      <c r="FR196" s="154"/>
      <c r="FS196" s="154"/>
      <c r="FT196" s="154"/>
      <c r="FU196" s="154"/>
      <c r="FV196" s="154"/>
      <c r="FW196" s="154"/>
      <c r="FX196" s="154"/>
    </row>
    <row r="197" spans="1:180" hidden="1" x14ac:dyDescent="0.25">
      <c r="A197" s="280"/>
      <c r="B197" s="281"/>
      <c r="C197" s="159"/>
      <c r="D197" s="160"/>
      <c r="E197" s="160"/>
      <c r="F197" s="160"/>
      <c r="G197" s="160"/>
      <c r="H197" s="160"/>
      <c r="I197" s="161"/>
      <c r="J197" s="161"/>
      <c r="K197" s="161"/>
      <c r="L197" s="161"/>
      <c r="M197" s="161"/>
      <c r="N197" s="161"/>
      <c r="O197" s="161"/>
      <c r="P197" s="282"/>
      <c r="Q197" s="162"/>
      <c r="R197" s="283"/>
      <c r="S197" s="284"/>
      <c r="T197" s="285"/>
      <c r="U197" s="285"/>
      <c r="V197" s="285"/>
      <c r="W197" s="285"/>
      <c r="X197" s="166"/>
      <c r="AA197" s="191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164" customFormat="1" ht="90" hidden="1" x14ac:dyDescent="0.25">
      <c r="A198" s="216"/>
      <c r="B198" s="214" t="s">
        <v>210</v>
      </c>
      <c r="C198" s="215" t="s">
        <v>245</v>
      </c>
      <c r="D198" s="216" t="s">
        <v>246</v>
      </c>
      <c r="E198" s="271" t="s">
        <v>698</v>
      </c>
      <c r="F198" s="216" t="s">
        <v>699</v>
      </c>
      <c r="G198" s="216" t="s">
        <v>700</v>
      </c>
      <c r="H198" s="216" t="s">
        <v>701</v>
      </c>
      <c r="I198" s="272" t="s">
        <v>236</v>
      </c>
      <c r="J198" s="272"/>
      <c r="K198" s="272"/>
      <c r="L198" s="272"/>
      <c r="M198" s="272"/>
      <c r="N198" s="272"/>
      <c r="O198" s="272"/>
      <c r="P198" s="273"/>
      <c r="Q198" s="274"/>
      <c r="R198" s="275" t="s">
        <v>702</v>
      </c>
      <c r="S198" s="276"/>
      <c r="T198" s="277"/>
      <c r="U198" s="277"/>
      <c r="V198" s="277"/>
      <c r="W198" s="277"/>
      <c r="AA198" s="278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154"/>
      <c r="BO198" s="154"/>
      <c r="BP198" s="154"/>
      <c r="BQ198" s="154"/>
      <c r="BR198" s="154"/>
      <c r="BS198" s="154"/>
      <c r="BT198" s="154"/>
      <c r="BU198" s="154"/>
      <c r="BV198" s="154"/>
      <c r="BW198" s="154"/>
      <c r="BX198" s="154"/>
      <c r="BY198" s="154"/>
      <c r="BZ198" s="154"/>
      <c r="CA198" s="154"/>
      <c r="CB198" s="154"/>
      <c r="CC198" s="154"/>
      <c r="CD198" s="154"/>
      <c r="CE198" s="154"/>
      <c r="CF198" s="154"/>
      <c r="CG198" s="154"/>
      <c r="CH198" s="154"/>
      <c r="CI198" s="154"/>
      <c r="CJ198" s="154"/>
      <c r="CK198" s="154"/>
      <c r="CL198" s="154"/>
      <c r="CM198" s="154"/>
      <c r="CN198" s="154"/>
      <c r="CO198" s="154"/>
      <c r="CP198" s="154"/>
      <c r="CQ198" s="154"/>
      <c r="CR198" s="154"/>
      <c r="CS198" s="154"/>
      <c r="CT198" s="154"/>
      <c r="CU198" s="154"/>
      <c r="CV198" s="154"/>
      <c r="CW198" s="154"/>
      <c r="CX198" s="154"/>
      <c r="CY198" s="154"/>
      <c r="CZ198" s="154"/>
      <c r="DA198" s="154"/>
      <c r="DB198" s="154"/>
      <c r="DC198" s="154"/>
      <c r="DD198" s="154"/>
      <c r="DE198" s="154"/>
      <c r="DF198" s="154"/>
      <c r="DG198" s="154"/>
      <c r="DH198" s="154"/>
      <c r="DI198" s="154"/>
      <c r="DJ198" s="154"/>
      <c r="DK198" s="154"/>
      <c r="DL198" s="154"/>
      <c r="DM198" s="154"/>
      <c r="DN198" s="154"/>
      <c r="DO198" s="154"/>
      <c r="DP198" s="154"/>
      <c r="DQ198" s="154"/>
      <c r="DR198" s="154"/>
      <c r="DS198" s="154"/>
      <c r="DT198" s="154"/>
      <c r="DU198" s="154"/>
      <c r="DV198" s="154"/>
      <c r="DW198" s="154"/>
      <c r="DX198" s="154"/>
      <c r="DY198" s="154"/>
      <c r="DZ198" s="154"/>
      <c r="EA198" s="154"/>
      <c r="EB198" s="154"/>
      <c r="EC198" s="154"/>
      <c r="ED198" s="154"/>
      <c r="EE198" s="154"/>
      <c r="EF198" s="154"/>
      <c r="EG198" s="154"/>
      <c r="EH198" s="154"/>
      <c r="EI198" s="154"/>
      <c r="EJ198" s="154"/>
      <c r="EK198" s="154"/>
      <c r="EL198" s="154"/>
      <c r="EM198" s="154"/>
      <c r="EN198" s="154"/>
      <c r="EO198" s="154"/>
      <c r="EP198" s="154"/>
      <c r="EQ198" s="154"/>
      <c r="ER198" s="154"/>
      <c r="ES198" s="154"/>
      <c r="ET198" s="154"/>
      <c r="EU198" s="154"/>
      <c r="EV198" s="154"/>
      <c r="EW198" s="154"/>
      <c r="EX198" s="154"/>
      <c r="EY198" s="154"/>
      <c r="EZ198" s="154"/>
      <c r="FA198" s="154"/>
      <c r="FB198" s="154"/>
      <c r="FC198" s="154"/>
      <c r="FD198" s="154"/>
      <c r="FE198" s="154"/>
      <c r="FF198" s="154"/>
      <c r="FG198" s="154"/>
      <c r="FH198" s="154"/>
      <c r="FI198" s="154"/>
      <c r="FJ198" s="154"/>
      <c r="FK198" s="154"/>
      <c r="FL198" s="154"/>
      <c r="FM198" s="154"/>
      <c r="FN198" s="154"/>
      <c r="FO198" s="154"/>
      <c r="FP198" s="154"/>
      <c r="FQ198" s="154"/>
      <c r="FR198" s="154"/>
      <c r="FS198" s="154"/>
      <c r="FT198" s="154"/>
      <c r="FU198" s="154"/>
      <c r="FV198" s="154"/>
      <c r="FW198" s="154"/>
      <c r="FX198" s="154"/>
    </row>
    <row r="199" spans="1:180" s="164" customFormat="1" ht="30" hidden="1" x14ac:dyDescent="0.25">
      <c r="A199" s="216" t="s">
        <v>1158</v>
      </c>
      <c r="B199" s="214" t="s">
        <v>210</v>
      </c>
      <c r="C199" s="151" t="s">
        <v>245</v>
      </c>
      <c r="D199" s="217">
        <v>0.05</v>
      </c>
      <c r="E199" s="217">
        <v>0.2</v>
      </c>
      <c r="F199" s="217">
        <v>0.25</v>
      </c>
      <c r="G199" s="217">
        <v>0.25</v>
      </c>
      <c r="H199" s="217">
        <v>0.15</v>
      </c>
      <c r="I199" s="217">
        <v>0.1</v>
      </c>
      <c r="J199" s="155"/>
      <c r="K199" s="155"/>
      <c r="L199" s="155"/>
      <c r="M199" s="155" t="s">
        <v>639</v>
      </c>
      <c r="N199" s="155" t="s">
        <v>639</v>
      </c>
      <c r="O199" s="155" t="s">
        <v>122</v>
      </c>
      <c r="P199" s="279">
        <f>SUM(D199:L199)</f>
        <v>1</v>
      </c>
      <c r="Q199" s="165"/>
      <c r="R199" s="163"/>
      <c r="S199" s="276"/>
      <c r="T199" s="277"/>
      <c r="U199" s="277"/>
      <c r="V199" s="277"/>
      <c r="W199" s="277"/>
      <c r="AA199" s="278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  <c r="BN199" s="154"/>
      <c r="BO199" s="154"/>
      <c r="BP199" s="154"/>
      <c r="BQ199" s="154"/>
      <c r="BR199" s="154"/>
      <c r="BS199" s="154"/>
      <c r="BT199" s="154"/>
      <c r="BU199" s="154"/>
      <c r="BV199" s="154"/>
      <c r="BW199" s="154"/>
      <c r="BX199" s="154"/>
      <c r="BY199" s="154"/>
      <c r="BZ199" s="154"/>
      <c r="CA199" s="154"/>
      <c r="CB199" s="154"/>
      <c r="CC199" s="154"/>
      <c r="CD199" s="154"/>
      <c r="CE199" s="154"/>
      <c r="CF199" s="154"/>
      <c r="CG199" s="154"/>
      <c r="CH199" s="154"/>
      <c r="CI199" s="154"/>
      <c r="CJ199" s="154"/>
      <c r="CK199" s="154"/>
      <c r="CL199" s="154"/>
      <c r="CM199" s="154"/>
      <c r="CN199" s="154"/>
      <c r="CO199" s="154"/>
      <c r="CP199" s="154"/>
      <c r="CQ199" s="154"/>
      <c r="CR199" s="154"/>
      <c r="CS199" s="154"/>
      <c r="CT199" s="154"/>
      <c r="CU199" s="154"/>
      <c r="CV199" s="154"/>
      <c r="CW199" s="154"/>
      <c r="CX199" s="154"/>
      <c r="CY199" s="154"/>
      <c r="CZ199" s="154"/>
      <c r="DA199" s="154"/>
      <c r="DB199" s="154"/>
      <c r="DC199" s="154"/>
      <c r="DD199" s="154"/>
      <c r="DE199" s="154"/>
      <c r="DF199" s="154"/>
      <c r="DG199" s="154"/>
      <c r="DH199" s="154"/>
      <c r="DI199" s="154"/>
      <c r="DJ199" s="154"/>
      <c r="DK199" s="154"/>
      <c r="DL199" s="154"/>
      <c r="DM199" s="154"/>
      <c r="DN199" s="154"/>
      <c r="DO199" s="154"/>
      <c r="DP199" s="154"/>
      <c r="DQ199" s="154"/>
      <c r="DR199" s="154"/>
      <c r="DS199" s="154"/>
      <c r="DT199" s="154"/>
      <c r="DU199" s="154"/>
      <c r="DV199" s="154"/>
      <c r="DW199" s="154"/>
      <c r="DX199" s="154"/>
      <c r="DY199" s="154"/>
      <c r="DZ199" s="154"/>
      <c r="EA199" s="154"/>
      <c r="EB199" s="154"/>
      <c r="EC199" s="154"/>
      <c r="ED199" s="154"/>
      <c r="EE199" s="154"/>
      <c r="EF199" s="154"/>
      <c r="EG199" s="154"/>
      <c r="EH199" s="154"/>
      <c r="EI199" s="154"/>
      <c r="EJ199" s="154"/>
      <c r="EK199" s="154"/>
      <c r="EL199" s="154"/>
      <c r="EM199" s="154"/>
      <c r="EN199" s="154"/>
      <c r="EO199" s="154"/>
      <c r="EP199" s="154"/>
      <c r="EQ199" s="154"/>
      <c r="ER199" s="154"/>
      <c r="ES199" s="154"/>
      <c r="ET199" s="154"/>
      <c r="EU199" s="154"/>
      <c r="EV199" s="154"/>
      <c r="EW199" s="154"/>
      <c r="EX199" s="154"/>
      <c r="EY199" s="154"/>
      <c r="EZ199" s="154"/>
      <c r="FA199" s="154"/>
      <c r="FB199" s="154"/>
      <c r="FC199" s="154"/>
      <c r="FD199" s="154"/>
      <c r="FE199" s="154"/>
      <c r="FF199" s="154"/>
      <c r="FG199" s="154"/>
      <c r="FH199" s="154"/>
      <c r="FI199" s="154"/>
      <c r="FJ199" s="154"/>
      <c r="FK199" s="154"/>
      <c r="FL199" s="154"/>
      <c r="FM199" s="154"/>
      <c r="FN199" s="154"/>
      <c r="FO199" s="154"/>
      <c r="FP199" s="154"/>
      <c r="FQ199" s="154"/>
      <c r="FR199" s="154"/>
      <c r="FS199" s="154"/>
      <c r="FT199" s="154"/>
      <c r="FU199" s="154"/>
      <c r="FV199" s="154"/>
      <c r="FW199" s="154"/>
      <c r="FX199" s="154"/>
    </row>
    <row r="200" spans="1:180" hidden="1" x14ac:dyDescent="0.25">
      <c r="A200" s="192"/>
      <c r="B200" s="194"/>
      <c r="C200" s="156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260"/>
      <c r="Q200" s="153"/>
      <c r="R200" s="251"/>
      <c r="AA200" s="191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164" customFormat="1" ht="45" hidden="1" x14ac:dyDescent="0.25">
      <c r="A201" s="216"/>
      <c r="B201" s="214" t="s">
        <v>210</v>
      </c>
      <c r="C201" s="215" t="s">
        <v>247</v>
      </c>
      <c r="D201" s="216" t="s">
        <v>218</v>
      </c>
      <c r="E201" s="271" t="s">
        <v>248</v>
      </c>
      <c r="F201" s="216" t="s">
        <v>249</v>
      </c>
      <c r="G201" s="216" t="s">
        <v>250</v>
      </c>
      <c r="H201" s="216" t="s">
        <v>17</v>
      </c>
      <c r="I201" s="272"/>
      <c r="J201" s="272"/>
      <c r="K201" s="272"/>
      <c r="L201" s="272"/>
      <c r="M201" s="272"/>
      <c r="N201" s="272"/>
      <c r="O201" s="272"/>
      <c r="P201" s="273"/>
      <c r="Q201" s="274"/>
      <c r="R201" s="275"/>
      <c r="S201" s="276"/>
      <c r="T201" s="277"/>
      <c r="U201" s="277"/>
      <c r="V201" s="277"/>
      <c r="W201" s="277"/>
      <c r="AA201" s="278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  <c r="BN201" s="154"/>
      <c r="BO201" s="154"/>
      <c r="BP201" s="154"/>
      <c r="BQ201" s="154"/>
      <c r="BR201" s="154"/>
      <c r="BS201" s="154"/>
      <c r="BT201" s="154"/>
      <c r="BU201" s="154"/>
      <c r="BV201" s="154"/>
      <c r="BW201" s="154"/>
      <c r="BX201" s="154"/>
      <c r="BY201" s="154"/>
      <c r="BZ201" s="154"/>
      <c r="CA201" s="154"/>
      <c r="CB201" s="154"/>
      <c r="CC201" s="154"/>
      <c r="CD201" s="154"/>
      <c r="CE201" s="154"/>
      <c r="CF201" s="154"/>
      <c r="CG201" s="154"/>
      <c r="CH201" s="154"/>
      <c r="CI201" s="154"/>
      <c r="CJ201" s="154"/>
      <c r="CK201" s="154"/>
      <c r="CL201" s="154"/>
      <c r="CM201" s="154"/>
      <c r="CN201" s="154"/>
      <c r="CO201" s="154"/>
      <c r="CP201" s="154"/>
      <c r="CQ201" s="154"/>
      <c r="CR201" s="154"/>
      <c r="CS201" s="154"/>
      <c r="CT201" s="154"/>
      <c r="CU201" s="154"/>
      <c r="CV201" s="154"/>
      <c r="CW201" s="154"/>
      <c r="CX201" s="154"/>
      <c r="CY201" s="154"/>
      <c r="CZ201" s="154"/>
      <c r="DA201" s="154"/>
      <c r="DB201" s="154"/>
      <c r="DC201" s="154"/>
      <c r="DD201" s="154"/>
      <c r="DE201" s="154"/>
      <c r="DF201" s="154"/>
      <c r="DG201" s="154"/>
      <c r="DH201" s="154"/>
      <c r="DI201" s="154"/>
      <c r="DJ201" s="154"/>
      <c r="DK201" s="154"/>
      <c r="DL201" s="154"/>
      <c r="DM201" s="154"/>
      <c r="DN201" s="154"/>
      <c r="DO201" s="154"/>
      <c r="DP201" s="154"/>
      <c r="DQ201" s="154"/>
      <c r="DR201" s="154"/>
      <c r="DS201" s="154"/>
      <c r="DT201" s="154"/>
      <c r="DU201" s="154"/>
      <c r="DV201" s="154"/>
      <c r="DW201" s="154"/>
      <c r="DX201" s="154"/>
      <c r="DY201" s="154"/>
      <c r="DZ201" s="154"/>
      <c r="EA201" s="154"/>
      <c r="EB201" s="154"/>
      <c r="EC201" s="154"/>
      <c r="ED201" s="154"/>
      <c r="EE201" s="154"/>
      <c r="EF201" s="154"/>
      <c r="EG201" s="154"/>
      <c r="EH201" s="154"/>
      <c r="EI201" s="154"/>
      <c r="EJ201" s="154"/>
      <c r="EK201" s="154"/>
      <c r="EL201" s="154"/>
      <c r="EM201" s="154"/>
      <c r="EN201" s="154"/>
      <c r="EO201" s="154"/>
      <c r="EP201" s="154"/>
      <c r="EQ201" s="154"/>
      <c r="ER201" s="154"/>
      <c r="ES201" s="154"/>
      <c r="ET201" s="154"/>
      <c r="EU201" s="154"/>
      <c r="EV201" s="154"/>
      <c r="EW201" s="154"/>
      <c r="EX201" s="154"/>
      <c r="EY201" s="154"/>
      <c r="EZ201" s="154"/>
      <c r="FA201" s="154"/>
      <c r="FB201" s="154"/>
      <c r="FC201" s="154"/>
      <c r="FD201" s="154"/>
      <c r="FE201" s="154"/>
      <c r="FF201" s="154"/>
      <c r="FG201" s="154"/>
      <c r="FH201" s="154"/>
      <c r="FI201" s="154"/>
      <c r="FJ201" s="154"/>
      <c r="FK201" s="154"/>
      <c r="FL201" s="154"/>
      <c r="FM201" s="154"/>
      <c r="FN201" s="154"/>
      <c r="FO201" s="154"/>
      <c r="FP201" s="154"/>
      <c r="FQ201" s="154"/>
      <c r="FR201" s="154"/>
      <c r="FS201" s="154"/>
      <c r="FT201" s="154"/>
      <c r="FU201" s="154"/>
      <c r="FV201" s="154"/>
      <c r="FW201" s="154"/>
      <c r="FX201" s="154"/>
    </row>
    <row r="202" spans="1:180" s="164" customFormat="1" ht="60" hidden="1" x14ac:dyDescent="0.25">
      <c r="A202" s="216" t="s">
        <v>1159</v>
      </c>
      <c r="B202" s="214" t="s">
        <v>210</v>
      </c>
      <c r="C202" s="151" t="s">
        <v>251</v>
      </c>
      <c r="D202" s="217">
        <v>0.05</v>
      </c>
      <c r="E202" s="217">
        <v>0.2</v>
      </c>
      <c r="F202" s="217">
        <v>0.4</v>
      </c>
      <c r="G202" s="217">
        <v>0.25</v>
      </c>
      <c r="H202" s="217">
        <v>0.1</v>
      </c>
      <c r="I202" s="155"/>
      <c r="J202" s="155"/>
      <c r="K202" s="155"/>
      <c r="L202" s="155"/>
      <c r="M202" s="155" t="s">
        <v>639</v>
      </c>
      <c r="N202" s="155" t="s">
        <v>639</v>
      </c>
      <c r="O202" s="155" t="s">
        <v>35</v>
      </c>
      <c r="P202" s="279">
        <f>SUM(D202:K202)</f>
        <v>1</v>
      </c>
      <c r="Q202" s="165" t="s">
        <v>252</v>
      </c>
      <c r="R202" s="163" t="s">
        <v>638</v>
      </c>
      <c r="S202" s="276" t="s">
        <v>895</v>
      </c>
      <c r="T202" s="277" t="s">
        <v>634</v>
      </c>
      <c r="U202" s="277" t="s">
        <v>634</v>
      </c>
      <c r="V202" s="277" t="s">
        <v>896</v>
      </c>
      <c r="W202" s="277" t="s">
        <v>897</v>
      </c>
      <c r="AA202" s="278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154"/>
      <c r="BO202" s="154"/>
      <c r="BP202" s="154"/>
      <c r="BQ202" s="154"/>
      <c r="BR202" s="154"/>
      <c r="BS202" s="154"/>
      <c r="BT202" s="154"/>
      <c r="BU202" s="154"/>
      <c r="BV202" s="154"/>
      <c r="BW202" s="154"/>
      <c r="BX202" s="154"/>
      <c r="BY202" s="154"/>
      <c r="BZ202" s="154"/>
      <c r="CA202" s="154"/>
      <c r="CB202" s="154"/>
      <c r="CC202" s="154"/>
      <c r="CD202" s="154"/>
      <c r="CE202" s="154"/>
      <c r="CF202" s="154"/>
      <c r="CG202" s="154"/>
      <c r="CH202" s="154"/>
      <c r="CI202" s="154"/>
      <c r="CJ202" s="154"/>
      <c r="CK202" s="154"/>
      <c r="CL202" s="154"/>
      <c r="CM202" s="154"/>
      <c r="CN202" s="154"/>
      <c r="CO202" s="154"/>
      <c r="CP202" s="154"/>
      <c r="CQ202" s="154"/>
      <c r="CR202" s="154"/>
      <c r="CS202" s="154"/>
      <c r="CT202" s="154"/>
      <c r="CU202" s="154"/>
      <c r="CV202" s="154"/>
      <c r="CW202" s="154"/>
      <c r="CX202" s="154"/>
      <c r="CY202" s="154"/>
      <c r="CZ202" s="154"/>
      <c r="DA202" s="154"/>
      <c r="DB202" s="154"/>
      <c r="DC202" s="154"/>
      <c r="DD202" s="154"/>
      <c r="DE202" s="154"/>
      <c r="DF202" s="154"/>
      <c r="DG202" s="154"/>
      <c r="DH202" s="154"/>
      <c r="DI202" s="154"/>
      <c r="DJ202" s="154"/>
      <c r="DK202" s="154"/>
      <c r="DL202" s="154"/>
      <c r="DM202" s="154"/>
      <c r="DN202" s="154"/>
      <c r="DO202" s="154"/>
      <c r="DP202" s="154"/>
      <c r="DQ202" s="154"/>
      <c r="DR202" s="154"/>
      <c r="DS202" s="154"/>
      <c r="DT202" s="154"/>
      <c r="DU202" s="154"/>
      <c r="DV202" s="154"/>
      <c r="DW202" s="154"/>
      <c r="DX202" s="154"/>
      <c r="DY202" s="154"/>
      <c r="DZ202" s="154"/>
      <c r="EA202" s="154"/>
      <c r="EB202" s="154"/>
      <c r="EC202" s="154"/>
      <c r="ED202" s="154"/>
      <c r="EE202" s="154"/>
      <c r="EF202" s="154"/>
      <c r="EG202" s="154"/>
      <c r="EH202" s="154"/>
      <c r="EI202" s="154"/>
      <c r="EJ202" s="154"/>
      <c r="EK202" s="154"/>
      <c r="EL202" s="154"/>
      <c r="EM202" s="154"/>
      <c r="EN202" s="154"/>
      <c r="EO202" s="154"/>
      <c r="EP202" s="154"/>
      <c r="EQ202" s="154"/>
      <c r="ER202" s="154"/>
      <c r="ES202" s="154"/>
      <c r="ET202" s="154"/>
      <c r="EU202" s="154"/>
      <c r="EV202" s="154"/>
      <c r="EW202" s="154"/>
      <c r="EX202" s="154"/>
      <c r="EY202" s="154"/>
      <c r="EZ202" s="154"/>
      <c r="FA202" s="154"/>
      <c r="FB202" s="154"/>
      <c r="FC202" s="154"/>
      <c r="FD202" s="154"/>
      <c r="FE202" s="154"/>
      <c r="FF202" s="154"/>
      <c r="FG202" s="154"/>
      <c r="FH202" s="154"/>
      <c r="FI202" s="154"/>
      <c r="FJ202" s="154"/>
      <c r="FK202" s="154"/>
      <c r="FL202" s="154"/>
      <c r="FM202" s="154"/>
      <c r="FN202" s="154"/>
      <c r="FO202" s="154"/>
      <c r="FP202" s="154"/>
      <c r="FQ202" s="154"/>
      <c r="FR202" s="154"/>
      <c r="FS202" s="154"/>
      <c r="FT202" s="154"/>
      <c r="FU202" s="154"/>
      <c r="FV202" s="154"/>
      <c r="FW202" s="154"/>
      <c r="FX202" s="154"/>
    </row>
    <row r="203" spans="1:180" s="164" customFormat="1" ht="30" hidden="1" x14ac:dyDescent="0.25">
      <c r="A203" s="216" t="s">
        <v>1160</v>
      </c>
      <c r="B203" s="214" t="s">
        <v>210</v>
      </c>
      <c r="C203" s="151" t="s">
        <v>253</v>
      </c>
      <c r="D203" s="217">
        <v>0.05</v>
      </c>
      <c r="E203" s="217">
        <v>0.3</v>
      </c>
      <c r="F203" s="217">
        <v>0.25</v>
      </c>
      <c r="G203" s="217">
        <v>0.3</v>
      </c>
      <c r="H203" s="217">
        <v>0.1</v>
      </c>
      <c r="I203" s="155"/>
      <c r="J203" s="155"/>
      <c r="K203" s="155"/>
      <c r="L203" s="155"/>
      <c r="M203" s="155" t="s">
        <v>639</v>
      </c>
      <c r="N203" s="155" t="s">
        <v>639</v>
      </c>
      <c r="O203" s="155" t="s">
        <v>35</v>
      </c>
      <c r="P203" s="279">
        <f>SUM(D203:K203)</f>
        <v>0.99999999999999989</v>
      </c>
      <c r="Q203" s="165"/>
      <c r="R203" s="275"/>
      <c r="S203" s="276" t="s">
        <v>895</v>
      </c>
      <c r="T203" s="277" t="s">
        <v>634</v>
      </c>
      <c r="U203" s="277" t="s">
        <v>634</v>
      </c>
      <c r="V203" s="277" t="s">
        <v>896</v>
      </c>
      <c r="W203" s="277" t="s">
        <v>897</v>
      </c>
      <c r="AA203" s="278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  <c r="BN203" s="154"/>
      <c r="BO203" s="154"/>
      <c r="BP203" s="154"/>
      <c r="BQ203" s="154"/>
      <c r="BR203" s="154"/>
      <c r="BS203" s="154"/>
      <c r="BT203" s="154"/>
      <c r="BU203" s="154"/>
      <c r="BV203" s="154"/>
      <c r="BW203" s="154"/>
      <c r="BX203" s="154"/>
      <c r="BY203" s="154"/>
      <c r="BZ203" s="154"/>
      <c r="CA203" s="154"/>
      <c r="CB203" s="154"/>
      <c r="CC203" s="154"/>
      <c r="CD203" s="154"/>
      <c r="CE203" s="154"/>
      <c r="CF203" s="154"/>
      <c r="CG203" s="154"/>
      <c r="CH203" s="154"/>
      <c r="CI203" s="154"/>
      <c r="CJ203" s="154"/>
      <c r="CK203" s="154"/>
      <c r="CL203" s="154"/>
      <c r="CM203" s="154"/>
      <c r="CN203" s="154"/>
      <c r="CO203" s="154"/>
      <c r="CP203" s="154"/>
      <c r="CQ203" s="154"/>
      <c r="CR203" s="154"/>
      <c r="CS203" s="154"/>
      <c r="CT203" s="154"/>
      <c r="CU203" s="154"/>
      <c r="CV203" s="154"/>
      <c r="CW203" s="154"/>
      <c r="CX203" s="154"/>
      <c r="CY203" s="154"/>
      <c r="CZ203" s="154"/>
      <c r="DA203" s="154"/>
      <c r="DB203" s="154"/>
      <c r="DC203" s="154"/>
      <c r="DD203" s="154"/>
      <c r="DE203" s="154"/>
      <c r="DF203" s="154"/>
      <c r="DG203" s="154"/>
      <c r="DH203" s="154"/>
      <c r="DI203" s="154"/>
      <c r="DJ203" s="154"/>
      <c r="DK203" s="154"/>
      <c r="DL203" s="154"/>
      <c r="DM203" s="154"/>
      <c r="DN203" s="154"/>
      <c r="DO203" s="154"/>
      <c r="DP203" s="154"/>
      <c r="DQ203" s="154"/>
      <c r="DR203" s="154"/>
      <c r="DS203" s="154"/>
      <c r="DT203" s="154"/>
      <c r="DU203" s="154"/>
      <c r="DV203" s="154"/>
      <c r="DW203" s="154"/>
      <c r="DX203" s="154"/>
      <c r="DY203" s="154"/>
      <c r="DZ203" s="154"/>
      <c r="EA203" s="154"/>
      <c r="EB203" s="154"/>
      <c r="EC203" s="154"/>
      <c r="ED203" s="154"/>
      <c r="EE203" s="154"/>
      <c r="EF203" s="154"/>
      <c r="EG203" s="154"/>
      <c r="EH203" s="154"/>
      <c r="EI203" s="154"/>
      <c r="EJ203" s="154"/>
      <c r="EK203" s="154"/>
      <c r="EL203" s="154"/>
      <c r="EM203" s="154"/>
      <c r="EN203" s="154"/>
      <c r="EO203" s="154"/>
      <c r="EP203" s="154"/>
      <c r="EQ203" s="154"/>
      <c r="ER203" s="154"/>
      <c r="ES203" s="154"/>
      <c r="ET203" s="154"/>
      <c r="EU203" s="154"/>
      <c r="EV203" s="154"/>
      <c r="EW203" s="154"/>
      <c r="EX203" s="154"/>
      <c r="EY203" s="154"/>
      <c r="EZ203" s="154"/>
      <c r="FA203" s="154"/>
      <c r="FB203" s="154"/>
      <c r="FC203" s="154"/>
      <c r="FD203" s="154"/>
      <c r="FE203" s="154"/>
      <c r="FF203" s="154"/>
      <c r="FG203" s="154"/>
      <c r="FH203" s="154"/>
      <c r="FI203" s="154"/>
      <c r="FJ203" s="154"/>
      <c r="FK203" s="154"/>
      <c r="FL203" s="154"/>
      <c r="FM203" s="154"/>
      <c r="FN203" s="154"/>
      <c r="FO203" s="154"/>
      <c r="FP203" s="154"/>
      <c r="FQ203" s="154"/>
      <c r="FR203" s="154"/>
      <c r="FS203" s="154"/>
      <c r="FT203" s="154"/>
      <c r="FU203" s="154"/>
      <c r="FV203" s="154"/>
      <c r="FW203" s="154"/>
      <c r="FX203" s="154"/>
    </row>
    <row r="204" spans="1:180" s="164" customFormat="1" hidden="1" x14ac:dyDescent="0.25">
      <c r="A204" s="216"/>
      <c r="B204" s="214"/>
      <c r="C204" s="168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273"/>
      <c r="Q204" s="165"/>
      <c r="R204" s="275"/>
      <c r="S204" s="276"/>
      <c r="T204" s="277"/>
      <c r="U204" s="277"/>
      <c r="V204" s="277"/>
      <c r="W204" s="277"/>
      <c r="AA204" s="278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154"/>
      <c r="BZ204" s="154"/>
      <c r="CA204" s="154"/>
      <c r="CB204" s="154"/>
      <c r="CC204" s="154"/>
      <c r="CD204" s="154"/>
      <c r="CE204" s="154"/>
      <c r="CF204" s="154"/>
      <c r="CG204" s="154"/>
      <c r="CH204" s="154"/>
      <c r="CI204" s="154"/>
      <c r="CJ204" s="154"/>
      <c r="CK204" s="154"/>
      <c r="CL204" s="154"/>
      <c r="CM204" s="154"/>
      <c r="CN204" s="154"/>
      <c r="CO204" s="154"/>
      <c r="CP204" s="154"/>
      <c r="CQ204" s="154"/>
      <c r="CR204" s="154"/>
      <c r="CS204" s="154"/>
      <c r="CT204" s="154"/>
      <c r="CU204" s="154"/>
      <c r="CV204" s="154"/>
      <c r="CW204" s="154"/>
      <c r="CX204" s="154"/>
      <c r="CY204" s="154"/>
      <c r="CZ204" s="154"/>
      <c r="DA204" s="154"/>
      <c r="DB204" s="154"/>
      <c r="DC204" s="154"/>
      <c r="DD204" s="154"/>
      <c r="DE204" s="154"/>
      <c r="DF204" s="154"/>
      <c r="DG204" s="154"/>
      <c r="DH204" s="154"/>
      <c r="DI204" s="154"/>
      <c r="DJ204" s="154"/>
      <c r="DK204" s="154"/>
      <c r="DL204" s="154"/>
      <c r="DM204" s="154"/>
      <c r="DN204" s="154"/>
      <c r="DO204" s="154"/>
      <c r="DP204" s="154"/>
      <c r="DQ204" s="154"/>
      <c r="DR204" s="154"/>
      <c r="DS204" s="154"/>
      <c r="DT204" s="154"/>
      <c r="DU204" s="154"/>
      <c r="DV204" s="154"/>
      <c r="DW204" s="154"/>
      <c r="DX204" s="154"/>
      <c r="DY204" s="154"/>
      <c r="DZ204" s="154"/>
      <c r="EA204" s="154"/>
      <c r="EB204" s="154"/>
      <c r="EC204" s="154"/>
      <c r="ED204" s="154"/>
      <c r="EE204" s="154"/>
      <c r="EF204" s="154"/>
      <c r="EG204" s="154"/>
      <c r="EH204" s="154"/>
      <c r="EI204" s="154"/>
      <c r="EJ204" s="154"/>
      <c r="EK204" s="154"/>
      <c r="EL204" s="154"/>
      <c r="EM204" s="154"/>
      <c r="EN204" s="154"/>
      <c r="EO204" s="154"/>
      <c r="EP204" s="154"/>
      <c r="EQ204" s="154"/>
      <c r="ER204" s="154"/>
      <c r="ES204" s="154"/>
      <c r="ET204" s="154"/>
      <c r="EU204" s="154"/>
      <c r="EV204" s="154"/>
      <c r="EW204" s="154"/>
      <c r="EX204" s="154"/>
      <c r="EY204" s="154"/>
      <c r="EZ204" s="154"/>
      <c r="FA204" s="154"/>
      <c r="FB204" s="154"/>
      <c r="FC204" s="154"/>
      <c r="FD204" s="154"/>
      <c r="FE204" s="154"/>
      <c r="FF204" s="154"/>
      <c r="FG204" s="154"/>
      <c r="FH204" s="154"/>
      <c r="FI204" s="154"/>
      <c r="FJ204" s="154"/>
      <c r="FK204" s="154"/>
      <c r="FL204" s="154"/>
      <c r="FM204" s="154"/>
      <c r="FN204" s="154"/>
      <c r="FO204" s="154"/>
      <c r="FP204" s="154"/>
      <c r="FQ204" s="154"/>
      <c r="FR204" s="154"/>
      <c r="FS204" s="154"/>
      <c r="FT204" s="154"/>
      <c r="FU204" s="154"/>
      <c r="FV204" s="154"/>
      <c r="FW204" s="154"/>
      <c r="FX204" s="154"/>
    </row>
    <row r="205" spans="1:180" s="164" customFormat="1" ht="30" hidden="1" x14ac:dyDescent="0.25">
      <c r="A205" s="216"/>
      <c r="B205" s="214" t="s">
        <v>210</v>
      </c>
      <c r="C205" s="215" t="s">
        <v>254</v>
      </c>
      <c r="D205" s="271" t="s">
        <v>255</v>
      </c>
      <c r="E205" s="271" t="s">
        <v>55</v>
      </c>
      <c r="F205" s="216" t="s">
        <v>256</v>
      </c>
      <c r="G205" s="216" t="s">
        <v>257</v>
      </c>
      <c r="H205" s="216" t="s">
        <v>17</v>
      </c>
      <c r="I205" s="272"/>
      <c r="J205" s="272"/>
      <c r="K205" s="272"/>
      <c r="L205" s="272"/>
      <c r="M205" s="272"/>
      <c r="N205" s="272"/>
      <c r="O205" s="272"/>
      <c r="P205" s="273"/>
      <c r="Q205" s="274"/>
      <c r="R205" s="275"/>
      <c r="S205" s="276"/>
      <c r="T205" s="277"/>
      <c r="U205" s="277"/>
      <c r="V205" s="277"/>
      <c r="W205" s="277"/>
      <c r="AA205" s="278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  <c r="BN205" s="154"/>
      <c r="BO205" s="154"/>
      <c r="BP205" s="154"/>
      <c r="BQ205" s="154"/>
      <c r="BR205" s="154"/>
      <c r="BS205" s="154"/>
      <c r="BT205" s="154"/>
      <c r="BU205" s="154"/>
      <c r="BV205" s="154"/>
      <c r="BW205" s="154"/>
      <c r="BX205" s="154"/>
      <c r="BY205" s="154"/>
      <c r="BZ205" s="154"/>
      <c r="CA205" s="154"/>
      <c r="CB205" s="154"/>
      <c r="CC205" s="154"/>
      <c r="CD205" s="154"/>
      <c r="CE205" s="154"/>
      <c r="CF205" s="154"/>
      <c r="CG205" s="154"/>
      <c r="CH205" s="154"/>
      <c r="CI205" s="154"/>
      <c r="CJ205" s="154"/>
      <c r="CK205" s="154"/>
      <c r="CL205" s="154"/>
      <c r="CM205" s="154"/>
      <c r="CN205" s="154"/>
      <c r="CO205" s="154"/>
      <c r="CP205" s="154"/>
      <c r="CQ205" s="154"/>
      <c r="CR205" s="154"/>
      <c r="CS205" s="154"/>
      <c r="CT205" s="154"/>
      <c r="CU205" s="154"/>
      <c r="CV205" s="154"/>
      <c r="CW205" s="154"/>
      <c r="CX205" s="154"/>
      <c r="CY205" s="154"/>
      <c r="CZ205" s="154"/>
      <c r="DA205" s="154"/>
      <c r="DB205" s="154"/>
      <c r="DC205" s="154"/>
      <c r="DD205" s="154"/>
      <c r="DE205" s="154"/>
      <c r="DF205" s="154"/>
      <c r="DG205" s="154"/>
      <c r="DH205" s="154"/>
      <c r="DI205" s="154"/>
      <c r="DJ205" s="154"/>
      <c r="DK205" s="154"/>
      <c r="DL205" s="154"/>
      <c r="DM205" s="154"/>
      <c r="DN205" s="154"/>
      <c r="DO205" s="154"/>
      <c r="DP205" s="154"/>
      <c r="DQ205" s="154"/>
      <c r="DR205" s="154"/>
      <c r="DS205" s="154"/>
      <c r="DT205" s="154"/>
      <c r="DU205" s="154"/>
      <c r="DV205" s="154"/>
      <c r="DW205" s="154"/>
      <c r="DX205" s="154"/>
      <c r="DY205" s="154"/>
      <c r="DZ205" s="154"/>
      <c r="EA205" s="154"/>
      <c r="EB205" s="154"/>
      <c r="EC205" s="154"/>
      <c r="ED205" s="154"/>
      <c r="EE205" s="154"/>
      <c r="EF205" s="154"/>
      <c r="EG205" s="154"/>
      <c r="EH205" s="154"/>
      <c r="EI205" s="154"/>
      <c r="EJ205" s="154"/>
      <c r="EK205" s="154"/>
      <c r="EL205" s="154"/>
      <c r="EM205" s="154"/>
      <c r="EN205" s="154"/>
      <c r="EO205" s="154"/>
      <c r="EP205" s="154"/>
      <c r="EQ205" s="154"/>
      <c r="ER205" s="154"/>
      <c r="ES205" s="154"/>
      <c r="ET205" s="154"/>
      <c r="EU205" s="154"/>
      <c r="EV205" s="154"/>
      <c r="EW205" s="154"/>
      <c r="EX205" s="154"/>
      <c r="EY205" s="154"/>
      <c r="EZ205" s="154"/>
      <c r="FA205" s="154"/>
      <c r="FB205" s="154"/>
      <c r="FC205" s="154"/>
      <c r="FD205" s="154"/>
      <c r="FE205" s="154"/>
      <c r="FF205" s="154"/>
      <c r="FG205" s="154"/>
      <c r="FH205" s="154"/>
      <c r="FI205" s="154"/>
      <c r="FJ205" s="154"/>
      <c r="FK205" s="154"/>
      <c r="FL205" s="154"/>
      <c r="FM205" s="154"/>
      <c r="FN205" s="154"/>
      <c r="FO205" s="154"/>
      <c r="FP205" s="154"/>
      <c r="FQ205" s="154"/>
      <c r="FR205" s="154"/>
      <c r="FS205" s="154"/>
      <c r="FT205" s="154"/>
      <c r="FU205" s="154"/>
      <c r="FV205" s="154"/>
      <c r="FW205" s="154"/>
      <c r="FX205" s="154"/>
    </row>
    <row r="206" spans="1:180" s="164" customFormat="1" ht="30" hidden="1" x14ac:dyDescent="0.25">
      <c r="A206" s="216" t="s">
        <v>1161</v>
      </c>
      <c r="B206" s="214" t="s">
        <v>210</v>
      </c>
      <c r="C206" s="151" t="s">
        <v>254</v>
      </c>
      <c r="D206" s="217">
        <v>0.1</v>
      </c>
      <c r="E206" s="217">
        <v>0.7</v>
      </c>
      <c r="F206" s="217">
        <v>0.1</v>
      </c>
      <c r="G206" s="217">
        <v>0.05</v>
      </c>
      <c r="H206" s="217">
        <v>0.05</v>
      </c>
      <c r="I206" s="155"/>
      <c r="J206" s="155"/>
      <c r="K206" s="155"/>
      <c r="L206" s="155"/>
      <c r="M206" s="155" t="s">
        <v>639</v>
      </c>
      <c r="N206" s="155" t="s">
        <v>639</v>
      </c>
      <c r="O206" s="155" t="s">
        <v>35</v>
      </c>
      <c r="P206" s="279">
        <f>SUM(D206:K206)</f>
        <v>1</v>
      </c>
      <c r="Q206" s="165"/>
      <c r="R206" s="275" t="s">
        <v>703</v>
      </c>
      <c r="S206" s="286" t="s">
        <v>704</v>
      </c>
      <c r="T206" s="277" t="s">
        <v>634</v>
      </c>
      <c r="U206" s="277" t="s">
        <v>634</v>
      </c>
      <c r="V206" s="277" t="s">
        <v>705</v>
      </c>
      <c r="W206" s="277" t="s">
        <v>706</v>
      </c>
      <c r="X206" s="164" t="s">
        <v>707</v>
      </c>
      <c r="AA206" s="278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154"/>
      <c r="BO206" s="154"/>
      <c r="BP206" s="154"/>
      <c r="BQ206" s="154"/>
      <c r="BR206" s="154"/>
      <c r="BS206" s="154"/>
      <c r="BT206" s="154"/>
      <c r="BU206" s="154"/>
      <c r="BV206" s="154"/>
      <c r="BW206" s="154"/>
      <c r="BX206" s="154"/>
      <c r="BY206" s="154"/>
      <c r="BZ206" s="154"/>
      <c r="CA206" s="154"/>
      <c r="CB206" s="154"/>
      <c r="CC206" s="154"/>
      <c r="CD206" s="154"/>
      <c r="CE206" s="154"/>
      <c r="CF206" s="154"/>
      <c r="CG206" s="154"/>
      <c r="CH206" s="154"/>
      <c r="CI206" s="154"/>
      <c r="CJ206" s="154"/>
      <c r="CK206" s="154"/>
      <c r="CL206" s="154"/>
      <c r="CM206" s="154"/>
      <c r="CN206" s="154"/>
      <c r="CO206" s="154"/>
      <c r="CP206" s="154"/>
      <c r="CQ206" s="154"/>
      <c r="CR206" s="154"/>
      <c r="CS206" s="154"/>
      <c r="CT206" s="154"/>
      <c r="CU206" s="154"/>
      <c r="CV206" s="154"/>
      <c r="CW206" s="154"/>
      <c r="CX206" s="154"/>
      <c r="CY206" s="154"/>
      <c r="CZ206" s="154"/>
      <c r="DA206" s="154"/>
      <c r="DB206" s="154"/>
      <c r="DC206" s="154"/>
      <c r="DD206" s="154"/>
      <c r="DE206" s="154"/>
      <c r="DF206" s="154"/>
      <c r="DG206" s="154"/>
      <c r="DH206" s="154"/>
      <c r="DI206" s="154"/>
      <c r="DJ206" s="154"/>
      <c r="DK206" s="154"/>
      <c r="DL206" s="154"/>
      <c r="DM206" s="154"/>
      <c r="DN206" s="154"/>
      <c r="DO206" s="154"/>
      <c r="DP206" s="154"/>
      <c r="DQ206" s="154"/>
      <c r="DR206" s="154"/>
      <c r="DS206" s="154"/>
      <c r="DT206" s="154"/>
      <c r="DU206" s="154"/>
      <c r="DV206" s="154"/>
      <c r="DW206" s="154"/>
      <c r="DX206" s="154"/>
      <c r="DY206" s="154"/>
      <c r="DZ206" s="154"/>
      <c r="EA206" s="154"/>
      <c r="EB206" s="154"/>
      <c r="EC206" s="154"/>
      <c r="ED206" s="154"/>
      <c r="EE206" s="154"/>
      <c r="EF206" s="154"/>
      <c r="EG206" s="154"/>
      <c r="EH206" s="154"/>
      <c r="EI206" s="154"/>
      <c r="EJ206" s="154"/>
      <c r="EK206" s="154"/>
      <c r="EL206" s="154"/>
      <c r="EM206" s="154"/>
      <c r="EN206" s="154"/>
      <c r="EO206" s="154"/>
      <c r="EP206" s="154"/>
      <c r="EQ206" s="154"/>
      <c r="ER206" s="154"/>
      <c r="ES206" s="154"/>
      <c r="ET206" s="154"/>
      <c r="EU206" s="154"/>
      <c r="EV206" s="154"/>
      <c r="EW206" s="154"/>
      <c r="EX206" s="154"/>
      <c r="EY206" s="154"/>
      <c r="EZ206" s="154"/>
      <c r="FA206" s="154"/>
      <c r="FB206" s="154"/>
      <c r="FC206" s="154"/>
      <c r="FD206" s="154"/>
      <c r="FE206" s="154"/>
      <c r="FF206" s="154"/>
      <c r="FG206" s="154"/>
      <c r="FH206" s="154"/>
      <c r="FI206" s="154"/>
      <c r="FJ206" s="154"/>
      <c r="FK206" s="154"/>
      <c r="FL206" s="154"/>
      <c r="FM206" s="154"/>
      <c r="FN206" s="154"/>
      <c r="FO206" s="154"/>
      <c r="FP206" s="154"/>
      <c r="FQ206" s="154"/>
      <c r="FR206" s="154"/>
      <c r="FS206" s="154"/>
      <c r="FT206" s="154"/>
      <c r="FU206" s="154"/>
      <c r="FV206" s="154"/>
      <c r="FW206" s="154"/>
      <c r="FX206" s="154"/>
    </row>
    <row r="207" spans="1:180" s="164" customFormat="1" hidden="1" x14ac:dyDescent="0.25">
      <c r="A207" s="216"/>
      <c r="B207" s="214"/>
      <c r="C207" s="168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273"/>
      <c r="Q207" s="165"/>
      <c r="R207" s="275"/>
      <c r="S207" s="276"/>
      <c r="T207" s="277"/>
      <c r="U207" s="277"/>
      <c r="V207" s="277"/>
      <c r="W207" s="277"/>
      <c r="AA207" s="278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154"/>
      <c r="BO207" s="154"/>
      <c r="BP207" s="154"/>
      <c r="BQ207" s="154"/>
      <c r="BR207" s="154"/>
      <c r="BS207" s="154"/>
      <c r="BT207" s="154"/>
      <c r="BU207" s="154"/>
      <c r="BV207" s="154"/>
      <c r="BW207" s="154"/>
      <c r="BX207" s="154"/>
      <c r="BY207" s="154"/>
      <c r="BZ207" s="154"/>
      <c r="CA207" s="154"/>
      <c r="CB207" s="154"/>
      <c r="CC207" s="154"/>
      <c r="CD207" s="154"/>
      <c r="CE207" s="154"/>
      <c r="CF207" s="154"/>
      <c r="CG207" s="154"/>
      <c r="CH207" s="154"/>
      <c r="CI207" s="154"/>
      <c r="CJ207" s="154"/>
      <c r="CK207" s="154"/>
      <c r="CL207" s="154"/>
      <c r="CM207" s="154"/>
      <c r="CN207" s="154"/>
      <c r="CO207" s="154"/>
      <c r="CP207" s="154"/>
      <c r="CQ207" s="154"/>
      <c r="CR207" s="154"/>
      <c r="CS207" s="154"/>
      <c r="CT207" s="154"/>
      <c r="CU207" s="154"/>
      <c r="CV207" s="154"/>
      <c r="CW207" s="154"/>
      <c r="CX207" s="154"/>
      <c r="CY207" s="154"/>
      <c r="CZ207" s="154"/>
      <c r="DA207" s="154"/>
      <c r="DB207" s="154"/>
      <c r="DC207" s="154"/>
      <c r="DD207" s="154"/>
      <c r="DE207" s="154"/>
      <c r="DF207" s="154"/>
      <c r="DG207" s="154"/>
      <c r="DH207" s="154"/>
      <c r="DI207" s="154"/>
      <c r="DJ207" s="154"/>
      <c r="DK207" s="154"/>
      <c r="DL207" s="154"/>
      <c r="DM207" s="154"/>
      <c r="DN207" s="154"/>
      <c r="DO207" s="154"/>
      <c r="DP207" s="154"/>
      <c r="DQ207" s="154"/>
      <c r="DR207" s="154"/>
      <c r="DS207" s="154"/>
      <c r="DT207" s="154"/>
      <c r="DU207" s="154"/>
      <c r="DV207" s="154"/>
      <c r="DW207" s="154"/>
      <c r="DX207" s="154"/>
      <c r="DY207" s="154"/>
      <c r="DZ207" s="154"/>
      <c r="EA207" s="154"/>
      <c r="EB207" s="154"/>
      <c r="EC207" s="154"/>
      <c r="ED207" s="154"/>
      <c r="EE207" s="154"/>
      <c r="EF207" s="154"/>
      <c r="EG207" s="154"/>
      <c r="EH207" s="154"/>
      <c r="EI207" s="154"/>
      <c r="EJ207" s="154"/>
      <c r="EK207" s="154"/>
      <c r="EL207" s="154"/>
      <c r="EM207" s="154"/>
      <c r="EN207" s="154"/>
      <c r="EO207" s="154"/>
      <c r="EP207" s="154"/>
      <c r="EQ207" s="154"/>
      <c r="ER207" s="154"/>
      <c r="ES207" s="154"/>
      <c r="ET207" s="154"/>
      <c r="EU207" s="154"/>
      <c r="EV207" s="154"/>
      <c r="EW207" s="154"/>
      <c r="EX207" s="154"/>
      <c r="EY207" s="154"/>
      <c r="EZ207" s="154"/>
      <c r="FA207" s="154"/>
      <c r="FB207" s="154"/>
      <c r="FC207" s="154"/>
      <c r="FD207" s="154"/>
      <c r="FE207" s="154"/>
      <c r="FF207" s="154"/>
      <c r="FG207" s="154"/>
      <c r="FH207" s="154"/>
      <c r="FI207" s="154"/>
      <c r="FJ207" s="154"/>
      <c r="FK207" s="154"/>
      <c r="FL207" s="154"/>
      <c r="FM207" s="154"/>
      <c r="FN207" s="154"/>
      <c r="FO207" s="154"/>
      <c r="FP207" s="154"/>
      <c r="FQ207" s="154"/>
      <c r="FR207" s="154"/>
      <c r="FS207" s="154"/>
      <c r="FT207" s="154"/>
      <c r="FU207" s="154"/>
      <c r="FV207" s="154"/>
      <c r="FW207" s="154"/>
      <c r="FX207" s="154"/>
    </row>
    <row r="208" spans="1:180" s="164" customFormat="1" ht="30" hidden="1" x14ac:dyDescent="0.25">
      <c r="A208" s="216"/>
      <c r="B208" s="214" t="s">
        <v>210</v>
      </c>
      <c r="C208" s="215" t="s">
        <v>258</v>
      </c>
      <c r="D208" s="271" t="s">
        <v>259</v>
      </c>
      <c r="E208" s="271" t="s">
        <v>212</v>
      </c>
      <c r="F208" s="216" t="s">
        <v>256</v>
      </c>
      <c r="G208" s="216" t="s">
        <v>257</v>
      </c>
      <c r="H208" s="216" t="s">
        <v>17</v>
      </c>
      <c r="I208" s="272"/>
      <c r="J208" s="272"/>
      <c r="K208" s="272"/>
      <c r="L208" s="272"/>
      <c r="M208" s="272"/>
      <c r="N208" s="272"/>
      <c r="O208" s="272"/>
      <c r="P208" s="273"/>
      <c r="Q208" s="274"/>
      <c r="R208" s="275"/>
      <c r="S208" s="276"/>
      <c r="T208" s="277"/>
      <c r="U208" s="277"/>
      <c r="V208" s="277"/>
      <c r="W208" s="277"/>
      <c r="AA208" s="278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4"/>
      <c r="CD208" s="154"/>
      <c r="CE208" s="154"/>
      <c r="CF208" s="154"/>
      <c r="CG208" s="154"/>
      <c r="CH208" s="154"/>
      <c r="CI208" s="154"/>
      <c r="CJ208" s="154"/>
      <c r="CK208" s="154"/>
      <c r="CL208" s="154"/>
      <c r="CM208" s="154"/>
      <c r="CN208" s="154"/>
      <c r="CO208" s="154"/>
      <c r="CP208" s="154"/>
      <c r="CQ208" s="154"/>
      <c r="CR208" s="154"/>
      <c r="CS208" s="154"/>
      <c r="CT208" s="154"/>
      <c r="CU208" s="154"/>
      <c r="CV208" s="154"/>
      <c r="CW208" s="154"/>
      <c r="CX208" s="154"/>
      <c r="CY208" s="154"/>
      <c r="CZ208" s="154"/>
      <c r="DA208" s="154"/>
      <c r="DB208" s="154"/>
      <c r="DC208" s="154"/>
      <c r="DD208" s="154"/>
      <c r="DE208" s="154"/>
      <c r="DF208" s="154"/>
      <c r="DG208" s="154"/>
      <c r="DH208" s="154"/>
      <c r="DI208" s="154"/>
      <c r="DJ208" s="154"/>
      <c r="DK208" s="154"/>
      <c r="DL208" s="154"/>
      <c r="DM208" s="154"/>
      <c r="DN208" s="154"/>
      <c r="DO208" s="154"/>
      <c r="DP208" s="154"/>
      <c r="DQ208" s="154"/>
      <c r="DR208" s="154"/>
      <c r="DS208" s="154"/>
      <c r="DT208" s="154"/>
      <c r="DU208" s="154"/>
      <c r="DV208" s="154"/>
      <c r="DW208" s="154"/>
      <c r="DX208" s="154"/>
      <c r="DY208" s="154"/>
      <c r="DZ208" s="154"/>
      <c r="EA208" s="154"/>
      <c r="EB208" s="154"/>
      <c r="EC208" s="154"/>
      <c r="ED208" s="154"/>
      <c r="EE208" s="154"/>
      <c r="EF208" s="154"/>
      <c r="EG208" s="154"/>
      <c r="EH208" s="154"/>
      <c r="EI208" s="154"/>
      <c r="EJ208" s="154"/>
      <c r="EK208" s="154"/>
      <c r="EL208" s="154"/>
      <c r="EM208" s="154"/>
      <c r="EN208" s="154"/>
      <c r="EO208" s="154"/>
      <c r="EP208" s="154"/>
      <c r="EQ208" s="154"/>
      <c r="ER208" s="154"/>
      <c r="ES208" s="154"/>
      <c r="ET208" s="154"/>
      <c r="EU208" s="154"/>
      <c r="EV208" s="154"/>
      <c r="EW208" s="154"/>
      <c r="EX208" s="154"/>
      <c r="EY208" s="154"/>
      <c r="EZ208" s="154"/>
      <c r="FA208" s="154"/>
      <c r="FB208" s="154"/>
      <c r="FC208" s="154"/>
      <c r="FD208" s="154"/>
      <c r="FE208" s="154"/>
      <c r="FF208" s="154"/>
      <c r="FG208" s="154"/>
      <c r="FH208" s="154"/>
      <c r="FI208" s="154"/>
      <c r="FJ208" s="154"/>
      <c r="FK208" s="154"/>
      <c r="FL208" s="154"/>
      <c r="FM208" s="154"/>
      <c r="FN208" s="154"/>
      <c r="FO208" s="154"/>
      <c r="FP208" s="154"/>
      <c r="FQ208" s="154"/>
      <c r="FR208" s="154"/>
      <c r="FS208" s="154"/>
      <c r="FT208" s="154"/>
      <c r="FU208" s="154"/>
      <c r="FV208" s="154"/>
      <c r="FW208" s="154"/>
      <c r="FX208" s="154"/>
    </row>
    <row r="209" spans="1:180" s="164" customFormat="1" ht="30" hidden="1" x14ac:dyDescent="0.25">
      <c r="A209" s="216" t="s">
        <v>1162</v>
      </c>
      <c r="B209" s="214" t="s">
        <v>210</v>
      </c>
      <c r="C209" s="151" t="s">
        <v>258</v>
      </c>
      <c r="D209" s="217">
        <v>0.05</v>
      </c>
      <c r="E209" s="217">
        <v>0.2</v>
      </c>
      <c r="F209" s="217">
        <v>0.45</v>
      </c>
      <c r="G209" s="217">
        <v>0.2</v>
      </c>
      <c r="H209" s="217">
        <v>0.1</v>
      </c>
      <c r="I209" s="155"/>
      <c r="J209" s="155"/>
      <c r="K209" s="155"/>
      <c r="L209" s="155"/>
      <c r="M209" s="155" t="s">
        <v>639</v>
      </c>
      <c r="N209" s="155" t="s">
        <v>639</v>
      </c>
      <c r="O209" s="155" t="s">
        <v>35</v>
      </c>
      <c r="P209" s="279">
        <f>SUM(D209:K209)</f>
        <v>0.99999999999999989</v>
      </c>
      <c r="Q209" s="165"/>
      <c r="R209" s="275"/>
      <c r="S209" s="286" t="s">
        <v>708</v>
      </c>
      <c r="T209" s="277" t="s">
        <v>634</v>
      </c>
      <c r="U209" s="277" t="s">
        <v>634</v>
      </c>
      <c r="V209" s="277" t="s">
        <v>898</v>
      </c>
      <c r="W209" s="277" t="s">
        <v>899</v>
      </c>
      <c r="X209" s="164" t="s">
        <v>678</v>
      </c>
      <c r="AA209" s="278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  <c r="BN209" s="154"/>
      <c r="BO209" s="154"/>
      <c r="BP209" s="154"/>
      <c r="BQ209" s="154"/>
      <c r="BR209" s="154"/>
      <c r="BS209" s="154"/>
      <c r="BT209" s="154"/>
      <c r="BU209" s="154"/>
      <c r="BV209" s="154"/>
      <c r="BW209" s="154"/>
      <c r="BX209" s="154"/>
      <c r="BY209" s="154"/>
      <c r="BZ209" s="154"/>
      <c r="CA209" s="154"/>
      <c r="CB209" s="154"/>
      <c r="CC209" s="154"/>
      <c r="CD209" s="154"/>
      <c r="CE209" s="154"/>
      <c r="CF209" s="154"/>
      <c r="CG209" s="154"/>
      <c r="CH209" s="154"/>
      <c r="CI209" s="154"/>
      <c r="CJ209" s="154"/>
      <c r="CK209" s="154"/>
      <c r="CL209" s="154"/>
      <c r="CM209" s="154"/>
      <c r="CN209" s="154"/>
      <c r="CO209" s="154"/>
      <c r="CP209" s="154"/>
      <c r="CQ209" s="154"/>
      <c r="CR209" s="154"/>
      <c r="CS209" s="154"/>
      <c r="CT209" s="154"/>
      <c r="CU209" s="154"/>
      <c r="CV209" s="154"/>
      <c r="CW209" s="154"/>
      <c r="CX209" s="154"/>
      <c r="CY209" s="154"/>
      <c r="CZ209" s="154"/>
      <c r="DA209" s="154"/>
      <c r="DB209" s="154"/>
      <c r="DC209" s="154"/>
      <c r="DD209" s="154"/>
      <c r="DE209" s="154"/>
      <c r="DF209" s="154"/>
      <c r="DG209" s="154"/>
      <c r="DH209" s="154"/>
      <c r="DI209" s="154"/>
      <c r="DJ209" s="154"/>
      <c r="DK209" s="154"/>
      <c r="DL209" s="154"/>
      <c r="DM209" s="154"/>
      <c r="DN209" s="154"/>
      <c r="DO209" s="154"/>
      <c r="DP209" s="154"/>
      <c r="DQ209" s="154"/>
      <c r="DR209" s="154"/>
      <c r="DS209" s="154"/>
      <c r="DT209" s="154"/>
      <c r="DU209" s="154"/>
      <c r="DV209" s="154"/>
      <c r="DW209" s="154"/>
      <c r="DX209" s="154"/>
      <c r="DY209" s="154"/>
      <c r="DZ209" s="154"/>
      <c r="EA209" s="154"/>
      <c r="EB209" s="154"/>
      <c r="EC209" s="154"/>
      <c r="ED209" s="154"/>
      <c r="EE209" s="154"/>
      <c r="EF209" s="154"/>
      <c r="EG209" s="154"/>
      <c r="EH209" s="154"/>
      <c r="EI209" s="154"/>
      <c r="EJ209" s="154"/>
      <c r="EK209" s="154"/>
      <c r="EL209" s="154"/>
      <c r="EM209" s="154"/>
      <c r="EN209" s="154"/>
      <c r="EO209" s="154"/>
      <c r="EP209" s="154"/>
      <c r="EQ209" s="154"/>
      <c r="ER209" s="154"/>
      <c r="ES209" s="154"/>
      <c r="ET209" s="154"/>
      <c r="EU209" s="154"/>
      <c r="EV209" s="154"/>
      <c r="EW209" s="154"/>
      <c r="EX209" s="154"/>
      <c r="EY209" s="154"/>
      <c r="EZ209" s="154"/>
      <c r="FA209" s="154"/>
      <c r="FB209" s="154"/>
      <c r="FC209" s="154"/>
      <c r="FD209" s="154"/>
      <c r="FE209" s="154"/>
      <c r="FF209" s="154"/>
      <c r="FG209" s="154"/>
      <c r="FH209" s="154"/>
      <c r="FI209" s="154"/>
      <c r="FJ209" s="154"/>
      <c r="FK209" s="154"/>
      <c r="FL209" s="154"/>
      <c r="FM209" s="154"/>
      <c r="FN209" s="154"/>
      <c r="FO209" s="154"/>
      <c r="FP209" s="154"/>
      <c r="FQ209" s="154"/>
      <c r="FR209" s="154"/>
      <c r="FS209" s="154"/>
      <c r="FT209" s="154"/>
      <c r="FU209" s="154"/>
      <c r="FV209" s="154"/>
      <c r="FW209" s="154"/>
      <c r="FX209" s="154"/>
    </row>
    <row r="210" spans="1:180" s="164" customFormat="1" ht="30" hidden="1" x14ac:dyDescent="0.25">
      <c r="A210" s="216" t="s">
        <v>1163</v>
      </c>
      <c r="B210" s="214" t="s">
        <v>210</v>
      </c>
      <c r="C210" s="151" t="s">
        <v>260</v>
      </c>
      <c r="D210" s="217"/>
      <c r="E210" s="217"/>
      <c r="F210" s="217"/>
      <c r="G210" s="217">
        <v>0.9</v>
      </c>
      <c r="H210" s="217">
        <v>0.1</v>
      </c>
      <c r="I210" s="155"/>
      <c r="J210" s="155"/>
      <c r="K210" s="155"/>
      <c r="L210" s="155"/>
      <c r="M210" s="155" t="s">
        <v>639</v>
      </c>
      <c r="N210" s="155" t="s">
        <v>639</v>
      </c>
      <c r="O210" s="155" t="s">
        <v>35</v>
      </c>
      <c r="P210" s="279">
        <f>SUM(D210:K210)</f>
        <v>1</v>
      </c>
      <c r="Q210" s="165"/>
      <c r="R210" s="275"/>
      <c r="S210" s="286" t="s">
        <v>708</v>
      </c>
      <c r="T210" s="277" t="s">
        <v>634</v>
      </c>
      <c r="U210" s="277" t="s">
        <v>634</v>
      </c>
      <c r="V210" s="287"/>
      <c r="W210" s="287"/>
      <c r="X210" s="164" t="s">
        <v>678</v>
      </c>
      <c r="AA210" s="278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4"/>
      <c r="CD210" s="154"/>
      <c r="CE210" s="154"/>
      <c r="CF210" s="154"/>
      <c r="CG210" s="154"/>
      <c r="CH210" s="154"/>
      <c r="CI210" s="154"/>
      <c r="CJ210" s="154"/>
      <c r="CK210" s="154"/>
      <c r="CL210" s="154"/>
      <c r="CM210" s="154"/>
      <c r="CN210" s="154"/>
      <c r="CO210" s="154"/>
      <c r="CP210" s="154"/>
      <c r="CQ210" s="154"/>
      <c r="CR210" s="154"/>
      <c r="CS210" s="154"/>
      <c r="CT210" s="154"/>
      <c r="CU210" s="154"/>
      <c r="CV210" s="154"/>
      <c r="CW210" s="154"/>
      <c r="CX210" s="154"/>
      <c r="CY210" s="154"/>
      <c r="CZ210" s="154"/>
      <c r="DA210" s="154"/>
      <c r="DB210" s="154"/>
      <c r="DC210" s="154"/>
      <c r="DD210" s="154"/>
      <c r="DE210" s="154"/>
      <c r="DF210" s="154"/>
      <c r="DG210" s="154"/>
      <c r="DH210" s="154"/>
      <c r="DI210" s="154"/>
      <c r="DJ210" s="154"/>
      <c r="DK210" s="154"/>
      <c r="DL210" s="154"/>
      <c r="DM210" s="154"/>
      <c r="DN210" s="154"/>
      <c r="DO210" s="154"/>
      <c r="DP210" s="154"/>
      <c r="DQ210" s="154"/>
      <c r="DR210" s="154"/>
      <c r="DS210" s="154"/>
      <c r="DT210" s="154"/>
      <c r="DU210" s="154"/>
      <c r="DV210" s="154"/>
      <c r="DW210" s="154"/>
      <c r="DX210" s="154"/>
      <c r="DY210" s="154"/>
      <c r="DZ210" s="154"/>
      <c r="EA210" s="154"/>
      <c r="EB210" s="154"/>
      <c r="EC210" s="154"/>
      <c r="ED210" s="154"/>
      <c r="EE210" s="154"/>
      <c r="EF210" s="154"/>
      <c r="EG210" s="154"/>
      <c r="EH210" s="154"/>
      <c r="EI210" s="154"/>
      <c r="EJ210" s="154"/>
      <c r="EK210" s="154"/>
      <c r="EL210" s="154"/>
      <c r="EM210" s="154"/>
      <c r="EN210" s="154"/>
      <c r="EO210" s="154"/>
      <c r="EP210" s="154"/>
      <c r="EQ210" s="154"/>
      <c r="ER210" s="154"/>
      <c r="ES210" s="154"/>
      <c r="ET210" s="154"/>
      <c r="EU210" s="154"/>
      <c r="EV210" s="154"/>
      <c r="EW210" s="154"/>
      <c r="EX210" s="154"/>
      <c r="EY210" s="154"/>
      <c r="EZ210" s="154"/>
      <c r="FA210" s="154"/>
      <c r="FB210" s="154"/>
      <c r="FC210" s="154"/>
      <c r="FD210" s="154"/>
      <c r="FE210" s="154"/>
      <c r="FF210" s="154"/>
      <c r="FG210" s="154"/>
      <c r="FH210" s="154"/>
      <c r="FI210" s="154"/>
      <c r="FJ210" s="154"/>
      <c r="FK210" s="154"/>
      <c r="FL210" s="154"/>
      <c r="FM210" s="154"/>
      <c r="FN210" s="154"/>
      <c r="FO210" s="154"/>
      <c r="FP210" s="154"/>
      <c r="FQ210" s="154"/>
      <c r="FR210" s="154"/>
      <c r="FS210" s="154"/>
      <c r="FT210" s="154"/>
      <c r="FU210" s="154"/>
      <c r="FV210" s="154"/>
      <c r="FW210" s="154"/>
      <c r="FX210" s="154"/>
    </row>
    <row r="211" spans="1:180" s="164" customFormat="1" hidden="1" x14ac:dyDescent="0.25">
      <c r="A211" s="216"/>
      <c r="B211" s="214"/>
      <c r="C211" s="151"/>
      <c r="D211" s="217"/>
      <c r="E211" s="217"/>
      <c r="F211" s="217"/>
      <c r="G211" s="217"/>
      <c r="H211" s="217"/>
      <c r="I211" s="155"/>
      <c r="J211" s="155"/>
      <c r="K211" s="155"/>
      <c r="L211" s="155"/>
      <c r="M211" s="155"/>
      <c r="N211" s="155"/>
      <c r="O211" s="155"/>
      <c r="P211" s="273"/>
      <c r="Q211" s="165"/>
      <c r="R211" s="275"/>
      <c r="S211" s="276"/>
      <c r="T211" s="277"/>
      <c r="U211" s="277"/>
      <c r="V211" s="277"/>
      <c r="W211" s="277"/>
      <c r="AA211" s="278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  <c r="BN211" s="154"/>
      <c r="BO211" s="154"/>
      <c r="BP211" s="154"/>
      <c r="BQ211" s="154"/>
      <c r="BR211" s="154"/>
      <c r="BS211" s="154"/>
      <c r="BT211" s="154"/>
      <c r="BU211" s="154"/>
      <c r="BV211" s="154"/>
      <c r="BW211" s="154"/>
      <c r="BX211" s="154"/>
      <c r="BY211" s="154"/>
      <c r="BZ211" s="154"/>
      <c r="CA211" s="154"/>
      <c r="CB211" s="154"/>
      <c r="CC211" s="154"/>
      <c r="CD211" s="154"/>
      <c r="CE211" s="154"/>
      <c r="CF211" s="154"/>
      <c r="CG211" s="154"/>
      <c r="CH211" s="154"/>
      <c r="CI211" s="154"/>
      <c r="CJ211" s="154"/>
      <c r="CK211" s="154"/>
      <c r="CL211" s="154"/>
      <c r="CM211" s="154"/>
      <c r="CN211" s="154"/>
      <c r="CO211" s="154"/>
      <c r="CP211" s="154"/>
      <c r="CQ211" s="154"/>
      <c r="CR211" s="154"/>
      <c r="CS211" s="154"/>
      <c r="CT211" s="154"/>
      <c r="CU211" s="154"/>
      <c r="CV211" s="154"/>
      <c r="CW211" s="154"/>
      <c r="CX211" s="154"/>
      <c r="CY211" s="154"/>
      <c r="CZ211" s="154"/>
      <c r="DA211" s="154"/>
      <c r="DB211" s="154"/>
      <c r="DC211" s="154"/>
      <c r="DD211" s="154"/>
      <c r="DE211" s="154"/>
      <c r="DF211" s="154"/>
      <c r="DG211" s="154"/>
      <c r="DH211" s="154"/>
      <c r="DI211" s="154"/>
      <c r="DJ211" s="154"/>
      <c r="DK211" s="154"/>
      <c r="DL211" s="154"/>
      <c r="DM211" s="154"/>
      <c r="DN211" s="154"/>
      <c r="DO211" s="154"/>
      <c r="DP211" s="154"/>
      <c r="DQ211" s="154"/>
      <c r="DR211" s="154"/>
      <c r="DS211" s="154"/>
      <c r="DT211" s="154"/>
      <c r="DU211" s="154"/>
      <c r="DV211" s="154"/>
      <c r="DW211" s="154"/>
      <c r="DX211" s="154"/>
      <c r="DY211" s="154"/>
      <c r="DZ211" s="154"/>
      <c r="EA211" s="154"/>
      <c r="EB211" s="154"/>
      <c r="EC211" s="154"/>
      <c r="ED211" s="154"/>
      <c r="EE211" s="154"/>
      <c r="EF211" s="154"/>
      <c r="EG211" s="154"/>
      <c r="EH211" s="154"/>
      <c r="EI211" s="154"/>
      <c r="EJ211" s="154"/>
      <c r="EK211" s="154"/>
      <c r="EL211" s="154"/>
      <c r="EM211" s="154"/>
      <c r="EN211" s="154"/>
      <c r="EO211" s="154"/>
      <c r="EP211" s="154"/>
      <c r="EQ211" s="154"/>
      <c r="ER211" s="154"/>
      <c r="ES211" s="154"/>
      <c r="ET211" s="154"/>
      <c r="EU211" s="154"/>
      <c r="EV211" s="154"/>
      <c r="EW211" s="154"/>
      <c r="EX211" s="154"/>
      <c r="EY211" s="154"/>
      <c r="EZ211" s="154"/>
      <c r="FA211" s="154"/>
      <c r="FB211" s="154"/>
      <c r="FC211" s="154"/>
      <c r="FD211" s="154"/>
      <c r="FE211" s="154"/>
      <c r="FF211" s="154"/>
      <c r="FG211" s="154"/>
      <c r="FH211" s="154"/>
      <c r="FI211" s="154"/>
      <c r="FJ211" s="154"/>
      <c r="FK211" s="154"/>
      <c r="FL211" s="154"/>
      <c r="FM211" s="154"/>
      <c r="FN211" s="154"/>
      <c r="FO211" s="154"/>
      <c r="FP211" s="154"/>
      <c r="FQ211" s="154"/>
      <c r="FR211" s="154"/>
      <c r="FS211" s="154"/>
      <c r="FT211" s="154"/>
      <c r="FU211" s="154"/>
      <c r="FV211" s="154"/>
      <c r="FW211" s="154"/>
      <c r="FX211" s="154"/>
    </row>
    <row r="212" spans="1:180" s="164" customFormat="1" ht="30" hidden="1" x14ac:dyDescent="0.25">
      <c r="A212" s="216"/>
      <c r="B212" s="214" t="s">
        <v>210</v>
      </c>
      <c r="C212" s="215" t="s">
        <v>261</v>
      </c>
      <c r="D212" s="271" t="s">
        <v>259</v>
      </c>
      <c r="E212" s="271" t="s">
        <v>55</v>
      </c>
      <c r="F212" s="216" t="s">
        <v>256</v>
      </c>
      <c r="G212" s="216" t="s">
        <v>257</v>
      </c>
      <c r="H212" s="216" t="s">
        <v>17</v>
      </c>
      <c r="I212" s="272"/>
      <c r="J212" s="272"/>
      <c r="K212" s="272"/>
      <c r="L212" s="272"/>
      <c r="M212" s="272"/>
      <c r="N212" s="272"/>
      <c r="O212" s="272"/>
      <c r="P212" s="273"/>
      <c r="Q212" s="274"/>
      <c r="R212" s="275"/>
      <c r="S212" s="276"/>
      <c r="T212" s="277"/>
      <c r="U212" s="277"/>
      <c r="V212" s="277"/>
      <c r="W212" s="277"/>
      <c r="AA212" s="278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154"/>
      <c r="BO212" s="154"/>
      <c r="BP212" s="154"/>
      <c r="BQ212" s="154"/>
      <c r="BR212" s="154"/>
      <c r="BS212" s="154"/>
      <c r="BT212" s="154"/>
      <c r="BU212" s="154"/>
      <c r="BV212" s="154"/>
      <c r="BW212" s="154"/>
      <c r="BX212" s="154"/>
      <c r="BY212" s="154"/>
      <c r="BZ212" s="154"/>
      <c r="CA212" s="154"/>
      <c r="CB212" s="154"/>
      <c r="CC212" s="154"/>
      <c r="CD212" s="154"/>
      <c r="CE212" s="154"/>
      <c r="CF212" s="154"/>
      <c r="CG212" s="154"/>
      <c r="CH212" s="154"/>
      <c r="CI212" s="154"/>
      <c r="CJ212" s="154"/>
      <c r="CK212" s="154"/>
      <c r="CL212" s="154"/>
      <c r="CM212" s="154"/>
      <c r="CN212" s="154"/>
      <c r="CO212" s="154"/>
      <c r="CP212" s="154"/>
      <c r="CQ212" s="154"/>
      <c r="CR212" s="154"/>
      <c r="CS212" s="154"/>
      <c r="CT212" s="154"/>
      <c r="CU212" s="154"/>
      <c r="CV212" s="154"/>
      <c r="CW212" s="154"/>
      <c r="CX212" s="154"/>
      <c r="CY212" s="154"/>
      <c r="CZ212" s="154"/>
      <c r="DA212" s="154"/>
      <c r="DB212" s="154"/>
      <c r="DC212" s="154"/>
      <c r="DD212" s="154"/>
      <c r="DE212" s="154"/>
      <c r="DF212" s="154"/>
      <c r="DG212" s="154"/>
      <c r="DH212" s="154"/>
      <c r="DI212" s="154"/>
      <c r="DJ212" s="154"/>
      <c r="DK212" s="154"/>
      <c r="DL212" s="154"/>
      <c r="DM212" s="154"/>
      <c r="DN212" s="154"/>
      <c r="DO212" s="154"/>
      <c r="DP212" s="154"/>
      <c r="DQ212" s="154"/>
      <c r="DR212" s="154"/>
      <c r="DS212" s="154"/>
      <c r="DT212" s="154"/>
      <c r="DU212" s="154"/>
      <c r="DV212" s="154"/>
      <c r="DW212" s="154"/>
      <c r="DX212" s="154"/>
      <c r="DY212" s="154"/>
      <c r="DZ212" s="154"/>
      <c r="EA212" s="154"/>
      <c r="EB212" s="154"/>
      <c r="EC212" s="154"/>
      <c r="ED212" s="154"/>
      <c r="EE212" s="154"/>
      <c r="EF212" s="154"/>
      <c r="EG212" s="154"/>
      <c r="EH212" s="154"/>
      <c r="EI212" s="154"/>
      <c r="EJ212" s="154"/>
      <c r="EK212" s="154"/>
      <c r="EL212" s="154"/>
      <c r="EM212" s="154"/>
      <c r="EN212" s="154"/>
      <c r="EO212" s="154"/>
      <c r="EP212" s="154"/>
      <c r="EQ212" s="154"/>
      <c r="ER212" s="154"/>
      <c r="ES212" s="154"/>
      <c r="ET212" s="154"/>
      <c r="EU212" s="154"/>
      <c r="EV212" s="154"/>
      <c r="EW212" s="154"/>
      <c r="EX212" s="154"/>
      <c r="EY212" s="154"/>
      <c r="EZ212" s="154"/>
      <c r="FA212" s="154"/>
      <c r="FB212" s="154"/>
      <c r="FC212" s="154"/>
      <c r="FD212" s="154"/>
      <c r="FE212" s="154"/>
      <c r="FF212" s="154"/>
      <c r="FG212" s="154"/>
      <c r="FH212" s="154"/>
      <c r="FI212" s="154"/>
      <c r="FJ212" s="154"/>
      <c r="FK212" s="154"/>
      <c r="FL212" s="154"/>
      <c r="FM212" s="154"/>
      <c r="FN212" s="154"/>
      <c r="FO212" s="154"/>
      <c r="FP212" s="154"/>
      <c r="FQ212" s="154"/>
      <c r="FR212" s="154"/>
      <c r="FS212" s="154"/>
      <c r="FT212" s="154"/>
      <c r="FU212" s="154"/>
      <c r="FV212" s="154"/>
      <c r="FW212" s="154"/>
      <c r="FX212" s="154"/>
    </row>
    <row r="213" spans="1:180" s="164" customFormat="1" ht="30" hidden="1" x14ac:dyDescent="0.25">
      <c r="A213" s="216" t="s">
        <v>1164</v>
      </c>
      <c r="B213" s="214" t="s">
        <v>210</v>
      </c>
      <c r="C213" s="151" t="s">
        <v>262</v>
      </c>
      <c r="D213" s="217">
        <v>0.05</v>
      </c>
      <c r="E213" s="217">
        <v>0.7</v>
      </c>
      <c r="F213" s="217">
        <v>0.1</v>
      </c>
      <c r="G213" s="217">
        <v>0.1</v>
      </c>
      <c r="H213" s="217">
        <v>0.05</v>
      </c>
      <c r="I213" s="155"/>
      <c r="J213" s="155"/>
      <c r="K213" s="155"/>
      <c r="L213" s="155"/>
      <c r="M213" s="155" t="s">
        <v>639</v>
      </c>
      <c r="N213" s="155" t="s">
        <v>639</v>
      </c>
      <c r="O213" s="155" t="s">
        <v>35</v>
      </c>
      <c r="P213" s="279">
        <f>SUM(D213:K213)</f>
        <v>1</v>
      </c>
      <c r="Q213" s="165"/>
      <c r="R213" s="275"/>
      <c r="S213" s="276" t="s">
        <v>900</v>
      </c>
      <c r="T213" s="277" t="s">
        <v>634</v>
      </c>
      <c r="U213" s="277" t="s">
        <v>634</v>
      </c>
      <c r="V213" s="277" t="s">
        <v>709</v>
      </c>
      <c r="W213" s="277" t="s">
        <v>710</v>
      </c>
      <c r="AA213" s="278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154"/>
      <c r="BO213" s="154"/>
      <c r="BP213" s="154"/>
      <c r="BQ213" s="154"/>
      <c r="BR213" s="154"/>
      <c r="BS213" s="154"/>
      <c r="BT213" s="154"/>
      <c r="BU213" s="154"/>
      <c r="BV213" s="154"/>
      <c r="BW213" s="154"/>
      <c r="BX213" s="154"/>
      <c r="BY213" s="154"/>
      <c r="BZ213" s="154"/>
      <c r="CA213" s="154"/>
      <c r="CB213" s="154"/>
      <c r="CC213" s="154"/>
      <c r="CD213" s="154"/>
      <c r="CE213" s="154"/>
      <c r="CF213" s="154"/>
      <c r="CG213" s="154"/>
      <c r="CH213" s="154"/>
      <c r="CI213" s="154"/>
      <c r="CJ213" s="154"/>
      <c r="CK213" s="154"/>
      <c r="CL213" s="154"/>
      <c r="CM213" s="154"/>
      <c r="CN213" s="154"/>
      <c r="CO213" s="154"/>
      <c r="CP213" s="154"/>
      <c r="CQ213" s="154"/>
      <c r="CR213" s="154"/>
      <c r="CS213" s="154"/>
      <c r="CT213" s="154"/>
      <c r="CU213" s="154"/>
      <c r="CV213" s="154"/>
      <c r="CW213" s="154"/>
      <c r="CX213" s="154"/>
      <c r="CY213" s="154"/>
      <c r="CZ213" s="154"/>
      <c r="DA213" s="154"/>
      <c r="DB213" s="154"/>
      <c r="DC213" s="154"/>
      <c r="DD213" s="154"/>
      <c r="DE213" s="154"/>
      <c r="DF213" s="154"/>
      <c r="DG213" s="154"/>
      <c r="DH213" s="154"/>
      <c r="DI213" s="154"/>
      <c r="DJ213" s="154"/>
      <c r="DK213" s="154"/>
      <c r="DL213" s="154"/>
      <c r="DM213" s="154"/>
      <c r="DN213" s="154"/>
      <c r="DO213" s="154"/>
      <c r="DP213" s="154"/>
      <c r="DQ213" s="154"/>
      <c r="DR213" s="154"/>
      <c r="DS213" s="154"/>
      <c r="DT213" s="154"/>
      <c r="DU213" s="154"/>
      <c r="DV213" s="154"/>
      <c r="DW213" s="154"/>
      <c r="DX213" s="154"/>
      <c r="DY213" s="154"/>
      <c r="DZ213" s="154"/>
      <c r="EA213" s="154"/>
      <c r="EB213" s="154"/>
      <c r="EC213" s="154"/>
      <c r="ED213" s="154"/>
      <c r="EE213" s="154"/>
      <c r="EF213" s="154"/>
      <c r="EG213" s="154"/>
      <c r="EH213" s="154"/>
      <c r="EI213" s="154"/>
      <c r="EJ213" s="154"/>
      <c r="EK213" s="154"/>
      <c r="EL213" s="154"/>
      <c r="EM213" s="154"/>
      <c r="EN213" s="154"/>
      <c r="EO213" s="154"/>
      <c r="EP213" s="154"/>
      <c r="EQ213" s="154"/>
      <c r="ER213" s="154"/>
      <c r="ES213" s="154"/>
      <c r="ET213" s="154"/>
      <c r="EU213" s="154"/>
      <c r="EV213" s="154"/>
      <c r="EW213" s="154"/>
      <c r="EX213" s="154"/>
      <c r="EY213" s="154"/>
      <c r="EZ213" s="154"/>
      <c r="FA213" s="154"/>
      <c r="FB213" s="154"/>
      <c r="FC213" s="154"/>
      <c r="FD213" s="154"/>
      <c r="FE213" s="154"/>
      <c r="FF213" s="154"/>
      <c r="FG213" s="154"/>
      <c r="FH213" s="154"/>
      <c r="FI213" s="154"/>
      <c r="FJ213" s="154"/>
      <c r="FK213" s="154"/>
      <c r="FL213" s="154"/>
      <c r="FM213" s="154"/>
      <c r="FN213" s="154"/>
      <c r="FO213" s="154"/>
      <c r="FP213" s="154"/>
      <c r="FQ213" s="154"/>
      <c r="FR213" s="154"/>
      <c r="FS213" s="154"/>
      <c r="FT213" s="154"/>
      <c r="FU213" s="154"/>
      <c r="FV213" s="154"/>
      <c r="FW213" s="154"/>
      <c r="FX213" s="154"/>
    </row>
    <row r="214" spans="1:180" s="164" customFormat="1" ht="30" hidden="1" x14ac:dyDescent="0.25">
      <c r="A214" s="216" t="s">
        <v>1165</v>
      </c>
      <c r="B214" s="214" t="s">
        <v>210</v>
      </c>
      <c r="C214" s="151" t="s">
        <v>263</v>
      </c>
      <c r="D214" s="217">
        <v>0.05</v>
      </c>
      <c r="E214" s="217">
        <v>0.6</v>
      </c>
      <c r="F214" s="217">
        <v>0.2</v>
      </c>
      <c r="G214" s="217">
        <v>0.05</v>
      </c>
      <c r="H214" s="217">
        <v>0.1</v>
      </c>
      <c r="I214" s="155"/>
      <c r="J214" s="155"/>
      <c r="K214" s="155"/>
      <c r="L214" s="155"/>
      <c r="M214" s="155" t="s">
        <v>639</v>
      </c>
      <c r="N214" s="155" t="s">
        <v>639</v>
      </c>
      <c r="O214" s="155" t="s">
        <v>35</v>
      </c>
      <c r="P214" s="279">
        <f>SUM(D214:K214)</f>
        <v>1.0000000000000002</v>
      </c>
      <c r="Q214" s="165"/>
      <c r="R214" s="275"/>
      <c r="S214" s="276" t="s">
        <v>901</v>
      </c>
      <c r="T214" s="277" t="s">
        <v>634</v>
      </c>
      <c r="U214" s="277" t="s">
        <v>634</v>
      </c>
      <c r="V214" s="277" t="s">
        <v>902</v>
      </c>
      <c r="W214" s="277" t="s">
        <v>903</v>
      </c>
      <c r="X214" s="164" t="s">
        <v>653</v>
      </c>
      <c r="AA214" s="278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4"/>
      <c r="CD214" s="154"/>
      <c r="CE214" s="154"/>
      <c r="CF214" s="154"/>
      <c r="CG214" s="154"/>
      <c r="CH214" s="154"/>
      <c r="CI214" s="154"/>
      <c r="CJ214" s="154"/>
      <c r="CK214" s="154"/>
      <c r="CL214" s="154"/>
      <c r="CM214" s="154"/>
      <c r="CN214" s="154"/>
      <c r="CO214" s="154"/>
      <c r="CP214" s="154"/>
      <c r="CQ214" s="154"/>
      <c r="CR214" s="154"/>
      <c r="CS214" s="154"/>
      <c r="CT214" s="154"/>
      <c r="CU214" s="154"/>
      <c r="CV214" s="154"/>
      <c r="CW214" s="154"/>
      <c r="CX214" s="154"/>
      <c r="CY214" s="154"/>
      <c r="CZ214" s="154"/>
      <c r="DA214" s="154"/>
      <c r="DB214" s="154"/>
      <c r="DC214" s="154"/>
      <c r="DD214" s="154"/>
      <c r="DE214" s="154"/>
      <c r="DF214" s="154"/>
      <c r="DG214" s="154"/>
      <c r="DH214" s="154"/>
      <c r="DI214" s="154"/>
      <c r="DJ214" s="154"/>
      <c r="DK214" s="154"/>
      <c r="DL214" s="154"/>
      <c r="DM214" s="154"/>
      <c r="DN214" s="154"/>
      <c r="DO214" s="154"/>
      <c r="DP214" s="154"/>
      <c r="DQ214" s="154"/>
      <c r="DR214" s="154"/>
      <c r="DS214" s="154"/>
      <c r="DT214" s="154"/>
      <c r="DU214" s="154"/>
      <c r="DV214" s="154"/>
      <c r="DW214" s="154"/>
      <c r="DX214" s="154"/>
      <c r="DY214" s="154"/>
      <c r="DZ214" s="154"/>
      <c r="EA214" s="154"/>
      <c r="EB214" s="154"/>
      <c r="EC214" s="154"/>
      <c r="ED214" s="154"/>
      <c r="EE214" s="154"/>
      <c r="EF214" s="154"/>
      <c r="EG214" s="154"/>
      <c r="EH214" s="154"/>
      <c r="EI214" s="154"/>
      <c r="EJ214" s="154"/>
      <c r="EK214" s="154"/>
      <c r="EL214" s="154"/>
      <c r="EM214" s="154"/>
      <c r="EN214" s="154"/>
      <c r="EO214" s="154"/>
      <c r="EP214" s="154"/>
      <c r="EQ214" s="154"/>
      <c r="ER214" s="154"/>
      <c r="ES214" s="154"/>
      <c r="ET214" s="154"/>
      <c r="EU214" s="154"/>
      <c r="EV214" s="154"/>
      <c r="EW214" s="154"/>
      <c r="EX214" s="154"/>
      <c r="EY214" s="154"/>
      <c r="EZ214" s="154"/>
      <c r="FA214" s="154"/>
      <c r="FB214" s="154"/>
      <c r="FC214" s="154"/>
      <c r="FD214" s="154"/>
      <c r="FE214" s="154"/>
      <c r="FF214" s="154"/>
      <c r="FG214" s="154"/>
      <c r="FH214" s="154"/>
      <c r="FI214" s="154"/>
      <c r="FJ214" s="154"/>
      <c r="FK214" s="154"/>
      <c r="FL214" s="154"/>
      <c r="FM214" s="154"/>
      <c r="FN214" s="154"/>
      <c r="FO214" s="154"/>
      <c r="FP214" s="154"/>
      <c r="FQ214" s="154"/>
      <c r="FR214" s="154"/>
      <c r="FS214" s="154"/>
      <c r="FT214" s="154"/>
      <c r="FU214" s="154"/>
      <c r="FV214" s="154"/>
      <c r="FW214" s="154"/>
      <c r="FX214" s="154"/>
    </row>
    <row r="215" spans="1:180" s="164" customFormat="1" ht="30" hidden="1" x14ac:dyDescent="0.25">
      <c r="A215" s="216" t="s">
        <v>1166</v>
      </c>
      <c r="B215" s="214" t="s">
        <v>210</v>
      </c>
      <c r="C215" s="151" t="s">
        <v>264</v>
      </c>
      <c r="D215" s="217">
        <v>0.05</v>
      </c>
      <c r="E215" s="217">
        <v>0.6</v>
      </c>
      <c r="F215" s="217">
        <v>0.2</v>
      </c>
      <c r="G215" s="217">
        <v>0.05</v>
      </c>
      <c r="H215" s="217">
        <v>0.1</v>
      </c>
      <c r="I215" s="155"/>
      <c r="J215" s="155"/>
      <c r="K215" s="155"/>
      <c r="L215" s="155"/>
      <c r="M215" s="155" t="s">
        <v>639</v>
      </c>
      <c r="N215" s="155" t="s">
        <v>639</v>
      </c>
      <c r="O215" s="155" t="s">
        <v>35</v>
      </c>
      <c r="P215" s="279">
        <f>SUM(D215:K215)</f>
        <v>1.0000000000000002</v>
      </c>
      <c r="Q215" s="165"/>
      <c r="R215" s="275"/>
      <c r="S215" s="276" t="s">
        <v>901</v>
      </c>
      <c r="T215" s="277" t="s">
        <v>634</v>
      </c>
      <c r="U215" s="277" t="s">
        <v>634</v>
      </c>
      <c r="V215" s="277" t="s">
        <v>904</v>
      </c>
      <c r="W215" s="277" t="s">
        <v>905</v>
      </c>
      <c r="X215" s="164" t="s">
        <v>653</v>
      </c>
      <c r="AA215" s="278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154"/>
      <c r="BO215" s="154"/>
      <c r="BP215" s="154"/>
      <c r="BQ215" s="154"/>
      <c r="BR215" s="154"/>
      <c r="BS215" s="154"/>
      <c r="BT215" s="154"/>
      <c r="BU215" s="154"/>
      <c r="BV215" s="154"/>
      <c r="BW215" s="154"/>
      <c r="BX215" s="154"/>
      <c r="BY215" s="154"/>
      <c r="BZ215" s="154"/>
      <c r="CA215" s="154"/>
      <c r="CB215" s="154"/>
      <c r="CC215" s="154"/>
      <c r="CD215" s="154"/>
      <c r="CE215" s="154"/>
      <c r="CF215" s="154"/>
      <c r="CG215" s="154"/>
      <c r="CH215" s="154"/>
      <c r="CI215" s="154"/>
      <c r="CJ215" s="154"/>
      <c r="CK215" s="154"/>
      <c r="CL215" s="154"/>
      <c r="CM215" s="154"/>
      <c r="CN215" s="154"/>
      <c r="CO215" s="154"/>
      <c r="CP215" s="154"/>
      <c r="CQ215" s="154"/>
      <c r="CR215" s="154"/>
      <c r="CS215" s="154"/>
      <c r="CT215" s="154"/>
      <c r="CU215" s="154"/>
      <c r="CV215" s="154"/>
      <c r="CW215" s="154"/>
      <c r="CX215" s="154"/>
      <c r="CY215" s="154"/>
      <c r="CZ215" s="154"/>
      <c r="DA215" s="154"/>
      <c r="DB215" s="154"/>
      <c r="DC215" s="154"/>
      <c r="DD215" s="154"/>
      <c r="DE215" s="154"/>
      <c r="DF215" s="154"/>
      <c r="DG215" s="154"/>
      <c r="DH215" s="154"/>
      <c r="DI215" s="154"/>
      <c r="DJ215" s="154"/>
      <c r="DK215" s="154"/>
      <c r="DL215" s="154"/>
      <c r="DM215" s="154"/>
      <c r="DN215" s="154"/>
      <c r="DO215" s="154"/>
      <c r="DP215" s="154"/>
      <c r="DQ215" s="154"/>
      <c r="DR215" s="154"/>
      <c r="DS215" s="154"/>
      <c r="DT215" s="154"/>
      <c r="DU215" s="154"/>
      <c r="DV215" s="154"/>
      <c r="DW215" s="154"/>
      <c r="DX215" s="154"/>
      <c r="DY215" s="154"/>
      <c r="DZ215" s="154"/>
      <c r="EA215" s="154"/>
      <c r="EB215" s="154"/>
      <c r="EC215" s="154"/>
      <c r="ED215" s="154"/>
      <c r="EE215" s="154"/>
      <c r="EF215" s="154"/>
      <c r="EG215" s="154"/>
      <c r="EH215" s="154"/>
      <c r="EI215" s="154"/>
      <c r="EJ215" s="154"/>
      <c r="EK215" s="154"/>
      <c r="EL215" s="154"/>
      <c r="EM215" s="154"/>
      <c r="EN215" s="154"/>
      <c r="EO215" s="154"/>
      <c r="EP215" s="154"/>
      <c r="EQ215" s="154"/>
      <c r="ER215" s="154"/>
      <c r="ES215" s="154"/>
      <c r="ET215" s="154"/>
      <c r="EU215" s="154"/>
      <c r="EV215" s="154"/>
      <c r="EW215" s="154"/>
      <c r="EX215" s="154"/>
      <c r="EY215" s="154"/>
      <c r="EZ215" s="154"/>
      <c r="FA215" s="154"/>
      <c r="FB215" s="154"/>
      <c r="FC215" s="154"/>
      <c r="FD215" s="154"/>
      <c r="FE215" s="154"/>
      <c r="FF215" s="154"/>
      <c r="FG215" s="154"/>
      <c r="FH215" s="154"/>
      <c r="FI215" s="154"/>
      <c r="FJ215" s="154"/>
      <c r="FK215" s="154"/>
      <c r="FL215" s="154"/>
      <c r="FM215" s="154"/>
      <c r="FN215" s="154"/>
      <c r="FO215" s="154"/>
      <c r="FP215" s="154"/>
      <c r="FQ215" s="154"/>
      <c r="FR215" s="154"/>
      <c r="FS215" s="154"/>
      <c r="FT215" s="154"/>
      <c r="FU215" s="154"/>
      <c r="FV215" s="154"/>
      <c r="FW215" s="154"/>
      <c r="FX215" s="154"/>
    </row>
    <row r="216" spans="1:180" s="164" customFormat="1" ht="30" hidden="1" x14ac:dyDescent="0.25">
      <c r="A216" s="216" t="s">
        <v>1167</v>
      </c>
      <c r="B216" s="214" t="s">
        <v>210</v>
      </c>
      <c r="C216" s="151" t="s">
        <v>265</v>
      </c>
      <c r="D216" s="217">
        <v>0.05</v>
      </c>
      <c r="E216" s="217">
        <v>0.75</v>
      </c>
      <c r="F216" s="217"/>
      <c r="G216" s="217">
        <v>0.1</v>
      </c>
      <c r="H216" s="217">
        <v>0.1</v>
      </c>
      <c r="I216" s="155"/>
      <c r="J216" s="155"/>
      <c r="K216" s="155"/>
      <c r="L216" s="155"/>
      <c r="M216" s="155" t="s">
        <v>639</v>
      </c>
      <c r="N216" s="155" t="s">
        <v>639</v>
      </c>
      <c r="O216" s="155" t="s">
        <v>35</v>
      </c>
      <c r="P216" s="279">
        <f>SUM(D216:K216)</f>
        <v>1</v>
      </c>
      <c r="Q216" s="165"/>
      <c r="R216" s="275"/>
      <c r="S216" s="276" t="s">
        <v>901</v>
      </c>
      <c r="T216" s="277" t="s">
        <v>634</v>
      </c>
      <c r="U216" s="277" t="s">
        <v>634</v>
      </c>
      <c r="V216" s="277" t="s">
        <v>711</v>
      </c>
      <c r="W216" s="277" t="s">
        <v>711</v>
      </c>
      <c r="X216" s="164" t="s">
        <v>653</v>
      </c>
      <c r="AA216" s="278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4"/>
      <c r="CD216" s="154"/>
      <c r="CE216" s="154"/>
      <c r="CF216" s="154"/>
      <c r="CG216" s="154"/>
      <c r="CH216" s="154"/>
      <c r="CI216" s="154"/>
      <c r="CJ216" s="154"/>
      <c r="CK216" s="154"/>
      <c r="CL216" s="154"/>
      <c r="CM216" s="154"/>
      <c r="CN216" s="154"/>
      <c r="CO216" s="154"/>
      <c r="CP216" s="154"/>
      <c r="CQ216" s="154"/>
      <c r="CR216" s="154"/>
      <c r="CS216" s="154"/>
      <c r="CT216" s="154"/>
      <c r="CU216" s="154"/>
      <c r="CV216" s="154"/>
      <c r="CW216" s="154"/>
      <c r="CX216" s="154"/>
      <c r="CY216" s="154"/>
      <c r="CZ216" s="154"/>
      <c r="DA216" s="154"/>
      <c r="DB216" s="154"/>
      <c r="DC216" s="154"/>
      <c r="DD216" s="154"/>
      <c r="DE216" s="154"/>
      <c r="DF216" s="154"/>
      <c r="DG216" s="154"/>
      <c r="DH216" s="154"/>
      <c r="DI216" s="154"/>
      <c r="DJ216" s="154"/>
      <c r="DK216" s="154"/>
      <c r="DL216" s="154"/>
      <c r="DM216" s="154"/>
      <c r="DN216" s="154"/>
      <c r="DO216" s="154"/>
      <c r="DP216" s="154"/>
      <c r="DQ216" s="154"/>
      <c r="DR216" s="154"/>
      <c r="DS216" s="154"/>
      <c r="DT216" s="154"/>
      <c r="DU216" s="154"/>
      <c r="DV216" s="154"/>
      <c r="DW216" s="154"/>
      <c r="DX216" s="154"/>
      <c r="DY216" s="154"/>
      <c r="DZ216" s="154"/>
      <c r="EA216" s="154"/>
      <c r="EB216" s="154"/>
      <c r="EC216" s="154"/>
      <c r="ED216" s="154"/>
      <c r="EE216" s="154"/>
      <c r="EF216" s="154"/>
      <c r="EG216" s="154"/>
      <c r="EH216" s="154"/>
      <c r="EI216" s="154"/>
      <c r="EJ216" s="154"/>
      <c r="EK216" s="154"/>
      <c r="EL216" s="154"/>
      <c r="EM216" s="154"/>
      <c r="EN216" s="154"/>
      <c r="EO216" s="154"/>
      <c r="EP216" s="154"/>
      <c r="EQ216" s="154"/>
      <c r="ER216" s="154"/>
      <c r="ES216" s="154"/>
      <c r="ET216" s="154"/>
      <c r="EU216" s="154"/>
      <c r="EV216" s="154"/>
      <c r="EW216" s="154"/>
      <c r="EX216" s="154"/>
      <c r="EY216" s="154"/>
      <c r="EZ216" s="154"/>
      <c r="FA216" s="154"/>
      <c r="FB216" s="154"/>
      <c r="FC216" s="154"/>
      <c r="FD216" s="154"/>
      <c r="FE216" s="154"/>
      <c r="FF216" s="154"/>
      <c r="FG216" s="154"/>
      <c r="FH216" s="154"/>
      <c r="FI216" s="154"/>
      <c r="FJ216" s="154"/>
      <c r="FK216" s="154"/>
      <c r="FL216" s="154"/>
      <c r="FM216" s="154"/>
      <c r="FN216" s="154"/>
      <c r="FO216" s="154"/>
      <c r="FP216" s="154"/>
      <c r="FQ216" s="154"/>
      <c r="FR216" s="154"/>
      <c r="FS216" s="154"/>
      <c r="FT216" s="154"/>
      <c r="FU216" s="154"/>
      <c r="FV216" s="154"/>
      <c r="FW216" s="154"/>
      <c r="FX216" s="154"/>
    </row>
    <row r="217" spans="1:180" s="164" customFormat="1" hidden="1" x14ac:dyDescent="0.25">
      <c r="A217" s="216"/>
      <c r="B217" s="214"/>
      <c r="C217" s="168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273"/>
      <c r="Q217" s="165"/>
      <c r="R217" s="275"/>
      <c r="S217" s="276"/>
      <c r="T217" s="277"/>
      <c r="U217" s="277"/>
      <c r="V217" s="277"/>
      <c r="W217" s="277"/>
      <c r="AA217" s="278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154"/>
      <c r="BO217" s="154"/>
      <c r="BP217" s="154"/>
      <c r="BQ217" s="154"/>
      <c r="BR217" s="154"/>
      <c r="BS217" s="154"/>
      <c r="BT217" s="154"/>
      <c r="BU217" s="154"/>
      <c r="BV217" s="154"/>
      <c r="BW217" s="154"/>
      <c r="BX217" s="154"/>
      <c r="BY217" s="154"/>
      <c r="BZ217" s="154"/>
      <c r="CA217" s="154"/>
      <c r="CB217" s="154"/>
      <c r="CC217" s="154"/>
      <c r="CD217" s="154"/>
      <c r="CE217" s="154"/>
      <c r="CF217" s="154"/>
      <c r="CG217" s="154"/>
      <c r="CH217" s="154"/>
      <c r="CI217" s="154"/>
      <c r="CJ217" s="154"/>
      <c r="CK217" s="154"/>
      <c r="CL217" s="154"/>
      <c r="CM217" s="154"/>
      <c r="CN217" s="154"/>
      <c r="CO217" s="154"/>
      <c r="CP217" s="154"/>
      <c r="CQ217" s="154"/>
      <c r="CR217" s="154"/>
      <c r="CS217" s="154"/>
      <c r="CT217" s="154"/>
      <c r="CU217" s="154"/>
      <c r="CV217" s="154"/>
      <c r="CW217" s="154"/>
      <c r="CX217" s="154"/>
      <c r="CY217" s="154"/>
      <c r="CZ217" s="154"/>
      <c r="DA217" s="154"/>
      <c r="DB217" s="154"/>
      <c r="DC217" s="154"/>
      <c r="DD217" s="154"/>
      <c r="DE217" s="154"/>
      <c r="DF217" s="154"/>
      <c r="DG217" s="154"/>
      <c r="DH217" s="154"/>
      <c r="DI217" s="154"/>
      <c r="DJ217" s="154"/>
      <c r="DK217" s="154"/>
      <c r="DL217" s="154"/>
      <c r="DM217" s="154"/>
      <c r="DN217" s="154"/>
      <c r="DO217" s="154"/>
      <c r="DP217" s="154"/>
      <c r="DQ217" s="154"/>
      <c r="DR217" s="154"/>
      <c r="DS217" s="154"/>
      <c r="DT217" s="154"/>
      <c r="DU217" s="154"/>
      <c r="DV217" s="154"/>
      <c r="DW217" s="154"/>
      <c r="DX217" s="154"/>
      <c r="DY217" s="154"/>
      <c r="DZ217" s="154"/>
      <c r="EA217" s="154"/>
      <c r="EB217" s="154"/>
      <c r="EC217" s="154"/>
      <c r="ED217" s="154"/>
      <c r="EE217" s="154"/>
      <c r="EF217" s="154"/>
      <c r="EG217" s="154"/>
      <c r="EH217" s="154"/>
      <c r="EI217" s="154"/>
      <c r="EJ217" s="154"/>
      <c r="EK217" s="154"/>
      <c r="EL217" s="154"/>
      <c r="EM217" s="154"/>
      <c r="EN217" s="154"/>
      <c r="EO217" s="154"/>
      <c r="EP217" s="154"/>
      <c r="EQ217" s="154"/>
      <c r="ER217" s="154"/>
      <c r="ES217" s="154"/>
      <c r="ET217" s="154"/>
      <c r="EU217" s="154"/>
      <c r="EV217" s="154"/>
      <c r="EW217" s="154"/>
      <c r="EX217" s="154"/>
      <c r="EY217" s="154"/>
      <c r="EZ217" s="154"/>
      <c r="FA217" s="154"/>
      <c r="FB217" s="154"/>
      <c r="FC217" s="154"/>
      <c r="FD217" s="154"/>
      <c r="FE217" s="154"/>
      <c r="FF217" s="154"/>
      <c r="FG217" s="154"/>
      <c r="FH217" s="154"/>
      <c r="FI217" s="154"/>
      <c r="FJ217" s="154"/>
      <c r="FK217" s="154"/>
      <c r="FL217" s="154"/>
      <c r="FM217" s="154"/>
      <c r="FN217" s="154"/>
      <c r="FO217" s="154"/>
      <c r="FP217" s="154"/>
      <c r="FQ217" s="154"/>
      <c r="FR217" s="154"/>
      <c r="FS217" s="154"/>
      <c r="FT217" s="154"/>
      <c r="FU217" s="154"/>
      <c r="FV217" s="154"/>
      <c r="FW217" s="154"/>
      <c r="FX217" s="154"/>
    </row>
    <row r="218" spans="1:180" s="164" customFormat="1" ht="30" hidden="1" x14ac:dyDescent="0.25">
      <c r="A218" s="216"/>
      <c r="B218" s="214" t="s">
        <v>210</v>
      </c>
      <c r="C218" s="215" t="s">
        <v>266</v>
      </c>
      <c r="D218" s="216" t="s">
        <v>103</v>
      </c>
      <c r="E218" s="271" t="s">
        <v>212</v>
      </c>
      <c r="F218" s="216" t="s">
        <v>256</v>
      </c>
      <c r="G218" s="216" t="s">
        <v>257</v>
      </c>
      <c r="H218" s="216" t="s">
        <v>17</v>
      </c>
      <c r="I218" s="272"/>
      <c r="J218" s="272"/>
      <c r="K218" s="272"/>
      <c r="L218" s="272"/>
      <c r="M218" s="272"/>
      <c r="N218" s="272"/>
      <c r="O218" s="272"/>
      <c r="P218" s="273"/>
      <c r="Q218" s="274"/>
      <c r="R218" s="275"/>
      <c r="S218" s="276"/>
      <c r="T218" s="277"/>
      <c r="U218" s="277"/>
      <c r="V218" s="277"/>
      <c r="W218" s="277"/>
      <c r="AA218" s="278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4"/>
      <c r="CD218" s="154"/>
      <c r="CE218" s="154"/>
      <c r="CF218" s="154"/>
      <c r="CG218" s="154"/>
      <c r="CH218" s="154"/>
      <c r="CI218" s="154"/>
      <c r="CJ218" s="154"/>
      <c r="CK218" s="154"/>
      <c r="CL218" s="154"/>
      <c r="CM218" s="154"/>
      <c r="CN218" s="154"/>
      <c r="CO218" s="154"/>
      <c r="CP218" s="154"/>
      <c r="CQ218" s="154"/>
      <c r="CR218" s="154"/>
      <c r="CS218" s="154"/>
      <c r="CT218" s="154"/>
      <c r="CU218" s="154"/>
      <c r="CV218" s="154"/>
      <c r="CW218" s="154"/>
      <c r="CX218" s="154"/>
      <c r="CY218" s="154"/>
      <c r="CZ218" s="154"/>
      <c r="DA218" s="154"/>
      <c r="DB218" s="154"/>
      <c r="DC218" s="154"/>
      <c r="DD218" s="154"/>
      <c r="DE218" s="154"/>
      <c r="DF218" s="154"/>
      <c r="DG218" s="154"/>
      <c r="DH218" s="154"/>
      <c r="DI218" s="154"/>
      <c r="DJ218" s="154"/>
      <c r="DK218" s="154"/>
      <c r="DL218" s="154"/>
      <c r="DM218" s="154"/>
      <c r="DN218" s="154"/>
      <c r="DO218" s="154"/>
      <c r="DP218" s="154"/>
      <c r="DQ218" s="154"/>
      <c r="DR218" s="154"/>
      <c r="DS218" s="154"/>
      <c r="DT218" s="154"/>
      <c r="DU218" s="154"/>
      <c r="DV218" s="154"/>
      <c r="DW218" s="154"/>
      <c r="DX218" s="154"/>
      <c r="DY218" s="154"/>
      <c r="DZ218" s="154"/>
      <c r="EA218" s="154"/>
      <c r="EB218" s="154"/>
      <c r="EC218" s="154"/>
      <c r="ED218" s="154"/>
      <c r="EE218" s="154"/>
      <c r="EF218" s="154"/>
      <c r="EG218" s="154"/>
      <c r="EH218" s="154"/>
      <c r="EI218" s="154"/>
      <c r="EJ218" s="154"/>
      <c r="EK218" s="154"/>
      <c r="EL218" s="154"/>
      <c r="EM218" s="154"/>
      <c r="EN218" s="154"/>
      <c r="EO218" s="154"/>
      <c r="EP218" s="154"/>
      <c r="EQ218" s="154"/>
      <c r="ER218" s="154"/>
      <c r="ES218" s="154"/>
      <c r="ET218" s="154"/>
      <c r="EU218" s="154"/>
      <c r="EV218" s="154"/>
      <c r="EW218" s="154"/>
      <c r="EX218" s="154"/>
      <c r="EY218" s="154"/>
      <c r="EZ218" s="154"/>
      <c r="FA218" s="154"/>
      <c r="FB218" s="154"/>
      <c r="FC218" s="154"/>
      <c r="FD218" s="154"/>
      <c r="FE218" s="154"/>
      <c r="FF218" s="154"/>
      <c r="FG218" s="154"/>
      <c r="FH218" s="154"/>
      <c r="FI218" s="154"/>
      <c r="FJ218" s="154"/>
      <c r="FK218" s="154"/>
      <c r="FL218" s="154"/>
      <c r="FM218" s="154"/>
      <c r="FN218" s="154"/>
      <c r="FO218" s="154"/>
      <c r="FP218" s="154"/>
      <c r="FQ218" s="154"/>
      <c r="FR218" s="154"/>
      <c r="FS218" s="154"/>
      <c r="FT218" s="154"/>
      <c r="FU218" s="154"/>
      <c r="FV218" s="154"/>
      <c r="FW218" s="154"/>
      <c r="FX218" s="154"/>
    </row>
    <row r="219" spans="1:180" s="164" customFormat="1" ht="30" hidden="1" x14ac:dyDescent="0.25">
      <c r="A219" s="216" t="s">
        <v>1168</v>
      </c>
      <c r="B219" s="214" t="s">
        <v>210</v>
      </c>
      <c r="C219" s="268" t="s">
        <v>267</v>
      </c>
      <c r="D219" s="269">
        <v>0.05</v>
      </c>
      <c r="E219" s="269">
        <v>0.5</v>
      </c>
      <c r="F219" s="269">
        <v>0.2</v>
      </c>
      <c r="G219" s="269">
        <v>0.15</v>
      </c>
      <c r="H219" s="269">
        <v>0.1</v>
      </c>
      <c r="I219" s="155"/>
      <c r="J219" s="155"/>
      <c r="K219" s="155"/>
      <c r="L219" s="155"/>
      <c r="M219" s="155" t="s">
        <v>639</v>
      </c>
      <c r="N219" s="155" t="s">
        <v>639</v>
      </c>
      <c r="O219" s="155" t="s">
        <v>35</v>
      </c>
      <c r="P219" s="279">
        <f>SUM(D219:K219)</f>
        <v>1</v>
      </c>
      <c r="Q219" s="165"/>
      <c r="R219" s="275"/>
      <c r="S219" s="276" t="s">
        <v>906</v>
      </c>
      <c r="T219" s="277" t="s">
        <v>634</v>
      </c>
      <c r="U219" s="277" t="s">
        <v>634</v>
      </c>
      <c r="V219" s="277" t="s">
        <v>890</v>
      </c>
      <c r="W219" s="277" t="s">
        <v>891</v>
      </c>
      <c r="X219" s="164" t="s">
        <v>653</v>
      </c>
      <c r="AA219" s="278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154"/>
      <c r="BO219" s="154"/>
      <c r="BP219" s="154"/>
      <c r="BQ219" s="154"/>
      <c r="BR219" s="154"/>
      <c r="BS219" s="154"/>
      <c r="BT219" s="154"/>
      <c r="BU219" s="154"/>
      <c r="BV219" s="154"/>
      <c r="BW219" s="154"/>
      <c r="BX219" s="154"/>
      <c r="BY219" s="154"/>
      <c r="BZ219" s="154"/>
      <c r="CA219" s="154"/>
      <c r="CB219" s="154"/>
      <c r="CC219" s="154"/>
      <c r="CD219" s="154"/>
      <c r="CE219" s="154"/>
      <c r="CF219" s="154"/>
      <c r="CG219" s="154"/>
      <c r="CH219" s="154"/>
      <c r="CI219" s="154"/>
      <c r="CJ219" s="154"/>
      <c r="CK219" s="154"/>
      <c r="CL219" s="154"/>
      <c r="CM219" s="154"/>
      <c r="CN219" s="154"/>
      <c r="CO219" s="154"/>
      <c r="CP219" s="154"/>
      <c r="CQ219" s="154"/>
      <c r="CR219" s="154"/>
      <c r="CS219" s="154"/>
      <c r="CT219" s="154"/>
      <c r="CU219" s="154"/>
      <c r="CV219" s="154"/>
      <c r="CW219" s="154"/>
      <c r="CX219" s="154"/>
      <c r="CY219" s="154"/>
      <c r="CZ219" s="154"/>
      <c r="DA219" s="154"/>
      <c r="DB219" s="154"/>
      <c r="DC219" s="154"/>
      <c r="DD219" s="154"/>
      <c r="DE219" s="154"/>
      <c r="DF219" s="154"/>
      <c r="DG219" s="154"/>
      <c r="DH219" s="154"/>
      <c r="DI219" s="154"/>
      <c r="DJ219" s="154"/>
      <c r="DK219" s="154"/>
      <c r="DL219" s="154"/>
      <c r="DM219" s="154"/>
      <c r="DN219" s="154"/>
      <c r="DO219" s="154"/>
      <c r="DP219" s="154"/>
      <c r="DQ219" s="154"/>
      <c r="DR219" s="154"/>
      <c r="DS219" s="154"/>
      <c r="DT219" s="154"/>
      <c r="DU219" s="154"/>
      <c r="DV219" s="154"/>
      <c r="DW219" s="154"/>
      <c r="DX219" s="154"/>
      <c r="DY219" s="154"/>
      <c r="DZ219" s="154"/>
      <c r="EA219" s="154"/>
      <c r="EB219" s="154"/>
      <c r="EC219" s="154"/>
      <c r="ED219" s="154"/>
      <c r="EE219" s="154"/>
      <c r="EF219" s="154"/>
      <c r="EG219" s="154"/>
      <c r="EH219" s="154"/>
      <c r="EI219" s="154"/>
      <c r="EJ219" s="154"/>
      <c r="EK219" s="154"/>
      <c r="EL219" s="154"/>
      <c r="EM219" s="154"/>
      <c r="EN219" s="154"/>
      <c r="EO219" s="154"/>
      <c r="EP219" s="154"/>
      <c r="EQ219" s="154"/>
      <c r="ER219" s="154"/>
      <c r="ES219" s="154"/>
      <c r="ET219" s="154"/>
      <c r="EU219" s="154"/>
      <c r="EV219" s="154"/>
      <c r="EW219" s="154"/>
      <c r="EX219" s="154"/>
      <c r="EY219" s="154"/>
      <c r="EZ219" s="154"/>
      <c r="FA219" s="154"/>
      <c r="FB219" s="154"/>
      <c r="FC219" s="154"/>
      <c r="FD219" s="154"/>
      <c r="FE219" s="154"/>
      <c r="FF219" s="154"/>
      <c r="FG219" s="154"/>
      <c r="FH219" s="154"/>
      <c r="FI219" s="154"/>
      <c r="FJ219" s="154"/>
      <c r="FK219" s="154"/>
      <c r="FL219" s="154"/>
      <c r="FM219" s="154"/>
      <c r="FN219" s="154"/>
      <c r="FO219" s="154"/>
      <c r="FP219" s="154"/>
      <c r="FQ219" s="154"/>
      <c r="FR219" s="154"/>
      <c r="FS219" s="154"/>
      <c r="FT219" s="154"/>
      <c r="FU219" s="154"/>
      <c r="FV219" s="154"/>
      <c r="FW219" s="154"/>
      <c r="FX219" s="154"/>
    </row>
    <row r="220" spans="1:180" s="164" customFormat="1" ht="30" hidden="1" x14ac:dyDescent="0.25">
      <c r="A220" s="216" t="s">
        <v>1169</v>
      </c>
      <c r="B220" s="214" t="s">
        <v>210</v>
      </c>
      <c r="C220" s="268" t="s">
        <v>268</v>
      </c>
      <c r="D220" s="269">
        <v>0.05</v>
      </c>
      <c r="E220" s="269">
        <v>0.5</v>
      </c>
      <c r="F220" s="269">
        <v>0.2</v>
      </c>
      <c r="G220" s="269">
        <v>0.15</v>
      </c>
      <c r="H220" s="269">
        <v>0.1</v>
      </c>
      <c r="I220" s="155"/>
      <c r="J220" s="155"/>
      <c r="K220" s="155"/>
      <c r="L220" s="155"/>
      <c r="M220" s="155" t="s">
        <v>639</v>
      </c>
      <c r="N220" s="155" t="s">
        <v>639</v>
      </c>
      <c r="O220" s="155" t="s">
        <v>35</v>
      </c>
      <c r="P220" s="279">
        <f>SUM(D220:K220)</f>
        <v>1</v>
      </c>
      <c r="Q220" s="165"/>
      <c r="R220" s="275"/>
      <c r="S220" s="276" t="s">
        <v>906</v>
      </c>
      <c r="T220" s="277" t="s">
        <v>634</v>
      </c>
      <c r="U220" s="277" t="s">
        <v>634</v>
      </c>
      <c r="V220" s="277" t="s">
        <v>890</v>
      </c>
      <c r="W220" s="277" t="s">
        <v>891</v>
      </c>
      <c r="X220" s="164" t="s">
        <v>653</v>
      </c>
      <c r="AA220" s="278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154"/>
      <c r="BO220" s="154"/>
      <c r="BP220" s="154"/>
      <c r="BQ220" s="154"/>
      <c r="BR220" s="154"/>
      <c r="BS220" s="154"/>
      <c r="BT220" s="154"/>
      <c r="BU220" s="154"/>
      <c r="BV220" s="154"/>
      <c r="BW220" s="154"/>
      <c r="BX220" s="154"/>
      <c r="BY220" s="154"/>
      <c r="BZ220" s="154"/>
      <c r="CA220" s="154"/>
      <c r="CB220" s="154"/>
      <c r="CC220" s="154"/>
      <c r="CD220" s="154"/>
      <c r="CE220" s="154"/>
      <c r="CF220" s="154"/>
      <c r="CG220" s="154"/>
      <c r="CH220" s="154"/>
      <c r="CI220" s="154"/>
      <c r="CJ220" s="154"/>
      <c r="CK220" s="154"/>
      <c r="CL220" s="154"/>
      <c r="CM220" s="154"/>
      <c r="CN220" s="154"/>
      <c r="CO220" s="154"/>
      <c r="CP220" s="154"/>
      <c r="CQ220" s="154"/>
      <c r="CR220" s="154"/>
      <c r="CS220" s="154"/>
      <c r="CT220" s="154"/>
      <c r="CU220" s="154"/>
      <c r="CV220" s="154"/>
      <c r="CW220" s="154"/>
      <c r="CX220" s="154"/>
      <c r="CY220" s="154"/>
      <c r="CZ220" s="154"/>
      <c r="DA220" s="154"/>
      <c r="DB220" s="154"/>
      <c r="DC220" s="154"/>
      <c r="DD220" s="154"/>
      <c r="DE220" s="154"/>
      <c r="DF220" s="154"/>
      <c r="DG220" s="154"/>
      <c r="DH220" s="154"/>
      <c r="DI220" s="154"/>
      <c r="DJ220" s="154"/>
      <c r="DK220" s="154"/>
      <c r="DL220" s="154"/>
      <c r="DM220" s="154"/>
      <c r="DN220" s="154"/>
      <c r="DO220" s="154"/>
      <c r="DP220" s="154"/>
      <c r="DQ220" s="154"/>
      <c r="DR220" s="154"/>
      <c r="DS220" s="154"/>
      <c r="DT220" s="154"/>
      <c r="DU220" s="154"/>
      <c r="DV220" s="154"/>
      <c r="DW220" s="154"/>
      <c r="DX220" s="154"/>
      <c r="DY220" s="154"/>
      <c r="DZ220" s="154"/>
      <c r="EA220" s="154"/>
      <c r="EB220" s="154"/>
      <c r="EC220" s="154"/>
      <c r="ED220" s="154"/>
      <c r="EE220" s="154"/>
      <c r="EF220" s="154"/>
      <c r="EG220" s="154"/>
      <c r="EH220" s="154"/>
      <c r="EI220" s="154"/>
      <c r="EJ220" s="154"/>
      <c r="EK220" s="154"/>
      <c r="EL220" s="154"/>
      <c r="EM220" s="154"/>
      <c r="EN220" s="154"/>
      <c r="EO220" s="154"/>
      <c r="EP220" s="154"/>
      <c r="EQ220" s="154"/>
      <c r="ER220" s="154"/>
      <c r="ES220" s="154"/>
      <c r="ET220" s="154"/>
      <c r="EU220" s="154"/>
      <c r="EV220" s="154"/>
      <c r="EW220" s="154"/>
      <c r="EX220" s="154"/>
      <c r="EY220" s="154"/>
      <c r="EZ220" s="154"/>
      <c r="FA220" s="154"/>
      <c r="FB220" s="154"/>
      <c r="FC220" s="154"/>
      <c r="FD220" s="154"/>
      <c r="FE220" s="154"/>
      <c r="FF220" s="154"/>
      <c r="FG220" s="154"/>
      <c r="FH220" s="154"/>
      <c r="FI220" s="154"/>
      <c r="FJ220" s="154"/>
      <c r="FK220" s="154"/>
      <c r="FL220" s="154"/>
      <c r="FM220" s="154"/>
      <c r="FN220" s="154"/>
      <c r="FO220" s="154"/>
      <c r="FP220" s="154"/>
      <c r="FQ220" s="154"/>
      <c r="FR220" s="154"/>
      <c r="FS220" s="154"/>
      <c r="FT220" s="154"/>
      <c r="FU220" s="154"/>
      <c r="FV220" s="154"/>
      <c r="FW220" s="154"/>
      <c r="FX220" s="154"/>
    </row>
    <row r="221" spans="1:180" s="164" customFormat="1" ht="30" hidden="1" x14ac:dyDescent="0.25">
      <c r="A221" s="216" t="s">
        <v>1170</v>
      </c>
      <c r="B221" s="214" t="s">
        <v>210</v>
      </c>
      <c r="C221" s="268" t="s">
        <v>269</v>
      </c>
      <c r="D221" s="269">
        <v>0.05</v>
      </c>
      <c r="E221" s="269">
        <v>0.5</v>
      </c>
      <c r="F221" s="269">
        <v>0.2</v>
      </c>
      <c r="G221" s="269">
        <v>0.15</v>
      </c>
      <c r="H221" s="269">
        <v>0.1</v>
      </c>
      <c r="I221" s="155"/>
      <c r="J221" s="155"/>
      <c r="K221" s="155"/>
      <c r="L221" s="155"/>
      <c r="M221" s="155" t="s">
        <v>639</v>
      </c>
      <c r="N221" s="155" t="s">
        <v>639</v>
      </c>
      <c r="O221" s="155" t="s">
        <v>35</v>
      </c>
      <c r="P221" s="279">
        <f>SUM(D221:K221)</f>
        <v>1</v>
      </c>
      <c r="Q221" s="165"/>
      <c r="R221" s="275"/>
      <c r="S221" s="276" t="s">
        <v>906</v>
      </c>
      <c r="T221" s="277" t="s">
        <v>634</v>
      </c>
      <c r="U221" s="277" t="s">
        <v>634</v>
      </c>
      <c r="V221" s="277" t="s">
        <v>890</v>
      </c>
      <c r="W221" s="277" t="s">
        <v>891</v>
      </c>
      <c r="X221" s="164" t="s">
        <v>653</v>
      </c>
      <c r="AA221" s="278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  <c r="BN221" s="154"/>
      <c r="BO221" s="154"/>
      <c r="BP221" s="154"/>
      <c r="BQ221" s="154"/>
      <c r="BR221" s="154"/>
      <c r="BS221" s="154"/>
      <c r="BT221" s="154"/>
      <c r="BU221" s="154"/>
      <c r="BV221" s="154"/>
      <c r="BW221" s="154"/>
      <c r="BX221" s="154"/>
      <c r="BY221" s="154"/>
      <c r="BZ221" s="154"/>
      <c r="CA221" s="154"/>
      <c r="CB221" s="154"/>
      <c r="CC221" s="154"/>
      <c r="CD221" s="154"/>
      <c r="CE221" s="154"/>
      <c r="CF221" s="154"/>
      <c r="CG221" s="154"/>
      <c r="CH221" s="154"/>
      <c r="CI221" s="154"/>
      <c r="CJ221" s="154"/>
      <c r="CK221" s="154"/>
      <c r="CL221" s="154"/>
      <c r="CM221" s="154"/>
      <c r="CN221" s="154"/>
      <c r="CO221" s="154"/>
      <c r="CP221" s="154"/>
      <c r="CQ221" s="154"/>
      <c r="CR221" s="154"/>
      <c r="CS221" s="154"/>
      <c r="CT221" s="154"/>
      <c r="CU221" s="154"/>
      <c r="CV221" s="154"/>
      <c r="CW221" s="154"/>
      <c r="CX221" s="154"/>
      <c r="CY221" s="154"/>
      <c r="CZ221" s="154"/>
      <c r="DA221" s="154"/>
      <c r="DB221" s="154"/>
      <c r="DC221" s="154"/>
      <c r="DD221" s="154"/>
      <c r="DE221" s="154"/>
      <c r="DF221" s="154"/>
      <c r="DG221" s="154"/>
      <c r="DH221" s="154"/>
      <c r="DI221" s="154"/>
      <c r="DJ221" s="154"/>
      <c r="DK221" s="154"/>
      <c r="DL221" s="154"/>
      <c r="DM221" s="154"/>
      <c r="DN221" s="154"/>
      <c r="DO221" s="154"/>
      <c r="DP221" s="154"/>
      <c r="DQ221" s="154"/>
      <c r="DR221" s="154"/>
      <c r="DS221" s="154"/>
      <c r="DT221" s="154"/>
      <c r="DU221" s="154"/>
      <c r="DV221" s="154"/>
      <c r="DW221" s="154"/>
      <c r="DX221" s="154"/>
      <c r="DY221" s="154"/>
      <c r="DZ221" s="154"/>
      <c r="EA221" s="154"/>
      <c r="EB221" s="154"/>
      <c r="EC221" s="154"/>
      <c r="ED221" s="154"/>
      <c r="EE221" s="154"/>
      <c r="EF221" s="154"/>
      <c r="EG221" s="154"/>
      <c r="EH221" s="154"/>
      <c r="EI221" s="154"/>
      <c r="EJ221" s="154"/>
      <c r="EK221" s="154"/>
      <c r="EL221" s="154"/>
      <c r="EM221" s="154"/>
      <c r="EN221" s="154"/>
      <c r="EO221" s="154"/>
      <c r="EP221" s="154"/>
      <c r="EQ221" s="154"/>
      <c r="ER221" s="154"/>
      <c r="ES221" s="154"/>
      <c r="ET221" s="154"/>
      <c r="EU221" s="154"/>
      <c r="EV221" s="154"/>
      <c r="EW221" s="154"/>
      <c r="EX221" s="154"/>
      <c r="EY221" s="154"/>
      <c r="EZ221" s="154"/>
      <c r="FA221" s="154"/>
      <c r="FB221" s="154"/>
      <c r="FC221" s="154"/>
      <c r="FD221" s="154"/>
      <c r="FE221" s="154"/>
      <c r="FF221" s="154"/>
      <c r="FG221" s="154"/>
      <c r="FH221" s="154"/>
      <c r="FI221" s="154"/>
      <c r="FJ221" s="154"/>
      <c r="FK221" s="154"/>
      <c r="FL221" s="154"/>
      <c r="FM221" s="154"/>
      <c r="FN221" s="154"/>
      <c r="FO221" s="154"/>
      <c r="FP221" s="154"/>
      <c r="FQ221" s="154"/>
      <c r="FR221" s="154"/>
      <c r="FS221" s="154"/>
      <c r="FT221" s="154"/>
      <c r="FU221" s="154"/>
      <c r="FV221" s="154"/>
      <c r="FW221" s="154"/>
      <c r="FX221" s="154"/>
    </row>
    <row r="222" spans="1:180" s="164" customFormat="1" ht="30" hidden="1" x14ac:dyDescent="0.25">
      <c r="A222" s="216" t="s">
        <v>1171</v>
      </c>
      <c r="B222" s="214" t="s">
        <v>210</v>
      </c>
      <c r="C222" s="268" t="s">
        <v>270</v>
      </c>
      <c r="D222" s="269">
        <v>0.05</v>
      </c>
      <c r="E222" s="269">
        <v>0.5</v>
      </c>
      <c r="F222" s="269">
        <v>0.2</v>
      </c>
      <c r="G222" s="269">
        <v>0.15</v>
      </c>
      <c r="H222" s="269">
        <v>0.1</v>
      </c>
      <c r="I222" s="155"/>
      <c r="J222" s="155"/>
      <c r="K222" s="155"/>
      <c r="L222" s="155"/>
      <c r="M222" s="155" t="s">
        <v>639</v>
      </c>
      <c r="N222" s="155" t="s">
        <v>639</v>
      </c>
      <c r="O222" s="155" t="s">
        <v>35</v>
      </c>
      <c r="P222" s="279">
        <f>SUM(D222:K222)</f>
        <v>1</v>
      </c>
      <c r="Q222" s="165"/>
      <c r="R222" s="275"/>
      <c r="S222" s="276" t="s">
        <v>906</v>
      </c>
      <c r="T222" s="277" t="s">
        <v>634</v>
      </c>
      <c r="U222" s="277" t="s">
        <v>634</v>
      </c>
      <c r="V222" s="277" t="s">
        <v>890</v>
      </c>
      <c r="W222" s="277" t="s">
        <v>891</v>
      </c>
      <c r="X222" s="164" t="s">
        <v>653</v>
      </c>
      <c r="AA222" s="278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154"/>
      <c r="BO222" s="154"/>
      <c r="BP222" s="154"/>
      <c r="BQ222" s="154"/>
      <c r="BR222" s="154"/>
      <c r="BS222" s="154"/>
      <c r="BT222" s="154"/>
      <c r="BU222" s="154"/>
      <c r="BV222" s="154"/>
      <c r="BW222" s="154"/>
      <c r="BX222" s="154"/>
      <c r="BY222" s="154"/>
      <c r="BZ222" s="154"/>
      <c r="CA222" s="154"/>
      <c r="CB222" s="154"/>
      <c r="CC222" s="154"/>
      <c r="CD222" s="154"/>
      <c r="CE222" s="154"/>
      <c r="CF222" s="154"/>
      <c r="CG222" s="154"/>
      <c r="CH222" s="154"/>
      <c r="CI222" s="154"/>
      <c r="CJ222" s="154"/>
      <c r="CK222" s="154"/>
      <c r="CL222" s="154"/>
      <c r="CM222" s="154"/>
      <c r="CN222" s="154"/>
      <c r="CO222" s="154"/>
      <c r="CP222" s="154"/>
      <c r="CQ222" s="154"/>
      <c r="CR222" s="154"/>
      <c r="CS222" s="154"/>
      <c r="CT222" s="154"/>
      <c r="CU222" s="154"/>
      <c r="CV222" s="154"/>
      <c r="CW222" s="154"/>
      <c r="CX222" s="154"/>
      <c r="CY222" s="154"/>
      <c r="CZ222" s="154"/>
      <c r="DA222" s="154"/>
      <c r="DB222" s="154"/>
      <c r="DC222" s="154"/>
      <c r="DD222" s="154"/>
      <c r="DE222" s="154"/>
      <c r="DF222" s="154"/>
      <c r="DG222" s="154"/>
      <c r="DH222" s="154"/>
      <c r="DI222" s="154"/>
      <c r="DJ222" s="154"/>
      <c r="DK222" s="154"/>
      <c r="DL222" s="154"/>
      <c r="DM222" s="154"/>
      <c r="DN222" s="154"/>
      <c r="DO222" s="154"/>
      <c r="DP222" s="154"/>
      <c r="DQ222" s="154"/>
      <c r="DR222" s="154"/>
      <c r="DS222" s="154"/>
      <c r="DT222" s="154"/>
      <c r="DU222" s="154"/>
      <c r="DV222" s="154"/>
      <c r="DW222" s="154"/>
      <c r="DX222" s="154"/>
      <c r="DY222" s="154"/>
      <c r="DZ222" s="154"/>
      <c r="EA222" s="154"/>
      <c r="EB222" s="154"/>
      <c r="EC222" s="154"/>
      <c r="ED222" s="154"/>
      <c r="EE222" s="154"/>
      <c r="EF222" s="154"/>
      <c r="EG222" s="154"/>
      <c r="EH222" s="154"/>
      <c r="EI222" s="154"/>
      <c r="EJ222" s="154"/>
      <c r="EK222" s="154"/>
      <c r="EL222" s="154"/>
      <c r="EM222" s="154"/>
      <c r="EN222" s="154"/>
      <c r="EO222" s="154"/>
      <c r="EP222" s="154"/>
      <c r="EQ222" s="154"/>
      <c r="ER222" s="154"/>
      <c r="ES222" s="154"/>
      <c r="ET222" s="154"/>
      <c r="EU222" s="154"/>
      <c r="EV222" s="154"/>
      <c r="EW222" s="154"/>
      <c r="EX222" s="154"/>
      <c r="EY222" s="154"/>
      <c r="EZ222" s="154"/>
      <c r="FA222" s="154"/>
      <c r="FB222" s="154"/>
      <c r="FC222" s="154"/>
      <c r="FD222" s="154"/>
      <c r="FE222" s="154"/>
      <c r="FF222" s="154"/>
      <c r="FG222" s="154"/>
      <c r="FH222" s="154"/>
      <c r="FI222" s="154"/>
      <c r="FJ222" s="154"/>
      <c r="FK222" s="154"/>
      <c r="FL222" s="154"/>
      <c r="FM222" s="154"/>
      <c r="FN222" s="154"/>
      <c r="FO222" s="154"/>
      <c r="FP222" s="154"/>
      <c r="FQ222" s="154"/>
      <c r="FR222" s="154"/>
      <c r="FS222" s="154"/>
      <c r="FT222" s="154"/>
      <c r="FU222" s="154"/>
      <c r="FV222" s="154"/>
      <c r="FW222" s="154"/>
      <c r="FX222" s="154"/>
    </row>
    <row r="223" spans="1:180" hidden="1" x14ac:dyDescent="0.25">
      <c r="A223" s="192"/>
      <c r="B223" s="194"/>
      <c r="C223" s="268"/>
      <c r="D223" s="269"/>
      <c r="E223" s="269"/>
      <c r="F223" s="269"/>
      <c r="G223" s="269"/>
      <c r="H223" s="269"/>
      <c r="I223" s="149"/>
      <c r="J223" s="149"/>
      <c r="K223" s="149"/>
      <c r="L223" s="149"/>
      <c r="M223" s="149"/>
      <c r="N223" s="149"/>
      <c r="O223" s="149"/>
      <c r="P223" s="196"/>
      <c r="Q223" s="153"/>
      <c r="R223" s="251"/>
      <c r="AA223" s="191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164" customFormat="1" ht="30" hidden="1" x14ac:dyDescent="0.25">
      <c r="A224" s="216"/>
      <c r="B224" s="214" t="s">
        <v>210</v>
      </c>
      <c r="C224" s="215" t="s">
        <v>271</v>
      </c>
      <c r="D224" s="216" t="s">
        <v>103</v>
      </c>
      <c r="E224" s="271" t="s">
        <v>212</v>
      </c>
      <c r="F224" s="216" t="s">
        <v>233</v>
      </c>
      <c r="G224" s="216" t="s">
        <v>17</v>
      </c>
      <c r="H224" s="216"/>
      <c r="I224" s="272"/>
      <c r="J224" s="272"/>
      <c r="K224" s="272"/>
      <c r="L224" s="272"/>
      <c r="M224" s="272"/>
      <c r="N224" s="272"/>
      <c r="O224" s="272"/>
      <c r="P224" s="273"/>
      <c r="Q224" s="274"/>
      <c r="R224" s="275" t="s">
        <v>681</v>
      </c>
      <c r="S224" s="276"/>
      <c r="T224" s="277"/>
      <c r="U224" s="277"/>
      <c r="V224" s="277"/>
      <c r="W224" s="277"/>
      <c r="AA224" s="278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154"/>
      <c r="BO224" s="154"/>
      <c r="BP224" s="154"/>
      <c r="BQ224" s="154"/>
      <c r="BR224" s="154"/>
      <c r="BS224" s="154"/>
      <c r="BT224" s="154"/>
      <c r="BU224" s="154"/>
      <c r="BV224" s="154"/>
      <c r="BW224" s="154"/>
      <c r="BX224" s="154"/>
      <c r="BY224" s="154"/>
      <c r="BZ224" s="154"/>
      <c r="CA224" s="154"/>
      <c r="CB224" s="154"/>
      <c r="CC224" s="154"/>
      <c r="CD224" s="154"/>
      <c r="CE224" s="154"/>
      <c r="CF224" s="154"/>
      <c r="CG224" s="154"/>
      <c r="CH224" s="154"/>
      <c r="CI224" s="154"/>
      <c r="CJ224" s="154"/>
      <c r="CK224" s="154"/>
      <c r="CL224" s="154"/>
      <c r="CM224" s="154"/>
      <c r="CN224" s="154"/>
      <c r="CO224" s="154"/>
      <c r="CP224" s="154"/>
      <c r="CQ224" s="154"/>
      <c r="CR224" s="154"/>
      <c r="CS224" s="154"/>
      <c r="CT224" s="154"/>
      <c r="CU224" s="154"/>
      <c r="CV224" s="154"/>
      <c r="CW224" s="154"/>
      <c r="CX224" s="154"/>
      <c r="CY224" s="154"/>
      <c r="CZ224" s="154"/>
      <c r="DA224" s="154"/>
      <c r="DB224" s="154"/>
      <c r="DC224" s="154"/>
      <c r="DD224" s="154"/>
      <c r="DE224" s="154"/>
      <c r="DF224" s="154"/>
      <c r="DG224" s="154"/>
      <c r="DH224" s="154"/>
      <c r="DI224" s="154"/>
      <c r="DJ224" s="154"/>
      <c r="DK224" s="154"/>
      <c r="DL224" s="154"/>
      <c r="DM224" s="154"/>
      <c r="DN224" s="154"/>
      <c r="DO224" s="154"/>
      <c r="DP224" s="154"/>
      <c r="DQ224" s="154"/>
      <c r="DR224" s="154"/>
      <c r="DS224" s="154"/>
      <c r="DT224" s="154"/>
      <c r="DU224" s="154"/>
      <c r="DV224" s="154"/>
      <c r="DW224" s="154"/>
      <c r="DX224" s="154"/>
      <c r="DY224" s="154"/>
      <c r="DZ224" s="154"/>
      <c r="EA224" s="154"/>
      <c r="EB224" s="154"/>
      <c r="EC224" s="154"/>
      <c r="ED224" s="154"/>
      <c r="EE224" s="154"/>
      <c r="EF224" s="154"/>
      <c r="EG224" s="154"/>
      <c r="EH224" s="154"/>
      <c r="EI224" s="154"/>
      <c r="EJ224" s="154"/>
      <c r="EK224" s="154"/>
      <c r="EL224" s="154"/>
      <c r="EM224" s="154"/>
      <c r="EN224" s="154"/>
      <c r="EO224" s="154"/>
      <c r="EP224" s="154"/>
      <c r="EQ224" s="154"/>
      <c r="ER224" s="154"/>
      <c r="ES224" s="154"/>
      <c r="ET224" s="154"/>
      <c r="EU224" s="154"/>
      <c r="EV224" s="154"/>
      <c r="EW224" s="154"/>
      <c r="EX224" s="154"/>
      <c r="EY224" s="154"/>
      <c r="EZ224" s="154"/>
      <c r="FA224" s="154"/>
      <c r="FB224" s="154"/>
      <c r="FC224" s="154"/>
      <c r="FD224" s="154"/>
      <c r="FE224" s="154"/>
      <c r="FF224" s="154"/>
      <c r="FG224" s="154"/>
      <c r="FH224" s="154"/>
      <c r="FI224" s="154"/>
      <c r="FJ224" s="154"/>
      <c r="FK224" s="154"/>
      <c r="FL224" s="154"/>
      <c r="FM224" s="154"/>
      <c r="FN224" s="154"/>
      <c r="FO224" s="154"/>
      <c r="FP224" s="154"/>
      <c r="FQ224" s="154"/>
      <c r="FR224" s="154"/>
      <c r="FS224" s="154"/>
      <c r="FT224" s="154"/>
      <c r="FU224" s="154"/>
      <c r="FV224" s="154"/>
      <c r="FW224" s="154"/>
      <c r="FX224" s="154"/>
    </row>
    <row r="225" spans="1:180" s="164" customFormat="1" ht="30" hidden="1" x14ac:dyDescent="0.25">
      <c r="A225" s="216" t="s">
        <v>1172</v>
      </c>
      <c r="B225" s="214" t="s">
        <v>210</v>
      </c>
      <c r="C225" s="268" t="s">
        <v>271</v>
      </c>
      <c r="D225" s="269">
        <v>0.05</v>
      </c>
      <c r="E225" s="269">
        <v>0.3</v>
      </c>
      <c r="F225" s="269">
        <v>0.45</v>
      </c>
      <c r="G225" s="269">
        <v>0.2</v>
      </c>
      <c r="H225" s="269"/>
      <c r="I225" s="155"/>
      <c r="J225" s="155"/>
      <c r="K225" s="155"/>
      <c r="L225" s="155"/>
      <c r="M225" s="155" t="s">
        <v>639</v>
      </c>
      <c r="N225" s="155" t="s">
        <v>639</v>
      </c>
      <c r="O225" s="155" t="s">
        <v>122</v>
      </c>
      <c r="P225" s="279">
        <f>SUM(D225:K225)</f>
        <v>1</v>
      </c>
      <c r="Q225" s="165"/>
      <c r="R225" s="275" t="s">
        <v>681</v>
      </c>
      <c r="S225" s="276"/>
      <c r="T225" s="277"/>
      <c r="U225" s="277"/>
      <c r="V225" s="277"/>
      <c r="W225" s="277"/>
      <c r="AA225" s="278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  <c r="BN225" s="154"/>
      <c r="BO225" s="154"/>
      <c r="BP225" s="154"/>
      <c r="BQ225" s="154"/>
      <c r="BR225" s="154"/>
      <c r="BS225" s="154"/>
      <c r="BT225" s="154"/>
      <c r="BU225" s="154"/>
      <c r="BV225" s="154"/>
      <c r="BW225" s="154"/>
      <c r="BX225" s="154"/>
      <c r="BY225" s="154"/>
      <c r="BZ225" s="154"/>
      <c r="CA225" s="154"/>
      <c r="CB225" s="154"/>
      <c r="CC225" s="154"/>
      <c r="CD225" s="154"/>
      <c r="CE225" s="154"/>
      <c r="CF225" s="154"/>
      <c r="CG225" s="154"/>
      <c r="CH225" s="154"/>
      <c r="CI225" s="154"/>
      <c r="CJ225" s="154"/>
      <c r="CK225" s="154"/>
      <c r="CL225" s="154"/>
      <c r="CM225" s="154"/>
      <c r="CN225" s="154"/>
      <c r="CO225" s="154"/>
      <c r="CP225" s="154"/>
      <c r="CQ225" s="154"/>
      <c r="CR225" s="154"/>
      <c r="CS225" s="154"/>
      <c r="CT225" s="154"/>
      <c r="CU225" s="154"/>
      <c r="CV225" s="154"/>
      <c r="CW225" s="154"/>
      <c r="CX225" s="154"/>
      <c r="CY225" s="154"/>
      <c r="CZ225" s="154"/>
      <c r="DA225" s="154"/>
      <c r="DB225" s="154"/>
      <c r="DC225" s="154"/>
      <c r="DD225" s="154"/>
      <c r="DE225" s="154"/>
      <c r="DF225" s="154"/>
      <c r="DG225" s="154"/>
      <c r="DH225" s="154"/>
      <c r="DI225" s="154"/>
      <c r="DJ225" s="154"/>
      <c r="DK225" s="154"/>
      <c r="DL225" s="154"/>
      <c r="DM225" s="154"/>
      <c r="DN225" s="154"/>
      <c r="DO225" s="154"/>
      <c r="DP225" s="154"/>
      <c r="DQ225" s="154"/>
      <c r="DR225" s="154"/>
      <c r="DS225" s="154"/>
      <c r="DT225" s="154"/>
      <c r="DU225" s="154"/>
      <c r="DV225" s="154"/>
      <c r="DW225" s="154"/>
      <c r="DX225" s="154"/>
      <c r="DY225" s="154"/>
      <c r="DZ225" s="154"/>
      <c r="EA225" s="154"/>
      <c r="EB225" s="154"/>
      <c r="EC225" s="154"/>
      <c r="ED225" s="154"/>
      <c r="EE225" s="154"/>
      <c r="EF225" s="154"/>
      <c r="EG225" s="154"/>
      <c r="EH225" s="154"/>
      <c r="EI225" s="154"/>
      <c r="EJ225" s="154"/>
      <c r="EK225" s="154"/>
      <c r="EL225" s="154"/>
      <c r="EM225" s="154"/>
      <c r="EN225" s="154"/>
      <c r="EO225" s="154"/>
      <c r="EP225" s="154"/>
      <c r="EQ225" s="154"/>
      <c r="ER225" s="154"/>
      <c r="ES225" s="154"/>
      <c r="ET225" s="154"/>
      <c r="EU225" s="154"/>
      <c r="EV225" s="154"/>
      <c r="EW225" s="154"/>
      <c r="EX225" s="154"/>
      <c r="EY225" s="154"/>
      <c r="EZ225" s="154"/>
      <c r="FA225" s="154"/>
      <c r="FB225" s="154"/>
      <c r="FC225" s="154"/>
      <c r="FD225" s="154"/>
      <c r="FE225" s="154"/>
      <c r="FF225" s="154"/>
      <c r="FG225" s="154"/>
      <c r="FH225" s="154"/>
      <c r="FI225" s="154"/>
      <c r="FJ225" s="154"/>
      <c r="FK225" s="154"/>
      <c r="FL225" s="154"/>
      <c r="FM225" s="154"/>
      <c r="FN225" s="154"/>
      <c r="FO225" s="154"/>
      <c r="FP225" s="154"/>
      <c r="FQ225" s="154"/>
      <c r="FR225" s="154"/>
      <c r="FS225" s="154"/>
      <c r="FT225" s="154"/>
      <c r="FU225" s="154"/>
      <c r="FV225" s="154"/>
      <c r="FW225" s="154"/>
      <c r="FX225" s="154"/>
    </row>
    <row r="226" spans="1:180" hidden="1" x14ac:dyDescent="0.25">
      <c r="A226" s="192"/>
      <c r="B226" s="194"/>
      <c r="C226" s="156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260"/>
      <c r="Q226" s="153"/>
      <c r="R226" s="251"/>
      <c r="AA226" s="191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164" customFormat="1" ht="30" hidden="1" x14ac:dyDescent="0.25">
      <c r="A227" s="216"/>
      <c r="B227" s="214" t="s">
        <v>210</v>
      </c>
      <c r="C227" s="215" t="s">
        <v>272</v>
      </c>
      <c r="D227" s="216" t="s">
        <v>103</v>
      </c>
      <c r="E227" s="271" t="s">
        <v>212</v>
      </c>
      <c r="F227" s="216" t="s">
        <v>233</v>
      </c>
      <c r="G227" s="216" t="s">
        <v>17</v>
      </c>
      <c r="H227" s="216"/>
      <c r="I227" s="272"/>
      <c r="J227" s="272"/>
      <c r="K227" s="272"/>
      <c r="L227" s="272"/>
      <c r="M227" s="272"/>
      <c r="N227" s="272"/>
      <c r="O227" s="272"/>
      <c r="P227" s="273"/>
      <c r="Q227" s="274"/>
      <c r="R227" s="275"/>
      <c r="S227" s="276"/>
      <c r="T227" s="277"/>
      <c r="U227" s="277"/>
      <c r="V227" s="277"/>
      <c r="W227" s="277"/>
      <c r="AA227" s="278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  <c r="BN227" s="154"/>
      <c r="BO227" s="154"/>
      <c r="BP227" s="154"/>
      <c r="BQ227" s="154"/>
      <c r="BR227" s="154"/>
      <c r="BS227" s="154"/>
      <c r="BT227" s="154"/>
      <c r="BU227" s="154"/>
      <c r="BV227" s="154"/>
      <c r="BW227" s="154"/>
      <c r="BX227" s="154"/>
      <c r="BY227" s="154"/>
      <c r="BZ227" s="154"/>
      <c r="CA227" s="154"/>
      <c r="CB227" s="154"/>
      <c r="CC227" s="154"/>
      <c r="CD227" s="154"/>
      <c r="CE227" s="154"/>
      <c r="CF227" s="154"/>
      <c r="CG227" s="154"/>
      <c r="CH227" s="154"/>
      <c r="CI227" s="154"/>
      <c r="CJ227" s="154"/>
      <c r="CK227" s="154"/>
      <c r="CL227" s="154"/>
      <c r="CM227" s="154"/>
      <c r="CN227" s="154"/>
      <c r="CO227" s="154"/>
      <c r="CP227" s="154"/>
      <c r="CQ227" s="154"/>
      <c r="CR227" s="154"/>
      <c r="CS227" s="154"/>
      <c r="CT227" s="154"/>
      <c r="CU227" s="154"/>
      <c r="CV227" s="154"/>
      <c r="CW227" s="154"/>
      <c r="CX227" s="154"/>
      <c r="CY227" s="154"/>
      <c r="CZ227" s="154"/>
      <c r="DA227" s="154"/>
      <c r="DB227" s="154"/>
      <c r="DC227" s="154"/>
      <c r="DD227" s="154"/>
      <c r="DE227" s="154"/>
      <c r="DF227" s="154"/>
      <c r="DG227" s="154"/>
      <c r="DH227" s="154"/>
      <c r="DI227" s="154"/>
      <c r="DJ227" s="154"/>
      <c r="DK227" s="154"/>
      <c r="DL227" s="154"/>
      <c r="DM227" s="154"/>
      <c r="DN227" s="154"/>
      <c r="DO227" s="154"/>
      <c r="DP227" s="154"/>
      <c r="DQ227" s="154"/>
      <c r="DR227" s="154"/>
      <c r="DS227" s="154"/>
      <c r="DT227" s="154"/>
      <c r="DU227" s="154"/>
      <c r="DV227" s="154"/>
      <c r="DW227" s="154"/>
      <c r="DX227" s="154"/>
      <c r="DY227" s="154"/>
      <c r="DZ227" s="154"/>
      <c r="EA227" s="154"/>
      <c r="EB227" s="154"/>
      <c r="EC227" s="154"/>
      <c r="ED227" s="154"/>
      <c r="EE227" s="154"/>
      <c r="EF227" s="154"/>
      <c r="EG227" s="154"/>
      <c r="EH227" s="154"/>
      <c r="EI227" s="154"/>
      <c r="EJ227" s="154"/>
      <c r="EK227" s="154"/>
      <c r="EL227" s="154"/>
      <c r="EM227" s="154"/>
      <c r="EN227" s="154"/>
      <c r="EO227" s="154"/>
      <c r="EP227" s="154"/>
      <c r="EQ227" s="154"/>
      <c r="ER227" s="154"/>
      <c r="ES227" s="154"/>
      <c r="ET227" s="154"/>
      <c r="EU227" s="154"/>
      <c r="EV227" s="154"/>
      <c r="EW227" s="154"/>
      <c r="EX227" s="154"/>
      <c r="EY227" s="154"/>
      <c r="EZ227" s="154"/>
      <c r="FA227" s="154"/>
      <c r="FB227" s="154"/>
      <c r="FC227" s="154"/>
      <c r="FD227" s="154"/>
      <c r="FE227" s="154"/>
      <c r="FF227" s="154"/>
      <c r="FG227" s="154"/>
      <c r="FH227" s="154"/>
      <c r="FI227" s="154"/>
      <c r="FJ227" s="154"/>
      <c r="FK227" s="154"/>
      <c r="FL227" s="154"/>
      <c r="FM227" s="154"/>
      <c r="FN227" s="154"/>
      <c r="FO227" s="154"/>
      <c r="FP227" s="154"/>
      <c r="FQ227" s="154"/>
      <c r="FR227" s="154"/>
      <c r="FS227" s="154"/>
      <c r="FT227" s="154"/>
      <c r="FU227" s="154"/>
      <c r="FV227" s="154"/>
      <c r="FW227" s="154"/>
      <c r="FX227" s="154"/>
    </row>
    <row r="228" spans="1:180" s="164" customFormat="1" ht="30" hidden="1" x14ac:dyDescent="0.25">
      <c r="A228" s="216" t="s">
        <v>1173</v>
      </c>
      <c r="B228" s="214" t="s">
        <v>210</v>
      </c>
      <c r="C228" s="151" t="s">
        <v>272</v>
      </c>
      <c r="D228" s="217">
        <v>0.05</v>
      </c>
      <c r="E228" s="217">
        <v>0.3</v>
      </c>
      <c r="F228" s="217">
        <v>0.45</v>
      </c>
      <c r="G228" s="217">
        <v>0.2</v>
      </c>
      <c r="H228" s="217"/>
      <c r="I228" s="155"/>
      <c r="J228" s="155"/>
      <c r="K228" s="155"/>
      <c r="L228" s="155"/>
      <c r="M228" s="155" t="s">
        <v>639</v>
      </c>
      <c r="N228" s="155" t="s">
        <v>639</v>
      </c>
      <c r="O228" s="155" t="s">
        <v>122</v>
      </c>
      <c r="P228" s="279">
        <f>SUM(D228:K228)</f>
        <v>1</v>
      </c>
      <c r="Q228" s="165"/>
      <c r="R228" s="275"/>
      <c r="S228" s="286" t="s">
        <v>712</v>
      </c>
      <c r="T228" s="277"/>
      <c r="U228" s="277"/>
      <c r="V228" s="277"/>
      <c r="W228" s="277"/>
      <c r="Y228" s="164" t="s">
        <v>713</v>
      </c>
      <c r="AA228" s="278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154"/>
      <c r="BO228" s="154"/>
      <c r="BP228" s="154"/>
      <c r="BQ228" s="154"/>
      <c r="BR228" s="154"/>
      <c r="BS228" s="154"/>
      <c r="BT228" s="154"/>
      <c r="BU228" s="154"/>
      <c r="BV228" s="154"/>
      <c r="BW228" s="154"/>
      <c r="BX228" s="154"/>
      <c r="BY228" s="154"/>
      <c r="BZ228" s="154"/>
      <c r="CA228" s="154"/>
      <c r="CB228" s="154"/>
      <c r="CC228" s="154"/>
      <c r="CD228" s="154"/>
      <c r="CE228" s="154"/>
      <c r="CF228" s="154"/>
      <c r="CG228" s="154"/>
      <c r="CH228" s="154"/>
      <c r="CI228" s="154"/>
      <c r="CJ228" s="154"/>
      <c r="CK228" s="154"/>
      <c r="CL228" s="154"/>
      <c r="CM228" s="154"/>
      <c r="CN228" s="154"/>
      <c r="CO228" s="154"/>
      <c r="CP228" s="154"/>
      <c r="CQ228" s="154"/>
      <c r="CR228" s="154"/>
      <c r="CS228" s="154"/>
      <c r="CT228" s="154"/>
      <c r="CU228" s="154"/>
      <c r="CV228" s="154"/>
      <c r="CW228" s="154"/>
      <c r="CX228" s="154"/>
      <c r="CY228" s="154"/>
      <c r="CZ228" s="154"/>
      <c r="DA228" s="154"/>
      <c r="DB228" s="154"/>
      <c r="DC228" s="154"/>
      <c r="DD228" s="154"/>
      <c r="DE228" s="154"/>
      <c r="DF228" s="154"/>
      <c r="DG228" s="154"/>
      <c r="DH228" s="154"/>
      <c r="DI228" s="154"/>
      <c r="DJ228" s="154"/>
      <c r="DK228" s="154"/>
      <c r="DL228" s="154"/>
      <c r="DM228" s="154"/>
      <c r="DN228" s="154"/>
      <c r="DO228" s="154"/>
      <c r="DP228" s="154"/>
      <c r="DQ228" s="154"/>
      <c r="DR228" s="154"/>
      <c r="DS228" s="154"/>
      <c r="DT228" s="154"/>
      <c r="DU228" s="154"/>
      <c r="DV228" s="154"/>
      <c r="DW228" s="154"/>
      <c r="DX228" s="154"/>
      <c r="DY228" s="154"/>
      <c r="DZ228" s="154"/>
      <c r="EA228" s="154"/>
      <c r="EB228" s="154"/>
      <c r="EC228" s="154"/>
      <c r="ED228" s="154"/>
      <c r="EE228" s="154"/>
      <c r="EF228" s="154"/>
      <c r="EG228" s="154"/>
      <c r="EH228" s="154"/>
      <c r="EI228" s="154"/>
      <c r="EJ228" s="154"/>
      <c r="EK228" s="154"/>
      <c r="EL228" s="154"/>
      <c r="EM228" s="154"/>
      <c r="EN228" s="154"/>
      <c r="EO228" s="154"/>
      <c r="EP228" s="154"/>
      <c r="EQ228" s="154"/>
      <c r="ER228" s="154"/>
      <c r="ES228" s="154"/>
      <c r="ET228" s="154"/>
      <c r="EU228" s="154"/>
      <c r="EV228" s="154"/>
      <c r="EW228" s="154"/>
      <c r="EX228" s="154"/>
      <c r="EY228" s="154"/>
      <c r="EZ228" s="154"/>
      <c r="FA228" s="154"/>
      <c r="FB228" s="154"/>
      <c r="FC228" s="154"/>
      <c r="FD228" s="154"/>
      <c r="FE228" s="154"/>
      <c r="FF228" s="154"/>
      <c r="FG228" s="154"/>
      <c r="FH228" s="154"/>
      <c r="FI228" s="154"/>
      <c r="FJ228" s="154"/>
      <c r="FK228" s="154"/>
      <c r="FL228" s="154"/>
      <c r="FM228" s="154"/>
      <c r="FN228" s="154"/>
      <c r="FO228" s="154"/>
      <c r="FP228" s="154"/>
      <c r="FQ228" s="154"/>
      <c r="FR228" s="154"/>
      <c r="FS228" s="154"/>
      <c r="FT228" s="154"/>
      <c r="FU228" s="154"/>
      <c r="FV228" s="154"/>
      <c r="FW228" s="154"/>
      <c r="FX228" s="154"/>
    </row>
    <row r="229" spans="1:180" s="164" customFormat="1" hidden="1" x14ac:dyDescent="0.25">
      <c r="A229" s="216"/>
      <c r="B229" s="214"/>
      <c r="C229" s="168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273"/>
      <c r="Q229" s="165"/>
      <c r="R229" s="275"/>
      <c r="S229" s="276"/>
      <c r="T229" s="277"/>
      <c r="U229" s="277"/>
      <c r="V229" s="277"/>
      <c r="W229" s="277"/>
      <c r="AA229" s="278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  <c r="BN229" s="154"/>
      <c r="BO229" s="154"/>
      <c r="BP229" s="154"/>
      <c r="BQ229" s="154"/>
      <c r="BR229" s="154"/>
      <c r="BS229" s="154"/>
      <c r="BT229" s="154"/>
      <c r="BU229" s="154"/>
      <c r="BV229" s="154"/>
      <c r="BW229" s="154"/>
      <c r="BX229" s="154"/>
      <c r="BY229" s="154"/>
      <c r="BZ229" s="154"/>
      <c r="CA229" s="154"/>
      <c r="CB229" s="154"/>
      <c r="CC229" s="154"/>
      <c r="CD229" s="154"/>
      <c r="CE229" s="154"/>
      <c r="CF229" s="154"/>
      <c r="CG229" s="154"/>
      <c r="CH229" s="154"/>
      <c r="CI229" s="154"/>
      <c r="CJ229" s="154"/>
      <c r="CK229" s="154"/>
      <c r="CL229" s="154"/>
      <c r="CM229" s="154"/>
      <c r="CN229" s="154"/>
      <c r="CO229" s="154"/>
      <c r="CP229" s="154"/>
      <c r="CQ229" s="154"/>
      <c r="CR229" s="154"/>
      <c r="CS229" s="154"/>
      <c r="CT229" s="154"/>
      <c r="CU229" s="154"/>
      <c r="CV229" s="154"/>
      <c r="CW229" s="154"/>
      <c r="CX229" s="154"/>
      <c r="CY229" s="154"/>
      <c r="CZ229" s="154"/>
      <c r="DA229" s="154"/>
      <c r="DB229" s="154"/>
      <c r="DC229" s="154"/>
      <c r="DD229" s="154"/>
      <c r="DE229" s="154"/>
      <c r="DF229" s="154"/>
      <c r="DG229" s="154"/>
      <c r="DH229" s="154"/>
      <c r="DI229" s="154"/>
      <c r="DJ229" s="154"/>
      <c r="DK229" s="154"/>
      <c r="DL229" s="154"/>
      <c r="DM229" s="154"/>
      <c r="DN229" s="154"/>
      <c r="DO229" s="154"/>
      <c r="DP229" s="154"/>
      <c r="DQ229" s="154"/>
      <c r="DR229" s="154"/>
      <c r="DS229" s="154"/>
      <c r="DT229" s="154"/>
      <c r="DU229" s="154"/>
      <c r="DV229" s="154"/>
      <c r="DW229" s="154"/>
      <c r="DX229" s="154"/>
      <c r="DY229" s="154"/>
      <c r="DZ229" s="154"/>
      <c r="EA229" s="154"/>
      <c r="EB229" s="154"/>
      <c r="EC229" s="154"/>
      <c r="ED229" s="154"/>
      <c r="EE229" s="154"/>
      <c r="EF229" s="154"/>
      <c r="EG229" s="154"/>
      <c r="EH229" s="154"/>
      <c r="EI229" s="154"/>
      <c r="EJ229" s="154"/>
      <c r="EK229" s="154"/>
      <c r="EL229" s="154"/>
      <c r="EM229" s="154"/>
      <c r="EN229" s="154"/>
      <c r="EO229" s="154"/>
      <c r="EP229" s="154"/>
      <c r="EQ229" s="154"/>
      <c r="ER229" s="154"/>
      <c r="ES229" s="154"/>
      <c r="ET229" s="154"/>
      <c r="EU229" s="154"/>
      <c r="EV229" s="154"/>
      <c r="EW229" s="154"/>
      <c r="EX229" s="154"/>
      <c r="EY229" s="154"/>
      <c r="EZ229" s="154"/>
      <c r="FA229" s="154"/>
      <c r="FB229" s="154"/>
      <c r="FC229" s="154"/>
      <c r="FD229" s="154"/>
      <c r="FE229" s="154"/>
      <c r="FF229" s="154"/>
      <c r="FG229" s="154"/>
      <c r="FH229" s="154"/>
      <c r="FI229" s="154"/>
      <c r="FJ229" s="154"/>
      <c r="FK229" s="154"/>
      <c r="FL229" s="154"/>
      <c r="FM229" s="154"/>
      <c r="FN229" s="154"/>
      <c r="FO229" s="154"/>
      <c r="FP229" s="154"/>
      <c r="FQ229" s="154"/>
      <c r="FR229" s="154"/>
      <c r="FS229" s="154"/>
      <c r="FT229" s="154"/>
      <c r="FU229" s="154"/>
      <c r="FV229" s="154"/>
      <c r="FW229" s="154"/>
      <c r="FX229" s="154"/>
    </row>
    <row r="230" spans="1:180" s="164" customFormat="1" ht="45" hidden="1" x14ac:dyDescent="0.25">
      <c r="A230" s="216"/>
      <c r="B230" s="214" t="s">
        <v>210</v>
      </c>
      <c r="C230" s="215" t="s">
        <v>273</v>
      </c>
      <c r="D230" s="216" t="s">
        <v>274</v>
      </c>
      <c r="E230" s="216" t="s">
        <v>275</v>
      </c>
      <c r="F230" s="216" t="s">
        <v>276</v>
      </c>
      <c r="G230" s="216" t="s">
        <v>17</v>
      </c>
      <c r="H230" s="216"/>
      <c r="I230" s="272"/>
      <c r="J230" s="272"/>
      <c r="K230" s="272"/>
      <c r="L230" s="272"/>
      <c r="M230" s="272"/>
      <c r="N230" s="272"/>
      <c r="O230" s="272"/>
      <c r="P230" s="273"/>
      <c r="Q230" s="274"/>
      <c r="R230" s="275"/>
      <c r="S230" s="276"/>
      <c r="T230" s="277"/>
      <c r="U230" s="277"/>
      <c r="V230" s="277"/>
      <c r="W230" s="277"/>
      <c r="AA230" s="278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  <c r="BN230" s="154"/>
      <c r="BO230" s="154"/>
      <c r="BP230" s="154"/>
      <c r="BQ230" s="154"/>
      <c r="BR230" s="154"/>
      <c r="BS230" s="154"/>
      <c r="BT230" s="154"/>
      <c r="BU230" s="154"/>
      <c r="BV230" s="154"/>
      <c r="BW230" s="154"/>
      <c r="BX230" s="154"/>
      <c r="BY230" s="154"/>
      <c r="BZ230" s="154"/>
      <c r="CA230" s="154"/>
      <c r="CB230" s="154"/>
      <c r="CC230" s="154"/>
      <c r="CD230" s="154"/>
      <c r="CE230" s="154"/>
      <c r="CF230" s="154"/>
      <c r="CG230" s="154"/>
      <c r="CH230" s="154"/>
      <c r="CI230" s="154"/>
      <c r="CJ230" s="154"/>
      <c r="CK230" s="154"/>
      <c r="CL230" s="154"/>
      <c r="CM230" s="154"/>
      <c r="CN230" s="154"/>
      <c r="CO230" s="154"/>
      <c r="CP230" s="154"/>
      <c r="CQ230" s="154"/>
      <c r="CR230" s="154"/>
      <c r="CS230" s="154"/>
      <c r="CT230" s="154"/>
      <c r="CU230" s="154"/>
      <c r="CV230" s="154"/>
      <c r="CW230" s="154"/>
      <c r="CX230" s="154"/>
      <c r="CY230" s="154"/>
      <c r="CZ230" s="154"/>
      <c r="DA230" s="154"/>
      <c r="DB230" s="154"/>
      <c r="DC230" s="154"/>
      <c r="DD230" s="154"/>
      <c r="DE230" s="154"/>
      <c r="DF230" s="154"/>
      <c r="DG230" s="154"/>
      <c r="DH230" s="154"/>
      <c r="DI230" s="154"/>
      <c r="DJ230" s="154"/>
      <c r="DK230" s="154"/>
      <c r="DL230" s="154"/>
      <c r="DM230" s="154"/>
      <c r="DN230" s="154"/>
      <c r="DO230" s="154"/>
      <c r="DP230" s="154"/>
      <c r="DQ230" s="154"/>
      <c r="DR230" s="154"/>
      <c r="DS230" s="154"/>
      <c r="DT230" s="154"/>
      <c r="DU230" s="154"/>
      <c r="DV230" s="154"/>
      <c r="DW230" s="154"/>
      <c r="DX230" s="154"/>
      <c r="DY230" s="154"/>
      <c r="DZ230" s="154"/>
      <c r="EA230" s="154"/>
      <c r="EB230" s="154"/>
      <c r="EC230" s="154"/>
      <c r="ED230" s="154"/>
      <c r="EE230" s="154"/>
      <c r="EF230" s="154"/>
      <c r="EG230" s="154"/>
      <c r="EH230" s="154"/>
      <c r="EI230" s="154"/>
      <c r="EJ230" s="154"/>
      <c r="EK230" s="154"/>
      <c r="EL230" s="154"/>
      <c r="EM230" s="154"/>
      <c r="EN230" s="154"/>
      <c r="EO230" s="154"/>
      <c r="EP230" s="154"/>
      <c r="EQ230" s="154"/>
      <c r="ER230" s="154"/>
      <c r="ES230" s="154"/>
      <c r="ET230" s="154"/>
      <c r="EU230" s="154"/>
      <c r="EV230" s="154"/>
      <c r="EW230" s="154"/>
      <c r="EX230" s="154"/>
      <c r="EY230" s="154"/>
      <c r="EZ230" s="154"/>
      <c r="FA230" s="154"/>
      <c r="FB230" s="154"/>
      <c r="FC230" s="154"/>
      <c r="FD230" s="154"/>
      <c r="FE230" s="154"/>
      <c r="FF230" s="154"/>
      <c r="FG230" s="154"/>
      <c r="FH230" s="154"/>
      <c r="FI230" s="154"/>
      <c r="FJ230" s="154"/>
      <c r="FK230" s="154"/>
      <c r="FL230" s="154"/>
      <c r="FM230" s="154"/>
      <c r="FN230" s="154"/>
      <c r="FO230" s="154"/>
      <c r="FP230" s="154"/>
      <c r="FQ230" s="154"/>
      <c r="FR230" s="154"/>
      <c r="FS230" s="154"/>
      <c r="FT230" s="154"/>
      <c r="FU230" s="154"/>
      <c r="FV230" s="154"/>
      <c r="FW230" s="154"/>
      <c r="FX230" s="154"/>
    </row>
    <row r="231" spans="1:180" s="164" customFormat="1" ht="30" hidden="1" x14ac:dyDescent="0.25">
      <c r="A231" s="216" t="s">
        <v>1174</v>
      </c>
      <c r="B231" s="214" t="s">
        <v>210</v>
      </c>
      <c r="C231" s="151" t="s">
        <v>277</v>
      </c>
      <c r="D231" s="217">
        <v>0.05</v>
      </c>
      <c r="E231" s="217"/>
      <c r="F231" s="217">
        <v>0.85</v>
      </c>
      <c r="G231" s="217">
        <v>0.1</v>
      </c>
      <c r="H231" s="217"/>
      <c r="I231" s="155"/>
      <c r="J231" s="155"/>
      <c r="K231" s="155"/>
      <c r="L231" s="155"/>
      <c r="M231" s="155" t="s">
        <v>639</v>
      </c>
      <c r="N231" s="155" t="s">
        <v>639</v>
      </c>
      <c r="O231" s="155" t="s">
        <v>122</v>
      </c>
      <c r="P231" s="279">
        <f>SUM(D231:K231)</f>
        <v>1</v>
      </c>
      <c r="Q231" s="165"/>
      <c r="R231" s="275"/>
      <c r="S231" s="276" t="s">
        <v>907</v>
      </c>
      <c r="T231" s="277" t="s">
        <v>634</v>
      </c>
      <c r="U231" s="277" t="s">
        <v>634</v>
      </c>
      <c r="V231" s="277" t="s">
        <v>908</v>
      </c>
      <c r="W231" s="277" t="s">
        <v>909</v>
      </c>
      <c r="AA231" s="278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  <c r="BN231" s="154"/>
      <c r="BO231" s="154"/>
      <c r="BP231" s="154"/>
      <c r="BQ231" s="154"/>
      <c r="BR231" s="154"/>
      <c r="BS231" s="154"/>
      <c r="BT231" s="154"/>
      <c r="BU231" s="154"/>
      <c r="BV231" s="154"/>
      <c r="BW231" s="154"/>
      <c r="BX231" s="154"/>
      <c r="BY231" s="154"/>
      <c r="BZ231" s="154"/>
      <c r="CA231" s="154"/>
      <c r="CB231" s="154"/>
      <c r="CC231" s="154"/>
      <c r="CD231" s="154"/>
      <c r="CE231" s="154"/>
      <c r="CF231" s="154"/>
      <c r="CG231" s="154"/>
      <c r="CH231" s="154"/>
      <c r="CI231" s="154"/>
      <c r="CJ231" s="154"/>
      <c r="CK231" s="154"/>
      <c r="CL231" s="154"/>
      <c r="CM231" s="154"/>
      <c r="CN231" s="154"/>
      <c r="CO231" s="154"/>
      <c r="CP231" s="154"/>
      <c r="CQ231" s="154"/>
      <c r="CR231" s="154"/>
      <c r="CS231" s="154"/>
      <c r="CT231" s="154"/>
      <c r="CU231" s="154"/>
      <c r="CV231" s="154"/>
      <c r="CW231" s="154"/>
      <c r="CX231" s="154"/>
      <c r="CY231" s="154"/>
      <c r="CZ231" s="154"/>
      <c r="DA231" s="154"/>
      <c r="DB231" s="154"/>
      <c r="DC231" s="154"/>
      <c r="DD231" s="154"/>
      <c r="DE231" s="154"/>
      <c r="DF231" s="154"/>
      <c r="DG231" s="154"/>
      <c r="DH231" s="154"/>
      <c r="DI231" s="154"/>
      <c r="DJ231" s="154"/>
      <c r="DK231" s="154"/>
      <c r="DL231" s="154"/>
      <c r="DM231" s="154"/>
      <c r="DN231" s="154"/>
      <c r="DO231" s="154"/>
      <c r="DP231" s="154"/>
      <c r="DQ231" s="154"/>
      <c r="DR231" s="154"/>
      <c r="DS231" s="154"/>
      <c r="DT231" s="154"/>
      <c r="DU231" s="154"/>
      <c r="DV231" s="154"/>
      <c r="DW231" s="154"/>
      <c r="DX231" s="154"/>
      <c r="DY231" s="154"/>
      <c r="DZ231" s="154"/>
      <c r="EA231" s="154"/>
      <c r="EB231" s="154"/>
      <c r="EC231" s="154"/>
      <c r="ED231" s="154"/>
      <c r="EE231" s="154"/>
      <c r="EF231" s="154"/>
      <c r="EG231" s="154"/>
      <c r="EH231" s="154"/>
      <c r="EI231" s="154"/>
      <c r="EJ231" s="154"/>
      <c r="EK231" s="154"/>
      <c r="EL231" s="154"/>
      <c r="EM231" s="154"/>
      <c r="EN231" s="154"/>
      <c r="EO231" s="154"/>
      <c r="EP231" s="154"/>
      <c r="EQ231" s="154"/>
      <c r="ER231" s="154"/>
      <c r="ES231" s="154"/>
      <c r="ET231" s="154"/>
      <c r="EU231" s="154"/>
      <c r="EV231" s="154"/>
      <c r="EW231" s="154"/>
      <c r="EX231" s="154"/>
      <c r="EY231" s="154"/>
      <c r="EZ231" s="154"/>
      <c r="FA231" s="154"/>
      <c r="FB231" s="154"/>
      <c r="FC231" s="154"/>
      <c r="FD231" s="154"/>
      <c r="FE231" s="154"/>
      <c r="FF231" s="154"/>
      <c r="FG231" s="154"/>
      <c r="FH231" s="154"/>
      <c r="FI231" s="154"/>
      <c r="FJ231" s="154"/>
      <c r="FK231" s="154"/>
      <c r="FL231" s="154"/>
      <c r="FM231" s="154"/>
      <c r="FN231" s="154"/>
      <c r="FO231" s="154"/>
      <c r="FP231" s="154"/>
      <c r="FQ231" s="154"/>
      <c r="FR231" s="154"/>
      <c r="FS231" s="154"/>
      <c r="FT231" s="154"/>
      <c r="FU231" s="154"/>
      <c r="FV231" s="154"/>
      <c r="FW231" s="154"/>
      <c r="FX231" s="154"/>
    </row>
    <row r="232" spans="1:180" s="164" customFormat="1" ht="30" hidden="1" x14ac:dyDescent="0.25">
      <c r="A232" s="216" t="s">
        <v>1175</v>
      </c>
      <c r="B232" s="214" t="s">
        <v>210</v>
      </c>
      <c r="C232" s="151" t="s">
        <v>278</v>
      </c>
      <c r="D232" s="217">
        <v>0.05</v>
      </c>
      <c r="E232" s="217">
        <v>0.35</v>
      </c>
      <c r="F232" s="217">
        <v>0.5</v>
      </c>
      <c r="G232" s="217">
        <v>0.1</v>
      </c>
      <c r="H232" s="217"/>
      <c r="I232" s="155"/>
      <c r="J232" s="155"/>
      <c r="K232" s="155"/>
      <c r="L232" s="155"/>
      <c r="M232" s="155" t="s">
        <v>639</v>
      </c>
      <c r="N232" s="155" t="s">
        <v>639</v>
      </c>
      <c r="O232" s="155" t="s">
        <v>122</v>
      </c>
      <c r="P232" s="279">
        <f>SUM(D232:K232)</f>
        <v>0.99999999999999989</v>
      </c>
      <c r="Q232" s="165"/>
      <c r="R232" s="275"/>
      <c r="S232" s="276" t="s">
        <v>910</v>
      </c>
      <c r="T232" s="277" t="s">
        <v>634</v>
      </c>
      <c r="U232" s="277" t="s">
        <v>634</v>
      </c>
      <c r="V232" s="277" t="s">
        <v>911</v>
      </c>
      <c r="W232" s="288" t="s">
        <v>912</v>
      </c>
      <c r="AA232" s="278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  <c r="BN232" s="154"/>
      <c r="BO232" s="154"/>
      <c r="BP232" s="154"/>
      <c r="BQ232" s="154"/>
      <c r="BR232" s="154"/>
      <c r="BS232" s="154"/>
      <c r="BT232" s="154"/>
      <c r="BU232" s="154"/>
      <c r="BV232" s="154"/>
      <c r="BW232" s="154"/>
      <c r="BX232" s="154"/>
      <c r="BY232" s="154"/>
      <c r="BZ232" s="154"/>
      <c r="CA232" s="154"/>
      <c r="CB232" s="154"/>
      <c r="CC232" s="154"/>
      <c r="CD232" s="154"/>
      <c r="CE232" s="154"/>
      <c r="CF232" s="154"/>
      <c r="CG232" s="154"/>
      <c r="CH232" s="154"/>
      <c r="CI232" s="154"/>
      <c r="CJ232" s="154"/>
      <c r="CK232" s="154"/>
      <c r="CL232" s="154"/>
      <c r="CM232" s="154"/>
      <c r="CN232" s="154"/>
      <c r="CO232" s="154"/>
      <c r="CP232" s="154"/>
      <c r="CQ232" s="154"/>
      <c r="CR232" s="154"/>
      <c r="CS232" s="154"/>
      <c r="CT232" s="154"/>
      <c r="CU232" s="154"/>
      <c r="CV232" s="154"/>
      <c r="CW232" s="154"/>
      <c r="CX232" s="154"/>
      <c r="CY232" s="154"/>
      <c r="CZ232" s="154"/>
      <c r="DA232" s="154"/>
      <c r="DB232" s="154"/>
      <c r="DC232" s="154"/>
      <c r="DD232" s="154"/>
      <c r="DE232" s="154"/>
      <c r="DF232" s="154"/>
      <c r="DG232" s="154"/>
      <c r="DH232" s="154"/>
      <c r="DI232" s="154"/>
      <c r="DJ232" s="154"/>
      <c r="DK232" s="154"/>
      <c r="DL232" s="154"/>
      <c r="DM232" s="154"/>
      <c r="DN232" s="154"/>
      <c r="DO232" s="154"/>
      <c r="DP232" s="154"/>
      <c r="DQ232" s="154"/>
      <c r="DR232" s="154"/>
      <c r="DS232" s="154"/>
      <c r="DT232" s="154"/>
      <c r="DU232" s="154"/>
      <c r="DV232" s="154"/>
      <c r="DW232" s="154"/>
      <c r="DX232" s="154"/>
      <c r="DY232" s="154"/>
      <c r="DZ232" s="154"/>
      <c r="EA232" s="154"/>
      <c r="EB232" s="154"/>
      <c r="EC232" s="154"/>
      <c r="ED232" s="154"/>
      <c r="EE232" s="154"/>
      <c r="EF232" s="154"/>
      <c r="EG232" s="154"/>
      <c r="EH232" s="154"/>
      <c r="EI232" s="154"/>
      <c r="EJ232" s="154"/>
      <c r="EK232" s="154"/>
      <c r="EL232" s="154"/>
      <c r="EM232" s="154"/>
      <c r="EN232" s="154"/>
      <c r="EO232" s="154"/>
      <c r="EP232" s="154"/>
      <c r="EQ232" s="154"/>
      <c r="ER232" s="154"/>
      <c r="ES232" s="154"/>
      <c r="ET232" s="154"/>
      <c r="EU232" s="154"/>
      <c r="EV232" s="154"/>
      <c r="EW232" s="154"/>
      <c r="EX232" s="154"/>
      <c r="EY232" s="154"/>
      <c r="EZ232" s="154"/>
      <c r="FA232" s="154"/>
      <c r="FB232" s="154"/>
      <c r="FC232" s="154"/>
      <c r="FD232" s="154"/>
      <c r="FE232" s="154"/>
      <c r="FF232" s="154"/>
      <c r="FG232" s="154"/>
      <c r="FH232" s="154"/>
      <c r="FI232" s="154"/>
      <c r="FJ232" s="154"/>
      <c r="FK232" s="154"/>
      <c r="FL232" s="154"/>
      <c r="FM232" s="154"/>
      <c r="FN232" s="154"/>
      <c r="FO232" s="154"/>
      <c r="FP232" s="154"/>
      <c r="FQ232" s="154"/>
      <c r="FR232" s="154"/>
      <c r="FS232" s="154"/>
      <c r="FT232" s="154"/>
      <c r="FU232" s="154"/>
      <c r="FV232" s="154"/>
      <c r="FW232" s="154"/>
      <c r="FX232" s="154"/>
    </row>
    <row r="233" spans="1:180" s="164" customFormat="1" hidden="1" x14ac:dyDescent="0.25">
      <c r="A233" s="216"/>
      <c r="B233" s="214"/>
      <c r="C233" s="151"/>
      <c r="D233" s="217"/>
      <c r="E233" s="217"/>
      <c r="F233" s="217"/>
      <c r="G233" s="217"/>
      <c r="H233" s="217"/>
      <c r="I233" s="155"/>
      <c r="J233" s="155"/>
      <c r="K233" s="155"/>
      <c r="L233" s="155"/>
      <c r="M233" s="155"/>
      <c r="N233" s="155"/>
      <c r="O233" s="155"/>
      <c r="P233" s="273"/>
      <c r="Q233" s="165"/>
      <c r="R233" s="275"/>
      <c r="S233" s="276"/>
      <c r="T233" s="277"/>
      <c r="U233" s="277"/>
      <c r="V233" s="277"/>
      <c r="W233" s="277"/>
      <c r="AA233" s="278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  <c r="BN233" s="154"/>
      <c r="BO233" s="154"/>
      <c r="BP233" s="154"/>
      <c r="BQ233" s="154"/>
      <c r="BR233" s="154"/>
      <c r="BS233" s="154"/>
      <c r="BT233" s="154"/>
      <c r="BU233" s="154"/>
      <c r="BV233" s="154"/>
      <c r="BW233" s="154"/>
      <c r="BX233" s="154"/>
      <c r="BY233" s="154"/>
      <c r="BZ233" s="154"/>
      <c r="CA233" s="154"/>
      <c r="CB233" s="154"/>
      <c r="CC233" s="154"/>
      <c r="CD233" s="154"/>
      <c r="CE233" s="154"/>
      <c r="CF233" s="154"/>
      <c r="CG233" s="154"/>
      <c r="CH233" s="154"/>
      <c r="CI233" s="154"/>
      <c r="CJ233" s="154"/>
      <c r="CK233" s="154"/>
      <c r="CL233" s="154"/>
      <c r="CM233" s="154"/>
      <c r="CN233" s="154"/>
      <c r="CO233" s="154"/>
      <c r="CP233" s="154"/>
      <c r="CQ233" s="154"/>
      <c r="CR233" s="154"/>
      <c r="CS233" s="154"/>
      <c r="CT233" s="154"/>
      <c r="CU233" s="154"/>
      <c r="CV233" s="154"/>
      <c r="CW233" s="154"/>
      <c r="CX233" s="154"/>
      <c r="CY233" s="154"/>
      <c r="CZ233" s="154"/>
      <c r="DA233" s="154"/>
      <c r="DB233" s="154"/>
      <c r="DC233" s="154"/>
      <c r="DD233" s="154"/>
      <c r="DE233" s="154"/>
      <c r="DF233" s="154"/>
      <c r="DG233" s="154"/>
      <c r="DH233" s="154"/>
      <c r="DI233" s="154"/>
      <c r="DJ233" s="154"/>
      <c r="DK233" s="154"/>
      <c r="DL233" s="154"/>
      <c r="DM233" s="154"/>
      <c r="DN233" s="154"/>
      <c r="DO233" s="154"/>
      <c r="DP233" s="154"/>
      <c r="DQ233" s="154"/>
      <c r="DR233" s="154"/>
      <c r="DS233" s="154"/>
      <c r="DT233" s="154"/>
      <c r="DU233" s="154"/>
      <c r="DV233" s="154"/>
      <c r="DW233" s="154"/>
      <c r="DX233" s="154"/>
      <c r="DY233" s="154"/>
      <c r="DZ233" s="154"/>
      <c r="EA233" s="154"/>
      <c r="EB233" s="154"/>
      <c r="EC233" s="154"/>
      <c r="ED233" s="154"/>
      <c r="EE233" s="154"/>
      <c r="EF233" s="154"/>
      <c r="EG233" s="154"/>
      <c r="EH233" s="154"/>
      <c r="EI233" s="154"/>
      <c r="EJ233" s="154"/>
      <c r="EK233" s="154"/>
      <c r="EL233" s="154"/>
      <c r="EM233" s="154"/>
      <c r="EN233" s="154"/>
      <c r="EO233" s="154"/>
      <c r="EP233" s="154"/>
      <c r="EQ233" s="154"/>
      <c r="ER233" s="154"/>
      <c r="ES233" s="154"/>
      <c r="ET233" s="154"/>
      <c r="EU233" s="154"/>
      <c r="EV233" s="154"/>
      <c r="EW233" s="154"/>
      <c r="EX233" s="154"/>
      <c r="EY233" s="154"/>
      <c r="EZ233" s="154"/>
      <c r="FA233" s="154"/>
      <c r="FB233" s="154"/>
      <c r="FC233" s="154"/>
      <c r="FD233" s="154"/>
      <c r="FE233" s="154"/>
      <c r="FF233" s="154"/>
      <c r="FG233" s="154"/>
      <c r="FH233" s="154"/>
      <c r="FI233" s="154"/>
      <c r="FJ233" s="154"/>
      <c r="FK233" s="154"/>
      <c r="FL233" s="154"/>
      <c r="FM233" s="154"/>
      <c r="FN233" s="154"/>
      <c r="FO233" s="154"/>
      <c r="FP233" s="154"/>
      <c r="FQ233" s="154"/>
      <c r="FR233" s="154"/>
      <c r="FS233" s="154"/>
      <c r="FT233" s="154"/>
      <c r="FU233" s="154"/>
      <c r="FV233" s="154"/>
      <c r="FW233" s="154"/>
      <c r="FX233" s="154"/>
    </row>
    <row r="234" spans="1:180" s="164" customFormat="1" ht="30" hidden="1" x14ac:dyDescent="0.25">
      <c r="A234" s="216"/>
      <c r="B234" s="214" t="s">
        <v>210</v>
      </c>
      <c r="C234" s="215" t="s">
        <v>279</v>
      </c>
      <c r="D234" s="216" t="s">
        <v>274</v>
      </c>
      <c r="E234" s="216" t="s">
        <v>55</v>
      </c>
      <c r="F234" s="216" t="s">
        <v>220</v>
      </c>
      <c r="G234" s="216" t="s">
        <v>181</v>
      </c>
      <c r="H234" s="216" t="s">
        <v>17</v>
      </c>
      <c r="I234" s="272"/>
      <c r="J234" s="272"/>
      <c r="K234" s="272"/>
      <c r="L234" s="272"/>
      <c r="M234" s="272"/>
      <c r="N234" s="272"/>
      <c r="O234" s="272"/>
      <c r="P234" s="273"/>
      <c r="Q234" s="274"/>
      <c r="R234" s="275"/>
      <c r="S234" s="276"/>
      <c r="T234" s="277"/>
      <c r="U234" s="277"/>
      <c r="V234" s="277"/>
      <c r="W234" s="277"/>
      <c r="AA234" s="278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  <c r="BN234" s="154"/>
      <c r="BO234" s="154"/>
      <c r="BP234" s="154"/>
      <c r="BQ234" s="154"/>
      <c r="BR234" s="154"/>
      <c r="BS234" s="154"/>
      <c r="BT234" s="154"/>
      <c r="BU234" s="154"/>
      <c r="BV234" s="154"/>
      <c r="BW234" s="154"/>
      <c r="BX234" s="154"/>
      <c r="BY234" s="154"/>
      <c r="BZ234" s="154"/>
      <c r="CA234" s="154"/>
      <c r="CB234" s="154"/>
      <c r="CC234" s="154"/>
      <c r="CD234" s="154"/>
      <c r="CE234" s="154"/>
      <c r="CF234" s="154"/>
      <c r="CG234" s="154"/>
      <c r="CH234" s="154"/>
      <c r="CI234" s="154"/>
      <c r="CJ234" s="154"/>
      <c r="CK234" s="154"/>
      <c r="CL234" s="154"/>
      <c r="CM234" s="154"/>
      <c r="CN234" s="154"/>
      <c r="CO234" s="154"/>
      <c r="CP234" s="154"/>
      <c r="CQ234" s="154"/>
      <c r="CR234" s="154"/>
      <c r="CS234" s="154"/>
      <c r="CT234" s="154"/>
      <c r="CU234" s="154"/>
      <c r="CV234" s="154"/>
      <c r="CW234" s="154"/>
      <c r="CX234" s="154"/>
      <c r="CY234" s="154"/>
      <c r="CZ234" s="154"/>
      <c r="DA234" s="154"/>
      <c r="DB234" s="154"/>
      <c r="DC234" s="154"/>
      <c r="DD234" s="154"/>
      <c r="DE234" s="154"/>
      <c r="DF234" s="154"/>
      <c r="DG234" s="154"/>
      <c r="DH234" s="154"/>
      <c r="DI234" s="154"/>
      <c r="DJ234" s="154"/>
      <c r="DK234" s="154"/>
      <c r="DL234" s="154"/>
      <c r="DM234" s="154"/>
      <c r="DN234" s="154"/>
      <c r="DO234" s="154"/>
      <c r="DP234" s="154"/>
      <c r="DQ234" s="154"/>
      <c r="DR234" s="154"/>
      <c r="DS234" s="154"/>
      <c r="DT234" s="154"/>
      <c r="DU234" s="154"/>
      <c r="DV234" s="154"/>
      <c r="DW234" s="154"/>
      <c r="DX234" s="154"/>
      <c r="DY234" s="154"/>
      <c r="DZ234" s="154"/>
      <c r="EA234" s="154"/>
      <c r="EB234" s="154"/>
      <c r="EC234" s="154"/>
      <c r="ED234" s="154"/>
      <c r="EE234" s="154"/>
      <c r="EF234" s="154"/>
      <c r="EG234" s="154"/>
      <c r="EH234" s="154"/>
      <c r="EI234" s="154"/>
      <c r="EJ234" s="154"/>
      <c r="EK234" s="154"/>
      <c r="EL234" s="154"/>
      <c r="EM234" s="154"/>
      <c r="EN234" s="154"/>
      <c r="EO234" s="154"/>
      <c r="EP234" s="154"/>
      <c r="EQ234" s="154"/>
      <c r="ER234" s="154"/>
      <c r="ES234" s="154"/>
      <c r="ET234" s="154"/>
      <c r="EU234" s="154"/>
      <c r="EV234" s="154"/>
      <c r="EW234" s="154"/>
      <c r="EX234" s="154"/>
      <c r="EY234" s="154"/>
      <c r="EZ234" s="154"/>
      <c r="FA234" s="154"/>
      <c r="FB234" s="154"/>
      <c r="FC234" s="154"/>
      <c r="FD234" s="154"/>
      <c r="FE234" s="154"/>
      <c r="FF234" s="154"/>
      <c r="FG234" s="154"/>
      <c r="FH234" s="154"/>
      <c r="FI234" s="154"/>
      <c r="FJ234" s="154"/>
      <c r="FK234" s="154"/>
      <c r="FL234" s="154"/>
      <c r="FM234" s="154"/>
      <c r="FN234" s="154"/>
      <c r="FO234" s="154"/>
      <c r="FP234" s="154"/>
      <c r="FQ234" s="154"/>
      <c r="FR234" s="154"/>
      <c r="FS234" s="154"/>
      <c r="FT234" s="154"/>
      <c r="FU234" s="154"/>
      <c r="FV234" s="154"/>
      <c r="FW234" s="154"/>
      <c r="FX234" s="154"/>
    </row>
    <row r="235" spans="1:180" s="164" customFormat="1" ht="30" hidden="1" x14ac:dyDescent="0.25">
      <c r="A235" s="216" t="s">
        <v>1176</v>
      </c>
      <c r="B235" s="214" t="s">
        <v>210</v>
      </c>
      <c r="C235" s="151" t="s">
        <v>279</v>
      </c>
      <c r="D235" s="217">
        <v>0.05</v>
      </c>
      <c r="E235" s="217">
        <v>0.3</v>
      </c>
      <c r="F235" s="217">
        <v>0.55000000000000004</v>
      </c>
      <c r="G235" s="217">
        <v>0.05</v>
      </c>
      <c r="H235" s="217">
        <v>0.05</v>
      </c>
      <c r="I235" s="155"/>
      <c r="J235" s="155"/>
      <c r="K235" s="155"/>
      <c r="L235" s="155"/>
      <c r="M235" s="155" t="s">
        <v>639</v>
      </c>
      <c r="N235" s="155" t="s">
        <v>639</v>
      </c>
      <c r="O235" s="155" t="s">
        <v>122</v>
      </c>
      <c r="P235" s="279">
        <f>SUM(D235:K235)</f>
        <v>1</v>
      </c>
      <c r="Q235" s="165"/>
      <c r="R235" s="275"/>
      <c r="S235" s="276" t="s">
        <v>913</v>
      </c>
      <c r="T235" s="277" t="s">
        <v>634</v>
      </c>
      <c r="U235" s="277" t="s">
        <v>634</v>
      </c>
      <c r="V235" s="277" t="s">
        <v>914</v>
      </c>
      <c r="W235" s="277" t="s">
        <v>915</v>
      </c>
      <c r="X235" s="164" t="s">
        <v>653</v>
      </c>
      <c r="AA235" s="278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  <c r="BN235" s="154"/>
      <c r="BO235" s="154"/>
      <c r="BP235" s="154"/>
      <c r="BQ235" s="154"/>
      <c r="BR235" s="154"/>
      <c r="BS235" s="154"/>
      <c r="BT235" s="154"/>
      <c r="BU235" s="154"/>
      <c r="BV235" s="154"/>
      <c r="BW235" s="154"/>
      <c r="BX235" s="154"/>
      <c r="BY235" s="154"/>
      <c r="BZ235" s="154"/>
      <c r="CA235" s="154"/>
      <c r="CB235" s="154"/>
      <c r="CC235" s="154"/>
      <c r="CD235" s="154"/>
      <c r="CE235" s="154"/>
      <c r="CF235" s="154"/>
      <c r="CG235" s="154"/>
      <c r="CH235" s="154"/>
      <c r="CI235" s="154"/>
      <c r="CJ235" s="154"/>
      <c r="CK235" s="154"/>
      <c r="CL235" s="154"/>
      <c r="CM235" s="154"/>
      <c r="CN235" s="154"/>
      <c r="CO235" s="154"/>
      <c r="CP235" s="154"/>
      <c r="CQ235" s="154"/>
      <c r="CR235" s="154"/>
      <c r="CS235" s="154"/>
      <c r="CT235" s="154"/>
      <c r="CU235" s="154"/>
      <c r="CV235" s="154"/>
      <c r="CW235" s="154"/>
      <c r="CX235" s="154"/>
      <c r="CY235" s="154"/>
      <c r="CZ235" s="154"/>
      <c r="DA235" s="154"/>
      <c r="DB235" s="154"/>
      <c r="DC235" s="154"/>
      <c r="DD235" s="154"/>
      <c r="DE235" s="154"/>
      <c r="DF235" s="154"/>
      <c r="DG235" s="154"/>
      <c r="DH235" s="154"/>
      <c r="DI235" s="154"/>
      <c r="DJ235" s="154"/>
      <c r="DK235" s="154"/>
      <c r="DL235" s="154"/>
      <c r="DM235" s="154"/>
      <c r="DN235" s="154"/>
      <c r="DO235" s="154"/>
      <c r="DP235" s="154"/>
      <c r="DQ235" s="154"/>
      <c r="DR235" s="154"/>
      <c r="DS235" s="154"/>
      <c r="DT235" s="154"/>
      <c r="DU235" s="154"/>
      <c r="DV235" s="154"/>
      <c r="DW235" s="154"/>
      <c r="DX235" s="154"/>
      <c r="DY235" s="154"/>
      <c r="DZ235" s="154"/>
      <c r="EA235" s="154"/>
      <c r="EB235" s="154"/>
      <c r="EC235" s="154"/>
      <c r="ED235" s="154"/>
      <c r="EE235" s="154"/>
      <c r="EF235" s="154"/>
      <c r="EG235" s="154"/>
      <c r="EH235" s="154"/>
      <c r="EI235" s="154"/>
      <c r="EJ235" s="154"/>
      <c r="EK235" s="154"/>
      <c r="EL235" s="154"/>
      <c r="EM235" s="154"/>
      <c r="EN235" s="154"/>
      <c r="EO235" s="154"/>
      <c r="EP235" s="154"/>
      <c r="EQ235" s="154"/>
      <c r="ER235" s="154"/>
      <c r="ES235" s="154"/>
      <c r="ET235" s="154"/>
      <c r="EU235" s="154"/>
      <c r="EV235" s="154"/>
      <c r="EW235" s="154"/>
      <c r="EX235" s="154"/>
      <c r="EY235" s="154"/>
      <c r="EZ235" s="154"/>
      <c r="FA235" s="154"/>
      <c r="FB235" s="154"/>
      <c r="FC235" s="154"/>
      <c r="FD235" s="154"/>
      <c r="FE235" s="154"/>
      <c r="FF235" s="154"/>
      <c r="FG235" s="154"/>
      <c r="FH235" s="154"/>
      <c r="FI235" s="154"/>
      <c r="FJ235" s="154"/>
      <c r="FK235" s="154"/>
      <c r="FL235" s="154"/>
      <c r="FM235" s="154"/>
      <c r="FN235" s="154"/>
      <c r="FO235" s="154"/>
      <c r="FP235" s="154"/>
      <c r="FQ235" s="154"/>
      <c r="FR235" s="154"/>
      <c r="FS235" s="154"/>
      <c r="FT235" s="154"/>
      <c r="FU235" s="154"/>
      <c r="FV235" s="154"/>
      <c r="FW235" s="154"/>
      <c r="FX235" s="154"/>
    </row>
    <row r="236" spans="1:180" s="164" customFormat="1" hidden="1" x14ac:dyDescent="0.25">
      <c r="A236" s="216"/>
      <c r="B236" s="214"/>
      <c r="C236" s="151"/>
      <c r="D236" s="217"/>
      <c r="E236" s="217"/>
      <c r="F236" s="217"/>
      <c r="G236" s="217"/>
      <c r="H236" s="217"/>
      <c r="I236" s="155"/>
      <c r="J236" s="155"/>
      <c r="K236" s="155"/>
      <c r="L236" s="155"/>
      <c r="M236" s="155"/>
      <c r="N236" s="155"/>
      <c r="O236" s="155"/>
      <c r="P236" s="273"/>
      <c r="Q236" s="165"/>
      <c r="R236" s="275"/>
      <c r="S236" s="276"/>
      <c r="T236" s="277"/>
      <c r="U236" s="277"/>
      <c r="V236" s="277"/>
      <c r="W236" s="277"/>
      <c r="AA236" s="278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  <c r="BN236" s="154"/>
      <c r="BO236" s="154"/>
      <c r="BP236" s="154"/>
      <c r="BQ236" s="154"/>
      <c r="BR236" s="154"/>
      <c r="BS236" s="154"/>
      <c r="BT236" s="154"/>
      <c r="BU236" s="154"/>
      <c r="BV236" s="154"/>
      <c r="BW236" s="154"/>
      <c r="BX236" s="154"/>
      <c r="BY236" s="154"/>
      <c r="BZ236" s="154"/>
      <c r="CA236" s="154"/>
      <c r="CB236" s="154"/>
      <c r="CC236" s="154"/>
      <c r="CD236" s="154"/>
      <c r="CE236" s="154"/>
      <c r="CF236" s="154"/>
      <c r="CG236" s="154"/>
      <c r="CH236" s="154"/>
      <c r="CI236" s="154"/>
      <c r="CJ236" s="154"/>
      <c r="CK236" s="154"/>
      <c r="CL236" s="154"/>
      <c r="CM236" s="154"/>
      <c r="CN236" s="154"/>
      <c r="CO236" s="154"/>
      <c r="CP236" s="154"/>
      <c r="CQ236" s="154"/>
      <c r="CR236" s="154"/>
      <c r="CS236" s="154"/>
      <c r="CT236" s="154"/>
      <c r="CU236" s="154"/>
      <c r="CV236" s="154"/>
      <c r="CW236" s="154"/>
      <c r="CX236" s="154"/>
      <c r="CY236" s="154"/>
      <c r="CZ236" s="154"/>
      <c r="DA236" s="154"/>
      <c r="DB236" s="154"/>
      <c r="DC236" s="154"/>
      <c r="DD236" s="154"/>
      <c r="DE236" s="154"/>
      <c r="DF236" s="154"/>
      <c r="DG236" s="154"/>
      <c r="DH236" s="154"/>
      <c r="DI236" s="154"/>
      <c r="DJ236" s="154"/>
      <c r="DK236" s="154"/>
      <c r="DL236" s="154"/>
      <c r="DM236" s="154"/>
      <c r="DN236" s="154"/>
      <c r="DO236" s="154"/>
      <c r="DP236" s="154"/>
      <c r="DQ236" s="154"/>
      <c r="DR236" s="154"/>
      <c r="DS236" s="154"/>
      <c r="DT236" s="154"/>
      <c r="DU236" s="154"/>
      <c r="DV236" s="154"/>
      <c r="DW236" s="154"/>
      <c r="DX236" s="154"/>
      <c r="DY236" s="154"/>
      <c r="DZ236" s="154"/>
      <c r="EA236" s="154"/>
      <c r="EB236" s="154"/>
      <c r="EC236" s="154"/>
      <c r="ED236" s="154"/>
      <c r="EE236" s="154"/>
      <c r="EF236" s="154"/>
      <c r="EG236" s="154"/>
      <c r="EH236" s="154"/>
      <c r="EI236" s="154"/>
      <c r="EJ236" s="154"/>
      <c r="EK236" s="154"/>
      <c r="EL236" s="154"/>
      <c r="EM236" s="154"/>
      <c r="EN236" s="154"/>
      <c r="EO236" s="154"/>
      <c r="EP236" s="154"/>
      <c r="EQ236" s="154"/>
      <c r="ER236" s="154"/>
      <c r="ES236" s="154"/>
      <c r="ET236" s="154"/>
      <c r="EU236" s="154"/>
      <c r="EV236" s="154"/>
      <c r="EW236" s="154"/>
      <c r="EX236" s="154"/>
      <c r="EY236" s="154"/>
      <c r="EZ236" s="154"/>
      <c r="FA236" s="154"/>
      <c r="FB236" s="154"/>
      <c r="FC236" s="154"/>
      <c r="FD236" s="154"/>
      <c r="FE236" s="154"/>
      <c r="FF236" s="154"/>
      <c r="FG236" s="154"/>
      <c r="FH236" s="154"/>
      <c r="FI236" s="154"/>
      <c r="FJ236" s="154"/>
      <c r="FK236" s="154"/>
      <c r="FL236" s="154"/>
      <c r="FM236" s="154"/>
      <c r="FN236" s="154"/>
      <c r="FO236" s="154"/>
      <c r="FP236" s="154"/>
      <c r="FQ236" s="154"/>
      <c r="FR236" s="154"/>
      <c r="FS236" s="154"/>
      <c r="FT236" s="154"/>
      <c r="FU236" s="154"/>
      <c r="FV236" s="154"/>
      <c r="FW236" s="154"/>
      <c r="FX236" s="154"/>
    </row>
    <row r="237" spans="1:180" s="164" customFormat="1" ht="30" hidden="1" x14ac:dyDescent="0.25">
      <c r="A237" s="216"/>
      <c r="B237" s="214" t="s">
        <v>210</v>
      </c>
      <c r="C237" s="215" t="s">
        <v>280</v>
      </c>
      <c r="D237" s="216" t="s">
        <v>221</v>
      </c>
      <c r="E237" s="216" t="s">
        <v>281</v>
      </c>
      <c r="F237" s="216" t="s">
        <v>257</v>
      </c>
      <c r="G237" s="216" t="s">
        <v>223</v>
      </c>
      <c r="H237" s="216"/>
      <c r="I237" s="272"/>
      <c r="J237" s="272"/>
      <c r="K237" s="272"/>
      <c r="L237" s="272"/>
      <c r="M237" s="272"/>
      <c r="N237" s="272"/>
      <c r="O237" s="272"/>
      <c r="P237" s="273"/>
      <c r="Q237" s="274"/>
      <c r="R237" s="275"/>
      <c r="S237" s="276"/>
      <c r="T237" s="277"/>
      <c r="U237" s="277"/>
      <c r="V237" s="277"/>
      <c r="W237" s="277"/>
      <c r="AA237" s="278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  <c r="BN237" s="154"/>
      <c r="BO237" s="154"/>
      <c r="BP237" s="154"/>
      <c r="BQ237" s="154"/>
      <c r="BR237" s="154"/>
      <c r="BS237" s="154"/>
      <c r="BT237" s="154"/>
      <c r="BU237" s="154"/>
      <c r="BV237" s="154"/>
      <c r="BW237" s="154"/>
      <c r="BX237" s="154"/>
      <c r="BY237" s="154"/>
      <c r="BZ237" s="154"/>
      <c r="CA237" s="154"/>
      <c r="CB237" s="154"/>
      <c r="CC237" s="154"/>
      <c r="CD237" s="154"/>
      <c r="CE237" s="154"/>
      <c r="CF237" s="154"/>
      <c r="CG237" s="154"/>
      <c r="CH237" s="154"/>
      <c r="CI237" s="154"/>
      <c r="CJ237" s="154"/>
      <c r="CK237" s="154"/>
      <c r="CL237" s="154"/>
      <c r="CM237" s="154"/>
      <c r="CN237" s="154"/>
      <c r="CO237" s="154"/>
      <c r="CP237" s="154"/>
      <c r="CQ237" s="154"/>
      <c r="CR237" s="154"/>
      <c r="CS237" s="154"/>
      <c r="CT237" s="154"/>
      <c r="CU237" s="154"/>
      <c r="CV237" s="154"/>
      <c r="CW237" s="154"/>
      <c r="CX237" s="154"/>
      <c r="CY237" s="154"/>
      <c r="CZ237" s="154"/>
      <c r="DA237" s="154"/>
      <c r="DB237" s="154"/>
      <c r="DC237" s="154"/>
      <c r="DD237" s="154"/>
      <c r="DE237" s="154"/>
      <c r="DF237" s="154"/>
      <c r="DG237" s="154"/>
      <c r="DH237" s="154"/>
      <c r="DI237" s="154"/>
      <c r="DJ237" s="154"/>
      <c r="DK237" s="154"/>
      <c r="DL237" s="154"/>
      <c r="DM237" s="154"/>
      <c r="DN237" s="154"/>
      <c r="DO237" s="154"/>
      <c r="DP237" s="154"/>
      <c r="DQ237" s="154"/>
      <c r="DR237" s="154"/>
      <c r="DS237" s="154"/>
      <c r="DT237" s="154"/>
      <c r="DU237" s="154"/>
      <c r="DV237" s="154"/>
      <c r="DW237" s="154"/>
      <c r="DX237" s="154"/>
      <c r="DY237" s="154"/>
      <c r="DZ237" s="154"/>
      <c r="EA237" s="154"/>
      <c r="EB237" s="154"/>
      <c r="EC237" s="154"/>
      <c r="ED237" s="154"/>
      <c r="EE237" s="154"/>
      <c r="EF237" s="154"/>
      <c r="EG237" s="154"/>
      <c r="EH237" s="154"/>
      <c r="EI237" s="154"/>
      <c r="EJ237" s="154"/>
      <c r="EK237" s="154"/>
      <c r="EL237" s="154"/>
      <c r="EM237" s="154"/>
      <c r="EN237" s="154"/>
      <c r="EO237" s="154"/>
      <c r="EP237" s="154"/>
      <c r="EQ237" s="154"/>
      <c r="ER237" s="154"/>
      <c r="ES237" s="154"/>
      <c r="ET237" s="154"/>
      <c r="EU237" s="154"/>
      <c r="EV237" s="154"/>
      <c r="EW237" s="154"/>
      <c r="EX237" s="154"/>
      <c r="EY237" s="154"/>
      <c r="EZ237" s="154"/>
      <c r="FA237" s="154"/>
      <c r="FB237" s="154"/>
      <c r="FC237" s="154"/>
      <c r="FD237" s="154"/>
      <c r="FE237" s="154"/>
      <c r="FF237" s="154"/>
      <c r="FG237" s="154"/>
      <c r="FH237" s="154"/>
      <c r="FI237" s="154"/>
      <c r="FJ237" s="154"/>
      <c r="FK237" s="154"/>
      <c r="FL237" s="154"/>
      <c r="FM237" s="154"/>
      <c r="FN237" s="154"/>
      <c r="FO237" s="154"/>
      <c r="FP237" s="154"/>
      <c r="FQ237" s="154"/>
      <c r="FR237" s="154"/>
      <c r="FS237" s="154"/>
      <c r="FT237" s="154"/>
      <c r="FU237" s="154"/>
      <c r="FV237" s="154"/>
      <c r="FW237" s="154"/>
      <c r="FX237" s="154"/>
    </row>
    <row r="238" spans="1:180" s="164" customFormat="1" ht="30" hidden="1" x14ac:dyDescent="0.25">
      <c r="A238" s="216" t="s">
        <v>1177</v>
      </c>
      <c r="B238" s="214" t="s">
        <v>210</v>
      </c>
      <c r="C238" s="151" t="s">
        <v>280</v>
      </c>
      <c r="D238" s="217">
        <v>0.4</v>
      </c>
      <c r="E238" s="217">
        <v>0.45</v>
      </c>
      <c r="F238" s="217">
        <v>0.1</v>
      </c>
      <c r="G238" s="217">
        <v>0.05</v>
      </c>
      <c r="H238" s="217"/>
      <c r="I238" s="155"/>
      <c r="J238" s="155"/>
      <c r="K238" s="155"/>
      <c r="L238" s="155"/>
      <c r="M238" s="155" t="s">
        <v>639</v>
      </c>
      <c r="N238" s="155" t="s">
        <v>639</v>
      </c>
      <c r="O238" s="155" t="s">
        <v>122</v>
      </c>
      <c r="P238" s="279">
        <f>SUM(D238:K238)</f>
        <v>1</v>
      </c>
      <c r="Q238" s="165"/>
      <c r="R238" s="275"/>
      <c r="S238" s="286" t="s">
        <v>688</v>
      </c>
      <c r="T238" s="277"/>
      <c r="U238" s="277"/>
      <c r="V238" s="287"/>
      <c r="W238" s="287"/>
      <c r="AA238" s="278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  <c r="BN238" s="154"/>
      <c r="BO238" s="154"/>
      <c r="BP238" s="154"/>
      <c r="BQ238" s="154"/>
      <c r="BR238" s="154"/>
      <c r="BS238" s="154"/>
      <c r="BT238" s="154"/>
      <c r="BU238" s="154"/>
      <c r="BV238" s="154"/>
      <c r="BW238" s="154"/>
      <c r="BX238" s="154"/>
      <c r="BY238" s="154"/>
      <c r="BZ238" s="154"/>
      <c r="CA238" s="154"/>
      <c r="CB238" s="154"/>
      <c r="CC238" s="154"/>
      <c r="CD238" s="154"/>
      <c r="CE238" s="154"/>
      <c r="CF238" s="154"/>
      <c r="CG238" s="154"/>
      <c r="CH238" s="154"/>
      <c r="CI238" s="154"/>
      <c r="CJ238" s="154"/>
      <c r="CK238" s="154"/>
      <c r="CL238" s="154"/>
      <c r="CM238" s="154"/>
      <c r="CN238" s="154"/>
      <c r="CO238" s="154"/>
      <c r="CP238" s="154"/>
      <c r="CQ238" s="154"/>
      <c r="CR238" s="154"/>
      <c r="CS238" s="154"/>
      <c r="CT238" s="154"/>
      <c r="CU238" s="154"/>
      <c r="CV238" s="154"/>
      <c r="CW238" s="154"/>
      <c r="CX238" s="154"/>
      <c r="CY238" s="154"/>
      <c r="CZ238" s="154"/>
      <c r="DA238" s="154"/>
      <c r="DB238" s="154"/>
      <c r="DC238" s="154"/>
      <c r="DD238" s="154"/>
      <c r="DE238" s="154"/>
      <c r="DF238" s="154"/>
      <c r="DG238" s="154"/>
      <c r="DH238" s="154"/>
      <c r="DI238" s="154"/>
      <c r="DJ238" s="154"/>
      <c r="DK238" s="154"/>
      <c r="DL238" s="154"/>
      <c r="DM238" s="154"/>
      <c r="DN238" s="154"/>
      <c r="DO238" s="154"/>
      <c r="DP238" s="154"/>
      <c r="DQ238" s="154"/>
      <c r="DR238" s="154"/>
      <c r="DS238" s="154"/>
      <c r="DT238" s="154"/>
      <c r="DU238" s="154"/>
      <c r="DV238" s="154"/>
      <c r="DW238" s="154"/>
      <c r="DX238" s="154"/>
      <c r="DY238" s="154"/>
      <c r="DZ238" s="154"/>
      <c r="EA238" s="154"/>
      <c r="EB238" s="154"/>
      <c r="EC238" s="154"/>
      <c r="ED238" s="154"/>
      <c r="EE238" s="154"/>
      <c r="EF238" s="154"/>
      <c r="EG238" s="154"/>
      <c r="EH238" s="154"/>
      <c r="EI238" s="154"/>
      <c r="EJ238" s="154"/>
      <c r="EK238" s="154"/>
      <c r="EL238" s="154"/>
      <c r="EM238" s="154"/>
      <c r="EN238" s="154"/>
      <c r="EO238" s="154"/>
      <c r="EP238" s="154"/>
      <c r="EQ238" s="154"/>
      <c r="ER238" s="154"/>
      <c r="ES238" s="154"/>
      <c r="ET238" s="154"/>
      <c r="EU238" s="154"/>
      <c r="EV238" s="154"/>
      <c r="EW238" s="154"/>
      <c r="EX238" s="154"/>
      <c r="EY238" s="154"/>
      <c r="EZ238" s="154"/>
      <c r="FA238" s="154"/>
      <c r="FB238" s="154"/>
      <c r="FC238" s="154"/>
      <c r="FD238" s="154"/>
      <c r="FE238" s="154"/>
      <c r="FF238" s="154"/>
      <c r="FG238" s="154"/>
      <c r="FH238" s="154"/>
      <c r="FI238" s="154"/>
      <c r="FJ238" s="154"/>
      <c r="FK238" s="154"/>
      <c r="FL238" s="154"/>
      <c r="FM238" s="154"/>
      <c r="FN238" s="154"/>
      <c r="FO238" s="154"/>
      <c r="FP238" s="154"/>
      <c r="FQ238" s="154"/>
      <c r="FR238" s="154"/>
      <c r="FS238" s="154"/>
      <c r="FT238" s="154"/>
      <c r="FU238" s="154"/>
      <c r="FV238" s="154"/>
      <c r="FW238" s="154"/>
      <c r="FX238" s="154"/>
    </row>
    <row r="239" spans="1:180" s="164" customFormat="1" hidden="1" x14ac:dyDescent="0.25">
      <c r="A239" s="216"/>
      <c r="B239" s="214"/>
      <c r="C239" s="151"/>
      <c r="D239" s="217"/>
      <c r="E239" s="217"/>
      <c r="F239" s="217"/>
      <c r="G239" s="217"/>
      <c r="H239" s="217"/>
      <c r="I239" s="155"/>
      <c r="J239" s="155"/>
      <c r="K239" s="155"/>
      <c r="L239" s="155"/>
      <c r="M239" s="155"/>
      <c r="N239" s="155"/>
      <c r="O239" s="155"/>
      <c r="P239" s="273"/>
      <c r="Q239" s="165"/>
      <c r="R239" s="275"/>
      <c r="S239" s="276"/>
      <c r="T239" s="277"/>
      <c r="U239" s="277"/>
      <c r="V239" s="277"/>
      <c r="W239" s="277"/>
      <c r="AA239" s="278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  <c r="BN239" s="154"/>
      <c r="BO239" s="154"/>
      <c r="BP239" s="154"/>
      <c r="BQ239" s="154"/>
      <c r="BR239" s="154"/>
      <c r="BS239" s="154"/>
      <c r="BT239" s="154"/>
      <c r="BU239" s="154"/>
      <c r="BV239" s="154"/>
      <c r="BW239" s="154"/>
      <c r="BX239" s="154"/>
      <c r="BY239" s="154"/>
      <c r="BZ239" s="154"/>
      <c r="CA239" s="154"/>
      <c r="CB239" s="154"/>
      <c r="CC239" s="154"/>
      <c r="CD239" s="154"/>
      <c r="CE239" s="154"/>
      <c r="CF239" s="154"/>
      <c r="CG239" s="154"/>
      <c r="CH239" s="154"/>
      <c r="CI239" s="154"/>
      <c r="CJ239" s="154"/>
      <c r="CK239" s="154"/>
      <c r="CL239" s="154"/>
      <c r="CM239" s="154"/>
      <c r="CN239" s="154"/>
      <c r="CO239" s="154"/>
      <c r="CP239" s="154"/>
      <c r="CQ239" s="154"/>
      <c r="CR239" s="154"/>
      <c r="CS239" s="154"/>
      <c r="CT239" s="154"/>
      <c r="CU239" s="154"/>
      <c r="CV239" s="154"/>
      <c r="CW239" s="154"/>
      <c r="CX239" s="154"/>
      <c r="CY239" s="154"/>
      <c r="CZ239" s="154"/>
      <c r="DA239" s="154"/>
      <c r="DB239" s="154"/>
      <c r="DC239" s="154"/>
      <c r="DD239" s="154"/>
      <c r="DE239" s="154"/>
      <c r="DF239" s="154"/>
      <c r="DG239" s="154"/>
      <c r="DH239" s="154"/>
      <c r="DI239" s="154"/>
      <c r="DJ239" s="154"/>
      <c r="DK239" s="154"/>
      <c r="DL239" s="154"/>
      <c r="DM239" s="154"/>
      <c r="DN239" s="154"/>
      <c r="DO239" s="154"/>
      <c r="DP239" s="154"/>
      <c r="DQ239" s="154"/>
      <c r="DR239" s="154"/>
      <c r="DS239" s="154"/>
      <c r="DT239" s="154"/>
      <c r="DU239" s="154"/>
      <c r="DV239" s="154"/>
      <c r="DW239" s="154"/>
      <c r="DX239" s="154"/>
      <c r="DY239" s="154"/>
      <c r="DZ239" s="154"/>
      <c r="EA239" s="154"/>
      <c r="EB239" s="154"/>
      <c r="EC239" s="154"/>
      <c r="ED239" s="154"/>
      <c r="EE239" s="154"/>
      <c r="EF239" s="154"/>
      <c r="EG239" s="154"/>
      <c r="EH239" s="154"/>
      <c r="EI239" s="154"/>
      <c r="EJ239" s="154"/>
      <c r="EK239" s="154"/>
      <c r="EL239" s="154"/>
      <c r="EM239" s="154"/>
      <c r="EN239" s="154"/>
      <c r="EO239" s="154"/>
      <c r="EP239" s="154"/>
      <c r="EQ239" s="154"/>
      <c r="ER239" s="154"/>
      <c r="ES239" s="154"/>
      <c r="ET239" s="154"/>
      <c r="EU239" s="154"/>
      <c r="EV239" s="154"/>
      <c r="EW239" s="154"/>
      <c r="EX239" s="154"/>
      <c r="EY239" s="154"/>
      <c r="EZ239" s="154"/>
      <c r="FA239" s="154"/>
      <c r="FB239" s="154"/>
      <c r="FC239" s="154"/>
      <c r="FD239" s="154"/>
      <c r="FE239" s="154"/>
      <c r="FF239" s="154"/>
      <c r="FG239" s="154"/>
      <c r="FH239" s="154"/>
      <c r="FI239" s="154"/>
      <c r="FJ239" s="154"/>
      <c r="FK239" s="154"/>
      <c r="FL239" s="154"/>
      <c r="FM239" s="154"/>
      <c r="FN239" s="154"/>
      <c r="FO239" s="154"/>
      <c r="FP239" s="154"/>
      <c r="FQ239" s="154"/>
      <c r="FR239" s="154"/>
      <c r="FS239" s="154"/>
      <c r="FT239" s="154"/>
      <c r="FU239" s="154"/>
      <c r="FV239" s="154"/>
      <c r="FW239" s="154"/>
      <c r="FX239" s="154"/>
    </row>
    <row r="240" spans="1:180" s="164" customFormat="1" ht="30" hidden="1" x14ac:dyDescent="0.25">
      <c r="A240" s="216"/>
      <c r="B240" s="214" t="s">
        <v>210</v>
      </c>
      <c r="C240" s="215" t="s">
        <v>282</v>
      </c>
      <c r="D240" s="216" t="s">
        <v>221</v>
      </c>
      <c r="E240" s="216" t="s">
        <v>283</v>
      </c>
      <c r="F240" s="216" t="s">
        <v>222</v>
      </c>
      <c r="G240" s="216" t="s">
        <v>223</v>
      </c>
      <c r="H240" s="216"/>
      <c r="I240" s="272"/>
      <c r="J240" s="272"/>
      <c r="K240" s="272"/>
      <c r="L240" s="272"/>
      <c r="M240" s="272"/>
      <c r="N240" s="272"/>
      <c r="O240" s="272"/>
      <c r="P240" s="273"/>
      <c r="Q240" s="274"/>
      <c r="R240" s="275"/>
      <c r="S240" s="276"/>
      <c r="T240" s="277"/>
      <c r="U240" s="277"/>
      <c r="V240" s="277"/>
      <c r="W240" s="277"/>
      <c r="AA240" s="278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  <c r="BN240" s="154"/>
      <c r="BO240" s="154"/>
      <c r="BP240" s="154"/>
      <c r="BQ240" s="154"/>
      <c r="BR240" s="154"/>
      <c r="BS240" s="154"/>
      <c r="BT240" s="154"/>
      <c r="BU240" s="154"/>
      <c r="BV240" s="154"/>
      <c r="BW240" s="154"/>
      <c r="BX240" s="154"/>
      <c r="BY240" s="154"/>
      <c r="BZ240" s="154"/>
      <c r="CA240" s="154"/>
      <c r="CB240" s="154"/>
      <c r="CC240" s="154"/>
      <c r="CD240" s="154"/>
      <c r="CE240" s="154"/>
      <c r="CF240" s="154"/>
      <c r="CG240" s="154"/>
      <c r="CH240" s="154"/>
      <c r="CI240" s="154"/>
      <c r="CJ240" s="154"/>
      <c r="CK240" s="154"/>
      <c r="CL240" s="154"/>
      <c r="CM240" s="154"/>
      <c r="CN240" s="154"/>
      <c r="CO240" s="154"/>
      <c r="CP240" s="154"/>
      <c r="CQ240" s="154"/>
      <c r="CR240" s="154"/>
      <c r="CS240" s="154"/>
      <c r="CT240" s="154"/>
      <c r="CU240" s="154"/>
      <c r="CV240" s="154"/>
      <c r="CW240" s="154"/>
      <c r="CX240" s="154"/>
      <c r="CY240" s="154"/>
      <c r="CZ240" s="154"/>
      <c r="DA240" s="154"/>
      <c r="DB240" s="154"/>
      <c r="DC240" s="154"/>
      <c r="DD240" s="154"/>
      <c r="DE240" s="154"/>
      <c r="DF240" s="154"/>
      <c r="DG240" s="154"/>
      <c r="DH240" s="154"/>
      <c r="DI240" s="154"/>
      <c r="DJ240" s="154"/>
      <c r="DK240" s="154"/>
      <c r="DL240" s="154"/>
      <c r="DM240" s="154"/>
      <c r="DN240" s="154"/>
      <c r="DO240" s="154"/>
      <c r="DP240" s="154"/>
      <c r="DQ240" s="154"/>
      <c r="DR240" s="154"/>
      <c r="DS240" s="154"/>
      <c r="DT240" s="154"/>
      <c r="DU240" s="154"/>
      <c r="DV240" s="154"/>
      <c r="DW240" s="154"/>
      <c r="DX240" s="154"/>
      <c r="DY240" s="154"/>
      <c r="DZ240" s="154"/>
      <c r="EA240" s="154"/>
      <c r="EB240" s="154"/>
      <c r="EC240" s="154"/>
      <c r="ED240" s="154"/>
      <c r="EE240" s="154"/>
      <c r="EF240" s="154"/>
      <c r="EG240" s="154"/>
      <c r="EH240" s="154"/>
      <c r="EI240" s="154"/>
      <c r="EJ240" s="154"/>
      <c r="EK240" s="154"/>
      <c r="EL240" s="154"/>
      <c r="EM240" s="154"/>
      <c r="EN240" s="154"/>
      <c r="EO240" s="154"/>
      <c r="EP240" s="154"/>
      <c r="EQ240" s="154"/>
      <c r="ER240" s="154"/>
      <c r="ES240" s="154"/>
      <c r="ET240" s="154"/>
      <c r="EU240" s="154"/>
      <c r="EV240" s="154"/>
      <c r="EW240" s="154"/>
      <c r="EX240" s="154"/>
      <c r="EY240" s="154"/>
      <c r="EZ240" s="154"/>
      <c r="FA240" s="154"/>
      <c r="FB240" s="154"/>
      <c r="FC240" s="154"/>
      <c r="FD240" s="154"/>
      <c r="FE240" s="154"/>
      <c r="FF240" s="154"/>
      <c r="FG240" s="154"/>
      <c r="FH240" s="154"/>
      <c r="FI240" s="154"/>
      <c r="FJ240" s="154"/>
      <c r="FK240" s="154"/>
      <c r="FL240" s="154"/>
      <c r="FM240" s="154"/>
      <c r="FN240" s="154"/>
      <c r="FO240" s="154"/>
      <c r="FP240" s="154"/>
      <c r="FQ240" s="154"/>
      <c r="FR240" s="154"/>
      <c r="FS240" s="154"/>
      <c r="FT240" s="154"/>
      <c r="FU240" s="154"/>
      <c r="FV240" s="154"/>
      <c r="FW240" s="154"/>
      <c r="FX240" s="154"/>
    </row>
    <row r="241" spans="1:180" s="164" customFormat="1" ht="30" hidden="1" x14ac:dyDescent="0.25">
      <c r="A241" s="216" t="s">
        <v>1178</v>
      </c>
      <c r="B241" s="214" t="s">
        <v>210</v>
      </c>
      <c r="C241" s="151" t="s">
        <v>282</v>
      </c>
      <c r="D241" s="217">
        <v>0.35</v>
      </c>
      <c r="E241" s="217">
        <v>0.3</v>
      </c>
      <c r="F241" s="217">
        <v>0.3</v>
      </c>
      <c r="G241" s="217">
        <v>0.05</v>
      </c>
      <c r="H241" s="217"/>
      <c r="I241" s="155"/>
      <c r="J241" s="155"/>
      <c r="K241" s="155"/>
      <c r="L241" s="155"/>
      <c r="M241" s="155" t="s">
        <v>639</v>
      </c>
      <c r="N241" s="155" t="s">
        <v>639</v>
      </c>
      <c r="O241" s="155" t="s">
        <v>35</v>
      </c>
      <c r="P241" s="279">
        <f>SUM(D241:K241)</f>
        <v>1</v>
      </c>
      <c r="Q241" s="165"/>
      <c r="R241" s="275"/>
      <c r="S241" s="286" t="s">
        <v>688</v>
      </c>
      <c r="T241" s="277"/>
      <c r="U241" s="277"/>
      <c r="V241" s="287"/>
      <c r="W241" s="287"/>
      <c r="AA241" s="278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  <c r="BN241" s="154"/>
      <c r="BO241" s="154"/>
      <c r="BP241" s="154"/>
      <c r="BQ241" s="154"/>
      <c r="BR241" s="154"/>
      <c r="BS241" s="154"/>
      <c r="BT241" s="154"/>
      <c r="BU241" s="154"/>
      <c r="BV241" s="154"/>
      <c r="BW241" s="154"/>
      <c r="BX241" s="154"/>
      <c r="BY241" s="154"/>
      <c r="BZ241" s="154"/>
      <c r="CA241" s="154"/>
      <c r="CB241" s="154"/>
      <c r="CC241" s="154"/>
      <c r="CD241" s="154"/>
      <c r="CE241" s="154"/>
      <c r="CF241" s="154"/>
      <c r="CG241" s="154"/>
      <c r="CH241" s="154"/>
      <c r="CI241" s="154"/>
      <c r="CJ241" s="154"/>
      <c r="CK241" s="154"/>
      <c r="CL241" s="154"/>
      <c r="CM241" s="154"/>
      <c r="CN241" s="154"/>
      <c r="CO241" s="154"/>
      <c r="CP241" s="154"/>
      <c r="CQ241" s="154"/>
      <c r="CR241" s="154"/>
      <c r="CS241" s="154"/>
      <c r="CT241" s="154"/>
      <c r="CU241" s="154"/>
      <c r="CV241" s="154"/>
      <c r="CW241" s="154"/>
      <c r="CX241" s="154"/>
      <c r="CY241" s="154"/>
      <c r="CZ241" s="154"/>
      <c r="DA241" s="154"/>
      <c r="DB241" s="154"/>
      <c r="DC241" s="154"/>
      <c r="DD241" s="154"/>
      <c r="DE241" s="154"/>
      <c r="DF241" s="154"/>
      <c r="DG241" s="154"/>
      <c r="DH241" s="154"/>
      <c r="DI241" s="154"/>
      <c r="DJ241" s="154"/>
      <c r="DK241" s="154"/>
      <c r="DL241" s="154"/>
      <c r="DM241" s="154"/>
      <c r="DN241" s="154"/>
      <c r="DO241" s="154"/>
      <c r="DP241" s="154"/>
      <c r="DQ241" s="154"/>
      <c r="DR241" s="154"/>
      <c r="DS241" s="154"/>
      <c r="DT241" s="154"/>
      <c r="DU241" s="154"/>
      <c r="DV241" s="154"/>
      <c r="DW241" s="154"/>
      <c r="DX241" s="154"/>
      <c r="DY241" s="154"/>
      <c r="DZ241" s="154"/>
      <c r="EA241" s="154"/>
      <c r="EB241" s="154"/>
      <c r="EC241" s="154"/>
      <c r="ED241" s="154"/>
      <c r="EE241" s="154"/>
      <c r="EF241" s="154"/>
      <c r="EG241" s="154"/>
      <c r="EH241" s="154"/>
      <c r="EI241" s="154"/>
      <c r="EJ241" s="154"/>
      <c r="EK241" s="154"/>
      <c r="EL241" s="154"/>
      <c r="EM241" s="154"/>
      <c r="EN241" s="154"/>
      <c r="EO241" s="154"/>
      <c r="EP241" s="154"/>
      <c r="EQ241" s="154"/>
      <c r="ER241" s="154"/>
      <c r="ES241" s="154"/>
      <c r="ET241" s="154"/>
      <c r="EU241" s="154"/>
      <c r="EV241" s="154"/>
      <c r="EW241" s="154"/>
      <c r="EX241" s="154"/>
      <c r="EY241" s="154"/>
      <c r="EZ241" s="154"/>
      <c r="FA241" s="154"/>
      <c r="FB241" s="154"/>
      <c r="FC241" s="154"/>
      <c r="FD241" s="154"/>
      <c r="FE241" s="154"/>
      <c r="FF241" s="154"/>
      <c r="FG241" s="154"/>
      <c r="FH241" s="154"/>
      <c r="FI241" s="154"/>
      <c r="FJ241" s="154"/>
      <c r="FK241" s="154"/>
      <c r="FL241" s="154"/>
      <c r="FM241" s="154"/>
      <c r="FN241" s="154"/>
      <c r="FO241" s="154"/>
      <c r="FP241" s="154"/>
      <c r="FQ241" s="154"/>
      <c r="FR241" s="154"/>
      <c r="FS241" s="154"/>
      <c r="FT241" s="154"/>
      <c r="FU241" s="154"/>
      <c r="FV241" s="154"/>
      <c r="FW241" s="154"/>
      <c r="FX241" s="154"/>
    </row>
    <row r="242" spans="1:180" s="164" customFormat="1" hidden="1" x14ac:dyDescent="0.25">
      <c r="A242" s="216"/>
      <c r="B242" s="214"/>
      <c r="C242" s="151"/>
      <c r="D242" s="217"/>
      <c r="E242" s="217"/>
      <c r="F242" s="217"/>
      <c r="G242" s="217"/>
      <c r="H242" s="217"/>
      <c r="I242" s="155"/>
      <c r="J242" s="155"/>
      <c r="K242" s="155"/>
      <c r="L242" s="155"/>
      <c r="M242" s="155"/>
      <c r="N242" s="155"/>
      <c r="O242" s="155"/>
      <c r="P242" s="273"/>
      <c r="Q242" s="165"/>
      <c r="R242" s="275"/>
      <c r="S242" s="276"/>
      <c r="T242" s="277"/>
      <c r="U242" s="277"/>
      <c r="V242" s="277"/>
      <c r="W242" s="277"/>
      <c r="AA242" s="278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154"/>
      <c r="BO242" s="154"/>
      <c r="BP242" s="154"/>
      <c r="BQ242" s="154"/>
      <c r="BR242" s="154"/>
      <c r="BS242" s="154"/>
      <c r="BT242" s="154"/>
      <c r="BU242" s="154"/>
      <c r="BV242" s="154"/>
      <c r="BW242" s="154"/>
      <c r="BX242" s="154"/>
      <c r="BY242" s="154"/>
      <c r="BZ242" s="154"/>
      <c r="CA242" s="154"/>
      <c r="CB242" s="154"/>
      <c r="CC242" s="154"/>
      <c r="CD242" s="154"/>
      <c r="CE242" s="154"/>
      <c r="CF242" s="154"/>
      <c r="CG242" s="154"/>
      <c r="CH242" s="154"/>
      <c r="CI242" s="154"/>
      <c r="CJ242" s="154"/>
      <c r="CK242" s="154"/>
      <c r="CL242" s="154"/>
      <c r="CM242" s="154"/>
      <c r="CN242" s="154"/>
      <c r="CO242" s="154"/>
      <c r="CP242" s="154"/>
      <c r="CQ242" s="154"/>
      <c r="CR242" s="154"/>
      <c r="CS242" s="154"/>
      <c r="CT242" s="154"/>
      <c r="CU242" s="154"/>
      <c r="CV242" s="154"/>
      <c r="CW242" s="154"/>
      <c r="CX242" s="154"/>
      <c r="CY242" s="154"/>
      <c r="CZ242" s="154"/>
      <c r="DA242" s="154"/>
      <c r="DB242" s="154"/>
      <c r="DC242" s="154"/>
      <c r="DD242" s="154"/>
      <c r="DE242" s="154"/>
      <c r="DF242" s="154"/>
      <c r="DG242" s="154"/>
      <c r="DH242" s="154"/>
      <c r="DI242" s="154"/>
      <c r="DJ242" s="154"/>
      <c r="DK242" s="154"/>
      <c r="DL242" s="154"/>
      <c r="DM242" s="154"/>
      <c r="DN242" s="154"/>
      <c r="DO242" s="154"/>
      <c r="DP242" s="154"/>
      <c r="DQ242" s="154"/>
      <c r="DR242" s="154"/>
      <c r="DS242" s="154"/>
      <c r="DT242" s="154"/>
      <c r="DU242" s="154"/>
      <c r="DV242" s="154"/>
      <c r="DW242" s="154"/>
      <c r="DX242" s="154"/>
      <c r="DY242" s="154"/>
      <c r="DZ242" s="154"/>
      <c r="EA242" s="154"/>
      <c r="EB242" s="154"/>
      <c r="EC242" s="154"/>
      <c r="ED242" s="154"/>
      <c r="EE242" s="154"/>
      <c r="EF242" s="154"/>
      <c r="EG242" s="154"/>
      <c r="EH242" s="154"/>
      <c r="EI242" s="154"/>
      <c r="EJ242" s="154"/>
      <c r="EK242" s="154"/>
      <c r="EL242" s="154"/>
      <c r="EM242" s="154"/>
      <c r="EN242" s="154"/>
      <c r="EO242" s="154"/>
      <c r="EP242" s="154"/>
      <c r="EQ242" s="154"/>
      <c r="ER242" s="154"/>
      <c r="ES242" s="154"/>
      <c r="ET242" s="154"/>
      <c r="EU242" s="154"/>
      <c r="EV242" s="154"/>
      <c r="EW242" s="154"/>
      <c r="EX242" s="154"/>
      <c r="EY242" s="154"/>
      <c r="EZ242" s="154"/>
      <c r="FA242" s="154"/>
      <c r="FB242" s="154"/>
      <c r="FC242" s="154"/>
      <c r="FD242" s="154"/>
      <c r="FE242" s="154"/>
      <c r="FF242" s="154"/>
      <c r="FG242" s="154"/>
      <c r="FH242" s="154"/>
      <c r="FI242" s="154"/>
      <c r="FJ242" s="154"/>
      <c r="FK242" s="154"/>
      <c r="FL242" s="154"/>
      <c r="FM242" s="154"/>
      <c r="FN242" s="154"/>
      <c r="FO242" s="154"/>
      <c r="FP242" s="154"/>
      <c r="FQ242" s="154"/>
      <c r="FR242" s="154"/>
      <c r="FS242" s="154"/>
      <c r="FT242" s="154"/>
      <c r="FU242" s="154"/>
      <c r="FV242" s="154"/>
      <c r="FW242" s="154"/>
      <c r="FX242" s="154"/>
    </row>
    <row r="243" spans="1:180" s="164" customFormat="1" ht="30" hidden="1" x14ac:dyDescent="0.25">
      <c r="A243" s="216"/>
      <c r="B243" s="214" t="s">
        <v>210</v>
      </c>
      <c r="C243" s="215" t="s">
        <v>284</v>
      </c>
      <c r="D243" s="216" t="s">
        <v>221</v>
      </c>
      <c r="E243" s="216" t="s">
        <v>281</v>
      </c>
      <c r="F243" s="216" t="s">
        <v>222</v>
      </c>
      <c r="G243" s="216" t="s">
        <v>223</v>
      </c>
      <c r="H243" s="216"/>
      <c r="I243" s="272"/>
      <c r="J243" s="272"/>
      <c r="K243" s="272"/>
      <c r="L243" s="272"/>
      <c r="M243" s="272"/>
      <c r="N243" s="272"/>
      <c r="O243" s="272"/>
      <c r="P243" s="273"/>
      <c r="Q243" s="274"/>
      <c r="R243" s="275"/>
      <c r="S243" s="276"/>
      <c r="T243" s="277"/>
      <c r="U243" s="277"/>
      <c r="V243" s="277"/>
      <c r="W243" s="277"/>
      <c r="AA243" s="278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  <c r="BN243" s="154"/>
      <c r="BO243" s="154"/>
      <c r="BP243" s="154"/>
      <c r="BQ243" s="154"/>
      <c r="BR243" s="154"/>
      <c r="BS243" s="154"/>
      <c r="BT243" s="154"/>
      <c r="BU243" s="154"/>
      <c r="BV243" s="154"/>
      <c r="BW243" s="154"/>
      <c r="BX243" s="154"/>
      <c r="BY243" s="154"/>
      <c r="BZ243" s="154"/>
      <c r="CA243" s="154"/>
      <c r="CB243" s="154"/>
      <c r="CC243" s="154"/>
      <c r="CD243" s="154"/>
      <c r="CE243" s="154"/>
      <c r="CF243" s="154"/>
      <c r="CG243" s="154"/>
      <c r="CH243" s="154"/>
      <c r="CI243" s="154"/>
      <c r="CJ243" s="154"/>
      <c r="CK243" s="154"/>
      <c r="CL243" s="154"/>
      <c r="CM243" s="154"/>
      <c r="CN243" s="154"/>
      <c r="CO243" s="154"/>
      <c r="CP243" s="154"/>
      <c r="CQ243" s="154"/>
      <c r="CR243" s="154"/>
      <c r="CS243" s="154"/>
      <c r="CT243" s="154"/>
      <c r="CU243" s="154"/>
      <c r="CV243" s="154"/>
      <c r="CW243" s="154"/>
      <c r="CX243" s="154"/>
      <c r="CY243" s="154"/>
      <c r="CZ243" s="154"/>
      <c r="DA243" s="154"/>
      <c r="DB243" s="154"/>
      <c r="DC243" s="154"/>
      <c r="DD243" s="154"/>
      <c r="DE243" s="154"/>
      <c r="DF243" s="154"/>
      <c r="DG243" s="154"/>
      <c r="DH243" s="154"/>
      <c r="DI243" s="154"/>
      <c r="DJ243" s="154"/>
      <c r="DK243" s="154"/>
      <c r="DL243" s="154"/>
      <c r="DM243" s="154"/>
      <c r="DN243" s="154"/>
      <c r="DO243" s="154"/>
      <c r="DP243" s="154"/>
      <c r="DQ243" s="154"/>
      <c r="DR243" s="154"/>
      <c r="DS243" s="154"/>
      <c r="DT243" s="154"/>
      <c r="DU243" s="154"/>
      <c r="DV243" s="154"/>
      <c r="DW243" s="154"/>
      <c r="DX243" s="154"/>
      <c r="DY243" s="154"/>
      <c r="DZ243" s="154"/>
      <c r="EA243" s="154"/>
      <c r="EB243" s="154"/>
      <c r="EC243" s="154"/>
      <c r="ED243" s="154"/>
      <c r="EE243" s="154"/>
      <c r="EF243" s="154"/>
      <c r="EG243" s="154"/>
      <c r="EH243" s="154"/>
      <c r="EI243" s="154"/>
      <c r="EJ243" s="154"/>
      <c r="EK243" s="154"/>
      <c r="EL243" s="154"/>
      <c r="EM243" s="154"/>
      <c r="EN243" s="154"/>
      <c r="EO243" s="154"/>
      <c r="EP243" s="154"/>
      <c r="EQ243" s="154"/>
      <c r="ER243" s="154"/>
      <c r="ES243" s="154"/>
      <c r="ET243" s="154"/>
      <c r="EU243" s="154"/>
      <c r="EV243" s="154"/>
      <c r="EW243" s="154"/>
      <c r="EX243" s="154"/>
      <c r="EY243" s="154"/>
      <c r="EZ243" s="154"/>
      <c r="FA243" s="154"/>
      <c r="FB243" s="154"/>
      <c r="FC243" s="154"/>
      <c r="FD243" s="154"/>
      <c r="FE243" s="154"/>
      <c r="FF243" s="154"/>
      <c r="FG243" s="154"/>
      <c r="FH243" s="154"/>
      <c r="FI243" s="154"/>
      <c r="FJ243" s="154"/>
      <c r="FK243" s="154"/>
      <c r="FL243" s="154"/>
      <c r="FM243" s="154"/>
      <c r="FN243" s="154"/>
      <c r="FO243" s="154"/>
      <c r="FP243" s="154"/>
      <c r="FQ243" s="154"/>
      <c r="FR243" s="154"/>
      <c r="FS243" s="154"/>
      <c r="FT243" s="154"/>
      <c r="FU243" s="154"/>
      <c r="FV243" s="154"/>
      <c r="FW243" s="154"/>
      <c r="FX243" s="154"/>
    </row>
    <row r="244" spans="1:180" s="164" customFormat="1" ht="30" hidden="1" x14ac:dyDescent="0.25">
      <c r="A244" s="216" t="s">
        <v>1179</v>
      </c>
      <c r="B244" s="214" t="s">
        <v>210</v>
      </c>
      <c r="C244" s="151" t="s">
        <v>284</v>
      </c>
      <c r="D244" s="217">
        <v>0.25</v>
      </c>
      <c r="E244" s="217">
        <v>0.55000000000000004</v>
      </c>
      <c r="F244" s="217">
        <v>0.15</v>
      </c>
      <c r="G244" s="217">
        <v>0.05</v>
      </c>
      <c r="H244" s="217"/>
      <c r="I244" s="155"/>
      <c r="J244" s="155"/>
      <c r="K244" s="155"/>
      <c r="L244" s="155"/>
      <c r="M244" s="155" t="s">
        <v>639</v>
      </c>
      <c r="N244" s="155" t="s">
        <v>639</v>
      </c>
      <c r="O244" s="155" t="s">
        <v>35</v>
      </c>
      <c r="P244" s="279">
        <f>SUM(D244:K244)</f>
        <v>1</v>
      </c>
      <c r="Q244" s="165"/>
      <c r="R244" s="275"/>
      <c r="S244" s="276" t="s">
        <v>916</v>
      </c>
      <c r="T244" s="277" t="s">
        <v>634</v>
      </c>
      <c r="U244" s="289" t="s">
        <v>649</v>
      </c>
      <c r="V244" s="289" t="s">
        <v>714</v>
      </c>
      <c r="W244" s="289" t="s">
        <v>715</v>
      </c>
      <c r="AA244" s="278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  <c r="BN244" s="154"/>
      <c r="BO244" s="154"/>
      <c r="BP244" s="154"/>
      <c r="BQ244" s="154"/>
      <c r="BR244" s="154"/>
      <c r="BS244" s="154"/>
      <c r="BT244" s="154"/>
      <c r="BU244" s="154"/>
      <c r="BV244" s="154"/>
      <c r="BW244" s="154"/>
      <c r="BX244" s="154"/>
      <c r="BY244" s="154"/>
      <c r="BZ244" s="154"/>
      <c r="CA244" s="154"/>
      <c r="CB244" s="154"/>
      <c r="CC244" s="154"/>
      <c r="CD244" s="154"/>
      <c r="CE244" s="154"/>
      <c r="CF244" s="154"/>
      <c r="CG244" s="154"/>
      <c r="CH244" s="154"/>
      <c r="CI244" s="154"/>
      <c r="CJ244" s="154"/>
      <c r="CK244" s="154"/>
      <c r="CL244" s="154"/>
      <c r="CM244" s="154"/>
      <c r="CN244" s="154"/>
      <c r="CO244" s="154"/>
      <c r="CP244" s="154"/>
      <c r="CQ244" s="154"/>
      <c r="CR244" s="154"/>
      <c r="CS244" s="154"/>
      <c r="CT244" s="154"/>
      <c r="CU244" s="154"/>
      <c r="CV244" s="154"/>
      <c r="CW244" s="154"/>
      <c r="CX244" s="154"/>
      <c r="CY244" s="154"/>
      <c r="CZ244" s="154"/>
      <c r="DA244" s="154"/>
      <c r="DB244" s="154"/>
      <c r="DC244" s="154"/>
      <c r="DD244" s="154"/>
      <c r="DE244" s="154"/>
      <c r="DF244" s="154"/>
      <c r="DG244" s="154"/>
      <c r="DH244" s="154"/>
      <c r="DI244" s="154"/>
      <c r="DJ244" s="154"/>
      <c r="DK244" s="154"/>
      <c r="DL244" s="154"/>
      <c r="DM244" s="154"/>
      <c r="DN244" s="154"/>
      <c r="DO244" s="154"/>
      <c r="DP244" s="154"/>
      <c r="DQ244" s="154"/>
      <c r="DR244" s="154"/>
      <c r="DS244" s="154"/>
      <c r="DT244" s="154"/>
      <c r="DU244" s="154"/>
      <c r="DV244" s="154"/>
      <c r="DW244" s="154"/>
      <c r="DX244" s="154"/>
      <c r="DY244" s="154"/>
      <c r="DZ244" s="154"/>
      <c r="EA244" s="154"/>
      <c r="EB244" s="154"/>
      <c r="EC244" s="154"/>
      <c r="ED244" s="154"/>
      <c r="EE244" s="154"/>
      <c r="EF244" s="154"/>
      <c r="EG244" s="154"/>
      <c r="EH244" s="154"/>
      <c r="EI244" s="154"/>
      <c r="EJ244" s="154"/>
      <c r="EK244" s="154"/>
      <c r="EL244" s="154"/>
      <c r="EM244" s="154"/>
      <c r="EN244" s="154"/>
      <c r="EO244" s="154"/>
      <c r="EP244" s="154"/>
      <c r="EQ244" s="154"/>
      <c r="ER244" s="154"/>
      <c r="ES244" s="154"/>
      <c r="ET244" s="154"/>
      <c r="EU244" s="154"/>
      <c r="EV244" s="154"/>
      <c r="EW244" s="154"/>
      <c r="EX244" s="154"/>
      <c r="EY244" s="154"/>
      <c r="EZ244" s="154"/>
      <c r="FA244" s="154"/>
      <c r="FB244" s="154"/>
      <c r="FC244" s="154"/>
      <c r="FD244" s="154"/>
      <c r="FE244" s="154"/>
      <c r="FF244" s="154"/>
      <c r="FG244" s="154"/>
      <c r="FH244" s="154"/>
      <c r="FI244" s="154"/>
      <c r="FJ244" s="154"/>
      <c r="FK244" s="154"/>
      <c r="FL244" s="154"/>
      <c r="FM244" s="154"/>
      <c r="FN244" s="154"/>
      <c r="FO244" s="154"/>
      <c r="FP244" s="154"/>
      <c r="FQ244" s="154"/>
      <c r="FR244" s="154"/>
      <c r="FS244" s="154"/>
      <c r="FT244" s="154"/>
      <c r="FU244" s="154"/>
      <c r="FV244" s="154"/>
      <c r="FW244" s="154"/>
      <c r="FX244" s="154"/>
    </row>
    <row r="245" spans="1:180" s="164" customFormat="1" hidden="1" x14ac:dyDescent="0.25">
      <c r="A245" s="216"/>
      <c r="B245" s="214"/>
      <c r="C245" s="151"/>
      <c r="D245" s="217"/>
      <c r="E245" s="217"/>
      <c r="F245" s="217"/>
      <c r="G245" s="217"/>
      <c r="H245" s="217"/>
      <c r="I245" s="155"/>
      <c r="J245" s="155"/>
      <c r="K245" s="155"/>
      <c r="L245" s="155"/>
      <c r="M245" s="155"/>
      <c r="N245" s="155"/>
      <c r="O245" s="155"/>
      <c r="P245" s="273"/>
      <c r="Q245" s="165"/>
      <c r="R245" s="275"/>
      <c r="S245" s="276"/>
      <c r="T245" s="277"/>
      <c r="U245" s="277"/>
      <c r="V245" s="277"/>
      <c r="W245" s="277"/>
      <c r="AA245" s="278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  <c r="BN245" s="154"/>
      <c r="BO245" s="154"/>
      <c r="BP245" s="154"/>
      <c r="BQ245" s="154"/>
      <c r="BR245" s="154"/>
      <c r="BS245" s="154"/>
      <c r="BT245" s="154"/>
      <c r="BU245" s="154"/>
      <c r="BV245" s="154"/>
      <c r="BW245" s="154"/>
      <c r="BX245" s="154"/>
      <c r="BY245" s="154"/>
      <c r="BZ245" s="154"/>
      <c r="CA245" s="154"/>
      <c r="CB245" s="154"/>
      <c r="CC245" s="154"/>
      <c r="CD245" s="154"/>
      <c r="CE245" s="154"/>
      <c r="CF245" s="154"/>
      <c r="CG245" s="154"/>
      <c r="CH245" s="154"/>
      <c r="CI245" s="154"/>
      <c r="CJ245" s="154"/>
      <c r="CK245" s="154"/>
      <c r="CL245" s="154"/>
      <c r="CM245" s="154"/>
      <c r="CN245" s="154"/>
      <c r="CO245" s="154"/>
      <c r="CP245" s="154"/>
      <c r="CQ245" s="154"/>
      <c r="CR245" s="154"/>
      <c r="CS245" s="154"/>
      <c r="CT245" s="154"/>
      <c r="CU245" s="154"/>
      <c r="CV245" s="154"/>
      <c r="CW245" s="154"/>
      <c r="CX245" s="154"/>
      <c r="CY245" s="154"/>
      <c r="CZ245" s="154"/>
      <c r="DA245" s="154"/>
      <c r="DB245" s="154"/>
      <c r="DC245" s="154"/>
      <c r="DD245" s="154"/>
      <c r="DE245" s="154"/>
      <c r="DF245" s="154"/>
      <c r="DG245" s="154"/>
      <c r="DH245" s="154"/>
      <c r="DI245" s="154"/>
      <c r="DJ245" s="154"/>
      <c r="DK245" s="154"/>
      <c r="DL245" s="154"/>
      <c r="DM245" s="154"/>
      <c r="DN245" s="154"/>
      <c r="DO245" s="154"/>
      <c r="DP245" s="154"/>
      <c r="DQ245" s="154"/>
      <c r="DR245" s="154"/>
      <c r="DS245" s="154"/>
      <c r="DT245" s="154"/>
      <c r="DU245" s="154"/>
      <c r="DV245" s="154"/>
      <c r="DW245" s="154"/>
      <c r="DX245" s="154"/>
      <c r="DY245" s="154"/>
      <c r="DZ245" s="154"/>
      <c r="EA245" s="154"/>
      <c r="EB245" s="154"/>
      <c r="EC245" s="154"/>
      <c r="ED245" s="154"/>
      <c r="EE245" s="154"/>
      <c r="EF245" s="154"/>
      <c r="EG245" s="154"/>
      <c r="EH245" s="154"/>
      <c r="EI245" s="154"/>
      <c r="EJ245" s="154"/>
      <c r="EK245" s="154"/>
      <c r="EL245" s="154"/>
      <c r="EM245" s="154"/>
      <c r="EN245" s="154"/>
      <c r="EO245" s="154"/>
      <c r="EP245" s="154"/>
      <c r="EQ245" s="154"/>
      <c r="ER245" s="154"/>
      <c r="ES245" s="154"/>
      <c r="ET245" s="154"/>
      <c r="EU245" s="154"/>
      <c r="EV245" s="154"/>
      <c r="EW245" s="154"/>
      <c r="EX245" s="154"/>
      <c r="EY245" s="154"/>
      <c r="EZ245" s="154"/>
      <c r="FA245" s="154"/>
      <c r="FB245" s="154"/>
      <c r="FC245" s="154"/>
      <c r="FD245" s="154"/>
      <c r="FE245" s="154"/>
      <c r="FF245" s="154"/>
      <c r="FG245" s="154"/>
      <c r="FH245" s="154"/>
      <c r="FI245" s="154"/>
      <c r="FJ245" s="154"/>
      <c r="FK245" s="154"/>
      <c r="FL245" s="154"/>
      <c r="FM245" s="154"/>
      <c r="FN245" s="154"/>
      <c r="FO245" s="154"/>
      <c r="FP245" s="154"/>
      <c r="FQ245" s="154"/>
      <c r="FR245" s="154"/>
      <c r="FS245" s="154"/>
      <c r="FT245" s="154"/>
      <c r="FU245" s="154"/>
      <c r="FV245" s="154"/>
      <c r="FW245" s="154"/>
      <c r="FX245" s="154"/>
    </row>
    <row r="246" spans="1:180" s="164" customFormat="1" ht="30" hidden="1" x14ac:dyDescent="0.25">
      <c r="A246" s="216"/>
      <c r="B246" s="214" t="s">
        <v>210</v>
      </c>
      <c r="C246" s="215" t="s">
        <v>285</v>
      </c>
      <c r="D246" s="216" t="s">
        <v>286</v>
      </c>
      <c r="E246" s="216" t="s">
        <v>287</v>
      </c>
      <c r="F246" s="216" t="s">
        <v>219</v>
      </c>
      <c r="G246" s="216" t="s">
        <v>257</v>
      </c>
      <c r="H246" s="216" t="s">
        <v>223</v>
      </c>
      <c r="I246" s="272"/>
      <c r="J246" s="272"/>
      <c r="K246" s="272"/>
      <c r="L246" s="272"/>
      <c r="M246" s="272"/>
      <c r="N246" s="272"/>
      <c r="O246" s="272"/>
      <c r="P246" s="273"/>
      <c r="Q246" s="274"/>
      <c r="R246" s="275"/>
      <c r="S246" s="276"/>
      <c r="T246" s="277"/>
      <c r="U246" s="277"/>
      <c r="V246" s="277"/>
      <c r="W246" s="277"/>
      <c r="AA246" s="278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  <c r="BN246" s="154"/>
      <c r="BO246" s="154"/>
      <c r="BP246" s="154"/>
      <c r="BQ246" s="154"/>
      <c r="BR246" s="154"/>
      <c r="BS246" s="154"/>
      <c r="BT246" s="154"/>
      <c r="BU246" s="154"/>
      <c r="BV246" s="154"/>
      <c r="BW246" s="154"/>
      <c r="BX246" s="154"/>
      <c r="BY246" s="154"/>
      <c r="BZ246" s="154"/>
      <c r="CA246" s="154"/>
      <c r="CB246" s="154"/>
      <c r="CC246" s="154"/>
      <c r="CD246" s="154"/>
      <c r="CE246" s="154"/>
      <c r="CF246" s="154"/>
      <c r="CG246" s="154"/>
      <c r="CH246" s="154"/>
      <c r="CI246" s="154"/>
      <c r="CJ246" s="154"/>
      <c r="CK246" s="154"/>
      <c r="CL246" s="154"/>
      <c r="CM246" s="154"/>
      <c r="CN246" s="154"/>
      <c r="CO246" s="154"/>
      <c r="CP246" s="154"/>
      <c r="CQ246" s="154"/>
      <c r="CR246" s="154"/>
      <c r="CS246" s="154"/>
      <c r="CT246" s="154"/>
      <c r="CU246" s="154"/>
      <c r="CV246" s="154"/>
      <c r="CW246" s="154"/>
      <c r="CX246" s="154"/>
      <c r="CY246" s="154"/>
      <c r="CZ246" s="154"/>
      <c r="DA246" s="154"/>
      <c r="DB246" s="154"/>
      <c r="DC246" s="154"/>
      <c r="DD246" s="154"/>
      <c r="DE246" s="154"/>
      <c r="DF246" s="154"/>
      <c r="DG246" s="154"/>
      <c r="DH246" s="154"/>
      <c r="DI246" s="154"/>
      <c r="DJ246" s="154"/>
      <c r="DK246" s="154"/>
      <c r="DL246" s="154"/>
      <c r="DM246" s="154"/>
      <c r="DN246" s="154"/>
      <c r="DO246" s="154"/>
      <c r="DP246" s="154"/>
      <c r="DQ246" s="154"/>
      <c r="DR246" s="154"/>
      <c r="DS246" s="154"/>
      <c r="DT246" s="154"/>
      <c r="DU246" s="154"/>
      <c r="DV246" s="154"/>
      <c r="DW246" s="154"/>
      <c r="DX246" s="154"/>
      <c r="DY246" s="154"/>
      <c r="DZ246" s="154"/>
      <c r="EA246" s="154"/>
      <c r="EB246" s="154"/>
      <c r="EC246" s="154"/>
      <c r="ED246" s="154"/>
      <c r="EE246" s="154"/>
      <c r="EF246" s="154"/>
      <c r="EG246" s="154"/>
      <c r="EH246" s="154"/>
      <c r="EI246" s="154"/>
      <c r="EJ246" s="154"/>
      <c r="EK246" s="154"/>
      <c r="EL246" s="154"/>
      <c r="EM246" s="154"/>
      <c r="EN246" s="154"/>
      <c r="EO246" s="154"/>
      <c r="EP246" s="154"/>
      <c r="EQ246" s="154"/>
      <c r="ER246" s="154"/>
      <c r="ES246" s="154"/>
      <c r="ET246" s="154"/>
      <c r="EU246" s="154"/>
      <c r="EV246" s="154"/>
      <c r="EW246" s="154"/>
      <c r="EX246" s="154"/>
      <c r="EY246" s="154"/>
      <c r="EZ246" s="154"/>
      <c r="FA246" s="154"/>
      <c r="FB246" s="154"/>
      <c r="FC246" s="154"/>
      <c r="FD246" s="154"/>
      <c r="FE246" s="154"/>
      <c r="FF246" s="154"/>
      <c r="FG246" s="154"/>
      <c r="FH246" s="154"/>
      <c r="FI246" s="154"/>
      <c r="FJ246" s="154"/>
      <c r="FK246" s="154"/>
      <c r="FL246" s="154"/>
      <c r="FM246" s="154"/>
      <c r="FN246" s="154"/>
      <c r="FO246" s="154"/>
      <c r="FP246" s="154"/>
      <c r="FQ246" s="154"/>
      <c r="FR246" s="154"/>
      <c r="FS246" s="154"/>
      <c r="FT246" s="154"/>
      <c r="FU246" s="154"/>
      <c r="FV246" s="154"/>
      <c r="FW246" s="154"/>
      <c r="FX246" s="154"/>
    </row>
    <row r="247" spans="1:180" s="164" customFormat="1" ht="30" hidden="1" x14ac:dyDescent="0.25">
      <c r="A247" s="216" t="s">
        <v>1180</v>
      </c>
      <c r="B247" s="214" t="s">
        <v>210</v>
      </c>
      <c r="C247" s="151" t="s">
        <v>285</v>
      </c>
      <c r="D247" s="217">
        <v>0.15</v>
      </c>
      <c r="E247" s="217">
        <v>0.2</v>
      </c>
      <c r="F247" s="217">
        <v>0.4</v>
      </c>
      <c r="G247" s="217">
        <v>0.15</v>
      </c>
      <c r="H247" s="217">
        <v>0.1</v>
      </c>
      <c r="I247" s="155"/>
      <c r="J247" s="155"/>
      <c r="K247" s="155"/>
      <c r="L247" s="155"/>
      <c r="M247" s="155" t="s">
        <v>639</v>
      </c>
      <c r="N247" s="155" t="s">
        <v>639</v>
      </c>
      <c r="O247" s="155" t="s">
        <v>122</v>
      </c>
      <c r="P247" s="279">
        <f>SUM(D247:K247)</f>
        <v>1</v>
      </c>
      <c r="Q247" s="165"/>
      <c r="R247" s="275"/>
      <c r="S247" s="286" t="s">
        <v>688</v>
      </c>
      <c r="T247" s="277"/>
      <c r="U247" s="277"/>
      <c r="V247" s="277" t="s">
        <v>917</v>
      </c>
      <c r="W247" s="277" t="s">
        <v>876</v>
      </c>
      <c r="X247" s="290" t="s">
        <v>716</v>
      </c>
      <c r="AA247" s="278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  <c r="BN247" s="154"/>
      <c r="BO247" s="154"/>
      <c r="BP247" s="154"/>
      <c r="BQ247" s="154"/>
      <c r="BR247" s="154"/>
      <c r="BS247" s="154"/>
      <c r="BT247" s="154"/>
      <c r="BU247" s="154"/>
      <c r="BV247" s="154"/>
      <c r="BW247" s="154"/>
      <c r="BX247" s="154"/>
      <c r="BY247" s="154"/>
      <c r="BZ247" s="154"/>
      <c r="CA247" s="154"/>
      <c r="CB247" s="154"/>
      <c r="CC247" s="154"/>
      <c r="CD247" s="154"/>
      <c r="CE247" s="154"/>
      <c r="CF247" s="154"/>
      <c r="CG247" s="154"/>
      <c r="CH247" s="154"/>
      <c r="CI247" s="154"/>
      <c r="CJ247" s="154"/>
      <c r="CK247" s="154"/>
      <c r="CL247" s="154"/>
      <c r="CM247" s="154"/>
      <c r="CN247" s="154"/>
      <c r="CO247" s="154"/>
      <c r="CP247" s="154"/>
      <c r="CQ247" s="154"/>
      <c r="CR247" s="154"/>
      <c r="CS247" s="154"/>
      <c r="CT247" s="154"/>
      <c r="CU247" s="154"/>
      <c r="CV247" s="154"/>
      <c r="CW247" s="154"/>
      <c r="CX247" s="154"/>
      <c r="CY247" s="154"/>
      <c r="CZ247" s="154"/>
      <c r="DA247" s="154"/>
      <c r="DB247" s="154"/>
      <c r="DC247" s="154"/>
      <c r="DD247" s="154"/>
      <c r="DE247" s="154"/>
      <c r="DF247" s="154"/>
      <c r="DG247" s="154"/>
      <c r="DH247" s="154"/>
      <c r="DI247" s="154"/>
      <c r="DJ247" s="154"/>
      <c r="DK247" s="154"/>
      <c r="DL247" s="154"/>
      <c r="DM247" s="154"/>
      <c r="DN247" s="154"/>
      <c r="DO247" s="154"/>
      <c r="DP247" s="154"/>
      <c r="DQ247" s="154"/>
      <c r="DR247" s="154"/>
      <c r="DS247" s="154"/>
      <c r="DT247" s="154"/>
      <c r="DU247" s="154"/>
      <c r="DV247" s="154"/>
      <c r="DW247" s="154"/>
      <c r="DX247" s="154"/>
      <c r="DY247" s="154"/>
      <c r="DZ247" s="154"/>
      <c r="EA247" s="154"/>
      <c r="EB247" s="154"/>
      <c r="EC247" s="154"/>
      <c r="ED247" s="154"/>
      <c r="EE247" s="154"/>
      <c r="EF247" s="154"/>
      <c r="EG247" s="154"/>
      <c r="EH247" s="154"/>
      <c r="EI247" s="154"/>
      <c r="EJ247" s="154"/>
      <c r="EK247" s="154"/>
      <c r="EL247" s="154"/>
      <c r="EM247" s="154"/>
      <c r="EN247" s="154"/>
      <c r="EO247" s="154"/>
      <c r="EP247" s="154"/>
      <c r="EQ247" s="154"/>
      <c r="ER247" s="154"/>
      <c r="ES247" s="154"/>
      <c r="ET247" s="154"/>
      <c r="EU247" s="154"/>
      <c r="EV247" s="154"/>
      <c r="EW247" s="154"/>
      <c r="EX247" s="154"/>
      <c r="EY247" s="154"/>
      <c r="EZ247" s="154"/>
      <c r="FA247" s="154"/>
      <c r="FB247" s="154"/>
      <c r="FC247" s="154"/>
      <c r="FD247" s="154"/>
      <c r="FE247" s="154"/>
      <c r="FF247" s="154"/>
      <c r="FG247" s="154"/>
      <c r="FH247" s="154"/>
      <c r="FI247" s="154"/>
      <c r="FJ247" s="154"/>
      <c r="FK247" s="154"/>
      <c r="FL247" s="154"/>
      <c r="FM247" s="154"/>
      <c r="FN247" s="154"/>
      <c r="FO247" s="154"/>
      <c r="FP247" s="154"/>
      <c r="FQ247" s="154"/>
      <c r="FR247" s="154"/>
      <c r="FS247" s="154"/>
      <c r="FT247" s="154"/>
      <c r="FU247" s="154"/>
      <c r="FV247" s="154"/>
      <c r="FW247" s="154"/>
      <c r="FX247" s="154"/>
    </row>
    <row r="248" spans="1:180" s="164" customFormat="1" hidden="1" x14ac:dyDescent="0.25">
      <c r="A248" s="216"/>
      <c r="B248" s="214"/>
      <c r="C248" s="151"/>
      <c r="D248" s="217"/>
      <c r="E248" s="217"/>
      <c r="F248" s="217"/>
      <c r="G248" s="217"/>
      <c r="H248" s="217"/>
      <c r="I248" s="155"/>
      <c r="J248" s="155"/>
      <c r="K248" s="155"/>
      <c r="L248" s="155"/>
      <c r="M248" s="155"/>
      <c r="N248" s="155"/>
      <c r="O248" s="155"/>
      <c r="P248" s="273"/>
      <c r="Q248" s="165"/>
      <c r="R248" s="275"/>
      <c r="S248" s="276"/>
      <c r="T248" s="277"/>
      <c r="U248" s="277"/>
      <c r="V248" s="277"/>
      <c r="W248" s="277"/>
      <c r="AA248" s="278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  <c r="BN248" s="154"/>
      <c r="BO248" s="154"/>
      <c r="BP248" s="154"/>
      <c r="BQ248" s="154"/>
      <c r="BR248" s="154"/>
      <c r="BS248" s="154"/>
      <c r="BT248" s="154"/>
      <c r="BU248" s="154"/>
      <c r="BV248" s="154"/>
      <c r="BW248" s="154"/>
      <c r="BX248" s="154"/>
      <c r="BY248" s="154"/>
      <c r="BZ248" s="154"/>
      <c r="CA248" s="154"/>
      <c r="CB248" s="154"/>
      <c r="CC248" s="154"/>
      <c r="CD248" s="154"/>
      <c r="CE248" s="154"/>
      <c r="CF248" s="154"/>
      <c r="CG248" s="154"/>
      <c r="CH248" s="154"/>
      <c r="CI248" s="154"/>
      <c r="CJ248" s="154"/>
      <c r="CK248" s="154"/>
      <c r="CL248" s="154"/>
      <c r="CM248" s="154"/>
      <c r="CN248" s="154"/>
      <c r="CO248" s="154"/>
      <c r="CP248" s="154"/>
      <c r="CQ248" s="154"/>
      <c r="CR248" s="154"/>
      <c r="CS248" s="154"/>
      <c r="CT248" s="154"/>
      <c r="CU248" s="154"/>
      <c r="CV248" s="154"/>
      <c r="CW248" s="154"/>
      <c r="CX248" s="154"/>
      <c r="CY248" s="154"/>
      <c r="CZ248" s="154"/>
      <c r="DA248" s="154"/>
      <c r="DB248" s="154"/>
      <c r="DC248" s="154"/>
      <c r="DD248" s="154"/>
      <c r="DE248" s="154"/>
      <c r="DF248" s="154"/>
      <c r="DG248" s="154"/>
      <c r="DH248" s="154"/>
      <c r="DI248" s="154"/>
      <c r="DJ248" s="154"/>
      <c r="DK248" s="154"/>
      <c r="DL248" s="154"/>
      <c r="DM248" s="154"/>
      <c r="DN248" s="154"/>
      <c r="DO248" s="154"/>
      <c r="DP248" s="154"/>
      <c r="DQ248" s="154"/>
      <c r="DR248" s="154"/>
      <c r="DS248" s="154"/>
      <c r="DT248" s="154"/>
      <c r="DU248" s="154"/>
      <c r="DV248" s="154"/>
      <c r="DW248" s="154"/>
      <c r="DX248" s="154"/>
      <c r="DY248" s="154"/>
      <c r="DZ248" s="154"/>
      <c r="EA248" s="154"/>
      <c r="EB248" s="154"/>
      <c r="EC248" s="154"/>
      <c r="ED248" s="154"/>
      <c r="EE248" s="154"/>
      <c r="EF248" s="154"/>
      <c r="EG248" s="154"/>
      <c r="EH248" s="154"/>
      <c r="EI248" s="154"/>
      <c r="EJ248" s="154"/>
      <c r="EK248" s="154"/>
      <c r="EL248" s="154"/>
      <c r="EM248" s="154"/>
      <c r="EN248" s="154"/>
      <c r="EO248" s="154"/>
      <c r="EP248" s="154"/>
      <c r="EQ248" s="154"/>
      <c r="ER248" s="154"/>
      <c r="ES248" s="154"/>
      <c r="ET248" s="154"/>
      <c r="EU248" s="154"/>
      <c r="EV248" s="154"/>
      <c r="EW248" s="154"/>
      <c r="EX248" s="154"/>
      <c r="EY248" s="154"/>
      <c r="EZ248" s="154"/>
      <c r="FA248" s="154"/>
      <c r="FB248" s="154"/>
      <c r="FC248" s="154"/>
      <c r="FD248" s="154"/>
      <c r="FE248" s="154"/>
      <c r="FF248" s="154"/>
      <c r="FG248" s="154"/>
      <c r="FH248" s="154"/>
      <c r="FI248" s="154"/>
      <c r="FJ248" s="154"/>
      <c r="FK248" s="154"/>
      <c r="FL248" s="154"/>
      <c r="FM248" s="154"/>
      <c r="FN248" s="154"/>
      <c r="FO248" s="154"/>
      <c r="FP248" s="154"/>
      <c r="FQ248" s="154"/>
      <c r="FR248" s="154"/>
      <c r="FS248" s="154"/>
      <c r="FT248" s="154"/>
      <c r="FU248" s="154"/>
      <c r="FV248" s="154"/>
      <c r="FW248" s="154"/>
      <c r="FX248" s="154"/>
    </row>
    <row r="249" spans="1:180" s="164" customFormat="1" ht="30" hidden="1" x14ac:dyDescent="0.25">
      <c r="A249" s="216"/>
      <c r="B249" s="214" t="s">
        <v>210</v>
      </c>
      <c r="C249" s="215" t="s">
        <v>288</v>
      </c>
      <c r="D249" s="216" t="s">
        <v>287</v>
      </c>
      <c r="E249" s="216" t="s">
        <v>219</v>
      </c>
      <c r="F249" s="216" t="s">
        <v>257</v>
      </c>
      <c r="G249" s="216" t="s">
        <v>223</v>
      </c>
      <c r="H249" s="216"/>
      <c r="I249" s="272"/>
      <c r="J249" s="272"/>
      <c r="K249" s="272"/>
      <c r="L249" s="272"/>
      <c r="M249" s="272"/>
      <c r="N249" s="272"/>
      <c r="O249" s="272"/>
      <c r="P249" s="273"/>
      <c r="Q249" s="274"/>
      <c r="R249" s="275"/>
      <c r="S249" s="276"/>
      <c r="T249" s="277"/>
      <c r="U249" s="277"/>
      <c r="V249" s="277"/>
      <c r="W249" s="277"/>
      <c r="AA249" s="278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  <c r="BN249" s="154"/>
      <c r="BO249" s="154"/>
      <c r="BP249" s="154"/>
      <c r="BQ249" s="154"/>
      <c r="BR249" s="154"/>
      <c r="BS249" s="154"/>
      <c r="BT249" s="154"/>
      <c r="BU249" s="154"/>
      <c r="BV249" s="154"/>
      <c r="BW249" s="154"/>
      <c r="BX249" s="154"/>
      <c r="BY249" s="154"/>
      <c r="BZ249" s="154"/>
      <c r="CA249" s="154"/>
      <c r="CB249" s="154"/>
      <c r="CC249" s="154"/>
      <c r="CD249" s="154"/>
      <c r="CE249" s="154"/>
      <c r="CF249" s="154"/>
      <c r="CG249" s="154"/>
      <c r="CH249" s="154"/>
      <c r="CI249" s="154"/>
      <c r="CJ249" s="154"/>
      <c r="CK249" s="154"/>
      <c r="CL249" s="154"/>
      <c r="CM249" s="154"/>
      <c r="CN249" s="154"/>
      <c r="CO249" s="154"/>
      <c r="CP249" s="154"/>
      <c r="CQ249" s="154"/>
      <c r="CR249" s="154"/>
      <c r="CS249" s="154"/>
      <c r="CT249" s="154"/>
      <c r="CU249" s="154"/>
      <c r="CV249" s="154"/>
      <c r="CW249" s="154"/>
      <c r="CX249" s="154"/>
      <c r="CY249" s="154"/>
      <c r="CZ249" s="154"/>
      <c r="DA249" s="154"/>
      <c r="DB249" s="154"/>
      <c r="DC249" s="154"/>
      <c r="DD249" s="154"/>
      <c r="DE249" s="154"/>
      <c r="DF249" s="154"/>
      <c r="DG249" s="154"/>
      <c r="DH249" s="154"/>
      <c r="DI249" s="154"/>
      <c r="DJ249" s="154"/>
      <c r="DK249" s="154"/>
      <c r="DL249" s="154"/>
      <c r="DM249" s="154"/>
      <c r="DN249" s="154"/>
      <c r="DO249" s="154"/>
      <c r="DP249" s="154"/>
      <c r="DQ249" s="154"/>
      <c r="DR249" s="154"/>
      <c r="DS249" s="154"/>
      <c r="DT249" s="154"/>
      <c r="DU249" s="154"/>
      <c r="DV249" s="154"/>
      <c r="DW249" s="154"/>
      <c r="DX249" s="154"/>
      <c r="DY249" s="154"/>
      <c r="DZ249" s="154"/>
      <c r="EA249" s="154"/>
      <c r="EB249" s="154"/>
      <c r="EC249" s="154"/>
      <c r="ED249" s="154"/>
      <c r="EE249" s="154"/>
      <c r="EF249" s="154"/>
      <c r="EG249" s="154"/>
      <c r="EH249" s="154"/>
      <c r="EI249" s="154"/>
      <c r="EJ249" s="154"/>
      <c r="EK249" s="154"/>
      <c r="EL249" s="154"/>
      <c r="EM249" s="154"/>
      <c r="EN249" s="154"/>
      <c r="EO249" s="154"/>
      <c r="EP249" s="154"/>
      <c r="EQ249" s="154"/>
      <c r="ER249" s="154"/>
      <c r="ES249" s="154"/>
      <c r="ET249" s="154"/>
      <c r="EU249" s="154"/>
      <c r="EV249" s="154"/>
      <c r="EW249" s="154"/>
      <c r="EX249" s="154"/>
      <c r="EY249" s="154"/>
      <c r="EZ249" s="154"/>
      <c r="FA249" s="154"/>
      <c r="FB249" s="154"/>
      <c r="FC249" s="154"/>
      <c r="FD249" s="154"/>
      <c r="FE249" s="154"/>
      <c r="FF249" s="154"/>
      <c r="FG249" s="154"/>
      <c r="FH249" s="154"/>
      <c r="FI249" s="154"/>
      <c r="FJ249" s="154"/>
      <c r="FK249" s="154"/>
      <c r="FL249" s="154"/>
      <c r="FM249" s="154"/>
      <c r="FN249" s="154"/>
      <c r="FO249" s="154"/>
      <c r="FP249" s="154"/>
      <c r="FQ249" s="154"/>
      <c r="FR249" s="154"/>
      <c r="FS249" s="154"/>
      <c r="FT249" s="154"/>
      <c r="FU249" s="154"/>
      <c r="FV249" s="154"/>
      <c r="FW249" s="154"/>
      <c r="FX249" s="154"/>
    </row>
    <row r="250" spans="1:180" s="164" customFormat="1" ht="30" hidden="1" x14ac:dyDescent="0.25">
      <c r="A250" s="216" t="s">
        <v>1181</v>
      </c>
      <c r="B250" s="214" t="s">
        <v>210</v>
      </c>
      <c r="C250" s="151" t="s">
        <v>288</v>
      </c>
      <c r="D250" s="217">
        <v>0.4</v>
      </c>
      <c r="E250" s="217">
        <v>0.4</v>
      </c>
      <c r="F250" s="217">
        <v>0.15</v>
      </c>
      <c r="G250" s="217">
        <v>0.05</v>
      </c>
      <c r="H250" s="217"/>
      <c r="I250" s="155"/>
      <c r="J250" s="155"/>
      <c r="K250" s="155"/>
      <c r="L250" s="155"/>
      <c r="M250" s="155" t="s">
        <v>639</v>
      </c>
      <c r="N250" s="155" t="s">
        <v>639</v>
      </c>
      <c r="O250" s="155" t="s">
        <v>35</v>
      </c>
      <c r="P250" s="279">
        <f>SUM(D250:K250)</f>
        <v>1</v>
      </c>
      <c r="Q250" s="165"/>
      <c r="R250" s="275"/>
      <c r="S250" s="276" t="s">
        <v>918</v>
      </c>
      <c r="T250" s="277" t="s">
        <v>634</v>
      </c>
      <c r="U250" s="277" t="s">
        <v>634</v>
      </c>
      <c r="V250" s="277" t="s">
        <v>919</v>
      </c>
      <c r="W250" s="277" t="s">
        <v>920</v>
      </c>
      <c r="AA250" s="278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  <c r="BN250" s="154"/>
      <c r="BO250" s="154"/>
      <c r="BP250" s="154"/>
      <c r="BQ250" s="154"/>
      <c r="BR250" s="154"/>
      <c r="BS250" s="154"/>
      <c r="BT250" s="154"/>
      <c r="BU250" s="154"/>
      <c r="BV250" s="154"/>
      <c r="BW250" s="154"/>
      <c r="BX250" s="154"/>
      <c r="BY250" s="154"/>
      <c r="BZ250" s="154"/>
      <c r="CA250" s="154"/>
      <c r="CB250" s="154"/>
      <c r="CC250" s="154"/>
      <c r="CD250" s="154"/>
      <c r="CE250" s="154"/>
      <c r="CF250" s="154"/>
      <c r="CG250" s="154"/>
      <c r="CH250" s="154"/>
      <c r="CI250" s="154"/>
      <c r="CJ250" s="154"/>
      <c r="CK250" s="154"/>
      <c r="CL250" s="154"/>
      <c r="CM250" s="154"/>
      <c r="CN250" s="154"/>
      <c r="CO250" s="154"/>
      <c r="CP250" s="154"/>
      <c r="CQ250" s="154"/>
      <c r="CR250" s="154"/>
      <c r="CS250" s="154"/>
      <c r="CT250" s="154"/>
      <c r="CU250" s="154"/>
      <c r="CV250" s="154"/>
      <c r="CW250" s="154"/>
      <c r="CX250" s="154"/>
      <c r="CY250" s="154"/>
      <c r="CZ250" s="154"/>
      <c r="DA250" s="154"/>
      <c r="DB250" s="154"/>
      <c r="DC250" s="154"/>
      <c r="DD250" s="154"/>
      <c r="DE250" s="154"/>
      <c r="DF250" s="154"/>
      <c r="DG250" s="154"/>
      <c r="DH250" s="154"/>
      <c r="DI250" s="154"/>
      <c r="DJ250" s="154"/>
      <c r="DK250" s="154"/>
      <c r="DL250" s="154"/>
      <c r="DM250" s="154"/>
      <c r="DN250" s="154"/>
      <c r="DO250" s="154"/>
      <c r="DP250" s="154"/>
      <c r="DQ250" s="154"/>
      <c r="DR250" s="154"/>
      <c r="DS250" s="154"/>
      <c r="DT250" s="154"/>
      <c r="DU250" s="154"/>
      <c r="DV250" s="154"/>
      <c r="DW250" s="154"/>
      <c r="DX250" s="154"/>
      <c r="DY250" s="154"/>
      <c r="DZ250" s="154"/>
      <c r="EA250" s="154"/>
      <c r="EB250" s="154"/>
      <c r="EC250" s="154"/>
      <c r="ED250" s="154"/>
      <c r="EE250" s="154"/>
      <c r="EF250" s="154"/>
      <c r="EG250" s="154"/>
      <c r="EH250" s="154"/>
      <c r="EI250" s="154"/>
      <c r="EJ250" s="154"/>
      <c r="EK250" s="154"/>
      <c r="EL250" s="154"/>
      <c r="EM250" s="154"/>
      <c r="EN250" s="154"/>
      <c r="EO250" s="154"/>
      <c r="EP250" s="154"/>
      <c r="EQ250" s="154"/>
      <c r="ER250" s="154"/>
      <c r="ES250" s="154"/>
      <c r="ET250" s="154"/>
      <c r="EU250" s="154"/>
      <c r="EV250" s="154"/>
      <c r="EW250" s="154"/>
      <c r="EX250" s="154"/>
      <c r="EY250" s="154"/>
      <c r="EZ250" s="154"/>
      <c r="FA250" s="154"/>
      <c r="FB250" s="154"/>
      <c r="FC250" s="154"/>
      <c r="FD250" s="154"/>
      <c r="FE250" s="154"/>
      <c r="FF250" s="154"/>
      <c r="FG250" s="154"/>
      <c r="FH250" s="154"/>
      <c r="FI250" s="154"/>
      <c r="FJ250" s="154"/>
      <c r="FK250" s="154"/>
      <c r="FL250" s="154"/>
      <c r="FM250" s="154"/>
      <c r="FN250" s="154"/>
      <c r="FO250" s="154"/>
      <c r="FP250" s="154"/>
      <c r="FQ250" s="154"/>
      <c r="FR250" s="154"/>
      <c r="FS250" s="154"/>
      <c r="FT250" s="154"/>
      <c r="FU250" s="154"/>
      <c r="FV250" s="154"/>
      <c r="FW250" s="154"/>
      <c r="FX250" s="154"/>
    </row>
    <row r="251" spans="1:180" s="164" customFormat="1" hidden="1" x14ac:dyDescent="0.25">
      <c r="A251" s="216"/>
      <c r="B251" s="214"/>
      <c r="C251" s="151"/>
      <c r="D251" s="217"/>
      <c r="E251" s="217"/>
      <c r="F251" s="217"/>
      <c r="G251" s="217"/>
      <c r="H251" s="217"/>
      <c r="I251" s="155"/>
      <c r="J251" s="155"/>
      <c r="K251" s="155"/>
      <c r="L251" s="155"/>
      <c r="M251" s="155"/>
      <c r="N251" s="155"/>
      <c r="O251" s="155"/>
      <c r="P251" s="273"/>
      <c r="Q251" s="165"/>
      <c r="R251" s="275"/>
      <c r="S251" s="276"/>
      <c r="T251" s="277"/>
      <c r="U251" s="277"/>
      <c r="V251" s="277"/>
      <c r="W251" s="277"/>
      <c r="AA251" s="278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  <c r="BN251" s="154"/>
      <c r="BO251" s="154"/>
      <c r="BP251" s="154"/>
      <c r="BQ251" s="154"/>
      <c r="BR251" s="154"/>
      <c r="BS251" s="154"/>
      <c r="BT251" s="154"/>
      <c r="BU251" s="154"/>
      <c r="BV251" s="154"/>
      <c r="BW251" s="154"/>
      <c r="BX251" s="154"/>
      <c r="BY251" s="154"/>
      <c r="BZ251" s="154"/>
      <c r="CA251" s="154"/>
      <c r="CB251" s="154"/>
      <c r="CC251" s="154"/>
      <c r="CD251" s="154"/>
      <c r="CE251" s="154"/>
      <c r="CF251" s="154"/>
      <c r="CG251" s="154"/>
      <c r="CH251" s="154"/>
      <c r="CI251" s="154"/>
      <c r="CJ251" s="154"/>
      <c r="CK251" s="154"/>
      <c r="CL251" s="154"/>
      <c r="CM251" s="154"/>
      <c r="CN251" s="154"/>
      <c r="CO251" s="154"/>
      <c r="CP251" s="154"/>
      <c r="CQ251" s="154"/>
      <c r="CR251" s="154"/>
      <c r="CS251" s="154"/>
      <c r="CT251" s="154"/>
      <c r="CU251" s="154"/>
      <c r="CV251" s="154"/>
      <c r="CW251" s="154"/>
      <c r="CX251" s="154"/>
      <c r="CY251" s="154"/>
      <c r="CZ251" s="154"/>
      <c r="DA251" s="154"/>
      <c r="DB251" s="154"/>
      <c r="DC251" s="154"/>
      <c r="DD251" s="154"/>
      <c r="DE251" s="154"/>
      <c r="DF251" s="154"/>
      <c r="DG251" s="154"/>
      <c r="DH251" s="154"/>
      <c r="DI251" s="154"/>
      <c r="DJ251" s="154"/>
      <c r="DK251" s="154"/>
      <c r="DL251" s="154"/>
      <c r="DM251" s="154"/>
      <c r="DN251" s="154"/>
      <c r="DO251" s="154"/>
      <c r="DP251" s="154"/>
      <c r="DQ251" s="154"/>
      <c r="DR251" s="154"/>
      <c r="DS251" s="154"/>
      <c r="DT251" s="154"/>
      <c r="DU251" s="154"/>
      <c r="DV251" s="154"/>
      <c r="DW251" s="154"/>
      <c r="DX251" s="154"/>
      <c r="DY251" s="154"/>
      <c r="DZ251" s="154"/>
      <c r="EA251" s="154"/>
      <c r="EB251" s="154"/>
      <c r="EC251" s="154"/>
      <c r="ED251" s="154"/>
      <c r="EE251" s="154"/>
      <c r="EF251" s="154"/>
      <c r="EG251" s="154"/>
      <c r="EH251" s="154"/>
      <c r="EI251" s="154"/>
      <c r="EJ251" s="154"/>
      <c r="EK251" s="154"/>
      <c r="EL251" s="154"/>
      <c r="EM251" s="154"/>
      <c r="EN251" s="154"/>
      <c r="EO251" s="154"/>
      <c r="EP251" s="154"/>
      <c r="EQ251" s="154"/>
      <c r="ER251" s="154"/>
      <c r="ES251" s="154"/>
      <c r="ET251" s="154"/>
      <c r="EU251" s="154"/>
      <c r="EV251" s="154"/>
      <c r="EW251" s="154"/>
      <c r="EX251" s="154"/>
      <c r="EY251" s="154"/>
      <c r="EZ251" s="154"/>
      <c r="FA251" s="154"/>
      <c r="FB251" s="154"/>
      <c r="FC251" s="154"/>
      <c r="FD251" s="154"/>
      <c r="FE251" s="154"/>
      <c r="FF251" s="154"/>
      <c r="FG251" s="154"/>
      <c r="FH251" s="154"/>
      <c r="FI251" s="154"/>
      <c r="FJ251" s="154"/>
      <c r="FK251" s="154"/>
      <c r="FL251" s="154"/>
      <c r="FM251" s="154"/>
      <c r="FN251" s="154"/>
      <c r="FO251" s="154"/>
      <c r="FP251" s="154"/>
      <c r="FQ251" s="154"/>
      <c r="FR251" s="154"/>
      <c r="FS251" s="154"/>
      <c r="FT251" s="154"/>
      <c r="FU251" s="154"/>
      <c r="FV251" s="154"/>
      <c r="FW251" s="154"/>
      <c r="FX251" s="154"/>
    </row>
    <row r="252" spans="1:180" s="164" customFormat="1" ht="30" hidden="1" x14ac:dyDescent="0.25">
      <c r="A252" s="216"/>
      <c r="B252" s="214" t="s">
        <v>210</v>
      </c>
      <c r="C252" s="215" t="s">
        <v>289</v>
      </c>
      <c r="D252" s="216" t="s">
        <v>221</v>
      </c>
      <c r="E252" s="216" t="s">
        <v>290</v>
      </c>
      <c r="F252" s="216" t="s">
        <v>291</v>
      </c>
      <c r="G252" s="216" t="s">
        <v>223</v>
      </c>
      <c r="H252" s="216"/>
      <c r="I252" s="272"/>
      <c r="J252" s="272"/>
      <c r="K252" s="272"/>
      <c r="L252" s="272"/>
      <c r="M252" s="272"/>
      <c r="N252" s="272"/>
      <c r="O252" s="272"/>
      <c r="P252" s="273"/>
      <c r="Q252" s="274"/>
      <c r="R252" s="275"/>
      <c r="S252" s="276"/>
      <c r="T252" s="277"/>
      <c r="U252" s="277"/>
      <c r="V252" s="277"/>
      <c r="W252" s="277"/>
      <c r="AA252" s="278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  <c r="BN252" s="154"/>
      <c r="BO252" s="154"/>
      <c r="BP252" s="154"/>
      <c r="BQ252" s="154"/>
      <c r="BR252" s="154"/>
      <c r="BS252" s="154"/>
      <c r="BT252" s="154"/>
      <c r="BU252" s="154"/>
      <c r="BV252" s="154"/>
      <c r="BW252" s="154"/>
      <c r="BX252" s="154"/>
      <c r="BY252" s="154"/>
      <c r="BZ252" s="154"/>
      <c r="CA252" s="154"/>
      <c r="CB252" s="154"/>
      <c r="CC252" s="154"/>
      <c r="CD252" s="154"/>
      <c r="CE252" s="154"/>
      <c r="CF252" s="154"/>
      <c r="CG252" s="154"/>
      <c r="CH252" s="154"/>
      <c r="CI252" s="154"/>
      <c r="CJ252" s="154"/>
      <c r="CK252" s="154"/>
      <c r="CL252" s="154"/>
      <c r="CM252" s="154"/>
      <c r="CN252" s="154"/>
      <c r="CO252" s="154"/>
      <c r="CP252" s="154"/>
      <c r="CQ252" s="154"/>
      <c r="CR252" s="154"/>
      <c r="CS252" s="154"/>
      <c r="CT252" s="154"/>
      <c r="CU252" s="154"/>
      <c r="CV252" s="154"/>
      <c r="CW252" s="154"/>
      <c r="CX252" s="154"/>
      <c r="CY252" s="154"/>
      <c r="CZ252" s="154"/>
      <c r="DA252" s="154"/>
      <c r="DB252" s="154"/>
      <c r="DC252" s="154"/>
      <c r="DD252" s="154"/>
      <c r="DE252" s="154"/>
      <c r="DF252" s="154"/>
      <c r="DG252" s="154"/>
      <c r="DH252" s="154"/>
      <c r="DI252" s="154"/>
      <c r="DJ252" s="154"/>
      <c r="DK252" s="154"/>
      <c r="DL252" s="154"/>
      <c r="DM252" s="154"/>
      <c r="DN252" s="154"/>
      <c r="DO252" s="154"/>
      <c r="DP252" s="154"/>
      <c r="DQ252" s="154"/>
      <c r="DR252" s="154"/>
      <c r="DS252" s="154"/>
      <c r="DT252" s="154"/>
      <c r="DU252" s="154"/>
      <c r="DV252" s="154"/>
      <c r="DW252" s="154"/>
      <c r="DX252" s="154"/>
      <c r="DY252" s="154"/>
      <c r="DZ252" s="154"/>
      <c r="EA252" s="154"/>
      <c r="EB252" s="154"/>
      <c r="EC252" s="154"/>
      <c r="ED252" s="154"/>
      <c r="EE252" s="154"/>
      <c r="EF252" s="154"/>
      <c r="EG252" s="154"/>
      <c r="EH252" s="154"/>
      <c r="EI252" s="154"/>
      <c r="EJ252" s="154"/>
      <c r="EK252" s="154"/>
      <c r="EL252" s="154"/>
      <c r="EM252" s="154"/>
      <c r="EN252" s="154"/>
      <c r="EO252" s="154"/>
      <c r="EP252" s="154"/>
      <c r="EQ252" s="154"/>
      <c r="ER252" s="154"/>
      <c r="ES252" s="154"/>
      <c r="ET252" s="154"/>
      <c r="EU252" s="154"/>
      <c r="EV252" s="154"/>
      <c r="EW252" s="154"/>
      <c r="EX252" s="154"/>
      <c r="EY252" s="154"/>
      <c r="EZ252" s="154"/>
      <c r="FA252" s="154"/>
      <c r="FB252" s="154"/>
      <c r="FC252" s="154"/>
      <c r="FD252" s="154"/>
      <c r="FE252" s="154"/>
      <c r="FF252" s="154"/>
      <c r="FG252" s="154"/>
      <c r="FH252" s="154"/>
      <c r="FI252" s="154"/>
      <c r="FJ252" s="154"/>
      <c r="FK252" s="154"/>
      <c r="FL252" s="154"/>
      <c r="FM252" s="154"/>
      <c r="FN252" s="154"/>
      <c r="FO252" s="154"/>
      <c r="FP252" s="154"/>
      <c r="FQ252" s="154"/>
      <c r="FR252" s="154"/>
      <c r="FS252" s="154"/>
      <c r="FT252" s="154"/>
      <c r="FU252" s="154"/>
      <c r="FV252" s="154"/>
      <c r="FW252" s="154"/>
      <c r="FX252" s="154"/>
    </row>
    <row r="253" spans="1:180" s="164" customFormat="1" ht="30" hidden="1" x14ac:dyDescent="0.25">
      <c r="A253" s="216" t="s">
        <v>1182</v>
      </c>
      <c r="B253" s="214" t="s">
        <v>210</v>
      </c>
      <c r="C253" s="151" t="s">
        <v>289</v>
      </c>
      <c r="D253" s="217">
        <v>0.25</v>
      </c>
      <c r="E253" s="217">
        <v>0.4</v>
      </c>
      <c r="F253" s="217">
        <v>0.3</v>
      </c>
      <c r="G253" s="217">
        <v>0.05</v>
      </c>
      <c r="H253" s="217"/>
      <c r="I253" s="155"/>
      <c r="J253" s="155"/>
      <c r="K253" s="155"/>
      <c r="L253" s="155"/>
      <c r="M253" s="155" t="s">
        <v>639</v>
      </c>
      <c r="N253" s="155" t="s">
        <v>639</v>
      </c>
      <c r="O253" s="155" t="s">
        <v>35</v>
      </c>
      <c r="P253" s="279">
        <f>SUM(D253:K253)</f>
        <v>1</v>
      </c>
      <c r="Q253" s="165"/>
      <c r="R253" s="275"/>
      <c r="S253" s="286" t="s">
        <v>688</v>
      </c>
      <c r="T253" s="277"/>
      <c r="U253" s="277"/>
      <c r="V253" s="287"/>
      <c r="W253" s="287"/>
      <c r="AA253" s="278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  <c r="BN253" s="154"/>
      <c r="BO253" s="154"/>
      <c r="BP253" s="154"/>
      <c r="BQ253" s="154"/>
      <c r="BR253" s="154"/>
      <c r="BS253" s="154"/>
      <c r="BT253" s="154"/>
      <c r="BU253" s="154"/>
      <c r="BV253" s="154"/>
      <c r="BW253" s="154"/>
      <c r="BX253" s="154"/>
      <c r="BY253" s="154"/>
      <c r="BZ253" s="154"/>
      <c r="CA253" s="154"/>
      <c r="CB253" s="154"/>
      <c r="CC253" s="154"/>
      <c r="CD253" s="154"/>
      <c r="CE253" s="154"/>
      <c r="CF253" s="154"/>
      <c r="CG253" s="154"/>
      <c r="CH253" s="154"/>
      <c r="CI253" s="154"/>
      <c r="CJ253" s="154"/>
      <c r="CK253" s="154"/>
      <c r="CL253" s="154"/>
      <c r="CM253" s="154"/>
      <c r="CN253" s="154"/>
      <c r="CO253" s="154"/>
      <c r="CP253" s="154"/>
      <c r="CQ253" s="154"/>
      <c r="CR253" s="154"/>
      <c r="CS253" s="154"/>
      <c r="CT253" s="154"/>
      <c r="CU253" s="154"/>
      <c r="CV253" s="154"/>
      <c r="CW253" s="154"/>
      <c r="CX253" s="154"/>
      <c r="CY253" s="154"/>
      <c r="CZ253" s="154"/>
      <c r="DA253" s="154"/>
      <c r="DB253" s="154"/>
      <c r="DC253" s="154"/>
      <c r="DD253" s="154"/>
      <c r="DE253" s="154"/>
      <c r="DF253" s="154"/>
      <c r="DG253" s="154"/>
      <c r="DH253" s="154"/>
      <c r="DI253" s="154"/>
      <c r="DJ253" s="154"/>
      <c r="DK253" s="154"/>
      <c r="DL253" s="154"/>
      <c r="DM253" s="154"/>
      <c r="DN253" s="154"/>
      <c r="DO253" s="154"/>
      <c r="DP253" s="154"/>
      <c r="DQ253" s="154"/>
      <c r="DR253" s="154"/>
      <c r="DS253" s="154"/>
      <c r="DT253" s="154"/>
      <c r="DU253" s="154"/>
      <c r="DV253" s="154"/>
      <c r="DW253" s="154"/>
      <c r="DX253" s="154"/>
      <c r="DY253" s="154"/>
      <c r="DZ253" s="154"/>
      <c r="EA253" s="154"/>
      <c r="EB253" s="154"/>
      <c r="EC253" s="154"/>
      <c r="ED253" s="154"/>
      <c r="EE253" s="154"/>
      <c r="EF253" s="154"/>
      <c r="EG253" s="154"/>
      <c r="EH253" s="154"/>
      <c r="EI253" s="154"/>
      <c r="EJ253" s="154"/>
      <c r="EK253" s="154"/>
      <c r="EL253" s="154"/>
      <c r="EM253" s="154"/>
      <c r="EN253" s="154"/>
      <c r="EO253" s="154"/>
      <c r="EP253" s="154"/>
      <c r="EQ253" s="154"/>
      <c r="ER253" s="154"/>
      <c r="ES253" s="154"/>
      <c r="ET253" s="154"/>
      <c r="EU253" s="154"/>
      <c r="EV253" s="154"/>
      <c r="EW253" s="154"/>
      <c r="EX253" s="154"/>
      <c r="EY253" s="154"/>
      <c r="EZ253" s="154"/>
      <c r="FA253" s="154"/>
      <c r="FB253" s="154"/>
      <c r="FC253" s="154"/>
      <c r="FD253" s="154"/>
      <c r="FE253" s="154"/>
      <c r="FF253" s="154"/>
      <c r="FG253" s="154"/>
      <c r="FH253" s="154"/>
      <c r="FI253" s="154"/>
      <c r="FJ253" s="154"/>
      <c r="FK253" s="154"/>
      <c r="FL253" s="154"/>
      <c r="FM253" s="154"/>
      <c r="FN253" s="154"/>
      <c r="FO253" s="154"/>
      <c r="FP253" s="154"/>
      <c r="FQ253" s="154"/>
      <c r="FR253" s="154"/>
      <c r="FS253" s="154"/>
      <c r="FT253" s="154"/>
      <c r="FU253" s="154"/>
      <c r="FV253" s="154"/>
      <c r="FW253" s="154"/>
      <c r="FX253" s="154"/>
    </row>
    <row r="254" spans="1:180" s="164" customFormat="1" hidden="1" x14ac:dyDescent="0.25">
      <c r="A254" s="216"/>
      <c r="B254" s="214"/>
      <c r="C254" s="151"/>
      <c r="D254" s="217"/>
      <c r="E254" s="217"/>
      <c r="F254" s="217"/>
      <c r="G254" s="217"/>
      <c r="H254" s="217"/>
      <c r="I254" s="155"/>
      <c r="J254" s="155"/>
      <c r="K254" s="155"/>
      <c r="L254" s="155"/>
      <c r="M254" s="155"/>
      <c r="N254" s="155"/>
      <c r="O254" s="155"/>
      <c r="P254" s="273"/>
      <c r="Q254" s="165"/>
      <c r="R254" s="275"/>
      <c r="S254" s="276"/>
      <c r="T254" s="277"/>
      <c r="U254" s="277"/>
      <c r="V254" s="277"/>
      <c r="W254" s="277"/>
      <c r="AA254" s="278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  <c r="BN254" s="154"/>
      <c r="BO254" s="154"/>
      <c r="BP254" s="154"/>
      <c r="BQ254" s="154"/>
      <c r="BR254" s="154"/>
      <c r="BS254" s="154"/>
      <c r="BT254" s="154"/>
      <c r="BU254" s="154"/>
      <c r="BV254" s="154"/>
      <c r="BW254" s="154"/>
      <c r="BX254" s="154"/>
      <c r="BY254" s="154"/>
      <c r="BZ254" s="154"/>
      <c r="CA254" s="154"/>
      <c r="CB254" s="154"/>
      <c r="CC254" s="154"/>
      <c r="CD254" s="154"/>
      <c r="CE254" s="154"/>
      <c r="CF254" s="154"/>
      <c r="CG254" s="154"/>
      <c r="CH254" s="154"/>
      <c r="CI254" s="154"/>
      <c r="CJ254" s="154"/>
      <c r="CK254" s="154"/>
      <c r="CL254" s="154"/>
      <c r="CM254" s="154"/>
      <c r="CN254" s="154"/>
      <c r="CO254" s="154"/>
      <c r="CP254" s="154"/>
      <c r="CQ254" s="154"/>
      <c r="CR254" s="154"/>
      <c r="CS254" s="154"/>
      <c r="CT254" s="154"/>
      <c r="CU254" s="154"/>
      <c r="CV254" s="154"/>
      <c r="CW254" s="154"/>
      <c r="CX254" s="154"/>
      <c r="CY254" s="154"/>
      <c r="CZ254" s="154"/>
      <c r="DA254" s="154"/>
      <c r="DB254" s="154"/>
      <c r="DC254" s="154"/>
      <c r="DD254" s="154"/>
      <c r="DE254" s="154"/>
      <c r="DF254" s="154"/>
      <c r="DG254" s="154"/>
      <c r="DH254" s="154"/>
      <c r="DI254" s="154"/>
      <c r="DJ254" s="154"/>
      <c r="DK254" s="154"/>
      <c r="DL254" s="154"/>
      <c r="DM254" s="154"/>
      <c r="DN254" s="154"/>
      <c r="DO254" s="154"/>
      <c r="DP254" s="154"/>
      <c r="DQ254" s="154"/>
      <c r="DR254" s="154"/>
      <c r="DS254" s="154"/>
      <c r="DT254" s="154"/>
      <c r="DU254" s="154"/>
      <c r="DV254" s="154"/>
      <c r="DW254" s="154"/>
      <c r="DX254" s="154"/>
      <c r="DY254" s="154"/>
      <c r="DZ254" s="154"/>
      <c r="EA254" s="154"/>
      <c r="EB254" s="154"/>
      <c r="EC254" s="154"/>
      <c r="ED254" s="154"/>
      <c r="EE254" s="154"/>
      <c r="EF254" s="154"/>
      <c r="EG254" s="154"/>
      <c r="EH254" s="154"/>
      <c r="EI254" s="154"/>
      <c r="EJ254" s="154"/>
      <c r="EK254" s="154"/>
      <c r="EL254" s="154"/>
      <c r="EM254" s="154"/>
      <c r="EN254" s="154"/>
      <c r="EO254" s="154"/>
      <c r="EP254" s="154"/>
      <c r="EQ254" s="154"/>
      <c r="ER254" s="154"/>
      <c r="ES254" s="154"/>
      <c r="ET254" s="154"/>
      <c r="EU254" s="154"/>
      <c r="EV254" s="154"/>
      <c r="EW254" s="154"/>
      <c r="EX254" s="154"/>
      <c r="EY254" s="154"/>
      <c r="EZ254" s="154"/>
      <c r="FA254" s="154"/>
      <c r="FB254" s="154"/>
      <c r="FC254" s="154"/>
      <c r="FD254" s="154"/>
      <c r="FE254" s="154"/>
      <c r="FF254" s="154"/>
      <c r="FG254" s="154"/>
      <c r="FH254" s="154"/>
      <c r="FI254" s="154"/>
      <c r="FJ254" s="154"/>
      <c r="FK254" s="154"/>
      <c r="FL254" s="154"/>
      <c r="FM254" s="154"/>
      <c r="FN254" s="154"/>
      <c r="FO254" s="154"/>
      <c r="FP254" s="154"/>
      <c r="FQ254" s="154"/>
      <c r="FR254" s="154"/>
      <c r="FS254" s="154"/>
      <c r="FT254" s="154"/>
      <c r="FU254" s="154"/>
      <c r="FV254" s="154"/>
      <c r="FW254" s="154"/>
      <c r="FX254" s="154"/>
    </row>
    <row r="255" spans="1:180" s="164" customFormat="1" ht="30" hidden="1" x14ac:dyDescent="0.25">
      <c r="A255" s="216"/>
      <c r="B255" s="214" t="s">
        <v>210</v>
      </c>
      <c r="C255" s="215" t="s">
        <v>292</v>
      </c>
      <c r="D255" s="216" t="s">
        <v>103</v>
      </c>
      <c r="E255" s="216" t="s">
        <v>256</v>
      </c>
      <c r="F255" s="216" t="s">
        <v>257</v>
      </c>
      <c r="G255" s="216" t="s">
        <v>293</v>
      </c>
      <c r="H255" s="216" t="s">
        <v>223</v>
      </c>
      <c r="I255" s="272"/>
      <c r="J255" s="272"/>
      <c r="K255" s="272"/>
      <c r="L255" s="272"/>
      <c r="M255" s="272"/>
      <c r="N255" s="272"/>
      <c r="O255" s="272"/>
      <c r="P255" s="273"/>
      <c r="Q255" s="274"/>
      <c r="R255" s="275"/>
      <c r="S255" s="276"/>
      <c r="T255" s="277"/>
      <c r="U255" s="277"/>
      <c r="V255" s="277"/>
      <c r="W255" s="277"/>
      <c r="AA255" s="278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  <c r="BN255" s="154"/>
      <c r="BO255" s="154"/>
      <c r="BP255" s="154"/>
      <c r="BQ255" s="154"/>
      <c r="BR255" s="154"/>
      <c r="BS255" s="154"/>
      <c r="BT255" s="154"/>
      <c r="BU255" s="154"/>
      <c r="BV255" s="154"/>
      <c r="BW255" s="154"/>
      <c r="BX255" s="154"/>
      <c r="BY255" s="154"/>
      <c r="BZ255" s="154"/>
      <c r="CA255" s="154"/>
      <c r="CB255" s="154"/>
      <c r="CC255" s="154"/>
      <c r="CD255" s="154"/>
      <c r="CE255" s="154"/>
      <c r="CF255" s="154"/>
      <c r="CG255" s="154"/>
      <c r="CH255" s="154"/>
      <c r="CI255" s="154"/>
      <c r="CJ255" s="154"/>
      <c r="CK255" s="154"/>
      <c r="CL255" s="154"/>
      <c r="CM255" s="154"/>
      <c r="CN255" s="154"/>
      <c r="CO255" s="154"/>
      <c r="CP255" s="154"/>
      <c r="CQ255" s="154"/>
      <c r="CR255" s="154"/>
      <c r="CS255" s="154"/>
      <c r="CT255" s="154"/>
      <c r="CU255" s="154"/>
      <c r="CV255" s="154"/>
      <c r="CW255" s="154"/>
      <c r="CX255" s="154"/>
      <c r="CY255" s="154"/>
      <c r="CZ255" s="154"/>
      <c r="DA255" s="154"/>
      <c r="DB255" s="154"/>
      <c r="DC255" s="154"/>
      <c r="DD255" s="154"/>
      <c r="DE255" s="154"/>
      <c r="DF255" s="154"/>
      <c r="DG255" s="154"/>
      <c r="DH255" s="154"/>
      <c r="DI255" s="154"/>
      <c r="DJ255" s="154"/>
      <c r="DK255" s="154"/>
      <c r="DL255" s="154"/>
      <c r="DM255" s="154"/>
      <c r="DN255" s="154"/>
      <c r="DO255" s="154"/>
      <c r="DP255" s="154"/>
      <c r="DQ255" s="154"/>
      <c r="DR255" s="154"/>
      <c r="DS255" s="154"/>
      <c r="DT255" s="154"/>
      <c r="DU255" s="154"/>
      <c r="DV255" s="154"/>
      <c r="DW255" s="154"/>
      <c r="DX255" s="154"/>
      <c r="DY255" s="154"/>
      <c r="DZ255" s="154"/>
      <c r="EA255" s="154"/>
      <c r="EB255" s="154"/>
      <c r="EC255" s="154"/>
      <c r="ED255" s="154"/>
      <c r="EE255" s="154"/>
      <c r="EF255" s="154"/>
      <c r="EG255" s="154"/>
      <c r="EH255" s="154"/>
      <c r="EI255" s="154"/>
      <c r="EJ255" s="154"/>
      <c r="EK255" s="154"/>
      <c r="EL255" s="154"/>
      <c r="EM255" s="154"/>
      <c r="EN255" s="154"/>
      <c r="EO255" s="154"/>
      <c r="EP255" s="154"/>
      <c r="EQ255" s="154"/>
      <c r="ER255" s="154"/>
      <c r="ES255" s="154"/>
      <c r="ET255" s="154"/>
      <c r="EU255" s="154"/>
      <c r="EV255" s="154"/>
      <c r="EW255" s="154"/>
      <c r="EX255" s="154"/>
      <c r="EY255" s="154"/>
      <c r="EZ255" s="154"/>
      <c r="FA255" s="154"/>
      <c r="FB255" s="154"/>
      <c r="FC255" s="154"/>
      <c r="FD255" s="154"/>
      <c r="FE255" s="154"/>
      <c r="FF255" s="154"/>
      <c r="FG255" s="154"/>
      <c r="FH255" s="154"/>
      <c r="FI255" s="154"/>
      <c r="FJ255" s="154"/>
      <c r="FK255" s="154"/>
      <c r="FL255" s="154"/>
      <c r="FM255" s="154"/>
      <c r="FN255" s="154"/>
      <c r="FO255" s="154"/>
      <c r="FP255" s="154"/>
      <c r="FQ255" s="154"/>
      <c r="FR255" s="154"/>
      <c r="FS255" s="154"/>
      <c r="FT255" s="154"/>
      <c r="FU255" s="154"/>
      <c r="FV255" s="154"/>
      <c r="FW255" s="154"/>
      <c r="FX255" s="154"/>
    </row>
    <row r="256" spans="1:180" s="164" customFormat="1" ht="30" hidden="1" x14ac:dyDescent="0.25">
      <c r="A256" s="216" t="s">
        <v>1183</v>
      </c>
      <c r="B256" s="214" t="s">
        <v>210</v>
      </c>
      <c r="C256" s="151" t="s">
        <v>292</v>
      </c>
      <c r="D256" s="217">
        <v>0.3</v>
      </c>
      <c r="E256" s="217">
        <v>0.25</v>
      </c>
      <c r="F256" s="217">
        <v>0.25</v>
      </c>
      <c r="G256" s="217">
        <v>0.1</v>
      </c>
      <c r="H256" s="217">
        <v>0.1</v>
      </c>
      <c r="I256" s="155"/>
      <c r="J256" s="155"/>
      <c r="K256" s="155"/>
      <c r="L256" s="155"/>
      <c r="M256" s="155" t="s">
        <v>639</v>
      </c>
      <c r="N256" s="155" t="s">
        <v>639</v>
      </c>
      <c r="O256" s="155" t="s">
        <v>35</v>
      </c>
      <c r="P256" s="279">
        <f>SUM(D256:K256)</f>
        <v>1</v>
      </c>
      <c r="Q256" s="165"/>
      <c r="R256" s="275" t="s">
        <v>717</v>
      </c>
      <c r="S256" s="276" t="s">
        <v>921</v>
      </c>
      <c r="T256" s="277" t="s">
        <v>634</v>
      </c>
      <c r="U256" s="277" t="s">
        <v>634</v>
      </c>
      <c r="V256" s="277" t="s">
        <v>922</v>
      </c>
      <c r="W256" s="277" t="s">
        <v>923</v>
      </c>
      <c r="AA256" s="278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  <c r="BN256" s="154"/>
      <c r="BO256" s="154"/>
      <c r="BP256" s="154"/>
      <c r="BQ256" s="154"/>
      <c r="BR256" s="154"/>
      <c r="BS256" s="154"/>
      <c r="BT256" s="154"/>
      <c r="BU256" s="154"/>
      <c r="BV256" s="154"/>
      <c r="BW256" s="154"/>
      <c r="BX256" s="154"/>
      <c r="BY256" s="154"/>
      <c r="BZ256" s="154"/>
      <c r="CA256" s="154"/>
      <c r="CB256" s="154"/>
      <c r="CC256" s="154"/>
      <c r="CD256" s="154"/>
      <c r="CE256" s="154"/>
      <c r="CF256" s="154"/>
      <c r="CG256" s="154"/>
      <c r="CH256" s="154"/>
      <c r="CI256" s="154"/>
      <c r="CJ256" s="154"/>
      <c r="CK256" s="154"/>
      <c r="CL256" s="154"/>
      <c r="CM256" s="154"/>
      <c r="CN256" s="154"/>
      <c r="CO256" s="154"/>
      <c r="CP256" s="154"/>
      <c r="CQ256" s="154"/>
      <c r="CR256" s="154"/>
      <c r="CS256" s="154"/>
      <c r="CT256" s="154"/>
      <c r="CU256" s="154"/>
      <c r="CV256" s="154"/>
      <c r="CW256" s="154"/>
      <c r="CX256" s="154"/>
      <c r="CY256" s="154"/>
      <c r="CZ256" s="154"/>
      <c r="DA256" s="154"/>
      <c r="DB256" s="154"/>
      <c r="DC256" s="154"/>
      <c r="DD256" s="154"/>
      <c r="DE256" s="154"/>
      <c r="DF256" s="154"/>
      <c r="DG256" s="154"/>
      <c r="DH256" s="154"/>
      <c r="DI256" s="154"/>
      <c r="DJ256" s="154"/>
      <c r="DK256" s="154"/>
      <c r="DL256" s="154"/>
      <c r="DM256" s="154"/>
      <c r="DN256" s="154"/>
      <c r="DO256" s="154"/>
      <c r="DP256" s="154"/>
      <c r="DQ256" s="154"/>
      <c r="DR256" s="154"/>
      <c r="DS256" s="154"/>
      <c r="DT256" s="154"/>
      <c r="DU256" s="154"/>
      <c r="DV256" s="154"/>
      <c r="DW256" s="154"/>
      <c r="DX256" s="154"/>
      <c r="DY256" s="154"/>
      <c r="DZ256" s="154"/>
      <c r="EA256" s="154"/>
      <c r="EB256" s="154"/>
      <c r="EC256" s="154"/>
      <c r="ED256" s="154"/>
      <c r="EE256" s="154"/>
      <c r="EF256" s="154"/>
      <c r="EG256" s="154"/>
      <c r="EH256" s="154"/>
      <c r="EI256" s="154"/>
      <c r="EJ256" s="154"/>
      <c r="EK256" s="154"/>
      <c r="EL256" s="154"/>
      <c r="EM256" s="154"/>
      <c r="EN256" s="154"/>
      <c r="EO256" s="154"/>
      <c r="EP256" s="154"/>
      <c r="EQ256" s="154"/>
      <c r="ER256" s="154"/>
      <c r="ES256" s="154"/>
      <c r="ET256" s="154"/>
      <c r="EU256" s="154"/>
      <c r="EV256" s="154"/>
      <c r="EW256" s="154"/>
      <c r="EX256" s="154"/>
      <c r="EY256" s="154"/>
      <c r="EZ256" s="154"/>
      <c r="FA256" s="154"/>
      <c r="FB256" s="154"/>
      <c r="FC256" s="154"/>
      <c r="FD256" s="154"/>
      <c r="FE256" s="154"/>
      <c r="FF256" s="154"/>
      <c r="FG256" s="154"/>
      <c r="FH256" s="154"/>
      <c r="FI256" s="154"/>
      <c r="FJ256" s="154"/>
      <c r="FK256" s="154"/>
      <c r="FL256" s="154"/>
      <c r="FM256" s="154"/>
      <c r="FN256" s="154"/>
      <c r="FO256" s="154"/>
      <c r="FP256" s="154"/>
      <c r="FQ256" s="154"/>
      <c r="FR256" s="154"/>
      <c r="FS256" s="154"/>
      <c r="FT256" s="154"/>
      <c r="FU256" s="154"/>
      <c r="FV256" s="154"/>
      <c r="FW256" s="154"/>
      <c r="FX256" s="154"/>
    </row>
    <row r="257" spans="1:180" s="164" customFormat="1" hidden="1" x14ac:dyDescent="0.25">
      <c r="A257" s="216"/>
      <c r="B257" s="214"/>
      <c r="C257" s="151"/>
      <c r="D257" s="217"/>
      <c r="E257" s="217"/>
      <c r="F257" s="217"/>
      <c r="G257" s="217"/>
      <c r="H257" s="217"/>
      <c r="I257" s="155"/>
      <c r="J257" s="155"/>
      <c r="K257" s="155"/>
      <c r="L257" s="155"/>
      <c r="M257" s="155"/>
      <c r="N257" s="155"/>
      <c r="O257" s="155"/>
      <c r="P257" s="273"/>
      <c r="Q257" s="165"/>
      <c r="R257" s="275"/>
      <c r="S257" s="276"/>
      <c r="T257" s="277"/>
      <c r="U257" s="277"/>
      <c r="V257" s="277"/>
      <c r="W257" s="277"/>
      <c r="AA257" s="278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  <c r="BN257" s="154"/>
      <c r="BO257" s="154"/>
      <c r="BP257" s="154"/>
      <c r="BQ257" s="154"/>
      <c r="BR257" s="154"/>
      <c r="BS257" s="154"/>
      <c r="BT257" s="154"/>
      <c r="BU257" s="154"/>
      <c r="BV257" s="154"/>
      <c r="BW257" s="154"/>
      <c r="BX257" s="154"/>
      <c r="BY257" s="154"/>
      <c r="BZ257" s="154"/>
      <c r="CA257" s="154"/>
      <c r="CB257" s="154"/>
      <c r="CC257" s="154"/>
      <c r="CD257" s="154"/>
      <c r="CE257" s="154"/>
      <c r="CF257" s="154"/>
      <c r="CG257" s="154"/>
      <c r="CH257" s="154"/>
      <c r="CI257" s="154"/>
      <c r="CJ257" s="154"/>
      <c r="CK257" s="154"/>
      <c r="CL257" s="154"/>
      <c r="CM257" s="154"/>
      <c r="CN257" s="154"/>
      <c r="CO257" s="154"/>
      <c r="CP257" s="154"/>
      <c r="CQ257" s="154"/>
      <c r="CR257" s="154"/>
      <c r="CS257" s="154"/>
      <c r="CT257" s="154"/>
      <c r="CU257" s="154"/>
      <c r="CV257" s="154"/>
      <c r="CW257" s="154"/>
      <c r="CX257" s="154"/>
      <c r="CY257" s="154"/>
      <c r="CZ257" s="154"/>
      <c r="DA257" s="154"/>
      <c r="DB257" s="154"/>
      <c r="DC257" s="154"/>
      <c r="DD257" s="154"/>
      <c r="DE257" s="154"/>
      <c r="DF257" s="154"/>
      <c r="DG257" s="154"/>
      <c r="DH257" s="154"/>
      <c r="DI257" s="154"/>
      <c r="DJ257" s="154"/>
      <c r="DK257" s="154"/>
      <c r="DL257" s="154"/>
      <c r="DM257" s="154"/>
      <c r="DN257" s="154"/>
      <c r="DO257" s="154"/>
      <c r="DP257" s="154"/>
      <c r="DQ257" s="154"/>
      <c r="DR257" s="154"/>
      <c r="DS257" s="154"/>
      <c r="DT257" s="154"/>
      <c r="DU257" s="154"/>
      <c r="DV257" s="154"/>
      <c r="DW257" s="154"/>
      <c r="DX257" s="154"/>
      <c r="DY257" s="154"/>
      <c r="DZ257" s="154"/>
      <c r="EA257" s="154"/>
      <c r="EB257" s="154"/>
      <c r="EC257" s="154"/>
      <c r="ED257" s="154"/>
      <c r="EE257" s="154"/>
      <c r="EF257" s="154"/>
      <c r="EG257" s="154"/>
      <c r="EH257" s="154"/>
      <c r="EI257" s="154"/>
      <c r="EJ257" s="154"/>
      <c r="EK257" s="154"/>
      <c r="EL257" s="154"/>
      <c r="EM257" s="154"/>
      <c r="EN257" s="154"/>
      <c r="EO257" s="154"/>
      <c r="EP257" s="154"/>
      <c r="EQ257" s="154"/>
      <c r="ER257" s="154"/>
      <c r="ES257" s="154"/>
      <c r="ET257" s="154"/>
      <c r="EU257" s="154"/>
      <c r="EV257" s="154"/>
      <c r="EW257" s="154"/>
      <c r="EX257" s="154"/>
      <c r="EY257" s="154"/>
      <c r="EZ257" s="154"/>
      <c r="FA257" s="154"/>
      <c r="FB257" s="154"/>
      <c r="FC257" s="154"/>
      <c r="FD257" s="154"/>
      <c r="FE257" s="154"/>
      <c r="FF257" s="154"/>
      <c r="FG257" s="154"/>
      <c r="FH257" s="154"/>
      <c r="FI257" s="154"/>
      <c r="FJ257" s="154"/>
      <c r="FK257" s="154"/>
      <c r="FL257" s="154"/>
      <c r="FM257" s="154"/>
      <c r="FN257" s="154"/>
      <c r="FO257" s="154"/>
      <c r="FP257" s="154"/>
      <c r="FQ257" s="154"/>
      <c r="FR257" s="154"/>
      <c r="FS257" s="154"/>
      <c r="FT257" s="154"/>
      <c r="FU257" s="154"/>
      <c r="FV257" s="154"/>
      <c r="FW257" s="154"/>
      <c r="FX257" s="154"/>
    </row>
    <row r="258" spans="1:180" s="164" customFormat="1" ht="30" hidden="1" x14ac:dyDescent="0.25">
      <c r="A258" s="216"/>
      <c r="B258" s="214" t="s">
        <v>210</v>
      </c>
      <c r="C258" s="215" t="s">
        <v>294</v>
      </c>
      <c r="D258" s="216" t="s">
        <v>103</v>
      </c>
      <c r="E258" s="216" t="s">
        <v>212</v>
      </c>
      <c r="F258" s="216" t="s">
        <v>256</v>
      </c>
      <c r="G258" s="216" t="s">
        <v>257</v>
      </c>
      <c r="H258" s="216" t="s">
        <v>223</v>
      </c>
      <c r="I258" s="272"/>
      <c r="J258" s="272"/>
      <c r="K258" s="272"/>
      <c r="L258" s="272"/>
      <c r="M258" s="272"/>
      <c r="N258" s="272"/>
      <c r="O258" s="272"/>
      <c r="P258" s="273"/>
      <c r="Q258" s="274"/>
      <c r="R258" s="275"/>
      <c r="S258" s="276"/>
      <c r="T258" s="277"/>
      <c r="U258" s="277"/>
      <c r="V258" s="277"/>
      <c r="W258" s="277"/>
      <c r="AA258" s="278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  <c r="BN258" s="154"/>
      <c r="BO258" s="154"/>
      <c r="BP258" s="154"/>
      <c r="BQ258" s="154"/>
      <c r="BR258" s="154"/>
      <c r="BS258" s="154"/>
      <c r="BT258" s="154"/>
      <c r="BU258" s="154"/>
      <c r="BV258" s="154"/>
      <c r="BW258" s="154"/>
      <c r="BX258" s="154"/>
      <c r="BY258" s="154"/>
      <c r="BZ258" s="154"/>
      <c r="CA258" s="154"/>
      <c r="CB258" s="154"/>
      <c r="CC258" s="154"/>
      <c r="CD258" s="154"/>
      <c r="CE258" s="154"/>
      <c r="CF258" s="154"/>
      <c r="CG258" s="154"/>
      <c r="CH258" s="154"/>
      <c r="CI258" s="154"/>
      <c r="CJ258" s="154"/>
      <c r="CK258" s="154"/>
      <c r="CL258" s="154"/>
      <c r="CM258" s="154"/>
      <c r="CN258" s="154"/>
      <c r="CO258" s="154"/>
      <c r="CP258" s="154"/>
      <c r="CQ258" s="154"/>
      <c r="CR258" s="154"/>
      <c r="CS258" s="154"/>
      <c r="CT258" s="154"/>
      <c r="CU258" s="154"/>
      <c r="CV258" s="154"/>
      <c r="CW258" s="154"/>
      <c r="CX258" s="154"/>
      <c r="CY258" s="154"/>
      <c r="CZ258" s="154"/>
      <c r="DA258" s="154"/>
      <c r="DB258" s="154"/>
      <c r="DC258" s="154"/>
      <c r="DD258" s="154"/>
      <c r="DE258" s="154"/>
      <c r="DF258" s="154"/>
      <c r="DG258" s="154"/>
      <c r="DH258" s="154"/>
      <c r="DI258" s="154"/>
      <c r="DJ258" s="154"/>
      <c r="DK258" s="154"/>
      <c r="DL258" s="154"/>
      <c r="DM258" s="154"/>
      <c r="DN258" s="154"/>
      <c r="DO258" s="154"/>
      <c r="DP258" s="154"/>
      <c r="DQ258" s="154"/>
      <c r="DR258" s="154"/>
      <c r="DS258" s="154"/>
      <c r="DT258" s="154"/>
      <c r="DU258" s="154"/>
      <c r="DV258" s="154"/>
      <c r="DW258" s="154"/>
      <c r="DX258" s="154"/>
      <c r="DY258" s="154"/>
      <c r="DZ258" s="154"/>
      <c r="EA258" s="154"/>
      <c r="EB258" s="154"/>
      <c r="EC258" s="154"/>
      <c r="ED258" s="154"/>
      <c r="EE258" s="154"/>
      <c r="EF258" s="154"/>
      <c r="EG258" s="154"/>
      <c r="EH258" s="154"/>
      <c r="EI258" s="154"/>
      <c r="EJ258" s="154"/>
      <c r="EK258" s="154"/>
      <c r="EL258" s="154"/>
      <c r="EM258" s="154"/>
      <c r="EN258" s="154"/>
      <c r="EO258" s="154"/>
      <c r="EP258" s="154"/>
      <c r="EQ258" s="154"/>
      <c r="ER258" s="154"/>
      <c r="ES258" s="154"/>
      <c r="ET258" s="154"/>
      <c r="EU258" s="154"/>
      <c r="EV258" s="154"/>
      <c r="EW258" s="154"/>
      <c r="EX258" s="154"/>
      <c r="EY258" s="154"/>
      <c r="EZ258" s="154"/>
      <c r="FA258" s="154"/>
      <c r="FB258" s="154"/>
      <c r="FC258" s="154"/>
      <c r="FD258" s="154"/>
      <c r="FE258" s="154"/>
      <c r="FF258" s="154"/>
      <c r="FG258" s="154"/>
      <c r="FH258" s="154"/>
      <c r="FI258" s="154"/>
      <c r="FJ258" s="154"/>
      <c r="FK258" s="154"/>
      <c r="FL258" s="154"/>
      <c r="FM258" s="154"/>
      <c r="FN258" s="154"/>
      <c r="FO258" s="154"/>
      <c r="FP258" s="154"/>
      <c r="FQ258" s="154"/>
      <c r="FR258" s="154"/>
      <c r="FS258" s="154"/>
      <c r="FT258" s="154"/>
      <c r="FU258" s="154"/>
      <c r="FV258" s="154"/>
      <c r="FW258" s="154"/>
      <c r="FX258" s="154"/>
    </row>
    <row r="259" spans="1:180" s="164" customFormat="1" ht="30" hidden="1" x14ac:dyDescent="0.25">
      <c r="A259" s="216" t="s">
        <v>1184</v>
      </c>
      <c r="B259" s="214" t="s">
        <v>210</v>
      </c>
      <c r="C259" s="268" t="s">
        <v>295</v>
      </c>
      <c r="D259" s="269">
        <v>0.05</v>
      </c>
      <c r="E259" s="269">
        <v>0.6</v>
      </c>
      <c r="F259" s="269">
        <v>0.15</v>
      </c>
      <c r="G259" s="269">
        <v>0.1</v>
      </c>
      <c r="H259" s="269">
        <v>0.1</v>
      </c>
      <c r="I259" s="155"/>
      <c r="J259" s="155"/>
      <c r="K259" s="155"/>
      <c r="L259" s="155"/>
      <c r="M259" s="155" t="s">
        <v>639</v>
      </c>
      <c r="N259" s="155" t="s">
        <v>639</v>
      </c>
      <c r="O259" s="155" t="s">
        <v>35</v>
      </c>
      <c r="P259" s="279">
        <f t="shared" ref="P259:P286" si="3">SUM(D259:K259)</f>
        <v>1</v>
      </c>
      <c r="Q259" s="165"/>
      <c r="R259" s="275"/>
      <c r="S259" s="276" t="s">
        <v>924</v>
      </c>
      <c r="T259" s="277" t="s">
        <v>634</v>
      </c>
      <c r="U259" s="277" t="s">
        <v>634</v>
      </c>
      <c r="V259" s="277" t="s">
        <v>925</v>
      </c>
      <c r="W259" s="277" t="s">
        <v>926</v>
      </c>
      <c r="AA259" s="278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154"/>
      <c r="BO259" s="154"/>
      <c r="BP259" s="154"/>
      <c r="BQ259" s="154"/>
      <c r="BR259" s="154"/>
      <c r="BS259" s="154"/>
      <c r="BT259" s="154"/>
      <c r="BU259" s="154"/>
      <c r="BV259" s="154"/>
      <c r="BW259" s="154"/>
      <c r="BX259" s="154"/>
      <c r="BY259" s="154"/>
      <c r="BZ259" s="154"/>
      <c r="CA259" s="154"/>
      <c r="CB259" s="154"/>
      <c r="CC259" s="154"/>
      <c r="CD259" s="154"/>
      <c r="CE259" s="154"/>
      <c r="CF259" s="154"/>
      <c r="CG259" s="154"/>
      <c r="CH259" s="154"/>
      <c r="CI259" s="154"/>
      <c r="CJ259" s="154"/>
      <c r="CK259" s="154"/>
      <c r="CL259" s="154"/>
      <c r="CM259" s="154"/>
      <c r="CN259" s="154"/>
      <c r="CO259" s="154"/>
      <c r="CP259" s="154"/>
      <c r="CQ259" s="154"/>
      <c r="CR259" s="154"/>
      <c r="CS259" s="154"/>
      <c r="CT259" s="154"/>
      <c r="CU259" s="154"/>
      <c r="CV259" s="154"/>
      <c r="CW259" s="154"/>
      <c r="CX259" s="154"/>
      <c r="CY259" s="154"/>
      <c r="CZ259" s="154"/>
      <c r="DA259" s="154"/>
      <c r="DB259" s="154"/>
      <c r="DC259" s="154"/>
      <c r="DD259" s="154"/>
      <c r="DE259" s="154"/>
      <c r="DF259" s="154"/>
      <c r="DG259" s="154"/>
      <c r="DH259" s="154"/>
      <c r="DI259" s="154"/>
      <c r="DJ259" s="154"/>
      <c r="DK259" s="154"/>
      <c r="DL259" s="154"/>
      <c r="DM259" s="154"/>
      <c r="DN259" s="154"/>
      <c r="DO259" s="154"/>
      <c r="DP259" s="154"/>
      <c r="DQ259" s="154"/>
      <c r="DR259" s="154"/>
      <c r="DS259" s="154"/>
      <c r="DT259" s="154"/>
      <c r="DU259" s="154"/>
      <c r="DV259" s="154"/>
      <c r="DW259" s="154"/>
      <c r="DX259" s="154"/>
      <c r="DY259" s="154"/>
      <c r="DZ259" s="154"/>
      <c r="EA259" s="154"/>
      <c r="EB259" s="154"/>
      <c r="EC259" s="154"/>
      <c r="ED259" s="154"/>
      <c r="EE259" s="154"/>
      <c r="EF259" s="154"/>
      <c r="EG259" s="154"/>
      <c r="EH259" s="154"/>
      <c r="EI259" s="154"/>
      <c r="EJ259" s="154"/>
      <c r="EK259" s="154"/>
      <c r="EL259" s="154"/>
      <c r="EM259" s="154"/>
      <c r="EN259" s="154"/>
      <c r="EO259" s="154"/>
      <c r="EP259" s="154"/>
      <c r="EQ259" s="154"/>
      <c r="ER259" s="154"/>
      <c r="ES259" s="154"/>
      <c r="ET259" s="154"/>
      <c r="EU259" s="154"/>
      <c r="EV259" s="154"/>
      <c r="EW259" s="154"/>
      <c r="EX259" s="154"/>
      <c r="EY259" s="154"/>
      <c r="EZ259" s="154"/>
      <c r="FA259" s="154"/>
      <c r="FB259" s="154"/>
      <c r="FC259" s="154"/>
      <c r="FD259" s="154"/>
      <c r="FE259" s="154"/>
      <c r="FF259" s="154"/>
      <c r="FG259" s="154"/>
      <c r="FH259" s="154"/>
      <c r="FI259" s="154"/>
      <c r="FJ259" s="154"/>
      <c r="FK259" s="154"/>
      <c r="FL259" s="154"/>
      <c r="FM259" s="154"/>
      <c r="FN259" s="154"/>
      <c r="FO259" s="154"/>
      <c r="FP259" s="154"/>
      <c r="FQ259" s="154"/>
      <c r="FR259" s="154"/>
      <c r="FS259" s="154"/>
      <c r="FT259" s="154"/>
      <c r="FU259" s="154"/>
      <c r="FV259" s="154"/>
      <c r="FW259" s="154"/>
      <c r="FX259" s="154"/>
    </row>
    <row r="260" spans="1:180" s="164" customFormat="1" ht="30" hidden="1" x14ac:dyDescent="0.25">
      <c r="A260" s="216" t="s">
        <v>1185</v>
      </c>
      <c r="B260" s="214" t="s">
        <v>210</v>
      </c>
      <c r="C260" s="268" t="s">
        <v>296</v>
      </c>
      <c r="D260" s="269">
        <v>0.05</v>
      </c>
      <c r="E260" s="269">
        <v>0.6</v>
      </c>
      <c r="F260" s="269">
        <v>0.15</v>
      </c>
      <c r="G260" s="269">
        <v>0.1</v>
      </c>
      <c r="H260" s="269">
        <v>0.1</v>
      </c>
      <c r="I260" s="155"/>
      <c r="J260" s="155"/>
      <c r="K260" s="155"/>
      <c r="L260" s="155"/>
      <c r="M260" s="155" t="s">
        <v>639</v>
      </c>
      <c r="N260" s="155" t="s">
        <v>639</v>
      </c>
      <c r="O260" s="155" t="s">
        <v>35</v>
      </c>
      <c r="P260" s="279">
        <f t="shared" si="3"/>
        <v>1</v>
      </c>
      <c r="Q260" s="165"/>
      <c r="R260" s="275"/>
      <c r="S260" s="276" t="s">
        <v>924</v>
      </c>
      <c r="T260" s="277" t="s">
        <v>634</v>
      </c>
      <c r="U260" s="277" t="s">
        <v>634</v>
      </c>
      <c r="V260" s="277" t="s">
        <v>925</v>
      </c>
      <c r="W260" s="277" t="s">
        <v>926</v>
      </c>
      <c r="AA260" s="278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  <c r="BN260" s="154"/>
      <c r="BO260" s="154"/>
      <c r="BP260" s="154"/>
      <c r="BQ260" s="154"/>
      <c r="BR260" s="154"/>
      <c r="BS260" s="154"/>
      <c r="BT260" s="154"/>
      <c r="BU260" s="154"/>
      <c r="BV260" s="154"/>
      <c r="BW260" s="154"/>
      <c r="BX260" s="154"/>
      <c r="BY260" s="154"/>
      <c r="BZ260" s="154"/>
      <c r="CA260" s="154"/>
      <c r="CB260" s="154"/>
      <c r="CC260" s="154"/>
      <c r="CD260" s="154"/>
      <c r="CE260" s="154"/>
      <c r="CF260" s="154"/>
      <c r="CG260" s="154"/>
      <c r="CH260" s="154"/>
      <c r="CI260" s="154"/>
      <c r="CJ260" s="154"/>
      <c r="CK260" s="154"/>
      <c r="CL260" s="154"/>
      <c r="CM260" s="154"/>
      <c r="CN260" s="154"/>
      <c r="CO260" s="154"/>
      <c r="CP260" s="154"/>
      <c r="CQ260" s="154"/>
      <c r="CR260" s="154"/>
      <c r="CS260" s="154"/>
      <c r="CT260" s="154"/>
      <c r="CU260" s="154"/>
      <c r="CV260" s="154"/>
      <c r="CW260" s="154"/>
      <c r="CX260" s="154"/>
      <c r="CY260" s="154"/>
      <c r="CZ260" s="154"/>
      <c r="DA260" s="154"/>
      <c r="DB260" s="154"/>
      <c r="DC260" s="154"/>
      <c r="DD260" s="154"/>
      <c r="DE260" s="154"/>
      <c r="DF260" s="154"/>
      <c r="DG260" s="154"/>
      <c r="DH260" s="154"/>
      <c r="DI260" s="154"/>
      <c r="DJ260" s="154"/>
      <c r="DK260" s="154"/>
      <c r="DL260" s="154"/>
      <c r="DM260" s="154"/>
      <c r="DN260" s="154"/>
      <c r="DO260" s="154"/>
      <c r="DP260" s="154"/>
      <c r="DQ260" s="154"/>
      <c r="DR260" s="154"/>
      <c r="DS260" s="154"/>
      <c r="DT260" s="154"/>
      <c r="DU260" s="154"/>
      <c r="DV260" s="154"/>
      <c r="DW260" s="154"/>
      <c r="DX260" s="154"/>
      <c r="DY260" s="154"/>
      <c r="DZ260" s="154"/>
      <c r="EA260" s="154"/>
      <c r="EB260" s="154"/>
      <c r="EC260" s="154"/>
      <c r="ED260" s="154"/>
      <c r="EE260" s="154"/>
      <c r="EF260" s="154"/>
      <c r="EG260" s="154"/>
      <c r="EH260" s="154"/>
      <c r="EI260" s="154"/>
      <c r="EJ260" s="154"/>
      <c r="EK260" s="154"/>
      <c r="EL260" s="154"/>
      <c r="EM260" s="154"/>
      <c r="EN260" s="154"/>
      <c r="EO260" s="154"/>
      <c r="EP260" s="154"/>
      <c r="EQ260" s="154"/>
      <c r="ER260" s="154"/>
      <c r="ES260" s="154"/>
      <c r="ET260" s="154"/>
      <c r="EU260" s="154"/>
      <c r="EV260" s="154"/>
      <c r="EW260" s="154"/>
      <c r="EX260" s="154"/>
      <c r="EY260" s="154"/>
      <c r="EZ260" s="154"/>
      <c r="FA260" s="154"/>
      <c r="FB260" s="154"/>
      <c r="FC260" s="154"/>
      <c r="FD260" s="154"/>
      <c r="FE260" s="154"/>
      <c r="FF260" s="154"/>
      <c r="FG260" s="154"/>
      <c r="FH260" s="154"/>
      <c r="FI260" s="154"/>
      <c r="FJ260" s="154"/>
      <c r="FK260" s="154"/>
      <c r="FL260" s="154"/>
      <c r="FM260" s="154"/>
      <c r="FN260" s="154"/>
      <c r="FO260" s="154"/>
      <c r="FP260" s="154"/>
      <c r="FQ260" s="154"/>
      <c r="FR260" s="154"/>
      <c r="FS260" s="154"/>
      <c r="FT260" s="154"/>
      <c r="FU260" s="154"/>
      <c r="FV260" s="154"/>
      <c r="FW260" s="154"/>
      <c r="FX260" s="154"/>
    </row>
    <row r="261" spans="1:180" s="164" customFormat="1" ht="30" hidden="1" x14ac:dyDescent="0.25">
      <c r="A261" s="216" t="s">
        <v>1186</v>
      </c>
      <c r="B261" s="214" t="s">
        <v>210</v>
      </c>
      <c r="C261" s="268" t="s">
        <v>297</v>
      </c>
      <c r="D261" s="269">
        <v>0.05</v>
      </c>
      <c r="E261" s="269">
        <v>0.6</v>
      </c>
      <c r="F261" s="269">
        <v>0.15</v>
      </c>
      <c r="G261" s="269">
        <v>0.1</v>
      </c>
      <c r="H261" s="269">
        <v>0.1</v>
      </c>
      <c r="I261" s="155"/>
      <c r="J261" s="155"/>
      <c r="K261" s="155"/>
      <c r="L261" s="155"/>
      <c r="M261" s="155" t="s">
        <v>639</v>
      </c>
      <c r="N261" s="155" t="s">
        <v>639</v>
      </c>
      <c r="O261" s="155" t="s">
        <v>35</v>
      </c>
      <c r="P261" s="279">
        <f t="shared" si="3"/>
        <v>1</v>
      </c>
      <c r="Q261" s="165"/>
      <c r="R261" s="275"/>
      <c r="S261" s="276" t="s">
        <v>924</v>
      </c>
      <c r="T261" s="277" t="s">
        <v>634</v>
      </c>
      <c r="U261" s="277" t="s">
        <v>634</v>
      </c>
      <c r="V261" s="277" t="s">
        <v>925</v>
      </c>
      <c r="W261" s="277" t="s">
        <v>926</v>
      </c>
      <c r="AA261" s="278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  <c r="BN261" s="154"/>
      <c r="BO261" s="154"/>
      <c r="BP261" s="154"/>
      <c r="BQ261" s="154"/>
      <c r="BR261" s="154"/>
      <c r="BS261" s="154"/>
      <c r="BT261" s="154"/>
      <c r="BU261" s="154"/>
      <c r="BV261" s="154"/>
      <c r="BW261" s="154"/>
      <c r="BX261" s="154"/>
      <c r="BY261" s="154"/>
      <c r="BZ261" s="154"/>
      <c r="CA261" s="154"/>
      <c r="CB261" s="154"/>
      <c r="CC261" s="154"/>
      <c r="CD261" s="154"/>
      <c r="CE261" s="154"/>
      <c r="CF261" s="154"/>
      <c r="CG261" s="154"/>
      <c r="CH261" s="154"/>
      <c r="CI261" s="154"/>
      <c r="CJ261" s="154"/>
      <c r="CK261" s="154"/>
      <c r="CL261" s="154"/>
      <c r="CM261" s="154"/>
      <c r="CN261" s="154"/>
      <c r="CO261" s="154"/>
      <c r="CP261" s="154"/>
      <c r="CQ261" s="154"/>
      <c r="CR261" s="154"/>
      <c r="CS261" s="154"/>
      <c r="CT261" s="154"/>
      <c r="CU261" s="154"/>
      <c r="CV261" s="154"/>
      <c r="CW261" s="154"/>
      <c r="CX261" s="154"/>
      <c r="CY261" s="154"/>
      <c r="CZ261" s="154"/>
      <c r="DA261" s="154"/>
      <c r="DB261" s="154"/>
      <c r="DC261" s="154"/>
      <c r="DD261" s="154"/>
      <c r="DE261" s="154"/>
      <c r="DF261" s="154"/>
      <c r="DG261" s="154"/>
      <c r="DH261" s="154"/>
      <c r="DI261" s="154"/>
      <c r="DJ261" s="154"/>
      <c r="DK261" s="154"/>
      <c r="DL261" s="154"/>
      <c r="DM261" s="154"/>
      <c r="DN261" s="154"/>
      <c r="DO261" s="154"/>
      <c r="DP261" s="154"/>
      <c r="DQ261" s="154"/>
      <c r="DR261" s="154"/>
      <c r="DS261" s="154"/>
      <c r="DT261" s="154"/>
      <c r="DU261" s="154"/>
      <c r="DV261" s="154"/>
      <c r="DW261" s="154"/>
      <c r="DX261" s="154"/>
      <c r="DY261" s="154"/>
      <c r="DZ261" s="154"/>
      <c r="EA261" s="154"/>
      <c r="EB261" s="154"/>
      <c r="EC261" s="154"/>
      <c r="ED261" s="154"/>
      <c r="EE261" s="154"/>
      <c r="EF261" s="154"/>
      <c r="EG261" s="154"/>
      <c r="EH261" s="154"/>
      <c r="EI261" s="154"/>
      <c r="EJ261" s="154"/>
      <c r="EK261" s="154"/>
      <c r="EL261" s="154"/>
      <c r="EM261" s="154"/>
      <c r="EN261" s="154"/>
      <c r="EO261" s="154"/>
      <c r="EP261" s="154"/>
      <c r="EQ261" s="154"/>
      <c r="ER261" s="154"/>
      <c r="ES261" s="154"/>
      <c r="ET261" s="154"/>
      <c r="EU261" s="154"/>
      <c r="EV261" s="154"/>
      <c r="EW261" s="154"/>
      <c r="EX261" s="154"/>
      <c r="EY261" s="154"/>
      <c r="EZ261" s="154"/>
      <c r="FA261" s="154"/>
      <c r="FB261" s="154"/>
      <c r="FC261" s="154"/>
      <c r="FD261" s="154"/>
      <c r="FE261" s="154"/>
      <c r="FF261" s="154"/>
      <c r="FG261" s="154"/>
      <c r="FH261" s="154"/>
      <c r="FI261" s="154"/>
      <c r="FJ261" s="154"/>
      <c r="FK261" s="154"/>
      <c r="FL261" s="154"/>
      <c r="FM261" s="154"/>
      <c r="FN261" s="154"/>
      <c r="FO261" s="154"/>
      <c r="FP261" s="154"/>
      <c r="FQ261" s="154"/>
      <c r="FR261" s="154"/>
      <c r="FS261" s="154"/>
      <c r="FT261" s="154"/>
      <c r="FU261" s="154"/>
      <c r="FV261" s="154"/>
      <c r="FW261" s="154"/>
      <c r="FX261" s="154"/>
    </row>
    <row r="262" spans="1:180" s="164" customFormat="1" ht="30" hidden="1" x14ac:dyDescent="0.25">
      <c r="A262" s="216" t="s">
        <v>1187</v>
      </c>
      <c r="B262" s="214" t="s">
        <v>210</v>
      </c>
      <c r="C262" s="268" t="s">
        <v>298</v>
      </c>
      <c r="D262" s="269">
        <v>0.05</v>
      </c>
      <c r="E262" s="269">
        <v>0.6</v>
      </c>
      <c r="F262" s="269">
        <v>0.15</v>
      </c>
      <c r="G262" s="269">
        <v>0.1</v>
      </c>
      <c r="H262" s="269">
        <v>0.1</v>
      </c>
      <c r="I262" s="155"/>
      <c r="J262" s="155"/>
      <c r="K262" s="155"/>
      <c r="L262" s="155"/>
      <c r="M262" s="155" t="s">
        <v>639</v>
      </c>
      <c r="N262" s="155" t="s">
        <v>639</v>
      </c>
      <c r="O262" s="155" t="s">
        <v>35</v>
      </c>
      <c r="P262" s="279">
        <f t="shared" si="3"/>
        <v>1</v>
      </c>
      <c r="Q262" s="165"/>
      <c r="R262" s="275"/>
      <c r="S262" s="276" t="s">
        <v>927</v>
      </c>
      <c r="T262" s="277" t="s">
        <v>634</v>
      </c>
      <c r="U262" s="277" t="s">
        <v>634</v>
      </c>
      <c r="V262" s="291" t="s">
        <v>718</v>
      </c>
      <c r="W262" s="291" t="s">
        <v>719</v>
      </c>
      <c r="AA262" s="278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154"/>
      <c r="BO262" s="154"/>
      <c r="BP262" s="154"/>
      <c r="BQ262" s="154"/>
      <c r="BR262" s="154"/>
      <c r="BS262" s="154"/>
      <c r="BT262" s="154"/>
      <c r="BU262" s="154"/>
      <c r="BV262" s="154"/>
      <c r="BW262" s="154"/>
      <c r="BX262" s="154"/>
      <c r="BY262" s="154"/>
      <c r="BZ262" s="154"/>
      <c r="CA262" s="154"/>
      <c r="CB262" s="154"/>
      <c r="CC262" s="154"/>
      <c r="CD262" s="154"/>
      <c r="CE262" s="154"/>
      <c r="CF262" s="154"/>
      <c r="CG262" s="154"/>
      <c r="CH262" s="154"/>
      <c r="CI262" s="154"/>
      <c r="CJ262" s="154"/>
      <c r="CK262" s="154"/>
      <c r="CL262" s="154"/>
      <c r="CM262" s="154"/>
      <c r="CN262" s="154"/>
      <c r="CO262" s="154"/>
      <c r="CP262" s="154"/>
      <c r="CQ262" s="154"/>
      <c r="CR262" s="154"/>
      <c r="CS262" s="154"/>
      <c r="CT262" s="154"/>
      <c r="CU262" s="154"/>
      <c r="CV262" s="154"/>
      <c r="CW262" s="154"/>
      <c r="CX262" s="154"/>
      <c r="CY262" s="154"/>
      <c r="CZ262" s="154"/>
      <c r="DA262" s="154"/>
      <c r="DB262" s="154"/>
      <c r="DC262" s="154"/>
      <c r="DD262" s="154"/>
      <c r="DE262" s="154"/>
      <c r="DF262" s="154"/>
      <c r="DG262" s="154"/>
      <c r="DH262" s="154"/>
      <c r="DI262" s="154"/>
      <c r="DJ262" s="154"/>
      <c r="DK262" s="154"/>
      <c r="DL262" s="154"/>
      <c r="DM262" s="154"/>
      <c r="DN262" s="154"/>
      <c r="DO262" s="154"/>
      <c r="DP262" s="154"/>
      <c r="DQ262" s="154"/>
      <c r="DR262" s="154"/>
      <c r="DS262" s="154"/>
      <c r="DT262" s="154"/>
      <c r="DU262" s="154"/>
      <c r="DV262" s="154"/>
      <c r="DW262" s="154"/>
      <c r="DX262" s="154"/>
      <c r="DY262" s="154"/>
      <c r="DZ262" s="154"/>
      <c r="EA262" s="154"/>
      <c r="EB262" s="154"/>
      <c r="EC262" s="154"/>
      <c r="ED262" s="154"/>
      <c r="EE262" s="154"/>
      <c r="EF262" s="154"/>
      <c r="EG262" s="154"/>
      <c r="EH262" s="154"/>
      <c r="EI262" s="154"/>
      <c r="EJ262" s="154"/>
      <c r="EK262" s="154"/>
      <c r="EL262" s="154"/>
      <c r="EM262" s="154"/>
      <c r="EN262" s="154"/>
      <c r="EO262" s="154"/>
      <c r="EP262" s="154"/>
      <c r="EQ262" s="154"/>
      <c r="ER262" s="154"/>
      <c r="ES262" s="154"/>
      <c r="ET262" s="154"/>
      <c r="EU262" s="154"/>
      <c r="EV262" s="154"/>
      <c r="EW262" s="154"/>
      <c r="EX262" s="154"/>
      <c r="EY262" s="154"/>
      <c r="EZ262" s="154"/>
      <c r="FA262" s="154"/>
      <c r="FB262" s="154"/>
      <c r="FC262" s="154"/>
      <c r="FD262" s="154"/>
      <c r="FE262" s="154"/>
      <c r="FF262" s="154"/>
      <c r="FG262" s="154"/>
      <c r="FH262" s="154"/>
      <c r="FI262" s="154"/>
      <c r="FJ262" s="154"/>
      <c r="FK262" s="154"/>
      <c r="FL262" s="154"/>
      <c r="FM262" s="154"/>
      <c r="FN262" s="154"/>
      <c r="FO262" s="154"/>
      <c r="FP262" s="154"/>
      <c r="FQ262" s="154"/>
      <c r="FR262" s="154"/>
      <c r="FS262" s="154"/>
      <c r="FT262" s="154"/>
      <c r="FU262" s="154"/>
      <c r="FV262" s="154"/>
      <c r="FW262" s="154"/>
      <c r="FX262" s="154"/>
    </row>
    <row r="263" spans="1:180" s="164" customFormat="1" ht="30" hidden="1" x14ac:dyDescent="0.25">
      <c r="A263" s="216" t="s">
        <v>1188</v>
      </c>
      <c r="B263" s="214" t="s">
        <v>210</v>
      </c>
      <c r="C263" s="292" t="s">
        <v>299</v>
      </c>
      <c r="D263" s="293">
        <v>0.05</v>
      </c>
      <c r="E263" s="293">
        <v>0.6</v>
      </c>
      <c r="F263" s="293">
        <v>0.15</v>
      </c>
      <c r="G263" s="293">
        <v>0.1</v>
      </c>
      <c r="H263" s="293">
        <v>0.1</v>
      </c>
      <c r="I263" s="155"/>
      <c r="J263" s="155"/>
      <c r="K263" s="155"/>
      <c r="L263" s="155"/>
      <c r="M263" s="155" t="s">
        <v>639</v>
      </c>
      <c r="N263" s="155" t="s">
        <v>639</v>
      </c>
      <c r="O263" s="155" t="s">
        <v>35</v>
      </c>
      <c r="P263" s="279">
        <f t="shared" si="3"/>
        <v>1</v>
      </c>
      <c r="Q263" s="165"/>
      <c r="R263" s="275"/>
      <c r="S263" s="276" t="s">
        <v>927</v>
      </c>
      <c r="T263" s="277" t="s">
        <v>634</v>
      </c>
      <c r="U263" s="277" t="s">
        <v>634</v>
      </c>
      <c r="V263" s="291" t="s">
        <v>718</v>
      </c>
      <c r="W263" s="291" t="s">
        <v>719</v>
      </c>
      <c r="AA263" s="278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  <c r="BN263" s="154"/>
      <c r="BO263" s="154"/>
      <c r="BP263" s="154"/>
      <c r="BQ263" s="154"/>
      <c r="BR263" s="154"/>
      <c r="BS263" s="154"/>
      <c r="BT263" s="154"/>
      <c r="BU263" s="154"/>
      <c r="BV263" s="154"/>
      <c r="BW263" s="154"/>
      <c r="BX263" s="154"/>
      <c r="BY263" s="154"/>
      <c r="BZ263" s="154"/>
      <c r="CA263" s="154"/>
      <c r="CB263" s="154"/>
      <c r="CC263" s="154"/>
      <c r="CD263" s="154"/>
      <c r="CE263" s="154"/>
      <c r="CF263" s="154"/>
      <c r="CG263" s="154"/>
      <c r="CH263" s="154"/>
      <c r="CI263" s="154"/>
      <c r="CJ263" s="154"/>
      <c r="CK263" s="154"/>
      <c r="CL263" s="154"/>
      <c r="CM263" s="154"/>
      <c r="CN263" s="154"/>
      <c r="CO263" s="154"/>
      <c r="CP263" s="154"/>
      <c r="CQ263" s="154"/>
      <c r="CR263" s="154"/>
      <c r="CS263" s="154"/>
      <c r="CT263" s="154"/>
      <c r="CU263" s="154"/>
      <c r="CV263" s="154"/>
      <c r="CW263" s="154"/>
      <c r="CX263" s="154"/>
      <c r="CY263" s="154"/>
      <c r="CZ263" s="154"/>
      <c r="DA263" s="154"/>
      <c r="DB263" s="154"/>
      <c r="DC263" s="154"/>
      <c r="DD263" s="154"/>
      <c r="DE263" s="154"/>
      <c r="DF263" s="154"/>
      <c r="DG263" s="154"/>
      <c r="DH263" s="154"/>
      <c r="DI263" s="154"/>
      <c r="DJ263" s="154"/>
      <c r="DK263" s="154"/>
      <c r="DL263" s="154"/>
      <c r="DM263" s="154"/>
      <c r="DN263" s="154"/>
      <c r="DO263" s="154"/>
      <c r="DP263" s="154"/>
      <c r="DQ263" s="154"/>
      <c r="DR263" s="154"/>
      <c r="DS263" s="154"/>
      <c r="DT263" s="154"/>
      <c r="DU263" s="154"/>
      <c r="DV263" s="154"/>
      <c r="DW263" s="154"/>
      <c r="DX263" s="154"/>
      <c r="DY263" s="154"/>
      <c r="DZ263" s="154"/>
      <c r="EA263" s="154"/>
      <c r="EB263" s="154"/>
      <c r="EC263" s="154"/>
      <c r="ED263" s="154"/>
      <c r="EE263" s="154"/>
      <c r="EF263" s="154"/>
      <c r="EG263" s="154"/>
      <c r="EH263" s="154"/>
      <c r="EI263" s="154"/>
      <c r="EJ263" s="154"/>
      <c r="EK263" s="154"/>
      <c r="EL263" s="154"/>
      <c r="EM263" s="154"/>
      <c r="EN263" s="154"/>
      <c r="EO263" s="154"/>
      <c r="EP263" s="154"/>
      <c r="EQ263" s="154"/>
      <c r="ER263" s="154"/>
      <c r="ES263" s="154"/>
      <c r="ET263" s="154"/>
      <c r="EU263" s="154"/>
      <c r="EV263" s="154"/>
      <c r="EW263" s="154"/>
      <c r="EX263" s="154"/>
      <c r="EY263" s="154"/>
      <c r="EZ263" s="154"/>
      <c r="FA263" s="154"/>
      <c r="FB263" s="154"/>
      <c r="FC263" s="154"/>
      <c r="FD263" s="154"/>
      <c r="FE263" s="154"/>
      <c r="FF263" s="154"/>
      <c r="FG263" s="154"/>
      <c r="FH263" s="154"/>
      <c r="FI263" s="154"/>
      <c r="FJ263" s="154"/>
      <c r="FK263" s="154"/>
      <c r="FL263" s="154"/>
      <c r="FM263" s="154"/>
      <c r="FN263" s="154"/>
      <c r="FO263" s="154"/>
      <c r="FP263" s="154"/>
      <c r="FQ263" s="154"/>
      <c r="FR263" s="154"/>
      <c r="FS263" s="154"/>
      <c r="FT263" s="154"/>
      <c r="FU263" s="154"/>
      <c r="FV263" s="154"/>
      <c r="FW263" s="154"/>
      <c r="FX263" s="154"/>
    </row>
    <row r="264" spans="1:180" s="164" customFormat="1" ht="30" hidden="1" x14ac:dyDescent="0.25">
      <c r="A264" s="216" t="s">
        <v>1189</v>
      </c>
      <c r="B264" s="214" t="s">
        <v>210</v>
      </c>
      <c r="C264" s="268" t="s">
        <v>300</v>
      </c>
      <c r="D264" s="269">
        <v>0.05</v>
      </c>
      <c r="E264" s="269">
        <v>0.6</v>
      </c>
      <c r="F264" s="269">
        <v>0.15</v>
      </c>
      <c r="G264" s="269">
        <v>0.1</v>
      </c>
      <c r="H264" s="269">
        <v>0.1</v>
      </c>
      <c r="I264" s="155"/>
      <c r="J264" s="155"/>
      <c r="K264" s="155"/>
      <c r="L264" s="155"/>
      <c r="M264" s="155" t="s">
        <v>639</v>
      </c>
      <c r="N264" s="155" t="s">
        <v>639</v>
      </c>
      <c r="O264" s="155" t="s">
        <v>35</v>
      </c>
      <c r="P264" s="279">
        <f t="shared" si="3"/>
        <v>1</v>
      </c>
      <c r="Q264" s="165"/>
      <c r="R264" s="275"/>
      <c r="S264" s="276" t="s">
        <v>927</v>
      </c>
      <c r="T264" s="277" t="s">
        <v>634</v>
      </c>
      <c r="U264" s="277" t="s">
        <v>634</v>
      </c>
      <c r="V264" s="291" t="s">
        <v>718</v>
      </c>
      <c r="W264" s="291" t="s">
        <v>719</v>
      </c>
      <c r="AA264" s="278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  <c r="BN264" s="154"/>
      <c r="BO264" s="154"/>
      <c r="BP264" s="154"/>
      <c r="BQ264" s="154"/>
      <c r="BR264" s="154"/>
      <c r="BS264" s="154"/>
      <c r="BT264" s="154"/>
      <c r="BU264" s="154"/>
      <c r="BV264" s="154"/>
      <c r="BW264" s="154"/>
      <c r="BX264" s="154"/>
      <c r="BY264" s="154"/>
      <c r="BZ264" s="154"/>
      <c r="CA264" s="154"/>
      <c r="CB264" s="154"/>
      <c r="CC264" s="154"/>
      <c r="CD264" s="154"/>
      <c r="CE264" s="154"/>
      <c r="CF264" s="154"/>
      <c r="CG264" s="154"/>
      <c r="CH264" s="154"/>
      <c r="CI264" s="154"/>
      <c r="CJ264" s="154"/>
      <c r="CK264" s="154"/>
      <c r="CL264" s="154"/>
      <c r="CM264" s="154"/>
      <c r="CN264" s="154"/>
      <c r="CO264" s="154"/>
      <c r="CP264" s="154"/>
      <c r="CQ264" s="154"/>
      <c r="CR264" s="154"/>
      <c r="CS264" s="154"/>
      <c r="CT264" s="154"/>
      <c r="CU264" s="154"/>
      <c r="CV264" s="154"/>
      <c r="CW264" s="154"/>
      <c r="CX264" s="154"/>
      <c r="CY264" s="154"/>
      <c r="CZ264" s="154"/>
      <c r="DA264" s="154"/>
      <c r="DB264" s="154"/>
      <c r="DC264" s="154"/>
      <c r="DD264" s="154"/>
      <c r="DE264" s="154"/>
      <c r="DF264" s="154"/>
      <c r="DG264" s="154"/>
      <c r="DH264" s="154"/>
      <c r="DI264" s="154"/>
      <c r="DJ264" s="154"/>
      <c r="DK264" s="154"/>
      <c r="DL264" s="154"/>
      <c r="DM264" s="154"/>
      <c r="DN264" s="154"/>
      <c r="DO264" s="154"/>
      <c r="DP264" s="154"/>
      <c r="DQ264" s="154"/>
      <c r="DR264" s="154"/>
      <c r="DS264" s="154"/>
      <c r="DT264" s="154"/>
      <c r="DU264" s="154"/>
      <c r="DV264" s="154"/>
      <c r="DW264" s="154"/>
      <c r="DX264" s="154"/>
      <c r="DY264" s="154"/>
      <c r="DZ264" s="154"/>
      <c r="EA264" s="154"/>
      <c r="EB264" s="154"/>
      <c r="EC264" s="154"/>
      <c r="ED264" s="154"/>
      <c r="EE264" s="154"/>
      <c r="EF264" s="154"/>
      <c r="EG264" s="154"/>
      <c r="EH264" s="154"/>
      <c r="EI264" s="154"/>
      <c r="EJ264" s="154"/>
      <c r="EK264" s="154"/>
      <c r="EL264" s="154"/>
      <c r="EM264" s="154"/>
      <c r="EN264" s="154"/>
      <c r="EO264" s="154"/>
      <c r="EP264" s="154"/>
      <c r="EQ264" s="154"/>
      <c r="ER264" s="154"/>
      <c r="ES264" s="154"/>
      <c r="ET264" s="154"/>
      <c r="EU264" s="154"/>
      <c r="EV264" s="154"/>
      <c r="EW264" s="154"/>
      <c r="EX264" s="154"/>
      <c r="EY264" s="154"/>
      <c r="EZ264" s="154"/>
      <c r="FA264" s="154"/>
      <c r="FB264" s="154"/>
      <c r="FC264" s="154"/>
      <c r="FD264" s="154"/>
      <c r="FE264" s="154"/>
      <c r="FF264" s="154"/>
      <c r="FG264" s="154"/>
      <c r="FH264" s="154"/>
      <c r="FI264" s="154"/>
      <c r="FJ264" s="154"/>
      <c r="FK264" s="154"/>
      <c r="FL264" s="154"/>
      <c r="FM264" s="154"/>
      <c r="FN264" s="154"/>
      <c r="FO264" s="154"/>
      <c r="FP264" s="154"/>
      <c r="FQ264" s="154"/>
      <c r="FR264" s="154"/>
      <c r="FS264" s="154"/>
      <c r="FT264" s="154"/>
      <c r="FU264" s="154"/>
      <c r="FV264" s="154"/>
      <c r="FW264" s="154"/>
      <c r="FX264" s="154"/>
    </row>
    <row r="265" spans="1:180" s="164" customFormat="1" ht="30" hidden="1" x14ac:dyDescent="0.25">
      <c r="A265" s="216" t="s">
        <v>1190</v>
      </c>
      <c r="B265" s="214" t="s">
        <v>210</v>
      </c>
      <c r="C265" s="268" t="s">
        <v>301</v>
      </c>
      <c r="D265" s="269">
        <v>0.05</v>
      </c>
      <c r="E265" s="269">
        <v>0.6</v>
      </c>
      <c r="F265" s="269">
        <v>0.15</v>
      </c>
      <c r="G265" s="269">
        <v>0.1</v>
      </c>
      <c r="H265" s="269">
        <v>0.1</v>
      </c>
      <c r="I265" s="155"/>
      <c r="J265" s="155"/>
      <c r="K265" s="155"/>
      <c r="L265" s="155"/>
      <c r="M265" s="155" t="s">
        <v>639</v>
      </c>
      <c r="N265" s="155" t="s">
        <v>639</v>
      </c>
      <c r="O265" s="155" t="s">
        <v>35</v>
      </c>
      <c r="P265" s="279">
        <f t="shared" si="3"/>
        <v>1</v>
      </c>
      <c r="Q265" s="165"/>
      <c r="R265" s="275"/>
      <c r="S265" s="276" t="s">
        <v>927</v>
      </c>
      <c r="T265" s="277" t="s">
        <v>634</v>
      </c>
      <c r="U265" s="277" t="s">
        <v>634</v>
      </c>
      <c r="V265" s="291" t="s">
        <v>718</v>
      </c>
      <c r="W265" s="291" t="s">
        <v>719</v>
      </c>
      <c r="AA265" s="278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  <c r="BN265" s="154"/>
      <c r="BO265" s="154"/>
      <c r="BP265" s="154"/>
      <c r="BQ265" s="154"/>
      <c r="BR265" s="154"/>
      <c r="BS265" s="154"/>
      <c r="BT265" s="154"/>
      <c r="BU265" s="154"/>
      <c r="BV265" s="154"/>
      <c r="BW265" s="154"/>
      <c r="BX265" s="154"/>
      <c r="BY265" s="154"/>
      <c r="BZ265" s="154"/>
      <c r="CA265" s="154"/>
      <c r="CB265" s="154"/>
      <c r="CC265" s="154"/>
      <c r="CD265" s="154"/>
      <c r="CE265" s="154"/>
      <c r="CF265" s="154"/>
      <c r="CG265" s="154"/>
      <c r="CH265" s="154"/>
      <c r="CI265" s="154"/>
      <c r="CJ265" s="154"/>
      <c r="CK265" s="154"/>
      <c r="CL265" s="154"/>
      <c r="CM265" s="154"/>
      <c r="CN265" s="154"/>
      <c r="CO265" s="154"/>
      <c r="CP265" s="154"/>
      <c r="CQ265" s="154"/>
      <c r="CR265" s="154"/>
      <c r="CS265" s="154"/>
      <c r="CT265" s="154"/>
      <c r="CU265" s="154"/>
      <c r="CV265" s="154"/>
      <c r="CW265" s="154"/>
      <c r="CX265" s="154"/>
      <c r="CY265" s="154"/>
      <c r="CZ265" s="154"/>
      <c r="DA265" s="154"/>
      <c r="DB265" s="154"/>
      <c r="DC265" s="154"/>
      <c r="DD265" s="154"/>
      <c r="DE265" s="154"/>
      <c r="DF265" s="154"/>
      <c r="DG265" s="154"/>
      <c r="DH265" s="154"/>
      <c r="DI265" s="154"/>
      <c r="DJ265" s="154"/>
      <c r="DK265" s="154"/>
      <c r="DL265" s="154"/>
      <c r="DM265" s="154"/>
      <c r="DN265" s="154"/>
      <c r="DO265" s="154"/>
      <c r="DP265" s="154"/>
      <c r="DQ265" s="154"/>
      <c r="DR265" s="154"/>
      <c r="DS265" s="154"/>
      <c r="DT265" s="154"/>
      <c r="DU265" s="154"/>
      <c r="DV265" s="154"/>
      <c r="DW265" s="154"/>
      <c r="DX265" s="154"/>
      <c r="DY265" s="154"/>
      <c r="DZ265" s="154"/>
      <c r="EA265" s="154"/>
      <c r="EB265" s="154"/>
      <c r="EC265" s="154"/>
      <c r="ED265" s="154"/>
      <c r="EE265" s="154"/>
      <c r="EF265" s="154"/>
      <c r="EG265" s="154"/>
      <c r="EH265" s="154"/>
      <c r="EI265" s="154"/>
      <c r="EJ265" s="154"/>
      <c r="EK265" s="154"/>
      <c r="EL265" s="154"/>
      <c r="EM265" s="154"/>
      <c r="EN265" s="154"/>
      <c r="EO265" s="154"/>
      <c r="EP265" s="154"/>
      <c r="EQ265" s="154"/>
      <c r="ER265" s="154"/>
      <c r="ES265" s="154"/>
      <c r="ET265" s="154"/>
      <c r="EU265" s="154"/>
      <c r="EV265" s="154"/>
      <c r="EW265" s="154"/>
      <c r="EX265" s="154"/>
      <c r="EY265" s="154"/>
      <c r="EZ265" s="154"/>
      <c r="FA265" s="154"/>
      <c r="FB265" s="154"/>
      <c r="FC265" s="154"/>
      <c r="FD265" s="154"/>
      <c r="FE265" s="154"/>
      <c r="FF265" s="154"/>
      <c r="FG265" s="154"/>
      <c r="FH265" s="154"/>
      <c r="FI265" s="154"/>
      <c r="FJ265" s="154"/>
      <c r="FK265" s="154"/>
      <c r="FL265" s="154"/>
      <c r="FM265" s="154"/>
      <c r="FN265" s="154"/>
      <c r="FO265" s="154"/>
      <c r="FP265" s="154"/>
      <c r="FQ265" s="154"/>
      <c r="FR265" s="154"/>
      <c r="FS265" s="154"/>
      <c r="FT265" s="154"/>
      <c r="FU265" s="154"/>
      <c r="FV265" s="154"/>
      <c r="FW265" s="154"/>
      <c r="FX265" s="154"/>
    </row>
    <row r="266" spans="1:180" s="164" customFormat="1" ht="30" hidden="1" x14ac:dyDescent="0.25">
      <c r="A266" s="216" t="s">
        <v>1191</v>
      </c>
      <c r="B266" s="214" t="s">
        <v>210</v>
      </c>
      <c r="C266" s="268" t="s">
        <v>302</v>
      </c>
      <c r="D266" s="269">
        <v>0.05</v>
      </c>
      <c r="E266" s="269">
        <v>0.6</v>
      </c>
      <c r="F266" s="269">
        <v>0.15</v>
      </c>
      <c r="G266" s="269">
        <v>0.1</v>
      </c>
      <c r="H266" s="269">
        <v>0.1</v>
      </c>
      <c r="I266" s="155"/>
      <c r="J266" s="155"/>
      <c r="K266" s="155"/>
      <c r="L266" s="155"/>
      <c r="M266" s="155" t="s">
        <v>639</v>
      </c>
      <c r="N266" s="155" t="s">
        <v>639</v>
      </c>
      <c r="O266" s="155" t="s">
        <v>35</v>
      </c>
      <c r="P266" s="279">
        <f t="shared" si="3"/>
        <v>1</v>
      </c>
      <c r="Q266" s="165"/>
      <c r="R266" s="275"/>
      <c r="S266" s="276" t="s">
        <v>928</v>
      </c>
      <c r="T266" s="277" t="s">
        <v>634</v>
      </c>
      <c r="U266" s="277" t="s">
        <v>634</v>
      </c>
      <c r="V266" s="288" t="s">
        <v>720</v>
      </c>
      <c r="W266" s="288" t="s">
        <v>721</v>
      </c>
      <c r="AA266" s="278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154"/>
      <c r="BO266" s="154"/>
      <c r="BP266" s="154"/>
      <c r="BQ266" s="154"/>
      <c r="BR266" s="154"/>
      <c r="BS266" s="154"/>
      <c r="BT266" s="154"/>
      <c r="BU266" s="154"/>
      <c r="BV266" s="154"/>
      <c r="BW266" s="154"/>
      <c r="BX266" s="154"/>
      <c r="BY266" s="154"/>
      <c r="BZ266" s="154"/>
      <c r="CA266" s="154"/>
      <c r="CB266" s="154"/>
      <c r="CC266" s="154"/>
      <c r="CD266" s="154"/>
      <c r="CE266" s="154"/>
      <c r="CF266" s="154"/>
      <c r="CG266" s="154"/>
      <c r="CH266" s="154"/>
      <c r="CI266" s="154"/>
      <c r="CJ266" s="154"/>
      <c r="CK266" s="154"/>
      <c r="CL266" s="154"/>
      <c r="CM266" s="154"/>
      <c r="CN266" s="154"/>
      <c r="CO266" s="154"/>
      <c r="CP266" s="154"/>
      <c r="CQ266" s="154"/>
      <c r="CR266" s="154"/>
      <c r="CS266" s="154"/>
      <c r="CT266" s="154"/>
      <c r="CU266" s="154"/>
      <c r="CV266" s="154"/>
      <c r="CW266" s="154"/>
      <c r="CX266" s="154"/>
      <c r="CY266" s="154"/>
      <c r="CZ266" s="154"/>
      <c r="DA266" s="154"/>
      <c r="DB266" s="154"/>
      <c r="DC266" s="154"/>
      <c r="DD266" s="154"/>
      <c r="DE266" s="154"/>
      <c r="DF266" s="154"/>
      <c r="DG266" s="154"/>
      <c r="DH266" s="154"/>
      <c r="DI266" s="154"/>
      <c r="DJ266" s="154"/>
      <c r="DK266" s="154"/>
      <c r="DL266" s="154"/>
      <c r="DM266" s="154"/>
      <c r="DN266" s="154"/>
      <c r="DO266" s="154"/>
      <c r="DP266" s="154"/>
      <c r="DQ266" s="154"/>
      <c r="DR266" s="154"/>
      <c r="DS266" s="154"/>
      <c r="DT266" s="154"/>
      <c r="DU266" s="154"/>
      <c r="DV266" s="154"/>
      <c r="DW266" s="154"/>
      <c r="DX266" s="154"/>
      <c r="DY266" s="154"/>
      <c r="DZ266" s="154"/>
      <c r="EA266" s="154"/>
      <c r="EB266" s="154"/>
      <c r="EC266" s="154"/>
      <c r="ED266" s="154"/>
      <c r="EE266" s="154"/>
      <c r="EF266" s="154"/>
      <c r="EG266" s="154"/>
      <c r="EH266" s="154"/>
      <c r="EI266" s="154"/>
      <c r="EJ266" s="154"/>
      <c r="EK266" s="154"/>
      <c r="EL266" s="154"/>
      <c r="EM266" s="154"/>
      <c r="EN266" s="154"/>
      <c r="EO266" s="154"/>
      <c r="EP266" s="154"/>
      <c r="EQ266" s="154"/>
      <c r="ER266" s="154"/>
      <c r="ES266" s="154"/>
      <c r="ET266" s="154"/>
      <c r="EU266" s="154"/>
      <c r="EV266" s="154"/>
      <c r="EW266" s="154"/>
      <c r="EX266" s="154"/>
      <c r="EY266" s="154"/>
      <c r="EZ266" s="154"/>
      <c r="FA266" s="154"/>
      <c r="FB266" s="154"/>
      <c r="FC266" s="154"/>
      <c r="FD266" s="154"/>
      <c r="FE266" s="154"/>
      <c r="FF266" s="154"/>
      <c r="FG266" s="154"/>
      <c r="FH266" s="154"/>
      <c r="FI266" s="154"/>
      <c r="FJ266" s="154"/>
      <c r="FK266" s="154"/>
      <c r="FL266" s="154"/>
      <c r="FM266" s="154"/>
      <c r="FN266" s="154"/>
      <c r="FO266" s="154"/>
      <c r="FP266" s="154"/>
      <c r="FQ266" s="154"/>
      <c r="FR266" s="154"/>
      <c r="FS266" s="154"/>
      <c r="FT266" s="154"/>
      <c r="FU266" s="154"/>
      <c r="FV266" s="154"/>
      <c r="FW266" s="154"/>
      <c r="FX266" s="154"/>
    </row>
    <row r="267" spans="1:180" s="164" customFormat="1" ht="30" hidden="1" x14ac:dyDescent="0.25">
      <c r="A267" s="216" t="s">
        <v>1192</v>
      </c>
      <c r="B267" s="214" t="s">
        <v>210</v>
      </c>
      <c r="C267" s="268" t="s">
        <v>303</v>
      </c>
      <c r="D267" s="269">
        <v>0.05</v>
      </c>
      <c r="E267" s="269">
        <v>0.6</v>
      </c>
      <c r="F267" s="269">
        <v>0.15</v>
      </c>
      <c r="G267" s="269">
        <v>0.1</v>
      </c>
      <c r="H267" s="269">
        <v>0.1</v>
      </c>
      <c r="I267" s="155"/>
      <c r="J267" s="155"/>
      <c r="K267" s="155"/>
      <c r="L267" s="155"/>
      <c r="M267" s="155" t="s">
        <v>639</v>
      </c>
      <c r="N267" s="155" t="s">
        <v>639</v>
      </c>
      <c r="O267" s="155" t="s">
        <v>35</v>
      </c>
      <c r="P267" s="279">
        <f t="shared" si="3"/>
        <v>1</v>
      </c>
      <c r="Q267" s="165"/>
      <c r="R267" s="275"/>
      <c r="S267" s="276" t="s">
        <v>928</v>
      </c>
      <c r="T267" s="277" t="s">
        <v>634</v>
      </c>
      <c r="U267" s="277" t="s">
        <v>634</v>
      </c>
      <c r="V267" s="288" t="s">
        <v>720</v>
      </c>
      <c r="W267" s="288" t="s">
        <v>721</v>
      </c>
      <c r="AA267" s="278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  <c r="BN267" s="154"/>
      <c r="BO267" s="154"/>
      <c r="BP267" s="154"/>
      <c r="BQ267" s="154"/>
      <c r="BR267" s="154"/>
      <c r="BS267" s="154"/>
      <c r="BT267" s="154"/>
      <c r="BU267" s="154"/>
      <c r="BV267" s="154"/>
      <c r="BW267" s="154"/>
      <c r="BX267" s="154"/>
      <c r="BY267" s="154"/>
      <c r="BZ267" s="154"/>
      <c r="CA267" s="154"/>
      <c r="CB267" s="154"/>
      <c r="CC267" s="154"/>
      <c r="CD267" s="154"/>
      <c r="CE267" s="154"/>
      <c r="CF267" s="154"/>
      <c r="CG267" s="154"/>
      <c r="CH267" s="154"/>
      <c r="CI267" s="154"/>
      <c r="CJ267" s="154"/>
      <c r="CK267" s="154"/>
      <c r="CL267" s="154"/>
      <c r="CM267" s="154"/>
      <c r="CN267" s="154"/>
      <c r="CO267" s="154"/>
      <c r="CP267" s="154"/>
      <c r="CQ267" s="154"/>
      <c r="CR267" s="154"/>
      <c r="CS267" s="154"/>
      <c r="CT267" s="154"/>
      <c r="CU267" s="154"/>
      <c r="CV267" s="154"/>
      <c r="CW267" s="154"/>
      <c r="CX267" s="154"/>
      <c r="CY267" s="154"/>
      <c r="CZ267" s="154"/>
      <c r="DA267" s="154"/>
      <c r="DB267" s="154"/>
      <c r="DC267" s="154"/>
      <c r="DD267" s="154"/>
      <c r="DE267" s="154"/>
      <c r="DF267" s="154"/>
      <c r="DG267" s="154"/>
      <c r="DH267" s="154"/>
      <c r="DI267" s="154"/>
      <c r="DJ267" s="154"/>
      <c r="DK267" s="154"/>
      <c r="DL267" s="154"/>
      <c r="DM267" s="154"/>
      <c r="DN267" s="154"/>
      <c r="DO267" s="154"/>
      <c r="DP267" s="154"/>
      <c r="DQ267" s="154"/>
      <c r="DR267" s="154"/>
      <c r="DS267" s="154"/>
      <c r="DT267" s="154"/>
      <c r="DU267" s="154"/>
      <c r="DV267" s="154"/>
      <c r="DW267" s="154"/>
      <c r="DX267" s="154"/>
      <c r="DY267" s="154"/>
      <c r="DZ267" s="154"/>
      <c r="EA267" s="154"/>
      <c r="EB267" s="154"/>
      <c r="EC267" s="154"/>
      <c r="ED267" s="154"/>
      <c r="EE267" s="154"/>
      <c r="EF267" s="154"/>
      <c r="EG267" s="154"/>
      <c r="EH267" s="154"/>
      <c r="EI267" s="154"/>
      <c r="EJ267" s="154"/>
      <c r="EK267" s="154"/>
      <c r="EL267" s="154"/>
      <c r="EM267" s="154"/>
      <c r="EN267" s="154"/>
      <c r="EO267" s="154"/>
      <c r="EP267" s="154"/>
      <c r="EQ267" s="154"/>
      <c r="ER267" s="154"/>
      <c r="ES267" s="154"/>
      <c r="ET267" s="154"/>
      <c r="EU267" s="154"/>
      <c r="EV267" s="154"/>
      <c r="EW267" s="154"/>
      <c r="EX267" s="154"/>
      <c r="EY267" s="154"/>
      <c r="EZ267" s="154"/>
      <c r="FA267" s="154"/>
      <c r="FB267" s="154"/>
      <c r="FC267" s="154"/>
      <c r="FD267" s="154"/>
      <c r="FE267" s="154"/>
      <c r="FF267" s="154"/>
      <c r="FG267" s="154"/>
      <c r="FH267" s="154"/>
      <c r="FI267" s="154"/>
      <c r="FJ267" s="154"/>
      <c r="FK267" s="154"/>
      <c r="FL267" s="154"/>
      <c r="FM267" s="154"/>
      <c r="FN267" s="154"/>
      <c r="FO267" s="154"/>
      <c r="FP267" s="154"/>
      <c r="FQ267" s="154"/>
      <c r="FR267" s="154"/>
      <c r="FS267" s="154"/>
      <c r="FT267" s="154"/>
      <c r="FU267" s="154"/>
      <c r="FV267" s="154"/>
      <c r="FW267" s="154"/>
      <c r="FX267" s="154"/>
    </row>
    <row r="268" spans="1:180" s="164" customFormat="1" ht="30" hidden="1" x14ac:dyDescent="0.25">
      <c r="A268" s="216" t="s">
        <v>1193</v>
      </c>
      <c r="B268" s="214" t="s">
        <v>210</v>
      </c>
      <c r="C268" s="268" t="s">
        <v>304</v>
      </c>
      <c r="D268" s="269">
        <v>0.05</v>
      </c>
      <c r="E268" s="269">
        <v>0.6</v>
      </c>
      <c r="F268" s="269">
        <v>0.15</v>
      </c>
      <c r="G268" s="269">
        <v>0.1</v>
      </c>
      <c r="H268" s="269">
        <v>0.1</v>
      </c>
      <c r="I268" s="155"/>
      <c r="J268" s="155"/>
      <c r="K268" s="155"/>
      <c r="L268" s="155"/>
      <c r="M268" s="155" t="s">
        <v>639</v>
      </c>
      <c r="N268" s="155" t="s">
        <v>639</v>
      </c>
      <c r="O268" s="155" t="s">
        <v>35</v>
      </c>
      <c r="P268" s="279">
        <f t="shared" si="3"/>
        <v>1</v>
      </c>
      <c r="Q268" s="165"/>
      <c r="R268" s="275"/>
      <c r="S268" s="286" t="s">
        <v>722</v>
      </c>
      <c r="T268" s="277" t="s">
        <v>634</v>
      </c>
      <c r="U268" s="277" t="s">
        <v>634</v>
      </c>
      <c r="V268" s="277" t="s">
        <v>929</v>
      </c>
      <c r="W268" s="277" t="s">
        <v>930</v>
      </c>
      <c r="X268" s="164" t="s">
        <v>723</v>
      </c>
      <c r="AA268" s="278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  <c r="BN268" s="154"/>
      <c r="BO268" s="154"/>
      <c r="BP268" s="154"/>
      <c r="BQ268" s="154"/>
      <c r="BR268" s="154"/>
      <c r="BS268" s="154"/>
      <c r="BT268" s="154"/>
      <c r="BU268" s="154"/>
      <c r="BV268" s="154"/>
      <c r="BW268" s="154"/>
      <c r="BX268" s="154"/>
      <c r="BY268" s="154"/>
      <c r="BZ268" s="154"/>
      <c r="CA268" s="154"/>
      <c r="CB268" s="154"/>
      <c r="CC268" s="154"/>
      <c r="CD268" s="154"/>
      <c r="CE268" s="154"/>
      <c r="CF268" s="154"/>
      <c r="CG268" s="154"/>
      <c r="CH268" s="154"/>
      <c r="CI268" s="154"/>
      <c r="CJ268" s="154"/>
      <c r="CK268" s="154"/>
      <c r="CL268" s="154"/>
      <c r="CM268" s="154"/>
      <c r="CN268" s="154"/>
      <c r="CO268" s="154"/>
      <c r="CP268" s="154"/>
      <c r="CQ268" s="154"/>
      <c r="CR268" s="154"/>
      <c r="CS268" s="154"/>
      <c r="CT268" s="154"/>
      <c r="CU268" s="154"/>
      <c r="CV268" s="154"/>
      <c r="CW268" s="154"/>
      <c r="CX268" s="154"/>
      <c r="CY268" s="154"/>
      <c r="CZ268" s="154"/>
      <c r="DA268" s="154"/>
      <c r="DB268" s="154"/>
      <c r="DC268" s="154"/>
      <c r="DD268" s="154"/>
      <c r="DE268" s="154"/>
      <c r="DF268" s="154"/>
      <c r="DG268" s="154"/>
      <c r="DH268" s="154"/>
      <c r="DI268" s="154"/>
      <c r="DJ268" s="154"/>
      <c r="DK268" s="154"/>
      <c r="DL268" s="154"/>
      <c r="DM268" s="154"/>
      <c r="DN268" s="154"/>
      <c r="DO268" s="154"/>
      <c r="DP268" s="154"/>
      <c r="DQ268" s="154"/>
      <c r="DR268" s="154"/>
      <c r="DS268" s="154"/>
      <c r="DT268" s="154"/>
      <c r="DU268" s="154"/>
      <c r="DV268" s="154"/>
      <c r="DW268" s="154"/>
      <c r="DX268" s="154"/>
      <c r="DY268" s="154"/>
      <c r="DZ268" s="154"/>
      <c r="EA268" s="154"/>
      <c r="EB268" s="154"/>
      <c r="EC268" s="154"/>
      <c r="ED268" s="154"/>
      <c r="EE268" s="154"/>
      <c r="EF268" s="154"/>
      <c r="EG268" s="154"/>
      <c r="EH268" s="154"/>
      <c r="EI268" s="154"/>
      <c r="EJ268" s="154"/>
      <c r="EK268" s="154"/>
      <c r="EL268" s="154"/>
      <c r="EM268" s="154"/>
      <c r="EN268" s="154"/>
      <c r="EO268" s="154"/>
      <c r="EP268" s="154"/>
      <c r="EQ268" s="154"/>
      <c r="ER268" s="154"/>
      <c r="ES268" s="154"/>
      <c r="ET268" s="154"/>
      <c r="EU268" s="154"/>
      <c r="EV268" s="154"/>
      <c r="EW268" s="154"/>
      <c r="EX268" s="154"/>
      <c r="EY268" s="154"/>
      <c r="EZ268" s="154"/>
      <c r="FA268" s="154"/>
      <c r="FB268" s="154"/>
      <c r="FC268" s="154"/>
      <c r="FD268" s="154"/>
      <c r="FE268" s="154"/>
      <c r="FF268" s="154"/>
      <c r="FG268" s="154"/>
      <c r="FH268" s="154"/>
      <c r="FI268" s="154"/>
      <c r="FJ268" s="154"/>
      <c r="FK268" s="154"/>
      <c r="FL268" s="154"/>
      <c r="FM268" s="154"/>
      <c r="FN268" s="154"/>
      <c r="FO268" s="154"/>
      <c r="FP268" s="154"/>
      <c r="FQ268" s="154"/>
      <c r="FR268" s="154"/>
      <c r="FS268" s="154"/>
      <c r="FT268" s="154"/>
      <c r="FU268" s="154"/>
      <c r="FV268" s="154"/>
      <c r="FW268" s="154"/>
      <c r="FX268" s="154"/>
    </row>
    <row r="269" spans="1:180" s="164" customFormat="1" ht="30" hidden="1" x14ac:dyDescent="0.25">
      <c r="A269" s="216" t="s">
        <v>1194</v>
      </c>
      <c r="B269" s="214" t="s">
        <v>210</v>
      </c>
      <c r="C269" s="268" t="s">
        <v>305</v>
      </c>
      <c r="D269" s="269">
        <v>0.05</v>
      </c>
      <c r="E269" s="269">
        <v>0.6</v>
      </c>
      <c r="F269" s="269">
        <v>0.15</v>
      </c>
      <c r="G269" s="269">
        <v>0.1</v>
      </c>
      <c r="H269" s="269">
        <v>0.1</v>
      </c>
      <c r="I269" s="155"/>
      <c r="J269" s="155"/>
      <c r="K269" s="155"/>
      <c r="L269" s="155"/>
      <c r="M269" s="155" t="s">
        <v>639</v>
      </c>
      <c r="N269" s="155" t="s">
        <v>639</v>
      </c>
      <c r="O269" s="155" t="s">
        <v>35</v>
      </c>
      <c r="P269" s="279">
        <f t="shared" si="3"/>
        <v>1</v>
      </c>
      <c r="Q269" s="165"/>
      <c r="R269" s="275"/>
      <c r="S269" s="286" t="s">
        <v>722</v>
      </c>
      <c r="T269" s="277" t="s">
        <v>634</v>
      </c>
      <c r="U269" s="277" t="s">
        <v>634</v>
      </c>
      <c r="V269" s="277" t="s">
        <v>929</v>
      </c>
      <c r="W269" s="277" t="s">
        <v>930</v>
      </c>
      <c r="X269" s="164" t="s">
        <v>723</v>
      </c>
      <c r="AA269" s="278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154"/>
      <c r="BO269" s="154"/>
      <c r="BP269" s="154"/>
      <c r="BQ269" s="154"/>
      <c r="BR269" s="154"/>
      <c r="BS269" s="154"/>
      <c r="BT269" s="154"/>
      <c r="BU269" s="154"/>
      <c r="BV269" s="154"/>
      <c r="BW269" s="154"/>
      <c r="BX269" s="154"/>
      <c r="BY269" s="154"/>
      <c r="BZ269" s="154"/>
      <c r="CA269" s="154"/>
      <c r="CB269" s="154"/>
      <c r="CC269" s="154"/>
      <c r="CD269" s="154"/>
      <c r="CE269" s="154"/>
      <c r="CF269" s="154"/>
      <c r="CG269" s="154"/>
      <c r="CH269" s="154"/>
      <c r="CI269" s="154"/>
      <c r="CJ269" s="154"/>
      <c r="CK269" s="154"/>
      <c r="CL269" s="154"/>
      <c r="CM269" s="154"/>
      <c r="CN269" s="154"/>
      <c r="CO269" s="154"/>
      <c r="CP269" s="154"/>
      <c r="CQ269" s="154"/>
      <c r="CR269" s="154"/>
      <c r="CS269" s="154"/>
      <c r="CT269" s="154"/>
      <c r="CU269" s="154"/>
      <c r="CV269" s="154"/>
      <c r="CW269" s="154"/>
      <c r="CX269" s="154"/>
      <c r="CY269" s="154"/>
      <c r="CZ269" s="154"/>
      <c r="DA269" s="154"/>
      <c r="DB269" s="154"/>
      <c r="DC269" s="154"/>
      <c r="DD269" s="154"/>
      <c r="DE269" s="154"/>
      <c r="DF269" s="154"/>
      <c r="DG269" s="154"/>
      <c r="DH269" s="154"/>
      <c r="DI269" s="154"/>
      <c r="DJ269" s="154"/>
      <c r="DK269" s="154"/>
      <c r="DL269" s="154"/>
      <c r="DM269" s="154"/>
      <c r="DN269" s="154"/>
      <c r="DO269" s="154"/>
      <c r="DP269" s="154"/>
      <c r="DQ269" s="154"/>
      <c r="DR269" s="154"/>
      <c r="DS269" s="154"/>
      <c r="DT269" s="154"/>
      <c r="DU269" s="154"/>
      <c r="DV269" s="154"/>
      <c r="DW269" s="154"/>
      <c r="DX269" s="154"/>
      <c r="DY269" s="154"/>
      <c r="DZ269" s="154"/>
      <c r="EA269" s="154"/>
      <c r="EB269" s="154"/>
      <c r="EC269" s="154"/>
      <c r="ED269" s="154"/>
      <c r="EE269" s="154"/>
      <c r="EF269" s="154"/>
      <c r="EG269" s="154"/>
      <c r="EH269" s="154"/>
      <c r="EI269" s="154"/>
      <c r="EJ269" s="154"/>
      <c r="EK269" s="154"/>
      <c r="EL269" s="154"/>
      <c r="EM269" s="154"/>
      <c r="EN269" s="154"/>
      <c r="EO269" s="154"/>
      <c r="EP269" s="154"/>
      <c r="EQ269" s="154"/>
      <c r="ER269" s="154"/>
      <c r="ES269" s="154"/>
      <c r="ET269" s="154"/>
      <c r="EU269" s="154"/>
      <c r="EV269" s="154"/>
      <c r="EW269" s="154"/>
      <c r="EX269" s="154"/>
      <c r="EY269" s="154"/>
      <c r="EZ269" s="154"/>
      <c r="FA269" s="154"/>
      <c r="FB269" s="154"/>
      <c r="FC269" s="154"/>
      <c r="FD269" s="154"/>
      <c r="FE269" s="154"/>
      <c r="FF269" s="154"/>
      <c r="FG269" s="154"/>
      <c r="FH269" s="154"/>
      <c r="FI269" s="154"/>
      <c r="FJ269" s="154"/>
      <c r="FK269" s="154"/>
      <c r="FL269" s="154"/>
      <c r="FM269" s="154"/>
      <c r="FN269" s="154"/>
      <c r="FO269" s="154"/>
      <c r="FP269" s="154"/>
      <c r="FQ269" s="154"/>
      <c r="FR269" s="154"/>
      <c r="FS269" s="154"/>
      <c r="FT269" s="154"/>
      <c r="FU269" s="154"/>
      <c r="FV269" s="154"/>
      <c r="FW269" s="154"/>
      <c r="FX269" s="154"/>
    </row>
    <row r="270" spans="1:180" s="164" customFormat="1" ht="30" hidden="1" x14ac:dyDescent="0.25">
      <c r="A270" s="216" t="s">
        <v>1195</v>
      </c>
      <c r="B270" s="214" t="s">
        <v>210</v>
      </c>
      <c r="C270" s="268" t="s">
        <v>306</v>
      </c>
      <c r="D270" s="269">
        <v>0.05</v>
      </c>
      <c r="E270" s="269">
        <v>0.6</v>
      </c>
      <c r="F270" s="269">
        <v>0.15</v>
      </c>
      <c r="G270" s="269">
        <v>0.1</v>
      </c>
      <c r="H270" s="269">
        <v>0.1</v>
      </c>
      <c r="I270" s="155"/>
      <c r="J270" s="155"/>
      <c r="K270" s="155"/>
      <c r="L270" s="155"/>
      <c r="M270" s="155" t="s">
        <v>639</v>
      </c>
      <c r="N270" s="155" t="s">
        <v>639</v>
      </c>
      <c r="O270" s="155" t="s">
        <v>35</v>
      </c>
      <c r="P270" s="279">
        <f t="shared" si="3"/>
        <v>1</v>
      </c>
      <c r="Q270" s="165"/>
      <c r="R270" s="275"/>
      <c r="S270" s="286" t="s">
        <v>722</v>
      </c>
      <c r="T270" s="277" t="s">
        <v>634</v>
      </c>
      <c r="U270" s="277" t="s">
        <v>634</v>
      </c>
      <c r="V270" s="277" t="s">
        <v>929</v>
      </c>
      <c r="W270" s="277" t="s">
        <v>930</v>
      </c>
      <c r="X270" s="164" t="s">
        <v>723</v>
      </c>
      <c r="AA270" s="278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  <c r="BN270" s="154"/>
      <c r="BO270" s="154"/>
      <c r="BP270" s="154"/>
      <c r="BQ270" s="154"/>
      <c r="BR270" s="154"/>
      <c r="BS270" s="154"/>
      <c r="BT270" s="154"/>
      <c r="BU270" s="154"/>
      <c r="BV270" s="154"/>
      <c r="BW270" s="154"/>
      <c r="BX270" s="154"/>
      <c r="BY270" s="154"/>
      <c r="BZ270" s="154"/>
      <c r="CA270" s="154"/>
      <c r="CB270" s="154"/>
      <c r="CC270" s="154"/>
      <c r="CD270" s="154"/>
      <c r="CE270" s="154"/>
      <c r="CF270" s="154"/>
      <c r="CG270" s="154"/>
      <c r="CH270" s="154"/>
      <c r="CI270" s="154"/>
      <c r="CJ270" s="154"/>
      <c r="CK270" s="154"/>
      <c r="CL270" s="154"/>
      <c r="CM270" s="154"/>
      <c r="CN270" s="154"/>
      <c r="CO270" s="154"/>
      <c r="CP270" s="154"/>
      <c r="CQ270" s="154"/>
      <c r="CR270" s="154"/>
      <c r="CS270" s="154"/>
      <c r="CT270" s="154"/>
      <c r="CU270" s="154"/>
      <c r="CV270" s="154"/>
      <c r="CW270" s="154"/>
      <c r="CX270" s="154"/>
      <c r="CY270" s="154"/>
      <c r="CZ270" s="154"/>
      <c r="DA270" s="154"/>
      <c r="DB270" s="154"/>
      <c r="DC270" s="154"/>
      <c r="DD270" s="154"/>
      <c r="DE270" s="154"/>
      <c r="DF270" s="154"/>
      <c r="DG270" s="154"/>
      <c r="DH270" s="154"/>
      <c r="DI270" s="154"/>
      <c r="DJ270" s="154"/>
      <c r="DK270" s="154"/>
      <c r="DL270" s="154"/>
      <c r="DM270" s="154"/>
      <c r="DN270" s="154"/>
      <c r="DO270" s="154"/>
      <c r="DP270" s="154"/>
      <c r="DQ270" s="154"/>
      <c r="DR270" s="154"/>
      <c r="DS270" s="154"/>
      <c r="DT270" s="154"/>
      <c r="DU270" s="154"/>
      <c r="DV270" s="154"/>
      <c r="DW270" s="154"/>
      <c r="DX270" s="154"/>
      <c r="DY270" s="154"/>
      <c r="DZ270" s="154"/>
      <c r="EA270" s="154"/>
      <c r="EB270" s="154"/>
      <c r="EC270" s="154"/>
      <c r="ED270" s="154"/>
      <c r="EE270" s="154"/>
      <c r="EF270" s="154"/>
      <c r="EG270" s="154"/>
      <c r="EH270" s="154"/>
      <c r="EI270" s="154"/>
      <c r="EJ270" s="154"/>
      <c r="EK270" s="154"/>
      <c r="EL270" s="154"/>
      <c r="EM270" s="154"/>
      <c r="EN270" s="154"/>
      <c r="EO270" s="154"/>
      <c r="EP270" s="154"/>
      <c r="EQ270" s="154"/>
      <c r="ER270" s="154"/>
      <c r="ES270" s="154"/>
      <c r="ET270" s="154"/>
      <c r="EU270" s="154"/>
      <c r="EV270" s="154"/>
      <c r="EW270" s="154"/>
      <c r="EX270" s="154"/>
      <c r="EY270" s="154"/>
      <c r="EZ270" s="154"/>
      <c r="FA270" s="154"/>
      <c r="FB270" s="154"/>
      <c r="FC270" s="154"/>
      <c r="FD270" s="154"/>
      <c r="FE270" s="154"/>
      <c r="FF270" s="154"/>
      <c r="FG270" s="154"/>
      <c r="FH270" s="154"/>
      <c r="FI270" s="154"/>
      <c r="FJ270" s="154"/>
      <c r="FK270" s="154"/>
      <c r="FL270" s="154"/>
      <c r="FM270" s="154"/>
      <c r="FN270" s="154"/>
      <c r="FO270" s="154"/>
      <c r="FP270" s="154"/>
      <c r="FQ270" s="154"/>
      <c r="FR270" s="154"/>
      <c r="FS270" s="154"/>
      <c r="FT270" s="154"/>
      <c r="FU270" s="154"/>
      <c r="FV270" s="154"/>
      <c r="FW270" s="154"/>
      <c r="FX270" s="154"/>
    </row>
    <row r="271" spans="1:180" s="164" customFormat="1" ht="30" hidden="1" x14ac:dyDescent="0.25">
      <c r="A271" s="216" t="s">
        <v>1196</v>
      </c>
      <c r="B271" s="214" t="s">
        <v>210</v>
      </c>
      <c r="C271" s="268" t="s">
        <v>307</v>
      </c>
      <c r="D271" s="269">
        <v>0.05</v>
      </c>
      <c r="E271" s="269">
        <v>0.6</v>
      </c>
      <c r="F271" s="269">
        <v>0.15</v>
      </c>
      <c r="G271" s="269">
        <v>0.1</v>
      </c>
      <c r="H271" s="269">
        <v>0.1</v>
      </c>
      <c r="I271" s="155"/>
      <c r="J271" s="155"/>
      <c r="K271" s="155"/>
      <c r="L271" s="155"/>
      <c r="M271" s="155" t="s">
        <v>639</v>
      </c>
      <c r="N271" s="155" t="s">
        <v>639</v>
      </c>
      <c r="O271" s="155" t="s">
        <v>35</v>
      </c>
      <c r="P271" s="279">
        <f t="shared" si="3"/>
        <v>1</v>
      </c>
      <c r="Q271" s="165"/>
      <c r="R271" s="275"/>
      <c r="S271" s="286" t="s">
        <v>722</v>
      </c>
      <c r="T271" s="277" t="s">
        <v>634</v>
      </c>
      <c r="U271" s="277" t="s">
        <v>634</v>
      </c>
      <c r="V271" s="277" t="s">
        <v>929</v>
      </c>
      <c r="W271" s="277" t="s">
        <v>930</v>
      </c>
      <c r="X271" s="164" t="s">
        <v>723</v>
      </c>
      <c r="AA271" s="278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  <c r="BN271" s="154"/>
      <c r="BO271" s="154"/>
      <c r="BP271" s="154"/>
      <c r="BQ271" s="154"/>
      <c r="BR271" s="154"/>
      <c r="BS271" s="154"/>
      <c r="BT271" s="154"/>
      <c r="BU271" s="154"/>
      <c r="BV271" s="154"/>
      <c r="BW271" s="154"/>
      <c r="BX271" s="154"/>
      <c r="BY271" s="154"/>
      <c r="BZ271" s="154"/>
      <c r="CA271" s="154"/>
      <c r="CB271" s="154"/>
      <c r="CC271" s="154"/>
      <c r="CD271" s="154"/>
      <c r="CE271" s="154"/>
      <c r="CF271" s="154"/>
      <c r="CG271" s="154"/>
      <c r="CH271" s="154"/>
      <c r="CI271" s="154"/>
      <c r="CJ271" s="154"/>
      <c r="CK271" s="154"/>
      <c r="CL271" s="154"/>
      <c r="CM271" s="154"/>
      <c r="CN271" s="154"/>
      <c r="CO271" s="154"/>
      <c r="CP271" s="154"/>
      <c r="CQ271" s="154"/>
      <c r="CR271" s="154"/>
      <c r="CS271" s="154"/>
      <c r="CT271" s="154"/>
      <c r="CU271" s="154"/>
      <c r="CV271" s="154"/>
      <c r="CW271" s="154"/>
      <c r="CX271" s="154"/>
      <c r="CY271" s="154"/>
      <c r="CZ271" s="154"/>
      <c r="DA271" s="154"/>
      <c r="DB271" s="154"/>
      <c r="DC271" s="154"/>
      <c r="DD271" s="154"/>
      <c r="DE271" s="154"/>
      <c r="DF271" s="154"/>
      <c r="DG271" s="154"/>
      <c r="DH271" s="154"/>
      <c r="DI271" s="154"/>
      <c r="DJ271" s="154"/>
      <c r="DK271" s="154"/>
      <c r="DL271" s="154"/>
      <c r="DM271" s="154"/>
      <c r="DN271" s="154"/>
      <c r="DO271" s="154"/>
      <c r="DP271" s="154"/>
      <c r="DQ271" s="154"/>
      <c r="DR271" s="154"/>
      <c r="DS271" s="154"/>
      <c r="DT271" s="154"/>
      <c r="DU271" s="154"/>
      <c r="DV271" s="154"/>
      <c r="DW271" s="154"/>
      <c r="DX271" s="154"/>
      <c r="DY271" s="154"/>
      <c r="DZ271" s="154"/>
      <c r="EA271" s="154"/>
      <c r="EB271" s="154"/>
      <c r="EC271" s="154"/>
      <c r="ED271" s="154"/>
      <c r="EE271" s="154"/>
      <c r="EF271" s="154"/>
      <c r="EG271" s="154"/>
      <c r="EH271" s="154"/>
      <c r="EI271" s="154"/>
      <c r="EJ271" s="154"/>
      <c r="EK271" s="154"/>
      <c r="EL271" s="154"/>
      <c r="EM271" s="154"/>
      <c r="EN271" s="154"/>
      <c r="EO271" s="154"/>
      <c r="EP271" s="154"/>
      <c r="EQ271" s="154"/>
      <c r="ER271" s="154"/>
      <c r="ES271" s="154"/>
      <c r="ET271" s="154"/>
      <c r="EU271" s="154"/>
      <c r="EV271" s="154"/>
      <c r="EW271" s="154"/>
      <c r="EX271" s="154"/>
      <c r="EY271" s="154"/>
      <c r="EZ271" s="154"/>
      <c r="FA271" s="154"/>
      <c r="FB271" s="154"/>
      <c r="FC271" s="154"/>
      <c r="FD271" s="154"/>
      <c r="FE271" s="154"/>
      <c r="FF271" s="154"/>
      <c r="FG271" s="154"/>
      <c r="FH271" s="154"/>
      <c r="FI271" s="154"/>
      <c r="FJ271" s="154"/>
      <c r="FK271" s="154"/>
      <c r="FL271" s="154"/>
      <c r="FM271" s="154"/>
      <c r="FN271" s="154"/>
      <c r="FO271" s="154"/>
      <c r="FP271" s="154"/>
      <c r="FQ271" s="154"/>
      <c r="FR271" s="154"/>
      <c r="FS271" s="154"/>
      <c r="FT271" s="154"/>
      <c r="FU271" s="154"/>
      <c r="FV271" s="154"/>
      <c r="FW271" s="154"/>
      <c r="FX271" s="154"/>
    </row>
    <row r="272" spans="1:180" s="164" customFormat="1" ht="30" hidden="1" x14ac:dyDescent="0.25">
      <c r="A272" s="216" t="s">
        <v>1197</v>
      </c>
      <c r="B272" s="214" t="s">
        <v>210</v>
      </c>
      <c r="C272" s="268" t="s">
        <v>308</v>
      </c>
      <c r="D272" s="269">
        <v>0.05</v>
      </c>
      <c r="E272" s="269">
        <v>0.6</v>
      </c>
      <c r="F272" s="269">
        <v>0.15</v>
      </c>
      <c r="G272" s="269">
        <v>0.1</v>
      </c>
      <c r="H272" s="269">
        <v>0.1</v>
      </c>
      <c r="I272" s="155"/>
      <c r="J272" s="155"/>
      <c r="K272" s="155"/>
      <c r="L272" s="155"/>
      <c r="M272" s="155" t="s">
        <v>639</v>
      </c>
      <c r="N272" s="155" t="s">
        <v>639</v>
      </c>
      <c r="O272" s="155" t="s">
        <v>35</v>
      </c>
      <c r="P272" s="279">
        <f t="shared" si="3"/>
        <v>1</v>
      </c>
      <c r="Q272" s="165"/>
      <c r="R272" s="275"/>
      <c r="S272" s="286" t="s">
        <v>931</v>
      </c>
      <c r="T272" s="277" t="s">
        <v>634</v>
      </c>
      <c r="U272" s="277" t="s">
        <v>634</v>
      </c>
      <c r="V272" s="277" t="s">
        <v>932</v>
      </c>
      <c r="W272" s="288" t="s">
        <v>724</v>
      </c>
      <c r="X272" s="164" t="s">
        <v>653</v>
      </c>
      <c r="AA272" s="278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  <c r="BN272" s="154"/>
      <c r="BO272" s="154"/>
      <c r="BP272" s="154"/>
      <c r="BQ272" s="154"/>
      <c r="BR272" s="154"/>
      <c r="BS272" s="154"/>
      <c r="BT272" s="154"/>
      <c r="BU272" s="154"/>
      <c r="BV272" s="154"/>
      <c r="BW272" s="154"/>
      <c r="BX272" s="154"/>
      <c r="BY272" s="154"/>
      <c r="BZ272" s="154"/>
      <c r="CA272" s="154"/>
      <c r="CB272" s="154"/>
      <c r="CC272" s="154"/>
      <c r="CD272" s="154"/>
      <c r="CE272" s="154"/>
      <c r="CF272" s="154"/>
      <c r="CG272" s="154"/>
      <c r="CH272" s="154"/>
      <c r="CI272" s="154"/>
      <c r="CJ272" s="154"/>
      <c r="CK272" s="154"/>
      <c r="CL272" s="154"/>
      <c r="CM272" s="154"/>
      <c r="CN272" s="154"/>
      <c r="CO272" s="154"/>
      <c r="CP272" s="154"/>
      <c r="CQ272" s="154"/>
      <c r="CR272" s="154"/>
      <c r="CS272" s="154"/>
      <c r="CT272" s="154"/>
      <c r="CU272" s="154"/>
      <c r="CV272" s="154"/>
      <c r="CW272" s="154"/>
      <c r="CX272" s="154"/>
      <c r="CY272" s="154"/>
      <c r="CZ272" s="154"/>
      <c r="DA272" s="154"/>
      <c r="DB272" s="154"/>
      <c r="DC272" s="154"/>
      <c r="DD272" s="154"/>
      <c r="DE272" s="154"/>
      <c r="DF272" s="154"/>
      <c r="DG272" s="154"/>
      <c r="DH272" s="154"/>
      <c r="DI272" s="154"/>
      <c r="DJ272" s="154"/>
      <c r="DK272" s="154"/>
      <c r="DL272" s="154"/>
      <c r="DM272" s="154"/>
      <c r="DN272" s="154"/>
      <c r="DO272" s="154"/>
      <c r="DP272" s="154"/>
      <c r="DQ272" s="154"/>
      <c r="DR272" s="154"/>
      <c r="DS272" s="154"/>
      <c r="DT272" s="154"/>
      <c r="DU272" s="154"/>
      <c r="DV272" s="154"/>
      <c r="DW272" s="154"/>
      <c r="DX272" s="154"/>
      <c r="DY272" s="154"/>
      <c r="DZ272" s="154"/>
      <c r="EA272" s="154"/>
      <c r="EB272" s="154"/>
      <c r="EC272" s="154"/>
      <c r="ED272" s="154"/>
      <c r="EE272" s="154"/>
      <c r="EF272" s="154"/>
      <c r="EG272" s="154"/>
      <c r="EH272" s="154"/>
      <c r="EI272" s="154"/>
      <c r="EJ272" s="154"/>
      <c r="EK272" s="154"/>
      <c r="EL272" s="154"/>
      <c r="EM272" s="154"/>
      <c r="EN272" s="154"/>
      <c r="EO272" s="154"/>
      <c r="EP272" s="154"/>
      <c r="EQ272" s="154"/>
      <c r="ER272" s="154"/>
      <c r="ES272" s="154"/>
      <c r="ET272" s="154"/>
      <c r="EU272" s="154"/>
      <c r="EV272" s="154"/>
      <c r="EW272" s="154"/>
      <c r="EX272" s="154"/>
      <c r="EY272" s="154"/>
      <c r="EZ272" s="154"/>
      <c r="FA272" s="154"/>
      <c r="FB272" s="154"/>
      <c r="FC272" s="154"/>
      <c r="FD272" s="154"/>
      <c r="FE272" s="154"/>
      <c r="FF272" s="154"/>
      <c r="FG272" s="154"/>
      <c r="FH272" s="154"/>
      <c r="FI272" s="154"/>
      <c r="FJ272" s="154"/>
      <c r="FK272" s="154"/>
      <c r="FL272" s="154"/>
      <c r="FM272" s="154"/>
      <c r="FN272" s="154"/>
      <c r="FO272" s="154"/>
      <c r="FP272" s="154"/>
      <c r="FQ272" s="154"/>
      <c r="FR272" s="154"/>
      <c r="FS272" s="154"/>
      <c r="FT272" s="154"/>
      <c r="FU272" s="154"/>
      <c r="FV272" s="154"/>
      <c r="FW272" s="154"/>
      <c r="FX272" s="154"/>
    </row>
    <row r="273" spans="1:180" s="164" customFormat="1" ht="30" hidden="1" x14ac:dyDescent="0.25">
      <c r="A273" s="216" t="s">
        <v>1198</v>
      </c>
      <c r="B273" s="214" t="s">
        <v>210</v>
      </c>
      <c r="C273" s="268" t="s">
        <v>309</v>
      </c>
      <c r="D273" s="269">
        <v>0.05</v>
      </c>
      <c r="E273" s="269">
        <v>0.6</v>
      </c>
      <c r="F273" s="269">
        <v>0.15</v>
      </c>
      <c r="G273" s="269">
        <v>0.1</v>
      </c>
      <c r="H273" s="269">
        <v>0.1</v>
      </c>
      <c r="I273" s="155"/>
      <c r="J273" s="155"/>
      <c r="K273" s="155"/>
      <c r="L273" s="155"/>
      <c r="M273" s="155" t="s">
        <v>639</v>
      </c>
      <c r="N273" s="155" t="s">
        <v>639</v>
      </c>
      <c r="O273" s="155" t="s">
        <v>35</v>
      </c>
      <c r="P273" s="279">
        <f t="shared" si="3"/>
        <v>1</v>
      </c>
      <c r="Q273" s="165"/>
      <c r="R273" s="275"/>
      <c r="S273" s="286" t="s">
        <v>931</v>
      </c>
      <c r="T273" s="277" t="s">
        <v>634</v>
      </c>
      <c r="U273" s="277" t="s">
        <v>634</v>
      </c>
      <c r="V273" s="277" t="s">
        <v>932</v>
      </c>
      <c r="W273" s="288" t="s">
        <v>724</v>
      </c>
      <c r="X273" s="164" t="s">
        <v>653</v>
      </c>
      <c r="AA273" s="278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  <c r="BN273" s="154"/>
      <c r="BO273" s="154"/>
      <c r="BP273" s="154"/>
      <c r="BQ273" s="154"/>
      <c r="BR273" s="154"/>
      <c r="BS273" s="154"/>
      <c r="BT273" s="154"/>
      <c r="BU273" s="154"/>
      <c r="BV273" s="154"/>
      <c r="BW273" s="154"/>
      <c r="BX273" s="154"/>
      <c r="BY273" s="154"/>
      <c r="BZ273" s="154"/>
      <c r="CA273" s="154"/>
      <c r="CB273" s="154"/>
      <c r="CC273" s="154"/>
      <c r="CD273" s="154"/>
      <c r="CE273" s="154"/>
      <c r="CF273" s="154"/>
      <c r="CG273" s="154"/>
      <c r="CH273" s="154"/>
      <c r="CI273" s="154"/>
      <c r="CJ273" s="154"/>
      <c r="CK273" s="154"/>
      <c r="CL273" s="154"/>
      <c r="CM273" s="154"/>
      <c r="CN273" s="154"/>
      <c r="CO273" s="154"/>
      <c r="CP273" s="154"/>
      <c r="CQ273" s="154"/>
      <c r="CR273" s="154"/>
      <c r="CS273" s="154"/>
      <c r="CT273" s="154"/>
      <c r="CU273" s="154"/>
      <c r="CV273" s="154"/>
      <c r="CW273" s="154"/>
      <c r="CX273" s="154"/>
      <c r="CY273" s="154"/>
      <c r="CZ273" s="154"/>
      <c r="DA273" s="154"/>
      <c r="DB273" s="154"/>
      <c r="DC273" s="154"/>
      <c r="DD273" s="154"/>
      <c r="DE273" s="154"/>
      <c r="DF273" s="154"/>
      <c r="DG273" s="154"/>
      <c r="DH273" s="154"/>
      <c r="DI273" s="154"/>
      <c r="DJ273" s="154"/>
      <c r="DK273" s="154"/>
      <c r="DL273" s="154"/>
      <c r="DM273" s="154"/>
      <c r="DN273" s="154"/>
      <c r="DO273" s="154"/>
      <c r="DP273" s="154"/>
      <c r="DQ273" s="154"/>
      <c r="DR273" s="154"/>
      <c r="DS273" s="154"/>
      <c r="DT273" s="154"/>
      <c r="DU273" s="154"/>
      <c r="DV273" s="154"/>
      <c r="DW273" s="154"/>
      <c r="DX273" s="154"/>
      <c r="DY273" s="154"/>
      <c r="DZ273" s="154"/>
      <c r="EA273" s="154"/>
      <c r="EB273" s="154"/>
      <c r="EC273" s="154"/>
      <c r="ED273" s="154"/>
      <c r="EE273" s="154"/>
      <c r="EF273" s="154"/>
      <c r="EG273" s="154"/>
      <c r="EH273" s="154"/>
      <c r="EI273" s="154"/>
      <c r="EJ273" s="154"/>
      <c r="EK273" s="154"/>
      <c r="EL273" s="154"/>
      <c r="EM273" s="154"/>
      <c r="EN273" s="154"/>
      <c r="EO273" s="154"/>
      <c r="EP273" s="154"/>
      <c r="EQ273" s="154"/>
      <c r="ER273" s="154"/>
      <c r="ES273" s="154"/>
      <c r="ET273" s="154"/>
      <c r="EU273" s="154"/>
      <c r="EV273" s="154"/>
      <c r="EW273" s="154"/>
      <c r="EX273" s="154"/>
      <c r="EY273" s="154"/>
      <c r="EZ273" s="154"/>
      <c r="FA273" s="154"/>
      <c r="FB273" s="154"/>
      <c r="FC273" s="154"/>
      <c r="FD273" s="154"/>
      <c r="FE273" s="154"/>
      <c r="FF273" s="154"/>
      <c r="FG273" s="154"/>
      <c r="FH273" s="154"/>
      <c r="FI273" s="154"/>
      <c r="FJ273" s="154"/>
      <c r="FK273" s="154"/>
      <c r="FL273" s="154"/>
      <c r="FM273" s="154"/>
      <c r="FN273" s="154"/>
      <c r="FO273" s="154"/>
      <c r="FP273" s="154"/>
      <c r="FQ273" s="154"/>
      <c r="FR273" s="154"/>
      <c r="FS273" s="154"/>
      <c r="FT273" s="154"/>
      <c r="FU273" s="154"/>
      <c r="FV273" s="154"/>
      <c r="FW273" s="154"/>
      <c r="FX273" s="154"/>
    </row>
    <row r="274" spans="1:180" s="164" customFormat="1" ht="30" hidden="1" x14ac:dyDescent="0.25">
      <c r="A274" s="216" t="s">
        <v>1199</v>
      </c>
      <c r="B274" s="214" t="s">
        <v>210</v>
      </c>
      <c r="C274" s="268" t="s">
        <v>310</v>
      </c>
      <c r="D274" s="269">
        <v>0.05</v>
      </c>
      <c r="E274" s="269">
        <v>0.6</v>
      </c>
      <c r="F274" s="269">
        <v>0.15</v>
      </c>
      <c r="G274" s="269">
        <v>0.1</v>
      </c>
      <c r="H274" s="269">
        <v>0.1</v>
      </c>
      <c r="I274" s="155"/>
      <c r="J274" s="155"/>
      <c r="K274" s="155"/>
      <c r="L274" s="155"/>
      <c r="M274" s="155" t="s">
        <v>639</v>
      </c>
      <c r="N274" s="155" t="s">
        <v>639</v>
      </c>
      <c r="O274" s="155" t="s">
        <v>35</v>
      </c>
      <c r="P274" s="279">
        <f t="shared" si="3"/>
        <v>1</v>
      </c>
      <c r="Q274" s="165"/>
      <c r="R274" s="275"/>
      <c r="S274" s="286" t="s">
        <v>931</v>
      </c>
      <c r="T274" s="277" t="s">
        <v>634</v>
      </c>
      <c r="U274" s="277" t="s">
        <v>634</v>
      </c>
      <c r="V274" s="277" t="s">
        <v>932</v>
      </c>
      <c r="W274" s="288" t="s">
        <v>724</v>
      </c>
      <c r="X274" s="164" t="s">
        <v>653</v>
      </c>
      <c r="AA274" s="278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  <c r="BN274" s="154"/>
      <c r="BO274" s="154"/>
      <c r="BP274" s="154"/>
      <c r="BQ274" s="154"/>
      <c r="BR274" s="154"/>
      <c r="BS274" s="154"/>
      <c r="BT274" s="154"/>
      <c r="BU274" s="154"/>
      <c r="BV274" s="154"/>
      <c r="BW274" s="154"/>
      <c r="BX274" s="154"/>
      <c r="BY274" s="154"/>
      <c r="BZ274" s="154"/>
      <c r="CA274" s="154"/>
      <c r="CB274" s="154"/>
      <c r="CC274" s="154"/>
      <c r="CD274" s="154"/>
      <c r="CE274" s="154"/>
      <c r="CF274" s="154"/>
      <c r="CG274" s="154"/>
      <c r="CH274" s="154"/>
      <c r="CI274" s="154"/>
      <c r="CJ274" s="154"/>
      <c r="CK274" s="154"/>
      <c r="CL274" s="154"/>
      <c r="CM274" s="154"/>
      <c r="CN274" s="154"/>
      <c r="CO274" s="154"/>
      <c r="CP274" s="154"/>
      <c r="CQ274" s="154"/>
      <c r="CR274" s="154"/>
      <c r="CS274" s="154"/>
      <c r="CT274" s="154"/>
      <c r="CU274" s="154"/>
      <c r="CV274" s="154"/>
      <c r="CW274" s="154"/>
      <c r="CX274" s="154"/>
      <c r="CY274" s="154"/>
      <c r="CZ274" s="154"/>
      <c r="DA274" s="154"/>
      <c r="DB274" s="154"/>
      <c r="DC274" s="154"/>
      <c r="DD274" s="154"/>
      <c r="DE274" s="154"/>
      <c r="DF274" s="154"/>
      <c r="DG274" s="154"/>
      <c r="DH274" s="154"/>
      <c r="DI274" s="154"/>
      <c r="DJ274" s="154"/>
      <c r="DK274" s="154"/>
      <c r="DL274" s="154"/>
      <c r="DM274" s="154"/>
      <c r="DN274" s="154"/>
      <c r="DO274" s="154"/>
      <c r="DP274" s="154"/>
      <c r="DQ274" s="154"/>
      <c r="DR274" s="154"/>
      <c r="DS274" s="154"/>
      <c r="DT274" s="154"/>
      <c r="DU274" s="154"/>
      <c r="DV274" s="154"/>
      <c r="DW274" s="154"/>
      <c r="DX274" s="154"/>
      <c r="DY274" s="154"/>
      <c r="DZ274" s="154"/>
      <c r="EA274" s="154"/>
      <c r="EB274" s="154"/>
      <c r="EC274" s="154"/>
      <c r="ED274" s="154"/>
      <c r="EE274" s="154"/>
      <c r="EF274" s="154"/>
      <c r="EG274" s="154"/>
      <c r="EH274" s="154"/>
      <c r="EI274" s="154"/>
      <c r="EJ274" s="154"/>
      <c r="EK274" s="154"/>
      <c r="EL274" s="154"/>
      <c r="EM274" s="154"/>
      <c r="EN274" s="154"/>
      <c r="EO274" s="154"/>
      <c r="EP274" s="154"/>
      <c r="EQ274" s="154"/>
      <c r="ER274" s="154"/>
      <c r="ES274" s="154"/>
      <c r="ET274" s="154"/>
      <c r="EU274" s="154"/>
      <c r="EV274" s="154"/>
      <c r="EW274" s="154"/>
      <c r="EX274" s="154"/>
      <c r="EY274" s="154"/>
      <c r="EZ274" s="154"/>
      <c r="FA274" s="154"/>
      <c r="FB274" s="154"/>
      <c r="FC274" s="154"/>
      <c r="FD274" s="154"/>
      <c r="FE274" s="154"/>
      <c r="FF274" s="154"/>
      <c r="FG274" s="154"/>
      <c r="FH274" s="154"/>
      <c r="FI274" s="154"/>
      <c r="FJ274" s="154"/>
      <c r="FK274" s="154"/>
      <c r="FL274" s="154"/>
      <c r="FM274" s="154"/>
      <c r="FN274" s="154"/>
      <c r="FO274" s="154"/>
      <c r="FP274" s="154"/>
      <c r="FQ274" s="154"/>
      <c r="FR274" s="154"/>
      <c r="FS274" s="154"/>
      <c r="FT274" s="154"/>
      <c r="FU274" s="154"/>
      <c r="FV274" s="154"/>
      <c r="FW274" s="154"/>
      <c r="FX274" s="154"/>
    </row>
    <row r="275" spans="1:180" s="164" customFormat="1" ht="30" hidden="1" x14ac:dyDescent="0.25">
      <c r="A275" s="216" t="s">
        <v>1200</v>
      </c>
      <c r="B275" s="214" t="s">
        <v>210</v>
      </c>
      <c r="C275" s="268" t="s">
        <v>311</v>
      </c>
      <c r="D275" s="269">
        <v>0.05</v>
      </c>
      <c r="E275" s="269">
        <v>0.6</v>
      </c>
      <c r="F275" s="269">
        <v>0.15</v>
      </c>
      <c r="G275" s="269">
        <v>0.1</v>
      </c>
      <c r="H275" s="269">
        <v>0.1</v>
      </c>
      <c r="I275" s="155"/>
      <c r="J275" s="155"/>
      <c r="K275" s="155"/>
      <c r="L275" s="155"/>
      <c r="M275" s="155" t="s">
        <v>639</v>
      </c>
      <c r="N275" s="155" t="s">
        <v>639</v>
      </c>
      <c r="O275" s="155" t="s">
        <v>35</v>
      </c>
      <c r="P275" s="279">
        <f t="shared" si="3"/>
        <v>1</v>
      </c>
      <c r="Q275" s="165"/>
      <c r="R275" s="275"/>
      <c r="S275" s="286" t="s">
        <v>931</v>
      </c>
      <c r="T275" s="277" t="s">
        <v>634</v>
      </c>
      <c r="U275" s="277" t="s">
        <v>634</v>
      </c>
      <c r="V275" s="277" t="s">
        <v>932</v>
      </c>
      <c r="W275" s="288" t="s">
        <v>724</v>
      </c>
      <c r="X275" s="164" t="s">
        <v>653</v>
      </c>
      <c r="AA275" s="278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  <c r="BN275" s="154"/>
      <c r="BO275" s="154"/>
      <c r="BP275" s="154"/>
      <c r="BQ275" s="154"/>
      <c r="BR275" s="154"/>
      <c r="BS275" s="154"/>
      <c r="BT275" s="154"/>
      <c r="BU275" s="154"/>
      <c r="BV275" s="154"/>
      <c r="BW275" s="154"/>
      <c r="BX275" s="154"/>
      <c r="BY275" s="154"/>
      <c r="BZ275" s="154"/>
      <c r="CA275" s="154"/>
      <c r="CB275" s="154"/>
      <c r="CC275" s="154"/>
      <c r="CD275" s="154"/>
      <c r="CE275" s="154"/>
      <c r="CF275" s="154"/>
      <c r="CG275" s="154"/>
      <c r="CH275" s="154"/>
      <c r="CI275" s="154"/>
      <c r="CJ275" s="154"/>
      <c r="CK275" s="154"/>
      <c r="CL275" s="154"/>
      <c r="CM275" s="154"/>
      <c r="CN275" s="154"/>
      <c r="CO275" s="154"/>
      <c r="CP275" s="154"/>
      <c r="CQ275" s="154"/>
      <c r="CR275" s="154"/>
      <c r="CS275" s="154"/>
      <c r="CT275" s="154"/>
      <c r="CU275" s="154"/>
      <c r="CV275" s="154"/>
      <c r="CW275" s="154"/>
      <c r="CX275" s="154"/>
      <c r="CY275" s="154"/>
      <c r="CZ275" s="154"/>
      <c r="DA275" s="154"/>
      <c r="DB275" s="154"/>
      <c r="DC275" s="154"/>
      <c r="DD275" s="154"/>
      <c r="DE275" s="154"/>
      <c r="DF275" s="154"/>
      <c r="DG275" s="154"/>
      <c r="DH275" s="154"/>
      <c r="DI275" s="154"/>
      <c r="DJ275" s="154"/>
      <c r="DK275" s="154"/>
      <c r="DL275" s="154"/>
      <c r="DM275" s="154"/>
      <c r="DN275" s="154"/>
      <c r="DO275" s="154"/>
      <c r="DP275" s="154"/>
      <c r="DQ275" s="154"/>
      <c r="DR275" s="154"/>
      <c r="DS275" s="154"/>
      <c r="DT275" s="154"/>
      <c r="DU275" s="154"/>
      <c r="DV275" s="154"/>
      <c r="DW275" s="154"/>
      <c r="DX275" s="154"/>
      <c r="DY275" s="154"/>
      <c r="DZ275" s="154"/>
      <c r="EA275" s="154"/>
      <c r="EB275" s="154"/>
      <c r="EC275" s="154"/>
      <c r="ED275" s="154"/>
      <c r="EE275" s="154"/>
      <c r="EF275" s="154"/>
      <c r="EG275" s="154"/>
      <c r="EH275" s="154"/>
      <c r="EI275" s="154"/>
      <c r="EJ275" s="154"/>
      <c r="EK275" s="154"/>
      <c r="EL275" s="154"/>
      <c r="EM275" s="154"/>
      <c r="EN275" s="154"/>
      <c r="EO275" s="154"/>
      <c r="EP275" s="154"/>
      <c r="EQ275" s="154"/>
      <c r="ER275" s="154"/>
      <c r="ES275" s="154"/>
      <c r="ET275" s="154"/>
      <c r="EU275" s="154"/>
      <c r="EV275" s="154"/>
      <c r="EW275" s="154"/>
      <c r="EX275" s="154"/>
      <c r="EY275" s="154"/>
      <c r="EZ275" s="154"/>
      <c r="FA275" s="154"/>
      <c r="FB275" s="154"/>
      <c r="FC275" s="154"/>
      <c r="FD275" s="154"/>
      <c r="FE275" s="154"/>
      <c r="FF275" s="154"/>
      <c r="FG275" s="154"/>
      <c r="FH275" s="154"/>
      <c r="FI275" s="154"/>
      <c r="FJ275" s="154"/>
      <c r="FK275" s="154"/>
      <c r="FL275" s="154"/>
      <c r="FM275" s="154"/>
      <c r="FN275" s="154"/>
      <c r="FO275" s="154"/>
      <c r="FP275" s="154"/>
      <c r="FQ275" s="154"/>
      <c r="FR275" s="154"/>
      <c r="FS275" s="154"/>
      <c r="FT275" s="154"/>
      <c r="FU275" s="154"/>
      <c r="FV275" s="154"/>
      <c r="FW275" s="154"/>
      <c r="FX275" s="154"/>
    </row>
    <row r="276" spans="1:180" s="164" customFormat="1" ht="30" hidden="1" x14ac:dyDescent="0.25">
      <c r="A276" s="216" t="s">
        <v>1201</v>
      </c>
      <c r="B276" s="214" t="s">
        <v>210</v>
      </c>
      <c r="C276" s="268" t="s">
        <v>312</v>
      </c>
      <c r="D276" s="269">
        <v>0.05</v>
      </c>
      <c r="E276" s="269">
        <v>0.6</v>
      </c>
      <c r="F276" s="269">
        <v>0.15</v>
      </c>
      <c r="G276" s="269">
        <v>0.1</v>
      </c>
      <c r="H276" s="269">
        <v>0.1</v>
      </c>
      <c r="I276" s="155"/>
      <c r="J276" s="155"/>
      <c r="K276" s="155"/>
      <c r="L276" s="155"/>
      <c r="M276" s="155" t="s">
        <v>639</v>
      </c>
      <c r="N276" s="155" t="s">
        <v>639</v>
      </c>
      <c r="O276" s="155" t="s">
        <v>35</v>
      </c>
      <c r="P276" s="279">
        <f t="shared" si="3"/>
        <v>1</v>
      </c>
      <c r="Q276" s="165"/>
      <c r="R276" s="275"/>
      <c r="S276" s="286" t="s">
        <v>725</v>
      </c>
      <c r="T276" s="277" t="s">
        <v>634</v>
      </c>
      <c r="U276" s="277" t="s">
        <v>634</v>
      </c>
      <c r="V276" s="287"/>
      <c r="W276" s="287"/>
      <c r="X276" s="164" t="s">
        <v>723</v>
      </c>
      <c r="AA276" s="278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  <c r="BN276" s="154"/>
      <c r="BO276" s="154"/>
      <c r="BP276" s="154"/>
      <c r="BQ276" s="154"/>
      <c r="BR276" s="154"/>
      <c r="BS276" s="154"/>
      <c r="BT276" s="154"/>
      <c r="BU276" s="154"/>
      <c r="BV276" s="154"/>
      <c r="BW276" s="154"/>
      <c r="BX276" s="154"/>
      <c r="BY276" s="154"/>
      <c r="BZ276" s="154"/>
      <c r="CA276" s="154"/>
      <c r="CB276" s="154"/>
      <c r="CC276" s="154"/>
      <c r="CD276" s="154"/>
      <c r="CE276" s="154"/>
      <c r="CF276" s="154"/>
      <c r="CG276" s="154"/>
      <c r="CH276" s="154"/>
      <c r="CI276" s="154"/>
      <c r="CJ276" s="154"/>
      <c r="CK276" s="154"/>
      <c r="CL276" s="154"/>
      <c r="CM276" s="154"/>
      <c r="CN276" s="154"/>
      <c r="CO276" s="154"/>
      <c r="CP276" s="154"/>
      <c r="CQ276" s="154"/>
      <c r="CR276" s="154"/>
      <c r="CS276" s="154"/>
      <c r="CT276" s="154"/>
      <c r="CU276" s="154"/>
      <c r="CV276" s="154"/>
      <c r="CW276" s="154"/>
      <c r="CX276" s="154"/>
      <c r="CY276" s="154"/>
      <c r="CZ276" s="154"/>
      <c r="DA276" s="154"/>
      <c r="DB276" s="154"/>
      <c r="DC276" s="154"/>
      <c r="DD276" s="154"/>
      <c r="DE276" s="154"/>
      <c r="DF276" s="154"/>
      <c r="DG276" s="154"/>
      <c r="DH276" s="154"/>
      <c r="DI276" s="154"/>
      <c r="DJ276" s="154"/>
      <c r="DK276" s="154"/>
      <c r="DL276" s="154"/>
      <c r="DM276" s="154"/>
      <c r="DN276" s="154"/>
      <c r="DO276" s="154"/>
      <c r="DP276" s="154"/>
      <c r="DQ276" s="154"/>
      <c r="DR276" s="154"/>
      <c r="DS276" s="154"/>
      <c r="DT276" s="154"/>
      <c r="DU276" s="154"/>
      <c r="DV276" s="154"/>
      <c r="DW276" s="154"/>
      <c r="DX276" s="154"/>
      <c r="DY276" s="154"/>
      <c r="DZ276" s="154"/>
      <c r="EA276" s="154"/>
      <c r="EB276" s="154"/>
      <c r="EC276" s="154"/>
      <c r="ED276" s="154"/>
      <c r="EE276" s="154"/>
      <c r="EF276" s="154"/>
      <c r="EG276" s="154"/>
      <c r="EH276" s="154"/>
      <c r="EI276" s="154"/>
      <c r="EJ276" s="154"/>
      <c r="EK276" s="154"/>
      <c r="EL276" s="154"/>
      <c r="EM276" s="154"/>
      <c r="EN276" s="154"/>
      <c r="EO276" s="154"/>
      <c r="EP276" s="154"/>
      <c r="EQ276" s="154"/>
      <c r="ER276" s="154"/>
      <c r="ES276" s="154"/>
      <c r="ET276" s="154"/>
      <c r="EU276" s="154"/>
      <c r="EV276" s="154"/>
      <c r="EW276" s="154"/>
      <c r="EX276" s="154"/>
      <c r="EY276" s="154"/>
      <c r="EZ276" s="154"/>
      <c r="FA276" s="154"/>
      <c r="FB276" s="154"/>
      <c r="FC276" s="154"/>
      <c r="FD276" s="154"/>
      <c r="FE276" s="154"/>
      <c r="FF276" s="154"/>
      <c r="FG276" s="154"/>
      <c r="FH276" s="154"/>
      <c r="FI276" s="154"/>
      <c r="FJ276" s="154"/>
      <c r="FK276" s="154"/>
      <c r="FL276" s="154"/>
      <c r="FM276" s="154"/>
      <c r="FN276" s="154"/>
      <c r="FO276" s="154"/>
      <c r="FP276" s="154"/>
      <c r="FQ276" s="154"/>
      <c r="FR276" s="154"/>
      <c r="FS276" s="154"/>
      <c r="FT276" s="154"/>
      <c r="FU276" s="154"/>
      <c r="FV276" s="154"/>
      <c r="FW276" s="154"/>
      <c r="FX276" s="154"/>
    </row>
    <row r="277" spans="1:180" s="164" customFormat="1" ht="30" hidden="1" x14ac:dyDescent="0.25">
      <c r="A277" s="216" t="s">
        <v>1202</v>
      </c>
      <c r="B277" s="214" t="s">
        <v>210</v>
      </c>
      <c r="C277" s="268" t="s">
        <v>313</v>
      </c>
      <c r="D277" s="269">
        <v>0.05</v>
      </c>
      <c r="E277" s="269">
        <v>0.6</v>
      </c>
      <c r="F277" s="269">
        <v>0.15</v>
      </c>
      <c r="G277" s="269">
        <v>0.1</v>
      </c>
      <c r="H277" s="269">
        <v>0.1</v>
      </c>
      <c r="I277" s="155"/>
      <c r="J277" s="155"/>
      <c r="K277" s="155"/>
      <c r="L277" s="155"/>
      <c r="M277" s="155" t="s">
        <v>639</v>
      </c>
      <c r="N277" s="155" t="s">
        <v>639</v>
      </c>
      <c r="O277" s="155" t="s">
        <v>35</v>
      </c>
      <c r="P277" s="279">
        <f t="shared" si="3"/>
        <v>1</v>
      </c>
      <c r="Q277" s="165"/>
      <c r="R277" s="275"/>
      <c r="S277" s="286" t="s">
        <v>726</v>
      </c>
      <c r="T277" s="277" t="s">
        <v>634</v>
      </c>
      <c r="U277" s="277" t="s">
        <v>634</v>
      </c>
      <c r="V277" s="277" t="s">
        <v>933</v>
      </c>
      <c r="W277" s="288" t="s">
        <v>727</v>
      </c>
      <c r="X277" s="164" t="s">
        <v>653</v>
      </c>
      <c r="AA277" s="278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  <c r="BN277" s="154"/>
      <c r="BO277" s="154"/>
      <c r="BP277" s="154"/>
      <c r="BQ277" s="154"/>
      <c r="BR277" s="154"/>
      <c r="BS277" s="154"/>
      <c r="BT277" s="154"/>
      <c r="BU277" s="154"/>
      <c r="BV277" s="154"/>
      <c r="BW277" s="154"/>
      <c r="BX277" s="154"/>
      <c r="BY277" s="154"/>
      <c r="BZ277" s="154"/>
      <c r="CA277" s="154"/>
      <c r="CB277" s="154"/>
      <c r="CC277" s="154"/>
      <c r="CD277" s="154"/>
      <c r="CE277" s="154"/>
      <c r="CF277" s="154"/>
      <c r="CG277" s="154"/>
      <c r="CH277" s="154"/>
      <c r="CI277" s="154"/>
      <c r="CJ277" s="154"/>
      <c r="CK277" s="154"/>
      <c r="CL277" s="154"/>
      <c r="CM277" s="154"/>
      <c r="CN277" s="154"/>
      <c r="CO277" s="154"/>
      <c r="CP277" s="154"/>
      <c r="CQ277" s="154"/>
      <c r="CR277" s="154"/>
      <c r="CS277" s="154"/>
      <c r="CT277" s="154"/>
      <c r="CU277" s="154"/>
      <c r="CV277" s="154"/>
      <c r="CW277" s="154"/>
      <c r="CX277" s="154"/>
      <c r="CY277" s="154"/>
      <c r="CZ277" s="154"/>
      <c r="DA277" s="154"/>
      <c r="DB277" s="154"/>
      <c r="DC277" s="154"/>
      <c r="DD277" s="154"/>
      <c r="DE277" s="154"/>
      <c r="DF277" s="154"/>
      <c r="DG277" s="154"/>
      <c r="DH277" s="154"/>
      <c r="DI277" s="154"/>
      <c r="DJ277" s="154"/>
      <c r="DK277" s="154"/>
      <c r="DL277" s="154"/>
      <c r="DM277" s="154"/>
      <c r="DN277" s="154"/>
      <c r="DO277" s="154"/>
      <c r="DP277" s="154"/>
      <c r="DQ277" s="154"/>
      <c r="DR277" s="154"/>
      <c r="DS277" s="154"/>
      <c r="DT277" s="154"/>
      <c r="DU277" s="154"/>
      <c r="DV277" s="154"/>
      <c r="DW277" s="154"/>
      <c r="DX277" s="154"/>
      <c r="DY277" s="154"/>
      <c r="DZ277" s="154"/>
      <c r="EA277" s="154"/>
      <c r="EB277" s="154"/>
      <c r="EC277" s="154"/>
      <c r="ED277" s="154"/>
      <c r="EE277" s="154"/>
      <c r="EF277" s="154"/>
      <c r="EG277" s="154"/>
      <c r="EH277" s="154"/>
      <c r="EI277" s="154"/>
      <c r="EJ277" s="154"/>
      <c r="EK277" s="154"/>
      <c r="EL277" s="154"/>
      <c r="EM277" s="154"/>
      <c r="EN277" s="154"/>
      <c r="EO277" s="154"/>
      <c r="EP277" s="154"/>
      <c r="EQ277" s="154"/>
      <c r="ER277" s="154"/>
      <c r="ES277" s="154"/>
      <c r="ET277" s="154"/>
      <c r="EU277" s="154"/>
      <c r="EV277" s="154"/>
      <c r="EW277" s="154"/>
      <c r="EX277" s="154"/>
      <c r="EY277" s="154"/>
      <c r="EZ277" s="154"/>
      <c r="FA277" s="154"/>
      <c r="FB277" s="154"/>
      <c r="FC277" s="154"/>
      <c r="FD277" s="154"/>
      <c r="FE277" s="154"/>
      <c r="FF277" s="154"/>
      <c r="FG277" s="154"/>
      <c r="FH277" s="154"/>
      <c r="FI277" s="154"/>
      <c r="FJ277" s="154"/>
      <c r="FK277" s="154"/>
      <c r="FL277" s="154"/>
      <c r="FM277" s="154"/>
      <c r="FN277" s="154"/>
      <c r="FO277" s="154"/>
      <c r="FP277" s="154"/>
      <c r="FQ277" s="154"/>
      <c r="FR277" s="154"/>
      <c r="FS277" s="154"/>
      <c r="FT277" s="154"/>
      <c r="FU277" s="154"/>
      <c r="FV277" s="154"/>
      <c r="FW277" s="154"/>
      <c r="FX277" s="154"/>
    </row>
    <row r="278" spans="1:180" s="164" customFormat="1" ht="30" hidden="1" x14ac:dyDescent="0.25">
      <c r="A278" s="216" t="s">
        <v>1203</v>
      </c>
      <c r="B278" s="214" t="s">
        <v>210</v>
      </c>
      <c r="C278" s="268" t="s">
        <v>314</v>
      </c>
      <c r="D278" s="269">
        <v>0.05</v>
      </c>
      <c r="E278" s="269">
        <v>0.6</v>
      </c>
      <c r="F278" s="269">
        <v>0.15</v>
      </c>
      <c r="G278" s="269">
        <v>0.1</v>
      </c>
      <c r="H278" s="269">
        <v>0.1</v>
      </c>
      <c r="I278" s="155"/>
      <c r="J278" s="155"/>
      <c r="K278" s="155"/>
      <c r="L278" s="155"/>
      <c r="M278" s="155" t="s">
        <v>639</v>
      </c>
      <c r="N278" s="155" t="s">
        <v>639</v>
      </c>
      <c r="O278" s="155" t="s">
        <v>35</v>
      </c>
      <c r="P278" s="279">
        <f t="shared" si="3"/>
        <v>1</v>
      </c>
      <c r="Q278" s="165"/>
      <c r="R278" s="275"/>
      <c r="S278" s="286" t="s">
        <v>726</v>
      </c>
      <c r="T278" s="277" t="s">
        <v>634</v>
      </c>
      <c r="U278" s="277" t="s">
        <v>634</v>
      </c>
      <c r="V278" s="277" t="s">
        <v>933</v>
      </c>
      <c r="W278" s="288" t="s">
        <v>727</v>
      </c>
      <c r="X278" s="164" t="s">
        <v>653</v>
      </c>
      <c r="AA278" s="278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  <c r="BN278" s="154"/>
      <c r="BO278" s="154"/>
      <c r="BP278" s="154"/>
      <c r="BQ278" s="154"/>
      <c r="BR278" s="154"/>
      <c r="BS278" s="154"/>
      <c r="BT278" s="154"/>
      <c r="BU278" s="154"/>
      <c r="BV278" s="154"/>
      <c r="BW278" s="154"/>
      <c r="BX278" s="154"/>
      <c r="BY278" s="154"/>
      <c r="BZ278" s="154"/>
      <c r="CA278" s="154"/>
      <c r="CB278" s="154"/>
      <c r="CC278" s="154"/>
      <c r="CD278" s="154"/>
      <c r="CE278" s="154"/>
      <c r="CF278" s="154"/>
      <c r="CG278" s="154"/>
      <c r="CH278" s="154"/>
      <c r="CI278" s="154"/>
      <c r="CJ278" s="154"/>
      <c r="CK278" s="154"/>
      <c r="CL278" s="154"/>
      <c r="CM278" s="154"/>
      <c r="CN278" s="154"/>
      <c r="CO278" s="154"/>
      <c r="CP278" s="154"/>
      <c r="CQ278" s="154"/>
      <c r="CR278" s="154"/>
      <c r="CS278" s="154"/>
      <c r="CT278" s="154"/>
      <c r="CU278" s="154"/>
      <c r="CV278" s="154"/>
      <c r="CW278" s="154"/>
      <c r="CX278" s="154"/>
      <c r="CY278" s="154"/>
      <c r="CZ278" s="154"/>
      <c r="DA278" s="154"/>
      <c r="DB278" s="154"/>
      <c r="DC278" s="154"/>
      <c r="DD278" s="154"/>
      <c r="DE278" s="154"/>
      <c r="DF278" s="154"/>
      <c r="DG278" s="154"/>
      <c r="DH278" s="154"/>
      <c r="DI278" s="154"/>
      <c r="DJ278" s="154"/>
      <c r="DK278" s="154"/>
      <c r="DL278" s="154"/>
      <c r="DM278" s="154"/>
      <c r="DN278" s="154"/>
      <c r="DO278" s="154"/>
      <c r="DP278" s="154"/>
      <c r="DQ278" s="154"/>
      <c r="DR278" s="154"/>
      <c r="DS278" s="154"/>
      <c r="DT278" s="154"/>
      <c r="DU278" s="154"/>
      <c r="DV278" s="154"/>
      <c r="DW278" s="154"/>
      <c r="DX278" s="154"/>
      <c r="DY278" s="154"/>
      <c r="DZ278" s="154"/>
      <c r="EA278" s="154"/>
      <c r="EB278" s="154"/>
      <c r="EC278" s="154"/>
      <c r="ED278" s="154"/>
      <c r="EE278" s="154"/>
      <c r="EF278" s="154"/>
      <c r="EG278" s="154"/>
      <c r="EH278" s="154"/>
      <c r="EI278" s="154"/>
      <c r="EJ278" s="154"/>
      <c r="EK278" s="154"/>
      <c r="EL278" s="154"/>
      <c r="EM278" s="154"/>
      <c r="EN278" s="154"/>
      <c r="EO278" s="154"/>
      <c r="EP278" s="154"/>
      <c r="EQ278" s="154"/>
      <c r="ER278" s="154"/>
      <c r="ES278" s="154"/>
      <c r="ET278" s="154"/>
      <c r="EU278" s="154"/>
      <c r="EV278" s="154"/>
      <c r="EW278" s="154"/>
      <c r="EX278" s="154"/>
      <c r="EY278" s="154"/>
      <c r="EZ278" s="154"/>
      <c r="FA278" s="154"/>
      <c r="FB278" s="154"/>
      <c r="FC278" s="154"/>
      <c r="FD278" s="154"/>
      <c r="FE278" s="154"/>
      <c r="FF278" s="154"/>
      <c r="FG278" s="154"/>
      <c r="FH278" s="154"/>
      <c r="FI278" s="154"/>
      <c r="FJ278" s="154"/>
      <c r="FK278" s="154"/>
      <c r="FL278" s="154"/>
      <c r="FM278" s="154"/>
      <c r="FN278" s="154"/>
      <c r="FO278" s="154"/>
      <c r="FP278" s="154"/>
      <c r="FQ278" s="154"/>
      <c r="FR278" s="154"/>
      <c r="FS278" s="154"/>
      <c r="FT278" s="154"/>
      <c r="FU278" s="154"/>
      <c r="FV278" s="154"/>
      <c r="FW278" s="154"/>
      <c r="FX278" s="154"/>
    </row>
    <row r="279" spans="1:180" s="164" customFormat="1" ht="30" hidden="1" x14ac:dyDescent="0.25">
      <c r="A279" s="216" t="s">
        <v>1204</v>
      </c>
      <c r="B279" s="214" t="s">
        <v>210</v>
      </c>
      <c r="C279" s="268" t="s">
        <v>315</v>
      </c>
      <c r="D279" s="269">
        <v>0.05</v>
      </c>
      <c r="E279" s="269">
        <v>0.6</v>
      </c>
      <c r="F279" s="269">
        <v>0.15</v>
      </c>
      <c r="G279" s="269">
        <v>0.1</v>
      </c>
      <c r="H279" s="269">
        <v>0.1</v>
      </c>
      <c r="I279" s="155"/>
      <c r="J279" s="155"/>
      <c r="K279" s="155"/>
      <c r="L279" s="155"/>
      <c r="M279" s="155" t="s">
        <v>639</v>
      </c>
      <c r="N279" s="155" t="s">
        <v>639</v>
      </c>
      <c r="O279" s="155" t="s">
        <v>35</v>
      </c>
      <c r="P279" s="279">
        <f t="shared" si="3"/>
        <v>1</v>
      </c>
      <c r="Q279" s="165"/>
      <c r="R279" s="275"/>
      <c r="S279" s="286" t="s">
        <v>726</v>
      </c>
      <c r="T279" s="277" t="s">
        <v>634</v>
      </c>
      <c r="U279" s="277" t="s">
        <v>634</v>
      </c>
      <c r="V279" s="277" t="s">
        <v>933</v>
      </c>
      <c r="W279" s="288" t="s">
        <v>727</v>
      </c>
      <c r="X279" s="164" t="s">
        <v>653</v>
      </c>
      <c r="AA279" s="278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  <c r="BN279" s="154"/>
      <c r="BO279" s="154"/>
      <c r="BP279" s="154"/>
      <c r="BQ279" s="154"/>
      <c r="BR279" s="154"/>
      <c r="BS279" s="154"/>
      <c r="BT279" s="154"/>
      <c r="BU279" s="154"/>
      <c r="BV279" s="154"/>
      <c r="BW279" s="154"/>
      <c r="BX279" s="154"/>
      <c r="BY279" s="154"/>
      <c r="BZ279" s="154"/>
      <c r="CA279" s="154"/>
      <c r="CB279" s="154"/>
      <c r="CC279" s="154"/>
      <c r="CD279" s="154"/>
      <c r="CE279" s="154"/>
      <c r="CF279" s="154"/>
      <c r="CG279" s="154"/>
      <c r="CH279" s="154"/>
      <c r="CI279" s="154"/>
      <c r="CJ279" s="154"/>
      <c r="CK279" s="154"/>
      <c r="CL279" s="154"/>
      <c r="CM279" s="154"/>
      <c r="CN279" s="154"/>
      <c r="CO279" s="154"/>
      <c r="CP279" s="154"/>
      <c r="CQ279" s="154"/>
      <c r="CR279" s="154"/>
      <c r="CS279" s="154"/>
      <c r="CT279" s="154"/>
      <c r="CU279" s="154"/>
      <c r="CV279" s="154"/>
      <c r="CW279" s="154"/>
      <c r="CX279" s="154"/>
      <c r="CY279" s="154"/>
      <c r="CZ279" s="154"/>
      <c r="DA279" s="154"/>
      <c r="DB279" s="154"/>
      <c r="DC279" s="154"/>
      <c r="DD279" s="154"/>
      <c r="DE279" s="154"/>
      <c r="DF279" s="154"/>
      <c r="DG279" s="154"/>
      <c r="DH279" s="154"/>
      <c r="DI279" s="154"/>
      <c r="DJ279" s="154"/>
      <c r="DK279" s="154"/>
      <c r="DL279" s="154"/>
      <c r="DM279" s="154"/>
      <c r="DN279" s="154"/>
      <c r="DO279" s="154"/>
      <c r="DP279" s="154"/>
      <c r="DQ279" s="154"/>
      <c r="DR279" s="154"/>
      <c r="DS279" s="154"/>
      <c r="DT279" s="154"/>
      <c r="DU279" s="154"/>
      <c r="DV279" s="154"/>
      <c r="DW279" s="154"/>
      <c r="DX279" s="154"/>
      <c r="DY279" s="154"/>
      <c r="DZ279" s="154"/>
      <c r="EA279" s="154"/>
      <c r="EB279" s="154"/>
      <c r="EC279" s="154"/>
      <c r="ED279" s="154"/>
      <c r="EE279" s="154"/>
      <c r="EF279" s="154"/>
      <c r="EG279" s="154"/>
      <c r="EH279" s="154"/>
      <c r="EI279" s="154"/>
      <c r="EJ279" s="154"/>
      <c r="EK279" s="154"/>
      <c r="EL279" s="154"/>
      <c r="EM279" s="154"/>
      <c r="EN279" s="154"/>
      <c r="EO279" s="154"/>
      <c r="EP279" s="154"/>
      <c r="EQ279" s="154"/>
      <c r="ER279" s="154"/>
      <c r="ES279" s="154"/>
      <c r="ET279" s="154"/>
      <c r="EU279" s="154"/>
      <c r="EV279" s="154"/>
      <c r="EW279" s="154"/>
      <c r="EX279" s="154"/>
      <c r="EY279" s="154"/>
      <c r="EZ279" s="154"/>
      <c r="FA279" s="154"/>
      <c r="FB279" s="154"/>
      <c r="FC279" s="154"/>
      <c r="FD279" s="154"/>
      <c r="FE279" s="154"/>
      <c r="FF279" s="154"/>
      <c r="FG279" s="154"/>
      <c r="FH279" s="154"/>
      <c r="FI279" s="154"/>
      <c r="FJ279" s="154"/>
      <c r="FK279" s="154"/>
      <c r="FL279" s="154"/>
      <c r="FM279" s="154"/>
      <c r="FN279" s="154"/>
      <c r="FO279" s="154"/>
      <c r="FP279" s="154"/>
      <c r="FQ279" s="154"/>
      <c r="FR279" s="154"/>
      <c r="FS279" s="154"/>
      <c r="FT279" s="154"/>
      <c r="FU279" s="154"/>
      <c r="FV279" s="154"/>
      <c r="FW279" s="154"/>
      <c r="FX279" s="154"/>
    </row>
    <row r="280" spans="1:180" s="164" customFormat="1" ht="30" hidden="1" x14ac:dyDescent="0.25">
      <c r="A280" s="216" t="s">
        <v>1205</v>
      </c>
      <c r="B280" s="214" t="s">
        <v>210</v>
      </c>
      <c r="C280" s="268" t="s">
        <v>316</v>
      </c>
      <c r="D280" s="269">
        <v>0.05</v>
      </c>
      <c r="E280" s="269">
        <v>0.6</v>
      </c>
      <c r="F280" s="269">
        <v>0.15</v>
      </c>
      <c r="G280" s="269">
        <v>0.1</v>
      </c>
      <c r="H280" s="269">
        <v>0.1</v>
      </c>
      <c r="I280" s="155"/>
      <c r="J280" s="155"/>
      <c r="K280" s="155"/>
      <c r="L280" s="155"/>
      <c r="M280" s="155" t="s">
        <v>639</v>
      </c>
      <c r="N280" s="155" t="s">
        <v>639</v>
      </c>
      <c r="O280" s="155" t="s">
        <v>35</v>
      </c>
      <c r="P280" s="279">
        <f t="shared" si="3"/>
        <v>1</v>
      </c>
      <c r="Q280" s="165"/>
      <c r="R280" s="275"/>
      <c r="S280" s="286" t="s">
        <v>726</v>
      </c>
      <c r="T280" s="277" t="s">
        <v>634</v>
      </c>
      <c r="U280" s="277" t="s">
        <v>634</v>
      </c>
      <c r="V280" s="277" t="s">
        <v>933</v>
      </c>
      <c r="W280" s="288" t="s">
        <v>727</v>
      </c>
      <c r="X280" s="164" t="s">
        <v>653</v>
      </c>
      <c r="AA280" s="278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  <c r="BN280" s="154"/>
      <c r="BO280" s="154"/>
      <c r="BP280" s="154"/>
      <c r="BQ280" s="154"/>
      <c r="BR280" s="154"/>
      <c r="BS280" s="154"/>
      <c r="BT280" s="154"/>
      <c r="BU280" s="154"/>
      <c r="BV280" s="154"/>
      <c r="BW280" s="154"/>
      <c r="BX280" s="154"/>
      <c r="BY280" s="154"/>
      <c r="BZ280" s="154"/>
      <c r="CA280" s="154"/>
      <c r="CB280" s="154"/>
      <c r="CC280" s="154"/>
      <c r="CD280" s="154"/>
      <c r="CE280" s="154"/>
      <c r="CF280" s="154"/>
      <c r="CG280" s="154"/>
      <c r="CH280" s="154"/>
      <c r="CI280" s="154"/>
      <c r="CJ280" s="154"/>
      <c r="CK280" s="154"/>
      <c r="CL280" s="154"/>
      <c r="CM280" s="154"/>
      <c r="CN280" s="154"/>
      <c r="CO280" s="154"/>
      <c r="CP280" s="154"/>
      <c r="CQ280" s="154"/>
      <c r="CR280" s="154"/>
      <c r="CS280" s="154"/>
      <c r="CT280" s="154"/>
      <c r="CU280" s="154"/>
      <c r="CV280" s="154"/>
      <c r="CW280" s="154"/>
      <c r="CX280" s="154"/>
      <c r="CY280" s="154"/>
      <c r="CZ280" s="154"/>
      <c r="DA280" s="154"/>
      <c r="DB280" s="154"/>
      <c r="DC280" s="154"/>
      <c r="DD280" s="154"/>
      <c r="DE280" s="154"/>
      <c r="DF280" s="154"/>
      <c r="DG280" s="154"/>
      <c r="DH280" s="154"/>
      <c r="DI280" s="154"/>
      <c r="DJ280" s="154"/>
      <c r="DK280" s="154"/>
      <c r="DL280" s="154"/>
      <c r="DM280" s="154"/>
      <c r="DN280" s="154"/>
      <c r="DO280" s="154"/>
      <c r="DP280" s="154"/>
      <c r="DQ280" s="154"/>
      <c r="DR280" s="154"/>
      <c r="DS280" s="154"/>
      <c r="DT280" s="154"/>
      <c r="DU280" s="154"/>
      <c r="DV280" s="154"/>
      <c r="DW280" s="154"/>
      <c r="DX280" s="154"/>
      <c r="DY280" s="154"/>
      <c r="DZ280" s="154"/>
      <c r="EA280" s="154"/>
      <c r="EB280" s="154"/>
      <c r="EC280" s="154"/>
      <c r="ED280" s="154"/>
      <c r="EE280" s="154"/>
      <c r="EF280" s="154"/>
      <c r="EG280" s="154"/>
      <c r="EH280" s="154"/>
      <c r="EI280" s="154"/>
      <c r="EJ280" s="154"/>
      <c r="EK280" s="154"/>
      <c r="EL280" s="154"/>
      <c r="EM280" s="154"/>
      <c r="EN280" s="154"/>
      <c r="EO280" s="154"/>
      <c r="EP280" s="154"/>
      <c r="EQ280" s="154"/>
      <c r="ER280" s="154"/>
      <c r="ES280" s="154"/>
      <c r="ET280" s="154"/>
      <c r="EU280" s="154"/>
      <c r="EV280" s="154"/>
      <c r="EW280" s="154"/>
      <c r="EX280" s="154"/>
      <c r="EY280" s="154"/>
      <c r="EZ280" s="154"/>
      <c r="FA280" s="154"/>
      <c r="FB280" s="154"/>
      <c r="FC280" s="154"/>
      <c r="FD280" s="154"/>
      <c r="FE280" s="154"/>
      <c r="FF280" s="154"/>
      <c r="FG280" s="154"/>
      <c r="FH280" s="154"/>
      <c r="FI280" s="154"/>
      <c r="FJ280" s="154"/>
      <c r="FK280" s="154"/>
      <c r="FL280" s="154"/>
      <c r="FM280" s="154"/>
      <c r="FN280" s="154"/>
      <c r="FO280" s="154"/>
      <c r="FP280" s="154"/>
      <c r="FQ280" s="154"/>
      <c r="FR280" s="154"/>
      <c r="FS280" s="154"/>
      <c r="FT280" s="154"/>
      <c r="FU280" s="154"/>
      <c r="FV280" s="154"/>
      <c r="FW280" s="154"/>
      <c r="FX280" s="154"/>
    </row>
    <row r="281" spans="1:180" s="164" customFormat="1" ht="30" hidden="1" x14ac:dyDescent="0.25">
      <c r="A281" s="216" t="s">
        <v>1206</v>
      </c>
      <c r="B281" s="214" t="s">
        <v>210</v>
      </c>
      <c r="C281" s="268" t="s">
        <v>317</v>
      </c>
      <c r="D281" s="269">
        <v>0.05</v>
      </c>
      <c r="E281" s="269">
        <v>0.6</v>
      </c>
      <c r="F281" s="269">
        <v>0.15</v>
      </c>
      <c r="G281" s="269">
        <v>0.1</v>
      </c>
      <c r="H281" s="269">
        <v>0.1</v>
      </c>
      <c r="I281" s="155"/>
      <c r="J281" s="155"/>
      <c r="K281" s="155"/>
      <c r="L281" s="155"/>
      <c r="M281" s="155" t="s">
        <v>639</v>
      </c>
      <c r="N281" s="155" t="s">
        <v>639</v>
      </c>
      <c r="O281" s="155" t="s">
        <v>35</v>
      </c>
      <c r="P281" s="279">
        <f t="shared" si="3"/>
        <v>1</v>
      </c>
      <c r="Q281" s="165"/>
      <c r="R281" s="275"/>
      <c r="S281" s="286" t="s">
        <v>726</v>
      </c>
      <c r="T281" s="277" t="s">
        <v>634</v>
      </c>
      <c r="U281" s="277" t="s">
        <v>634</v>
      </c>
      <c r="V281" s="277" t="s">
        <v>933</v>
      </c>
      <c r="W281" s="288" t="s">
        <v>727</v>
      </c>
      <c r="X281" s="164" t="s">
        <v>653</v>
      </c>
      <c r="AA281" s="278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  <c r="BN281" s="154"/>
      <c r="BO281" s="154"/>
      <c r="BP281" s="154"/>
      <c r="BQ281" s="154"/>
      <c r="BR281" s="154"/>
      <c r="BS281" s="154"/>
      <c r="BT281" s="154"/>
      <c r="BU281" s="154"/>
      <c r="BV281" s="154"/>
      <c r="BW281" s="154"/>
      <c r="BX281" s="154"/>
      <c r="BY281" s="154"/>
      <c r="BZ281" s="154"/>
      <c r="CA281" s="154"/>
      <c r="CB281" s="154"/>
      <c r="CC281" s="154"/>
      <c r="CD281" s="154"/>
      <c r="CE281" s="154"/>
      <c r="CF281" s="154"/>
      <c r="CG281" s="154"/>
      <c r="CH281" s="154"/>
      <c r="CI281" s="154"/>
      <c r="CJ281" s="154"/>
      <c r="CK281" s="154"/>
      <c r="CL281" s="154"/>
      <c r="CM281" s="154"/>
      <c r="CN281" s="154"/>
      <c r="CO281" s="154"/>
      <c r="CP281" s="154"/>
      <c r="CQ281" s="154"/>
      <c r="CR281" s="154"/>
      <c r="CS281" s="154"/>
      <c r="CT281" s="154"/>
      <c r="CU281" s="154"/>
      <c r="CV281" s="154"/>
      <c r="CW281" s="154"/>
      <c r="CX281" s="154"/>
      <c r="CY281" s="154"/>
      <c r="CZ281" s="154"/>
      <c r="DA281" s="154"/>
      <c r="DB281" s="154"/>
      <c r="DC281" s="154"/>
      <c r="DD281" s="154"/>
      <c r="DE281" s="154"/>
      <c r="DF281" s="154"/>
      <c r="DG281" s="154"/>
      <c r="DH281" s="154"/>
      <c r="DI281" s="154"/>
      <c r="DJ281" s="154"/>
      <c r="DK281" s="154"/>
      <c r="DL281" s="154"/>
      <c r="DM281" s="154"/>
      <c r="DN281" s="154"/>
      <c r="DO281" s="154"/>
      <c r="DP281" s="154"/>
      <c r="DQ281" s="154"/>
      <c r="DR281" s="154"/>
      <c r="DS281" s="154"/>
      <c r="DT281" s="154"/>
      <c r="DU281" s="154"/>
      <c r="DV281" s="154"/>
      <c r="DW281" s="154"/>
      <c r="DX281" s="154"/>
      <c r="DY281" s="154"/>
      <c r="DZ281" s="154"/>
      <c r="EA281" s="154"/>
      <c r="EB281" s="154"/>
      <c r="EC281" s="154"/>
      <c r="ED281" s="154"/>
      <c r="EE281" s="154"/>
      <c r="EF281" s="154"/>
      <c r="EG281" s="154"/>
      <c r="EH281" s="154"/>
      <c r="EI281" s="154"/>
      <c r="EJ281" s="154"/>
      <c r="EK281" s="154"/>
      <c r="EL281" s="154"/>
      <c r="EM281" s="154"/>
      <c r="EN281" s="154"/>
      <c r="EO281" s="154"/>
      <c r="EP281" s="154"/>
      <c r="EQ281" s="154"/>
      <c r="ER281" s="154"/>
      <c r="ES281" s="154"/>
      <c r="ET281" s="154"/>
      <c r="EU281" s="154"/>
      <c r="EV281" s="154"/>
      <c r="EW281" s="154"/>
      <c r="EX281" s="154"/>
      <c r="EY281" s="154"/>
      <c r="EZ281" s="154"/>
      <c r="FA281" s="154"/>
      <c r="FB281" s="154"/>
      <c r="FC281" s="154"/>
      <c r="FD281" s="154"/>
      <c r="FE281" s="154"/>
      <c r="FF281" s="154"/>
      <c r="FG281" s="154"/>
      <c r="FH281" s="154"/>
      <c r="FI281" s="154"/>
      <c r="FJ281" s="154"/>
      <c r="FK281" s="154"/>
      <c r="FL281" s="154"/>
      <c r="FM281" s="154"/>
      <c r="FN281" s="154"/>
      <c r="FO281" s="154"/>
      <c r="FP281" s="154"/>
      <c r="FQ281" s="154"/>
      <c r="FR281" s="154"/>
      <c r="FS281" s="154"/>
      <c r="FT281" s="154"/>
      <c r="FU281" s="154"/>
      <c r="FV281" s="154"/>
      <c r="FW281" s="154"/>
      <c r="FX281" s="154"/>
    </row>
    <row r="282" spans="1:180" s="164" customFormat="1" ht="30" hidden="1" x14ac:dyDescent="0.25">
      <c r="A282" s="216" t="s">
        <v>1207</v>
      </c>
      <c r="B282" s="214" t="s">
        <v>210</v>
      </c>
      <c r="C282" s="268" t="s">
        <v>318</v>
      </c>
      <c r="D282" s="269">
        <v>0.05</v>
      </c>
      <c r="E282" s="269">
        <v>0.6</v>
      </c>
      <c r="F282" s="269">
        <v>0.15</v>
      </c>
      <c r="G282" s="269">
        <v>0.1</v>
      </c>
      <c r="H282" s="269">
        <v>0.1</v>
      </c>
      <c r="I282" s="155"/>
      <c r="J282" s="155"/>
      <c r="K282" s="155"/>
      <c r="L282" s="155"/>
      <c r="M282" s="155" t="s">
        <v>639</v>
      </c>
      <c r="N282" s="155" t="s">
        <v>639</v>
      </c>
      <c r="O282" s="155" t="s">
        <v>35</v>
      </c>
      <c r="P282" s="279">
        <f t="shared" si="3"/>
        <v>1</v>
      </c>
      <c r="Q282" s="165"/>
      <c r="R282" s="275"/>
      <c r="S282" s="286" t="s">
        <v>726</v>
      </c>
      <c r="T282" s="277" t="s">
        <v>634</v>
      </c>
      <c r="U282" s="277" t="s">
        <v>634</v>
      </c>
      <c r="V282" s="277" t="s">
        <v>933</v>
      </c>
      <c r="W282" s="288" t="s">
        <v>727</v>
      </c>
      <c r="X282" s="164" t="s">
        <v>653</v>
      </c>
      <c r="AA282" s="278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  <c r="BN282" s="154"/>
      <c r="BO282" s="154"/>
      <c r="BP282" s="154"/>
      <c r="BQ282" s="154"/>
      <c r="BR282" s="154"/>
      <c r="BS282" s="154"/>
      <c r="BT282" s="154"/>
      <c r="BU282" s="154"/>
      <c r="BV282" s="154"/>
      <c r="BW282" s="154"/>
      <c r="BX282" s="154"/>
      <c r="BY282" s="154"/>
      <c r="BZ282" s="154"/>
      <c r="CA282" s="154"/>
      <c r="CB282" s="154"/>
      <c r="CC282" s="154"/>
      <c r="CD282" s="154"/>
      <c r="CE282" s="154"/>
      <c r="CF282" s="154"/>
      <c r="CG282" s="154"/>
      <c r="CH282" s="154"/>
      <c r="CI282" s="154"/>
      <c r="CJ282" s="154"/>
      <c r="CK282" s="154"/>
      <c r="CL282" s="154"/>
      <c r="CM282" s="154"/>
      <c r="CN282" s="154"/>
      <c r="CO282" s="154"/>
      <c r="CP282" s="154"/>
      <c r="CQ282" s="154"/>
      <c r="CR282" s="154"/>
      <c r="CS282" s="154"/>
      <c r="CT282" s="154"/>
      <c r="CU282" s="154"/>
      <c r="CV282" s="154"/>
      <c r="CW282" s="154"/>
      <c r="CX282" s="154"/>
      <c r="CY282" s="154"/>
      <c r="CZ282" s="154"/>
      <c r="DA282" s="154"/>
      <c r="DB282" s="154"/>
      <c r="DC282" s="154"/>
      <c r="DD282" s="154"/>
      <c r="DE282" s="154"/>
      <c r="DF282" s="154"/>
      <c r="DG282" s="154"/>
      <c r="DH282" s="154"/>
      <c r="DI282" s="154"/>
      <c r="DJ282" s="154"/>
      <c r="DK282" s="154"/>
      <c r="DL282" s="154"/>
      <c r="DM282" s="154"/>
      <c r="DN282" s="154"/>
      <c r="DO282" s="154"/>
      <c r="DP282" s="154"/>
      <c r="DQ282" s="154"/>
      <c r="DR282" s="154"/>
      <c r="DS282" s="154"/>
      <c r="DT282" s="154"/>
      <c r="DU282" s="154"/>
      <c r="DV282" s="154"/>
      <c r="DW282" s="154"/>
      <c r="DX282" s="154"/>
      <c r="DY282" s="154"/>
      <c r="DZ282" s="154"/>
      <c r="EA282" s="154"/>
      <c r="EB282" s="154"/>
      <c r="EC282" s="154"/>
      <c r="ED282" s="154"/>
      <c r="EE282" s="154"/>
      <c r="EF282" s="154"/>
      <c r="EG282" s="154"/>
      <c r="EH282" s="154"/>
      <c r="EI282" s="154"/>
      <c r="EJ282" s="154"/>
      <c r="EK282" s="154"/>
      <c r="EL282" s="154"/>
      <c r="EM282" s="154"/>
      <c r="EN282" s="154"/>
      <c r="EO282" s="154"/>
      <c r="EP282" s="154"/>
      <c r="EQ282" s="154"/>
      <c r="ER282" s="154"/>
      <c r="ES282" s="154"/>
      <c r="ET282" s="154"/>
      <c r="EU282" s="154"/>
      <c r="EV282" s="154"/>
      <c r="EW282" s="154"/>
      <c r="EX282" s="154"/>
      <c r="EY282" s="154"/>
      <c r="EZ282" s="154"/>
      <c r="FA282" s="154"/>
      <c r="FB282" s="154"/>
      <c r="FC282" s="154"/>
      <c r="FD282" s="154"/>
      <c r="FE282" s="154"/>
      <c r="FF282" s="154"/>
      <c r="FG282" s="154"/>
      <c r="FH282" s="154"/>
      <c r="FI282" s="154"/>
      <c r="FJ282" s="154"/>
      <c r="FK282" s="154"/>
      <c r="FL282" s="154"/>
      <c r="FM282" s="154"/>
      <c r="FN282" s="154"/>
      <c r="FO282" s="154"/>
      <c r="FP282" s="154"/>
      <c r="FQ282" s="154"/>
      <c r="FR282" s="154"/>
      <c r="FS282" s="154"/>
      <c r="FT282" s="154"/>
      <c r="FU282" s="154"/>
      <c r="FV282" s="154"/>
      <c r="FW282" s="154"/>
      <c r="FX282" s="154"/>
    </row>
    <row r="283" spans="1:180" s="164" customFormat="1" ht="30" hidden="1" x14ac:dyDescent="0.25">
      <c r="A283" s="216" t="s">
        <v>1208</v>
      </c>
      <c r="B283" s="214" t="s">
        <v>210</v>
      </c>
      <c r="C283" s="268" t="s">
        <v>319</v>
      </c>
      <c r="D283" s="269">
        <v>0.05</v>
      </c>
      <c r="E283" s="269">
        <v>0.6</v>
      </c>
      <c r="F283" s="269">
        <v>0.15</v>
      </c>
      <c r="G283" s="269">
        <v>0.1</v>
      </c>
      <c r="H283" s="269">
        <v>0.1</v>
      </c>
      <c r="I283" s="155"/>
      <c r="J283" s="155"/>
      <c r="K283" s="155"/>
      <c r="L283" s="155"/>
      <c r="M283" s="155" t="s">
        <v>639</v>
      </c>
      <c r="N283" s="155" t="s">
        <v>639</v>
      </c>
      <c r="O283" s="155" t="s">
        <v>35</v>
      </c>
      <c r="P283" s="279">
        <f t="shared" si="3"/>
        <v>1</v>
      </c>
      <c r="Q283" s="165"/>
      <c r="R283" s="275"/>
      <c r="S283" s="286" t="s">
        <v>726</v>
      </c>
      <c r="T283" s="277" t="s">
        <v>634</v>
      </c>
      <c r="U283" s="277" t="s">
        <v>634</v>
      </c>
      <c r="V283" s="277" t="s">
        <v>933</v>
      </c>
      <c r="W283" s="288" t="s">
        <v>727</v>
      </c>
      <c r="X283" s="164" t="s">
        <v>653</v>
      </c>
      <c r="AA283" s="278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  <c r="BN283" s="154"/>
      <c r="BO283" s="154"/>
      <c r="BP283" s="154"/>
      <c r="BQ283" s="154"/>
      <c r="BR283" s="154"/>
      <c r="BS283" s="154"/>
      <c r="BT283" s="154"/>
      <c r="BU283" s="154"/>
      <c r="BV283" s="154"/>
      <c r="BW283" s="154"/>
      <c r="BX283" s="154"/>
      <c r="BY283" s="154"/>
      <c r="BZ283" s="154"/>
      <c r="CA283" s="154"/>
      <c r="CB283" s="154"/>
      <c r="CC283" s="154"/>
      <c r="CD283" s="154"/>
      <c r="CE283" s="154"/>
      <c r="CF283" s="154"/>
      <c r="CG283" s="154"/>
      <c r="CH283" s="154"/>
      <c r="CI283" s="154"/>
      <c r="CJ283" s="154"/>
      <c r="CK283" s="154"/>
      <c r="CL283" s="154"/>
      <c r="CM283" s="154"/>
      <c r="CN283" s="154"/>
      <c r="CO283" s="154"/>
      <c r="CP283" s="154"/>
      <c r="CQ283" s="154"/>
      <c r="CR283" s="154"/>
      <c r="CS283" s="154"/>
      <c r="CT283" s="154"/>
      <c r="CU283" s="154"/>
      <c r="CV283" s="154"/>
      <c r="CW283" s="154"/>
      <c r="CX283" s="154"/>
      <c r="CY283" s="154"/>
      <c r="CZ283" s="154"/>
      <c r="DA283" s="154"/>
      <c r="DB283" s="154"/>
      <c r="DC283" s="154"/>
      <c r="DD283" s="154"/>
      <c r="DE283" s="154"/>
      <c r="DF283" s="154"/>
      <c r="DG283" s="154"/>
      <c r="DH283" s="154"/>
      <c r="DI283" s="154"/>
      <c r="DJ283" s="154"/>
      <c r="DK283" s="154"/>
      <c r="DL283" s="154"/>
      <c r="DM283" s="154"/>
      <c r="DN283" s="154"/>
      <c r="DO283" s="154"/>
      <c r="DP283" s="154"/>
      <c r="DQ283" s="154"/>
      <c r="DR283" s="154"/>
      <c r="DS283" s="154"/>
      <c r="DT283" s="154"/>
      <c r="DU283" s="154"/>
      <c r="DV283" s="154"/>
      <c r="DW283" s="154"/>
      <c r="DX283" s="154"/>
      <c r="DY283" s="154"/>
      <c r="DZ283" s="154"/>
      <c r="EA283" s="154"/>
      <c r="EB283" s="154"/>
      <c r="EC283" s="154"/>
      <c r="ED283" s="154"/>
      <c r="EE283" s="154"/>
      <c r="EF283" s="154"/>
      <c r="EG283" s="154"/>
      <c r="EH283" s="154"/>
      <c r="EI283" s="154"/>
      <c r="EJ283" s="154"/>
      <c r="EK283" s="154"/>
      <c r="EL283" s="154"/>
      <c r="EM283" s="154"/>
      <c r="EN283" s="154"/>
      <c r="EO283" s="154"/>
      <c r="EP283" s="154"/>
      <c r="EQ283" s="154"/>
      <c r="ER283" s="154"/>
      <c r="ES283" s="154"/>
      <c r="ET283" s="154"/>
      <c r="EU283" s="154"/>
      <c r="EV283" s="154"/>
      <c r="EW283" s="154"/>
      <c r="EX283" s="154"/>
      <c r="EY283" s="154"/>
      <c r="EZ283" s="154"/>
      <c r="FA283" s="154"/>
      <c r="FB283" s="154"/>
      <c r="FC283" s="154"/>
      <c r="FD283" s="154"/>
      <c r="FE283" s="154"/>
      <c r="FF283" s="154"/>
      <c r="FG283" s="154"/>
      <c r="FH283" s="154"/>
      <c r="FI283" s="154"/>
      <c r="FJ283" s="154"/>
      <c r="FK283" s="154"/>
      <c r="FL283" s="154"/>
      <c r="FM283" s="154"/>
      <c r="FN283" s="154"/>
      <c r="FO283" s="154"/>
      <c r="FP283" s="154"/>
      <c r="FQ283" s="154"/>
      <c r="FR283" s="154"/>
      <c r="FS283" s="154"/>
      <c r="FT283" s="154"/>
      <c r="FU283" s="154"/>
      <c r="FV283" s="154"/>
      <c r="FW283" s="154"/>
      <c r="FX283" s="154"/>
    </row>
    <row r="284" spans="1:180" s="164" customFormat="1" ht="30" hidden="1" x14ac:dyDescent="0.25">
      <c r="A284" s="216" t="s">
        <v>1209</v>
      </c>
      <c r="B284" s="214" t="s">
        <v>210</v>
      </c>
      <c r="C284" s="268" t="s">
        <v>320</v>
      </c>
      <c r="D284" s="269">
        <v>0.05</v>
      </c>
      <c r="E284" s="269">
        <v>0.6</v>
      </c>
      <c r="F284" s="269">
        <v>0.15</v>
      </c>
      <c r="G284" s="269">
        <v>0.1</v>
      </c>
      <c r="H284" s="269">
        <v>0.1</v>
      </c>
      <c r="I284" s="155"/>
      <c r="J284" s="155"/>
      <c r="K284" s="155"/>
      <c r="L284" s="155"/>
      <c r="M284" s="155" t="s">
        <v>639</v>
      </c>
      <c r="N284" s="155" t="s">
        <v>639</v>
      </c>
      <c r="O284" s="155" t="s">
        <v>35</v>
      </c>
      <c r="P284" s="279">
        <f t="shared" si="3"/>
        <v>1</v>
      </c>
      <c r="Q284" s="165"/>
      <c r="R284" s="275"/>
      <c r="S284" s="286" t="s">
        <v>728</v>
      </c>
      <c r="T284" s="277" t="s">
        <v>634</v>
      </c>
      <c r="U284" s="277" t="s">
        <v>634</v>
      </c>
      <c r="V284" s="277" t="s">
        <v>934</v>
      </c>
      <c r="W284" s="277" t="s">
        <v>935</v>
      </c>
      <c r="X284" s="164" t="s">
        <v>723</v>
      </c>
      <c r="AA284" s="278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  <c r="BN284" s="154"/>
      <c r="BO284" s="154"/>
      <c r="BP284" s="154"/>
      <c r="BQ284" s="154"/>
      <c r="BR284" s="154"/>
      <c r="BS284" s="154"/>
      <c r="BT284" s="154"/>
      <c r="BU284" s="154"/>
      <c r="BV284" s="154"/>
      <c r="BW284" s="154"/>
      <c r="BX284" s="154"/>
      <c r="BY284" s="154"/>
      <c r="BZ284" s="154"/>
      <c r="CA284" s="154"/>
      <c r="CB284" s="154"/>
      <c r="CC284" s="154"/>
      <c r="CD284" s="154"/>
      <c r="CE284" s="154"/>
      <c r="CF284" s="154"/>
      <c r="CG284" s="154"/>
      <c r="CH284" s="154"/>
      <c r="CI284" s="154"/>
      <c r="CJ284" s="154"/>
      <c r="CK284" s="154"/>
      <c r="CL284" s="154"/>
      <c r="CM284" s="154"/>
      <c r="CN284" s="154"/>
      <c r="CO284" s="154"/>
      <c r="CP284" s="154"/>
      <c r="CQ284" s="154"/>
      <c r="CR284" s="154"/>
      <c r="CS284" s="154"/>
      <c r="CT284" s="154"/>
      <c r="CU284" s="154"/>
      <c r="CV284" s="154"/>
      <c r="CW284" s="154"/>
      <c r="CX284" s="154"/>
      <c r="CY284" s="154"/>
      <c r="CZ284" s="154"/>
      <c r="DA284" s="154"/>
      <c r="DB284" s="154"/>
      <c r="DC284" s="154"/>
      <c r="DD284" s="154"/>
      <c r="DE284" s="154"/>
      <c r="DF284" s="154"/>
      <c r="DG284" s="154"/>
      <c r="DH284" s="154"/>
      <c r="DI284" s="154"/>
      <c r="DJ284" s="154"/>
      <c r="DK284" s="154"/>
      <c r="DL284" s="154"/>
      <c r="DM284" s="154"/>
      <c r="DN284" s="154"/>
      <c r="DO284" s="154"/>
      <c r="DP284" s="154"/>
      <c r="DQ284" s="154"/>
      <c r="DR284" s="154"/>
      <c r="DS284" s="154"/>
      <c r="DT284" s="154"/>
      <c r="DU284" s="154"/>
      <c r="DV284" s="154"/>
      <c r="DW284" s="154"/>
      <c r="DX284" s="154"/>
      <c r="DY284" s="154"/>
      <c r="DZ284" s="154"/>
      <c r="EA284" s="154"/>
      <c r="EB284" s="154"/>
      <c r="EC284" s="154"/>
      <c r="ED284" s="154"/>
      <c r="EE284" s="154"/>
      <c r="EF284" s="154"/>
      <c r="EG284" s="154"/>
      <c r="EH284" s="154"/>
      <c r="EI284" s="154"/>
      <c r="EJ284" s="154"/>
      <c r="EK284" s="154"/>
      <c r="EL284" s="154"/>
      <c r="EM284" s="154"/>
      <c r="EN284" s="154"/>
      <c r="EO284" s="154"/>
      <c r="EP284" s="154"/>
      <c r="EQ284" s="154"/>
      <c r="ER284" s="154"/>
      <c r="ES284" s="154"/>
      <c r="ET284" s="154"/>
      <c r="EU284" s="154"/>
      <c r="EV284" s="154"/>
      <c r="EW284" s="154"/>
      <c r="EX284" s="154"/>
      <c r="EY284" s="154"/>
      <c r="EZ284" s="154"/>
      <c r="FA284" s="154"/>
      <c r="FB284" s="154"/>
      <c r="FC284" s="154"/>
      <c r="FD284" s="154"/>
      <c r="FE284" s="154"/>
      <c r="FF284" s="154"/>
      <c r="FG284" s="154"/>
      <c r="FH284" s="154"/>
      <c r="FI284" s="154"/>
      <c r="FJ284" s="154"/>
      <c r="FK284" s="154"/>
      <c r="FL284" s="154"/>
      <c r="FM284" s="154"/>
      <c r="FN284" s="154"/>
      <c r="FO284" s="154"/>
      <c r="FP284" s="154"/>
      <c r="FQ284" s="154"/>
      <c r="FR284" s="154"/>
      <c r="FS284" s="154"/>
      <c r="FT284" s="154"/>
      <c r="FU284" s="154"/>
      <c r="FV284" s="154"/>
      <c r="FW284" s="154"/>
      <c r="FX284" s="154"/>
    </row>
    <row r="285" spans="1:180" s="164" customFormat="1" ht="30" hidden="1" x14ac:dyDescent="0.25">
      <c r="A285" s="216" t="s">
        <v>1210</v>
      </c>
      <c r="B285" s="214" t="s">
        <v>210</v>
      </c>
      <c r="C285" s="268" t="s">
        <v>321</v>
      </c>
      <c r="D285" s="269">
        <v>0.05</v>
      </c>
      <c r="E285" s="269">
        <v>0.6</v>
      </c>
      <c r="F285" s="269">
        <v>0.15</v>
      </c>
      <c r="G285" s="269">
        <v>0.1</v>
      </c>
      <c r="H285" s="269">
        <v>0.1</v>
      </c>
      <c r="I285" s="155"/>
      <c r="J285" s="155"/>
      <c r="K285" s="155"/>
      <c r="L285" s="155"/>
      <c r="M285" s="155" t="s">
        <v>639</v>
      </c>
      <c r="N285" s="155" t="s">
        <v>639</v>
      </c>
      <c r="O285" s="155" t="s">
        <v>35</v>
      </c>
      <c r="P285" s="279">
        <f t="shared" si="3"/>
        <v>1</v>
      </c>
      <c r="Q285" s="165"/>
      <c r="R285" s="275"/>
      <c r="S285" s="286" t="s">
        <v>728</v>
      </c>
      <c r="T285" s="277" t="s">
        <v>634</v>
      </c>
      <c r="U285" s="277" t="s">
        <v>634</v>
      </c>
      <c r="V285" s="277" t="s">
        <v>934</v>
      </c>
      <c r="W285" s="277" t="s">
        <v>935</v>
      </c>
      <c r="X285" s="164" t="s">
        <v>723</v>
      </c>
      <c r="AA285" s="278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  <c r="BN285" s="154"/>
      <c r="BO285" s="154"/>
      <c r="BP285" s="154"/>
      <c r="BQ285" s="154"/>
      <c r="BR285" s="154"/>
      <c r="BS285" s="154"/>
      <c r="BT285" s="154"/>
      <c r="BU285" s="154"/>
      <c r="BV285" s="154"/>
      <c r="BW285" s="154"/>
      <c r="BX285" s="154"/>
      <c r="BY285" s="154"/>
      <c r="BZ285" s="154"/>
      <c r="CA285" s="154"/>
      <c r="CB285" s="154"/>
      <c r="CC285" s="154"/>
      <c r="CD285" s="154"/>
      <c r="CE285" s="154"/>
      <c r="CF285" s="154"/>
      <c r="CG285" s="154"/>
      <c r="CH285" s="154"/>
      <c r="CI285" s="154"/>
      <c r="CJ285" s="154"/>
      <c r="CK285" s="154"/>
      <c r="CL285" s="154"/>
      <c r="CM285" s="154"/>
      <c r="CN285" s="154"/>
      <c r="CO285" s="154"/>
      <c r="CP285" s="154"/>
      <c r="CQ285" s="154"/>
      <c r="CR285" s="154"/>
      <c r="CS285" s="154"/>
      <c r="CT285" s="154"/>
      <c r="CU285" s="154"/>
      <c r="CV285" s="154"/>
      <c r="CW285" s="154"/>
      <c r="CX285" s="154"/>
      <c r="CY285" s="154"/>
      <c r="CZ285" s="154"/>
      <c r="DA285" s="154"/>
      <c r="DB285" s="154"/>
      <c r="DC285" s="154"/>
      <c r="DD285" s="154"/>
      <c r="DE285" s="154"/>
      <c r="DF285" s="154"/>
      <c r="DG285" s="154"/>
      <c r="DH285" s="154"/>
      <c r="DI285" s="154"/>
      <c r="DJ285" s="154"/>
      <c r="DK285" s="154"/>
      <c r="DL285" s="154"/>
      <c r="DM285" s="154"/>
      <c r="DN285" s="154"/>
      <c r="DO285" s="154"/>
      <c r="DP285" s="154"/>
      <c r="DQ285" s="154"/>
      <c r="DR285" s="154"/>
      <c r="DS285" s="154"/>
      <c r="DT285" s="154"/>
      <c r="DU285" s="154"/>
      <c r="DV285" s="154"/>
      <c r="DW285" s="154"/>
      <c r="DX285" s="154"/>
      <c r="DY285" s="154"/>
      <c r="DZ285" s="154"/>
      <c r="EA285" s="154"/>
      <c r="EB285" s="154"/>
      <c r="EC285" s="154"/>
      <c r="ED285" s="154"/>
      <c r="EE285" s="154"/>
      <c r="EF285" s="154"/>
      <c r="EG285" s="154"/>
      <c r="EH285" s="154"/>
      <c r="EI285" s="154"/>
      <c r="EJ285" s="154"/>
      <c r="EK285" s="154"/>
      <c r="EL285" s="154"/>
      <c r="EM285" s="154"/>
      <c r="EN285" s="154"/>
      <c r="EO285" s="154"/>
      <c r="EP285" s="154"/>
      <c r="EQ285" s="154"/>
      <c r="ER285" s="154"/>
      <c r="ES285" s="154"/>
      <c r="ET285" s="154"/>
      <c r="EU285" s="154"/>
      <c r="EV285" s="154"/>
      <c r="EW285" s="154"/>
      <c r="EX285" s="154"/>
      <c r="EY285" s="154"/>
      <c r="EZ285" s="154"/>
      <c r="FA285" s="154"/>
      <c r="FB285" s="154"/>
      <c r="FC285" s="154"/>
      <c r="FD285" s="154"/>
      <c r="FE285" s="154"/>
      <c r="FF285" s="154"/>
      <c r="FG285" s="154"/>
      <c r="FH285" s="154"/>
      <c r="FI285" s="154"/>
      <c r="FJ285" s="154"/>
      <c r="FK285" s="154"/>
      <c r="FL285" s="154"/>
      <c r="FM285" s="154"/>
      <c r="FN285" s="154"/>
      <c r="FO285" s="154"/>
      <c r="FP285" s="154"/>
      <c r="FQ285" s="154"/>
      <c r="FR285" s="154"/>
      <c r="FS285" s="154"/>
      <c r="FT285" s="154"/>
      <c r="FU285" s="154"/>
      <c r="FV285" s="154"/>
      <c r="FW285" s="154"/>
      <c r="FX285" s="154"/>
    </row>
    <row r="286" spans="1:180" s="164" customFormat="1" ht="30" hidden="1" x14ac:dyDescent="0.25">
      <c r="A286" s="216" t="s">
        <v>1211</v>
      </c>
      <c r="B286" s="214" t="s">
        <v>210</v>
      </c>
      <c r="C286" s="268" t="s">
        <v>322</v>
      </c>
      <c r="D286" s="269">
        <v>0.05</v>
      </c>
      <c r="E286" s="269">
        <v>0.6</v>
      </c>
      <c r="F286" s="269">
        <v>0.15</v>
      </c>
      <c r="G286" s="269">
        <v>0.1</v>
      </c>
      <c r="H286" s="269">
        <v>0.1</v>
      </c>
      <c r="I286" s="155"/>
      <c r="J286" s="155"/>
      <c r="K286" s="155"/>
      <c r="L286" s="155"/>
      <c r="M286" s="155" t="s">
        <v>639</v>
      </c>
      <c r="N286" s="155" t="s">
        <v>639</v>
      </c>
      <c r="O286" s="155" t="s">
        <v>35</v>
      </c>
      <c r="P286" s="279">
        <f t="shared" si="3"/>
        <v>1</v>
      </c>
      <c r="Q286" s="165"/>
      <c r="R286" s="275"/>
      <c r="S286" s="286" t="s">
        <v>728</v>
      </c>
      <c r="T286" s="277" t="s">
        <v>634</v>
      </c>
      <c r="U286" s="277" t="s">
        <v>634</v>
      </c>
      <c r="V286" s="277" t="s">
        <v>934</v>
      </c>
      <c r="W286" s="277" t="s">
        <v>935</v>
      </c>
      <c r="X286" s="164" t="s">
        <v>723</v>
      </c>
      <c r="AA286" s="278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  <c r="BN286" s="154"/>
      <c r="BO286" s="154"/>
      <c r="BP286" s="154"/>
      <c r="BQ286" s="154"/>
      <c r="BR286" s="154"/>
      <c r="BS286" s="154"/>
      <c r="BT286" s="154"/>
      <c r="BU286" s="154"/>
      <c r="BV286" s="154"/>
      <c r="BW286" s="154"/>
      <c r="BX286" s="154"/>
      <c r="BY286" s="154"/>
      <c r="BZ286" s="154"/>
      <c r="CA286" s="154"/>
      <c r="CB286" s="154"/>
      <c r="CC286" s="154"/>
      <c r="CD286" s="154"/>
      <c r="CE286" s="154"/>
      <c r="CF286" s="154"/>
      <c r="CG286" s="154"/>
      <c r="CH286" s="154"/>
      <c r="CI286" s="154"/>
      <c r="CJ286" s="154"/>
      <c r="CK286" s="154"/>
      <c r="CL286" s="154"/>
      <c r="CM286" s="154"/>
      <c r="CN286" s="154"/>
      <c r="CO286" s="154"/>
      <c r="CP286" s="154"/>
      <c r="CQ286" s="154"/>
      <c r="CR286" s="154"/>
      <c r="CS286" s="154"/>
      <c r="CT286" s="154"/>
      <c r="CU286" s="154"/>
      <c r="CV286" s="154"/>
      <c r="CW286" s="154"/>
      <c r="CX286" s="154"/>
      <c r="CY286" s="154"/>
      <c r="CZ286" s="154"/>
      <c r="DA286" s="154"/>
      <c r="DB286" s="154"/>
      <c r="DC286" s="154"/>
      <c r="DD286" s="154"/>
      <c r="DE286" s="154"/>
      <c r="DF286" s="154"/>
      <c r="DG286" s="154"/>
      <c r="DH286" s="154"/>
      <c r="DI286" s="154"/>
      <c r="DJ286" s="154"/>
      <c r="DK286" s="154"/>
      <c r="DL286" s="154"/>
      <c r="DM286" s="154"/>
      <c r="DN286" s="154"/>
      <c r="DO286" s="154"/>
      <c r="DP286" s="154"/>
      <c r="DQ286" s="154"/>
      <c r="DR286" s="154"/>
      <c r="DS286" s="154"/>
      <c r="DT286" s="154"/>
      <c r="DU286" s="154"/>
      <c r="DV286" s="154"/>
      <c r="DW286" s="154"/>
      <c r="DX286" s="154"/>
      <c r="DY286" s="154"/>
      <c r="DZ286" s="154"/>
      <c r="EA286" s="154"/>
      <c r="EB286" s="154"/>
      <c r="EC286" s="154"/>
      <c r="ED286" s="154"/>
      <c r="EE286" s="154"/>
      <c r="EF286" s="154"/>
      <c r="EG286" s="154"/>
      <c r="EH286" s="154"/>
      <c r="EI286" s="154"/>
      <c r="EJ286" s="154"/>
      <c r="EK286" s="154"/>
      <c r="EL286" s="154"/>
      <c r="EM286" s="154"/>
      <c r="EN286" s="154"/>
      <c r="EO286" s="154"/>
      <c r="EP286" s="154"/>
      <c r="EQ286" s="154"/>
      <c r="ER286" s="154"/>
      <c r="ES286" s="154"/>
      <c r="ET286" s="154"/>
      <c r="EU286" s="154"/>
      <c r="EV286" s="154"/>
      <c r="EW286" s="154"/>
      <c r="EX286" s="154"/>
      <c r="EY286" s="154"/>
      <c r="EZ286" s="154"/>
      <c r="FA286" s="154"/>
      <c r="FB286" s="154"/>
      <c r="FC286" s="154"/>
      <c r="FD286" s="154"/>
      <c r="FE286" s="154"/>
      <c r="FF286" s="154"/>
      <c r="FG286" s="154"/>
      <c r="FH286" s="154"/>
      <c r="FI286" s="154"/>
      <c r="FJ286" s="154"/>
      <c r="FK286" s="154"/>
      <c r="FL286" s="154"/>
      <c r="FM286" s="154"/>
      <c r="FN286" s="154"/>
      <c r="FO286" s="154"/>
      <c r="FP286" s="154"/>
      <c r="FQ286" s="154"/>
      <c r="FR286" s="154"/>
      <c r="FS286" s="154"/>
      <c r="FT286" s="154"/>
      <c r="FU286" s="154"/>
      <c r="FV286" s="154"/>
      <c r="FW286" s="154"/>
      <c r="FX286" s="154"/>
    </row>
    <row r="287" spans="1:180" s="164" customFormat="1" hidden="1" x14ac:dyDescent="0.25">
      <c r="A287" s="216"/>
      <c r="B287" s="214"/>
      <c r="C287" s="151"/>
      <c r="D287" s="217"/>
      <c r="E287" s="217"/>
      <c r="F287" s="217"/>
      <c r="G287" s="217"/>
      <c r="H287" s="217"/>
      <c r="I287" s="155"/>
      <c r="J287" s="155"/>
      <c r="K287" s="155"/>
      <c r="L287" s="155"/>
      <c r="M287" s="155"/>
      <c r="N287" s="155"/>
      <c r="O287" s="155"/>
      <c r="P287" s="279"/>
      <c r="Q287" s="165"/>
      <c r="R287" s="275"/>
      <c r="S287" s="276"/>
      <c r="T287" s="277"/>
      <c r="U287" s="277"/>
      <c r="V287" s="277"/>
      <c r="W287" s="277"/>
      <c r="AA287" s="278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  <c r="BN287" s="154"/>
      <c r="BO287" s="154"/>
      <c r="BP287" s="154"/>
      <c r="BQ287" s="154"/>
      <c r="BR287" s="154"/>
      <c r="BS287" s="154"/>
      <c r="BT287" s="154"/>
      <c r="BU287" s="154"/>
      <c r="BV287" s="154"/>
      <c r="BW287" s="154"/>
      <c r="BX287" s="154"/>
      <c r="BY287" s="154"/>
      <c r="BZ287" s="154"/>
      <c r="CA287" s="154"/>
      <c r="CB287" s="154"/>
      <c r="CC287" s="154"/>
      <c r="CD287" s="154"/>
      <c r="CE287" s="154"/>
      <c r="CF287" s="154"/>
      <c r="CG287" s="154"/>
      <c r="CH287" s="154"/>
      <c r="CI287" s="154"/>
      <c r="CJ287" s="154"/>
      <c r="CK287" s="154"/>
      <c r="CL287" s="154"/>
      <c r="CM287" s="154"/>
      <c r="CN287" s="154"/>
      <c r="CO287" s="154"/>
      <c r="CP287" s="154"/>
      <c r="CQ287" s="154"/>
      <c r="CR287" s="154"/>
      <c r="CS287" s="154"/>
      <c r="CT287" s="154"/>
      <c r="CU287" s="154"/>
      <c r="CV287" s="154"/>
      <c r="CW287" s="154"/>
      <c r="CX287" s="154"/>
      <c r="CY287" s="154"/>
      <c r="CZ287" s="154"/>
      <c r="DA287" s="154"/>
      <c r="DB287" s="154"/>
      <c r="DC287" s="154"/>
      <c r="DD287" s="154"/>
      <c r="DE287" s="154"/>
      <c r="DF287" s="154"/>
      <c r="DG287" s="154"/>
      <c r="DH287" s="154"/>
      <c r="DI287" s="154"/>
      <c r="DJ287" s="154"/>
      <c r="DK287" s="154"/>
      <c r="DL287" s="154"/>
      <c r="DM287" s="154"/>
      <c r="DN287" s="154"/>
      <c r="DO287" s="154"/>
      <c r="DP287" s="154"/>
      <c r="DQ287" s="154"/>
      <c r="DR287" s="154"/>
      <c r="DS287" s="154"/>
      <c r="DT287" s="154"/>
      <c r="DU287" s="154"/>
      <c r="DV287" s="154"/>
      <c r="DW287" s="154"/>
      <c r="DX287" s="154"/>
      <c r="DY287" s="154"/>
      <c r="DZ287" s="154"/>
      <c r="EA287" s="154"/>
      <c r="EB287" s="154"/>
      <c r="EC287" s="154"/>
      <c r="ED287" s="154"/>
      <c r="EE287" s="154"/>
      <c r="EF287" s="154"/>
      <c r="EG287" s="154"/>
      <c r="EH287" s="154"/>
      <c r="EI287" s="154"/>
      <c r="EJ287" s="154"/>
      <c r="EK287" s="154"/>
      <c r="EL287" s="154"/>
      <c r="EM287" s="154"/>
      <c r="EN287" s="154"/>
      <c r="EO287" s="154"/>
      <c r="EP287" s="154"/>
      <c r="EQ287" s="154"/>
      <c r="ER287" s="154"/>
      <c r="ES287" s="154"/>
      <c r="ET287" s="154"/>
      <c r="EU287" s="154"/>
      <c r="EV287" s="154"/>
      <c r="EW287" s="154"/>
      <c r="EX287" s="154"/>
      <c r="EY287" s="154"/>
      <c r="EZ287" s="154"/>
      <c r="FA287" s="154"/>
      <c r="FB287" s="154"/>
      <c r="FC287" s="154"/>
      <c r="FD287" s="154"/>
      <c r="FE287" s="154"/>
      <c r="FF287" s="154"/>
      <c r="FG287" s="154"/>
      <c r="FH287" s="154"/>
      <c r="FI287" s="154"/>
      <c r="FJ287" s="154"/>
      <c r="FK287" s="154"/>
      <c r="FL287" s="154"/>
      <c r="FM287" s="154"/>
      <c r="FN287" s="154"/>
      <c r="FO287" s="154"/>
      <c r="FP287" s="154"/>
      <c r="FQ287" s="154"/>
      <c r="FR287" s="154"/>
      <c r="FS287" s="154"/>
      <c r="FT287" s="154"/>
      <c r="FU287" s="154"/>
      <c r="FV287" s="154"/>
      <c r="FW287" s="154"/>
      <c r="FX287" s="154"/>
    </row>
    <row r="288" spans="1:180" s="164" customFormat="1" ht="30" hidden="1" x14ac:dyDescent="0.25">
      <c r="A288" s="216"/>
      <c r="B288" s="214" t="s">
        <v>210</v>
      </c>
      <c r="C288" s="215" t="s">
        <v>323</v>
      </c>
      <c r="D288" s="216" t="s">
        <v>103</v>
      </c>
      <c r="E288" s="216" t="s">
        <v>55</v>
      </c>
      <c r="F288" s="216" t="s">
        <v>256</v>
      </c>
      <c r="G288" s="216" t="s">
        <v>257</v>
      </c>
      <c r="H288" s="216" t="s">
        <v>223</v>
      </c>
      <c r="I288" s="272"/>
      <c r="J288" s="272"/>
      <c r="K288" s="272"/>
      <c r="L288" s="272"/>
      <c r="M288" s="272"/>
      <c r="N288" s="272"/>
      <c r="O288" s="272"/>
      <c r="P288" s="279"/>
      <c r="Q288" s="274"/>
      <c r="R288" s="275"/>
      <c r="S288" s="276"/>
      <c r="T288" s="277"/>
      <c r="U288" s="277"/>
      <c r="V288" s="277"/>
      <c r="W288" s="277"/>
      <c r="AA288" s="278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  <c r="BN288" s="154"/>
      <c r="BO288" s="154"/>
      <c r="BP288" s="154"/>
      <c r="BQ288" s="154"/>
      <c r="BR288" s="154"/>
      <c r="BS288" s="154"/>
      <c r="BT288" s="154"/>
      <c r="BU288" s="154"/>
      <c r="BV288" s="154"/>
      <c r="BW288" s="154"/>
      <c r="BX288" s="154"/>
      <c r="BY288" s="154"/>
      <c r="BZ288" s="154"/>
      <c r="CA288" s="154"/>
      <c r="CB288" s="154"/>
      <c r="CC288" s="154"/>
      <c r="CD288" s="154"/>
      <c r="CE288" s="154"/>
      <c r="CF288" s="154"/>
      <c r="CG288" s="154"/>
      <c r="CH288" s="154"/>
      <c r="CI288" s="154"/>
      <c r="CJ288" s="154"/>
      <c r="CK288" s="154"/>
      <c r="CL288" s="154"/>
      <c r="CM288" s="154"/>
      <c r="CN288" s="154"/>
      <c r="CO288" s="154"/>
      <c r="CP288" s="154"/>
      <c r="CQ288" s="154"/>
      <c r="CR288" s="154"/>
      <c r="CS288" s="154"/>
      <c r="CT288" s="154"/>
      <c r="CU288" s="154"/>
      <c r="CV288" s="154"/>
      <c r="CW288" s="154"/>
      <c r="CX288" s="154"/>
      <c r="CY288" s="154"/>
      <c r="CZ288" s="154"/>
      <c r="DA288" s="154"/>
      <c r="DB288" s="154"/>
      <c r="DC288" s="154"/>
      <c r="DD288" s="154"/>
      <c r="DE288" s="154"/>
      <c r="DF288" s="154"/>
      <c r="DG288" s="154"/>
      <c r="DH288" s="154"/>
      <c r="DI288" s="154"/>
      <c r="DJ288" s="154"/>
      <c r="DK288" s="154"/>
      <c r="DL288" s="154"/>
      <c r="DM288" s="154"/>
      <c r="DN288" s="154"/>
      <c r="DO288" s="154"/>
      <c r="DP288" s="154"/>
      <c r="DQ288" s="154"/>
      <c r="DR288" s="154"/>
      <c r="DS288" s="154"/>
      <c r="DT288" s="154"/>
      <c r="DU288" s="154"/>
      <c r="DV288" s="154"/>
      <c r="DW288" s="154"/>
      <c r="DX288" s="154"/>
      <c r="DY288" s="154"/>
      <c r="DZ288" s="154"/>
      <c r="EA288" s="154"/>
      <c r="EB288" s="154"/>
      <c r="EC288" s="154"/>
      <c r="ED288" s="154"/>
      <c r="EE288" s="154"/>
      <c r="EF288" s="154"/>
      <c r="EG288" s="154"/>
      <c r="EH288" s="154"/>
      <c r="EI288" s="154"/>
      <c r="EJ288" s="154"/>
      <c r="EK288" s="154"/>
      <c r="EL288" s="154"/>
      <c r="EM288" s="154"/>
      <c r="EN288" s="154"/>
      <c r="EO288" s="154"/>
      <c r="EP288" s="154"/>
      <c r="EQ288" s="154"/>
      <c r="ER288" s="154"/>
      <c r="ES288" s="154"/>
      <c r="ET288" s="154"/>
      <c r="EU288" s="154"/>
      <c r="EV288" s="154"/>
      <c r="EW288" s="154"/>
      <c r="EX288" s="154"/>
      <c r="EY288" s="154"/>
      <c r="EZ288" s="154"/>
      <c r="FA288" s="154"/>
      <c r="FB288" s="154"/>
      <c r="FC288" s="154"/>
      <c r="FD288" s="154"/>
      <c r="FE288" s="154"/>
      <c r="FF288" s="154"/>
      <c r="FG288" s="154"/>
      <c r="FH288" s="154"/>
      <c r="FI288" s="154"/>
      <c r="FJ288" s="154"/>
      <c r="FK288" s="154"/>
      <c r="FL288" s="154"/>
      <c r="FM288" s="154"/>
      <c r="FN288" s="154"/>
      <c r="FO288" s="154"/>
      <c r="FP288" s="154"/>
      <c r="FQ288" s="154"/>
      <c r="FR288" s="154"/>
      <c r="FS288" s="154"/>
      <c r="FT288" s="154"/>
      <c r="FU288" s="154"/>
      <c r="FV288" s="154"/>
      <c r="FW288" s="154"/>
      <c r="FX288" s="154"/>
    </row>
    <row r="289" spans="1:180" s="164" customFormat="1" ht="30" hidden="1" x14ac:dyDescent="0.25">
      <c r="A289" s="216" t="s">
        <v>1212</v>
      </c>
      <c r="B289" s="214" t="s">
        <v>210</v>
      </c>
      <c r="C289" s="268" t="s">
        <v>324</v>
      </c>
      <c r="D289" s="269">
        <v>0.05</v>
      </c>
      <c r="E289" s="269">
        <v>0.75</v>
      </c>
      <c r="F289" s="269">
        <v>0.1</v>
      </c>
      <c r="G289" s="269">
        <v>0.05</v>
      </c>
      <c r="H289" s="269">
        <v>0.05</v>
      </c>
      <c r="I289" s="155"/>
      <c r="J289" s="155"/>
      <c r="K289" s="155"/>
      <c r="L289" s="155"/>
      <c r="M289" s="155" t="s">
        <v>639</v>
      </c>
      <c r="N289" s="155" t="s">
        <v>639</v>
      </c>
      <c r="O289" s="155" t="s">
        <v>35</v>
      </c>
      <c r="P289" s="279">
        <f t="shared" ref="P289:P299" si="4">SUM(D289:K289)</f>
        <v>1</v>
      </c>
      <c r="Q289" s="165"/>
      <c r="R289" s="275"/>
      <c r="S289" s="286" t="s">
        <v>918</v>
      </c>
      <c r="T289" s="277" t="s">
        <v>634</v>
      </c>
      <c r="U289" s="277" t="s">
        <v>634</v>
      </c>
      <c r="V289" s="277" t="s">
        <v>936</v>
      </c>
      <c r="W289" s="277" t="s">
        <v>937</v>
      </c>
      <c r="X289" s="164" t="s">
        <v>653</v>
      </c>
      <c r="AA289" s="278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  <c r="BN289" s="154"/>
      <c r="BO289" s="154"/>
      <c r="BP289" s="154"/>
      <c r="BQ289" s="154"/>
      <c r="BR289" s="154"/>
      <c r="BS289" s="154"/>
      <c r="BT289" s="154"/>
      <c r="BU289" s="154"/>
      <c r="BV289" s="154"/>
      <c r="BW289" s="154"/>
      <c r="BX289" s="154"/>
      <c r="BY289" s="154"/>
      <c r="BZ289" s="154"/>
      <c r="CA289" s="154"/>
      <c r="CB289" s="154"/>
      <c r="CC289" s="154"/>
      <c r="CD289" s="154"/>
      <c r="CE289" s="154"/>
      <c r="CF289" s="154"/>
      <c r="CG289" s="154"/>
      <c r="CH289" s="154"/>
      <c r="CI289" s="154"/>
      <c r="CJ289" s="154"/>
      <c r="CK289" s="154"/>
      <c r="CL289" s="154"/>
      <c r="CM289" s="154"/>
      <c r="CN289" s="154"/>
      <c r="CO289" s="154"/>
      <c r="CP289" s="154"/>
      <c r="CQ289" s="154"/>
      <c r="CR289" s="154"/>
      <c r="CS289" s="154"/>
      <c r="CT289" s="154"/>
      <c r="CU289" s="154"/>
      <c r="CV289" s="154"/>
      <c r="CW289" s="154"/>
      <c r="CX289" s="154"/>
      <c r="CY289" s="154"/>
      <c r="CZ289" s="154"/>
      <c r="DA289" s="154"/>
      <c r="DB289" s="154"/>
      <c r="DC289" s="154"/>
      <c r="DD289" s="154"/>
      <c r="DE289" s="154"/>
      <c r="DF289" s="154"/>
      <c r="DG289" s="154"/>
      <c r="DH289" s="154"/>
      <c r="DI289" s="154"/>
      <c r="DJ289" s="154"/>
      <c r="DK289" s="154"/>
      <c r="DL289" s="154"/>
      <c r="DM289" s="154"/>
      <c r="DN289" s="154"/>
      <c r="DO289" s="154"/>
      <c r="DP289" s="154"/>
      <c r="DQ289" s="154"/>
      <c r="DR289" s="154"/>
      <c r="DS289" s="154"/>
      <c r="DT289" s="154"/>
      <c r="DU289" s="154"/>
      <c r="DV289" s="154"/>
      <c r="DW289" s="154"/>
      <c r="DX289" s="154"/>
      <c r="DY289" s="154"/>
      <c r="DZ289" s="154"/>
      <c r="EA289" s="154"/>
      <c r="EB289" s="154"/>
      <c r="EC289" s="154"/>
      <c r="ED289" s="154"/>
      <c r="EE289" s="154"/>
      <c r="EF289" s="154"/>
      <c r="EG289" s="154"/>
      <c r="EH289" s="154"/>
      <c r="EI289" s="154"/>
      <c r="EJ289" s="154"/>
      <c r="EK289" s="154"/>
      <c r="EL289" s="154"/>
      <c r="EM289" s="154"/>
      <c r="EN289" s="154"/>
      <c r="EO289" s="154"/>
      <c r="EP289" s="154"/>
      <c r="EQ289" s="154"/>
      <c r="ER289" s="154"/>
      <c r="ES289" s="154"/>
      <c r="ET289" s="154"/>
      <c r="EU289" s="154"/>
      <c r="EV289" s="154"/>
      <c r="EW289" s="154"/>
      <c r="EX289" s="154"/>
      <c r="EY289" s="154"/>
      <c r="EZ289" s="154"/>
      <c r="FA289" s="154"/>
      <c r="FB289" s="154"/>
      <c r="FC289" s="154"/>
      <c r="FD289" s="154"/>
      <c r="FE289" s="154"/>
      <c r="FF289" s="154"/>
      <c r="FG289" s="154"/>
      <c r="FH289" s="154"/>
      <c r="FI289" s="154"/>
      <c r="FJ289" s="154"/>
      <c r="FK289" s="154"/>
      <c r="FL289" s="154"/>
      <c r="FM289" s="154"/>
      <c r="FN289" s="154"/>
      <c r="FO289" s="154"/>
      <c r="FP289" s="154"/>
      <c r="FQ289" s="154"/>
      <c r="FR289" s="154"/>
      <c r="FS289" s="154"/>
      <c r="FT289" s="154"/>
      <c r="FU289" s="154"/>
      <c r="FV289" s="154"/>
      <c r="FW289" s="154"/>
      <c r="FX289" s="154"/>
    </row>
    <row r="290" spans="1:180" s="164" customFormat="1" ht="30" hidden="1" x14ac:dyDescent="0.25">
      <c r="A290" s="216" t="s">
        <v>1213</v>
      </c>
      <c r="B290" s="214" t="s">
        <v>210</v>
      </c>
      <c r="C290" s="268" t="s">
        <v>325</v>
      </c>
      <c r="D290" s="269">
        <v>0.05</v>
      </c>
      <c r="E290" s="269">
        <v>0.75</v>
      </c>
      <c r="F290" s="269">
        <v>0.1</v>
      </c>
      <c r="G290" s="269">
        <v>0.05</v>
      </c>
      <c r="H290" s="269">
        <v>0.05</v>
      </c>
      <c r="I290" s="155"/>
      <c r="J290" s="155"/>
      <c r="K290" s="155"/>
      <c r="L290" s="155"/>
      <c r="M290" s="155" t="s">
        <v>639</v>
      </c>
      <c r="N290" s="155" t="s">
        <v>639</v>
      </c>
      <c r="O290" s="155" t="s">
        <v>35</v>
      </c>
      <c r="P290" s="279">
        <f t="shared" si="4"/>
        <v>1</v>
      </c>
      <c r="Q290" s="165"/>
      <c r="R290" s="275"/>
      <c r="S290" s="286" t="s">
        <v>918</v>
      </c>
      <c r="T290" s="277" t="s">
        <v>634</v>
      </c>
      <c r="U290" s="277" t="s">
        <v>634</v>
      </c>
      <c r="V290" s="277" t="s">
        <v>936</v>
      </c>
      <c r="W290" s="277" t="s">
        <v>937</v>
      </c>
      <c r="X290" s="164" t="s">
        <v>653</v>
      </c>
      <c r="AA290" s="278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  <c r="BN290" s="154"/>
      <c r="BO290" s="154"/>
      <c r="BP290" s="154"/>
      <c r="BQ290" s="154"/>
      <c r="BR290" s="154"/>
      <c r="BS290" s="154"/>
      <c r="BT290" s="154"/>
      <c r="BU290" s="154"/>
      <c r="BV290" s="154"/>
      <c r="BW290" s="154"/>
      <c r="BX290" s="154"/>
      <c r="BY290" s="154"/>
      <c r="BZ290" s="154"/>
      <c r="CA290" s="154"/>
      <c r="CB290" s="154"/>
      <c r="CC290" s="154"/>
      <c r="CD290" s="154"/>
      <c r="CE290" s="154"/>
      <c r="CF290" s="154"/>
      <c r="CG290" s="154"/>
      <c r="CH290" s="154"/>
      <c r="CI290" s="154"/>
      <c r="CJ290" s="154"/>
      <c r="CK290" s="154"/>
      <c r="CL290" s="154"/>
      <c r="CM290" s="154"/>
      <c r="CN290" s="154"/>
      <c r="CO290" s="154"/>
      <c r="CP290" s="154"/>
      <c r="CQ290" s="154"/>
      <c r="CR290" s="154"/>
      <c r="CS290" s="154"/>
      <c r="CT290" s="154"/>
      <c r="CU290" s="154"/>
      <c r="CV290" s="154"/>
      <c r="CW290" s="154"/>
      <c r="CX290" s="154"/>
      <c r="CY290" s="154"/>
      <c r="CZ290" s="154"/>
      <c r="DA290" s="154"/>
      <c r="DB290" s="154"/>
      <c r="DC290" s="154"/>
      <c r="DD290" s="154"/>
      <c r="DE290" s="154"/>
      <c r="DF290" s="154"/>
      <c r="DG290" s="154"/>
      <c r="DH290" s="154"/>
      <c r="DI290" s="154"/>
      <c r="DJ290" s="154"/>
      <c r="DK290" s="154"/>
      <c r="DL290" s="154"/>
      <c r="DM290" s="154"/>
      <c r="DN290" s="154"/>
      <c r="DO290" s="154"/>
      <c r="DP290" s="154"/>
      <c r="DQ290" s="154"/>
      <c r="DR290" s="154"/>
      <c r="DS290" s="154"/>
      <c r="DT290" s="154"/>
      <c r="DU290" s="154"/>
      <c r="DV290" s="154"/>
      <c r="DW290" s="154"/>
      <c r="DX290" s="154"/>
      <c r="DY290" s="154"/>
      <c r="DZ290" s="154"/>
      <c r="EA290" s="154"/>
      <c r="EB290" s="154"/>
      <c r="EC290" s="154"/>
      <c r="ED290" s="154"/>
      <c r="EE290" s="154"/>
      <c r="EF290" s="154"/>
      <c r="EG290" s="154"/>
      <c r="EH290" s="154"/>
      <c r="EI290" s="154"/>
      <c r="EJ290" s="154"/>
      <c r="EK290" s="154"/>
      <c r="EL290" s="154"/>
      <c r="EM290" s="154"/>
      <c r="EN290" s="154"/>
      <c r="EO290" s="154"/>
      <c r="EP290" s="154"/>
      <c r="EQ290" s="154"/>
      <c r="ER290" s="154"/>
      <c r="ES290" s="154"/>
      <c r="ET290" s="154"/>
      <c r="EU290" s="154"/>
      <c r="EV290" s="154"/>
      <c r="EW290" s="154"/>
      <c r="EX290" s="154"/>
      <c r="EY290" s="154"/>
      <c r="EZ290" s="154"/>
      <c r="FA290" s="154"/>
      <c r="FB290" s="154"/>
      <c r="FC290" s="154"/>
      <c r="FD290" s="154"/>
      <c r="FE290" s="154"/>
      <c r="FF290" s="154"/>
      <c r="FG290" s="154"/>
      <c r="FH290" s="154"/>
      <c r="FI290" s="154"/>
      <c r="FJ290" s="154"/>
      <c r="FK290" s="154"/>
      <c r="FL290" s="154"/>
      <c r="FM290" s="154"/>
      <c r="FN290" s="154"/>
      <c r="FO290" s="154"/>
      <c r="FP290" s="154"/>
      <c r="FQ290" s="154"/>
      <c r="FR290" s="154"/>
      <c r="FS290" s="154"/>
      <c r="FT290" s="154"/>
      <c r="FU290" s="154"/>
      <c r="FV290" s="154"/>
      <c r="FW290" s="154"/>
      <c r="FX290" s="154"/>
    </row>
    <row r="291" spans="1:180" s="164" customFormat="1" ht="30" hidden="1" x14ac:dyDescent="0.25">
      <c r="A291" s="216" t="s">
        <v>1214</v>
      </c>
      <c r="B291" s="214" t="s">
        <v>210</v>
      </c>
      <c r="C291" s="268" t="s">
        <v>326</v>
      </c>
      <c r="D291" s="269">
        <v>0.05</v>
      </c>
      <c r="E291" s="269">
        <v>0.75</v>
      </c>
      <c r="F291" s="269">
        <v>0.1</v>
      </c>
      <c r="G291" s="269">
        <v>0.05</v>
      </c>
      <c r="H291" s="269">
        <v>0.05</v>
      </c>
      <c r="I291" s="155"/>
      <c r="J291" s="155"/>
      <c r="K291" s="155"/>
      <c r="L291" s="155"/>
      <c r="M291" s="155" t="s">
        <v>639</v>
      </c>
      <c r="N291" s="155" t="s">
        <v>639</v>
      </c>
      <c r="O291" s="155" t="s">
        <v>35</v>
      </c>
      <c r="P291" s="279">
        <f t="shared" si="4"/>
        <v>1</v>
      </c>
      <c r="Q291" s="165"/>
      <c r="R291" s="275"/>
      <c r="S291" s="286" t="s">
        <v>918</v>
      </c>
      <c r="T291" s="277" t="s">
        <v>634</v>
      </c>
      <c r="U291" s="277" t="s">
        <v>634</v>
      </c>
      <c r="V291" s="277" t="s">
        <v>936</v>
      </c>
      <c r="W291" s="277" t="s">
        <v>937</v>
      </c>
      <c r="X291" s="164" t="s">
        <v>653</v>
      </c>
      <c r="AA291" s="278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  <c r="BN291" s="154"/>
      <c r="BO291" s="154"/>
      <c r="BP291" s="154"/>
      <c r="BQ291" s="154"/>
      <c r="BR291" s="154"/>
      <c r="BS291" s="154"/>
      <c r="BT291" s="154"/>
      <c r="BU291" s="154"/>
      <c r="BV291" s="154"/>
      <c r="BW291" s="154"/>
      <c r="BX291" s="154"/>
      <c r="BY291" s="154"/>
      <c r="BZ291" s="154"/>
      <c r="CA291" s="154"/>
      <c r="CB291" s="154"/>
      <c r="CC291" s="154"/>
      <c r="CD291" s="154"/>
      <c r="CE291" s="154"/>
      <c r="CF291" s="154"/>
      <c r="CG291" s="154"/>
      <c r="CH291" s="154"/>
      <c r="CI291" s="154"/>
      <c r="CJ291" s="154"/>
      <c r="CK291" s="154"/>
      <c r="CL291" s="154"/>
      <c r="CM291" s="154"/>
      <c r="CN291" s="154"/>
      <c r="CO291" s="154"/>
      <c r="CP291" s="154"/>
      <c r="CQ291" s="154"/>
      <c r="CR291" s="154"/>
      <c r="CS291" s="154"/>
      <c r="CT291" s="154"/>
      <c r="CU291" s="154"/>
      <c r="CV291" s="154"/>
      <c r="CW291" s="154"/>
      <c r="CX291" s="154"/>
      <c r="CY291" s="154"/>
      <c r="CZ291" s="154"/>
      <c r="DA291" s="154"/>
      <c r="DB291" s="154"/>
      <c r="DC291" s="154"/>
      <c r="DD291" s="154"/>
      <c r="DE291" s="154"/>
      <c r="DF291" s="154"/>
      <c r="DG291" s="154"/>
      <c r="DH291" s="154"/>
      <c r="DI291" s="154"/>
      <c r="DJ291" s="154"/>
      <c r="DK291" s="154"/>
      <c r="DL291" s="154"/>
      <c r="DM291" s="154"/>
      <c r="DN291" s="154"/>
      <c r="DO291" s="154"/>
      <c r="DP291" s="154"/>
      <c r="DQ291" s="154"/>
      <c r="DR291" s="154"/>
      <c r="DS291" s="154"/>
      <c r="DT291" s="154"/>
      <c r="DU291" s="154"/>
      <c r="DV291" s="154"/>
      <c r="DW291" s="154"/>
      <c r="DX291" s="154"/>
      <c r="DY291" s="154"/>
      <c r="DZ291" s="154"/>
      <c r="EA291" s="154"/>
      <c r="EB291" s="154"/>
      <c r="EC291" s="154"/>
      <c r="ED291" s="154"/>
      <c r="EE291" s="154"/>
      <c r="EF291" s="154"/>
      <c r="EG291" s="154"/>
      <c r="EH291" s="154"/>
      <c r="EI291" s="154"/>
      <c r="EJ291" s="154"/>
      <c r="EK291" s="154"/>
      <c r="EL291" s="154"/>
      <c r="EM291" s="154"/>
      <c r="EN291" s="154"/>
      <c r="EO291" s="154"/>
      <c r="EP291" s="154"/>
      <c r="EQ291" s="154"/>
      <c r="ER291" s="154"/>
      <c r="ES291" s="154"/>
      <c r="ET291" s="154"/>
      <c r="EU291" s="154"/>
      <c r="EV291" s="154"/>
      <c r="EW291" s="154"/>
      <c r="EX291" s="154"/>
      <c r="EY291" s="154"/>
      <c r="EZ291" s="154"/>
      <c r="FA291" s="154"/>
      <c r="FB291" s="154"/>
      <c r="FC291" s="154"/>
      <c r="FD291" s="154"/>
      <c r="FE291" s="154"/>
      <c r="FF291" s="154"/>
      <c r="FG291" s="154"/>
      <c r="FH291" s="154"/>
      <c r="FI291" s="154"/>
      <c r="FJ291" s="154"/>
      <c r="FK291" s="154"/>
      <c r="FL291" s="154"/>
      <c r="FM291" s="154"/>
      <c r="FN291" s="154"/>
      <c r="FO291" s="154"/>
      <c r="FP291" s="154"/>
      <c r="FQ291" s="154"/>
      <c r="FR291" s="154"/>
      <c r="FS291" s="154"/>
      <c r="FT291" s="154"/>
      <c r="FU291" s="154"/>
      <c r="FV291" s="154"/>
      <c r="FW291" s="154"/>
      <c r="FX291" s="154"/>
    </row>
    <row r="292" spans="1:180" s="164" customFormat="1" ht="30" hidden="1" x14ac:dyDescent="0.25">
      <c r="A292" s="216" t="s">
        <v>1215</v>
      </c>
      <c r="B292" s="214" t="s">
        <v>210</v>
      </c>
      <c r="C292" s="268" t="s">
        <v>327</v>
      </c>
      <c r="D292" s="269">
        <v>0.05</v>
      </c>
      <c r="E292" s="269">
        <v>0.75</v>
      </c>
      <c r="F292" s="269">
        <v>0.1</v>
      </c>
      <c r="G292" s="269">
        <v>0.05</v>
      </c>
      <c r="H292" s="269">
        <v>0.05</v>
      </c>
      <c r="I292" s="155"/>
      <c r="J292" s="155"/>
      <c r="K292" s="155"/>
      <c r="L292" s="155"/>
      <c r="M292" s="155" t="s">
        <v>639</v>
      </c>
      <c r="N292" s="155" t="s">
        <v>639</v>
      </c>
      <c r="O292" s="155" t="s">
        <v>35</v>
      </c>
      <c r="P292" s="279">
        <f t="shared" si="4"/>
        <v>1</v>
      </c>
      <c r="Q292" s="165"/>
      <c r="R292" s="275"/>
      <c r="S292" s="286" t="s">
        <v>918</v>
      </c>
      <c r="T292" s="277" t="s">
        <v>634</v>
      </c>
      <c r="U292" s="277" t="s">
        <v>634</v>
      </c>
      <c r="V292" s="277" t="s">
        <v>936</v>
      </c>
      <c r="W292" s="277" t="s">
        <v>937</v>
      </c>
      <c r="X292" s="164" t="s">
        <v>653</v>
      </c>
      <c r="AA292" s="278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  <c r="BN292" s="154"/>
      <c r="BO292" s="154"/>
      <c r="BP292" s="154"/>
      <c r="BQ292" s="154"/>
      <c r="BR292" s="154"/>
      <c r="BS292" s="154"/>
      <c r="BT292" s="154"/>
      <c r="BU292" s="154"/>
      <c r="BV292" s="154"/>
      <c r="BW292" s="154"/>
      <c r="BX292" s="154"/>
      <c r="BY292" s="154"/>
      <c r="BZ292" s="154"/>
      <c r="CA292" s="154"/>
      <c r="CB292" s="154"/>
      <c r="CC292" s="154"/>
      <c r="CD292" s="154"/>
      <c r="CE292" s="154"/>
      <c r="CF292" s="154"/>
      <c r="CG292" s="154"/>
      <c r="CH292" s="154"/>
      <c r="CI292" s="154"/>
      <c r="CJ292" s="154"/>
      <c r="CK292" s="154"/>
      <c r="CL292" s="154"/>
      <c r="CM292" s="154"/>
      <c r="CN292" s="154"/>
      <c r="CO292" s="154"/>
      <c r="CP292" s="154"/>
      <c r="CQ292" s="154"/>
      <c r="CR292" s="154"/>
      <c r="CS292" s="154"/>
      <c r="CT292" s="154"/>
      <c r="CU292" s="154"/>
      <c r="CV292" s="154"/>
      <c r="CW292" s="154"/>
      <c r="CX292" s="154"/>
      <c r="CY292" s="154"/>
      <c r="CZ292" s="154"/>
      <c r="DA292" s="154"/>
      <c r="DB292" s="154"/>
      <c r="DC292" s="154"/>
      <c r="DD292" s="154"/>
      <c r="DE292" s="154"/>
      <c r="DF292" s="154"/>
      <c r="DG292" s="154"/>
      <c r="DH292" s="154"/>
      <c r="DI292" s="154"/>
      <c r="DJ292" s="154"/>
      <c r="DK292" s="154"/>
      <c r="DL292" s="154"/>
      <c r="DM292" s="154"/>
      <c r="DN292" s="154"/>
      <c r="DO292" s="154"/>
      <c r="DP292" s="154"/>
      <c r="DQ292" s="154"/>
      <c r="DR292" s="154"/>
      <c r="DS292" s="154"/>
      <c r="DT292" s="154"/>
      <c r="DU292" s="154"/>
      <c r="DV292" s="154"/>
      <c r="DW292" s="154"/>
      <c r="DX292" s="154"/>
      <c r="DY292" s="154"/>
      <c r="DZ292" s="154"/>
      <c r="EA292" s="154"/>
      <c r="EB292" s="154"/>
      <c r="EC292" s="154"/>
      <c r="ED292" s="154"/>
      <c r="EE292" s="154"/>
      <c r="EF292" s="154"/>
      <c r="EG292" s="154"/>
      <c r="EH292" s="154"/>
      <c r="EI292" s="154"/>
      <c r="EJ292" s="154"/>
      <c r="EK292" s="154"/>
      <c r="EL292" s="154"/>
      <c r="EM292" s="154"/>
      <c r="EN292" s="154"/>
      <c r="EO292" s="154"/>
      <c r="EP292" s="154"/>
      <c r="EQ292" s="154"/>
      <c r="ER292" s="154"/>
      <c r="ES292" s="154"/>
      <c r="ET292" s="154"/>
      <c r="EU292" s="154"/>
      <c r="EV292" s="154"/>
      <c r="EW292" s="154"/>
      <c r="EX292" s="154"/>
      <c r="EY292" s="154"/>
      <c r="EZ292" s="154"/>
      <c r="FA292" s="154"/>
      <c r="FB292" s="154"/>
      <c r="FC292" s="154"/>
      <c r="FD292" s="154"/>
      <c r="FE292" s="154"/>
      <c r="FF292" s="154"/>
      <c r="FG292" s="154"/>
      <c r="FH292" s="154"/>
      <c r="FI292" s="154"/>
      <c r="FJ292" s="154"/>
      <c r="FK292" s="154"/>
      <c r="FL292" s="154"/>
      <c r="FM292" s="154"/>
      <c r="FN292" s="154"/>
      <c r="FO292" s="154"/>
      <c r="FP292" s="154"/>
      <c r="FQ292" s="154"/>
      <c r="FR292" s="154"/>
      <c r="FS292" s="154"/>
      <c r="FT292" s="154"/>
      <c r="FU292" s="154"/>
      <c r="FV292" s="154"/>
      <c r="FW292" s="154"/>
      <c r="FX292" s="154"/>
    </row>
    <row r="293" spans="1:180" s="164" customFormat="1" ht="30" hidden="1" x14ac:dyDescent="0.25">
      <c r="A293" s="216" t="s">
        <v>1216</v>
      </c>
      <c r="B293" s="214" t="s">
        <v>210</v>
      </c>
      <c r="C293" s="268" t="s">
        <v>328</v>
      </c>
      <c r="D293" s="269">
        <v>0.05</v>
      </c>
      <c r="E293" s="269">
        <v>0.75</v>
      </c>
      <c r="F293" s="269">
        <v>0.1</v>
      </c>
      <c r="G293" s="269">
        <v>0.05</v>
      </c>
      <c r="H293" s="269">
        <v>0.05</v>
      </c>
      <c r="I293" s="155"/>
      <c r="J293" s="155"/>
      <c r="K293" s="155"/>
      <c r="L293" s="155"/>
      <c r="M293" s="155" t="s">
        <v>639</v>
      </c>
      <c r="N293" s="155" t="s">
        <v>639</v>
      </c>
      <c r="O293" s="155" t="s">
        <v>35</v>
      </c>
      <c r="P293" s="279">
        <f t="shared" si="4"/>
        <v>1</v>
      </c>
      <c r="Q293" s="165"/>
      <c r="R293" s="275"/>
      <c r="S293" s="286" t="s">
        <v>918</v>
      </c>
      <c r="T293" s="277" t="s">
        <v>634</v>
      </c>
      <c r="U293" s="277" t="s">
        <v>634</v>
      </c>
      <c r="V293" s="277" t="s">
        <v>936</v>
      </c>
      <c r="W293" s="277" t="s">
        <v>937</v>
      </c>
      <c r="X293" s="164" t="s">
        <v>653</v>
      </c>
      <c r="AA293" s="278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  <c r="BN293" s="154"/>
      <c r="BO293" s="154"/>
      <c r="BP293" s="154"/>
      <c r="BQ293" s="154"/>
      <c r="BR293" s="154"/>
      <c r="BS293" s="154"/>
      <c r="BT293" s="154"/>
      <c r="BU293" s="154"/>
      <c r="BV293" s="154"/>
      <c r="BW293" s="154"/>
      <c r="BX293" s="154"/>
      <c r="BY293" s="154"/>
      <c r="BZ293" s="154"/>
      <c r="CA293" s="154"/>
      <c r="CB293" s="154"/>
      <c r="CC293" s="154"/>
      <c r="CD293" s="154"/>
      <c r="CE293" s="154"/>
      <c r="CF293" s="154"/>
      <c r="CG293" s="154"/>
      <c r="CH293" s="154"/>
      <c r="CI293" s="154"/>
      <c r="CJ293" s="154"/>
      <c r="CK293" s="154"/>
      <c r="CL293" s="154"/>
      <c r="CM293" s="154"/>
      <c r="CN293" s="154"/>
      <c r="CO293" s="154"/>
      <c r="CP293" s="154"/>
      <c r="CQ293" s="154"/>
      <c r="CR293" s="154"/>
      <c r="CS293" s="154"/>
      <c r="CT293" s="154"/>
      <c r="CU293" s="154"/>
      <c r="CV293" s="154"/>
      <c r="CW293" s="154"/>
      <c r="CX293" s="154"/>
      <c r="CY293" s="154"/>
      <c r="CZ293" s="154"/>
      <c r="DA293" s="154"/>
      <c r="DB293" s="154"/>
      <c r="DC293" s="154"/>
      <c r="DD293" s="154"/>
      <c r="DE293" s="154"/>
      <c r="DF293" s="154"/>
      <c r="DG293" s="154"/>
      <c r="DH293" s="154"/>
      <c r="DI293" s="154"/>
      <c r="DJ293" s="154"/>
      <c r="DK293" s="154"/>
      <c r="DL293" s="154"/>
      <c r="DM293" s="154"/>
      <c r="DN293" s="154"/>
      <c r="DO293" s="154"/>
      <c r="DP293" s="154"/>
      <c r="DQ293" s="154"/>
      <c r="DR293" s="154"/>
      <c r="DS293" s="154"/>
      <c r="DT293" s="154"/>
      <c r="DU293" s="154"/>
      <c r="DV293" s="154"/>
      <c r="DW293" s="154"/>
      <c r="DX293" s="154"/>
      <c r="DY293" s="154"/>
      <c r="DZ293" s="154"/>
      <c r="EA293" s="154"/>
      <c r="EB293" s="154"/>
      <c r="EC293" s="154"/>
      <c r="ED293" s="154"/>
      <c r="EE293" s="154"/>
      <c r="EF293" s="154"/>
      <c r="EG293" s="154"/>
      <c r="EH293" s="154"/>
      <c r="EI293" s="154"/>
      <c r="EJ293" s="154"/>
      <c r="EK293" s="154"/>
      <c r="EL293" s="154"/>
      <c r="EM293" s="154"/>
      <c r="EN293" s="154"/>
      <c r="EO293" s="154"/>
      <c r="EP293" s="154"/>
      <c r="EQ293" s="154"/>
      <c r="ER293" s="154"/>
      <c r="ES293" s="154"/>
      <c r="ET293" s="154"/>
      <c r="EU293" s="154"/>
      <c r="EV293" s="154"/>
      <c r="EW293" s="154"/>
      <c r="EX293" s="154"/>
      <c r="EY293" s="154"/>
      <c r="EZ293" s="154"/>
      <c r="FA293" s="154"/>
      <c r="FB293" s="154"/>
      <c r="FC293" s="154"/>
      <c r="FD293" s="154"/>
      <c r="FE293" s="154"/>
      <c r="FF293" s="154"/>
      <c r="FG293" s="154"/>
      <c r="FH293" s="154"/>
      <c r="FI293" s="154"/>
      <c r="FJ293" s="154"/>
      <c r="FK293" s="154"/>
      <c r="FL293" s="154"/>
      <c r="FM293" s="154"/>
      <c r="FN293" s="154"/>
      <c r="FO293" s="154"/>
      <c r="FP293" s="154"/>
      <c r="FQ293" s="154"/>
      <c r="FR293" s="154"/>
      <c r="FS293" s="154"/>
      <c r="FT293" s="154"/>
      <c r="FU293" s="154"/>
      <c r="FV293" s="154"/>
      <c r="FW293" s="154"/>
      <c r="FX293" s="154"/>
    </row>
    <row r="294" spans="1:180" s="164" customFormat="1" ht="30" hidden="1" x14ac:dyDescent="0.25">
      <c r="A294" s="216" t="s">
        <v>1217</v>
      </c>
      <c r="B294" s="214" t="s">
        <v>210</v>
      </c>
      <c r="C294" s="268" t="s">
        <v>329</v>
      </c>
      <c r="D294" s="269">
        <v>0.05</v>
      </c>
      <c r="E294" s="269">
        <v>0.75</v>
      </c>
      <c r="F294" s="269">
        <v>0.1</v>
      </c>
      <c r="G294" s="269">
        <v>0.05</v>
      </c>
      <c r="H294" s="269">
        <v>0.05</v>
      </c>
      <c r="I294" s="155"/>
      <c r="J294" s="155"/>
      <c r="K294" s="155"/>
      <c r="L294" s="155"/>
      <c r="M294" s="155" t="s">
        <v>639</v>
      </c>
      <c r="N294" s="155" t="s">
        <v>639</v>
      </c>
      <c r="O294" s="155" t="s">
        <v>35</v>
      </c>
      <c r="P294" s="279">
        <f t="shared" si="4"/>
        <v>1</v>
      </c>
      <c r="Q294" s="165"/>
      <c r="R294" s="275"/>
      <c r="S294" s="286" t="s">
        <v>918</v>
      </c>
      <c r="T294" s="277" t="s">
        <v>634</v>
      </c>
      <c r="U294" s="277" t="s">
        <v>634</v>
      </c>
      <c r="V294" s="277" t="s">
        <v>936</v>
      </c>
      <c r="W294" s="277" t="s">
        <v>937</v>
      </c>
      <c r="X294" s="164" t="s">
        <v>653</v>
      </c>
      <c r="AA294" s="278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  <c r="BN294" s="154"/>
      <c r="BO294" s="154"/>
      <c r="BP294" s="154"/>
      <c r="BQ294" s="154"/>
      <c r="BR294" s="154"/>
      <c r="BS294" s="154"/>
      <c r="BT294" s="154"/>
      <c r="BU294" s="154"/>
      <c r="BV294" s="154"/>
      <c r="BW294" s="154"/>
      <c r="BX294" s="154"/>
      <c r="BY294" s="154"/>
      <c r="BZ294" s="154"/>
      <c r="CA294" s="154"/>
      <c r="CB294" s="154"/>
      <c r="CC294" s="154"/>
      <c r="CD294" s="154"/>
      <c r="CE294" s="154"/>
      <c r="CF294" s="154"/>
      <c r="CG294" s="154"/>
      <c r="CH294" s="154"/>
      <c r="CI294" s="154"/>
      <c r="CJ294" s="154"/>
      <c r="CK294" s="154"/>
      <c r="CL294" s="154"/>
      <c r="CM294" s="154"/>
      <c r="CN294" s="154"/>
      <c r="CO294" s="154"/>
      <c r="CP294" s="154"/>
      <c r="CQ294" s="154"/>
      <c r="CR294" s="154"/>
      <c r="CS294" s="154"/>
      <c r="CT294" s="154"/>
      <c r="CU294" s="154"/>
      <c r="CV294" s="154"/>
      <c r="CW294" s="154"/>
      <c r="CX294" s="154"/>
      <c r="CY294" s="154"/>
      <c r="CZ294" s="154"/>
      <c r="DA294" s="154"/>
      <c r="DB294" s="154"/>
      <c r="DC294" s="154"/>
      <c r="DD294" s="154"/>
      <c r="DE294" s="154"/>
      <c r="DF294" s="154"/>
      <c r="DG294" s="154"/>
      <c r="DH294" s="154"/>
      <c r="DI294" s="154"/>
      <c r="DJ294" s="154"/>
      <c r="DK294" s="154"/>
      <c r="DL294" s="154"/>
      <c r="DM294" s="154"/>
      <c r="DN294" s="154"/>
      <c r="DO294" s="154"/>
      <c r="DP294" s="154"/>
      <c r="DQ294" s="154"/>
      <c r="DR294" s="154"/>
      <c r="DS294" s="154"/>
      <c r="DT294" s="154"/>
      <c r="DU294" s="154"/>
      <c r="DV294" s="154"/>
      <c r="DW294" s="154"/>
      <c r="DX294" s="154"/>
      <c r="DY294" s="154"/>
      <c r="DZ294" s="154"/>
      <c r="EA294" s="154"/>
      <c r="EB294" s="154"/>
      <c r="EC294" s="154"/>
      <c r="ED294" s="154"/>
      <c r="EE294" s="154"/>
      <c r="EF294" s="154"/>
      <c r="EG294" s="154"/>
      <c r="EH294" s="154"/>
      <c r="EI294" s="154"/>
      <c r="EJ294" s="154"/>
      <c r="EK294" s="154"/>
      <c r="EL294" s="154"/>
      <c r="EM294" s="154"/>
      <c r="EN294" s="154"/>
      <c r="EO294" s="154"/>
      <c r="EP294" s="154"/>
      <c r="EQ294" s="154"/>
      <c r="ER294" s="154"/>
      <c r="ES294" s="154"/>
      <c r="ET294" s="154"/>
      <c r="EU294" s="154"/>
      <c r="EV294" s="154"/>
      <c r="EW294" s="154"/>
      <c r="EX294" s="154"/>
      <c r="EY294" s="154"/>
      <c r="EZ294" s="154"/>
      <c r="FA294" s="154"/>
      <c r="FB294" s="154"/>
      <c r="FC294" s="154"/>
      <c r="FD294" s="154"/>
      <c r="FE294" s="154"/>
      <c r="FF294" s="154"/>
      <c r="FG294" s="154"/>
      <c r="FH294" s="154"/>
      <c r="FI294" s="154"/>
      <c r="FJ294" s="154"/>
      <c r="FK294" s="154"/>
      <c r="FL294" s="154"/>
      <c r="FM294" s="154"/>
      <c r="FN294" s="154"/>
      <c r="FO294" s="154"/>
      <c r="FP294" s="154"/>
      <c r="FQ294" s="154"/>
      <c r="FR294" s="154"/>
      <c r="FS294" s="154"/>
      <c r="FT294" s="154"/>
      <c r="FU294" s="154"/>
      <c r="FV294" s="154"/>
      <c r="FW294" s="154"/>
      <c r="FX294" s="154"/>
    </row>
    <row r="295" spans="1:180" s="164" customFormat="1" ht="30" hidden="1" x14ac:dyDescent="0.25">
      <c r="A295" s="216" t="s">
        <v>1218</v>
      </c>
      <c r="B295" s="214" t="s">
        <v>210</v>
      </c>
      <c r="C295" s="268" t="s">
        <v>330</v>
      </c>
      <c r="D295" s="269">
        <v>0.05</v>
      </c>
      <c r="E295" s="269">
        <v>0.75</v>
      </c>
      <c r="F295" s="269">
        <v>0.1</v>
      </c>
      <c r="G295" s="269">
        <v>0.05</v>
      </c>
      <c r="H295" s="269">
        <v>0.05</v>
      </c>
      <c r="I295" s="155"/>
      <c r="J295" s="155"/>
      <c r="K295" s="155"/>
      <c r="L295" s="155"/>
      <c r="M295" s="155" t="s">
        <v>639</v>
      </c>
      <c r="N295" s="155" t="s">
        <v>639</v>
      </c>
      <c r="O295" s="155" t="s">
        <v>35</v>
      </c>
      <c r="P295" s="279">
        <f t="shared" si="4"/>
        <v>1</v>
      </c>
      <c r="Q295" s="165"/>
      <c r="R295" s="275"/>
      <c r="S295" s="286" t="s">
        <v>918</v>
      </c>
      <c r="T295" s="277" t="s">
        <v>634</v>
      </c>
      <c r="U295" s="277" t="s">
        <v>634</v>
      </c>
      <c r="V295" s="287"/>
      <c r="W295" s="287"/>
      <c r="X295" s="164" t="s">
        <v>653</v>
      </c>
      <c r="AA295" s="278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54"/>
      <c r="CY295" s="154"/>
      <c r="CZ295" s="154"/>
      <c r="DA295" s="154"/>
      <c r="DB295" s="154"/>
      <c r="DC295" s="154"/>
      <c r="DD295" s="154"/>
      <c r="DE295" s="154"/>
      <c r="DF295" s="154"/>
      <c r="DG295" s="154"/>
      <c r="DH295" s="154"/>
      <c r="DI295" s="154"/>
      <c r="DJ295" s="154"/>
      <c r="DK295" s="154"/>
      <c r="DL295" s="154"/>
      <c r="DM295" s="154"/>
      <c r="DN295" s="154"/>
      <c r="DO295" s="154"/>
      <c r="DP295" s="154"/>
      <c r="DQ295" s="154"/>
      <c r="DR295" s="154"/>
      <c r="DS295" s="154"/>
      <c r="DT295" s="154"/>
      <c r="DU295" s="154"/>
      <c r="DV295" s="154"/>
      <c r="DW295" s="154"/>
      <c r="DX295" s="154"/>
      <c r="DY295" s="154"/>
      <c r="DZ295" s="154"/>
      <c r="EA295" s="154"/>
      <c r="EB295" s="154"/>
      <c r="EC295" s="154"/>
      <c r="ED295" s="154"/>
      <c r="EE295" s="154"/>
      <c r="EF295" s="154"/>
      <c r="EG295" s="154"/>
      <c r="EH295" s="154"/>
      <c r="EI295" s="154"/>
      <c r="EJ295" s="154"/>
      <c r="EK295" s="154"/>
      <c r="EL295" s="154"/>
      <c r="EM295" s="154"/>
      <c r="EN295" s="154"/>
      <c r="EO295" s="154"/>
      <c r="EP295" s="154"/>
      <c r="EQ295" s="154"/>
      <c r="ER295" s="154"/>
      <c r="ES295" s="154"/>
      <c r="ET295" s="154"/>
      <c r="EU295" s="154"/>
      <c r="EV295" s="154"/>
      <c r="EW295" s="154"/>
      <c r="EX295" s="154"/>
      <c r="EY295" s="154"/>
      <c r="EZ295" s="154"/>
      <c r="FA295" s="154"/>
      <c r="FB295" s="154"/>
      <c r="FC295" s="154"/>
      <c r="FD295" s="154"/>
      <c r="FE295" s="154"/>
      <c r="FF295" s="154"/>
      <c r="FG295" s="154"/>
      <c r="FH295" s="154"/>
      <c r="FI295" s="154"/>
      <c r="FJ295" s="154"/>
      <c r="FK295" s="154"/>
      <c r="FL295" s="154"/>
      <c r="FM295" s="154"/>
      <c r="FN295" s="154"/>
      <c r="FO295" s="154"/>
      <c r="FP295" s="154"/>
      <c r="FQ295" s="154"/>
      <c r="FR295" s="154"/>
      <c r="FS295" s="154"/>
      <c r="FT295" s="154"/>
      <c r="FU295" s="154"/>
      <c r="FV295" s="154"/>
      <c r="FW295" s="154"/>
      <c r="FX295" s="154"/>
    </row>
    <row r="296" spans="1:180" s="164" customFormat="1" ht="30" hidden="1" x14ac:dyDescent="0.25">
      <c r="A296" s="216" t="s">
        <v>1219</v>
      </c>
      <c r="B296" s="214" t="s">
        <v>210</v>
      </c>
      <c r="C296" s="268" t="s">
        <v>331</v>
      </c>
      <c r="D296" s="269">
        <v>0.05</v>
      </c>
      <c r="E296" s="269">
        <v>0.75</v>
      </c>
      <c r="F296" s="269">
        <v>0.1</v>
      </c>
      <c r="G296" s="269">
        <v>0.05</v>
      </c>
      <c r="H296" s="269">
        <v>0.05</v>
      </c>
      <c r="I296" s="155"/>
      <c r="J296" s="155"/>
      <c r="K296" s="155"/>
      <c r="L296" s="155"/>
      <c r="M296" s="155" t="s">
        <v>639</v>
      </c>
      <c r="N296" s="155" t="s">
        <v>639</v>
      </c>
      <c r="O296" s="155" t="s">
        <v>35</v>
      </c>
      <c r="P296" s="279">
        <f t="shared" si="4"/>
        <v>1</v>
      </c>
      <c r="Q296" s="165"/>
      <c r="R296" s="275"/>
      <c r="S296" s="286" t="s">
        <v>918</v>
      </c>
      <c r="T296" s="277" t="s">
        <v>634</v>
      </c>
      <c r="U296" s="277" t="s">
        <v>634</v>
      </c>
      <c r="V296" s="287"/>
      <c r="W296" s="287"/>
      <c r="X296" s="164" t="s">
        <v>653</v>
      </c>
      <c r="AA296" s="278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  <c r="BN296" s="154"/>
      <c r="BO296" s="154"/>
      <c r="BP296" s="154"/>
      <c r="BQ296" s="154"/>
      <c r="BR296" s="154"/>
      <c r="BS296" s="154"/>
      <c r="BT296" s="154"/>
      <c r="BU296" s="154"/>
      <c r="BV296" s="154"/>
      <c r="BW296" s="154"/>
      <c r="BX296" s="154"/>
      <c r="BY296" s="154"/>
      <c r="BZ296" s="154"/>
      <c r="CA296" s="154"/>
      <c r="CB296" s="154"/>
      <c r="CC296" s="154"/>
      <c r="CD296" s="154"/>
      <c r="CE296" s="154"/>
      <c r="CF296" s="154"/>
      <c r="CG296" s="154"/>
      <c r="CH296" s="154"/>
      <c r="CI296" s="154"/>
      <c r="CJ296" s="154"/>
      <c r="CK296" s="154"/>
      <c r="CL296" s="154"/>
      <c r="CM296" s="154"/>
      <c r="CN296" s="154"/>
      <c r="CO296" s="154"/>
      <c r="CP296" s="154"/>
      <c r="CQ296" s="154"/>
      <c r="CR296" s="154"/>
      <c r="CS296" s="154"/>
      <c r="CT296" s="154"/>
      <c r="CU296" s="154"/>
      <c r="CV296" s="154"/>
      <c r="CW296" s="154"/>
      <c r="CX296" s="154"/>
      <c r="CY296" s="154"/>
      <c r="CZ296" s="154"/>
      <c r="DA296" s="154"/>
      <c r="DB296" s="154"/>
      <c r="DC296" s="154"/>
      <c r="DD296" s="154"/>
      <c r="DE296" s="154"/>
      <c r="DF296" s="154"/>
      <c r="DG296" s="154"/>
      <c r="DH296" s="154"/>
      <c r="DI296" s="154"/>
      <c r="DJ296" s="154"/>
      <c r="DK296" s="154"/>
      <c r="DL296" s="154"/>
      <c r="DM296" s="154"/>
      <c r="DN296" s="154"/>
      <c r="DO296" s="154"/>
      <c r="DP296" s="154"/>
      <c r="DQ296" s="154"/>
      <c r="DR296" s="154"/>
      <c r="DS296" s="154"/>
      <c r="DT296" s="154"/>
      <c r="DU296" s="154"/>
      <c r="DV296" s="154"/>
      <c r="DW296" s="154"/>
      <c r="DX296" s="154"/>
      <c r="DY296" s="154"/>
      <c r="DZ296" s="154"/>
      <c r="EA296" s="154"/>
      <c r="EB296" s="154"/>
      <c r="EC296" s="154"/>
      <c r="ED296" s="154"/>
      <c r="EE296" s="154"/>
      <c r="EF296" s="154"/>
      <c r="EG296" s="154"/>
      <c r="EH296" s="154"/>
      <c r="EI296" s="154"/>
      <c r="EJ296" s="154"/>
      <c r="EK296" s="154"/>
      <c r="EL296" s="154"/>
      <c r="EM296" s="154"/>
      <c r="EN296" s="154"/>
      <c r="EO296" s="154"/>
      <c r="EP296" s="154"/>
      <c r="EQ296" s="154"/>
      <c r="ER296" s="154"/>
      <c r="ES296" s="154"/>
      <c r="ET296" s="154"/>
      <c r="EU296" s="154"/>
      <c r="EV296" s="154"/>
      <c r="EW296" s="154"/>
      <c r="EX296" s="154"/>
      <c r="EY296" s="154"/>
      <c r="EZ296" s="154"/>
      <c r="FA296" s="154"/>
      <c r="FB296" s="154"/>
      <c r="FC296" s="154"/>
      <c r="FD296" s="154"/>
      <c r="FE296" s="154"/>
      <c r="FF296" s="154"/>
      <c r="FG296" s="154"/>
      <c r="FH296" s="154"/>
      <c r="FI296" s="154"/>
      <c r="FJ296" s="154"/>
      <c r="FK296" s="154"/>
      <c r="FL296" s="154"/>
      <c r="FM296" s="154"/>
      <c r="FN296" s="154"/>
      <c r="FO296" s="154"/>
      <c r="FP296" s="154"/>
      <c r="FQ296" s="154"/>
      <c r="FR296" s="154"/>
      <c r="FS296" s="154"/>
      <c r="FT296" s="154"/>
      <c r="FU296" s="154"/>
      <c r="FV296" s="154"/>
      <c r="FW296" s="154"/>
      <c r="FX296" s="154"/>
    </row>
    <row r="297" spans="1:180" s="164" customFormat="1" ht="30" hidden="1" x14ac:dyDescent="0.25">
      <c r="A297" s="216" t="s">
        <v>1220</v>
      </c>
      <c r="B297" s="214" t="s">
        <v>210</v>
      </c>
      <c r="C297" s="268" t="s">
        <v>332</v>
      </c>
      <c r="D297" s="269">
        <v>0.05</v>
      </c>
      <c r="E297" s="269">
        <v>0.75</v>
      </c>
      <c r="F297" s="269">
        <v>0.1</v>
      </c>
      <c r="G297" s="269">
        <v>0.05</v>
      </c>
      <c r="H297" s="269">
        <v>0.05</v>
      </c>
      <c r="I297" s="155"/>
      <c r="J297" s="155"/>
      <c r="K297" s="155"/>
      <c r="L297" s="155"/>
      <c r="M297" s="155" t="s">
        <v>639</v>
      </c>
      <c r="N297" s="155" t="s">
        <v>639</v>
      </c>
      <c r="O297" s="155" t="s">
        <v>35</v>
      </c>
      <c r="P297" s="279">
        <f t="shared" si="4"/>
        <v>1</v>
      </c>
      <c r="Q297" s="165"/>
      <c r="R297" s="275"/>
      <c r="S297" s="286" t="s">
        <v>918</v>
      </c>
      <c r="T297" s="277" t="s">
        <v>634</v>
      </c>
      <c r="U297" s="277" t="s">
        <v>634</v>
      </c>
      <c r="V297" s="287"/>
      <c r="W297" s="287"/>
      <c r="X297" s="164" t="s">
        <v>653</v>
      </c>
      <c r="AA297" s="278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  <c r="BN297" s="154"/>
      <c r="BO297" s="154"/>
      <c r="BP297" s="154"/>
      <c r="BQ297" s="154"/>
      <c r="BR297" s="154"/>
      <c r="BS297" s="154"/>
      <c r="BT297" s="154"/>
      <c r="BU297" s="154"/>
      <c r="BV297" s="154"/>
      <c r="BW297" s="154"/>
      <c r="BX297" s="154"/>
      <c r="BY297" s="154"/>
      <c r="BZ297" s="154"/>
      <c r="CA297" s="154"/>
      <c r="CB297" s="154"/>
      <c r="CC297" s="154"/>
      <c r="CD297" s="154"/>
      <c r="CE297" s="154"/>
      <c r="CF297" s="154"/>
      <c r="CG297" s="154"/>
      <c r="CH297" s="154"/>
      <c r="CI297" s="154"/>
      <c r="CJ297" s="154"/>
      <c r="CK297" s="154"/>
      <c r="CL297" s="154"/>
      <c r="CM297" s="154"/>
      <c r="CN297" s="154"/>
      <c r="CO297" s="154"/>
      <c r="CP297" s="154"/>
      <c r="CQ297" s="154"/>
      <c r="CR297" s="154"/>
      <c r="CS297" s="154"/>
      <c r="CT297" s="154"/>
      <c r="CU297" s="154"/>
      <c r="CV297" s="154"/>
      <c r="CW297" s="154"/>
      <c r="CX297" s="154"/>
      <c r="CY297" s="154"/>
      <c r="CZ297" s="154"/>
      <c r="DA297" s="154"/>
      <c r="DB297" s="154"/>
      <c r="DC297" s="154"/>
      <c r="DD297" s="154"/>
      <c r="DE297" s="154"/>
      <c r="DF297" s="154"/>
      <c r="DG297" s="154"/>
      <c r="DH297" s="154"/>
      <c r="DI297" s="154"/>
      <c r="DJ297" s="154"/>
      <c r="DK297" s="154"/>
      <c r="DL297" s="154"/>
      <c r="DM297" s="154"/>
      <c r="DN297" s="154"/>
      <c r="DO297" s="154"/>
      <c r="DP297" s="154"/>
      <c r="DQ297" s="154"/>
      <c r="DR297" s="154"/>
      <c r="DS297" s="154"/>
      <c r="DT297" s="154"/>
      <c r="DU297" s="154"/>
      <c r="DV297" s="154"/>
      <c r="DW297" s="154"/>
      <c r="DX297" s="154"/>
      <c r="DY297" s="154"/>
      <c r="DZ297" s="154"/>
      <c r="EA297" s="154"/>
      <c r="EB297" s="154"/>
      <c r="EC297" s="154"/>
      <c r="ED297" s="154"/>
      <c r="EE297" s="154"/>
      <c r="EF297" s="154"/>
      <c r="EG297" s="154"/>
      <c r="EH297" s="154"/>
      <c r="EI297" s="154"/>
      <c r="EJ297" s="154"/>
      <c r="EK297" s="154"/>
      <c r="EL297" s="154"/>
      <c r="EM297" s="154"/>
      <c r="EN297" s="154"/>
      <c r="EO297" s="154"/>
      <c r="EP297" s="154"/>
      <c r="EQ297" s="154"/>
      <c r="ER297" s="154"/>
      <c r="ES297" s="154"/>
      <c r="ET297" s="154"/>
      <c r="EU297" s="154"/>
      <c r="EV297" s="154"/>
      <c r="EW297" s="154"/>
      <c r="EX297" s="154"/>
      <c r="EY297" s="154"/>
      <c r="EZ297" s="154"/>
      <c r="FA297" s="154"/>
      <c r="FB297" s="154"/>
      <c r="FC297" s="154"/>
      <c r="FD297" s="154"/>
      <c r="FE297" s="154"/>
      <c r="FF297" s="154"/>
      <c r="FG297" s="154"/>
      <c r="FH297" s="154"/>
      <c r="FI297" s="154"/>
      <c r="FJ297" s="154"/>
      <c r="FK297" s="154"/>
      <c r="FL297" s="154"/>
      <c r="FM297" s="154"/>
      <c r="FN297" s="154"/>
      <c r="FO297" s="154"/>
      <c r="FP297" s="154"/>
      <c r="FQ297" s="154"/>
      <c r="FR297" s="154"/>
      <c r="FS297" s="154"/>
      <c r="FT297" s="154"/>
      <c r="FU297" s="154"/>
      <c r="FV297" s="154"/>
      <c r="FW297" s="154"/>
      <c r="FX297" s="154"/>
    </row>
    <row r="298" spans="1:180" s="164" customFormat="1" ht="30" hidden="1" x14ac:dyDescent="0.25">
      <c r="A298" s="216" t="s">
        <v>1221</v>
      </c>
      <c r="B298" s="214" t="s">
        <v>210</v>
      </c>
      <c r="C298" s="268" t="s">
        <v>333</v>
      </c>
      <c r="D298" s="269">
        <v>0.05</v>
      </c>
      <c r="E298" s="269">
        <v>0.75</v>
      </c>
      <c r="F298" s="269">
        <v>0.1</v>
      </c>
      <c r="G298" s="269">
        <v>0.05</v>
      </c>
      <c r="H298" s="269">
        <v>0.05</v>
      </c>
      <c r="I298" s="155"/>
      <c r="J298" s="155"/>
      <c r="K298" s="155"/>
      <c r="L298" s="155"/>
      <c r="M298" s="155" t="s">
        <v>639</v>
      </c>
      <c r="N298" s="155" t="s">
        <v>639</v>
      </c>
      <c r="O298" s="155" t="s">
        <v>35</v>
      </c>
      <c r="P298" s="279">
        <f t="shared" si="4"/>
        <v>1</v>
      </c>
      <c r="Q298" s="165"/>
      <c r="R298" s="275"/>
      <c r="S298" s="286" t="s">
        <v>918</v>
      </c>
      <c r="T298" s="277" t="s">
        <v>634</v>
      </c>
      <c r="U298" s="277" t="s">
        <v>634</v>
      </c>
      <c r="V298" s="277" t="s">
        <v>938</v>
      </c>
      <c r="W298" s="277" t="s">
        <v>939</v>
      </c>
      <c r="X298" s="164" t="s">
        <v>653</v>
      </c>
      <c r="AA298" s="278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  <c r="BN298" s="154"/>
      <c r="BO298" s="154"/>
      <c r="BP298" s="154"/>
      <c r="BQ298" s="154"/>
      <c r="BR298" s="154"/>
      <c r="BS298" s="154"/>
      <c r="BT298" s="154"/>
      <c r="BU298" s="154"/>
      <c r="BV298" s="154"/>
      <c r="BW298" s="154"/>
      <c r="BX298" s="154"/>
      <c r="BY298" s="154"/>
      <c r="BZ298" s="154"/>
      <c r="CA298" s="154"/>
      <c r="CB298" s="154"/>
      <c r="CC298" s="154"/>
      <c r="CD298" s="154"/>
      <c r="CE298" s="154"/>
      <c r="CF298" s="154"/>
      <c r="CG298" s="154"/>
      <c r="CH298" s="154"/>
      <c r="CI298" s="154"/>
      <c r="CJ298" s="154"/>
      <c r="CK298" s="154"/>
      <c r="CL298" s="154"/>
      <c r="CM298" s="154"/>
      <c r="CN298" s="154"/>
      <c r="CO298" s="154"/>
      <c r="CP298" s="154"/>
      <c r="CQ298" s="154"/>
      <c r="CR298" s="154"/>
      <c r="CS298" s="154"/>
      <c r="CT298" s="154"/>
      <c r="CU298" s="154"/>
      <c r="CV298" s="154"/>
      <c r="CW298" s="154"/>
      <c r="CX298" s="154"/>
      <c r="CY298" s="154"/>
      <c r="CZ298" s="154"/>
      <c r="DA298" s="154"/>
      <c r="DB298" s="154"/>
      <c r="DC298" s="154"/>
      <c r="DD298" s="154"/>
      <c r="DE298" s="154"/>
      <c r="DF298" s="154"/>
      <c r="DG298" s="154"/>
      <c r="DH298" s="154"/>
      <c r="DI298" s="154"/>
      <c r="DJ298" s="154"/>
      <c r="DK298" s="154"/>
      <c r="DL298" s="154"/>
      <c r="DM298" s="154"/>
      <c r="DN298" s="154"/>
      <c r="DO298" s="154"/>
      <c r="DP298" s="154"/>
      <c r="DQ298" s="154"/>
      <c r="DR298" s="154"/>
      <c r="DS298" s="154"/>
      <c r="DT298" s="154"/>
      <c r="DU298" s="154"/>
      <c r="DV298" s="154"/>
      <c r="DW298" s="154"/>
      <c r="DX298" s="154"/>
      <c r="DY298" s="154"/>
      <c r="DZ298" s="154"/>
      <c r="EA298" s="154"/>
      <c r="EB298" s="154"/>
      <c r="EC298" s="154"/>
      <c r="ED298" s="154"/>
      <c r="EE298" s="154"/>
      <c r="EF298" s="154"/>
      <c r="EG298" s="154"/>
      <c r="EH298" s="154"/>
      <c r="EI298" s="154"/>
      <c r="EJ298" s="154"/>
      <c r="EK298" s="154"/>
      <c r="EL298" s="154"/>
      <c r="EM298" s="154"/>
      <c r="EN298" s="154"/>
      <c r="EO298" s="154"/>
      <c r="EP298" s="154"/>
      <c r="EQ298" s="154"/>
      <c r="ER298" s="154"/>
      <c r="ES298" s="154"/>
      <c r="ET298" s="154"/>
      <c r="EU298" s="154"/>
      <c r="EV298" s="154"/>
      <c r="EW298" s="154"/>
      <c r="EX298" s="154"/>
      <c r="EY298" s="154"/>
      <c r="EZ298" s="154"/>
      <c r="FA298" s="154"/>
      <c r="FB298" s="154"/>
      <c r="FC298" s="154"/>
      <c r="FD298" s="154"/>
      <c r="FE298" s="154"/>
      <c r="FF298" s="154"/>
      <c r="FG298" s="154"/>
      <c r="FH298" s="154"/>
      <c r="FI298" s="154"/>
      <c r="FJ298" s="154"/>
      <c r="FK298" s="154"/>
      <c r="FL298" s="154"/>
      <c r="FM298" s="154"/>
      <c r="FN298" s="154"/>
      <c r="FO298" s="154"/>
      <c r="FP298" s="154"/>
      <c r="FQ298" s="154"/>
      <c r="FR298" s="154"/>
      <c r="FS298" s="154"/>
      <c r="FT298" s="154"/>
      <c r="FU298" s="154"/>
      <c r="FV298" s="154"/>
      <c r="FW298" s="154"/>
      <c r="FX298" s="154"/>
    </row>
    <row r="299" spans="1:180" s="164" customFormat="1" ht="30" hidden="1" x14ac:dyDescent="0.25">
      <c r="A299" s="216" t="s">
        <v>1222</v>
      </c>
      <c r="B299" s="214" t="s">
        <v>210</v>
      </c>
      <c r="C299" s="268" t="s">
        <v>334</v>
      </c>
      <c r="D299" s="269">
        <v>0.05</v>
      </c>
      <c r="E299" s="269">
        <v>0.75</v>
      </c>
      <c r="F299" s="269">
        <v>0.1</v>
      </c>
      <c r="G299" s="269">
        <v>0.05</v>
      </c>
      <c r="H299" s="269">
        <v>0.05</v>
      </c>
      <c r="I299" s="155"/>
      <c r="J299" s="155"/>
      <c r="K299" s="155"/>
      <c r="L299" s="155"/>
      <c r="M299" s="155" t="s">
        <v>639</v>
      </c>
      <c r="N299" s="155" t="s">
        <v>639</v>
      </c>
      <c r="O299" s="155" t="s">
        <v>35</v>
      </c>
      <c r="P299" s="279">
        <f t="shared" si="4"/>
        <v>1</v>
      </c>
      <c r="Q299" s="165"/>
      <c r="R299" s="275"/>
      <c r="S299" s="286" t="s">
        <v>918</v>
      </c>
      <c r="T299" s="277" t="s">
        <v>634</v>
      </c>
      <c r="U299" s="277" t="s">
        <v>634</v>
      </c>
      <c r="V299" s="287"/>
      <c r="W299" s="287"/>
      <c r="X299" s="164" t="s">
        <v>653</v>
      </c>
      <c r="AA299" s="278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  <c r="BN299" s="154"/>
      <c r="BO299" s="154"/>
      <c r="BP299" s="154"/>
      <c r="BQ299" s="154"/>
      <c r="BR299" s="154"/>
      <c r="BS299" s="154"/>
      <c r="BT299" s="154"/>
      <c r="BU299" s="154"/>
      <c r="BV299" s="154"/>
      <c r="BW299" s="154"/>
      <c r="BX299" s="154"/>
      <c r="BY299" s="154"/>
      <c r="BZ299" s="154"/>
      <c r="CA299" s="154"/>
      <c r="CB299" s="154"/>
      <c r="CC299" s="154"/>
      <c r="CD299" s="154"/>
      <c r="CE299" s="154"/>
      <c r="CF299" s="154"/>
      <c r="CG299" s="154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54"/>
      <c r="CR299" s="154"/>
      <c r="CS299" s="154"/>
      <c r="CT299" s="154"/>
      <c r="CU299" s="154"/>
      <c r="CV299" s="154"/>
      <c r="CW299" s="154"/>
      <c r="CX299" s="154"/>
      <c r="CY299" s="154"/>
      <c r="CZ299" s="154"/>
      <c r="DA299" s="154"/>
      <c r="DB299" s="154"/>
      <c r="DC299" s="154"/>
      <c r="DD299" s="154"/>
      <c r="DE299" s="154"/>
      <c r="DF299" s="154"/>
      <c r="DG299" s="154"/>
      <c r="DH299" s="154"/>
      <c r="DI299" s="154"/>
      <c r="DJ299" s="154"/>
      <c r="DK299" s="154"/>
      <c r="DL299" s="154"/>
      <c r="DM299" s="154"/>
      <c r="DN299" s="154"/>
      <c r="DO299" s="154"/>
      <c r="DP299" s="154"/>
      <c r="DQ299" s="154"/>
      <c r="DR299" s="154"/>
      <c r="DS299" s="154"/>
      <c r="DT299" s="154"/>
      <c r="DU299" s="154"/>
      <c r="DV299" s="154"/>
      <c r="DW299" s="154"/>
      <c r="DX299" s="154"/>
      <c r="DY299" s="154"/>
      <c r="DZ299" s="154"/>
      <c r="EA299" s="154"/>
      <c r="EB299" s="154"/>
      <c r="EC299" s="154"/>
      <c r="ED299" s="154"/>
      <c r="EE299" s="154"/>
      <c r="EF299" s="154"/>
      <c r="EG299" s="154"/>
      <c r="EH299" s="154"/>
      <c r="EI299" s="154"/>
      <c r="EJ299" s="154"/>
      <c r="EK299" s="154"/>
      <c r="EL299" s="154"/>
      <c r="EM299" s="154"/>
      <c r="EN299" s="154"/>
      <c r="EO299" s="154"/>
      <c r="EP299" s="154"/>
      <c r="EQ299" s="154"/>
      <c r="ER299" s="154"/>
      <c r="ES299" s="154"/>
      <c r="ET299" s="154"/>
      <c r="EU299" s="154"/>
      <c r="EV299" s="154"/>
      <c r="EW299" s="154"/>
      <c r="EX299" s="154"/>
      <c r="EY299" s="154"/>
      <c r="EZ299" s="154"/>
      <c r="FA299" s="154"/>
      <c r="FB299" s="154"/>
      <c r="FC299" s="154"/>
      <c r="FD299" s="154"/>
      <c r="FE299" s="154"/>
      <c r="FF299" s="154"/>
      <c r="FG299" s="154"/>
      <c r="FH299" s="154"/>
      <c r="FI299" s="154"/>
      <c r="FJ299" s="154"/>
      <c r="FK299" s="154"/>
      <c r="FL299" s="154"/>
      <c r="FM299" s="154"/>
      <c r="FN299" s="154"/>
      <c r="FO299" s="154"/>
      <c r="FP299" s="154"/>
      <c r="FQ299" s="154"/>
      <c r="FR299" s="154"/>
      <c r="FS299" s="154"/>
      <c r="FT299" s="154"/>
      <c r="FU299" s="154"/>
      <c r="FV299" s="154"/>
      <c r="FW299" s="154"/>
      <c r="FX299" s="154"/>
    </row>
    <row r="300" spans="1:180" s="164" customFormat="1" hidden="1" x14ac:dyDescent="0.25">
      <c r="A300" s="216"/>
      <c r="B300" s="214"/>
      <c r="C300" s="168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279"/>
      <c r="Q300" s="165"/>
      <c r="R300" s="275"/>
      <c r="S300" s="276"/>
      <c r="T300" s="277"/>
      <c r="U300" s="277"/>
      <c r="V300" s="277"/>
      <c r="W300" s="277"/>
      <c r="AA300" s="278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  <c r="BN300" s="154"/>
      <c r="BO300" s="154"/>
      <c r="BP300" s="154"/>
      <c r="BQ300" s="154"/>
      <c r="BR300" s="154"/>
      <c r="BS300" s="154"/>
      <c r="BT300" s="154"/>
      <c r="BU300" s="154"/>
      <c r="BV300" s="154"/>
      <c r="BW300" s="154"/>
      <c r="BX300" s="154"/>
      <c r="BY300" s="154"/>
      <c r="BZ300" s="154"/>
      <c r="CA300" s="154"/>
      <c r="CB300" s="154"/>
      <c r="CC300" s="154"/>
      <c r="CD300" s="154"/>
      <c r="CE300" s="154"/>
      <c r="CF300" s="154"/>
      <c r="CG300" s="154"/>
      <c r="CH300" s="154"/>
      <c r="CI300" s="154"/>
      <c r="CJ300" s="154"/>
      <c r="CK300" s="154"/>
      <c r="CL300" s="154"/>
      <c r="CM300" s="154"/>
      <c r="CN300" s="154"/>
      <c r="CO300" s="154"/>
      <c r="CP300" s="154"/>
      <c r="CQ300" s="154"/>
      <c r="CR300" s="154"/>
      <c r="CS300" s="154"/>
      <c r="CT300" s="154"/>
      <c r="CU300" s="154"/>
      <c r="CV300" s="154"/>
      <c r="CW300" s="154"/>
      <c r="CX300" s="154"/>
      <c r="CY300" s="154"/>
      <c r="CZ300" s="154"/>
      <c r="DA300" s="154"/>
      <c r="DB300" s="154"/>
      <c r="DC300" s="154"/>
      <c r="DD300" s="154"/>
      <c r="DE300" s="154"/>
      <c r="DF300" s="154"/>
      <c r="DG300" s="154"/>
      <c r="DH300" s="154"/>
      <c r="DI300" s="154"/>
      <c r="DJ300" s="154"/>
      <c r="DK300" s="154"/>
      <c r="DL300" s="154"/>
      <c r="DM300" s="154"/>
      <c r="DN300" s="154"/>
      <c r="DO300" s="154"/>
      <c r="DP300" s="154"/>
      <c r="DQ300" s="154"/>
      <c r="DR300" s="154"/>
      <c r="DS300" s="154"/>
      <c r="DT300" s="154"/>
      <c r="DU300" s="154"/>
      <c r="DV300" s="154"/>
      <c r="DW300" s="154"/>
      <c r="DX300" s="154"/>
      <c r="DY300" s="154"/>
      <c r="DZ300" s="154"/>
      <c r="EA300" s="154"/>
      <c r="EB300" s="154"/>
      <c r="EC300" s="154"/>
      <c r="ED300" s="154"/>
      <c r="EE300" s="154"/>
      <c r="EF300" s="154"/>
      <c r="EG300" s="154"/>
      <c r="EH300" s="154"/>
      <c r="EI300" s="154"/>
      <c r="EJ300" s="154"/>
      <c r="EK300" s="154"/>
      <c r="EL300" s="154"/>
      <c r="EM300" s="154"/>
      <c r="EN300" s="154"/>
      <c r="EO300" s="154"/>
      <c r="EP300" s="154"/>
      <c r="EQ300" s="154"/>
      <c r="ER300" s="154"/>
      <c r="ES300" s="154"/>
      <c r="ET300" s="154"/>
      <c r="EU300" s="154"/>
      <c r="EV300" s="154"/>
      <c r="EW300" s="154"/>
      <c r="EX300" s="154"/>
      <c r="EY300" s="154"/>
      <c r="EZ300" s="154"/>
      <c r="FA300" s="154"/>
      <c r="FB300" s="154"/>
      <c r="FC300" s="154"/>
      <c r="FD300" s="154"/>
      <c r="FE300" s="154"/>
      <c r="FF300" s="154"/>
      <c r="FG300" s="154"/>
      <c r="FH300" s="154"/>
      <c r="FI300" s="154"/>
      <c r="FJ300" s="154"/>
      <c r="FK300" s="154"/>
      <c r="FL300" s="154"/>
      <c r="FM300" s="154"/>
      <c r="FN300" s="154"/>
      <c r="FO300" s="154"/>
      <c r="FP300" s="154"/>
      <c r="FQ300" s="154"/>
      <c r="FR300" s="154"/>
      <c r="FS300" s="154"/>
      <c r="FT300" s="154"/>
      <c r="FU300" s="154"/>
      <c r="FV300" s="154"/>
      <c r="FW300" s="154"/>
      <c r="FX300" s="154"/>
    </row>
    <row r="301" spans="1:180" s="164" customFormat="1" ht="30" hidden="1" x14ac:dyDescent="0.25">
      <c r="A301" s="216"/>
      <c r="B301" s="214" t="s">
        <v>210</v>
      </c>
      <c r="C301" s="215" t="s">
        <v>335</v>
      </c>
      <c r="D301" s="216" t="s">
        <v>140</v>
      </c>
      <c r="E301" s="216" t="s">
        <v>135</v>
      </c>
      <c r="F301" s="216" t="s">
        <v>17</v>
      </c>
      <c r="G301" s="216"/>
      <c r="H301" s="216"/>
      <c r="I301" s="272"/>
      <c r="J301" s="272"/>
      <c r="K301" s="272"/>
      <c r="L301" s="272"/>
      <c r="M301" s="272"/>
      <c r="N301" s="272"/>
      <c r="O301" s="272"/>
      <c r="P301" s="279"/>
      <c r="Q301" s="274"/>
      <c r="R301" s="275"/>
      <c r="S301" s="276"/>
      <c r="T301" s="277"/>
      <c r="U301" s="277"/>
      <c r="V301" s="277"/>
      <c r="W301" s="277"/>
      <c r="AA301" s="278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  <c r="BN301" s="154"/>
      <c r="BO301" s="154"/>
      <c r="BP301" s="154"/>
      <c r="BQ301" s="154"/>
      <c r="BR301" s="154"/>
      <c r="BS301" s="154"/>
      <c r="BT301" s="154"/>
      <c r="BU301" s="154"/>
      <c r="BV301" s="154"/>
      <c r="BW301" s="154"/>
      <c r="BX301" s="154"/>
      <c r="BY301" s="154"/>
      <c r="BZ301" s="154"/>
      <c r="CA301" s="154"/>
      <c r="CB301" s="154"/>
      <c r="CC301" s="154"/>
      <c r="CD301" s="154"/>
      <c r="CE301" s="154"/>
      <c r="CF301" s="154"/>
      <c r="CG301" s="154"/>
      <c r="CH301" s="154"/>
      <c r="CI301" s="154"/>
      <c r="CJ301" s="154"/>
      <c r="CK301" s="154"/>
      <c r="CL301" s="154"/>
      <c r="CM301" s="154"/>
      <c r="CN301" s="154"/>
      <c r="CO301" s="154"/>
      <c r="CP301" s="154"/>
      <c r="CQ301" s="154"/>
      <c r="CR301" s="154"/>
      <c r="CS301" s="154"/>
      <c r="CT301" s="154"/>
      <c r="CU301" s="154"/>
      <c r="CV301" s="154"/>
      <c r="CW301" s="154"/>
      <c r="CX301" s="154"/>
      <c r="CY301" s="154"/>
      <c r="CZ301" s="154"/>
      <c r="DA301" s="154"/>
      <c r="DB301" s="154"/>
      <c r="DC301" s="154"/>
      <c r="DD301" s="154"/>
      <c r="DE301" s="154"/>
      <c r="DF301" s="154"/>
      <c r="DG301" s="154"/>
      <c r="DH301" s="154"/>
      <c r="DI301" s="154"/>
      <c r="DJ301" s="154"/>
      <c r="DK301" s="154"/>
      <c r="DL301" s="154"/>
      <c r="DM301" s="154"/>
      <c r="DN301" s="154"/>
      <c r="DO301" s="154"/>
      <c r="DP301" s="154"/>
      <c r="DQ301" s="154"/>
      <c r="DR301" s="154"/>
      <c r="DS301" s="154"/>
      <c r="DT301" s="154"/>
      <c r="DU301" s="154"/>
      <c r="DV301" s="154"/>
      <c r="DW301" s="154"/>
      <c r="DX301" s="154"/>
      <c r="DY301" s="154"/>
      <c r="DZ301" s="154"/>
      <c r="EA301" s="154"/>
      <c r="EB301" s="154"/>
      <c r="EC301" s="154"/>
      <c r="ED301" s="154"/>
      <c r="EE301" s="154"/>
      <c r="EF301" s="154"/>
      <c r="EG301" s="154"/>
      <c r="EH301" s="154"/>
      <c r="EI301" s="154"/>
      <c r="EJ301" s="154"/>
      <c r="EK301" s="154"/>
      <c r="EL301" s="154"/>
      <c r="EM301" s="154"/>
      <c r="EN301" s="154"/>
      <c r="EO301" s="154"/>
      <c r="EP301" s="154"/>
      <c r="EQ301" s="154"/>
      <c r="ER301" s="154"/>
      <c r="ES301" s="154"/>
      <c r="ET301" s="154"/>
      <c r="EU301" s="154"/>
      <c r="EV301" s="154"/>
      <c r="EW301" s="154"/>
      <c r="EX301" s="154"/>
      <c r="EY301" s="154"/>
      <c r="EZ301" s="154"/>
      <c r="FA301" s="154"/>
      <c r="FB301" s="154"/>
      <c r="FC301" s="154"/>
      <c r="FD301" s="154"/>
      <c r="FE301" s="154"/>
      <c r="FF301" s="154"/>
      <c r="FG301" s="154"/>
      <c r="FH301" s="154"/>
      <c r="FI301" s="154"/>
      <c r="FJ301" s="154"/>
      <c r="FK301" s="154"/>
      <c r="FL301" s="154"/>
      <c r="FM301" s="154"/>
      <c r="FN301" s="154"/>
      <c r="FO301" s="154"/>
      <c r="FP301" s="154"/>
      <c r="FQ301" s="154"/>
      <c r="FR301" s="154"/>
      <c r="FS301" s="154"/>
      <c r="FT301" s="154"/>
      <c r="FU301" s="154"/>
      <c r="FV301" s="154"/>
      <c r="FW301" s="154"/>
      <c r="FX301" s="154"/>
    </row>
    <row r="302" spans="1:180" s="164" customFormat="1" ht="30" hidden="1" x14ac:dyDescent="0.25">
      <c r="A302" s="216" t="s">
        <v>1223</v>
      </c>
      <c r="B302" s="214" t="s">
        <v>210</v>
      </c>
      <c r="C302" s="151" t="s">
        <v>336</v>
      </c>
      <c r="D302" s="217">
        <v>0.1</v>
      </c>
      <c r="E302" s="217">
        <v>0.8</v>
      </c>
      <c r="F302" s="217">
        <v>0.1</v>
      </c>
      <c r="G302" s="217"/>
      <c r="H302" s="217"/>
      <c r="I302" s="155"/>
      <c r="J302" s="155"/>
      <c r="K302" s="155"/>
      <c r="L302" s="155"/>
      <c r="M302" s="155" t="s">
        <v>639</v>
      </c>
      <c r="N302" s="155" t="s">
        <v>639</v>
      </c>
      <c r="O302" s="155" t="s">
        <v>35</v>
      </c>
      <c r="P302" s="279">
        <f>SUM(D302:K302)</f>
        <v>1</v>
      </c>
      <c r="Q302" s="165"/>
      <c r="R302" s="275" t="s">
        <v>729</v>
      </c>
      <c r="S302" s="276" t="s">
        <v>858</v>
      </c>
      <c r="T302" s="277" t="s">
        <v>634</v>
      </c>
      <c r="U302" s="277" t="s">
        <v>634</v>
      </c>
      <c r="V302" s="277" t="s">
        <v>730</v>
      </c>
      <c r="W302" s="287"/>
      <c r="AA302" s="278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  <c r="BN302" s="154"/>
      <c r="BO302" s="154"/>
      <c r="BP302" s="154"/>
      <c r="BQ302" s="154"/>
      <c r="BR302" s="154"/>
      <c r="BS302" s="154"/>
      <c r="BT302" s="154"/>
      <c r="BU302" s="154"/>
      <c r="BV302" s="154"/>
      <c r="BW302" s="154"/>
      <c r="BX302" s="154"/>
      <c r="BY302" s="154"/>
      <c r="BZ302" s="154"/>
      <c r="CA302" s="154"/>
      <c r="CB302" s="154"/>
      <c r="CC302" s="154"/>
      <c r="CD302" s="154"/>
      <c r="CE302" s="154"/>
      <c r="CF302" s="154"/>
      <c r="CG302" s="154"/>
      <c r="CH302" s="154"/>
      <c r="CI302" s="154"/>
      <c r="CJ302" s="154"/>
      <c r="CK302" s="154"/>
      <c r="CL302" s="154"/>
      <c r="CM302" s="154"/>
      <c r="CN302" s="154"/>
      <c r="CO302" s="154"/>
      <c r="CP302" s="154"/>
      <c r="CQ302" s="154"/>
      <c r="CR302" s="154"/>
      <c r="CS302" s="154"/>
      <c r="CT302" s="154"/>
      <c r="CU302" s="154"/>
      <c r="CV302" s="154"/>
      <c r="CW302" s="154"/>
      <c r="CX302" s="154"/>
      <c r="CY302" s="154"/>
      <c r="CZ302" s="154"/>
      <c r="DA302" s="154"/>
      <c r="DB302" s="154"/>
      <c r="DC302" s="154"/>
      <c r="DD302" s="154"/>
      <c r="DE302" s="154"/>
      <c r="DF302" s="154"/>
      <c r="DG302" s="154"/>
      <c r="DH302" s="154"/>
      <c r="DI302" s="154"/>
      <c r="DJ302" s="154"/>
      <c r="DK302" s="154"/>
      <c r="DL302" s="154"/>
      <c r="DM302" s="154"/>
      <c r="DN302" s="154"/>
      <c r="DO302" s="154"/>
      <c r="DP302" s="154"/>
      <c r="DQ302" s="154"/>
      <c r="DR302" s="154"/>
      <c r="DS302" s="154"/>
      <c r="DT302" s="154"/>
      <c r="DU302" s="154"/>
      <c r="DV302" s="154"/>
      <c r="DW302" s="154"/>
      <c r="DX302" s="154"/>
      <c r="DY302" s="154"/>
      <c r="DZ302" s="154"/>
      <c r="EA302" s="154"/>
      <c r="EB302" s="154"/>
      <c r="EC302" s="154"/>
      <c r="ED302" s="154"/>
      <c r="EE302" s="154"/>
      <c r="EF302" s="154"/>
      <c r="EG302" s="154"/>
      <c r="EH302" s="154"/>
      <c r="EI302" s="154"/>
      <c r="EJ302" s="154"/>
      <c r="EK302" s="154"/>
      <c r="EL302" s="154"/>
      <c r="EM302" s="154"/>
      <c r="EN302" s="154"/>
      <c r="EO302" s="154"/>
      <c r="EP302" s="154"/>
      <c r="EQ302" s="154"/>
      <c r="ER302" s="154"/>
      <c r="ES302" s="154"/>
      <c r="ET302" s="154"/>
      <c r="EU302" s="154"/>
      <c r="EV302" s="154"/>
      <c r="EW302" s="154"/>
      <c r="EX302" s="154"/>
      <c r="EY302" s="154"/>
      <c r="EZ302" s="154"/>
      <c r="FA302" s="154"/>
      <c r="FB302" s="154"/>
      <c r="FC302" s="154"/>
      <c r="FD302" s="154"/>
      <c r="FE302" s="154"/>
      <c r="FF302" s="154"/>
      <c r="FG302" s="154"/>
      <c r="FH302" s="154"/>
      <c r="FI302" s="154"/>
      <c r="FJ302" s="154"/>
      <c r="FK302" s="154"/>
      <c r="FL302" s="154"/>
      <c r="FM302" s="154"/>
      <c r="FN302" s="154"/>
      <c r="FO302" s="154"/>
      <c r="FP302" s="154"/>
      <c r="FQ302" s="154"/>
      <c r="FR302" s="154"/>
      <c r="FS302" s="154"/>
      <c r="FT302" s="154"/>
      <c r="FU302" s="154"/>
      <c r="FV302" s="154"/>
      <c r="FW302" s="154"/>
      <c r="FX302" s="154"/>
    </row>
    <row r="303" spans="1:180" s="164" customFormat="1" hidden="1" x14ac:dyDescent="0.25">
      <c r="A303" s="216"/>
      <c r="B303" s="214"/>
      <c r="C303" s="151"/>
      <c r="D303" s="217"/>
      <c r="E303" s="217"/>
      <c r="F303" s="217"/>
      <c r="G303" s="217"/>
      <c r="H303" s="217"/>
      <c r="I303" s="155"/>
      <c r="J303" s="155"/>
      <c r="K303" s="155"/>
      <c r="L303" s="155"/>
      <c r="M303" s="155"/>
      <c r="N303" s="155"/>
      <c r="O303" s="155"/>
      <c r="P303" s="279"/>
      <c r="Q303" s="165"/>
      <c r="R303" s="275"/>
      <c r="S303" s="276"/>
      <c r="T303" s="277"/>
      <c r="U303" s="277"/>
      <c r="V303" s="277"/>
      <c r="W303" s="277"/>
      <c r="AA303" s="278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154"/>
      <c r="BO303" s="154"/>
      <c r="BP303" s="154"/>
      <c r="BQ303" s="154"/>
      <c r="BR303" s="154"/>
      <c r="BS303" s="154"/>
      <c r="BT303" s="154"/>
      <c r="BU303" s="154"/>
      <c r="BV303" s="154"/>
      <c r="BW303" s="154"/>
      <c r="BX303" s="154"/>
      <c r="BY303" s="154"/>
      <c r="BZ303" s="154"/>
      <c r="CA303" s="154"/>
      <c r="CB303" s="154"/>
      <c r="CC303" s="154"/>
      <c r="CD303" s="154"/>
      <c r="CE303" s="154"/>
      <c r="CF303" s="154"/>
      <c r="CG303" s="154"/>
      <c r="CH303" s="154"/>
      <c r="CI303" s="154"/>
      <c r="CJ303" s="154"/>
      <c r="CK303" s="154"/>
      <c r="CL303" s="154"/>
      <c r="CM303" s="154"/>
      <c r="CN303" s="154"/>
      <c r="CO303" s="154"/>
      <c r="CP303" s="154"/>
      <c r="CQ303" s="154"/>
      <c r="CR303" s="154"/>
      <c r="CS303" s="154"/>
      <c r="CT303" s="154"/>
      <c r="CU303" s="154"/>
      <c r="CV303" s="154"/>
      <c r="CW303" s="154"/>
      <c r="CX303" s="154"/>
      <c r="CY303" s="154"/>
      <c r="CZ303" s="154"/>
      <c r="DA303" s="154"/>
      <c r="DB303" s="154"/>
      <c r="DC303" s="154"/>
      <c r="DD303" s="154"/>
      <c r="DE303" s="154"/>
      <c r="DF303" s="154"/>
      <c r="DG303" s="154"/>
      <c r="DH303" s="154"/>
      <c r="DI303" s="154"/>
      <c r="DJ303" s="154"/>
      <c r="DK303" s="154"/>
      <c r="DL303" s="154"/>
      <c r="DM303" s="154"/>
      <c r="DN303" s="154"/>
      <c r="DO303" s="154"/>
      <c r="DP303" s="154"/>
      <c r="DQ303" s="154"/>
      <c r="DR303" s="154"/>
      <c r="DS303" s="154"/>
      <c r="DT303" s="154"/>
      <c r="DU303" s="154"/>
      <c r="DV303" s="154"/>
      <c r="DW303" s="154"/>
      <c r="DX303" s="154"/>
      <c r="DY303" s="154"/>
      <c r="DZ303" s="154"/>
      <c r="EA303" s="154"/>
      <c r="EB303" s="154"/>
      <c r="EC303" s="154"/>
      <c r="ED303" s="154"/>
      <c r="EE303" s="154"/>
      <c r="EF303" s="154"/>
      <c r="EG303" s="154"/>
      <c r="EH303" s="154"/>
      <c r="EI303" s="154"/>
      <c r="EJ303" s="154"/>
      <c r="EK303" s="154"/>
      <c r="EL303" s="154"/>
      <c r="EM303" s="154"/>
      <c r="EN303" s="154"/>
      <c r="EO303" s="154"/>
      <c r="EP303" s="154"/>
      <c r="EQ303" s="154"/>
      <c r="ER303" s="154"/>
      <c r="ES303" s="154"/>
      <c r="ET303" s="154"/>
      <c r="EU303" s="154"/>
      <c r="EV303" s="154"/>
      <c r="EW303" s="154"/>
      <c r="EX303" s="154"/>
      <c r="EY303" s="154"/>
      <c r="EZ303" s="154"/>
      <c r="FA303" s="154"/>
      <c r="FB303" s="154"/>
      <c r="FC303" s="154"/>
      <c r="FD303" s="154"/>
      <c r="FE303" s="154"/>
      <c r="FF303" s="154"/>
      <c r="FG303" s="154"/>
      <c r="FH303" s="154"/>
      <c r="FI303" s="154"/>
      <c r="FJ303" s="154"/>
      <c r="FK303" s="154"/>
      <c r="FL303" s="154"/>
      <c r="FM303" s="154"/>
      <c r="FN303" s="154"/>
      <c r="FO303" s="154"/>
      <c r="FP303" s="154"/>
      <c r="FQ303" s="154"/>
      <c r="FR303" s="154"/>
      <c r="FS303" s="154"/>
      <c r="FT303" s="154"/>
      <c r="FU303" s="154"/>
      <c r="FV303" s="154"/>
      <c r="FW303" s="154"/>
      <c r="FX303" s="154"/>
    </row>
    <row r="304" spans="1:180" s="164" customFormat="1" ht="30" hidden="1" x14ac:dyDescent="0.25">
      <c r="A304" s="216"/>
      <c r="B304" s="214" t="s">
        <v>210</v>
      </c>
      <c r="C304" s="215" t="s">
        <v>337</v>
      </c>
      <c r="D304" s="216" t="s">
        <v>103</v>
      </c>
      <c r="E304" s="216" t="s">
        <v>338</v>
      </c>
      <c r="F304" s="216" t="s">
        <v>339</v>
      </c>
      <c r="G304" s="216" t="s">
        <v>223</v>
      </c>
      <c r="H304" s="216"/>
      <c r="I304" s="272"/>
      <c r="J304" s="272"/>
      <c r="K304" s="272"/>
      <c r="L304" s="272"/>
      <c r="M304" s="272"/>
      <c r="N304" s="272"/>
      <c r="O304" s="272"/>
      <c r="P304" s="279"/>
      <c r="Q304" s="274"/>
      <c r="R304" s="275"/>
      <c r="S304" s="276"/>
      <c r="T304" s="277"/>
      <c r="U304" s="277"/>
      <c r="V304" s="277"/>
      <c r="W304" s="277"/>
      <c r="AA304" s="278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154"/>
      <c r="BO304" s="154"/>
      <c r="BP304" s="154"/>
      <c r="BQ304" s="154"/>
      <c r="BR304" s="154"/>
      <c r="BS304" s="154"/>
      <c r="BT304" s="154"/>
      <c r="BU304" s="154"/>
      <c r="BV304" s="154"/>
      <c r="BW304" s="154"/>
      <c r="BX304" s="154"/>
      <c r="BY304" s="154"/>
      <c r="BZ304" s="154"/>
      <c r="CA304" s="154"/>
      <c r="CB304" s="154"/>
      <c r="CC304" s="154"/>
      <c r="CD304" s="154"/>
      <c r="CE304" s="154"/>
      <c r="CF304" s="154"/>
      <c r="CG304" s="154"/>
      <c r="CH304" s="154"/>
      <c r="CI304" s="154"/>
      <c r="CJ304" s="154"/>
      <c r="CK304" s="154"/>
      <c r="CL304" s="154"/>
      <c r="CM304" s="154"/>
      <c r="CN304" s="154"/>
      <c r="CO304" s="154"/>
      <c r="CP304" s="154"/>
      <c r="CQ304" s="154"/>
      <c r="CR304" s="154"/>
      <c r="CS304" s="154"/>
      <c r="CT304" s="154"/>
      <c r="CU304" s="154"/>
      <c r="CV304" s="154"/>
      <c r="CW304" s="154"/>
      <c r="CX304" s="154"/>
      <c r="CY304" s="154"/>
      <c r="CZ304" s="154"/>
      <c r="DA304" s="154"/>
      <c r="DB304" s="154"/>
      <c r="DC304" s="154"/>
      <c r="DD304" s="154"/>
      <c r="DE304" s="154"/>
      <c r="DF304" s="154"/>
      <c r="DG304" s="154"/>
      <c r="DH304" s="154"/>
      <c r="DI304" s="154"/>
      <c r="DJ304" s="154"/>
      <c r="DK304" s="154"/>
      <c r="DL304" s="154"/>
      <c r="DM304" s="154"/>
      <c r="DN304" s="154"/>
      <c r="DO304" s="154"/>
      <c r="DP304" s="154"/>
      <c r="DQ304" s="154"/>
      <c r="DR304" s="154"/>
      <c r="DS304" s="154"/>
      <c r="DT304" s="154"/>
      <c r="DU304" s="154"/>
      <c r="DV304" s="154"/>
      <c r="DW304" s="154"/>
      <c r="DX304" s="154"/>
      <c r="DY304" s="154"/>
      <c r="DZ304" s="154"/>
      <c r="EA304" s="154"/>
      <c r="EB304" s="154"/>
      <c r="EC304" s="154"/>
      <c r="ED304" s="154"/>
      <c r="EE304" s="154"/>
      <c r="EF304" s="154"/>
      <c r="EG304" s="154"/>
      <c r="EH304" s="154"/>
      <c r="EI304" s="154"/>
      <c r="EJ304" s="154"/>
      <c r="EK304" s="154"/>
      <c r="EL304" s="154"/>
      <c r="EM304" s="154"/>
      <c r="EN304" s="154"/>
      <c r="EO304" s="154"/>
      <c r="EP304" s="154"/>
      <c r="EQ304" s="154"/>
      <c r="ER304" s="154"/>
      <c r="ES304" s="154"/>
      <c r="ET304" s="154"/>
      <c r="EU304" s="154"/>
      <c r="EV304" s="154"/>
      <c r="EW304" s="154"/>
      <c r="EX304" s="154"/>
      <c r="EY304" s="154"/>
      <c r="EZ304" s="154"/>
      <c r="FA304" s="154"/>
      <c r="FB304" s="154"/>
      <c r="FC304" s="154"/>
      <c r="FD304" s="154"/>
      <c r="FE304" s="154"/>
      <c r="FF304" s="154"/>
      <c r="FG304" s="154"/>
      <c r="FH304" s="154"/>
      <c r="FI304" s="154"/>
      <c r="FJ304" s="154"/>
      <c r="FK304" s="154"/>
      <c r="FL304" s="154"/>
      <c r="FM304" s="154"/>
      <c r="FN304" s="154"/>
      <c r="FO304" s="154"/>
      <c r="FP304" s="154"/>
      <c r="FQ304" s="154"/>
      <c r="FR304" s="154"/>
      <c r="FS304" s="154"/>
      <c r="FT304" s="154"/>
      <c r="FU304" s="154"/>
      <c r="FV304" s="154"/>
      <c r="FW304" s="154"/>
      <c r="FX304" s="154"/>
    </row>
    <row r="305" spans="1:180" s="164" customFormat="1" ht="30" hidden="1" x14ac:dyDescent="0.25">
      <c r="A305" s="216" t="s">
        <v>1224</v>
      </c>
      <c r="B305" s="214" t="s">
        <v>210</v>
      </c>
      <c r="C305" s="384" t="s">
        <v>340</v>
      </c>
      <c r="D305" s="217">
        <v>0.05</v>
      </c>
      <c r="E305" s="217">
        <v>0.85</v>
      </c>
      <c r="F305" s="217"/>
      <c r="G305" s="217">
        <v>0.1</v>
      </c>
      <c r="H305" s="217"/>
      <c r="I305" s="155"/>
      <c r="J305" s="155"/>
      <c r="K305" s="155"/>
      <c r="L305" s="155"/>
      <c r="M305" s="155" t="s">
        <v>639</v>
      </c>
      <c r="N305" s="155" t="s">
        <v>639</v>
      </c>
      <c r="O305" s="155" t="s">
        <v>35</v>
      </c>
      <c r="P305" s="279">
        <f>SUM(D305:K305)</f>
        <v>1</v>
      </c>
      <c r="Q305" s="165"/>
      <c r="R305" s="275"/>
      <c r="S305" s="286" t="s">
        <v>688</v>
      </c>
      <c r="T305" s="277"/>
      <c r="U305" s="277"/>
      <c r="V305" s="287"/>
      <c r="W305" s="287"/>
      <c r="X305" s="164" t="s">
        <v>731</v>
      </c>
      <c r="AA305" s="278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154"/>
      <c r="BO305" s="154"/>
      <c r="BP305" s="154"/>
      <c r="BQ305" s="154"/>
      <c r="BR305" s="154"/>
      <c r="BS305" s="154"/>
      <c r="BT305" s="154"/>
      <c r="BU305" s="154"/>
      <c r="BV305" s="154"/>
      <c r="BW305" s="154"/>
      <c r="BX305" s="154"/>
      <c r="BY305" s="154"/>
      <c r="BZ305" s="154"/>
      <c r="CA305" s="154"/>
      <c r="CB305" s="154"/>
      <c r="CC305" s="154"/>
      <c r="CD305" s="154"/>
      <c r="CE305" s="154"/>
      <c r="CF305" s="154"/>
      <c r="CG305" s="154"/>
      <c r="CH305" s="154"/>
      <c r="CI305" s="154"/>
      <c r="CJ305" s="154"/>
      <c r="CK305" s="154"/>
      <c r="CL305" s="154"/>
      <c r="CM305" s="154"/>
      <c r="CN305" s="154"/>
      <c r="CO305" s="154"/>
      <c r="CP305" s="154"/>
      <c r="CQ305" s="154"/>
      <c r="CR305" s="154"/>
      <c r="CS305" s="154"/>
      <c r="CT305" s="154"/>
      <c r="CU305" s="154"/>
      <c r="CV305" s="154"/>
      <c r="CW305" s="154"/>
      <c r="CX305" s="154"/>
      <c r="CY305" s="154"/>
      <c r="CZ305" s="154"/>
      <c r="DA305" s="154"/>
      <c r="DB305" s="154"/>
      <c r="DC305" s="154"/>
      <c r="DD305" s="154"/>
      <c r="DE305" s="154"/>
      <c r="DF305" s="154"/>
      <c r="DG305" s="154"/>
      <c r="DH305" s="154"/>
      <c r="DI305" s="154"/>
      <c r="DJ305" s="154"/>
      <c r="DK305" s="154"/>
      <c r="DL305" s="154"/>
      <c r="DM305" s="154"/>
      <c r="DN305" s="154"/>
      <c r="DO305" s="154"/>
      <c r="DP305" s="154"/>
      <c r="DQ305" s="154"/>
      <c r="DR305" s="154"/>
      <c r="DS305" s="154"/>
      <c r="DT305" s="154"/>
      <c r="DU305" s="154"/>
      <c r="DV305" s="154"/>
      <c r="DW305" s="154"/>
      <c r="DX305" s="154"/>
      <c r="DY305" s="154"/>
      <c r="DZ305" s="154"/>
      <c r="EA305" s="154"/>
      <c r="EB305" s="154"/>
      <c r="EC305" s="154"/>
      <c r="ED305" s="154"/>
      <c r="EE305" s="154"/>
      <c r="EF305" s="154"/>
      <c r="EG305" s="154"/>
      <c r="EH305" s="154"/>
      <c r="EI305" s="154"/>
      <c r="EJ305" s="154"/>
      <c r="EK305" s="154"/>
      <c r="EL305" s="154"/>
      <c r="EM305" s="154"/>
      <c r="EN305" s="154"/>
      <c r="EO305" s="154"/>
      <c r="EP305" s="154"/>
      <c r="EQ305" s="154"/>
      <c r="ER305" s="154"/>
      <c r="ES305" s="154"/>
      <c r="ET305" s="154"/>
      <c r="EU305" s="154"/>
      <c r="EV305" s="154"/>
      <c r="EW305" s="154"/>
      <c r="EX305" s="154"/>
      <c r="EY305" s="154"/>
      <c r="EZ305" s="154"/>
      <c r="FA305" s="154"/>
      <c r="FB305" s="154"/>
      <c r="FC305" s="154"/>
      <c r="FD305" s="154"/>
      <c r="FE305" s="154"/>
      <c r="FF305" s="154"/>
      <c r="FG305" s="154"/>
      <c r="FH305" s="154"/>
      <c r="FI305" s="154"/>
      <c r="FJ305" s="154"/>
      <c r="FK305" s="154"/>
      <c r="FL305" s="154"/>
      <c r="FM305" s="154"/>
      <c r="FN305" s="154"/>
      <c r="FO305" s="154"/>
      <c r="FP305" s="154"/>
      <c r="FQ305" s="154"/>
      <c r="FR305" s="154"/>
      <c r="FS305" s="154"/>
      <c r="FT305" s="154"/>
      <c r="FU305" s="154"/>
      <c r="FV305" s="154"/>
      <c r="FW305" s="154"/>
      <c r="FX305" s="154"/>
    </row>
    <row r="306" spans="1:180" s="164" customFormat="1" ht="30" hidden="1" x14ac:dyDescent="0.25">
      <c r="A306" s="216" t="s">
        <v>1225</v>
      </c>
      <c r="B306" s="214" t="s">
        <v>210</v>
      </c>
      <c r="C306" s="151" t="s">
        <v>341</v>
      </c>
      <c r="D306" s="217">
        <v>0.05</v>
      </c>
      <c r="E306" s="217">
        <v>0.6</v>
      </c>
      <c r="F306" s="217">
        <v>0.25</v>
      </c>
      <c r="G306" s="217">
        <v>0.1</v>
      </c>
      <c r="H306" s="217"/>
      <c r="I306" s="155"/>
      <c r="J306" s="155"/>
      <c r="K306" s="155"/>
      <c r="L306" s="155"/>
      <c r="M306" s="155" t="s">
        <v>639</v>
      </c>
      <c r="N306" s="155" t="s">
        <v>639</v>
      </c>
      <c r="O306" s="155" t="s">
        <v>35</v>
      </c>
      <c r="P306" s="279">
        <f>SUM(D306:K306)</f>
        <v>1</v>
      </c>
      <c r="Q306" s="165"/>
      <c r="R306" s="275"/>
      <c r="S306" s="286" t="s">
        <v>688</v>
      </c>
      <c r="T306" s="277"/>
      <c r="U306" s="277"/>
      <c r="V306" s="287"/>
      <c r="W306" s="287"/>
      <c r="X306" s="164" t="s">
        <v>731</v>
      </c>
      <c r="AA306" s="278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154"/>
      <c r="BO306" s="154"/>
      <c r="BP306" s="154"/>
      <c r="BQ306" s="154"/>
      <c r="BR306" s="154"/>
      <c r="BS306" s="154"/>
      <c r="BT306" s="154"/>
      <c r="BU306" s="154"/>
      <c r="BV306" s="154"/>
      <c r="BW306" s="154"/>
      <c r="BX306" s="154"/>
      <c r="BY306" s="154"/>
      <c r="BZ306" s="154"/>
      <c r="CA306" s="154"/>
      <c r="CB306" s="154"/>
      <c r="CC306" s="154"/>
      <c r="CD306" s="154"/>
      <c r="CE306" s="154"/>
      <c r="CF306" s="154"/>
      <c r="CG306" s="154"/>
      <c r="CH306" s="154"/>
      <c r="CI306" s="154"/>
      <c r="CJ306" s="154"/>
      <c r="CK306" s="154"/>
      <c r="CL306" s="154"/>
      <c r="CM306" s="154"/>
      <c r="CN306" s="154"/>
      <c r="CO306" s="154"/>
      <c r="CP306" s="154"/>
      <c r="CQ306" s="154"/>
      <c r="CR306" s="154"/>
      <c r="CS306" s="154"/>
      <c r="CT306" s="154"/>
      <c r="CU306" s="154"/>
      <c r="CV306" s="154"/>
      <c r="CW306" s="154"/>
      <c r="CX306" s="154"/>
      <c r="CY306" s="154"/>
      <c r="CZ306" s="154"/>
      <c r="DA306" s="154"/>
      <c r="DB306" s="154"/>
      <c r="DC306" s="154"/>
      <c r="DD306" s="154"/>
      <c r="DE306" s="154"/>
      <c r="DF306" s="154"/>
      <c r="DG306" s="154"/>
      <c r="DH306" s="154"/>
      <c r="DI306" s="154"/>
      <c r="DJ306" s="154"/>
      <c r="DK306" s="154"/>
      <c r="DL306" s="154"/>
      <c r="DM306" s="154"/>
      <c r="DN306" s="154"/>
      <c r="DO306" s="154"/>
      <c r="DP306" s="154"/>
      <c r="DQ306" s="154"/>
      <c r="DR306" s="154"/>
      <c r="DS306" s="154"/>
      <c r="DT306" s="154"/>
      <c r="DU306" s="154"/>
      <c r="DV306" s="154"/>
      <c r="DW306" s="154"/>
      <c r="DX306" s="154"/>
      <c r="DY306" s="154"/>
      <c r="DZ306" s="154"/>
      <c r="EA306" s="154"/>
      <c r="EB306" s="154"/>
      <c r="EC306" s="154"/>
      <c r="ED306" s="154"/>
      <c r="EE306" s="154"/>
      <c r="EF306" s="154"/>
      <c r="EG306" s="154"/>
      <c r="EH306" s="154"/>
      <c r="EI306" s="154"/>
      <c r="EJ306" s="154"/>
      <c r="EK306" s="154"/>
      <c r="EL306" s="154"/>
      <c r="EM306" s="154"/>
      <c r="EN306" s="154"/>
      <c r="EO306" s="154"/>
      <c r="EP306" s="154"/>
      <c r="EQ306" s="154"/>
      <c r="ER306" s="154"/>
      <c r="ES306" s="154"/>
      <c r="ET306" s="154"/>
      <c r="EU306" s="154"/>
      <c r="EV306" s="154"/>
      <c r="EW306" s="154"/>
      <c r="EX306" s="154"/>
      <c r="EY306" s="154"/>
      <c r="EZ306" s="154"/>
      <c r="FA306" s="154"/>
      <c r="FB306" s="154"/>
      <c r="FC306" s="154"/>
      <c r="FD306" s="154"/>
      <c r="FE306" s="154"/>
      <c r="FF306" s="154"/>
      <c r="FG306" s="154"/>
      <c r="FH306" s="154"/>
      <c r="FI306" s="154"/>
      <c r="FJ306" s="154"/>
      <c r="FK306" s="154"/>
      <c r="FL306" s="154"/>
      <c r="FM306" s="154"/>
      <c r="FN306" s="154"/>
      <c r="FO306" s="154"/>
      <c r="FP306" s="154"/>
      <c r="FQ306" s="154"/>
      <c r="FR306" s="154"/>
      <c r="FS306" s="154"/>
      <c r="FT306" s="154"/>
      <c r="FU306" s="154"/>
      <c r="FV306" s="154"/>
      <c r="FW306" s="154"/>
      <c r="FX306" s="154"/>
    </row>
    <row r="307" spans="1:180" hidden="1" x14ac:dyDescent="0.25">
      <c r="A307" s="192"/>
      <c r="B307" s="194"/>
      <c r="C307" s="147"/>
      <c r="D307" s="198"/>
      <c r="E307" s="198"/>
      <c r="F307" s="198"/>
      <c r="G307" s="198"/>
      <c r="H307" s="198"/>
      <c r="I307" s="149"/>
      <c r="J307" s="149"/>
      <c r="K307" s="149"/>
      <c r="L307" s="149"/>
      <c r="M307" s="149"/>
      <c r="N307" s="149"/>
      <c r="O307" s="149"/>
      <c r="P307" s="196"/>
      <c r="Q307" s="153"/>
      <c r="R307" s="251"/>
      <c r="AA307" s="191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hidden="1" x14ac:dyDescent="0.25">
      <c r="A308" s="185"/>
      <c r="B308" s="185" t="s">
        <v>342</v>
      </c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96"/>
      <c r="Q308" s="185"/>
      <c r="R308" s="152" t="s">
        <v>732</v>
      </c>
      <c r="AA308" s="191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242" customFormat="1" ht="45" hidden="1" x14ac:dyDescent="0.25">
      <c r="A309" s="294"/>
      <c r="B309" s="295" t="s">
        <v>342</v>
      </c>
      <c r="C309" s="240"/>
      <c r="D309" s="294" t="s">
        <v>103</v>
      </c>
      <c r="E309" s="294" t="s">
        <v>135</v>
      </c>
      <c r="F309" s="294" t="s">
        <v>343</v>
      </c>
      <c r="G309" s="294" t="s">
        <v>344</v>
      </c>
      <c r="H309" s="294" t="s">
        <v>170</v>
      </c>
      <c r="I309" s="240"/>
      <c r="J309" s="240"/>
      <c r="K309" s="240"/>
      <c r="L309" s="240"/>
      <c r="M309" s="240"/>
      <c r="N309" s="240"/>
      <c r="O309" s="240"/>
      <c r="P309" s="236"/>
      <c r="Q309" s="240"/>
      <c r="R309" s="296"/>
      <c r="S309" s="297"/>
      <c r="T309" s="298"/>
      <c r="U309" s="298"/>
      <c r="V309" s="298"/>
      <c r="W309" s="298"/>
      <c r="X309" s="299"/>
      <c r="Y309" s="300"/>
      <c r="AA309" s="301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hidden="1" x14ac:dyDescent="0.25">
      <c r="A310" s="192"/>
      <c r="B310" s="194" t="s">
        <v>342</v>
      </c>
      <c r="C310" s="238" t="s">
        <v>345</v>
      </c>
      <c r="D310" s="271"/>
      <c r="E310" s="271"/>
      <c r="F310" s="271"/>
      <c r="G310" s="271"/>
      <c r="H310" s="302"/>
      <c r="I310" s="206"/>
      <c r="J310" s="206"/>
      <c r="K310" s="206"/>
      <c r="L310" s="206"/>
      <c r="M310" s="206"/>
      <c r="N310" s="206"/>
      <c r="O310" s="206"/>
      <c r="P310" s="196"/>
      <c r="Q310" s="207"/>
      <c r="R310" s="251" t="s">
        <v>733</v>
      </c>
      <c r="AA310" s="191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hidden="1" x14ac:dyDescent="0.25">
      <c r="A311" s="192" t="s">
        <v>1226</v>
      </c>
      <c r="B311" s="194" t="s">
        <v>342</v>
      </c>
      <c r="C311" s="147" t="s">
        <v>346</v>
      </c>
      <c r="D311" s="303">
        <v>0.1</v>
      </c>
      <c r="E311" s="303">
        <v>0.25</v>
      </c>
      <c r="F311" s="217">
        <v>0.4</v>
      </c>
      <c r="G311" s="217">
        <v>0.2</v>
      </c>
      <c r="H311" s="217">
        <v>0.05</v>
      </c>
      <c r="I311" s="149"/>
      <c r="J311" s="149"/>
      <c r="K311" s="149"/>
      <c r="L311" s="149"/>
      <c r="M311" s="149" t="s">
        <v>644</v>
      </c>
      <c r="N311" s="149" t="s">
        <v>645</v>
      </c>
      <c r="O311" s="149" t="s">
        <v>35</v>
      </c>
      <c r="P311" s="196">
        <f>SUM(D311:K311)</f>
        <v>1</v>
      </c>
      <c r="Q311" s="153"/>
      <c r="R311" s="251" t="s">
        <v>638</v>
      </c>
      <c r="S311" s="212" t="s">
        <v>940</v>
      </c>
      <c r="T311" s="190" t="s">
        <v>634</v>
      </c>
      <c r="U311" s="190" t="s">
        <v>634</v>
      </c>
      <c r="V311" s="190" t="s">
        <v>941</v>
      </c>
      <c r="W311" s="213" t="s">
        <v>942</v>
      </c>
      <c r="X311" s="146" t="s">
        <v>734</v>
      </c>
      <c r="AA311" s="19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hidden="1" x14ac:dyDescent="0.25">
      <c r="A312" s="192" t="s">
        <v>1227</v>
      </c>
      <c r="B312" s="194" t="s">
        <v>342</v>
      </c>
      <c r="C312" s="147" t="s">
        <v>347</v>
      </c>
      <c r="D312" s="303">
        <v>0.1</v>
      </c>
      <c r="E312" s="303">
        <v>0.25</v>
      </c>
      <c r="F312" s="217">
        <v>0.4</v>
      </c>
      <c r="G312" s="217">
        <v>0.2</v>
      </c>
      <c r="H312" s="217">
        <v>0.05</v>
      </c>
      <c r="I312" s="149"/>
      <c r="J312" s="149"/>
      <c r="K312" s="149"/>
      <c r="L312" s="149"/>
      <c r="M312" s="149" t="s">
        <v>644</v>
      </c>
      <c r="N312" s="149" t="s">
        <v>645</v>
      </c>
      <c r="O312" s="149" t="s">
        <v>35</v>
      </c>
      <c r="P312" s="196">
        <f>SUM(D312:K312)</f>
        <v>1</v>
      </c>
      <c r="Q312" s="198"/>
      <c r="R312" s="251" t="s">
        <v>735</v>
      </c>
      <c r="S312" s="212" t="s">
        <v>943</v>
      </c>
      <c r="T312" s="190" t="s">
        <v>634</v>
      </c>
      <c r="U312" s="190" t="s">
        <v>634</v>
      </c>
      <c r="V312" s="190" t="s">
        <v>944</v>
      </c>
      <c r="W312" s="213" t="s">
        <v>945</v>
      </c>
      <c r="X312" s="146" t="s">
        <v>736</v>
      </c>
      <c r="AA312" s="191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hidden="1" x14ac:dyDescent="0.25">
      <c r="A313" s="192"/>
      <c r="B313" s="194"/>
      <c r="C313" s="147"/>
      <c r="D313" s="303"/>
      <c r="E313" s="303"/>
      <c r="F313" s="217"/>
      <c r="G313" s="217"/>
      <c r="H313" s="217"/>
      <c r="I313" s="149"/>
      <c r="J313" s="149"/>
      <c r="K313" s="149"/>
      <c r="L313" s="149"/>
      <c r="M313" s="149"/>
      <c r="N313" s="149"/>
      <c r="O313" s="149"/>
      <c r="P313" s="196"/>
      <c r="Q313" s="198"/>
      <c r="R313" s="251"/>
      <c r="S313" s="212"/>
      <c r="W313" s="213"/>
      <c r="AA313" s="191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hidden="1" x14ac:dyDescent="0.25">
      <c r="A314" s="192"/>
      <c r="B314" s="194" t="s">
        <v>342</v>
      </c>
      <c r="C314" s="238" t="s">
        <v>348</v>
      </c>
      <c r="D314" s="271"/>
      <c r="E314" s="271"/>
      <c r="F314" s="271"/>
      <c r="G314" s="271"/>
      <c r="H314" s="304"/>
      <c r="I314" s="206"/>
      <c r="J314" s="206"/>
      <c r="K314" s="206"/>
      <c r="L314" s="206"/>
      <c r="M314" s="206"/>
      <c r="N314" s="206"/>
      <c r="O314" s="206"/>
      <c r="P314" s="196"/>
      <c r="Q314" s="207"/>
      <c r="R314" s="251"/>
      <c r="AA314" s="191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hidden="1" x14ac:dyDescent="0.25">
      <c r="A315" s="192" t="s">
        <v>1228</v>
      </c>
      <c r="B315" s="194" t="s">
        <v>342</v>
      </c>
      <c r="C315" s="386" t="s">
        <v>346</v>
      </c>
      <c r="D315" s="303">
        <v>0.1</v>
      </c>
      <c r="E315" s="303">
        <v>0.3</v>
      </c>
      <c r="F315" s="217">
        <v>0.35</v>
      </c>
      <c r="G315" s="217">
        <v>0.2</v>
      </c>
      <c r="H315" s="217">
        <v>0.05</v>
      </c>
      <c r="I315" s="149"/>
      <c r="J315" s="149"/>
      <c r="K315" s="149"/>
      <c r="L315" s="149"/>
      <c r="M315" s="149" t="s">
        <v>644</v>
      </c>
      <c r="N315" s="149" t="s">
        <v>645</v>
      </c>
      <c r="O315" s="149" t="s">
        <v>35</v>
      </c>
      <c r="P315" s="196">
        <f>SUM(D315:K315)</f>
        <v>1</v>
      </c>
      <c r="Q315" s="198"/>
      <c r="R315" s="251"/>
      <c r="S315" s="212" t="s">
        <v>940</v>
      </c>
      <c r="T315" s="190" t="s">
        <v>634</v>
      </c>
      <c r="U315" s="190" t="s">
        <v>634</v>
      </c>
      <c r="V315" s="190" t="s">
        <v>946</v>
      </c>
      <c r="W315" s="213" t="s">
        <v>942</v>
      </c>
      <c r="X315" s="146" t="s">
        <v>734</v>
      </c>
      <c r="AA315" s="191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hidden="1" x14ac:dyDescent="0.25">
      <c r="A316" s="192" t="s">
        <v>1229</v>
      </c>
      <c r="B316" s="194" t="s">
        <v>342</v>
      </c>
      <c r="C316" s="147" t="s">
        <v>347</v>
      </c>
      <c r="D316" s="303">
        <v>0.1</v>
      </c>
      <c r="E316" s="303">
        <v>0.25</v>
      </c>
      <c r="F316" s="217">
        <v>0.4</v>
      </c>
      <c r="G316" s="217">
        <v>0.2</v>
      </c>
      <c r="H316" s="217">
        <v>0.05</v>
      </c>
      <c r="I316" s="149"/>
      <c r="J316" s="149"/>
      <c r="K316" s="149"/>
      <c r="L316" s="149"/>
      <c r="M316" s="149" t="s">
        <v>644</v>
      </c>
      <c r="N316" s="149" t="s">
        <v>645</v>
      </c>
      <c r="O316" s="149" t="s">
        <v>35</v>
      </c>
      <c r="P316" s="196">
        <f>SUM(D316:K316)</f>
        <v>1</v>
      </c>
      <c r="Q316" s="198"/>
      <c r="R316" s="251"/>
      <c r="S316" s="212" t="s">
        <v>943</v>
      </c>
      <c r="T316" s="190" t="s">
        <v>634</v>
      </c>
      <c r="U316" s="190" t="s">
        <v>634</v>
      </c>
      <c r="V316" s="190" t="s">
        <v>947</v>
      </c>
      <c r="W316" s="213" t="s">
        <v>945</v>
      </c>
      <c r="X316" s="146" t="s">
        <v>736</v>
      </c>
      <c r="AA316" s="191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hidden="1" x14ac:dyDescent="0.25">
      <c r="A317" s="192"/>
      <c r="B317" s="194"/>
      <c r="C317" s="147"/>
      <c r="D317" s="303"/>
      <c r="E317" s="303"/>
      <c r="F317" s="217"/>
      <c r="G317" s="217"/>
      <c r="H317" s="217"/>
      <c r="I317" s="149"/>
      <c r="J317" s="149"/>
      <c r="K317" s="149"/>
      <c r="L317" s="149"/>
      <c r="M317" s="149"/>
      <c r="N317" s="149"/>
      <c r="O317" s="149"/>
      <c r="P317" s="196">
        <f>SUM(D317:J317)</f>
        <v>0</v>
      </c>
      <c r="Q317" s="153"/>
      <c r="R317" s="251"/>
      <c r="S317" s="212"/>
      <c r="W317" s="213"/>
      <c r="AA317" s="191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hidden="1" x14ac:dyDescent="0.25">
      <c r="A318" s="192"/>
      <c r="B318" s="194" t="s">
        <v>342</v>
      </c>
      <c r="C318" s="238" t="s">
        <v>349</v>
      </c>
      <c r="D318" s="271"/>
      <c r="E318" s="271"/>
      <c r="F318" s="271"/>
      <c r="G318" s="271"/>
      <c r="H318" s="304"/>
      <c r="I318" s="206"/>
      <c r="J318" s="206"/>
      <c r="K318" s="206"/>
      <c r="L318" s="206"/>
      <c r="M318" s="206"/>
      <c r="N318" s="206"/>
      <c r="O318" s="206"/>
      <c r="P318" s="196">
        <f>SUM(D318:J318)</f>
        <v>0</v>
      </c>
      <c r="Q318" s="207"/>
      <c r="R318" s="251"/>
      <c r="AA318" s="191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hidden="1" x14ac:dyDescent="0.25">
      <c r="A319" s="192" t="s">
        <v>1230</v>
      </c>
      <c r="B319" s="194" t="s">
        <v>342</v>
      </c>
      <c r="C319" s="147" t="s">
        <v>346</v>
      </c>
      <c r="D319" s="303">
        <v>0.1</v>
      </c>
      <c r="E319" s="303">
        <v>0.2</v>
      </c>
      <c r="F319" s="217">
        <v>0.45</v>
      </c>
      <c r="G319" s="217">
        <v>0.2</v>
      </c>
      <c r="H319" s="217">
        <v>0.05</v>
      </c>
      <c r="I319" s="149"/>
      <c r="J319" s="149"/>
      <c r="K319" s="149"/>
      <c r="L319" s="149"/>
      <c r="M319" s="149" t="s">
        <v>644</v>
      </c>
      <c r="N319" s="149" t="s">
        <v>645</v>
      </c>
      <c r="O319" s="149" t="s">
        <v>35</v>
      </c>
      <c r="P319" s="196">
        <f>SUM(D319:K319)</f>
        <v>1</v>
      </c>
      <c r="Q319" s="198"/>
      <c r="R319" s="251"/>
      <c r="S319" s="212" t="s">
        <v>940</v>
      </c>
      <c r="T319" s="190" t="s">
        <v>634</v>
      </c>
      <c r="U319" s="190" t="s">
        <v>634</v>
      </c>
      <c r="V319" s="190" t="s">
        <v>941</v>
      </c>
      <c r="W319" s="213" t="s">
        <v>942</v>
      </c>
      <c r="X319" s="146" t="s">
        <v>734</v>
      </c>
      <c r="AA319" s="191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hidden="1" x14ac:dyDescent="0.25">
      <c r="A320" s="192" t="s">
        <v>1231</v>
      </c>
      <c r="B320" s="194" t="s">
        <v>342</v>
      </c>
      <c r="C320" s="147" t="s">
        <v>347</v>
      </c>
      <c r="D320" s="303">
        <v>0.1</v>
      </c>
      <c r="E320" s="303">
        <v>0.2</v>
      </c>
      <c r="F320" s="217">
        <v>0.45</v>
      </c>
      <c r="G320" s="217">
        <v>0.2</v>
      </c>
      <c r="H320" s="217">
        <v>0.05</v>
      </c>
      <c r="I320" s="149"/>
      <c r="J320" s="149"/>
      <c r="K320" s="149"/>
      <c r="L320" s="149"/>
      <c r="M320" s="149" t="s">
        <v>644</v>
      </c>
      <c r="N320" s="149" t="s">
        <v>645</v>
      </c>
      <c r="O320" s="149" t="s">
        <v>35</v>
      </c>
      <c r="P320" s="196">
        <f>SUM(D320:K320)</f>
        <v>1</v>
      </c>
      <c r="Q320" s="198"/>
      <c r="R320" s="251"/>
      <c r="S320" s="212" t="s">
        <v>943</v>
      </c>
      <c r="T320" s="190" t="s">
        <v>634</v>
      </c>
      <c r="U320" s="190" t="s">
        <v>634</v>
      </c>
      <c r="V320" s="190" t="s">
        <v>944</v>
      </c>
      <c r="W320" s="213" t="s">
        <v>945</v>
      </c>
      <c r="X320" s="146" t="s">
        <v>736</v>
      </c>
      <c r="AA320" s="191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hidden="1" x14ac:dyDescent="0.25">
      <c r="A321" s="192"/>
      <c r="B321" s="194"/>
      <c r="C321" s="147"/>
      <c r="D321" s="303"/>
      <c r="E321" s="303"/>
      <c r="F321" s="217"/>
      <c r="G321" s="217"/>
      <c r="H321" s="217"/>
      <c r="I321" s="149"/>
      <c r="J321" s="149"/>
      <c r="K321" s="149"/>
      <c r="L321" s="149"/>
      <c r="M321" s="149"/>
      <c r="N321" s="149"/>
      <c r="O321" s="149"/>
      <c r="P321" s="196"/>
      <c r="Q321" s="153"/>
      <c r="R321" s="251"/>
      <c r="S321" s="212"/>
      <c r="W321" s="213"/>
      <c r="AA321" s="19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hidden="1" x14ac:dyDescent="0.25">
      <c r="A322" s="192"/>
      <c r="B322" s="194" t="s">
        <v>342</v>
      </c>
      <c r="C322" s="238" t="s">
        <v>350</v>
      </c>
      <c r="D322" s="271"/>
      <c r="E322" s="271"/>
      <c r="F322" s="271"/>
      <c r="G322" s="271"/>
      <c r="H322" s="304"/>
      <c r="I322" s="206"/>
      <c r="J322" s="206"/>
      <c r="K322" s="206"/>
      <c r="L322" s="206"/>
      <c r="M322" s="206"/>
      <c r="N322" s="206"/>
      <c r="O322" s="206"/>
      <c r="P322" s="196"/>
      <c r="Q322" s="207"/>
      <c r="R322" s="251"/>
      <c r="AA322" s="191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hidden="1" x14ac:dyDescent="0.25">
      <c r="A323" s="192" t="s">
        <v>1232</v>
      </c>
      <c r="B323" s="194" t="s">
        <v>342</v>
      </c>
      <c r="C323" s="147" t="s">
        <v>346</v>
      </c>
      <c r="D323" s="303">
        <v>0.1</v>
      </c>
      <c r="E323" s="303">
        <v>0.3</v>
      </c>
      <c r="F323" s="217">
        <v>0.35</v>
      </c>
      <c r="G323" s="217">
        <v>0.2</v>
      </c>
      <c r="H323" s="217">
        <v>0.05</v>
      </c>
      <c r="I323" s="149"/>
      <c r="J323" s="149"/>
      <c r="K323" s="149"/>
      <c r="L323" s="149"/>
      <c r="M323" s="149" t="s">
        <v>644</v>
      </c>
      <c r="N323" s="149" t="s">
        <v>645</v>
      </c>
      <c r="O323" s="149" t="s">
        <v>35</v>
      </c>
      <c r="P323" s="196">
        <f>SUM(D323:K323)</f>
        <v>1</v>
      </c>
      <c r="Q323" s="198"/>
      <c r="R323" s="251"/>
      <c r="S323" s="212" t="s">
        <v>940</v>
      </c>
      <c r="T323" s="190" t="s">
        <v>634</v>
      </c>
      <c r="U323" s="190" t="s">
        <v>634</v>
      </c>
      <c r="V323" s="190" t="s">
        <v>946</v>
      </c>
      <c r="W323" s="213" t="s">
        <v>942</v>
      </c>
      <c r="X323" s="146" t="s">
        <v>734</v>
      </c>
      <c r="AA323" s="191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hidden="1" x14ac:dyDescent="0.25">
      <c r="A324" s="192" t="s">
        <v>1233</v>
      </c>
      <c r="B324" s="194" t="s">
        <v>342</v>
      </c>
      <c r="C324" s="147" t="s">
        <v>347</v>
      </c>
      <c r="D324" s="303">
        <v>0.1</v>
      </c>
      <c r="E324" s="303">
        <v>0.25</v>
      </c>
      <c r="F324" s="217">
        <v>0.4</v>
      </c>
      <c r="G324" s="217">
        <v>0.2</v>
      </c>
      <c r="H324" s="217">
        <v>0.05</v>
      </c>
      <c r="I324" s="149"/>
      <c r="J324" s="149"/>
      <c r="K324" s="149"/>
      <c r="L324" s="149"/>
      <c r="M324" s="149" t="s">
        <v>644</v>
      </c>
      <c r="N324" s="149" t="s">
        <v>645</v>
      </c>
      <c r="O324" s="149" t="s">
        <v>35</v>
      </c>
      <c r="P324" s="196">
        <f>SUM(D324:K324)</f>
        <v>1</v>
      </c>
      <c r="Q324" s="198"/>
      <c r="R324" s="251"/>
      <c r="S324" s="212" t="s">
        <v>943</v>
      </c>
      <c r="T324" s="190" t="s">
        <v>634</v>
      </c>
      <c r="U324" s="190" t="s">
        <v>634</v>
      </c>
      <c r="V324" s="190" t="s">
        <v>947</v>
      </c>
      <c r="W324" s="213" t="s">
        <v>945</v>
      </c>
      <c r="X324" s="146" t="s">
        <v>736</v>
      </c>
      <c r="AA324" s="191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hidden="1" x14ac:dyDescent="0.25">
      <c r="A325" s="192"/>
      <c r="B325" s="194"/>
      <c r="C325" s="147"/>
      <c r="D325" s="217"/>
      <c r="E325" s="217"/>
      <c r="F325" s="217"/>
      <c r="G325" s="217"/>
      <c r="H325" s="217"/>
      <c r="I325" s="149"/>
      <c r="J325" s="149"/>
      <c r="K325" s="149"/>
      <c r="L325" s="149"/>
      <c r="M325" s="149"/>
      <c r="N325" s="149"/>
      <c r="O325" s="149"/>
      <c r="P325" s="196"/>
      <c r="Q325" s="153"/>
      <c r="R325" s="251"/>
      <c r="AA325" s="191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hidden="1" x14ac:dyDescent="0.25">
      <c r="A326" s="192"/>
      <c r="B326" s="194" t="s">
        <v>342</v>
      </c>
      <c r="C326" s="238" t="s">
        <v>351</v>
      </c>
      <c r="D326" s="271"/>
      <c r="E326" s="271"/>
      <c r="F326" s="271"/>
      <c r="G326" s="271"/>
      <c r="H326" s="304"/>
      <c r="I326" s="206"/>
      <c r="J326" s="206"/>
      <c r="K326" s="206"/>
      <c r="L326" s="206"/>
      <c r="M326" s="206"/>
      <c r="N326" s="206"/>
      <c r="O326" s="206"/>
      <c r="P326" s="196"/>
      <c r="Q326" s="207"/>
      <c r="R326" s="251"/>
      <c r="AA326" s="191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hidden="1" x14ac:dyDescent="0.25">
      <c r="A327" s="192" t="s">
        <v>1234</v>
      </c>
      <c r="B327" s="194" t="s">
        <v>342</v>
      </c>
      <c r="C327" s="147" t="s">
        <v>352</v>
      </c>
      <c r="D327" s="303">
        <v>0.1</v>
      </c>
      <c r="E327" s="303">
        <v>0.25</v>
      </c>
      <c r="F327" s="217">
        <v>0.35</v>
      </c>
      <c r="G327" s="217">
        <v>0.25</v>
      </c>
      <c r="H327" s="217">
        <v>0.05</v>
      </c>
      <c r="I327" s="149"/>
      <c r="J327" s="149"/>
      <c r="K327" s="149"/>
      <c r="L327" s="149"/>
      <c r="M327" s="149" t="s">
        <v>644</v>
      </c>
      <c r="N327" s="149" t="s">
        <v>645</v>
      </c>
      <c r="O327" s="149" t="s">
        <v>35</v>
      </c>
      <c r="P327" s="196">
        <f t="shared" ref="P327:P334" si="5">SUM(D327:K327)</f>
        <v>1</v>
      </c>
      <c r="Q327" s="153"/>
      <c r="R327" s="251"/>
      <c r="S327" s="212" t="s">
        <v>948</v>
      </c>
      <c r="T327" s="190" t="s">
        <v>634</v>
      </c>
      <c r="U327" s="190" t="s">
        <v>634</v>
      </c>
      <c r="V327" s="190" t="s">
        <v>737</v>
      </c>
      <c r="W327" s="213" t="s">
        <v>949</v>
      </c>
      <c r="X327" s="146" t="s">
        <v>738</v>
      </c>
      <c r="AA327" s="191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hidden="1" x14ac:dyDescent="0.25">
      <c r="A328" s="192" t="s">
        <v>1235</v>
      </c>
      <c r="B328" s="194" t="s">
        <v>342</v>
      </c>
      <c r="C328" s="147" t="s">
        <v>353</v>
      </c>
      <c r="D328" s="303">
        <v>0.1</v>
      </c>
      <c r="E328" s="303">
        <v>0.1</v>
      </c>
      <c r="F328" s="217">
        <v>0.2</v>
      </c>
      <c r="G328" s="217">
        <v>0.55000000000000004</v>
      </c>
      <c r="H328" s="217">
        <v>0.05</v>
      </c>
      <c r="I328" s="149"/>
      <c r="J328" s="149"/>
      <c r="K328" s="149"/>
      <c r="L328" s="149"/>
      <c r="M328" s="149" t="s">
        <v>644</v>
      </c>
      <c r="N328" s="149" t="s">
        <v>645</v>
      </c>
      <c r="O328" s="149" t="s">
        <v>35</v>
      </c>
      <c r="P328" s="196">
        <f t="shared" si="5"/>
        <v>1</v>
      </c>
      <c r="Q328" s="153"/>
      <c r="R328" s="251"/>
      <c r="S328" s="212" t="s">
        <v>948</v>
      </c>
      <c r="T328" s="190" t="s">
        <v>634</v>
      </c>
      <c r="U328" s="190" t="s">
        <v>634</v>
      </c>
      <c r="V328" s="190" t="s">
        <v>737</v>
      </c>
      <c r="W328" s="213" t="s">
        <v>949</v>
      </c>
      <c r="X328" s="146" t="s">
        <v>738</v>
      </c>
      <c r="AA328" s="191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hidden="1" x14ac:dyDescent="0.25">
      <c r="A329" s="192" t="s">
        <v>1236</v>
      </c>
      <c r="B329" s="194" t="s">
        <v>342</v>
      </c>
      <c r="C329" s="147" t="s">
        <v>354</v>
      </c>
      <c r="D329" s="303">
        <v>0.1</v>
      </c>
      <c r="E329" s="303">
        <v>0.1</v>
      </c>
      <c r="F329" s="217">
        <v>0.2</v>
      </c>
      <c r="G329" s="217">
        <v>0.55000000000000004</v>
      </c>
      <c r="H329" s="217">
        <v>0.05</v>
      </c>
      <c r="I329" s="149"/>
      <c r="J329" s="149"/>
      <c r="K329" s="149"/>
      <c r="L329" s="149"/>
      <c r="M329" s="149" t="s">
        <v>644</v>
      </c>
      <c r="N329" s="149" t="s">
        <v>645</v>
      </c>
      <c r="O329" s="149" t="s">
        <v>35</v>
      </c>
      <c r="P329" s="196">
        <f t="shared" si="5"/>
        <v>1</v>
      </c>
      <c r="Q329" s="153"/>
      <c r="R329" s="251"/>
      <c r="S329" s="212" t="s">
        <v>948</v>
      </c>
      <c r="T329" s="190" t="s">
        <v>634</v>
      </c>
      <c r="U329" s="190" t="s">
        <v>634</v>
      </c>
      <c r="V329" s="190" t="s">
        <v>737</v>
      </c>
      <c r="W329" s="213" t="s">
        <v>949</v>
      </c>
      <c r="X329" s="146" t="s">
        <v>738</v>
      </c>
      <c r="AA329" s="191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hidden="1" x14ac:dyDescent="0.25">
      <c r="A330" s="192" t="s">
        <v>1237</v>
      </c>
      <c r="B330" s="194" t="s">
        <v>342</v>
      </c>
      <c r="C330" s="147" t="s">
        <v>355</v>
      </c>
      <c r="D330" s="303">
        <v>0.1</v>
      </c>
      <c r="E330" s="303">
        <v>0.25</v>
      </c>
      <c r="F330" s="217">
        <v>0.35</v>
      </c>
      <c r="G330" s="217">
        <v>0.25</v>
      </c>
      <c r="H330" s="217">
        <v>0.05</v>
      </c>
      <c r="I330" s="149"/>
      <c r="J330" s="149"/>
      <c r="K330" s="149"/>
      <c r="L330" s="149"/>
      <c r="M330" s="149" t="s">
        <v>644</v>
      </c>
      <c r="N330" s="149" t="s">
        <v>645</v>
      </c>
      <c r="O330" s="149" t="s">
        <v>35</v>
      </c>
      <c r="P330" s="196">
        <f t="shared" si="5"/>
        <v>1</v>
      </c>
      <c r="Q330" s="153"/>
      <c r="R330" s="251"/>
      <c r="S330" s="212" t="s">
        <v>688</v>
      </c>
      <c r="V330" s="190" t="s">
        <v>739</v>
      </c>
      <c r="W330" s="213" t="s">
        <v>950</v>
      </c>
      <c r="AA330" s="191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hidden="1" x14ac:dyDescent="0.25">
      <c r="A331" s="192" t="s">
        <v>1238</v>
      </c>
      <c r="B331" s="194" t="s">
        <v>342</v>
      </c>
      <c r="C331" s="147" t="s">
        <v>356</v>
      </c>
      <c r="D331" s="303">
        <v>0.1</v>
      </c>
      <c r="E331" s="303">
        <v>0.4</v>
      </c>
      <c r="F331" s="217">
        <v>0.4</v>
      </c>
      <c r="G331" s="217">
        <v>0.05</v>
      </c>
      <c r="H331" s="217">
        <v>0.05</v>
      </c>
      <c r="I331" s="149"/>
      <c r="J331" s="149"/>
      <c r="K331" s="149"/>
      <c r="L331" s="149"/>
      <c r="M331" s="149" t="s">
        <v>644</v>
      </c>
      <c r="N331" s="149" t="s">
        <v>645</v>
      </c>
      <c r="O331" s="149" t="s">
        <v>35</v>
      </c>
      <c r="P331" s="196">
        <f t="shared" si="5"/>
        <v>1</v>
      </c>
      <c r="Q331" s="153"/>
      <c r="R331" s="251"/>
      <c r="S331" s="189" t="s">
        <v>951</v>
      </c>
      <c r="T331" s="190" t="s">
        <v>634</v>
      </c>
      <c r="U331" s="190" t="s">
        <v>634</v>
      </c>
      <c r="V331" s="190" t="s">
        <v>740</v>
      </c>
      <c r="W331" s="190" t="s">
        <v>741</v>
      </c>
      <c r="AA331" s="19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hidden="1" x14ac:dyDescent="0.25">
      <c r="A332" s="192" t="s">
        <v>1239</v>
      </c>
      <c r="B332" s="194" t="s">
        <v>342</v>
      </c>
      <c r="C332" s="147" t="s">
        <v>357</v>
      </c>
      <c r="D332" s="303">
        <v>0.1</v>
      </c>
      <c r="E332" s="303">
        <v>0.8</v>
      </c>
      <c r="F332" s="217"/>
      <c r="G332" s="217">
        <v>0.05</v>
      </c>
      <c r="H332" s="217">
        <v>0.05</v>
      </c>
      <c r="I332" s="198"/>
      <c r="J332" s="198"/>
      <c r="K332" s="198"/>
      <c r="L332" s="198"/>
      <c r="M332" s="198" t="s">
        <v>644</v>
      </c>
      <c r="N332" s="198" t="s">
        <v>645</v>
      </c>
      <c r="O332" s="198" t="s">
        <v>35</v>
      </c>
      <c r="P332" s="196">
        <f t="shared" si="5"/>
        <v>1</v>
      </c>
      <c r="Q332" s="199"/>
      <c r="R332" s="251" t="s">
        <v>742</v>
      </c>
      <c r="S332" s="189" t="s">
        <v>952</v>
      </c>
      <c r="T332" s="190" t="s">
        <v>634</v>
      </c>
      <c r="U332" s="190" t="s">
        <v>634</v>
      </c>
      <c r="V332" s="190" t="s">
        <v>953</v>
      </c>
      <c r="W332" s="190" t="s">
        <v>954</v>
      </c>
      <c r="AA332" s="191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hidden="1" x14ac:dyDescent="0.25">
      <c r="A333" s="192" t="s">
        <v>1240</v>
      </c>
      <c r="B333" s="194" t="s">
        <v>342</v>
      </c>
      <c r="C333" s="147" t="s">
        <v>358</v>
      </c>
      <c r="D333" s="303">
        <v>0.1</v>
      </c>
      <c r="E333" s="303">
        <v>0.35</v>
      </c>
      <c r="F333" s="217">
        <v>0.45</v>
      </c>
      <c r="G333" s="217">
        <v>0.05</v>
      </c>
      <c r="H333" s="217">
        <v>0.05</v>
      </c>
      <c r="I333" s="198"/>
      <c r="J333" s="198"/>
      <c r="K333" s="198"/>
      <c r="L333" s="198"/>
      <c r="M333" s="198" t="s">
        <v>644</v>
      </c>
      <c r="N333" s="198" t="s">
        <v>645</v>
      </c>
      <c r="O333" s="198" t="s">
        <v>35</v>
      </c>
      <c r="P333" s="196">
        <f t="shared" si="5"/>
        <v>1</v>
      </c>
      <c r="Q333" s="199"/>
      <c r="R333" s="251" t="s">
        <v>743</v>
      </c>
      <c r="S333" s="189" t="s">
        <v>952</v>
      </c>
      <c r="T333" s="190" t="s">
        <v>634</v>
      </c>
      <c r="U333" s="190" t="s">
        <v>634</v>
      </c>
      <c r="V333" s="190" t="s">
        <v>953</v>
      </c>
      <c r="W333" s="190" t="s">
        <v>954</v>
      </c>
      <c r="AA333" s="191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hidden="1" x14ac:dyDescent="0.25">
      <c r="A334" s="192" t="s">
        <v>1241</v>
      </c>
      <c r="B334" s="194" t="s">
        <v>342</v>
      </c>
      <c r="C334" s="147" t="s">
        <v>359</v>
      </c>
      <c r="D334" s="303">
        <v>0.1</v>
      </c>
      <c r="E334" s="303">
        <v>0.3</v>
      </c>
      <c r="F334" s="217">
        <v>0.5</v>
      </c>
      <c r="G334" s="217">
        <v>0.05</v>
      </c>
      <c r="H334" s="217">
        <v>0.05</v>
      </c>
      <c r="I334" s="198"/>
      <c r="J334" s="198"/>
      <c r="K334" s="198"/>
      <c r="L334" s="198"/>
      <c r="M334" s="198" t="s">
        <v>644</v>
      </c>
      <c r="N334" s="198" t="s">
        <v>645</v>
      </c>
      <c r="O334" s="198" t="s">
        <v>35</v>
      </c>
      <c r="P334" s="196">
        <f t="shared" si="5"/>
        <v>1</v>
      </c>
      <c r="Q334" s="199"/>
      <c r="R334" s="251" t="s">
        <v>743</v>
      </c>
      <c r="S334" s="189" t="s">
        <v>952</v>
      </c>
      <c r="T334" s="190" t="s">
        <v>634</v>
      </c>
      <c r="U334" s="237" t="s">
        <v>634</v>
      </c>
      <c r="V334" s="237" t="s">
        <v>955</v>
      </c>
      <c r="W334" s="237" t="s">
        <v>956</v>
      </c>
      <c r="AA334" s="191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hidden="1" x14ac:dyDescent="0.25">
      <c r="A335" s="192"/>
      <c r="B335" s="194"/>
      <c r="C335" s="147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6"/>
      <c r="Q335" s="199"/>
      <c r="R335" s="251"/>
      <c r="AA335" s="191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ht="32.1" hidden="1" customHeight="1" x14ac:dyDescent="0.25">
      <c r="A336" s="192"/>
      <c r="B336" s="194" t="s">
        <v>342</v>
      </c>
      <c r="C336" s="238" t="s">
        <v>360</v>
      </c>
      <c r="D336" s="235" t="s">
        <v>103</v>
      </c>
      <c r="E336" s="235" t="s">
        <v>179</v>
      </c>
      <c r="F336" s="235" t="s">
        <v>361</v>
      </c>
      <c r="G336" s="235" t="s">
        <v>362</v>
      </c>
      <c r="H336" s="235" t="s">
        <v>363</v>
      </c>
      <c r="I336" s="235"/>
      <c r="J336" s="206"/>
      <c r="K336" s="206"/>
      <c r="L336" s="206"/>
      <c r="M336" s="206"/>
      <c r="N336" s="206"/>
      <c r="O336" s="206"/>
      <c r="P336" s="196"/>
      <c r="Q336" s="207"/>
      <c r="R336" s="267"/>
      <c r="AA336" s="191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ht="37.35" hidden="1" customHeight="1" x14ac:dyDescent="0.25">
      <c r="A337" s="192" t="s">
        <v>1242</v>
      </c>
      <c r="B337" s="194" t="s">
        <v>342</v>
      </c>
      <c r="C337" s="147" t="s">
        <v>364</v>
      </c>
      <c r="D337" s="198">
        <v>0.05</v>
      </c>
      <c r="E337" s="198">
        <v>0.25</v>
      </c>
      <c r="F337" s="198">
        <v>0.3</v>
      </c>
      <c r="G337" s="198">
        <v>0.3</v>
      </c>
      <c r="H337" s="198">
        <v>0.1</v>
      </c>
      <c r="I337" s="198"/>
      <c r="J337" s="198"/>
      <c r="K337" s="198"/>
      <c r="L337" s="198"/>
      <c r="M337" s="198" t="s">
        <v>644</v>
      </c>
      <c r="N337" s="198" t="s">
        <v>645</v>
      </c>
      <c r="O337" s="198" t="s">
        <v>35</v>
      </c>
      <c r="P337" s="196">
        <f>SUM(D337:K337)</f>
        <v>0.99999999999999989</v>
      </c>
      <c r="Q337" s="199"/>
      <c r="R337" s="251" t="s">
        <v>744</v>
      </c>
      <c r="S337" s="189" t="s">
        <v>957</v>
      </c>
      <c r="T337" s="190" t="s">
        <v>634</v>
      </c>
      <c r="U337" s="190" t="s">
        <v>634</v>
      </c>
      <c r="V337" s="190" t="s">
        <v>958</v>
      </c>
      <c r="W337" s="190" t="s">
        <v>959</v>
      </c>
      <c r="AA337" s="191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hidden="1" x14ac:dyDescent="0.25">
      <c r="A338" s="192"/>
      <c r="B338" s="194"/>
      <c r="C338" s="147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6"/>
      <c r="Q338" s="199"/>
      <c r="R338" s="251"/>
      <c r="AA338" s="191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ht="30" hidden="1" x14ac:dyDescent="0.25">
      <c r="A339" s="252"/>
      <c r="B339" s="253" t="s">
        <v>342</v>
      </c>
      <c r="C339" s="254" t="s">
        <v>554</v>
      </c>
      <c r="D339" s="305" t="s">
        <v>555</v>
      </c>
      <c r="E339" s="305" t="s">
        <v>745</v>
      </c>
      <c r="F339" s="305" t="s">
        <v>557</v>
      </c>
      <c r="G339" s="305" t="s">
        <v>1343</v>
      </c>
      <c r="H339" s="306" t="s">
        <v>558</v>
      </c>
      <c r="I339" s="307" t="s">
        <v>1344</v>
      </c>
      <c r="J339" s="307" t="s">
        <v>1345</v>
      </c>
      <c r="K339" s="307"/>
      <c r="L339" s="307"/>
      <c r="M339" s="307"/>
      <c r="N339" s="307"/>
      <c r="O339" s="307"/>
      <c r="P339" s="196"/>
      <c r="Q339" s="207"/>
      <c r="R339" s="251"/>
      <c r="AA339" s="191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hidden="1" x14ac:dyDescent="0.25">
      <c r="A340" s="252" t="s">
        <v>368</v>
      </c>
      <c r="B340" s="253" t="s">
        <v>342</v>
      </c>
      <c r="C340" s="169" t="s">
        <v>342</v>
      </c>
      <c r="D340" s="258">
        <v>0.05</v>
      </c>
      <c r="E340" s="258">
        <v>0.15</v>
      </c>
      <c r="F340" s="258">
        <v>0.4</v>
      </c>
      <c r="G340" s="258">
        <v>0.1</v>
      </c>
      <c r="H340" s="258">
        <v>0.05</v>
      </c>
      <c r="I340" s="258">
        <v>0.05</v>
      </c>
      <c r="J340" s="258">
        <v>0.2</v>
      </c>
      <c r="K340" s="258"/>
      <c r="L340" s="258"/>
      <c r="M340" s="258" t="s">
        <v>644</v>
      </c>
      <c r="N340" s="258" t="s">
        <v>645</v>
      </c>
      <c r="O340" s="258" t="s">
        <v>35</v>
      </c>
      <c r="P340" s="196"/>
      <c r="Q340" s="199"/>
      <c r="R340" s="251"/>
      <c r="AA340" s="191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hidden="1" x14ac:dyDescent="0.25">
      <c r="A341" s="252" t="s">
        <v>1243</v>
      </c>
      <c r="B341" s="253" t="s">
        <v>342</v>
      </c>
      <c r="C341" s="169" t="s">
        <v>746</v>
      </c>
      <c r="D341" s="258">
        <v>0.05</v>
      </c>
      <c r="E341" s="258">
        <v>0.2</v>
      </c>
      <c r="F341" s="258">
        <v>0.65</v>
      </c>
      <c r="G341" s="258">
        <v>0.05</v>
      </c>
      <c r="H341" s="258">
        <v>0.05</v>
      </c>
      <c r="I341" s="258"/>
      <c r="J341" s="258"/>
      <c r="K341" s="258"/>
      <c r="L341" s="258"/>
      <c r="M341" s="258" t="s">
        <v>644</v>
      </c>
      <c r="N341" s="258" t="s">
        <v>645</v>
      </c>
      <c r="O341" s="258" t="s">
        <v>35</v>
      </c>
      <c r="P341" s="196"/>
      <c r="Q341" s="199"/>
      <c r="R341" s="251"/>
      <c r="AA341" s="19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hidden="1" x14ac:dyDescent="0.25">
      <c r="A342" s="192"/>
      <c r="B342" s="194"/>
      <c r="C342" s="147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6"/>
      <c r="Q342" s="199"/>
      <c r="R342" s="251"/>
      <c r="AA342" s="191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ht="30" hidden="1" x14ac:dyDescent="0.25">
      <c r="A343" s="192"/>
      <c r="B343" s="194" t="s">
        <v>342</v>
      </c>
      <c r="C343" s="238" t="s">
        <v>365</v>
      </c>
      <c r="D343" s="235" t="s">
        <v>366</v>
      </c>
      <c r="E343" s="235" t="s">
        <v>181</v>
      </c>
      <c r="F343" s="235" t="s">
        <v>367</v>
      </c>
      <c r="G343" s="235" t="s">
        <v>223</v>
      </c>
      <c r="H343" s="235"/>
      <c r="I343" s="235"/>
      <c r="J343" s="206"/>
      <c r="K343" s="206"/>
      <c r="L343" s="206"/>
      <c r="M343" s="206"/>
      <c r="N343" s="206"/>
      <c r="O343" s="206"/>
      <c r="P343" s="196"/>
      <c r="Q343" s="207"/>
      <c r="R343" s="267"/>
      <c r="AA343" s="191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hidden="1" x14ac:dyDescent="0.25">
      <c r="A344" s="192" t="s">
        <v>1244</v>
      </c>
      <c r="B344" s="194" t="s">
        <v>342</v>
      </c>
      <c r="C344" s="147" t="s">
        <v>365</v>
      </c>
      <c r="D344" s="198">
        <v>0.35</v>
      </c>
      <c r="E344" s="198">
        <v>0.2</v>
      </c>
      <c r="F344" s="198">
        <v>0.4</v>
      </c>
      <c r="G344" s="198">
        <v>0.05</v>
      </c>
      <c r="H344" s="198"/>
      <c r="I344" s="198"/>
      <c r="J344" s="198"/>
      <c r="K344" s="198"/>
      <c r="L344" s="198"/>
      <c r="M344" s="198" t="s">
        <v>644</v>
      </c>
      <c r="N344" s="198" t="s">
        <v>645</v>
      </c>
      <c r="O344" s="198" t="s">
        <v>35</v>
      </c>
      <c r="P344" s="196">
        <f>SUM(D344:K344)</f>
        <v>1</v>
      </c>
      <c r="Q344" s="199"/>
      <c r="R344" s="251"/>
      <c r="S344" s="189" t="s">
        <v>960</v>
      </c>
      <c r="T344" s="190" t="s">
        <v>634</v>
      </c>
      <c r="U344" s="237" t="s">
        <v>649</v>
      </c>
      <c r="V344" s="237" t="s">
        <v>961</v>
      </c>
      <c r="W344" s="262" t="s">
        <v>747</v>
      </c>
      <c r="AA344" s="191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hidden="1" x14ac:dyDescent="0.25">
      <c r="A345" s="192"/>
      <c r="B345" s="194"/>
      <c r="C345" s="147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6"/>
      <c r="Q345" s="199"/>
      <c r="R345" s="251"/>
      <c r="AA345" s="191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ht="45" hidden="1" x14ac:dyDescent="0.25">
      <c r="A346" s="192"/>
      <c r="B346" s="194" t="s">
        <v>342</v>
      </c>
      <c r="C346" s="238" t="s">
        <v>369</v>
      </c>
      <c r="D346" s="235" t="s">
        <v>47</v>
      </c>
      <c r="E346" s="235" t="s">
        <v>370</v>
      </c>
      <c r="F346" s="235" t="s">
        <v>223</v>
      </c>
      <c r="G346" s="235"/>
      <c r="H346" s="235"/>
      <c r="I346" s="235"/>
      <c r="J346" s="206"/>
      <c r="K346" s="206"/>
      <c r="L346" s="206"/>
      <c r="M346" s="206"/>
      <c r="N346" s="206"/>
      <c r="O346" s="206"/>
      <c r="P346" s="196"/>
      <c r="Q346" s="207"/>
      <c r="R346" s="267"/>
      <c r="AA346" s="191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hidden="1" x14ac:dyDescent="0.25">
      <c r="A347" s="192" t="s">
        <v>1245</v>
      </c>
      <c r="B347" s="194" t="s">
        <v>342</v>
      </c>
      <c r="C347" s="147" t="s">
        <v>369</v>
      </c>
      <c r="D347" s="198">
        <v>0.1</v>
      </c>
      <c r="E347" s="198">
        <v>0.8</v>
      </c>
      <c r="F347" s="198">
        <v>0.1</v>
      </c>
      <c r="G347" s="198"/>
      <c r="H347" s="198"/>
      <c r="I347" s="198"/>
      <c r="J347" s="198"/>
      <c r="K347" s="198"/>
      <c r="L347" s="198"/>
      <c r="M347" s="198" t="s">
        <v>639</v>
      </c>
      <c r="N347" s="198" t="s">
        <v>639</v>
      </c>
      <c r="O347" s="198" t="s">
        <v>122</v>
      </c>
      <c r="P347" s="196">
        <f>SUM(D347:K347)</f>
        <v>1</v>
      </c>
      <c r="Q347" s="199"/>
      <c r="R347" s="251"/>
      <c r="S347" s="189" t="s">
        <v>962</v>
      </c>
      <c r="T347" s="190" t="s">
        <v>634</v>
      </c>
      <c r="U347" s="237" t="s">
        <v>649</v>
      </c>
      <c r="V347" s="237" t="s">
        <v>963</v>
      </c>
      <c r="W347" s="237" t="s">
        <v>964</v>
      </c>
      <c r="AA347" s="191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hidden="1" x14ac:dyDescent="0.25">
      <c r="A348" s="192"/>
      <c r="B348" s="194"/>
      <c r="C348" s="147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6"/>
      <c r="Q348" s="199"/>
      <c r="R348" s="251"/>
      <c r="AA348" s="191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ht="45" hidden="1" x14ac:dyDescent="0.25">
      <c r="A349" s="192"/>
      <c r="B349" s="194" t="s">
        <v>342</v>
      </c>
      <c r="C349" s="238" t="s">
        <v>371</v>
      </c>
      <c r="D349" s="235" t="s">
        <v>103</v>
      </c>
      <c r="E349" s="235" t="s">
        <v>372</v>
      </c>
      <c r="F349" s="235" t="s">
        <v>55</v>
      </c>
      <c r="G349" s="235" t="s">
        <v>223</v>
      </c>
      <c r="H349" s="235"/>
      <c r="I349" s="235"/>
      <c r="J349" s="206"/>
      <c r="K349" s="206"/>
      <c r="L349" s="206"/>
      <c r="M349" s="206"/>
      <c r="N349" s="206"/>
      <c r="O349" s="206"/>
      <c r="P349" s="196"/>
      <c r="Q349" s="207"/>
      <c r="R349" s="267"/>
      <c r="AA349" s="191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hidden="1" x14ac:dyDescent="0.25">
      <c r="A350" s="192" t="s">
        <v>1246</v>
      </c>
      <c r="B350" s="194" t="s">
        <v>342</v>
      </c>
      <c r="C350" s="147" t="s">
        <v>371</v>
      </c>
      <c r="D350" s="198">
        <v>0.1</v>
      </c>
      <c r="E350" s="198">
        <v>0.15</v>
      </c>
      <c r="F350" s="198">
        <v>0.7</v>
      </c>
      <c r="G350" s="198">
        <v>0.05</v>
      </c>
      <c r="H350" s="198"/>
      <c r="I350" s="198"/>
      <c r="J350" s="198"/>
      <c r="K350" s="198"/>
      <c r="L350" s="198"/>
      <c r="M350" s="198" t="s">
        <v>639</v>
      </c>
      <c r="N350" s="198" t="s">
        <v>639</v>
      </c>
      <c r="O350" s="198" t="s">
        <v>122</v>
      </c>
      <c r="P350" s="196">
        <f>SUM(D350:K350)</f>
        <v>1</v>
      </c>
      <c r="Q350" s="199"/>
      <c r="R350" s="251"/>
      <c r="S350" s="189" t="s">
        <v>965</v>
      </c>
      <c r="T350" s="190" t="s">
        <v>634</v>
      </c>
      <c r="U350" s="237" t="s">
        <v>649</v>
      </c>
      <c r="V350" s="237" t="s">
        <v>966</v>
      </c>
      <c r="W350" s="237" t="s">
        <v>748</v>
      </c>
      <c r="AA350" s="191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hidden="1" x14ac:dyDescent="0.25">
      <c r="A351" s="192"/>
      <c r="B351" s="194"/>
      <c r="C351" s="147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6"/>
      <c r="Q351" s="199"/>
      <c r="R351" s="251"/>
      <c r="AA351" s="19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ht="30" hidden="1" x14ac:dyDescent="0.25">
      <c r="A352" s="192"/>
      <c r="B352" s="194" t="s">
        <v>342</v>
      </c>
      <c r="C352" s="238" t="s">
        <v>154</v>
      </c>
      <c r="D352" s="235" t="s">
        <v>155</v>
      </c>
      <c r="E352" s="235" t="s">
        <v>156</v>
      </c>
      <c r="F352" s="235" t="s">
        <v>223</v>
      </c>
      <c r="G352" s="235"/>
      <c r="H352" s="235"/>
      <c r="I352" s="235"/>
      <c r="J352" s="206"/>
      <c r="K352" s="206"/>
      <c r="L352" s="206"/>
      <c r="M352" s="206"/>
      <c r="N352" s="206"/>
      <c r="O352" s="206"/>
      <c r="P352" s="196"/>
      <c r="Q352" s="207"/>
      <c r="R352" s="267"/>
      <c r="AA352" s="191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hidden="1" x14ac:dyDescent="0.25">
      <c r="A353" s="192" t="s">
        <v>1247</v>
      </c>
      <c r="B353" s="194" t="s">
        <v>342</v>
      </c>
      <c r="C353" s="386" t="s">
        <v>373</v>
      </c>
      <c r="D353" s="198">
        <v>0.1</v>
      </c>
      <c r="E353" s="198">
        <v>0.8</v>
      </c>
      <c r="F353" s="198">
        <v>0.1</v>
      </c>
      <c r="G353" s="198"/>
      <c r="H353" s="198"/>
      <c r="I353" s="198"/>
      <c r="J353" s="198"/>
      <c r="K353" s="147"/>
      <c r="L353" s="147"/>
      <c r="M353" s="198" t="s">
        <v>639</v>
      </c>
      <c r="N353" s="198" t="s">
        <v>639</v>
      </c>
      <c r="O353" s="198" t="s">
        <v>35</v>
      </c>
      <c r="P353" s="196">
        <f>SUM(D353:K353)</f>
        <v>1</v>
      </c>
      <c r="Q353" s="199"/>
      <c r="R353" s="251"/>
      <c r="S353" s="189" t="s">
        <v>967</v>
      </c>
      <c r="T353" s="190" t="s">
        <v>634</v>
      </c>
      <c r="U353" s="237" t="s">
        <v>634</v>
      </c>
      <c r="V353" s="237" t="s">
        <v>968</v>
      </c>
      <c r="W353" s="262" t="s">
        <v>969</v>
      </c>
      <c r="AA353" s="191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hidden="1" x14ac:dyDescent="0.25">
      <c r="A354" s="192"/>
      <c r="B354" s="194"/>
      <c r="C354" s="147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6"/>
      <c r="Q354" s="199"/>
      <c r="R354" s="251"/>
      <c r="AA354" s="191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ht="30" hidden="1" x14ac:dyDescent="0.25">
      <c r="A355" s="192"/>
      <c r="B355" s="194" t="s">
        <v>342</v>
      </c>
      <c r="C355" s="195" t="s">
        <v>374</v>
      </c>
      <c r="D355" s="192" t="s">
        <v>103</v>
      </c>
      <c r="E355" s="235" t="s">
        <v>212</v>
      </c>
      <c r="F355" s="192" t="s">
        <v>233</v>
      </c>
      <c r="G355" s="192" t="s">
        <v>17</v>
      </c>
      <c r="H355" s="235"/>
      <c r="I355" s="235"/>
      <c r="J355" s="235"/>
      <c r="K355" s="235"/>
      <c r="L355" s="235"/>
      <c r="M355" s="235"/>
      <c r="N355" s="235"/>
      <c r="O355" s="235"/>
      <c r="P355" s="196"/>
      <c r="Q355" s="222"/>
      <c r="R355" s="251"/>
      <c r="AA355" s="191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hidden="1" x14ac:dyDescent="0.25">
      <c r="A356" s="192" t="s">
        <v>1248</v>
      </c>
      <c r="B356" s="194" t="s">
        <v>342</v>
      </c>
      <c r="C356" s="147" t="s">
        <v>374</v>
      </c>
      <c r="D356" s="198">
        <v>0.05</v>
      </c>
      <c r="E356" s="198">
        <v>0.3</v>
      </c>
      <c r="F356" s="198">
        <v>0.55000000000000004</v>
      </c>
      <c r="G356" s="198">
        <v>0.1</v>
      </c>
      <c r="H356" s="198"/>
      <c r="I356" s="198"/>
      <c r="J356" s="198"/>
      <c r="K356" s="198"/>
      <c r="L356" s="198"/>
      <c r="M356" s="198" t="s">
        <v>639</v>
      </c>
      <c r="N356" s="198" t="s">
        <v>639</v>
      </c>
      <c r="O356" s="198" t="s">
        <v>122</v>
      </c>
      <c r="P356" s="196">
        <f>SUM(D356:K356)</f>
        <v>1</v>
      </c>
      <c r="Q356" s="199"/>
      <c r="R356" s="251"/>
      <c r="V356" s="190" t="s">
        <v>970</v>
      </c>
      <c r="W356" s="190" t="s">
        <v>971</v>
      </c>
      <c r="AA356" s="191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hidden="1" x14ac:dyDescent="0.25">
      <c r="A357" s="192"/>
      <c r="B357" s="194"/>
      <c r="C357" s="147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6"/>
      <c r="Q357" s="199"/>
      <c r="R357" s="251"/>
      <c r="AA357" s="191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hidden="1" x14ac:dyDescent="0.25">
      <c r="A358" s="185"/>
      <c r="B358" s="186" t="s">
        <v>375</v>
      </c>
      <c r="C358" s="187"/>
      <c r="D358" s="187"/>
      <c r="E358" s="187"/>
      <c r="F358" s="187"/>
      <c r="G358" s="187"/>
      <c r="H358" s="185"/>
      <c r="I358" s="185"/>
      <c r="J358" s="185"/>
      <c r="K358" s="185"/>
      <c r="L358" s="185"/>
      <c r="M358" s="185"/>
      <c r="N358" s="185"/>
      <c r="O358" s="185"/>
      <c r="P358" s="196"/>
      <c r="Q358" s="185"/>
      <c r="R358" s="152"/>
      <c r="AA358" s="191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ht="30" hidden="1" x14ac:dyDescent="0.25">
      <c r="A359" s="216"/>
      <c r="B359" s="214" t="s">
        <v>375</v>
      </c>
      <c r="C359" s="238" t="s">
        <v>376</v>
      </c>
      <c r="D359" s="235" t="s">
        <v>377</v>
      </c>
      <c r="E359" s="235" t="s">
        <v>362</v>
      </c>
      <c r="F359" s="235" t="s">
        <v>378</v>
      </c>
      <c r="G359" s="235" t="s">
        <v>379</v>
      </c>
      <c r="H359" s="206" t="s">
        <v>380</v>
      </c>
      <c r="I359" s="235"/>
      <c r="J359" s="206"/>
      <c r="K359" s="206"/>
      <c r="L359" s="206"/>
      <c r="M359" s="206"/>
      <c r="N359" s="206"/>
      <c r="O359" s="206"/>
      <c r="P359" s="196"/>
      <c r="Q359" s="207"/>
      <c r="R359" s="267"/>
      <c r="AA359" s="191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ht="14.85" hidden="1" customHeight="1" x14ac:dyDescent="0.25">
      <c r="A360" s="216" t="s">
        <v>1249</v>
      </c>
      <c r="B360" s="214" t="s">
        <v>375</v>
      </c>
      <c r="C360" s="147" t="s">
        <v>381</v>
      </c>
      <c r="D360" s="198">
        <v>0.15</v>
      </c>
      <c r="E360" s="198">
        <v>0.25</v>
      </c>
      <c r="F360" s="198">
        <v>0.1</v>
      </c>
      <c r="G360" s="198">
        <v>0.25</v>
      </c>
      <c r="H360" s="198">
        <v>0.25</v>
      </c>
      <c r="I360" s="308"/>
      <c r="J360" s="309"/>
      <c r="K360" s="309"/>
      <c r="L360" s="310"/>
      <c r="M360" s="310" t="s">
        <v>644</v>
      </c>
      <c r="N360" s="310" t="s">
        <v>645</v>
      </c>
      <c r="O360" s="311" t="s">
        <v>35</v>
      </c>
      <c r="P360" s="196">
        <f>SUM(D360:K360)</f>
        <v>1</v>
      </c>
      <c r="Q360" s="199" t="s">
        <v>382</v>
      </c>
      <c r="R360" s="251"/>
      <c r="S360" s="189" t="s">
        <v>972</v>
      </c>
      <c r="T360" s="190" t="s">
        <v>634</v>
      </c>
      <c r="U360" s="190" t="s">
        <v>634</v>
      </c>
      <c r="V360" s="190" t="s">
        <v>973</v>
      </c>
      <c r="W360" s="190" t="s">
        <v>974</v>
      </c>
      <c r="X360" s="146" t="s">
        <v>653</v>
      </c>
      <c r="AA360" s="191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hidden="1" x14ac:dyDescent="0.25">
      <c r="A361" s="216"/>
      <c r="B361" s="214"/>
      <c r="C361" s="147"/>
      <c r="D361" s="198"/>
      <c r="E361" s="198"/>
      <c r="F361" s="198"/>
      <c r="G361" s="198"/>
      <c r="H361" s="198"/>
      <c r="I361" s="247"/>
      <c r="J361" s="312"/>
      <c r="K361" s="312"/>
      <c r="L361" s="312"/>
      <c r="M361" s="312"/>
      <c r="N361" s="312"/>
      <c r="O361" s="311"/>
      <c r="P361" s="196"/>
      <c r="Q361" s="199"/>
      <c r="R361" s="251"/>
      <c r="AA361" s="19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hidden="1" x14ac:dyDescent="0.25">
      <c r="A362" s="216"/>
      <c r="B362" s="214" t="s">
        <v>375</v>
      </c>
      <c r="C362" s="238" t="s">
        <v>383</v>
      </c>
      <c r="D362" s="235" t="s">
        <v>384</v>
      </c>
      <c r="E362" s="235" t="s">
        <v>385</v>
      </c>
      <c r="F362" s="235" t="s">
        <v>386</v>
      </c>
      <c r="G362" s="235"/>
      <c r="H362" s="235"/>
      <c r="I362" s="235"/>
      <c r="J362" s="206"/>
      <c r="K362" s="206"/>
      <c r="L362" s="206"/>
      <c r="M362" s="206"/>
      <c r="N362" s="206"/>
      <c r="O362" s="206"/>
      <c r="P362" s="196"/>
      <c r="Q362" s="222"/>
      <c r="R362" s="251"/>
      <c r="AA362" s="191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hidden="1" x14ac:dyDescent="0.25">
      <c r="A363" s="216" t="s">
        <v>1250</v>
      </c>
      <c r="B363" s="214" t="s">
        <v>375</v>
      </c>
      <c r="C363" s="147" t="s">
        <v>383</v>
      </c>
      <c r="D363" s="198">
        <v>0.2</v>
      </c>
      <c r="E363" s="198">
        <v>0.2</v>
      </c>
      <c r="F363" s="198">
        <v>0.6</v>
      </c>
      <c r="G363" s="198"/>
      <c r="H363" s="198"/>
      <c r="I363" s="198"/>
      <c r="J363" s="198"/>
      <c r="K363" s="198"/>
      <c r="L363" s="198"/>
      <c r="M363" s="198" t="s">
        <v>644</v>
      </c>
      <c r="N363" s="198" t="s">
        <v>645</v>
      </c>
      <c r="O363" s="198" t="s">
        <v>35</v>
      </c>
      <c r="P363" s="196">
        <f>SUM(D363:K363)</f>
        <v>1</v>
      </c>
      <c r="Q363" s="199"/>
      <c r="R363" s="251"/>
      <c r="S363" s="189" t="s">
        <v>972</v>
      </c>
      <c r="T363" s="190" t="s">
        <v>634</v>
      </c>
      <c r="U363" s="190" t="s">
        <v>634</v>
      </c>
      <c r="V363" s="190" t="s">
        <v>973</v>
      </c>
      <c r="W363" s="190" t="s">
        <v>974</v>
      </c>
      <c r="X363" s="146" t="s">
        <v>653</v>
      </c>
      <c r="AA363" s="191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hidden="1" x14ac:dyDescent="0.25">
      <c r="A364" s="216"/>
      <c r="B364" s="214"/>
      <c r="C364" s="147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6"/>
      <c r="Q364" s="199"/>
      <c r="R364" s="251"/>
      <c r="AA364" s="191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hidden="1" x14ac:dyDescent="0.25">
      <c r="A365" s="216"/>
      <c r="B365" s="214" t="s">
        <v>375</v>
      </c>
      <c r="C365" s="238" t="s">
        <v>387</v>
      </c>
      <c r="D365" s="235" t="s">
        <v>55</v>
      </c>
      <c r="E365" s="235"/>
      <c r="F365" s="235"/>
      <c r="G365" s="235"/>
      <c r="H365" s="235"/>
      <c r="I365" s="235"/>
      <c r="J365" s="206"/>
      <c r="K365" s="206"/>
      <c r="L365" s="206"/>
      <c r="M365" s="206"/>
      <c r="N365" s="206"/>
      <c r="O365" s="206"/>
      <c r="P365" s="196"/>
      <c r="Q365" s="222"/>
      <c r="R365" s="251"/>
      <c r="AA365" s="191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hidden="1" x14ac:dyDescent="0.25">
      <c r="A366" s="216" t="s">
        <v>1251</v>
      </c>
      <c r="B366" s="214" t="s">
        <v>375</v>
      </c>
      <c r="C366" s="147" t="s">
        <v>387</v>
      </c>
      <c r="D366" s="198">
        <v>1</v>
      </c>
      <c r="E366" s="198"/>
      <c r="F366" s="198"/>
      <c r="G366" s="198"/>
      <c r="H366" s="198"/>
      <c r="I366" s="198"/>
      <c r="J366" s="198"/>
      <c r="K366" s="198"/>
      <c r="L366" s="198"/>
      <c r="M366" s="198" t="s">
        <v>644</v>
      </c>
      <c r="N366" s="198" t="s">
        <v>645</v>
      </c>
      <c r="O366" s="198" t="s">
        <v>35</v>
      </c>
      <c r="P366" s="196">
        <f>SUM(D366:K366)</f>
        <v>1</v>
      </c>
      <c r="Q366" s="199"/>
      <c r="R366" s="251"/>
      <c r="S366" s="189" t="s">
        <v>972</v>
      </c>
      <c r="T366" s="190" t="s">
        <v>634</v>
      </c>
      <c r="U366" s="190" t="s">
        <v>634</v>
      </c>
      <c r="V366" s="190" t="s">
        <v>973</v>
      </c>
      <c r="W366" s="190" t="s">
        <v>974</v>
      </c>
      <c r="X366" s="146" t="s">
        <v>653</v>
      </c>
      <c r="AA366" s="191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hidden="1" x14ac:dyDescent="0.25">
      <c r="A367" s="240"/>
      <c r="B367" s="313"/>
      <c r="C367" s="147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6"/>
      <c r="Q367" s="199"/>
      <c r="R367" s="251"/>
      <c r="AA367" s="191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hidden="1" x14ac:dyDescent="0.25">
      <c r="A368" s="185"/>
      <c r="B368" s="186" t="s">
        <v>388</v>
      </c>
      <c r="C368" s="187"/>
      <c r="D368" s="187"/>
      <c r="E368" s="187"/>
      <c r="F368" s="187"/>
      <c r="G368" s="187"/>
      <c r="H368" s="185"/>
      <c r="I368" s="185"/>
      <c r="J368" s="185"/>
      <c r="K368" s="185"/>
      <c r="L368" s="185"/>
      <c r="M368" s="185"/>
      <c r="N368" s="185"/>
      <c r="O368" s="185"/>
      <c r="P368" s="196"/>
      <c r="Q368" s="185"/>
      <c r="R368" s="152" t="s">
        <v>749</v>
      </c>
      <c r="AA368" s="191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ht="45" hidden="1" x14ac:dyDescent="0.25">
      <c r="A369" s="216"/>
      <c r="B369" s="214" t="s">
        <v>388</v>
      </c>
      <c r="C369" s="314" t="s">
        <v>393</v>
      </c>
      <c r="D369" s="294" t="s">
        <v>103</v>
      </c>
      <c r="E369" s="294" t="s">
        <v>389</v>
      </c>
      <c r="F369" s="235" t="s">
        <v>1346</v>
      </c>
      <c r="G369" s="294" t="s">
        <v>390</v>
      </c>
      <c r="H369" s="294" t="s">
        <v>391</v>
      </c>
      <c r="I369" s="294"/>
      <c r="J369" s="240"/>
      <c r="K369" s="240"/>
      <c r="L369" s="240"/>
      <c r="M369" s="240"/>
      <c r="N369" s="240"/>
      <c r="O369" s="240"/>
      <c r="P369" s="196"/>
      <c r="Q369" s="240"/>
      <c r="R369" s="315"/>
      <c r="S369" s="240"/>
      <c r="T369" s="240"/>
      <c r="U369" s="188"/>
      <c r="V369" s="188"/>
      <c r="W369" s="188"/>
      <c r="X369" s="186"/>
      <c r="Y369" s="60"/>
      <c r="Z369" s="189"/>
      <c r="AA369" s="190"/>
      <c r="AB369" s="190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hidden="1" x14ac:dyDescent="0.25">
      <c r="A370" s="216" t="s">
        <v>392</v>
      </c>
      <c r="B370" s="214" t="s">
        <v>388</v>
      </c>
      <c r="C370" s="147" t="s">
        <v>393</v>
      </c>
      <c r="D370" s="198">
        <v>0.05</v>
      </c>
      <c r="E370" s="198">
        <v>0.5</v>
      </c>
      <c r="F370" s="198">
        <v>0.4</v>
      </c>
      <c r="G370" s="198"/>
      <c r="H370" s="198">
        <v>0.05</v>
      </c>
      <c r="I370" s="198"/>
      <c r="J370" s="198"/>
      <c r="K370" s="198"/>
      <c r="L370" s="198"/>
      <c r="M370" s="198" t="s">
        <v>644</v>
      </c>
      <c r="N370" s="198" t="s">
        <v>645</v>
      </c>
      <c r="O370" s="198" t="s">
        <v>35</v>
      </c>
      <c r="P370" s="196">
        <f t="shared" ref="P370:P376" si="6">SUM(D370:K370)</f>
        <v>1</v>
      </c>
      <c r="Q370" s="170"/>
      <c r="R370" s="184"/>
      <c r="S370" s="60" t="s">
        <v>975</v>
      </c>
      <c r="T370" s="316" t="s">
        <v>634</v>
      </c>
      <c r="U370" s="60" t="s">
        <v>634</v>
      </c>
      <c r="V370" s="60">
        <v>660300</v>
      </c>
      <c r="W370" s="60">
        <v>3001447</v>
      </c>
      <c r="X370" s="60"/>
      <c r="Y370" s="6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hidden="1" x14ac:dyDescent="0.25">
      <c r="A371" s="216" t="s">
        <v>1252</v>
      </c>
      <c r="B371" s="214" t="s">
        <v>388</v>
      </c>
      <c r="C371" s="147" t="s">
        <v>394</v>
      </c>
      <c r="D371" s="198">
        <v>0.05</v>
      </c>
      <c r="E371" s="198">
        <v>0.5</v>
      </c>
      <c r="F371" s="198">
        <v>0.4</v>
      </c>
      <c r="G371" s="198"/>
      <c r="H371" s="198">
        <v>0.05</v>
      </c>
      <c r="I371" s="198"/>
      <c r="J371" s="198"/>
      <c r="K371" s="198"/>
      <c r="L371" s="198"/>
      <c r="M371" s="198" t="s">
        <v>644</v>
      </c>
      <c r="N371" s="198" t="s">
        <v>645</v>
      </c>
      <c r="O371" s="198" t="s">
        <v>35</v>
      </c>
      <c r="P371" s="196">
        <f t="shared" si="6"/>
        <v>1</v>
      </c>
      <c r="Q371" s="170"/>
      <c r="R371" s="184"/>
      <c r="S371" s="60"/>
      <c r="T371" s="316"/>
      <c r="U371" s="60"/>
      <c r="V371" s="60">
        <v>660300</v>
      </c>
      <c r="W371" s="60">
        <v>3001447</v>
      </c>
      <c r="X371" s="60"/>
      <c r="Y371" s="60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hidden="1" x14ac:dyDescent="0.25">
      <c r="A372" s="216" t="s">
        <v>1253</v>
      </c>
      <c r="B372" s="214" t="s">
        <v>388</v>
      </c>
      <c r="C372" s="147" t="s">
        <v>395</v>
      </c>
      <c r="D372" s="198">
        <v>0.05</v>
      </c>
      <c r="E372" s="198"/>
      <c r="F372" s="198">
        <v>0.9</v>
      </c>
      <c r="G372" s="198"/>
      <c r="H372" s="198">
        <v>0.05</v>
      </c>
      <c r="I372" s="198"/>
      <c r="J372" s="198"/>
      <c r="K372" s="198"/>
      <c r="L372" s="198"/>
      <c r="M372" s="258" t="s">
        <v>639</v>
      </c>
      <c r="N372" s="258" t="s">
        <v>639</v>
      </c>
      <c r="O372" s="198" t="s">
        <v>35</v>
      </c>
      <c r="P372" s="196">
        <f t="shared" si="6"/>
        <v>1</v>
      </c>
      <c r="Q372" s="170"/>
      <c r="R372" s="184"/>
      <c r="S372" s="60"/>
      <c r="T372" s="316"/>
      <c r="U372" s="60"/>
      <c r="V372" s="60">
        <v>660300</v>
      </c>
      <c r="W372" s="60">
        <v>3001447</v>
      </c>
      <c r="X372" s="60"/>
      <c r="Y372" s="60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hidden="1" x14ac:dyDescent="0.25">
      <c r="A373" s="216" t="s">
        <v>1254</v>
      </c>
      <c r="B373" s="214" t="s">
        <v>388</v>
      </c>
      <c r="C373" s="147" t="s">
        <v>396</v>
      </c>
      <c r="D373" s="198">
        <v>0.05</v>
      </c>
      <c r="E373" s="198">
        <v>0.2</v>
      </c>
      <c r="F373" s="198">
        <v>0.7</v>
      </c>
      <c r="G373" s="198"/>
      <c r="H373" s="198">
        <v>0.05</v>
      </c>
      <c r="I373" s="198"/>
      <c r="J373" s="198"/>
      <c r="K373" s="198"/>
      <c r="L373" s="198"/>
      <c r="M373" s="198" t="s">
        <v>644</v>
      </c>
      <c r="N373" s="198" t="s">
        <v>645</v>
      </c>
      <c r="O373" s="198" t="s">
        <v>35</v>
      </c>
      <c r="P373" s="196">
        <f t="shared" si="6"/>
        <v>1</v>
      </c>
      <c r="Q373" s="170"/>
      <c r="R373" s="184"/>
      <c r="S373" s="60">
        <v>6025200</v>
      </c>
      <c r="T373" s="316" t="s">
        <v>634</v>
      </c>
      <c r="U373" s="60" t="s">
        <v>634</v>
      </c>
      <c r="V373" s="60">
        <v>660230</v>
      </c>
      <c r="W373" s="60">
        <v>3001429</v>
      </c>
      <c r="X373" s="60" t="s">
        <v>750</v>
      </c>
      <c r="Y373" s="60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ht="62.1" hidden="1" customHeight="1" x14ac:dyDescent="0.25">
      <c r="A374" s="216" t="s">
        <v>1255</v>
      </c>
      <c r="B374" s="214" t="s">
        <v>388</v>
      </c>
      <c r="C374" s="147" t="s">
        <v>397</v>
      </c>
      <c r="D374" s="198">
        <v>0.2</v>
      </c>
      <c r="E374" s="198">
        <v>0.1</v>
      </c>
      <c r="F374" s="198">
        <v>0.65</v>
      </c>
      <c r="G374" s="198"/>
      <c r="H374" s="198">
        <v>0.05</v>
      </c>
      <c r="I374" s="198"/>
      <c r="J374" s="198"/>
      <c r="K374" s="198"/>
      <c r="L374" s="198"/>
      <c r="M374" s="198" t="s">
        <v>639</v>
      </c>
      <c r="N374" s="198" t="s">
        <v>639</v>
      </c>
      <c r="O374" s="198" t="s">
        <v>35</v>
      </c>
      <c r="P374" s="196">
        <f t="shared" si="6"/>
        <v>1</v>
      </c>
      <c r="Q374" s="171" t="s">
        <v>398</v>
      </c>
      <c r="R374" s="146"/>
      <c r="S374" s="60" t="s">
        <v>751</v>
      </c>
      <c r="T374" s="316" t="s">
        <v>634</v>
      </c>
      <c r="U374" s="60" t="s">
        <v>634</v>
      </c>
      <c r="V374" s="60" t="s">
        <v>752</v>
      </c>
      <c r="W374" s="60" t="s">
        <v>753</v>
      </c>
      <c r="X374" s="60" t="s">
        <v>754</v>
      </c>
      <c r="Y374" s="60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ht="30" hidden="1" x14ac:dyDescent="0.25">
      <c r="A375" s="216" t="s">
        <v>1256</v>
      </c>
      <c r="B375" s="214" t="s">
        <v>388</v>
      </c>
      <c r="C375" s="147" t="s">
        <v>399</v>
      </c>
      <c r="D375" s="198">
        <v>0.05</v>
      </c>
      <c r="E375" s="198">
        <v>0.25</v>
      </c>
      <c r="F375" s="198">
        <v>0.3</v>
      </c>
      <c r="G375" s="198">
        <v>0.3</v>
      </c>
      <c r="H375" s="198">
        <v>0.1</v>
      </c>
      <c r="I375" s="198"/>
      <c r="J375" s="198"/>
      <c r="K375" s="198"/>
      <c r="L375" s="198"/>
      <c r="M375" s="198" t="s">
        <v>644</v>
      </c>
      <c r="N375" s="198" t="s">
        <v>645</v>
      </c>
      <c r="O375" s="198" t="s">
        <v>35</v>
      </c>
      <c r="P375" s="196">
        <f t="shared" si="6"/>
        <v>0.99999999999999989</v>
      </c>
      <c r="Q375" s="165" t="s">
        <v>400</v>
      </c>
      <c r="R375" s="184"/>
      <c r="S375" s="60"/>
      <c r="T375" s="316"/>
      <c r="U375" s="60"/>
      <c r="V375" s="317"/>
      <c r="W375" s="317"/>
      <c r="X375" s="60"/>
      <c r="Y375" s="60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hidden="1" x14ac:dyDescent="0.25">
      <c r="A376" s="216" t="s">
        <v>1257</v>
      </c>
      <c r="B376" s="214" t="s">
        <v>388</v>
      </c>
      <c r="C376" s="147" t="s">
        <v>401</v>
      </c>
      <c r="D376" s="198">
        <v>0.05</v>
      </c>
      <c r="E376" s="198">
        <v>0.25</v>
      </c>
      <c r="F376" s="198">
        <v>0.4</v>
      </c>
      <c r="G376" s="198"/>
      <c r="H376" s="198">
        <v>0.3</v>
      </c>
      <c r="I376" s="198"/>
      <c r="J376" s="198"/>
      <c r="K376" s="198"/>
      <c r="L376" s="198"/>
      <c r="M376" s="198" t="s">
        <v>644</v>
      </c>
      <c r="N376" s="198" t="s">
        <v>645</v>
      </c>
      <c r="O376" s="198" t="s">
        <v>35</v>
      </c>
      <c r="P376" s="196">
        <f t="shared" si="6"/>
        <v>1</v>
      </c>
      <c r="Q376" s="165"/>
      <c r="R376" s="184"/>
      <c r="S376" s="60">
        <v>6020240</v>
      </c>
      <c r="T376" s="316"/>
      <c r="U376" s="60"/>
      <c r="V376" s="60">
        <v>660060</v>
      </c>
      <c r="W376" s="60">
        <v>3001410</v>
      </c>
      <c r="X376" s="60"/>
      <c r="Y376" s="60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ht="30" hidden="1" x14ac:dyDescent="0.25">
      <c r="A377" s="216" t="s">
        <v>1258</v>
      </c>
      <c r="B377" s="214" t="s">
        <v>388</v>
      </c>
      <c r="C377" s="172" t="s">
        <v>402</v>
      </c>
      <c r="D377" s="198">
        <v>0.1</v>
      </c>
      <c r="E377" s="198"/>
      <c r="F377" s="198">
        <v>0.8</v>
      </c>
      <c r="G377" s="198"/>
      <c r="H377" s="198">
        <v>0.1</v>
      </c>
      <c r="I377" s="198"/>
      <c r="J377" s="198"/>
      <c r="K377" s="198"/>
      <c r="L377" s="198"/>
      <c r="M377" s="198" t="s">
        <v>639</v>
      </c>
      <c r="N377" s="198" t="s">
        <v>639</v>
      </c>
      <c r="O377" s="198" t="s">
        <v>35</v>
      </c>
      <c r="P377" s="196">
        <f>SUM(D377:K377)</f>
        <v>1</v>
      </c>
      <c r="Q377" s="165"/>
      <c r="R377" s="184"/>
      <c r="S377" s="317"/>
      <c r="T377" s="318"/>
      <c r="U377" s="317"/>
      <c r="V377" s="317"/>
      <c r="W377" s="317"/>
      <c r="X377" s="60"/>
      <c r="Y377" s="60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ht="30" hidden="1" x14ac:dyDescent="0.25">
      <c r="A378" s="216" t="s">
        <v>1259</v>
      </c>
      <c r="B378" s="214" t="s">
        <v>388</v>
      </c>
      <c r="C378" s="147" t="s">
        <v>403</v>
      </c>
      <c r="D378" s="198">
        <v>0.05</v>
      </c>
      <c r="E378" s="198"/>
      <c r="F378" s="198">
        <v>0.9</v>
      </c>
      <c r="G378" s="198"/>
      <c r="H378" s="198">
        <v>0.05</v>
      </c>
      <c r="I378" s="198"/>
      <c r="J378" s="198"/>
      <c r="K378" s="198"/>
      <c r="L378" s="198"/>
      <c r="M378" s="198" t="s">
        <v>644</v>
      </c>
      <c r="N378" s="198" t="s">
        <v>645</v>
      </c>
      <c r="O378" s="198" t="s">
        <v>35</v>
      </c>
      <c r="P378" s="196">
        <f>SUM(D378:K378)</f>
        <v>1</v>
      </c>
      <c r="Q378" s="165" t="s">
        <v>404</v>
      </c>
      <c r="R378" s="184"/>
      <c r="S378" s="60">
        <v>6045100</v>
      </c>
      <c r="T378" s="316"/>
      <c r="U378" s="60"/>
      <c r="V378" s="60">
        <v>660330</v>
      </c>
      <c r="W378" s="60">
        <v>3001451</v>
      </c>
      <c r="X378" s="60"/>
      <c r="Y378" s="60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hidden="1" x14ac:dyDescent="0.25">
      <c r="A379" s="216" t="s">
        <v>1260</v>
      </c>
      <c r="B379" s="214" t="s">
        <v>388</v>
      </c>
      <c r="C379" s="147" t="s">
        <v>405</v>
      </c>
      <c r="D379" s="198">
        <v>0.05</v>
      </c>
      <c r="E379" s="198"/>
      <c r="F379" s="198">
        <v>0.9</v>
      </c>
      <c r="G379" s="198"/>
      <c r="H379" s="198">
        <v>0.05</v>
      </c>
      <c r="I379" s="198"/>
      <c r="J379" s="198"/>
      <c r="K379" s="198"/>
      <c r="L379" s="198"/>
      <c r="M379" s="198" t="s">
        <v>639</v>
      </c>
      <c r="N379" s="198" t="s">
        <v>639</v>
      </c>
      <c r="O379" s="198" t="s">
        <v>35</v>
      </c>
      <c r="P379" s="196">
        <f>SUM(D379:K379)</f>
        <v>1</v>
      </c>
      <c r="Q379" s="170"/>
      <c r="R379" s="184"/>
      <c r="S379" s="60">
        <v>6045300</v>
      </c>
      <c r="T379" s="316"/>
      <c r="U379" s="60"/>
      <c r="V379" s="60">
        <v>660340</v>
      </c>
      <c r="W379" s="60">
        <v>3001456</v>
      </c>
      <c r="X379" s="60"/>
      <c r="Y379" s="60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ht="51" hidden="1" customHeight="1" x14ac:dyDescent="0.25">
      <c r="A380" s="216" t="s">
        <v>1261</v>
      </c>
      <c r="B380" s="214" t="s">
        <v>388</v>
      </c>
      <c r="C380" s="151" t="s">
        <v>406</v>
      </c>
      <c r="D380" s="198"/>
      <c r="E380" s="198">
        <v>0.1</v>
      </c>
      <c r="F380" s="198">
        <v>0.85</v>
      </c>
      <c r="G380" s="198"/>
      <c r="H380" s="198">
        <v>0.05</v>
      </c>
      <c r="I380" s="198"/>
      <c r="J380" s="198"/>
      <c r="K380" s="198"/>
      <c r="L380" s="198"/>
      <c r="M380" s="198" t="s">
        <v>639</v>
      </c>
      <c r="N380" s="198" t="s">
        <v>639</v>
      </c>
      <c r="O380" s="198" t="s">
        <v>35</v>
      </c>
      <c r="P380" s="196">
        <f>SUM(D380:K380)</f>
        <v>1</v>
      </c>
      <c r="Q380" s="170"/>
      <c r="R380" s="184"/>
      <c r="S380" s="60">
        <v>7035100</v>
      </c>
      <c r="T380" s="316"/>
      <c r="U380" s="60"/>
      <c r="V380" s="60">
        <v>670240</v>
      </c>
      <c r="W380" s="60">
        <v>3001506</v>
      </c>
      <c r="X380" s="60"/>
      <c r="Y380" s="6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hidden="1" x14ac:dyDescent="0.25">
      <c r="A381" s="216"/>
      <c r="B381" s="214"/>
      <c r="C381" s="151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6"/>
      <c r="Q381" s="170"/>
      <c r="R381" s="184"/>
      <c r="S381" s="60"/>
      <c r="T381" s="316"/>
      <c r="U381" s="60"/>
      <c r="V381" s="60"/>
      <c r="W381" s="60"/>
      <c r="X381" s="60"/>
      <c r="Y381" s="60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ht="91.5" hidden="1" customHeight="1" x14ac:dyDescent="0.25">
      <c r="A382" s="192"/>
      <c r="B382" s="194" t="s">
        <v>388</v>
      </c>
      <c r="C382" s="238" t="s">
        <v>755</v>
      </c>
      <c r="D382" s="294" t="s">
        <v>408</v>
      </c>
      <c r="E382" s="294" t="s">
        <v>409</v>
      </c>
      <c r="F382" s="216" t="s">
        <v>756</v>
      </c>
      <c r="G382" s="216"/>
      <c r="H382" s="240"/>
      <c r="I382" s="240"/>
      <c r="J382" s="235"/>
      <c r="K382" s="235"/>
      <c r="L382" s="235"/>
      <c r="M382" s="235"/>
      <c r="N382" s="235"/>
      <c r="O382" s="319"/>
      <c r="P382" s="196"/>
      <c r="Q382" s="207"/>
      <c r="R382" s="251"/>
      <c r="S382" s="21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hidden="1" x14ac:dyDescent="0.25">
      <c r="A383" s="192" t="s">
        <v>1262</v>
      </c>
      <c r="B383" s="194" t="s">
        <v>388</v>
      </c>
      <c r="C383" s="156" t="s">
        <v>410</v>
      </c>
      <c r="D383" s="198">
        <v>0.2</v>
      </c>
      <c r="E383" s="198">
        <v>0.7</v>
      </c>
      <c r="F383" s="198">
        <v>0.1</v>
      </c>
      <c r="G383" s="198"/>
      <c r="H383" s="198"/>
      <c r="I383" s="198"/>
      <c r="J383" s="198"/>
      <c r="K383" s="198"/>
      <c r="L383" s="198"/>
      <c r="M383" s="198" t="s">
        <v>644</v>
      </c>
      <c r="N383" s="198" t="s">
        <v>645</v>
      </c>
      <c r="O383" s="173" t="s">
        <v>122</v>
      </c>
      <c r="P383" s="196">
        <f>SUM(D383:K383)</f>
        <v>0.99999999999999989</v>
      </c>
      <c r="Q383" s="153"/>
      <c r="R383" s="152"/>
      <c r="S383" s="189" t="s">
        <v>976</v>
      </c>
      <c r="T383" s="190" t="s">
        <v>634</v>
      </c>
      <c r="U383" s="190" t="s">
        <v>634</v>
      </c>
      <c r="V383" s="190" t="s">
        <v>977</v>
      </c>
      <c r="W383" s="320" t="s">
        <v>978</v>
      </c>
      <c r="X383" s="146" t="s">
        <v>653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hidden="1" x14ac:dyDescent="0.25">
      <c r="A384" s="192" t="s">
        <v>1263</v>
      </c>
      <c r="B384" s="194" t="s">
        <v>388</v>
      </c>
      <c r="C384" s="156" t="s">
        <v>411</v>
      </c>
      <c r="D384" s="198">
        <v>0.15</v>
      </c>
      <c r="E384" s="198">
        <v>0.75</v>
      </c>
      <c r="F384" s="198">
        <v>0.1</v>
      </c>
      <c r="G384" s="198"/>
      <c r="H384" s="198"/>
      <c r="I384" s="198"/>
      <c r="J384" s="198"/>
      <c r="K384" s="198"/>
      <c r="L384" s="198"/>
      <c r="M384" s="198" t="s">
        <v>644</v>
      </c>
      <c r="N384" s="198" t="s">
        <v>645</v>
      </c>
      <c r="O384" s="173" t="s">
        <v>122</v>
      </c>
      <c r="P384" s="196">
        <f>SUM(D384:K384)</f>
        <v>1</v>
      </c>
      <c r="Q384" s="153"/>
      <c r="R384" s="251"/>
      <c r="S384" s="189" t="s">
        <v>976</v>
      </c>
      <c r="T384" s="190" t="s">
        <v>634</v>
      </c>
      <c r="U384" s="190" t="s">
        <v>634</v>
      </c>
      <c r="V384" s="190" t="s">
        <v>979</v>
      </c>
      <c r="W384" s="320" t="s">
        <v>980</v>
      </c>
      <c r="X384" s="146" t="s">
        <v>653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hidden="1" x14ac:dyDescent="0.25">
      <c r="A385" s="192" t="s">
        <v>1264</v>
      </c>
      <c r="B385" s="194" t="s">
        <v>388</v>
      </c>
      <c r="C385" s="156" t="s">
        <v>412</v>
      </c>
      <c r="D385" s="198">
        <v>0.15</v>
      </c>
      <c r="E385" s="198">
        <v>0.75</v>
      </c>
      <c r="F385" s="198">
        <v>0.1</v>
      </c>
      <c r="G385" s="198"/>
      <c r="H385" s="198"/>
      <c r="I385" s="198"/>
      <c r="J385" s="198"/>
      <c r="K385" s="198"/>
      <c r="L385" s="198"/>
      <c r="M385" s="198" t="s">
        <v>644</v>
      </c>
      <c r="N385" s="198" t="s">
        <v>645</v>
      </c>
      <c r="O385" s="173" t="s">
        <v>122</v>
      </c>
      <c r="P385" s="196">
        <f>SUM(D385:K385)</f>
        <v>1</v>
      </c>
      <c r="Q385" s="153"/>
      <c r="R385" s="251" t="s">
        <v>757</v>
      </c>
      <c r="S385" s="189" t="s">
        <v>976</v>
      </c>
      <c r="T385" s="190" t="s">
        <v>634</v>
      </c>
      <c r="U385" s="190" t="s">
        <v>634</v>
      </c>
      <c r="V385" s="213" t="s">
        <v>758</v>
      </c>
      <c r="W385" s="213" t="s">
        <v>759</v>
      </c>
      <c r="X385" s="146" t="s">
        <v>653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hidden="1" x14ac:dyDescent="0.25">
      <c r="A386" s="192" t="s">
        <v>1265</v>
      </c>
      <c r="B386" s="194" t="s">
        <v>388</v>
      </c>
      <c r="C386" s="156" t="s">
        <v>413</v>
      </c>
      <c r="D386" s="198">
        <v>0.1</v>
      </c>
      <c r="E386" s="198">
        <v>0.8</v>
      </c>
      <c r="F386" s="198">
        <v>0.1</v>
      </c>
      <c r="G386" s="198"/>
      <c r="H386" s="198"/>
      <c r="I386" s="198"/>
      <c r="J386" s="198"/>
      <c r="K386" s="198"/>
      <c r="L386" s="198"/>
      <c r="M386" s="198" t="s">
        <v>644</v>
      </c>
      <c r="N386" s="198" t="s">
        <v>645</v>
      </c>
      <c r="O386" s="173" t="s">
        <v>122</v>
      </c>
      <c r="P386" s="196">
        <f>SUM(D386:K386)</f>
        <v>1</v>
      </c>
      <c r="Q386" s="153"/>
      <c r="R386" s="251" t="s">
        <v>757</v>
      </c>
      <c r="S386" s="189" t="s">
        <v>976</v>
      </c>
      <c r="T386" s="190" t="s">
        <v>634</v>
      </c>
      <c r="U386" s="190" t="s">
        <v>634</v>
      </c>
      <c r="V386" s="213" t="s">
        <v>758</v>
      </c>
      <c r="W386" s="213" t="s">
        <v>759</v>
      </c>
      <c r="X386" s="146" t="s">
        <v>653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  <row r="387" spans="1:180" hidden="1" x14ac:dyDescent="0.25">
      <c r="A387" s="192"/>
      <c r="B387" s="194"/>
      <c r="C387" s="156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73"/>
      <c r="P387" s="196"/>
      <c r="Q387" s="153"/>
      <c r="R387" s="251"/>
      <c r="V387" s="213"/>
      <c r="W387" s="213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</row>
    <row r="388" spans="1:180" ht="114" hidden="1" customHeight="1" x14ac:dyDescent="0.25">
      <c r="A388" s="192"/>
      <c r="B388" s="194" t="s">
        <v>388</v>
      </c>
      <c r="C388" s="238" t="s">
        <v>414</v>
      </c>
      <c r="D388" s="294" t="s">
        <v>415</v>
      </c>
      <c r="E388" s="294" t="s">
        <v>760</v>
      </c>
      <c r="F388" s="294" t="s">
        <v>761</v>
      </c>
      <c r="G388" s="294" t="s">
        <v>416</v>
      </c>
      <c r="H388" s="294"/>
      <c r="I388" s="235"/>
      <c r="J388" s="235"/>
      <c r="K388" s="235"/>
      <c r="L388" s="235"/>
      <c r="M388" s="235"/>
      <c r="N388" s="235"/>
      <c r="O388" s="319"/>
      <c r="P388" s="196"/>
      <c r="Q388" s="207"/>
      <c r="R388" s="251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</row>
    <row r="389" spans="1:180" hidden="1" x14ac:dyDescent="0.25">
      <c r="A389" s="192" t="s">
        <v>1266</v>
      </c>
      <c r="B389" s="194" t="s">
        <v>388</v>
      </c>
      <c r="C389" s="156" t="s">
        <v>417</v>
      </c>
      <c r="D389" s="198">
        <v>0.4</v>
      </c>
      <c r="E389" s="198">
        <v>0.4</v>
      </c>
      <c r="F389" s="198">
        <v>0.05</v>
      </c>
      <c r="G389" s="198">
        <v>0.15</v>
      </c>
      <c r="H389" s="198"/>
      <c r="I389" s="198"/>
      <c r="J389" s="198"/>
      <c r="K389" s="198"/>
      <c r="L389" s="198"/>
      <c r="M389" s="198" t="s">
        <v>639</v>
      </c>
      <c r="N389" s="198" t="s">
        <v>639</v>
      </c>
      <c r="O389" s="173" t="s">
        <v>122</v>
      </c>
      <c r="P389" s="196">
        <f>SUM(D389:K389)</f>
        <v>1</v>
      </c>
      <c r="Q389" s="153" t="s">
        <v>418</v>
      </c>
      <c r="R389" s="251"/>
      <c r="S389" s="189" t="s">
        <v>976</v>
      </c>
      <c r="T389" s="190" t="s">
        <v>634</v>
      </c>
      <c r="U389" s="190" t="s">
        <v>634</v>
      </c>
      <c r="V389" s="190" t="s">
        <v>981</v>
      </c>
      <c r="W389" s="210"/>
      <c r="X389" s="146" t="s">
        <v>653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</row>
    <row r="390" spans="1:180" hidden="1" x14ac:dyDescent="0.25">
      <c r="A390" s="192"/>
      <c r="B390" s="194"/>
      <c r="C390" s="156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73"/>
      <c r="P390" s="196"/>
      <c r="Q390" s="153"/>
      <c r="R390" s="251"/>
      <c r="W390" s="21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</row>
    <row r="391" spans="1:180" ht="45" hidden="1" x14ac:dyDescent="0.25">
      <c r="A391" s="321"/>
      <c r="B391" s="214" t="s">
        <v>388</v>
      </c>
      <c r="C391" s="322" t="s">
        <v>419</v>
      </c>
      <c r="D391" s="323" t="s">
        <v>103</v>
      </c>
      <c r="E391" s="324" t="s">
        <v>420</v>
      </c>
      <c r="F391" s="323" t="s">
        <v>421</v>
      </c>
      <c r="G391" s="324" t="s">
        <v>422</v>
      </c>
      <c r="H391" s="323" t="s">
        <v>423</v>
      </c>
      <c r="I391" s="235"/>
      <c r="J391" s="235"/>
      <c r="K391" s="235"/>
      <c r="L391" s="235"/>
      <c r="M391" s="235"/>
      <c r="N391" s="235"/>
      <c r="O391" s="319"/>
      <c r="P391" s="196"/>
      <c r="Q391" s="207"/>
      <c r="R391" s="296"/>
      <c r="S391" s="189" t="s">
        <v>982</v>
      </c>
      <c r="T391" s="190" t="s">
        <v>634</v>
      </c>
      <c r="U391" s="190" t="s">
        <v>634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</row>
    <row r="392" spans="1:180" hidden="1" x14ac:dyDescent="0.25">
      <c r="A392" s="216" t="s">
        <v>1267</v>
      </c>
      <c r="B392" s="214" t="s">
        <v>388</v>
      </c>
      <c r="C392" s="156" t="s">
        <v>424</v>
      </c>
      <c r="D392" s="198">
        <v>0.05</v>
      </c>
      <c r="E392" s="198">
        <v>0.2</v>
      </c>
      <c r="F392" s="198">
        <v>0.3</v>
      </c>
      <c r="G392" s="198">
        <v>0.4</v>
      </c>
      <c r="H392" s="198">
        <v>0.05</v>
      </c>
      <c r="I392" s="198"/>
      <c r="J392" s="198"/>
      <c r="K392" s="198"/>
      <c r="L392" s="198"/>
      <c r="M392" s="198" t="s">
        <v>639</v>
      </c>
      <c r="N392" s="198" t="s">
        <v>639</v>
      </c>
      <c r="O392" s="173" t="s">
        <v>35</v>
      </c>
      <c r="P392" s="196">
        <f>SUM(D392:K392)</f>
        <v>1</v>
      </c>
      <c r="Q392" s="153" t="s">
        <v>425</v>
      </c>
      <c r="R392" s="251"/>
      <c r="S392" s="189" t="s">
        <v>982</v>
      </c>
      <c r="V392" s="190" t="s">
        <v>983</v>
      </c>
      <c r="W392" s="190" t="s">
        <v>984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</row>
    <row r="393" spans="1:180" hidden="1" x14ac:dyDescent="0.25">
      <c r="A393" s="216" t="s">
        <v>1268</v>
      </c>
      <c r="B393" s="214" t="s">
        <v>388</v>
      </c>
      <c r="C393" s="156" t="s">
        <v>426</v>
      </c>
      <c r="D393" s="198">
        <v>0.05</v>
      </c>
      <c r="E393" s="198"/>
      <c r="F393" s="198">
        <v>0.9</v>
      </c>
      <c r="G393" s="198"/>
      <c r="H393" s="198">
        <v>0.05</v>
      </c>
      <c r="I393" s="198"/>
      <c r="J393" s="198"/>
      <c r="K393" s="198"/>
      <c r="L393" s="198"/>
      <c r="M393" s="198" t="s">
        <v>639</v>
      </c>
      <c r="N393" s="198" t="s">
        <v>639</v>
      </c>
      <c r="O393" s="173" t="s">
        <v>122</v>
      </c>
      <c r="P393" s="196">
        <f>SUM(D393:K393)</f>
        <v>1</v>
      </c>
      <c r="Q393" s="153"/>
      <c r="R393" s="251"/>
      <c r="S393" s="189" t="s">
        <v>982</v>
      </c>
      <c r="V393" s="190" t="s">
        <v>983</v>
      </c>
      <c r="W393" s="190" t="s">
        <v>984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</row>
    <row r="394" spans="1:180" hidden="1" x14ac:dyDescent="0.25">
      <c r="A394" s="216"/>
      <c r="B394" s="214"/>
      <c r="C394" s="156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73"/>
      <c r="P394" s="196"/>
      <c r="Q394" s="153"/>
      <c r="R394" s="251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</row>
    <row r="395" spans="1:180" ht="30" hidden="1" x14ac:dyDescent="0.25">
      <c r="A395" s="216"/>
      <c r="B395" s="214" t="s">
        <v>388</v>
      </c>
      <c r="C395" s="325" t="s">
        <v>427</v>
      </c>
      <c r="D395" s="326" t="s">
        <v>428</v>
      </c>
      <c r="E395" s="326" t="s">
        <v>429</v>
      </c>
      <c r="F395" s="326" t="s">
        <v>17</v>
      </c>
      <c r="G395" s="271"/>
      <c r="H395" s="271"/>
      <c r="I395" s="235"/>
      <c r="J395" s="235"/>
      <c r="K395" s="235"/>
      <c r="L395" s="235"/>
      <c r="M395" s="235"/>
      <c r="N395" s="235"/>
      <c r="O395" s="319"/>
      <c r="P395" s="196"/>
      <c r="Q395" s="207"/>
      <c r="R395" s="251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</row>
    <row r="396" spans="1:180" hidden="1" x14ac:dyDescent="0.25">
      <c r="A396" s="216" t="s">
        <v>1269</v>
      </c>
      <c r="B396" s="214" t="s">
        <v>388</v>
      </c>
      <c r="C396" s="156" t="s">
        <v>430</v>
      </c>
      <c r="D396" s="198">
        <v>0.25</v>
      </c>
      <c r="E396" s="198">
        <v>0.65</v>
      </c>
      <c r="F396" s="198">
        <v>0.1</v>
      </c>
      <c r="G396" s="198"/>
      <c r="H396" s="198"/>
      <c r="I396" s="198"/>
      <c r="J396" s="198"/>
      <c r="K396" s="198"/>
      <c r="L396" s="198"/>
      <c r="M396" s="198" t="s">
        <v>639</v>
      </c>
      <c r="N396" s="198" t="s">
        <v>639</v>
      </c>
      <c r="O396" s="173" t="s">
        <v>122</v>
      </c>
      <c r="P396" s="196">
        <f>SUM(D396:K396)</f>
        <v>1</v>
      </c>
      <c r="Q396" s="153"/>
      <c r="R396" s="251"/>
      <c r="S396" s="189" t="s">
        <v>985</v>
      </c>
      <c r="V396" s="190" t="s">
        <v>986</v>
      </c>
      <c r="W396" s="190" t="s">
        <v>987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</row>
    <row r="397" spans="1:180" hidden="1" x14ac:dyDescent="0.25">
      <c r="A397" s="216" t="s">
        <v>1270</v>
      </c>
      <c r="B397" s="214" t="s">
        <v>388</v>
      </c>
      <c r="C397" s="156" t="s">
        <v>431</v>
      </c>
      <c r="D397" s="198">
        <v>0.1</v>
      </c>
      <c r="E397" s="198">
        <v>0.85</v>
      </c>
      <c r="F397" s="198">
        <v>0.05</v>
      </c>
      <c r="G397" s="198"/>
      <c r="H397" s="198"/>
      <c r="I397" s="198"/>
      <c r="J397" s="198"/>
      <c r="K397" s="198"/>
      <c r="L397" s="198"/>
      <c r="M397" s="198" t="s">
        <v>639</v>
      </c>
      <c r="N397" s="198" t="s">
        <v>639</v>
      </c>
      <c r="O397" s="173" t="s">
        <v>35</v>
      </c>
      <c r="P397" s="196">
        <f>SUM(D397:K397)</f>
        <v>1</v>
      </c>
      <c r="Q397" s="153"/>
      <c r="R397" s="251"/>
      <c r="S397" s="189" t="s">
        <v>985</v>
      </c>
      <c r="V397" s="190" t="s">
        <v>986</v>
      </c>
      <c r="W397" s="190" t="s">
        <v>987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</row>
    <row r="398" spans="1:180" hidden="1" x14ac:dyDescent="0.25">
      <c r="A398" s="216" t="s">
        <v>1271</v>
      </c>
      <c r="B398" s="214" t="s">
        <v>388</v>
      </c>
      <c r="C398" s="156" t="s">
        <v>432</v>
      </c>
      <c r="D398" s="198">
        <v>0.1</v>
      </c>
      <c r="E398" s="198">
        <v>0.85</v>
      </c>
      <c r="F398" s="198">
        <v>0.05</v>
      </c>
      <c r="G398" s="198"/>
      <c r="H398" s="198"/>
      <c r="I398" s="198"/>
      <c r="J398" s="198"/>
      <c r="K398" s="198"/>
      <c r="L398" s="198"/>
      <c r="M398" s="198" t="s">
        <v>639</v>
      </c>
      <c r="N398" s="198" t="s">
        <v>639</v>
      </c>
      <c r="O398" s="173" t="s">
        <v>122</v>
      </c>
      <c r="P398" s="196">
        <f>SUM(D398:K398)</f>
        <v>1</v>
      </c>
      <c r="Q398" s="153"/>
      <c r="R398" s="251"/>
      <c r="S398" s="209"/>
      <c r="T398" s="210"/>
      <c r="U398" s="210"/>
      <c r="V398" s="210"/>
      <c r="W398" s="210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</row>
    <row r="399" spans="1:180" hidden="1" x14ac:dyDescent="0.25">
      <c r="A399" s="216"/>
      <c r="B399" s="214"/>
      <c r="C399" s="156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73"/>
      <c r="P399" s="196"/>
      <c r="Q399" s="153"/>
      <c r="R399" s="251"/>
      <c r="S399" s="209"/>
      <c r="T399" s="210"/>
      <c r="U399" s="210"/>
      <c r="V399" s="210"/>
      <c r="W399" s="210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</row>
    <row r="400" spans="1:180" ht="45" hidden="1" x14ac:dyDescent="0.25">
      <c r="A400" s="216"/>
      <c r="B400" s="214" t="s">
        <v>388</v>
      </c>
      <c r="C400" s="327" t="s">
        <v>433</v>
      </c>
      <c r="D400" s="271" t="s">
        <v>1348</v>
      </c>
      <c r="E400" s="271" t="s">
        <v>1349</v>
      </c>
      <c r="F400" s="271" t="s">
        <v>1350</v>
      </c>
      <c r="G400" s="271" t="s">
        <v>17</v>
      </c>
      <c r="H400" s="271"/>
      <c r="I400" s="235"/>
      <c r="J400" s="206"/>
      <c r="K400" s="206"/>
      <c r="L400" s="206"/>
      <c r="M400" s="206"/>
      <c r="N400" s="206"/>
      <c r="O400" s="238"/>
      <c r="P400" s="196"/>
      <c r="Q400" s="207"/>
      <c r="R400" s="251" t="s">
        <v>762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</row>
    <row r="401" spans="1:180" hidden="1" x14ac:dyDescent="0.25">
      <c r="A401" s="216" t="s">
        <v>436</v>
      </c>
      <c r="B401" s="214" t="s">
        <v>388</v>
      </c>
      <c r="C401" s="156" t="s">
        <v>433</v>
      </c>
      <c r="D401" s="198">
        <v>0.1</v>
      </c>
      <c r="E401" s="198">
        <v>0.75</v>
      </c>
      <c r="F401" s="198">
        <v>0.1</v>
      </c>
      <c r="G401" s="198">
        <v>0.05</v>
      </c>
      <c r="H401" s="198"/>
      <c r="I401" s="198"/>
      <c r="J401" s="198"/>
      <c r="K401" s="198"/>
      <c r="L401" s="198"/>
      <c r="M401" s="198" t="s">
        <v>644</v>
      </c>
      <c r="N401" s="198" t="s">
        <v>645</v>
      </c>
      <c r="O401" s="173" t="s">
        <v>35</v>
      </c>
      <c r="P401" s="196">
        <f>SUM(D401:K401)</f>
        <v>1</v>
      </c>
      <c r="Q401" s="153"/>
      <c r="R401" s="251"/>
      <c r="S401" s="189" t="s">
        <v>988</v>
      </c>
      <c r="T401" s="190" t="s">
        <v>634</v>
      </c>
      <c r="U401" s="190" t="s">
        <v>634</v>
      </c>
      <c r="V401" s="190" t="s">
        <v>989</v>
      </c>
      <c r="W401" s="213" t="s">
        <v>763</v>
      </c>
      <c r="X401" s="146" t="s">
        <v>764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</row>
    <row r="402" spans="1:180" hidden="1" x14ac:dyDescent="0.25">
      <c r="A402" s="216"/>
      <c r="B402" s="214"/>
      <c r="C402" s="156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73"/>
      <c r="P402" s="196"/>
      <c r="Q402" s="153"/>
      <c r="R402" s="251"/>
      <c r="W402" s="213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</row>
    <row r="403" spans="1:180" ht="30" hidden="1" x14ac:dyDescent="0.25">
      <c r="A403" s="216"/>
      <c r="B403" s="214" t="s">
        <v>388</v>
      </c>
      <c r="C403" s="327" t="s">
        <v>437</v>
      </c>
      <c r="D403" s="271" t="s">
        <v>103</v>
      </c>
      <c r="E403" s="271" t="s">
        <v>438</v>
      </c>
      <c r="F403" s="271" t="s">
        <v>174</v>
      </c>
      <c r="G403" s="271" t="s">
        <v>439</v>
      </c>
      <c r="H403" s="271" t="s">
        <v>440</v>
      </c>
      <c r="I403" s="272" t="s">
        <v>441</v>
      </c>
      <c r="J403" s="272" t="s">
        <v>442</v>
      </c>
      <c r="K403" s="272" t="s">
        <v>17</v>
      </c>
      <c r="L403" s="272"/>
      <c r="M403" s="272"/>
      <c r="N403" s="272"/>
      <c r="O403" s="238"/>
      <c r="P403" s="196"/>
      <c r="Q403" s="207"/>
      <c r="R403" s="251" t="s">
        <v>762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</row>
    <row r="404" spans="1:180" hidden="1" x14ac:dyDescent="0.25">
      <c r="A404" s="216" t="s">
        <v>1272</v>
      </c>
      <c r="B404" s="214" t="s">
        <v>388</v>
      </c>
      <c r="C404" s="156" t="s">
        <v>443</v>
      </c>
      <c r="D404" s="198">
        <v>0.1</v>
      </c>
      <c r="E404" s="198">
        <v>0.5</v>
      </c>
      <c r="F404" s="198">
        <v>0.35</v>
      </c>
      <c r="G404" s="198"/>
      <c r="H404" s="198"/>
      <c r="I404" s="198"/>
      <c r="J404" s="198"/>
      <c r="K404" s="198">
        <v>0.05</v>
      </c>
      <c r="L404" s="198"/>
      <c r="M404" s="198" t="s">
        <v>639</v>
      </c>
      <c r="N404" s="198" t="s">
        <v>639</v>
      </c>
      <c r="O404" s="173" t="s">
        <v>35</v>
      </c>
      <c r="P404" s="196">
        <f>SUM(D404:K404)</f>
        <v>1</v>
      </c>
      <c r="Q404" s="199"/>
      <c r="R404" s="251"/>
      <c r="S404" s="189" t="s">
        <v>990</v>
      </c>
      <c r="V404" s="190" t="s">
        <v>991</v>
      </c>
      <c r="W404" s="190" t="s">
        <v>992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</row>
    <row r="405" spans="1:180" hidden="1" x14ac:dyDescent="0.25">
      <c r="A405" s="216" t="s">
        <v>1273</v>
      </c>
      <c r="B405" s="214" t="s">
        <v>388</v>
      </c>
      <c r="C405" s="156" t="s">
        <v>444</v>
      </c>
      <c r="D405" s="198">
        <v>0.1</v>
      </c>
      <c r="E405" s="198">
        <v>0.4</v>
      </c>
      <c r="F405" s="198">
        <v>0.25</v>
      </c>
      <c r="G405" s="198">
        <v>0.12</v>
      </c>
      <c r="H405" s="198">
        <v>0.08</v>
      </c>
      <c r="I405" s="198"/>
      <c r="J405" s="198"/>
      <c r="K405" s="198">
        <v>0.05</v>
      </c>
      <c r="L405" s="198"/>
      <c r="M405" s="198" t="s">
        <v>639</v>
      </c>
      <c r="N405" s="198" t="s">
        <v>639</v>
      </c>
      <c r="O405" s="173" t="s">
        <v>35</v>
      </c>
      <c r="P405" s="196">
        <f>SUM(D405:K405)</f>
        <v>1</v>
      </c>
      <c r="Q405" s="199"/>
      <c r="R405" s="251"/>
      <c r="S405" s="189" t="s">
        <v>990</v>
      </c>
      <c r="V405" s="190" t="s">
        <v>991</v>
      </c>
      <c r="W405" s="190" t="s">
        <v>992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</row>
    <row r="406" spans="1:180" hidden="1" x14ac:dyDescent="0.25">
      <c r="A406" s="216" t="s">
        <v>1274</v>
      </c>
      <c r="B406" s="214" t="s">
        <v>388</v>
      </c>
      <c r="C406" s="156" t="s">
        <v>445</v>
      </c>
      <c r="D406" s="198">
        <v>0.1</v>
      </c>
      <c r="E406" s="198">
        <v>0.5</v>
      </c>
      <c r="F406" s="198">
        <v>0.15</v>
      </c>
      <c r="G406" s="198">
        <v>0.2</v>
      </c>
      <c r="H406" s="198"/>
      <c r="I406" s="198"/>
      <c r="J406" s="198"/>
      <c r="K406" s="198">
        <v>0.05</v>
      </c>
      <c r="L406" s="198"/>
      <c r="M406" s="198" t="s">
        <v>639</v>
      </c>
      <c r="N406" s="198" t="s">
        <v>639</v>
      </c>
      <c r="O406" s="173" t="s">
        <v>35</v>
      </c>
      <c r="P406" s="196">
        <f>SUM(D406:K406)</f>
        <v>1</v>
      </c>
      <c r="Q406" s="199"/>
      <c r="R406" s="251"/>
      <c r="S406" s="189" t="s">
        <v>990</v>
      </c>
      <c r="V406" s="190" t="s">
        <v>991</v>
      </c>
      <c r="W406" s="190" t="s">
        <v>992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</row>
    <row r="407" spans="1:180" hidden="1" x14ac:dyDescent="0.25">
      <c r="A407" s="216" t="s">
        <v>1275</v>
      </c>
      <c r="B407" s="214" t="s">
        <v>388</v>
      </c>
      <c r="C407" s="156" t="s">
        <v>446</v>
      </c>
      <c r="D407" s="198"/>
      <c r="E407" s="198"/>
      <c r="F407" s="198"/>
      <c r="G407" s="198"/>
      <c r="H407" s="198"/>
      <c r="I407" s="198">
        <v>0.85</v>
      </c>
      <c r="J407" s="198">
        <v>0.1</v>
      </c>
      <c r="K407" s="198">
        <v>0.05</v>
      </c>
      <c r="L407" s="198"/>
      <c r="M407" s="198" t="s">
        <v>644</v>
      </c>
      <c r="N407" s="198" t="s">
        <v>655</v>
      </c>
      <c r="O407" s="173" t="s">
        <v>35</v>
      </c>
      <c r="P407" s="196">
        <f>SUM(D407:K407)</f>
        <v>1</v>
      </c>
      <c r="Q407" s="199"/>
      <c r="R407" s="251"/>
      <c r="S407" s="189" t="s">
        <v>990</v>
      </c>
      <c r="V407" s="190" t="s">
        <v>991</v>
      </c>
      <c r="W407" s="190" t="s">
        <v>992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</row>
    <row r="408" spans="1:180" hidden="1" x14ac:dyDescent="0.25">
      <c r="A408" s="216" t="s">
        <v>1276</v>
      </c>
      <c r="B408" s="214" t="s">
        <v>388</v>
      </c>
      <c r="C408" s="156" t="s">
        <v>447</v>
      </c>
      <c r="D408" s="198"/>
      <c r="E408" s="198"/>
      <c r="F408" s="198"/>
      <c r="G408" s="198"/>
      <c r="H408" s="198"/>
      <c r="I408" s="198">
        <v>0.9</v>
      </c>
      <c r="J408" s="198"/>
      <c r="K408" s="198">
        <v>0.1</v>
      </c>
      <c r="L408" s="198"/>
      <c r="M408" s="198" t="s">
        <v>644</v>
      </c>
      <c r="N408" s="198" t="s">
        <v>655</v>
      </c>
      <c r="O408" s="173" t="s">
        <v>35</v>
      </c>
      <c r="P408" s="196">
        <f>SUM(D408:K408)</f>
        <v>1</v>
      </c>
      <c r="Q408" s="199"/>
      <c r="R408" s="251"/>
      <c r="S408" s="209"/>
      <c r="T408" s="210"/>
      <c r="U408" s="210"/>
      <c r="V408" s="210"/>
      <c r="W408" s="210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</row>
    <row r="409" spans="1:180" hidden="1" x14ac:dyDescent="0.25">
      <c r="A409" s="216"/>
      <c r="B409" s="214"/>
      <c r="C409" s="156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73"/>
      <c r="P409" s="196"/>
      <c r="Q409" s="199"/>
      <c r="R409" s="251"/>
      <c r="S409" s="209"/>
      <c r="T409" s="210"/>
      <c r="U409" s="210"/>
      <c r="V409" s="210"/>
      <c r="W409" s="210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</row>
    <row r="410" spans="1:180" ht="45" hidden="1" x14ac:dyDescent="0.25">
      <c r="A410" s="216"/>
      <c r="B410" s="214" t="s">
        <v>388</v>
      </c>
      <c r="C410" s="238" t="s">
        <v>448</v>
      </c>
      <c r="D410" s="235" t="s">
        <v>449</v>
      </c>
      <c r="E410" s="235" t="s">
        <v>450</v>
      </c>
      <c r="F410" s="235" t="s">
        <v>451</v>
      </c>
      <c r="G410" s="235" t="s">
        <v>17</v>
      </c>
      <c r="H410" s="235"/>
      <c r="I410" s="235"/>
      <c r="J410" s="206"/>
      <c r="K410" s="206"/>
      <c r="L410" s="206"/>
      <c r="M410" s="206"/>
      <c r="N410" s="206"/>
      <c r="O410" s="206"/>
      <c r="P410" s="196">
        <f>SUM(D410:J410)</f>
        <v>0</v>
      </c>
      <c r="Q410" s="207"/>
      <c r="R410" s="251"/>
      <c r="AA410" s="191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</row>
    <row r="411" spans="1:180" hidden="1" x14ac:dyDescent="0.25">
      <c r="A411" s="216" t="s">
        <v>1277</v>
      </c>
      <c r="B411" s="214" t="s">
        <v>388</v>
      </c>
      <c r="C411" s="156" t="s">
        <v>452</v>
      </c>
      <c r="D411" s="198">
        <v>0.2</v>
      </c>
      <c r="E411" s="198">
        <v>0.3</v>
      </c>
      <c r="F411" s="198">
        <v>0.4</v>
      </c>
      <c r="G411" s="198">
        <v>0.1</v>
      </c>
      <c r="H411" s="198"/>
      <c r="I411" s="198"/>
      <c r="J411" s="198"/>
      <c r="K411" s="198"/>
      <c r="L411" s="198"/>
      <c r="M411" s="198" t="s">
        <v>639</v>
      </c>
      <c r="N411" s="198" t="s">
        <v>639</v>
      </c>
      <c r="O411" s="173" t="s">
        <v>122</v>
      </c>
      <c r="P411" s="196">
        <f>SUM(D411:K411)</f>
        <v>1</v>
      </c>
      <c r="Q411" s="199"/>
      <c r="R411" s="251"/>
      <c r="S411" s="209"/>
      <c r="T411" s="210"/>
      <c r="U411" s="210"/>
      <c r="V411" s="210"/>
      <c r="W411" s="210"/>
      <c r="AA411" s="19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</row>
    <row r="412" spans="1:180" hidden="1" x14ac:dyDescent="0.25">
      <c r="A412" s="216" t="s">
        <v>1278</v>
      </c>
      <c r="B412" s="214" t="s">
        <v>388</v>
      </c>
      <c r="C412" s="156" t="s">
        <v>453</v>
      </c>
      <c r="D412" s="198">
        <v>0.2</v>
      </c>
      <c r="E412" s="198">
        <v>0.5</v>
      </c>
      <c r="F412" s="198">
        <v>0.2</v>
      </c>
      <c r="G412" s="198">
        <v>0.1</v>
      </c>
      <c r="H412" s="198"/>
      <c r="I412" s="198"/>
      <c r="J412" s="198"/>
      <c r="K412" s="198"/>
      <c r="L412" s="198"/>
      <c r="M412" s="198" t="s">
        <v>639</v>
      </c>
      <c r="N412" s="198" t="s">
        <v>639</v>
      </c>
      <c r="O412" s="173" t="s">
        <v>122</v>
      </c>
      <c r="P412" s="196">
        <f>SUM(D412:K412)</f>
        <v>0.99999999999999989</v>
      </c>
      <c r="Q412" s="199"/>
      <c r="R412" s="251"/>
      <c r="S412" s="209"/>
      <c r="T412" s="210"/>
      <c r="U412" s="210"/>
      <c r="V412" s="210"/>
      <c r="W412" s="210"/>
      <c r="AA412" s="191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</row>
    <row r="413" spans="1:180" hidden="1" x14ac:dyDescent="0.25">
      <c r="A413" s="216"/>
      <c r="B413" s="214"/>
      <c r="C413" s="156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73"/>
      <c r="P413" s="196"/>
      <c r="Q413" s="199"/>
      <c r="R413" s="251"/>
      <c r="S413" s="209"/>
      <c r="T413" s="210"/>
      <c r="U413" s="210"/>
      <c r="V413" s="210"/>
      <c r="W413" s="210"/>
      <c r="AA413" s="191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</row>
    <row r="414" spans="1:180" ht="57.75" hidden="1" customHeight="1" x14ac:dyDescent="0.25">
      <c r="A414" s="216"/>
      <c r="B414" s="214" t="s">
        <v>388</v>
      </c>
      <c r="C414" s="238" t="s">
        <v>154</v>
      </c>
      <c r="D414" s="235" t="s">
        <v>454</v>
      </c>
      <c r="E414" s="235" t="s">
        <v>55</v>
      </c>
      <c r="F414" s="235" t="s">
        <v>765</v>
      </c>
      <c r="G414" s="235" t="s">
        <v>455</v>
      </c>
      <c r="H414" s="235" t="s">
        <v>761</v>
      </c>
      <c r="I414" s="235" t="s">
        <v>416</v>
      </c>
      <c r="J414" s="235"/>
      <c r="K414" s="206"/>
      <c r="L414" s="206"/>
      <c r="M414" s="206"/>
      <c r="N414" s="206"/>
      <c r="O414" s="206"/>
      <c r="P414" s="196">
        <f>SUM(D414:I414)</f>
        <v>0</v>
      </c>
      <c r="Q414" s="207"/>
      <c r="R414" s="251"/>
      <c r="AA414" s="191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</row>
    <row r="415" spans="1:180" hidden="1" x14ac:dyDescent="0.25">
      <c r="A415" s="216" t="s">
        <v>1279</v>
      </c>
      <c r="B415" s="214" t="s">
        <v>388</v>
      </c>
      <c r="C415" s="385" t="s">
        <v>393</v>
      </c>
      <c r="D415" s="198">
        <v>0.3</v>
      </c>
      <c r="E415" s="198">
        <v>0.65</v>
      </c>
      <c r="F415" s="198"/>
      <c r="G415" s="198"/>
      <c r="H415" s="198"/>
      <c r="I415" s="198">
        <v>0.05</v>
      </c>
      <c r="J415" s="198"/>
      <c r="K415" s="198"/>
      <c r="L415" s="198"/>
      <c r="M415" s="198" t="s">
        <v>639</v>
      </c>
      <c r="N415" s="198" t="s">
        <v>639</v>
      </c>
      <c r="O415" s="173" t="s">
        <v>35</v>
      </c>
      <c r="P415" s="196">
        <f>SUM(D415:K415)</f>
        <v>1</v>
      </c>
      <c r="Q415" s="199"/>
      <c r="R415" s="251"/>
      <c r="S415" s="189" t="s">
        <v>766</v>
      </c>
      <c r="T415" s="190" t="s">
        <v>634</v>
      </c>
      <c r="U415" s="190" t="s">
        <v>634</v>
      </c>
      <c r="V415" s="190" t="s">
        <v>993</v>
      </c>
      <c r="W415" s="213" t="s">
        <v>767</v>
      </c>
      <c r="X415" s="146" t="s">
        <v>768</v>
      </c>
      <c r="AA415" s="191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</row>
    <row r="416" spans="1:180" hidden="1" x14ac:dyDescent="0.25">
      <c r="A416" s="216" t="s">
        <v>1280</v>
      </c>
      <c r="B416" s="214" t="s">
        <v>388</v>
      </c>
      <c r="C416" s="156" t="s">
        <v>456</v>
      </c>
      <c r="D416" s="198"/>
      <c r="E416" s="328">
        <v>0.45</v>
      </c>
      <c r="F416" s="328">
        <v>0.1</v>
      </c>
      <c r="G416" s="328">
        <v>0.3</v>
      </c>
      <c r="H416" s="328">
        <v>0.05</v>
      </c>
      <c r="I416" s="198">
        <v>0.1</v>
      </c>
      <c r="J416" s="198"/>
      <c r="K416" s="198"/>
      <c r="L416" s="198"/>
      <c r="M416" s="198" t="s">
        <v>644</v>
      </c>
      <c r="N416" s="198" t="s">
        <v>655</v>
      </c>
      <c r="O416" s="173" t="s">
        <v>35</v>
      </c>
      <c r="P416" s="196">
        <f>SUM(D416:K416)</f>
        <v>1.0000000000000002</v>
      </c>
      <c r="Q416" s="199"/>
      <c r="R416" s="251"/>
      <c r="S416" s="189" t="s">
        <v>766</v>
      </c>
      <c r="T416" s="190" t="s">
        <v>634</v>
      </c>
      <c r="U416" s="190" t="s">
        <v>634</v>
      </c>
      <c r="V416" s="190" t="s">
        <v>993</v>
      </c>
      <c r="W416" s="213" t="s">
        <v>767</v>
      </c>
      <c r="X416" s="146" t="s">
        <v>768</v>
      </c>
      <c r="AA416" s="191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</row>
    <row r="417" spans="1:180" hidden="1" x14ac:dyDescent="0.25">
      <c r="A417" s="216"/>
      <c r="B417" s="214"/>
      <c r="C417" s="156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73"/>
      <c r="P417" s="196"/>
      <c r="Q417" s="199"/>
      <c r="R417" s="251"/>
      <c r="W417" s="213"/>
      <c r="AA417" s="191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</row>
    <row r="418" spans="1:180" ht="30" hidden="1" x14ac:dyDescent="0.25">
      <c r="A418" s="216"/>
      <c r="B418" s="214" t="s">
        <v>388</v>
      </c>
      <c r="C418" s="238" t="s">
        <v>457</v>
      </c>
      <c r="D418" s="235" t="s">
        <v>434</v>
      </c>
      <c r="E418" s="235" t="s">
        <v>435</v>
      </c>
      <c r="F418" s="235" t="s">
        <v>17</v>
      </c>
      <c r="G418" s="235"/>
      <c r="H418" s="235"/>
      <c r="I418" s="235"/>
      <c r="J418" s="206"/>
      <c r="K418" s="206"/>
      <c r="L418" s="206"/>
      <c r="M418" s="206"/>
      <c r="N418" s="206"/>
      <c r="O418" s="206"/>
      <c r="P418" s="196">
        <f>SUM(D418:J418)</f>
        <v>0</v>
      </c>
      <c r="Q418" s="207"/>
      <c r="R418" s="251"/>
      <c r="AA418" s="191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</row>
    <row r="419" spans="1:180" hidden="1" x14ac:dyDescent="0.25">
      <c r="A419" s="216" t="s">
        <v>1281</v>
      </c>
      <c r="B419" s="214" t="s">
        <v>388</v>
      </c>
      <c r="C419" s="156" t="s">
        <v>458</v>
      </c>
      <c r="D419" s="198">
        <v>0.9</v>
      </c>
      <c r="E419" s="198">
        <v>0.05</v>
      </c>
      <c r="F419" s="198">
        <v>0.05</v>
      </c>
      <c r="G419" s="198"/>
      <c r="H419" s="198"/>
      <c r="I419" s="198"/>
      <c r="J419" s="198"/>
      <c r="K419" s="198"/>
      <c r="L419" s="198"/>
      <c r="M419" s="198" t="s">
        <v>639</v>
      </c>
      <c r="N419" s="198" t="s">
        <v>639</v>
      </c>
      <c r="O419" s="173" t="s">
        <v>35</v>
      </c>
      <c r="P419" s="196">
        <f>SUM(D419:K419)</f>
        <v>1</v>
      </c>
      <c r="Q419" s="199"/>
      <c r="R419" s="251"/>
      <c r="S419" s="189" t="s">
        <v>766</v>
      </c>
      <c r="T419" s="190" t="s">
        <v>634</v>
      </c>
      <c r="U419" s="190" t="s">
        <v>634</v>
      </c>
      <c r="V419" s="190" t="s">
        <v>993</v>
      </c>
      <c r="W419" s="213" t="s">
        <v>767</v>
      </c>
      <c r="X419" s="146" t="s">
        <v>768</v>
      </c>
      <c r="AA419" s="191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</row>
    <row r="420" spans="1:180" hidden="1" x14ac:dyDescent="0.25">
      <c r="A420" s="216"/>
      <c r="B420" s="214"/>
      <c r="C420" s="156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96">
        <f>SUM(D420:J420)</f>
        <v>0</v>
      </c>
      <c r="Q420" s="153"/>
      <c r="R420" s="152"/>
      <c r="AA420" s="191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</row>
    <row r="421" spans="1:180" hidden="1" x14ac:dyDescent="0.25">
      <c r="A421" s="185"/>
      <c r="B421" s="186" t="s">
        <v>459</v>
      </c>
      <c r="C421" s="187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96">
        <f>SUM(D421:J421)</f>
        <v>0</v>
      </c>
      <c r="Q421" s="185"/>
      <c r="R421" s="152"/>
      <c r="AA421" s="19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</row>
    <row r="422" spans="1:180" ht="30" hidden="1" x14ac:dyDescent="0.25">
      <c r="A422" s="240"/>
      <c r="B422" s="214" t="s">
        <v>459</v>
      </c>
      <c r="C422" s="329"/>
      <c r="D422" s="216" t="s">
        <v>103</v>
      </c>
      <c r="E422" s="216" t="s">
        <v>55</v>
      </c>
      <c r="F422" s="216" t="s">
        <v>222</v>
      </c>
      <c r="G422" s="216" t="s">
        <v>460</v>
      </c>
      <c r="H422" s="216" t="s">
        <v>181</v>
      </c>
      <c r="I422" s="216" t="s">
        <v>17</v>
      </c>
      <c r="J422" s="240"/>
      <c r="K422" s="240"/>
      <c r="L422" s="240"/>
      <c r="M422" s="240"/>
      <c r="N422" s="240"/>
      <c r="O422" s="240"/>
      <c r="P422" s="236">
        <f>SUM(D422:J422)</f>
        <v>0</v>
      </c>
      <c r="Q422" s="240"/>
      <c r="R422" s="152"/>
      <c r="AA422" s="191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</row>
    <row r="423" spans="1:180" hidden="1" x14ac:dyDescent="0.25">
      <c r="A423" s="192" t="s">
        <v>1282</v>
      </c>
      <c r="B423" s="194" t="s">
        <v>459</v>
      </c>
      <c r="C423" s="156" t="s">
        <v>461</v>
      </c>
      <c r="D423" s="198">
        <v>0.05</v>
      </c>
      <c r="E423" s="198">
        <v>0.45</v>
      </c>
      <c r="F423" s="198">
        <v>0.35</v>
      </c>
      <c r="G423" s="198"/>
      <c r="H423" s="198">
        <v>0.1</v>
      </c>
      <c r="I423" s="198">
        <v>0.05</v>
      </c>
      <c r="J423" s="198"/>
      <c r="K423" s="198"/>
      <c r="L423" s="198"/>
      <c r="M423" s="198" t="s">
        <v>644</v>
      </c>
      <c r="N423" s="198" t="s">
        <v>645</v>
      </c>
      <c r="O423" s="198" t="s">
        <v>122</v>
      </c>
      <c r="P423" s="196">
        <f t="shared" ref="P423:P432" si="7">SUM(D423:K423)</f>
        <v>1</v>
      </c>
      <c r="Q423" s="199"/>
      <c r="R423" s="251"/>
      <c r="S423" s="189" t="s">
        <v>994</v>
      </c>
      <c r="T423" s="190" t="s">
        <v>634</v>
      </c>
      <c r="U423" s="190" t="s">
        <v>634</v>
      </c>
      <c r="V423" s="190" t="s">
        <v>995</v>
      </c>
      <c r="W423" s="190" t="s">
        <v>996</v>
      </c>
      <c r="X423" s="146" t="s">
        <v>653</v>
      </c>
      <c r="AA423" s="191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</row>
    <row r="424" spans="1:180" hidden="1" x14ac:dyDescent="0.25">
      <c r="A424" s="192" t="s">
        <v>1283</v>
      </c>
      <c r="B424" s="194" t="s">
        <v>459</v>
      </c>
      <c r="C424" s="156" t="s">
        <v>462</v>
      </c>
      <c r="D424" s="198">
        <v>0.05</v>
      </c>
      <c r="E424" s="198">
        <v>0.4</v>
      </c>
      <c r="F424" s="198">
        <v>0.5</v>
      </c>
      <c r="G424" s="198"/>
      <c r="H424" s="198"/>
      <c r="I424" s="198">
        <v>0.05</v>
      </c>
      <c r="J424" s="198"/>
      <c r="K424" s="198"/>
      <c r="L424" s="198"/>
      <c r="M424" s="198" t="s">
        <v>644</v>
      </c>
      <c r="N424" s="198" t="s">
        <v>645</v>
      </c>
      <c r="O424" s="198" t="s">
        <v>122</v>
      </c>
      <c r="P424" s="196">
        <f t="shared" si="7"/>
        <v>1</v>
      </c>
      <c r="Q424" s="199"/>
      <c r="R424" s="251"/>
      <c r="S424" s="189" t="s">
        <v>994</v>
      </c>
      <c r="T424" s="190" t="s">
        <v>634</v>
      </c>
      <c r="U424" s="190" t="s">
        <v>634</v>
      </c>
      <c r="V424" s="190" t="s">
        <v>995</v>
      </c>
      <c r="W424" s="190" t="s">
        <v>996</v>
      </c>
      <c r="X424" s="146" t="s">
        <v>653</v>
      </c>
      <c r="AA424" s="191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</row>
    <row r="425" spans="1:180" hidden="1" x14ac:dyDescent="0.25">
      <c r="A425" s="192" t="s">
        <v>1284</v>
      </c>
      <c r="B425" s="194" t="s">
        <v>459</v>
      </c>
      <c r="C425" s="156" t="s">
        <v>463</v>
      </c>
      <c r="D425" s="198">
        <v>0.05</v>
      </c>
      <c r="E425" s="198">
        <v>0.85</v>
      </c>
      <c r="F425" s="198"/>
      <c r="G425" s="198"/>
      <c r="H425" s="198"/>
      <c r="I425" s="198">
        <v>0.1</v>
      </c>
      <c r="J425" s="198"/>
      <c r="K425" s="198"/>
      <c r="L425" s="198"/>
      <c r="M425" s="198" t="s">
        <v>639</v>
      </c>
      <c r="N425" s="198" t="s">
        <v>639</v>
      </c>
      <c r="O425" s="198" t="s">
        <v>122</v>
      </c>
      <c r="P425" s="196">
        <f t="shared" si="7"/>
        <v>1</v>
      </c>
      <c r="Q425" s="199"/>
      <c r="R425" s="251"/>
      <c r="S425" s="189" t="s">
        <v>997</v>
      </c>
      <c r="T425" s="190" t="s">
        <v>634</v>
      </c>
      <c r="U425" s="190" t="s">
        <v>634</v>
      </c>
      <c r="V425" s="190" t="s">
        <v>998</v>
      </c>
      <c r="W425" s="190" t="s">
        <v>999</v>
      </c>
      <c r="X425" s="330" t="s">
        <v>769</v>
      </c>
      <c r="AA425" s="191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</row>
    <row r="426" spans="1:180" hidden="1" x14ac:dyDescent="0.25">
      <c r="A426" s="192" t="s">
        <v>1285</v>
      </c>
      <c r="B426" s="194" t="s">
        <v>459</v>
      </c>
      <c r="C426" s="156" t="s">
        <v>464</v>
      </c>
      <c r="D426" s="198">
        <v>0.05</v>
      </c>
      <c r="E426" s="198">
        <v>0.3</v>
      </c>
      <c r="F426" s="198"/>
      <c r="G426" s="198">
        <v>0.45</v>
      </c>
      <c r="H426" s="198">
        <v>0.1</v>
      </c>
      <c r="I426" s="198">
        <v>0.1</v>
      </c>
      <c r="J426" s="198"/>
      <c r="K426" s="198"/>
      <c r="L426" s="198"/>
      <c r="M426" s="198" t="s">
        <v>639</v>
      </c>
      <c r="N426" s="198" t="s">
        <v>639</v>
      </c>
      <c r="O426" s="198" t="s">
        <v>122</v>
      </c>
      <c r="P426" s="196">
        <f t="shared" si="7"/>
        <v>1</v>
      </c>
      <c r="Q426" s="199"/>
      <c r="R426" s="251"/>
      <c r="S426" s="189" t="s">
        <v>997</v>
      </c>
      <c r="T426" s="190" t="s">
        <v>634</v>
      </c>
      <c r="U426" s="190" t="s">
        <v>634</v>
      </c>
      <c r="V426" s="190" t="s">
        <v>998</v>
      </c>
      <c r="W426" s="190" t="s">
        <v>999</v>
      </c>
      <c r="X426" s="330" t="s">
        <v>769</v>
      </c>
      <c r="AA426" s="191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</row>
    <row r="427" spans="1:180" hidden="1" x14ac:dyDescent="0.25">
      <c r="A427" s="192" t="s">
        <v>1286</v>
      </c>
      <c r="B427" s="194" t="s">
        <v>459</v>
      </c>
      <c r="C427" s="156" t="s">
        <v>465</v>
      </c>
      <c r="D427" s="198">
        <v>0.05</v>
      </c>
      <c r="E427" s="198">
        <v>0.55000000000000004</v>
      </c>
      <c r="F427" s="198"/>
      <c r="G427" s="198">
        <v>0.2</v>
      </c>
      <c r="H427" s="198">
        <v>0.1</v>
      </c>
      <c r="I427" s="198">
        <v>0.1</v>
      </c>
      <c r="J427" s="198"/>
      <c r="K427" s="198"/>
      <c r="L427" s="198"/>
      <c r="M427" s="198" t="s">
        <v>639</v>
      </c>
      <c r="N427" s="198" t="s">
        <v>639</v>
      </c>
      <c r="O427" s="198" t="s">
        <v>122</v>
      </c>
      <c r="P427" s="196">
        <f t="shared" si="7"/>
        <v>1</v>
      </c>
      <c r="Q427" s="199"/>
      <c r="R427" s="251"/>
      <c r="S427" s="189" t="s">
        <v>1000</v>
      </c>
      <c r="T427" s="190" t="s">
        <v>634</v>
      </c>
      <c r="U427" s="190" t="s">
        <v>634</v>
      </c>
      <c r="V427" s="190" t="s">
        <v>1001</v>
      </c>
      <c r="W427" s="190" t="s">
        <v>1002</v>
      </c>
      <c r="X427" s="330" t="s">
        <v>770</v>
      </c>
      <c r="AA427" s="191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</row>
    <row r="428" spans="1:180" hidden="1" x14ac:dyDescent="0.25">
      <c r="A428" s="192" t="s">
        <v>1287</v>
      </c>
      <c r="B428" s="194" t="s">
        <v>459</v>
      </c>
      <c r="C428" s="156" t="s">
        <v>466</v>
      </c>
      <c r="D428" s="198">
        <v>0.05</v>
      </c>
      <c r="E428" s="198">
        <v>0.85</v>
      </c>
      <c r="F428" s="198"/>
      <c r="G428" s="198"/>
      <c r="H428" s="198"/>
      <c r="I428" s="198">
        <v>0.1</v>
      </c>
      <c r="J428" s="198"/>
      <c r="K428" s="198"/>
      <c r="L428" s="198"/>
      <c r="M428" s="198" t="s">
        <v>639</v>
      </c>
      <c r="N428" s="198" t="s">
        <v>639</v>
      </c>
      <c r="O428" s="198" t="s">
        <v>122</v>
      </c>
      <c r="P428" s="196">
        <f t="shared" si="7"/>
        <v>1</v>
      </c>
      <c r="Q428" s="199"/>
      <c r="R428" s="251"/>
      <c r="S428" s="189" t="s">
        <v>1003</v>
      </c>
      <c r="T428" s="190" t="s">
        <v>634</v>
      </c>
      <c r="U428" s="190" t="s">
        <v>634</v>
      </c>
      <c r="V428" s="190" t="s">
        <v>1004</v>
      </c>
      <c r="W428" s="190" t="s">
        <v>1005</v>
      </c>
      <c r="AA428" s="191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</row>
    <row r="429" spans="1:180" ht="30" hidden="1" x14ac:dyDescent="0.25">
      <c r="A429" s="192" t="s">
        <v>1288</v>
      </c>
      <c r="B429" s="194" t="s">
        <v>459</v>
      </c>
      <c r="C429" s="153" t="s">
        <v>467</v>
      </c>
      <c r="D429" s="198">
        <v>0.1</v>
      </c>
      <c r="E429" s="198">
        <v>0.55000000000000004</v>
      </c>
      <c r="F429" s="198"/>
      <c r="G429" s="198"/>
      <c r="H429" s="198">
        <v>0.25</v>
      </c>
      <c r="I429" s="198">
        <v>0.1</v>
      </c>
      <c r="J429" s="198"/>
      <c r="K429" s="198"/>
      <c r="L429" s="198"/>
      <c r="M429" s="198" t="s">
        <v>639</v>
      </c>
      <c r="N429" s="198" t="s">
        <v>639</v>
      </c>
      <c r="O429" s="198" t="s">
        <v>35</v>
      </c>
      <c r="P429" s="196">
        <f t="shared" si="7"/>
        <v>1</v>
      </c>
      <c r="Q429" s="199"/>
      <c r="R429" s="251"/>
      <c r="S429" s="189" t="s">
        <v>1006</v>
      </c>
      <c r="T429" s="190" t="s">
        <v>634</v>
      </c>
      <c r="U429" s="190" t="s">
        <v>634</v>
      </c>
      <c r="V429" s="190" t="s">
        <v>1007</v>
      </c>
      <c r="W429" s="190" t="s">
        <v>1008</v>
      </c>
      <c r="X429" s="146" t="s">
        <v>771</v>
      </c>
      <c r="AA429" s="191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</row>
    <row r="430" spans="1:180" hidden="1" x14ac:dyDescent="0.25">
      <c r="A430" s="192" t="s">
        <v>1289</v>
      </c>
      <c r="B430" s="194" t="s">
        <v>459</v>
      </c>
      <c r="C430" s="156" t="s">
        <v>468</v>
      </c>
      <c r="D430" s="198">
        <v>0.05</v>
      </c>
      <c r="E430" s="198">
        <v>0.75</v>
      </c>
      <c r="F430" s="198">
        <v>0.1</v>
      </c>
      <c r="G430" s="198"/>
      <c r="H430" s="198"/>
      <c r="I430" s="198">
        <v>0.1</v>
      </c>
      <c r="J430" s="198"/>
      <c r="K430" s="198"/>
      <c r="L430" s="198"/>
      <c r="M430" s="198" t="s">
        <v>639</v>
      </c>
      <c r="N430" s="198" t="s">
        <v>639</v>
      </c>
      <c r="O430" s="198" t="s">
        <v>35</v>
      </c>
      <c r="P430" s="196">
        <f t="shared" si="7"/>
        <v>1</v>
      </c>
      <c r="Q430" s="199"/>
      <c r="R430" s="251"/>
      <c r="S430" s="189" t="s">
        <v>1009</v>
      </c>
      <c r="T430" s="190" t="s">
        <v>634</v>
      </c>
      <c r="U430" s="190" t="s">
        <v>634</v>
      </c>
      <c r="V430" s="190" t="s">
        <v>1010</v>
      </c>
      <c r="W430" s="190" t="s">
        <v>1011</v>
      </c>
      <c r="X430" s="146" t="s">
        <v>771</v>
      </c>
      <c r="AA430" s="191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</row>
    <row r="431" spans="1:180" hidden="1" x14ac:dyDescent="0.25">
      <c r="A431" s="216" t="s">
        <v>1290</v>
      </c>
      <c r="B431" s="214" t="s">
        <v>459</v>
      </c>
      <c r="C431" s="153" t="s">
        <v>469</v>
      </c>
      <c r="D431" s="198"/>
      <c r="E431" s="198"/>
      <c r="F431" s="198"/>
      <c r="G431" s="198"/>
      <c r="H431" s="198">
        <v>0.9</v>
      </c>
      <c r="I431" s="198">
        <v>0.1</v>
      </c>
      <c r="J431" s="198"/>
      <c r="K431" s="198"/>
      <c r="L431" s="198"/>
      <c r="M431" s="198" t="s">
        <v>639</v>
      </c>
      <c r="N431" s="198" t="s">
        <v>639</v>
      </c>
      <c r="O431" s="198" t="s">
        <v>122</v>
      </c>
      <c r="P431" s="196">
        <f t="shared" si="7"/>
        <v>1</v>
      </c>
      <c r="Q431" s="199"/>
      <c r="R431" s="251"/>
      <c r="S431" s="189" t="s">
        <v>1012</v>
      </c>
      <c r="V431" s="190" t="s">
        <v>1013</v>
      </c>
      <c r="W431" s="190" t="s">
        <v>1014</v>
      </c>
      <c r="AA431" s="19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</row>
    <row r="432" spans="1:180" hidden="1" x14ac:dyDescent="0.25">
      <c r="A432" s="216" t="s">
        <v>1291</v>
      </c>
      <c r="B432" s="214" t="s">
        <v>459</v>
      </c>
      <c r="C432" s="153" t="s">
        <v>470</v>
      </c>
      <c r="D432" s="198"/>
      <c r="E432" s="198"/>
      <c r="F432" s="198"/>
      <c r="G432" s="198"/>
      <c r="H432" s="198">
        <v>0.9</v>
      </c>
      <c r="I432" s="198">
        <v>0.1</v>
      </c>
      <c r="J432" s="198"/>
      <c r="K432" s="198"/>
      <c r="L432" s="198"/>
      <c r="M432" s="198" t="s">
        <v>639</v>
      </c>
      <c r="N432" s="198" t="s">
        <v>639</v>
      </c>
      <c r="O432" s="198" t="s">
        <v>122</v>
      </c>
      <c r="P432" s="196">
        <f t="shared" si="7"/>
        <v>1</v>
      </c>
      <c r="Q432" s="199"/>
      <c r="R432" s="251"/>
      <c r="S432" s="189" t="s">
        <v>1012</v>
      </c>
      <c r="V432" s="190" t="s">
        <v>1015</v>
      </c>
      <c r="W432" s="190" t="s">
        <v>1016</v>
      </c>
      <c r="AA432" s="191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</row>
    <row r="433" spans="1:180" hidden="1" x14ac:dyDescent="0.25">
      <c r="A433" s="252" t="s">
        <v>1292</v>
      </c>
      <c r="B433" s="253" t="s">
        <v>459</v>
      </c>
      <c r="C433" s="159" t="s">
        <v>772</v>
      </c>
      <c r="D433" s="258">
        <v>0.05</v>
      </c>
      <c r="E433" s="258"/>
      <c r="F433" s="258">
        <v>0.8</v>
      </c>
      <c r="G433" s="258"/>
      <c r="H433" s="258"/>
      <c r="I433" s="258">
        <v>0.15</v>
      </c>
      <c r="J433" s="258"/>
      <c r="K433" s="258"/>
      <c r="L433" s="258"/>
      <c r="M433" s="258" t="s">
        <v>639</v>
      </c>
      <c r="N433" s="258" t="s">
        <v>639</v>
      </c>
      <c r="O433" s="258" t="s">
        <v>122</v>
      </c>
      <c r="P433" s="196">
        <f>SUM(D433:K433)</f>
        <v>1</v>
      </c>
      <c r="Q433" s="199"/>
      <c r="R433" s="251"/>
      <c r="X433" s="330"/>
      <c r="AA433" s="191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</row>
    <row r="434" spans="1:180" hidden="1" x14ac:dyDescent="0.25">
      <c r="A434" s="252" t="s">
        <v>1293</v>
      </c>
      <c r="B434" s="253" t="s">
        <v>459</v>
      </c>
      <c r="C434" s="159" t="s">
        <v>773</v>
      </c>
      <c r="D434" s="258">
        <v>0.05</v>
      </c>
      <c r="E434" s="258">
        <v>0.2</v>
      </c>
      <c r="F434" s="258">
        <v>0.7</v>
      </c>
      <c r="G434" s="258"/>
      <c r="H434" s="258"/>
      <c r="I434" s="258">
        <v>0.05</v>
      </c>
      <c r="J434" s="258"/>
      <c r="K434" s="258"/>
      <c r="L434" s="258"/>
      <c r="M434" s="258" t="s">
        <v>639</v>
      </c>
      <c r="N434" s="258" t="s">
        <v>639</v>
      </c>
      <c r="O434" s="258" t="s">
        <v>122</v>
      </c>
      <c r="P434" s="196">
        <f>SUM(D434:K434)</f>
        <v>1</v>
      </c>
      <c r="Q434" s="199"/>
      <c r="R434" s="251"/>
      <c r="X434" s="330"/>
      <c r="AA434" s="191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</row>
    <row r="435" spans="1:180" hidden="1" x14ac:dyDescent="0.25">
      <c r="A435" s="252" t="s">
        <v>1294</v>
      </c>
      <c r="B435" s="253" t="s">
        <v>459</v>
      </c>
      <c r="C435" s="159" t="s">
        <v>774</v>
      </c>
      <c r="D435" s="258">
        <v>0.05</v>
      </c>
      <c r="E435" s="258">
        <v>0.1</v>
      </c>
      <c r="F435" s="258">
        <v>0.7</v>
      </c>
      <c r="G435" s="258"/>
      <c r="H435" s="258"/>
      <c r="I435" s="258">
        <v>0.15</v>
      </c>
      <c r="J435" s="258"/>
      <c r="K435" s="258"/>
      <c r="L435" s="258"/>
      <c r="M435" s="258" t="s">
        <v>639</v>
      </c>
      <c r="N435" s="258" t="s">
        <v>639</v>
      </c>
      <c r="O435" s="258" t="s">
        <v>122</v>
      </c>
      <c r="P435" s="196">
        <f>SUM(D435:K435)</f>
        <v>1</v>
      </c>
      <c r="Q435" s="199"/>
      <c r="R435" s="251"/>
      <c r="X435" s="330"/>
      <c r="AA435" s="191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</row>
    <row r="436" spans="1:180" hidden="1" x14ac:dyDescent="0.25">
      <c r="A436" s="216"/>
      <c r="B436" s="214"/>
      <c r="C436" s="153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6"/>
      <c r="Q436" s="199"/>
      <c r="R436" s="251"/>
      <c r="AA436" s="191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</row>
    <row r="437" spans="1:180" ht="45" hidden="1" x14ac:dyDescent="0.25">
      <c r="A437" s="216"/>
      <c r="B437" s="214" t="s">
        <v>459</v>
      </c>
      <c r="C437" s="215" t="s">
        <v>471</v>
      </c>
      <c r="D437" s="216" t="s">
        <v>449</v>
      </c>
      <c r="E437" s="216" t="s">
        <v>450</v>
      </c>
      <c r="F437" s="216" t="s">
        <v>451</v>
      </c>
      <c r="G437" s="216" t="s">
        <v>17</v>
      </c>
      <c r="H437" s="240"/>
      <c r="I437" s="240"/>
      <c r="J437" s="240"/>
      <c r="K437" s="240"/>
      <c r="L437" s="240"/>
      <c r="M437" s="240"/>
      <c r="N437" s="240"/>
      <c r="O437" s="240"/>
      <c r="P437" s="196"/>
      <c r="Q437" s="240"/>
      <c r="R437" s="152" t="s">
        <v>775</v>
      </c>
      <c r="AA437" s="191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</row>
    <row r="438" spans="1:180" hidden="1" x14ac:dyDescent="0.25">
      <c r="A438" s="216" t="s">
        <v>1295</v>
      </c>
      <c r="B438" s="214" t="s">
        <v>459</v>
      </c>
      <c r="C438" s="156" t="s">
        <v>471</v>
      </c>
      <c r="D438" s="198">
        <v>0.2</v>
      </c>
      <c r="E438" s="198">
        <v>0.3</v>
      </c>
      <c r="F438" s="198">
        <v>0.4</v>
      </c>
      <c r="G438" s="198">
        <v>0.1</v>
      </c>
      <c r="H438" s="198"/>
      <c r="I438" s="198"/>
      <c r="J438" s="198"/>
      <c r="K438" s="198"/>
      <c r="L438" s="198"/>
      <c r="M438" s="198" t="s">
        <v>639</v>
      </c>
      <c r="N438" s="198" t="s">
        <v>639</v>
      </c>
      <c r="O438" s="198" t="s">
        <v>122</v>
      </c>
      <c r="P438" s="196">
        <f>SUM(D438:K438)</f>
        <v>1</v>
      </c>
      <c r="Q438" s="199"/>
      <c r="R438" s="152" t="s">
        <v>776</v>
      </c>
      <c r="S438" s="189" t="s">
        <v>1017</v>
      </c>
      <c r="V438" s="190" t="s">
        <v>1018</v>
      </c>
      <c r="W438" s="190" t="s">
        <v>1019</v>
      </c>
      <c r="AA438" s="191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</row>
    <row r="439" spans="1:180" hidden="1" x14ac:dyDescent="0.25">
      <c r="A439" s="216"/>
      <c r="B439" s="214"/>
      <c r="C439" s="156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6"/>
      <c r="Q439" s="199"/>
      <c r="R439" s="251"/>
      <c r="AA439" s="191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</row>
    <row r="440" spans="1:180" ht="30" hidden="1" x14ac:dyDescent="0.25">
      <c r="A440" s="216"/>
      <c r="B440" s="214" t="s">
        <v>459</v>
      </c>
      <c r="C440" s="215" t="s">
        <v>154</v>
      </c>
      <c r="D440" s="216" t="s">
        <v>155</v>
      </c>
      <c r="E440" s="216" t="s">
        <v>156</v>
      </c>
      <c r="F440" s="216" t="s">
        <v>181</v>
      </c>
      <c r="G440" s="216" t="s">
        <v>17</v>
      </c>
      <c r="H440" s="240"/>
      <c r="I440" s="240"/>
      <c r="J440" s="240"/>
      <c r="K440" s="240"/>
      <c r="L440" s="240"/>
      <c r="M440" s="240"/>
      <c r="N440" s="240"/>
      <c r="O440" s="240"/>
      <c r="P440" s="196"/>
      <c r="Q440" s="240"/>
      <c r="R440" s="152" t="s">
        <v>776</v>
      </c>
      <c r="AA440" s="191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</row>
    <row r="441" spans="1:180" hidden="1" x14ac:dyDescent="0.25">
      <c r="A441" s="216" t="s">
        <v>1296</v>
      </c>
      <c r="B441" s="214" t="s">
        <v>459</v>
      </c>
      <c r="C441" s="156" t="s">
        <v>472</v>
      </c>
      <c r="D441" s="198">
        <v>0.1</v>
      </c>
      <c r="E441" s="198">
        <v>0.6</v>
      </c>
      <c r="F441" s="198">
        <v>0.2</v>
      </c>
      <c r="G441" s="198">
        <v>0.1</v>
      </c>
      <c r="H441" s="198"/>
      <c r="I441" s="198"/>
      <c r="J441" s="198"/>
      <c r="K441" s="198"/>
      <c r="L441" s="198"/>
      <c r="M441" s="198" t="s">
        <v>777</v>
      </c>
      <c r="N441" s="198" t="s">
        <v>777</v>
      </c>
      <c r="O441" s="198" t="s">
        <v>35</v>
      </c>
      <c r="P441" s="196">
        <f>SUM(D441:K441)</f>
        <v>0.99999999999999989</v>
      </c>
      <c r="Q441" s="199"/>
      <c r="R441" s="152" t="s">
        <v>776</v>
      </c>
      <c r="S441" s="189" t="s">
        <v>766</v>
      </c>
      <c r="T441" s="190" t="s">
        <v>634</v>
      </c>
      <c r="U441" s="190" t="s">
        <v>634</v>
      </c>
      <c r="V441" s="190" t="s">
        <v>1020</v>
      </c>
      <c r="W441" s="213" t="s">
        <v>778</v>
      </c>
      <c r="X441" s="146" t="s">
        <v>768</v>
      </c>
      <c r="AA441" s="19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</row>
    <row r="442" spans="1:180" hidden="1" x14ac:dyDescent="0.25">
      <c r="A442" s="192"/>
      <c r="B442" s="194"/>
      <c r="C442" s="156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96"/>
      <c r="Q442" s="153"/>
      <c r="R442" s="152"/>
      <c r="AA442" s="191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</row>
    <row r="443" spans="1:180" ht="30" hidden="1" x14ac:dyDescent="0.25">
      <c r="A443" s="185"/>
      <c r="B443" s="185" t="s">
        <v>473</v>
      </c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96"/>
      <c r="Q443" s="185"/>
      <c r="R443" s="152"/>
      <c r="AA443" s="191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</row>
    <row r="444" spans="1:180" ht="30" hidden="1" x14ac:dyDescent="0.25">
      <c r="A444" s="216"/>
      <c r="B444" s="214" t="s">
        <v>473</v>
      </c>
      <c r="C444" s="215" t="s">
        <v>474</v>
      </c>
      <c r="D444" s="216" t="s">
        <v>103</v>
      </c>
      <c r="E444" s="216" t="s">
        <v>475</v>
      </c>
      <c r="F444" s="216" t="s">
        <v>476</v>
      </c>
      <c r="G444" s="216" t="s">
        <v>17</v>
      </c>
      <c r="H444" s="216"/>
      <c r="I444" s="216"/>
      <c r="J444" s="216"/>
      <c r="K444" s="216"/>
      <c r="L444" s="216"/>
      <c r="M444" s="216"/>
      <c r="N444" s="216"/>
      <c r="O444" s="216"/>
      <c r="P444" s="196"/>
      <c r="Q444" s="240"/>
      <c r="R444" s="152"/>
      <c r="AA444" s="191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</row>
    <row r="445" spans="1:180" ht="30" hidden="1" x14ac:dyDescent="0.25">
      <c r="A445" s="192" t="s">
        <v>1297</v>
      </c>
      <c r="B445" s="194" t="s">
        <v>473</v>
      </c>
      <c r="C445" s="156" t="s">
        <v>477</v>
      </c>
      <c r="D445" s="198">
        <v>0.05</v>
      </c>
      <c r="E445" s="198">
        <v>0.8</v>
      </c>
      <c r="F445" s="198">
        <v>0.1</v>
      </c>
      <c r="G445" s="198">
        <v>0.05</v>
      </c>
      <c r="H445" s="198"/>
      <c r="I445" s="198"/>
      <c r="J445" s="198"/>
      <c r="K445" s="198"/>
      <c r="L445" s="198"/>
      <c r="M445" s="198" t="s">
        <v>639</v>
      </c>
      <c r="N445" s="198" t="s">
        <v>639</v>
      </c>
      <c r="O445" s="198" t="s">
        <v>35</v>
      </c>
      <c r="P445" s="196">
        <f t="shared" ref="P445:P451" si="8">SUM(D445:K445)</f>
        <v>1</v>
      </c>
      <c r="Q445" s="199"/>
      <c r="R445" s="251"/>
      <c r="S445" s="189" t="s">
        <v>1021</v>
      </c>
      <c r="V445" s="190" t="s">
        <v>779</v>
      </c>
      <c r="W445" s="190" t="s">
        <v>780</v>
      </c>
      <c r="AA445" s="191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</row>
    <row r="446" spans="1:180" ht="30" hidden="1" x14ac:dyDescent="0.25">
      <c r="A446" s="192" t="s">
        <v>1298</v>
      </c>
      <c r="B446" s="194" t="s">
        <v>473</v>
      </c>
      <c r="C446" s="156" t="s">
        <v>478</v>
      </c>
      <c r="D446" s="198">
        <v>0.05</v>
      </c>
      <c r="E446" s="198">
        <v>0.85</v>
      </c>
      <c r="F446" s="198">
        <v>0.05</v>
      </c>
      <c r="G446" s="198">
        <v>0.05</v>
      </c>
      <c r="H446" s="198"/>
      <c r="I446" s="198"/>
      <c r="J446" s="198"/>
      <c r="K446" s="198"/>
      <c r="L446" s="198"/>
      <c r="M446" s="198" t="s">
        <v>777</v>
      </c>
      <c r="N446" s="198" t="s">
        <v>777</v>
      </c>
      <c r="O446" s="198" t="s">
        <v>35</v>
      </c>
      <c r="P446" s="196">
        <f t="shared" si="8"/>
        <v>1</v>
      </c>
      <c r="Q446" s="199"/>
      <c r="R446" s="251"/>
      <c r="S446" s="189" t="s">
        <v>1022</v>
      </c>
      <c r="V446" s="190" t="s">
        <v>1023</v>
      </c>
      <c r="W446" s="190" t="s">
        <v>1024</v>
      </c>
      <c r="AA446" s="191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</row>
    <row r="447" spans="1:180" ht="30" hidden="1" x14ac:dyDescent="0.25">
      <c r="A447" s="192" t="s">
        <v>1299</v>
      </c>
      <c r="B447" s="194" t="s">
        <v>473</v>
      </c>
      <c r="C447" s="156" t="s">
        <v>479</v>
      </c>
      <c r="D447" s="198">
        <v>0.05</v>
      </c>
      <c r="E447" s="198">
        <v>0.7</v>
      </c>
      <c r="F447" s="198">
        <v>0.2</v>
      </c>
      <c r="G447" s="198">
        <v>0.05</v>
      </c>
      <c r="H447" s="198"/>
      <c r="I447" s="198"/>
      <c r="J447" s="198"/>
      <c r="K447" s="198"/>
      <c r="L447" s="198"/>
      <c r="M447" s="198" t="s">
        <v>777</v>
      </c>
      <c r="N447" s="198" t="s">
        <v>777</v>
      </c>
      <c r="O447" s="198" t="s">
        <v>35</v>
      </c>
      <c r="P447" s="196">
        <f t="shared" si="8"/>
        <v>1</v>
      </c>
      <c r="Q447" s="199"/>
      <c r="R447" s="251"/>
      <c r="S447" s="189" t="s">
        <v>1025</v>
      </c>
      <c r="T447" s="190">
        <f t="shared" ref="T447:T453" si="9">SUM(D447:J447)</f>
        <v>1</v>
      </c>
      <c r="V447" s="190" t="s">
        <v>781</v>
      </c>
      <c r="W447" s="190" t="s">
        <v>1026</v>
      </c>
      <c r="Z447" s="60" t="s">
        <v>634</v>
      </c>
      <c r="AA447" s="191" t="s">
        <v>634</v>
      </c>
      <c r="AB447" s="60" t="s">
        <v>769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</row>
    <row r="448" spans="1:180" ht="30" hidden="1" x14ac:dyDescent="0.25">
      <c r="A448" s="192" t="s">
        <v>1300</v>
      </c>
      <c r="B448" s="194" t="s">
        <v>473</v>
      </c>
      <c r="C448" s="156" t="s">
        <v>480</v>
      </c>
      <c r="D448" s="198">
        <v>0.05</v>
      </c>
      <c r="E448" s="198">
        <v>0.7</v>
      </c>
      <c r="F448" s="198">
        <v>0.2</v>
      </c>
      <c r="G448" s="198">
        <v>0.05</v>
      </c>
      <c r="H448" s="198"/>
      <c r="I448" s="198"/>
      <c r="J448" s="198"/>
      <c r="K448" s="198"/>
      <c r="L448" s="198"/>
      <c r="M448" s="198" t="s">
        <v>777</v>
      </c>
      <c r="N448" s="198" t="s">
        <v>777</v>
      </c>
      <c r="O448" s="198" t="s">
        <v>35</v>
      </c>
      <c r="P448" s="196">
        <f t="shared" si="8"/>
        <v>1</v>
      </c>
      <c r="Q448" s="199"/>
      <c r="R448" s="251"/>
      <c r="S448" s="189" t="s">
        <v>1025</v>
      </c>
      <c r="T448" s="190">
        <f t="shared" si="9"/>
        <v>1</v>
      </c>
      <c r="V448" s="190" t="s">
        <v>781</v>
      </c>
      <c r="W448" s="190" t="s">
        <v>1026</v>
      </c>
      <c r="Z448" s="60" t="s">
        <v>634</v>
      </c>
      <c r="AA448" s="191" t="s">
        <v>634</v>
      </c>
      <c r="AB448" s="60" t="s">
        <v>769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</row>
    <row r="449" spans="1:180" ht="30" hidden="1" x14ac:dyDescent="0.25">
      <c r="A449" s="192" t="s">
        <v>1301</v>
      </c>
      <c r="B449" s="194" t="s">
        <v>473</v>
      </c>
      <c r="C449" s="156" t="s">
        <v>481</v>
      </c>
      <c r="D449" s="198">
        <v>0.05</v>
      </c>
      <c r="E449" s="198">
        <v>0.75</v>
      </c>
      <c r="F449" s="198">
        <v>0.15</v>
      </c>
      <c r="G449" s="198">
        <v>0.05</v>
      </c>
      <c r="H449" s="198"/>
      <c r="I449" s="198"/>
      <c r="J449" s="198"/>
      <c r="K449" s="198"/>
      <c r="L449" s="198"/>
      <c r="M449" s="198" t="s">
        <v>777</v>
      </c>
      <c r="N449" s="198" t="s">
        <v>777</v>
      </c>
      <c r="O449" s="198" t="s">
        <v>35</v>
      </c>
      <c r="P449" s="196">
        <f t="shared" si="8"/>
        <v>1</v>
      </c>
      <c r="Q449" s="199"/>
      <c r="R449" s="251"/>
      <c r="S449" s="189" t="s">
        <v>1027</v>
      </c>
      <c r="T449" s="190">
        <f t="shared" si="9"/>
        <v>1</v>
      </c>
      <c r="V449" s="190" t="s">
        <v>1028</v>
      </c>
      <c r="W449" s="213" t="s">
        <v>782</v>
      </c>
      <c r="Z449" s="60" t="s">
        <v>634</v>
      </c>
      <c r="AA449" s="191" t="s">
        <v>634</v>
      </c>
      <c r="AB449" s="60" t="s">
        <v>769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</row>
    <row r="450" spans="1:180" ht="30" hidden="1" x14ac:dyDescent="0.25">
      <c r="A450" s="192" t="s">
        <v>1302</v>
      </c>
      <c r="B450" s="194" t="s">
        <v>473</v>
      </c>
      <c r="C450" s="156" t="s">
        <v>482</v>
      </c>
      <c r="D450" s="198">
        <v>0.05</v>
      </c>
      <c r="E450" s="198">
        <v>0.85</v>
      </c>
      <c r="F450" s="198">
        <v>0.05</v>
      </c>
      <c r="G450" s="198">
        <v>0.05</v>
      </c>
      <c r="H450" s="198"/>
      <c r="I450" s="198"/>
      <c r="J450" s="198"/>
      <c r="K450" s="198"/>
      <c r="L450" s="198"/>
      <c r="M450" s="198" t="s">
        <v>777</v>
      </c>
      <c r="N450" s="198" t="s">
        <v>777</v>
      </c>
      <c r="O450" s="198" t="s">
        <v>35</v>
      </c>
      <c r="P450" s="196">
        <f t="shared" si="8"/>
        <v>1</v>
      </c>
      <c r="Q450" s="199"/>
      <c r="R450" s="251"/>
      <c r="S450" s="189" t="s">
        <v>1029</v>
      </c>
      <c r="T450" s="190">
        <f t="shared" si="9"/>
        <v>1</v>
      </c>
      <c r="V450" s="190" t="s">
        <v>1030</v>
      </c>
      <c r="W450" s="190" t="s">
        <v>783</v>
      </c>
      <c r="Z450" s="60" t="s">
        <v>634</v>
      </c>
      <c r="AA450" s="191" t="s">
        <v>634</v>
      </c>
      <c r="AB450" s="60" t="s">
        <v>769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</row>
    <row r="451" spans="1:180" ht="30" hidden="1" x14ac:dyDescent="0.25">
      <c r="A451" s="192" t="s">
        <v>1303</v>
      </c>
      <c r="B451" s="194" t="s">
        <v>473</v>
      </c>
      <c r="C451" s="156" t="s">
        <v>483</v>
      </c>
      <c r="D451" s="198">
        <v>0.05</v>
      </c>
      <c r="E451" s="198">
        <v>0.75</v>
      </c>
      <c r="F451" s="198">
        <v>0.15</v>
      </c>
      <c r="G451" s="198">
        <v>0.05</v>
      </c>
      <c r="H451" s="198"/>
      <c r="I451" s="198"/>
      <c r="J451" s="198"/>
      <c r="K451" s="198"/>
      <c r="L451" s="198"/>
      <c r="M451" s="198" t="s">
        <v>777</v>
      </c>
      <c r="N451" s="198" t="s">
        <v>777</v>
      </c>
      <c r="O451" s="198" t="s">
        <v>35</v>
      </c>
      <c r="P451" s="196">
        <f t="shared" si="8"/>
        <v>1</v>
      </c>
      <c r="Q451" s="199"/>
      <c r="R451" s="251"/>
      <c r="S451" s="189" t="s">
        <v>1031</v>
      </c>
      <c r="T451" s="190">
        <f t="shared" si="9"/>
        <v>1</v>
      </c>
      <c r="V451" s="190" t="s">
        <v>1032</v>
      </c>
      <c r="W451" s="190" t="s">
        <v>1033</v>
      </c>
      <c r="Z451" s="60" t="s">
        <v>634</v>
      </c>
      <c r="AA451" s="191" t="s">
        <v>634</v>
      </c>
      <c r="AB451" s="60" t="s">
        <v>769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</row>
    <row r="452" spans="1:180" s="233" customFormat="1" hidden="1" x14ac:dyDescent="0.25">
      <c r="A452" s="331"/>
      <c r="B452" s="332"/>
      <c r="C452" s="333"/>
      <c r="D452" s="226"/>
      <c r="E452" s="226"/>
      <c r="F452" s="226"/>
      <c r="G452" s="226"/>
      <c r="H452" s="226"/>
      <c r="I452" s="226"/>
      <c r="J452" s="204"/>
      <c r="K452" s="204"/>
      <c r="L452" s="204"/>
      <c r="M452" s="204"/>
      <c r="N452" s="204"/>
      <c r="O452" s="204"/>
      <c r="P452" s="196"/>
      <c r="Q452" s="228"/>
      <c r="R452" s="334"/>
      <c r="S452" s="189"/>
      <c r="T452" s="190"/>
      <c r="U452" s="190"/>
      <c r="V452" s="190"/>
      <c r="W452" s="190"/>
      <c r="X452" s="232"/>
      <c r="Y452" s="184"/>
      <c r="Z452" s="60"/>
      <c r="AA452" s="191"/>
      <c r="AB452" s="60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</row>
    <row r="453" spans="1:180" ht="60" hidden="1" x14ac:dyDescent="0.25">
      <c r="A453" s="216"/>
      <c r="B453" s="214" t="s">
        <v>473</v>
      </c>
      <c r="C453" s="215" t="s">
        <v>407</v>
      </c>
      <c r="D453" s="216" t="s">
        <v>484</v>
      </c>
      <c r="E453" s="216" t="s">
        <v>409</v>
      </c>
      <c r="F453" s="216" t="s">
        <v>181</v>
      </c>
      <c r="G453" s="216" t="s">
        <v>485</v>
      </c>
      <c r="H453" s="216" t="s">
        <v>181</v>
      </c>
      <c r="I453" s="216" t="s">
        <v>17</v>
      </c>
      <c r="J453" s="216"/>
      <c r="K453" s="216"/>
      <c r="L453" s="216"/>
      <c r="M453" s="216"/>
      <c r="N453" s="216"/>
      <c r="O453" s="216"/>
      <c r="P453" s="196"/>
      <c r="Q453" s="240"/>
      <c r="R453" s="152"/>
      <c r="S453" s="189" t="s">
        <v>122</v>
      </c>
      <c r="T453" s="190">
        <f t="shared" si="9"/>
        <v>0</v>
      </c>
      <c r="Z453" s="60" t="s">
        <v>634</v>
      </c>
      <c r="AA453" s="191" t="s">
        <v>634</v>
      </c>
      <c r="AB453" s="60" t="s">
        <v>769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</row>
    <row r="454" spans="1:180" ht="30" hidden="1" x14ac:dyDescent="0.25">
      <c r="A454" s="192" t="s">
        <v>1304</v>
      </c>
      <c r="B454" s="194" t="s">
        <v>473</v>
      </c>
      <c r="C454" s="156" t="s">
        <v>486</v>
      </c>
      <c r="D454" s="198">
        <v>0.05</v>
      </c>
      <c r="E454" s="198">
        <v>0.3</v>
      </c>
      <c r="F454" s="198">
        <v>0.05</v>
      </c>
      <c r="G454" s="198">
        <v>0.5</v>
      </c>
      <c r="H454" s="198">
        <v>0.05</v>
      </c>
      <c r="I454" s="198">
        <v>0.05</v>
      </c>
      <c r="J454" s="198"/>
      <c r="K454" s="198"/>
      <c r="L454" s="198"/>
      <c r="M454" s="198" t="s">
        <v>644</v>
      </c>
      <c r="N454" s="198" t="s">
        <v>645</v>
      </c>
      <c r="O454" s="198" t="s">
        <v>35</v>
      </c>
      <c r="P454" s="196">
        <f>SUM(D454:K454)</f>
        <v>1</v>
      </c>
      <c r="Q454" s="199"/>
      <c r="R454" s="251"/>
      <c r="S454" s="189" t="s">
        <v>976</v>
      </c>
      <c r="V454" s="190" t="s">
        <v>1034</v>
      </c>
      <c r="W454" s="210"/>
      <c r="AA454" s="191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</row>
    <row r="455" spans="1:180" ht="30" hidden="1" x14ac:dyDescent="0.25">
      <c r="A455" s="192" t="s">
        <v>1305</v>
      </c>
      <c r="B455" s="194" t="s">
        <v>473</v>
      </c>
      <c r="C455" s="156" t="s">
        <v>487</v>
      </c>
      <c r="D455" s="198">
        <v>0.05</v>
      </c>
      <c r="E455" s="198">
        <v>0.4</v>
      </c>
      <c r="F455" s="198"/>
      <c r="G455" s="198">
        <v>0.45</v>
      </c>
      <c r="H455" s="198">
        <v>0.05</v>
      </c>
      <c r="I455" s="198">
        <v>0.05</v>
      </c>
      <c r="J455" s="198"/>
      <c r="K455" s="198"/>
      <c r="L455" s="198"/>
      <c r="M455" s="198" t="s">
        <v>644</v>
      </c>
      <c r="N455" s="198" t="s">
        <v>645</v>
      </c>
      <c r="O455" s="198" t="s">
        <v>35</v>
      </c>
      <c r="P455" s="196">
        <f>SUM(D455:K455)</f>
        <v>1</v>
      </c>
      <c r="Q455" s="199"/>
      <c r="R455" s="251"/>
      <c r="S455" s="209"/>
      <c r="T455" s="210"/>
      <c r="U455" s="210"/>
      <c r="V455" s="210"/>
      <c r="W455" s="210"/>
      <c r="AA455" s="191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</row>
    <row r="456" spans="1:180" s="233" customFormat="1" hidden="1" x14ac:dyDescent="0.25">
      <c r="A456" s="331"/>
      <c r="B456" s="332"/>
      <c r="C456" s="333"/>
      <c r="D456" s="226"/>
      <c r="E456" s="226"/>
      <c r="F456" s="226"/>
      <c r="G456" s="226"/>
      <c r="H456" s="226"/>
      <c r="I456" s="226"/>
      <c r="J456" s="204"/>
      <c r="K456" s="204"/>
      <c r="L456" s="204"/>
      <c r="M456" s="204"/>
      <c r="N456" s="204"/>
      <c r="O456" s="204"/>
      <c r="P456" s="196"/>
      <c r="Q456" s="228"/>
      <c r="R456" s="334"/>
      <c r="S456" s="189"/>
      <c r="T456" s="190"/>
      <c r="U456" s="190"/>
      <c r="V456" s="190"/>
      <c r="W456" s="190"/>
      <c r="X456" s="232"/>
      <c r="Y456" s="184"/>
      <c r="Z456" s="60"/>
      <c r="AA456" s="191"/>
      <c r="AB456" s="60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</row>
    <row r="457" spans="1:180" hidden="1" x14ac:dyDescent="0.25">
      <c r="A457" s="185"/>
      <c r="B457" s="186" t="s">
        <v>488</v>
      </c>
      <c r="C457" s="187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96"/>
      <c r="Q457" s="185"/>
      <c r="R457" s="152"/>
      <c r="AA457" s="191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</row>
    <row r="458" spans="1:180" ht="30" hidden="1" x14ac:dyDescent="0.25">
      <c r="A458" s="216"/>
      <c r="B458" s="214" t="s">
        <v>488</v>
      </c>
      <c r="C458" s="215"/>
      <c r="D458" s="216" t="s">
        <v>489</v>
      </c>
      <c r="E458" s="216" t="s">
        <v>490</v>
      </c>
      <c r="F458" s="216" t="s">
        <v>491</v>
      </c>
      <c r="G458" s="216" t="s">
        <v>17</v>
      </c>
      <c r="H458" s="216"/>
      <c r="I458" s="216"/>
      <c r="J458" s="216"/>
      <c r="K458" s="216"/>
      <c r="L458" s="216"/>
      <c r="M458" s="216"/>
      <c r="N458" s="216"/>
      <c r="O458" s="216"/>
      <c r="P458" s="196"/>
      <c r="Q458" s="240"/>
      <c r="R458" s="152"/>
      <c r="AA458" s="191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</row>
    <row r="459" spans="1:180" hidden="1" x14ac:dyDescent="0.25">
      <c r="A459" s="192" t="s">
        <v>1306</v>
      </c>
      <c r="B459" s="194" t="s">
        <v>488</v>
      </c>
      <c r="C459" s="156" t="s">
        <v>492</v>
      </c>
      <c r="D459" s="198">
        <v>0.4</v>
      </c>
      <c r="E459" s="328">
        <v>0.5</v>
      </c>
      <c r="F459" s="198"/>
      <c r="G459" s="198">
        <v>0.1</v>
      </c>
      <c r="H459" s="198"/>
      <c r="I459" s="198"/>
      <c r="J459" s="198"/>
      <c r="K459" s="198"/>
      <c r="L459" s="198"/>
      <c r="M459" s="198" t="s">
        <v>640</v>
      </c>
      <c r="N459" s="198" t="s">
        <v>641</v>
      </c>
      <c r="O459" s="198" t="s">
        <v>35</v>
      </c>
      <c r="P459" s="196">
        <f>SUM(D459:K459)</f>
        <v>1</v>
      </c>
      <c r="Q459" s="174"/>
      <c r="R459" s="335" t="s">
        <v>784</v>
      </c>
      <c r="S459" s="189" t="s">
        <v>1035</v>
      </c>
      <c r="T459" s="190" t="s">
        <v>634</v>
      </c>
      <c r="U459" s="190" t="s">
        <v>634</v>
      </c>
      <c r="V459" s="190" t="s">
        <v>1036</v>
      </c>
      <c r="W459" s="190" t="s">
        <v>1037</v>
      </c>
      <c r="X459" s="146" t="s">
        <v>653</v>
      </c>
      <c r="AA459" s="191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</row>
    <row r="460" spans="1:180" ht="30" hidden="1" x14ac:dyDescent="0.25">
      <c r="A460" s="192" t="s">
        <v>1307</v>
      </c>
      <c r="B460" s="194" t="s">
        <v>488</v>
      </c>
      <c r="C460" s="156" t="s">
        <v>493</v>
      </c>
      <c r="D460" s="198">
        <v>0.2</v>
      </c>
      <c r="E460" s="198">
        <v>0.3</v>
      </c>
      <c r="F460" s="198">
        <v>0.4</v>
      </c>
      <c r="G460" s="198">
        <v>0.1</v>
      </c>
      <c r="H460" s="198"/>
      <c r="I460" s="198"/>
      <c r="J460" s="198"/>
      <c r="K460" s="198"/>
      <c r="L460" s="198"/>
      <c r="M460" s="198" t="s">
        <v>640</v>
      </c>
      <c r="N460" s="198" t="s">
        <v>641</v>
      </c>
      <c r="O460" s="198" t="s">
        <v>35</v>
      </c>
      <c r="P460" s="196">
        <f>SUM(D460:K460)</f>
        <v>1</v>
      </c>
      <c r="Q460" s="336" t="s">
        <v>494</v>
      </c>
      <c r="R460" s="275"/>
      <c r="S460" s="189" t="s">
        <v>1035</v>
      </c>
      <c r="T460" s="190" t="s">
        <v>634</v>
      </c>
      <c r="U460" s="190" t="s">
        <v>634</v>
      </c>
      <c r="V460" s="190" t="s">
        <v>1036</v>
      </c>
      <c r="W460" s="190" t="s">
        <v>1037</v>
      </c>
      <c r="X460" s="146" t="s">
        <v>653</v>
      </c>
      <c r="AA460" s="191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</row>
    <row r="461" spans="1:180" ht="30" hidden="1" x14ac:dyDescent="0.25">
      <c r="A461" s="192" t="s">
        <v>1308</v>
      </c>
      <c r="B461" s="194" t="s">
        <v>488</v>
      </c>
      <c r="C461" s="156" t="s">
        <v>495</v>
      </c>
      <c r="D461" s="198">
        <v>0.5</v>
      </c>
      <c r="E461" s="198"/>
      <c r="F461" s="198">
        <v>0.4</v>
      </c>
      <c r="G461" s="198">
        <v>0.1</v>
      </c>
      <c r="H461" s="198"/>
      <c r="I461" s="198"/>
      <c r="J461" s="198"/>
      <c r="K461" s="198"/>
      <c r="L461" s="198"/>
      <c r="M461" s="198" t="s">
        <v>640</v>
      </c>
      <c r="N461" s="198" t="s">
        <v>641</v>
      </c>
      <c r="O461" s="198" t="s">
        <v>35</v>
      </c>
      <c r="P461" s="196">
        <f>SUM(D461:K461)</f>
        <v>1</v>
      </c>
      <c r="Q461" s="336" t="s">
        <v>494</v>
      </c>
      <c r="R461" s="275"/>
      <c r="S461" s="189" t="s">
        <v>1035</v>
      </c>
      <c r="T461" s="190" t="s">
        <v>634</v>
      </c>
      <c r="U461" s="190" t="s">
        <v>634</v>
      </c>
      <c r="V461" s="190" t="s">
        <v>1036</v>
      </c>
      <c r="W461" s="190" t="s">
        <v>1037</v>
      </c>
      <c r="X461" s="146" t="s">
        <v>653</v>
      </c>
      <c r="AA461" s="19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</row>
    <row r="462" spans="1:180" ht="30" hidden="1" x14ac:dyDescent="0.25">
      <c r="A462" s="192" t="s">
        <v>1309</v>
      </c>
      <c r="B462" s="194" t="s">
        <v>488</v>
      </c>
      <c r="C462" s="156" t="s">
        <v>496</v>
      </c>
      <c r="D462" s="198">
        <v>0.2</v>
      </c>
      <c r="E462" s="198">
        <v>0.2</v>
      </c>
      <c r="F462" s="198">
        <v>0.5</v>
      </c>
      <c r="G462" s="198">
        <v>0.1</v>
      </c>
      <c r="H462" s="198"/>
      <c r="I462" s="198"/>
      <c r="J462" s="198"/>
      <c r="K462" s="198"/>
      <c r="L462" s="198"/>
      <c r="M462" s="198" t="s">
        <v>640</v>
      </c>
      <c r="N462" s="198" t="s">
        <v>641</v>
      </c>
      <c r="O462" s="198" t="s">
        <v>35</v>
      </c>
      <c r="P462" s="196">
        <f>SUM(D462:K462)</f>
        <v>1</v>
      </c>
      <c r="Q462" s="336" t="s">
        <v>494</v>
      </c>
      <c r="R462" s="275"/>
      <c r="S462" s="189" t="s">
        <v>1038</v>
      </c>
      <c r="T462" s="190" t="s">
        <v>634</v>
      </c>
      <c r="U462" s="190" t="s">
        <v>634</v>
      </c>
      <c r="V462" s="190" t="s">
        <v>1039</v>
      </c>
      <c r="W462" s="190" t="s">
        <v>1040</v>
      </c>
      <c r="X462" s="146" t="s">
        <v>653</v>
      </c>
      <c r="AA462" s="191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</row>
    <row r="463" spans="1:180" ht="32.85" hidden="1" customHeight="1" x14ac:dyDescent="0.25">
      <c r="A463" s="252" t="s">
        <v>1310</v>
      </c>
      <c r="B463" s="253" t="s">
        <v>488</v>
      </c>
      <c r="C463" s="159" t="s">
        <v>785</v>
      </c>
      <c r="D463" s="258"/>
      <c r="E463" s="258"/>
      <c r="F463" s="258"/>
      <c r="G463" s="258">
        <v>1</v>
      </c>
      <c r="H463" s="258"/>
      <c r="I463" s="258"/>
      <c r="J463" s="258"/>
      <c r="K463" s="258"/>
      <c r="L463" s="258"/>
      <c r="M463" s="258" t="s">
        <v>640</v>
      </c>
      <c r="N463" s="258" t="s">
        <v>641</v>
      </c>
      <c r="O463" s="258" t="s">
        <v>35</v>
      </c>
      <c r="P463" s="196">
        <f>SUM(D463:K463)</f>
        <v>1</v>
      </c>
      <c r="Q463" s="337" t="s">
        <v>786</v>
      </c>
      <c r="R463" s="251"/>
      <c r="S463" s="189" t="s">
        <v>1038</v>
      </c>
      <c r="T463" s="190" t="s">
        <v>634</v>
      </c>
      <c r="U463" s="190" t="s">
        <v>634</v>
      </c>
      <c r="V463" s="190" t="s">
        <v>1039</v>
      </c>
      <c r="W463" s="190" t="s">
        <v>1040</v>
      </c>
      <c r="X463" s="146" t="s">
        <v>653</v>
      </c>
      <c r="AA463" s="191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</row>
    <row r="464" spans="1:180" hidden="1" x14ac:dyDescent="0.25">
      <c r="A464" s="192"/>
      <c r="B464" s="194"/>
      <c r="C464" s="175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6"/>
      <c r="Q464" s="199"/>
      <c r="R464" s="251"/>
      <c r="AA464" s="191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</row>
    <row r="465" spans="1:180" ht="75" hidden="1" x14ac:dyDescent="0.25">
      <c r="A465" s="240"/>
      <c r="B465" s="194" t="s">
        <v>488</v>
      </c>
      <c r="C465" s="338" t="s">
        <v>497</v>
      </c>
      <c r="D465" s="216" t="s">
        <v>498</v>
      </c>
      <c r="E465" s="216" t="s">
        <v>23</v>
      </c>
      <c r="F465" s="216" t="s">
        <v>24</v>
      </c>
      <c r="G465" s="216" t="s">
        <v>25</v>
      </c>
      <c r="H465" s="216" t="s">
        <v>26</v>
      </c>
      <c r="I465" s="216"/>
      <c r="J465" s="216"/>
      <c r="K465" s="216"/>
      <c r="L465" s="216"/>
      <c r="M465" s="216"/>
      <c r="N465" s="216"/>
      <c r="O465" s="216"/>
      <c r="P465" s="196"/>
      <c r="Q465" s="240"/>
      <c r="R465" s="152" t="s">
        <v>651</v>
      </c>
      <c r="AA465" s="191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</row>
    <row r="466" spans="1:180" ht="60" hidden="1" x14ac:dyDescent="0.25">
      <c r="A466" s="192" t="s">
        <v>1311</v>
      </c>
      <c r="B466" s="194" t="s">
        <v>488</v>
      </c>
      <c r="C466" s="156" t="s">
        <v>497</v>
      </c>
      <c r="D466" s="198">
        <v>0.3</v>
      </c>
      <c r="E466" s="198">
        <v>0.35</v>
      </c>
      <c r="F466" s="198">
        <v>0.1</v>
      </c>
      <c r="G466" s="198">
        <v>0.2</v>
      </c>
      <c r="H466" s="198">
        <v>0.05</v>
      </c>
      <c r="I466" s="198"/>
      <c r="J466" s="198"/>
      <c r="K466" s="198"/>
      <c r="L466" s="198"/>
      <c r="M466" s="198" t="s">
        <v>640</v>
      </c>
      <c r="N466" s="198" t="s">
        <v>641</v>
      </c>
      <c r="O466" s="198" t="s">
        <v>35</v>
      </c>
      <c r="P466" s="196">
        <f>SUM(D466:K466)</f>
        <v>1</v>
      </c>
      <c r="Q466" s="199" t="s">
        <v>499</v>
      </c>
      <c r="R466" s="197" t="s">
        <v>638</v>
      </c>
      <c r="S466" s="189" t="s">
        <v>1038</v>
      </c>
      <c r="T466" s="190" t="s">
        <v>634</v>
      </c>
      <c r="U466" s="190" t="s">
        <v>634</v>
      </c>
      <c r="V466" s="190" t="s">
        <v>1039</v>
      </c>
      <c r="W466" s="190" t="s">
        <v>1040</v>
      </c>
      <c r="X466" s="330" t="s">
        <v>653</v>
      </c>
      <c r="AA466" s="191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</row>
    <row r="467" spans="1:180" s="233" customFormat="1" hidden="1" x14ac:dyDescent="0.25">
      <c r="A467" s="192"/>
      <c r="B467" s="194"/>
      <c r="C467" s="333"/>
      <c r="D467" s="226"/>
      <c r="E467" s="226"/>
      <c r="F467" s="226"/>
      <c r="G467" s="226"/>
      <c r="H467" s="226"/>
      <c r="I467" s="226"/>
      <c r="J467" s="204"/>
      <c r="K467" s="204"/>
      <c r="L467" s="204"/>
      <c r="M467" s="204"/>
      <c r="N467" s="204"/>
      <c r="O467" s="204"/>
      <c r="P467" s="196"/>
      <c r="Q467" s="228"/>
      <c r="R467" s="334"/>
      <c r="S467" s="230"/>
      <c r="T467" s="231"/>
      <c r="U467" s="231"/>
      <c r="V467" s="231"/>
      <c r="W467" s="231"/>
      <c r="X467" s="339"/>
      <c r="Y467" s="184"/>
      <c r="Z467" s="60"/>
      <c r="AA467" s="191"/>
      <c r="AB467" s="60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</row>
    <row r="468" spans="1:180" hidden="1" x14ac:dyDescent="0.25">
      <c r="A468" s="192"/>
      <c r="B468" s="194" t="s">
        <v>488</v>
      </c>
      <c r="C468" s="215" t="s">
        <v>154</v>
      </c>
      <c r="D468" s="216" t="s">
        <v>156</v>
      </c>
      <c r="E468" s="216" t="s">
        <v>17</v>
      </c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196"/>
      <c r="Q468" s="240"/>
      <c r="R468" s="152"/>
      <c r="AA468" s="191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</row>
    <row r="469" spans="1:180" hidden="1" x14ac:dyDescent="0.25">
      <c r="A469" s="192" t="s">
        <v>1312</v>
      </c>
      <c r="B469" s="194" t="s">
        <v>488</v>
      </c>
      <c r="C469" s="156" t="s">
        <v>500</v>
      </c>
      <c r="D469" s="198">
        <v>0.9</v>
      </c>
      <c r="E469" s="198">
        <v>0.1</v>
      </c>
      <c r="F469" s="198"/>
      <c r="G469" s="198"/>
      <c r="H469" s="198"/>
      <c r="I469" s="198"/>
      <c r="J469" s="198"/>
      <c r="K469" s="198"/>
      <c r="L469" s="198"/>
      <c r="M469" s="198" t="s">
        <v>777</v>
      </c>
      <c r="N469" s="198" t="s">
        <v>777</v>
      </c>
      <c r="O469" s="198" t="s">
        <v>35</v>
      </c>
      <c r="P469" s="196">
        <f>SUM(D469:K469)</f>
        <v>1</v>
      </c>
      <c r="Q469" s="199"/>
      <c r="R469" s="251"/>
      <c r="S469" s="189" t="s">
        <v>1035</v>
      </c>
      <c r="T469" s="190" t="s">
        <v>634</v>
      </c>
      <c r="U469" s="190" t="s">
        <v>634</v>
      </c>
      <c r="V469" s="190" t="s">
        <v>1036</v>
      </c>
      <c r="W469" s="190" t="s">
        <v>1037</v>
      </c>
      <c r="X469" s="330" t="s">
        <v>653</v>
      </c>
      <c r="AA469" s="191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</row>
    <row r="470" spans="1:180" hidden="1" x14ac:dyDescent="0.25">
      <c r="A470" s="192" t="s">
        <v>1313</v>
      </c>
      <c r="B470" s="194" t="s">
        <v>488</v>
      </c>
      <c r="C470" s="156" t="s">
        <v>501</v>
      </c>
      <c r="D470" s="198">
        <v>0.9</v>
      </c>
      <c r="E470" s="198">
        <v>0.1</v>
      </c>
      <c r="F470" s="198"/>
      <c r="G470" s="198"/>
      <c r="H470" s="198"/>
      <c r="I470" s="198"/>
      <c r="J470" s="198"/>
      <c r="K470" s="198"/>
      <c r="L470" s="198"/>
      <c r="M470" s="198" t="s">
        <v>777</v>
      </c>
      <c r="N470" s="198" t="s">
        <v>777</v>
      </c>
      <c r="O470" s="198" t="s">
        <v>35</v>
      </c>
      <c r="P470" s="196">
        <f>SUM(D470:K470)</f>
        <v>1</v>
      </c>
      <c r="Q470" s="199"/>
      <c r="R470" s="251" t="s">
        <v>787</v>
      </c>
      <c r="S470" s="189" t="s">
        <v>1038</v>
      </c>
      <c r="T470" s="190" t="s">
        <v>634</v>
      </c>
      <c r="U470" s="190" t="s">
        <v>634</v>
      </c>
      <c r="V470" s="190" t="s">
        <v>1039</v>
      </c>
      <c r="W470" s="190" t="s">
        <v>1040</v>
      </c>
      <c r="X470" s="330" t="s">
        <v>788</v>
      </c>
      <c r="AA470" s="191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</row>
    <row r="471" spans="1:180" customFormat="1" hidden="1" x14ac:dyDescent="0.25">
      <c r="A471" s="192"/>
      <c r="B471" s="194"/>
      <c r="C471" s="156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96"/>
      <c r="Q471" s="153"/>
      <c r="R471" s="152"/>
      <c r="S471" s="189"/>
      <c r="T471" s="190"/>
      <c r="U471" s="190"/>
      <c r="V471" s="190"/>
      <c r="W471" s="190"/>
      <c r="X471" s="146"/>
      <c r="Y471" s="184"/>
      <c r="Z471" s="60"/>
      <c r="AA471" s="191"/>
      <c r="AB471" s="60"/>
    </row>
    <row r="472" spans="1:180" customFormat="1" hidden="1" x14ac:dyDescent="0.25">
      <c r="A472" s="185"/>
      <c r="B472" s="186" t="s">
        <v>502</v>
      </c>
      <c r="C472" s="187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96"/>
      <c r="Q472" s="185"/>
      <c r="R472" s="152"/>
      <c r="S472" s="189"/>
      <c r="T472" s="190"/>
      <c r="U472" s="190"/>
      <c r="V472" s="190"/>
      <c r="W472" s="190"/>
      <c r="X472" s="146"/>
      <c r="Y472" s="184"/>
      <c r="Z472" s="60"/>
      <c r="AA472" s="191"/>
      <c r="AB472" s="60"/>
    </row>
    <row r="473" spans="1:180" customFormat="1" ht="45" hidden="1" x14ac:dyDescent="0.25">
      <c r="A473" s="216"/>
      <c r="B473" s="214" t="s">
        <v>502</v>
      </c>
      <c r="C473" s="215"/>
      <c r="D473" s="216" t="s">
        <v>503</v>
      </c>
      <c r="E473" s="216" t="s">
        <v>504</v>
      </c>
      <c r="F473" s="216" t="s">
        <v>17</v>
      </c>
      <c r="G473" s="216"/>
      <c r="H473" s="216"/>
      <c r="I473" s="216"/>
      <c r="J473" s="216"/>
      <c r="K473" s="216"/>
      <c r="L473" s="216"/>
      <c r="M473" s="216"/>
      <c r="N473" s="216"/>
      <c r="O473" s="216"/>
      <c r="P473" s="340"/>
      <c r="Q473" s="216"/>
      <c r="R473" s="152"/>
      <c r="S473" s="189"/>
      <c r="T473" s="190"/>
      <c r="U473" s="190"/>
      <c r="V473" s="190"/>
      <c r="W473" s="190"/>
      <c r="X473" s="146"/>
      <c r="Y473" s="184"/>
      <c r="Z473" s="60"/>
      <c r="AA473" s="191"/>
      <c r="AB473" s="60"/>
    </row>
    <row r="474" spans="1:180" customFormat="1" hidden="1" x14ac:dyDescent="0.25">
      <c r="A474" s="192" t="s">
        <v>1314</v>
      </c>
      <c r="B474" s="194" t="s">
        <v>502</v>
      </c>
      <c r="C474" s="156" t="s">
        <v>505</v>
      </c>
      <c r="D474" s="198">
        <v>0.45</v>
      </c>
      <c r="E474" s="198">
        <v>0.45</v>
      </c>
      <c r="F474" s="198">
        <v>0.1</v>
      </c>
      <c r="G474" s="198"/>
      <c r="H474" s="198"/>
      <c r="I474" s="198"/>
      <c r="J474" s="149"/>
      <c r="K474" s="149"/>
      <c r="L474" s="149"/>
      <c r="M474" s="149" t="s">
        <v>640</v>
      </c>
      <c r="N474" s="149" t="s">
        <v>641</v>
      </c>
      <c r="O474" s="149" t="s">
        <v>35</v>
      </c>
      <c r="P474" s="196">
        <f>SUM(D474:K474)</f>
        <v>1</v>
      </c>
      <c r="Q474" s="153"/>
      <c r="R474" s="251"/>
      <c r="S474" s="189" t="s">
        <v>1041</v>
      </c>
      <c r="T474" s="190" t="s">
        <v>634</v>
      </c>
      <c r="U474" s="190" t="s">
        <v>634</v>
      </c>
      <c r="V474" s="190" t="s">
        <v>1042</v>
      </c>
      <c r="W474" s="213" t="s">
        <v>789</v>
      </c>
      <c r="X474" s="146"/>
      <c r="Y474" s="184"/>
      <c r="Z474" s="60"/>
      <c r="AA474" s="191"/>
      <c r="AB474" s="60"/>
    </row>
    <row r="475" spans="1:180" customFormat="1" hidden="1" x14ac:dyDescent="0.25">
      <c r="A475" s="192" t="s">
        <v>1315</v>
      </c>
      <c r="B475" s="194" t="s">
        <v>502</v>
      </c>
      <c r="C475" s="156" t="s">
        <v>506</v>
      </c>
      <c r="D475" s="198">
        <v>0.5</v>
      </c>
      <c r="E475" s="198">
        <v>0.4</v>
      </c>
      <c r="F475" s="198">
        <v>0.1</v>
      </c>
      <c r="G475" s="198"/>
      <c r="H475" s="198"/>
      <c r="I475" s="198"/>
      <c r="J475" s="149"/>
      <c r="K475" s="149"/>
      <c r="L475" s="149"/>
      <c r="M475" s="149" t="s">
        <v>640</v>
      </c>
      <c r="N475" s="149" t="s">
        <v>641</v>
      </c>
      <c r="O475" s="149" t="s">
        <v>35</v>
      </c>
      <c r="P475" s="196">
        <f>SUM(D475:K475)</f>
        <v>1</v>
      </c>
      <c r="Q475" s="153"/>
      <c r="R475" s="251"/>
      <c r="S475" s="189" t="s">
        <v>1043</v>
      </c>
      <c r="T475" s="190" t="s">
        <v>634</v>
      </c>
      <c r="U475" s="190" t="s">
        <v>634</v>
      </c>
      <c r="V475" s="190" t="s">
        <v>1044</v>
      </c>
      <c r="W475" s="213" t="s">
        <v>790</v>
      </c>
      <c r="X475" s="146"/>
      <c r="Y475" s="184"/>
      <c r="Z475" s="60"/>
      <c r="AA475" s="191"/>
      <c r="AB475" s="60"/>
    </row>
    <row r="476" spans="1:180" customFormat="1" hidden="1" x14ac:dyDescent="0.25">
      <c r="A476" s="192" t="s">
        <v>1316</v>
      </c>
      <c r="B476" s="194" t="s">
        <v>502</v>
      </c>
      <c r="C476" s="156" t="s">
        <v>507</v>
      </c>
      <c r="D476" s="198">
        <v>0.75</v>
      </c>
      <c r="E476" s="198">
        <v>0.15</v>
      </c>
      <c r="F476" s="198">
        <v>0.1</v>
      </c>
      <c r="G476" s="198"/>
      <c r="H476" s="198"/>
      <c r="I476" s="198"/>
      <c r="J476" s="149"/>
      <c r="K476" s="149"/>
      <c r="L476" s="149"/>
      <c r="M476" s="149" t="s">
        <v>640</v>
      </c>
      <c r="N476" s="149" t="s">
        <v>641</v>
      </c>
      <c r="O476" s="149" t="s">
        <v>35</v>
      </c>
      <c r="P476" s="196">
        <f>SUM(D476:K476)</f>
        <v>1</v>
      </c>
      <c r="Q476" s="153"/>
      <c r="R476" s="251" t="s">
        <v>791</v>
      </c>
      <c r="S476" s="189" t="s">
        <v>1041</v>
      </c>
      <c r="T476" s="190" t="s">
        <v>634</v>
      </c>
      <c r="U476" s="190" t="s">
        <v>634</v>
      </c>
      <c r="V476" s="190" t="s">
        <v>1042</v>
      </c>
      <c r="W476" s="213" t="s">
        <v>789</v>
      </c>
      <c r="X476" s="146"/>
      <c r="Y476" s="184"/>
      <c r="Z476" s="60"/>
      <c r="AA476" s="191"/>
      <c r="AB476" s="60"/>
    </row>
    <row r="477" spans="1:180" customFormat="1" hidden="1" x14ac:dyDescent="0.25">
      <c r="A477" s="192" t="s">
        <v>1317</v>
      </c>
      <c r="B477" s="194" t="s">
        <v>502</v>
      </c>
      <c r="C477" s="156" t="s">
        <v>508</v>
      </c>
      <c r="D477" s="198">
        <v>0.65</v>
      </c>
      <c r="E477" s="198">
        <v>0.25</v>
      </c>
      <c r="F477" s="198">
        <v>0.1</v>
      </c>
      <c r="G477" s="198"/>
      <c r="H477" s="198"/>
      <c r="I477" s="198"/>
      <c r="J477" s="149"/>
      <c r="K477" s="149"/>
      <c r="L477" s="149"/>
      <c r="M477" s="149" t="s">
        <v>640</v>
      </c>
      <c r="N477" s="149" t="s">
        <v>641</v>
      </c>
      <c r="O477" s="149" t="s">
        <v>35</v>
      </c>
      <c r="P477" s="196">
        <f>SUM(D477:K477)</f>
        <v>1</v>
      </c>
      <c r="Q477" s="153"/>
      <c r="R477" s="251" t="s">
        <v>792</v>
      </c>
      <c r="S477" s="189" t="s">
        <v>1041</v>
      </c>
      <c r="T477" s="190" t="s">
        <v>634</v>
      </c>
      <c r="U477" s="190" t="s">
        <v>634</v>
      </c>
      <c r="V477" s="190" t="s">
        <v>1042</v>
      </c>
      <c r="W477" s="213" t="s">
        <v>789</v>
      </c>
      <c r="X477" s="146"/>
      <c r="Y477" s="184"/>
      <c r="Z477" s="60"/>
      <c r="AA477" s="191"/>
      <c r="AB477" s="60"/>
    </row>
    <row r="478" spans="1:180" customFormat="1" hidden="1" x14ac:dyDescent="0.25">
      <c r="A478" s="192" t="s">
        <v>1318</v>
      </c>
      <c r="B478" s="194" t="s">
        <v>502</v>
      </c>
      <c r="C478" s="156" t="s">
        <v>509</v>
      </c>
      <c r="D478" s="198">
        <v>0.95</v>
      </c>
      <c r="E478" s="198"/>
      <c r="F478" s="198">
        <v>0.05</v>
      </c>
      <c r="G478" s="149"/>
      <c r="H478" s="149"/>
      <c r="I478" s="149"/>
      <c r="J478" s="149"/>
      <c r="K478" s="149"/>
      <c r="L478" s="149"/>
      <c r="M478" s="149" t="s">
        <v>639</v>
      </c>
      <c r="N478" s="149" t="s">
        <v>639</v>
      </c>
      <c r="O478" s="149" t="s">
        <v>35</v>
      </c>
      <c r="P478" s="196">
        <f>SUM(D478:K478)</f>
        <v>1</v>
      </c>
      <c r="Q478" s="153"/>
      <c r="R478" s="152"/>
      <c r="S478" s="189" t="s">
        <v>1041</v>
      </c>
      <c r="T478" s="190" t="s">
        <v>634</v>
      </c>
      <c r="U478" s="190" t="s">
        <v>634</v>
      </c>
      <c r="V478" s="190" t="s">
        <v>1042</v>
      </c>
      <c r="W478" s="213" t="s">
        <v>789</v>
      </c>
      <c r="X478" s="146"/>
      <c r="Y478" s="184"/>
      <c r="Z478" s="60"/>
      <c r="AA478" s="191"/>
      <c r="AB478" s="60"/>
    </row>
    <row r="479" spans="1:180" customFormat="1" hidden="1" x14ac:dyDescent="0.25">
      <c r="A479" s="192"/>
      <c r="B479" s="194"/>
      <c r="C479" s="156"/>
      <c r="D479" s="198"/>
      <c r="E479" s="198"/>
      <c r="F479" s="198"/>
      <c r="G479" s="149"/>
      <c r="H479" s="149"/>
      <c r="I479" s="149"/>
      <c r="J479" s="149"/>
      <c r="K479" s="149"/>
      <c r="L479" s="149"/>
      <c r="M479" s="149"/>
      <c r="N479" s="149"/>
      <c r="O479" s="149"/>
      <c r="P479" s="196"/>
      <c r="Q479" s="153"/>
      <c r="R479" s="152"/>
      <c r="S479" s="189"/>
      <c r="T479" s="190"/>
      <c r="U479" s="190"/>
      <c r="V479" s="190"/>
      <c r="W479" s="213"/>
      <c r="X479" s="146"/>
      <c r="Y479" s="184"/>
      <c r="Z479" s="60"/>
      <c r="AA479" s="191"/>
      <c r="AB479" s="60"/>
    </row>
    <row r="480" spans="1:180" customFormat="1" hidden="1" x14ac:dyDescent="0.25">
      <c r="A480" s="216"/>
      <c r="B480" s="214" t="s">
        <v>502</v>
      </c>
      <c r="C480" s="215" t="s">
        <v>154</v>
      </c>
      <c r="D480" s="216" t="s">
        <v>156</v>
      </c>
      <c r="E480" s="216" t="s">
        <v>17</v>
      </c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196"/>
      <c r="Q480" s="240"/>
      <c r="R480" s="152"/>
      <c r="S480" s="189"/>
      <c r="T480" s="190"/>
      <c r="U480" s="190"/>
      <c r="V480" s="190"/>
      <c r="W480" s="190"/>
      <c r="X480" s="146"/>
      <c r="Y480" s="184"/>
      <c r="Z480" s="60"/>
      <c r="AA480" s="191"/>
      <c r="AB480" s="60"/>
    </row>
    <row r="481" spans="1:180" customFormat="1" hidden="1" x14ac:dyDescent="0.25">
      <c r="A481" s="192" t="s">
        <v>1319</v>
      </c>
      <c r="B481" s="194" t="s">
        <v>502</v>
      </c>
      <c r="C481" s="156" t="s">
        <v>510</v>
      </c>
      <c r="D481" s="198">
        <v>0.9</v>
      </c>
      <c r="E481" s="198">
        <v>0.1</v>
      </c>
      <c r="F481" s="198"/>
      <c r="G481" s="149"/>
      <c r="H481" s="149"/>
      <c r="I481" s="149"/>
      <c r="J481" s="149"/>
      <c r="K481" s="149"/>
      <c r="L481" s="149"/>
      <c r="M481" s="149" t="s">
        <v>777</v>
      </c>
      <c r="N481" s="149" t="s">
        <v>777</v>
      </c>
      <c r="O481" s="149" t="s">
        <v>35</v>
      </c>
      <c r="P481" s="196">
        <f>SUM(D481:K481)</f>
        <v>1</v>
      </c>
      <c r="Q481" s="199"/>
      <c r="R481" s="251"/>
      <c r="S481" s="189" t="s">
        <v>1041</v>
      </c>
      <c r="T481" s="190" t="s">
        <v>634</v>
      </c>
      <c r="U481" s="190" t="s">
        <v>634</v>
      </c>
      <c r="V481" s="190"/>
      <c r="W481" s="190"/>
      <c r="X481" s="330"/>
      <c r="Y481" s="184"/>
      <c r="Z481" s="60"/>
      <c r="AA481" s="191"/>
      <c r="AB481" s="60"/>
    </row>
    <row r="482" spans="1:180" customFormat="1" hidden="1" x14ac:dyDescent="0.25">
      <c r="A482" s="192"/>
      <c r="B482" s="194"/>
      <c r="C482" s="156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96"/>
      <c r="Q482" s="153"/>
      <c r="R482" s="152"/>
      <c r="S482" s="189"/>
      <c r="T482" s="190"/>
      <c r="U482" s="190"/>
      <c r="V482" s="190"/>
      <c r="W482" s="190"/>
      <c r="X482" s="146"/>
      <c r="Y482" s="184"/>
      <c r="Z482" s="60"/>
      <c r="AA482" s="191"/>
      <c r="AB482" s="60"/>
    </row>
    <row r="483" spans="1:180" customFormat="1" hidden="1" x14ac:dyDescent="0.25">
      <c r="A483" s="185"/>
      <c r="B483" s="186" t="s">
        <v>511</v>
      </c>
      <c r="C483" s="187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96"/>
      <c r="Q483" s="185"/>
      <c r="R483" s="152"/>
      <c r="S483" s="189"/>
      <c r="T483" s="190"/>
      <c r="U483" s="190"/>
      <c r="V483" s="190"/>
      <c r="W483" s="190"/>
      <c r="X483" s="146"/>
      <c r="Y483" s="184"/>
      <c r="Z483" s="60"/>
      <c r="AA483" s="191"/>
      <c r="AB483" s="60"/>
    </row>
    <row r="484" spans="1:180" customFormat="1" ht="45" hidden="1" x14ac:dyDescent="0.25">
      <c r="A484" s="192"/>
      <c r="B484" s="194" t="s">
        <v>511</v>
      </c>
      <c r="C484" s="207" t="s">
        <v>512</v>
      </c>
      <c r="D484" s="235" t="s">
        <v>449</v>
      </c>
      <c r="E484" s="235" t="s">
        <v>450</v>
      </c>
      <c r="F484" s="235" t="s">
        <v>451</v>
      </c>
      <c r="G484" s="235" t="s">
        <v>17</v>
      </c>
      <c r="H484" s="235"/>
      <c r="I484" s="235"/>
      <c r="J484" s="206"/>
      <c r="K484" s="206"/>
      <c r="L484" s="206"/>
      <c r="M484" s="206"/>
      <c r="N484" s="206"/>
      <c r="O484" s="206"/>
      <c r="P484" s="196"/>
      <c r="Q484" s="207"/>
      <c r="R484" s="145"/>
      <c r="S484" s="189"/>
      <c r="T484" s="190"/>
      <c r="U484" s="190"/>
      <c r="V484" s="190"/>
      <c r="W484" s="190"/>
      <c r="X484" s="146"/>
      <c r="Y484" s="184"/>
      <c r="Z484" s="60"/>
      <c r="AA484" s="191"/>
      <c r="AB484" s="60"/>
    </row>
    <row r="485" spans="1:180" customFormat="1" hidden="1" x14ac:dyDescent="0.25">
      <c r="A485" s="192" t="s">
        <v>1320</v>
      </c>
      <c r="B485" s="194" t="s">
        <v>511</v>
      </c>
      <c r="C485" s="147" t="s">
        <v>513</v>
      </c>
      <c r="D485" s="198">
        <v>0.2</v>
      </c>
      <c r="E485" s="198">
        <v>0.3</v>
      </c>
      <c r="F485" s="198">
        <v>0.4</v>
      </c>
      <c r="G485" s="198">
        <v>0.1</v>
      </c>
      <c r="H485" s="198"/>
      <c r="I485" s="198"/>
      <c r="J485" s="149"/>
      <c r="K485" s="149"/>
      <c r="L485" s="149"/>
      <c r="M485" s="149" t="s">
        <v>639</v>
      </c>
      <c r="N485" s="149" t="s">
        <v>639</v>
      </c>
      <c r="O485" s="149" t="s">
        <v>122</v>
      </c>
      <c r="P485" s="196">
        <f>SUM(D485:K485)</f>
        <v>1</v>
      </c>
      <c r="Q485" s="153"/>
      <c r="R485" s="251"/>
      <c r="S485" s="189" t="s">
        <v>1045</v>
      </c>
      <c r="T485" s="190" t="s">
        <v>634</v>
      </c>
      <c r="U485" s="190" t="s">
        <v>634</v>
      </c>
      <c r="V485" s="190" t="s">
        <v>1046</v>
      </c>
      <c r="W485" s="213" t="s">
        <v>793</v>
      </c>
      <c r="X485" s="146"/>
      <c r="Y485" s="184"/>
      <c r="Z485" s="60"/>
      <c r="AA485" s="191"/>
      <c r="AB485" s="60"/>
    </row>
    <row r="486" spans="1:180" customFormat="1" hidden="1" x14ac:dyDescent="0.25">
      <c r="A486" s="192" t="s">
        <v>1321</v>
      </c>
      <c r="B486" s="194" t="s">
        <v>511</v>
      </c>
      <c r="C486" s="147" t="s">
        <v>514</v>
      </c>
      <c r="D486" s="198">
        <v>0.2</v>
      </c>
      <c r="E486" s="198">
        <v>0.5</v>
      </c>
      <c r="F486" s="198">
        <v>0.2</v>
      </c>
      <c r="G486" s="198">
        <v>0.1</v>
      </c>
      <c r="H486" s="198"/>
      <c r="I486" s="198"/>
      <c r="J486" s="149"/>
      <c r="K486" s="149"/>
      <c r="L486" s="149"/>
      <c r="M486" s="149" t="s">
        <v>777</v>
      </c>
      <c r="N486" s="149" t="s">
        <v>777</v>
      </c>
      <c r="O486" s="149" t="s">
        <v>122</v>
      </c>
      <c r="P486" s="196">
        <f>SUM(D486:K486)</f>
        <v>0.99999999999999989</v>
      </c>
      <c r="Q486" s="153"/>
      <c r="R486" s="251"/>
      <c r="S486" s="189" t="s">
        <v>1045</v>
      </c>
      <c r="T486" s="190" t="s">
        <v>634</v>
      </c>
      <c r="U486" s="190" t="s">
        <v>634</v>
      </c>
      <c r="V486" s="210"/>
      <c r="W486" s="213" t="s">
        <v>794</v>
      </c>
      <c r="X486" s="146"/>
      <c r="Y486" s="184"/>
      <c r="Z486" s="60"/>
      <c r="AA486" s="191"/>
      <c r="AB486" s="60"/>
    </row>
    <row r="487" spans="1:180" s="158" customFormat="1" ht="30" hidden="1" x14ac:dyDescent="0.25">
      <c r="A487" s="252"/>
      <c r="B487" s="253" t="s">
        <v>511</v>
      </c>
      <c r="C487" s="341" t="s">
        <v>795</v>
      </c>
      <c r="D487" s="252" t="s">
        <v>557</v>
      </c>
      <c r="E487" s="252" t="s">
        <v>1342</v>
      </c>
      <c r="F487" s="252" t="s">
        <v>1347</v>
      </c>
      <c r="G487" s="252"/>
      <c r="H487" s="252"/>
      <c r="I487" s="252"/>
      <c r="J487" s="252"/>
      <c r="K487" s="252"/>
      <c r="L487" s="252"/>
      <c r="M487" s="252"/>
      <c r="N487" s="252"/>
      <c r="O487" s="252"/>
      <c r="P487" s="256"/>
      <c r="Q487" s="341"/>
      <c r="R487" s="167"/>
      <c r="S487" s="284" t="s">
        <v>1047</v>
      </c>
      <c r="T487" s="285"/>
      <c r="U487" s="285"/>
      <c r="V487" s="285" t="s">
        <v>1048</v>
      </c>
      <c r="W487" s="285" t="s">
        <v>1049</v>
      </c>
      <c r="X487" s="166"/>
      <c r="Y487" s="166"/>
      <c r="Z487" s="166"/>
      <c r="AA487" s="342"/>
      <c r="AB487" s="166"/>
    </row>
    <row r="488" spans="1:180" s="158" customFormat="1" ht="57.6" hidden="1" customHeight="1" x14ac:dyDescent="0.25">
      <c r="A488" s="252" t="s">
        <v>612</v>
      </c>
      <c r="B488" s="253" t="s">
        <v>511</v>
      </c>
      <c r="C488" s="169" t="s">
        <v>611</v>
      </c>
      <c r="D488" s="258">
        <v>0.6</v>
      </c>
      <c r="E488" s="258">
        <v>0.1</v>
      </c>
      <c r="F488" s="258">
        <v>0.3</v>
      </c>
      <c r="G488" s="258"/>
      <c r="H488" s="258"/>
      <c r="I488" s="258"/>
      <c r="J488" s="258"/>
      <c r="K488" s="161"/>
      <c r="L488" s="161"/>
      <c r="M488" s="161"/>
      <c r="N488" s="161"/>
      <c r="O488" s="161" t="s">
        <v>122</v>
      </c>
      <c r="P488" s="256">
        <f>SUM(D488:K488)</f>
        <v>1</v>
      </c>
      <c r="Q488" s="343"/>
      <c r="R488" s="283"/>
      <c r="S488" s="284"/>
      <c r="T488" s="285"/>
      <c r="U488" s="285"/>
      <c r="V488" s="285"/>
      <c r="W488" s="285"/>
      <c r="X488" s="166"/>
      <c r="Y488" s="166"/>
      <c r="Z488" s="166"/>
      <c r="AA488" s="342"/>
      <c r="AB488" s="166"/>
    </row>
    <row r="489" spans="1:180" customFormat="1" hidden="1" x14ac:dyDescent="0.25">
      <c r="A489" s="192"/>
      <c r="B489" s="194"/>
      <c r="C489" s="147"/>
      <c r="D489" s="198"/>
      <c r="E489" s="198"/>
      <c r="F489" s="198"/>
      <c r="G489" s="198"/>
      <c r="H489" s="198"/>
      <c r="I489" s="198"/>
      <c r="J489" s="149"/>
      <c r="K489" s="149"/>
      <c r="L489" s="149"/>
      <c r="M489" s="149"/>
      <c r="N489" s="149"/>
      <c r="O489" s="149"/>
      <c r="P489" s="196"/>
      <c r="Q489" s="153"/>
      <c r="R489" s="251"/>
      <c r="S489" s="189"/>
      <c r="T489" s="190"/>
      <c r="U489" s="190"/>
      <c r="V489" s="210"/>
      <c r="W489" s="213"/>
      <c r="X489" s="146"/>
      <c r="Y489" s="184"/>
      <c r="Z489" s="60"/>
      <c r="AA489" s="191"/>
      <c r="AB489" s="60"/>
    </row>
    <row r="490" spans="1:180" hidden="1" x14ac:dyDescent="0.25">
      <c r="A490" s="192"/>
      <c r="B490" s="194"/>
      <c r="C490" s="147"/>
      <c r="D490" s="198"/>
      <c r="E490" s="198"/>
      <c r="F490" s="198"/>
      <c r="G490" s="198"/>
      <c r="H490" s="198"/>
      <c r="I490" s="198"/>
      <c r="J490" s="149"/>
      <c r="K490" s="149"/>
      <c r="L490" s="149"/>
      <c r="M490" s="149"/>
      <c r="N490" s="149"/>
      <c r="O490" s="149"/>
      <c r="P490" s="196"/>
      <c r="Q490" s="153"/>
      <c r="R490" s="251"/>
      <c r="V490" s="210"/>
      <c r="W490" s="213"/>
      <c r="AA490" s="191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</row>
    <row r="491" spans="1:180" hidden="1" x14ac:dyDescent="0.25">
      <c r="A491" s="185"/>
      <c r="B491" s="185" t="s">
        <v>515</v>
      </c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96"/>
      <c r="Q491" s="185"/>
      <c r="R491" s="152" t="s">
        <v>631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</row>
    <row r="492" spans="1:180" ht="30" hidden="1" x14ac:dyDescent="0.25">
      <c r="A492" s="192"/>
      <c r="B492" s="194" t="s">
        <v>515</v>
      </c>
      <c r="C492" s="195" t="s">
        <v>516</v>
      </c>
      <c r="D492" s="192" t="s">
        <v>37</v>
      </c>
      <c r="E492" s="192" t="s">
        <v>517</v>
      </c>
      <c r="F492" s="192" t="s">
        <v>518</v>
      </c>
      <c r="G492" s="192" t="s">
        <v>15</v>
      </c>
      <c r="H492" s="192" t="s">
        <v>16</v>
      </c>
      <c r="I492" s="192" t="s">
        <v>519</v>
      </c>
      <c r="J492" s="192" t="s">
        <v>17</v>
      </c>
      <c r="K492" s="192"/>
      <c r="L492" s="192"/>
      <c r="M492" s="192"/>
      <c r="N492" s="192"/>
      <c r="O492" s="192"/>
      <c r="P492" s="196"/>
      <c r="Q492" s="195"/>
      <c r="R492" s="15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</row>
    <row r="493" spans="1:180" hidden="1" x14ac:dyDescent="0.25">
      <c r="A493" s="192" t="s">
        <v>1322</v>
      </c>
      <c r="B493" s="194" t="s">
        <v>515</v>
      </c>
      <c r="C493" s="147" t="s">
        <v>520</v>
      </c>
      <c r="D493" s="198">
        <v>0.1</v>
      </c>
      <c r="E493" s="198">
        <v>0.3</v>
      </c>
      <c r="F493" s="198">
        <v>0.2</v>
      </c>
      <c r="G493" s="198">
        <v>0.1</v>
      </c>
      <c r="H493" s="198">
        <v>0.1</v>
      </c>
      <c r="I493" s="198">
        <v>0.1</v>
      </c>
      <c r="J493" s="198">
        <v>0.1</v>
      </c>
      <c r="K493" s="149"/>
      <c r="L493" s="149"/>
      <c r="M493" s="149" t="s">
        <v>777</v>
      </c>
      <c r="N493" s="149" t="s">
        <v>777</v>
      </c>
      <c r="O493" s="149" t="s">
        <v>35</v>
      </c>
      <c r="P493" s="196">
        <f t="shared" ref="P493:P504" si="10">SUM(D493:K493)</f>
        <v>1</v>
      </c>
      <c r="Q493" s="199"/>
      <c r="R493" s="197" t="s">
        <v>642</v>
      </c>
      <c r="S493" s="189">
        <v>8410100</v>
      </c>
      <c r="T493" s="190" t="s">
        <v>634</v>
      </c>
      <c r="U493" s="190" t="s">
        <v>634</v>
      </c>
      <c r="V493" s="190" t="s">
        <v>1050</v>
      </c>
      <c r="W493" s="190" t="s">
        <v>1051</v>
      </c>
      <c r="AA493" s="191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</row>
    <row r="494" spans="1:180" hidden="1" x14ac:dyDescent="0.25">
      <c r="A494" s="192" t="s">
        <v>1323</v>
      </c>
      <c r="B494" s="194" t="s">
        <v>515</v>
      </c>
      <c r="C494" s="147" t="s">
        <v>521</v>
      </c>
      <c r="D494" s="198"/>
      <c r="E494" s="198">
        <v>0.55000000000000004</v>
      </c>
      <c r="F494" s="198">
        <v>0.25</v>
      </c>
      <c r="G494" s="198"/>
      <c r="H494" s="198"/>
      <c r="I494" s="198">
        <v>0.1</v>
      </c>
      <c r="J494" s="198">
        <v>0.1</v>
      </c>
      <c r="K494" s="149"/>
      <c r="L494" s="149"/>
      <c r="M494" s="149" t="s">
        <v>777</v>
      </c>
      <c r="N494" s="149" t="s">
        <v>777</v>
      </c>
      <c r="O494" s="149" t="s">
        <v>35</v>
      </c>
      <c r="P494" s="196">
        <f t="shared" si="10"/>
        <v>1</v>
      </c>
      <c r="Q494" s="199"/>
      <c r="R494" s="197" t="s">
        <v>642</v>
      </c>
      <c r="S494" s="189">
        <v>8410100</v>
      </c>
      <c r="T494" s="190" t="s">
        <v>634</v>
      </c>
      <c r="U494" s="190" t="s">
        <v>634</v>
      </c>
      <c r="V494" s="190" t="s">
        <v>1050</v>
      </c>
      <c r="W494" s="190" t="s">
        <v>1051</v>
      </c>
      <c r="AA494" s="191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</row>
    <row r="495" spans="1:180" hidden="1" x14ac:dyDescent="0.25">
      <c r="A495" s="192" t="s">
        <v>1324</v>
      </c>
      <c r="B495" s="194" t="s">
        <v>515</v>
      </c>
      <c r="C495" s="147" t="s">
        <v>522</v>
      </c>
      <c r="D495" s="198"/>
      <c r="E495" s="198">
        <v>0.45</v>
      </c>
      <c r="F495" s="198">
        <v>0.2</v>
      </c>
      <c r="G495" s="198">
        <v>0.15</v>
      </c>
      <c r="H495" s="198"/>
      <c r="I495" s="198">
        <v>0.1</v>
      </c>
      <c r="J495" s="198">
        <v>0.1</v>
      </c>
      <c r="K495" s="149"/>
      <c r="L495" s="149"/>
      <c r="M495" s="149" t="s">
        <v>777</v>
      </c>
      <c r="N495" s="149" t="s">
        <v>777</v>
      </c>
      <c r="O495" s="149" t="s">
        <v>35</v>
      </c>
      <c r="P495" s="196">
        <f t="shared" si="10"/>
        <v>1</v>
      </c>
      <c r="Q495" s="199"/>
      <c r="R495" s="197" t="s">
        <v>642</v>
      </c>
      <c r="S495" s="189">
        <v>8410100</v>
      </c>
      <c r="T495" s="190" t="s">
        <v>634</v>
      </c>
      <c r="U495" s="190" t="s">
        <v>634</v>
      </c>
      <c r="V495" s="190" t="s">
        <v>1050</v>
      </c>
      <c r="W495" s="190" t="s">
        <v>1051</v>
      </c>
      <c r="AA495" s="191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</row>
    <row r="496" spans="1:180" hidden="1" x14ac:dyDescent="0.25">
      <c r="A496" s="192" t="s">
        <v>1325</v>
      </c>
      <c r="B496" s="194" t="s">
        <v>515</v>
      </c>
      <c r="C496" s="147" t="s">
        <v>523</v>
      </c>
      <c r="D496" s="198"/>
      <c r="E496" s="198">
        <v>0.6</v>
      </c>
      <c r="F496" s="198">
        <v>0.2</v>
      </c>
      <c r="G496" s="198"/>
      <c r="H496" s="198"/>
      <c r="I496" s="198">
        <v>0.1</v>
      </c>
      <c r="J496" s="198">
        <v>0.1</v>
      </c>
      <c r="K496" s="149"/>
      <c r="L496" s="149"/>
      <c r="M496" s="149" t="s">
        <v>777</v>
      </c>
      <c r="N496" s="149" t="s">
        <v>777</v>
      </c>
      <c r="O496" s="149" t="s">
        <v>35</v>
      </c>
      <c r="P496" s="196">
        <f t="shared" si="10"/>
        <v>1</v>
      </c>
      <c r="Q496" s="199"/>
      <c r="R496" s="197"/>
      <c r="S496" s="189">
        <v>8410100</v>
      </c>
      <c r="T496" s="190" t="s">
        <v>634</v>
      </c>
      <c r="U496" s="190" t="s">
        <v>634</v>
      </c>
      <c r="V496" s="190" t="s">
        <v>1050</v>
      </c>
      <c r="W496" s="190" t="s">
        <v>1051</v>
      </c>
      <c r="AA496" s="191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</row>
    <row r="497" spans="1:180" hidden="1" x14ac:dyDescent="0.25">
      <c r="A497" s="192" t="s">
        <v>1326</v>
      </c>
      <c r="B497" s="194" t="s">
        <v>515</v>
      </c>
      <c r="C497" s="147" t="s">
        <v>524</v>
      </c>
      <c r="D497" s="198"/>
      <c r="E497" s="198">
        <v>0.4</v>
      </c>
      <c r="F497" s="198">
        <v>0.25</v>
      </c>
      <c r="G497" s="198">
        <v>0.15</v>
      </c>
      <c r="H497" s="198"/>
      <c r="I497" s="198">
        <v>0.1</v>
      </c>
      <c r="J497" s="198">
        <v>0.1</v>
      </c>
      <c r="K497" s="149"/>
      <c r="L497" s="149"/>
      <c r="M497" s="149" t="s">
        <v>777</v>
      </c>
      <c r="N497" s="149" t="s">
        <v>777</v>
      </c>
      <c r="O497" s="149" t="s">
        <v>35</v>
      </c>
      <c r="P497" s="196">
        <f t="shared" si="10"/>
        <v>1</v>
      </c>
      <c r="Q497" s="199"/>
      <c r="R497" s="197"/>
      <c r="S497" s="189">
        <v>8410100</v>
      </c>
      <c r="T497" s="190" t="s">
        <v>634</v>
      </c>
      <c r="U497" s="190" t="s">
        <v>634</v>
      </c>
      <c r="V497" s="190" t="s">
        <v>1050</v>
      </c>
      <c r="W497" s="190" t="s">
        <v>1051</v>
      </c>
      <c r="AA497" s="191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</row>
    <row r="498" spans="1:180" hidden="1" x14ac:dyDescent="0.25">
      <c r="A498" s="192" t="s">
        <v>1327</v>
      </c>
      <c r="B498" s="194" t="s">
        <v>515</v>
      </c>
      <c r="C498" s="147" t="s">
        <v>525</v>
      </c>
      <c r="D498" s="198">
        <v>0.45</v>
      </c>
      <c r="E498" s="198"/>
      <c r="F498" s="198">
        <v>0.2</v>
      </c>
      <c r="G498" s="198">
        <v>0.15</v>
      </c>
      <c r="H498" s="198"/>
      <c r="I498" s="198">
        <v>0.1</v>
      </c>
      <c r="J498" s="198">
        <v>0.1</v>
      </c>
      <c r="K498" s="149"/>
      <c r="L498" s="149"/>
      <c r="M498" s="149" t="s">
        <v>777</v>
      </c>
      <c r="N498" s="149" t="s">
        <v>777</v>
      </c>
      <c r="O498" s="149" t="s">
        <v>35</v>
      </c>
      <c r="P498" s="196">
        <f t="shared" si="10"/>
        <v>1</v>
      </c>
      <c r="Q498" s="199"/>
      <c r="R498" s="197" t="s">
        <v>642</v>
      </c>
      <c r="S498" s="189">
        <v>8410100</v>
      </c>
      <c r="T498" s="190" t="s">
        <v>634</v>
      </c>
      <c r="U498" s="190" t="s">
        <v>634</v>
      </c>
      <c r="V498" s="190" t="s">
        <v>1050</v>
      </c>
      <c r="W498" s="190" t="s">
        <v>1051</v>
      </c>
      <c r="AA498" s="191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</row>
    <row r="499" spans="1:180" hidden="1" x14ac:dyDescent="0.25">
      <c r="A499" s="192" t="s">
        <v>1328</v>
      </c>
      <c r="B499" s="194" t="s">
        <v>515</v>
      </c>
      <c r="C499" s="147" t="s">
        <v>526</v>
      </c>
      <c r="D499" s="198">
        <v>0.25</v>
      </c>
      <c r="E499" s="198">
        <v>0.45</v>
      </c>
      <c r="F499" s="198">
        <v>0.1</v>
      </c>
      <c r="G499" s="198"/>
      <c r="H499" s="198"/>
      <c r="I499" s="198">
        <v>0.1</v>
      </c>
      <c r="J499" s="198">
        <v>0.1</v>
      </c>
      <c r="K499" s="149"/>
      <c r="L499" s="149"/>
      <c r="M499" s="149" t="s">
        <v>777</v>
      </c>
      <c r="N499" s="149" t="s">
        <v>777</v>
      </c>
      <c r="O499" s="149" t="s">
        <v>35</v>
      </c>
      <c r="P499" s="196">
        <f t="shared" si="10"/>
        <v>0.99999999999999989</v>
      </c>
      <c r="Q499" s="199"/>
      <c r="R499" s="197" t="s">
        <v>642</v>
      </c>
      <c r="S499" s="189">
        <v>8410100</v>
      </c>
      <c r="T499" s="190" t="s">
        <v>634</v>
      </c>
      <c r="U499" s="190" t="s">
        <v>634</v>
      </c>
      <c r="V499" s="190" t="s">
        <v>1050</v>
      </c>
      <c r="W499" s="190" t="s">
        <v>1051</v>
      </c>
      <c r="AA499" s="191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</row>
    <row r="500" spans="1:180" hidden="1" x14ac:dyDescent="0.25">
      <c r="A500" s="192" t="s">
        <v>1329</v>
      </c>
      <c r="B500" s="194" t="s">
        <v>515</v>
      </c>
      <c r="C500" s="147" t="s">
        <v>527</v>
      </c>
      <c r="D500" s="198"/>
      <c r="E500" s="198">
        <v>0.65</v>
      </c>
      <c r="F500" s="198">
        <v>0.15</v>
      </c>
      <c r="G500" s="198"/>
      <c r="H500" s="198"/>
      <c r="I500" s="198">
        <v>0.1</v>
      </c>
      <c r="J500" s="198">
        <v>0.1</v>
      </c>
      <c r="K500" s="149"/>
      <c r="L500" s="149"/>
      <c r="M500" s="149" t="s">
        <v>777</v>
      </c>
      <c r="N500" s="149" t="s">
        <v>777</v>
      </c>
      <c r="O500" s="149" t="s">
        <v>35</v>
      </c>
      <c r="P500" s="196">
        <f t="shared" si="10"/>
        <v>1</v>
      </c>
      <c r="Q500" s="199"/>
      <c r="R500" s="197"/>
      <c r="S500" s="189">
        <v>8410100</v>
      </c>
      <c r="T500" s="190" t="s">
        <v>634</v>
      </c>
      <c r="U500" s="190" t="s">
        <v>634</v>
      </c>
      <c r="V500" s="190" t="s">
        <v>1050</v>
      </c>
      <c r="W500" s="190" t="s">
        <v>1051</v>
      </c>
      <c r="AA500" s="191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</row>
    <row r="501" spans="1:180" hidden="1" x14ac:dyDescent="0.25">
      <c r="A501" s="192" t="s">
        <v>1330</v>
      </c>
      <c r="B501" s="194" t="s">
        <v>515</v>
      </c>
      <c r="C501" s="147" t="s">
        <v>528</v>
      </c>
      <c r="D501" s="198"/>
      <c r="E501" s="198">
        <v>1</v>
      </c>
      <c r="F501" s="198"/>
      <c r="G501" s="198"/>
      <c r="H501" s="198"/>
      <c r="I501" s="198"/>
      <c r="J501" s="198"/>
      <c r="K501" s="149"/>
      <c r="L501" s="149"/>
      <c r="M501" s="149" t="s">
        <v>777</v>
      </c>
      <c r="N501" s="149" t="s">
        <v>777</v>
      </c>
      <c r="O501" s="149" t="s">
        <v>35</v>
      </c>
      <c r="P501" s="196">
        <f t="shared" si="10"/>
        <v>1</v>
      </c>
      <c r="Q501" s="199"/>
      <c r="R501" s="197"/>
      <c r="S501" s="189">
        <v>8410100</v>
      </c>
      <c r="T501" s="190" t="s">
        <v>634</v>
      </c>
      <c r="U501" s="190" t="s">
        <v>634</v>
      </c>
      <c r="V501" s="190" t="s">
        <v>1050</v>
      </c>
      <c r="W501" s="190" t="s">
        <v>1051</v>
      </c>
      <c r="AA501" s="19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</row>
    <row r="502" spans="1:180" hidden="1" x14ac:dyDescent="0.25">
      <c r="A502" s="192" t="s">
        <v>1331</v>
      </c>
      <c r="B502" s="194" t="s">
        <v>515</v>
      </c>
      <c r="C502" s="147" t="s">
        <v>529</v>
      </c>
      <c r="D502" s="198">
        <v>0.25</v>
      </c>
      <c r="E502" s="198">
        <v>0.45</v>
      </c>
      <c r="F502" s="198">
        <v>0.1</v>
      </c>
      <c r="G502" s="198"/>
      <c r="H502" s="198"/>
      <c r="I502" s="198">
        <v>0.1</v>
      </c>
      <c r="J502" s="198">
        <v>0.1</v>
      </c>
      <c r="K502" s="149"/>
      <c r="L502" s="149"/>
      <c r="M502" s="149" t="s">
        <v>777</v>
      </c>
      <c r="N502" s="149" t="s">
        <v>777</v>
      </c>
      <c r="O502" s="149" t="s">
        <v>35</v>
      </c>
      <c r="P502" s="196">
        <f t="shared" si="10"/>
        <v>0.99999999999999989</v>
      </c>
      <c r="Q502" s="199"/>
      <c r="R502" s="197"/>
      <c r="AA502" s="191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</row>
    <row r="503" spans="1:180" hidden="1" x14ac:dyDescent="0.25">
      <c r="A503" s="192" t="s">
        <v>1332</v>
      </c>
      <c r="B503" s="194" t="s">
        <v>515</v>
      </c>
      <c r="C503" s="147" t="s">
        <v>530</v>
      </c>
      <c r="D503" s="198"/>
      <c r="E503" s="198">
        <v>0.65</v>
      </c>
      <c r="F503" s="198">
        <v>0.15</v>
      </c>
      <c r="G503" s="198"/>
      <c r="H503" s="198"/>
      <c r="I503" s="198">
        <v>0.1</v>
      </c>
      <c r="J503" s="198">
        <v>0.1</v>
      </c>
      <c r="K503" s="149"/>
      <c r="L503" s="149"/>
      <c r="M503" s="149" t="s">
        <v>777</v>
      </c>
      <c r="N503" s="149" t="s">
        <v>777</v>
      </c>
      <c r="O503" s="149" t="s">
        <v>35</v>
      </c>
      <c r="P503" s="196">
        <f t="shared" si="10"/>
        <v>1</v>
      </c>
      <c r="Q503" s="199"/>
      <c r="R503" s="197"/>
      <c r="AA503" s="191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</row>
    <row r="504" spans="1:180" hidden="1" x14ac:dyDescent="0.25">
      <c r="A504" s="192" t="s">
        <v>1333</v>
      </c>
      <c r="B504" s="194" t="s">
        <v>515</v>
      </c>
      <c r="C504" s="147" t="s">
        <v>531</v>
      </c>
      <c r="D504" s="198"/>
      <c r="E504" s="198">
        <v>0.7</v>
      </c>
      <c r="F504" s="198">
        <v>0.1</v>
      </c>
      <c r="G504" s="198"/>
      <c r="H504" s="198"/>
      <c r="I504" s="198">
        <v>0.1</v>
      </c>
      <c r="J504" s="198">
        <v>0.1</v>
      </c>
      <c r="K504" s="149"/>
      <c r="L504" s="149"/>
      <c r="M504" s="149" t="s">
        <v>777</v>
      </c>
      <c r="N504" s="149" t="s">
        <v>777</v>
      </c>
      <c r="O504" s="149" t="s">
        <v>35</v>
      </c>
      <c r="P504" s="196">
        <f t="shared" si="10"/>
        <v>0.99999999999999989</v>
      </c>
      <c r="Q504" s="199"/>
      <c r="R504" s="197"/>
      <c r="AA504" s="191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</row>
    <row r="505" spans="1:180" hidden="1" x14ac:dyDescent="0.25">
      <c r="A505" s="192"/>
      <c r="B505" s="194"/>
      <c r="C505" s="147"/>
      <c r="D505" s="198"/>
      <c r="E505" s="198"/>
      <c r="F505" s="198"/>
      <c r="G505" s="198"/>
      <c r="H505" s="198"/>
      <c r="I505" s="198"/>
      <c r="J505" s="198"/>
      <c r="K505" s="149"/>
      <c r="L505" s="149"/>
      <c r="M505" s="149"/>
      <c r="N505" s="149"/>
      <c r="O505" s="149"/>
      <c r="P505" s="196"/>
      <c r="Q505" s="199"/>
      <c r="R505" s="197"/>
      <c r="AA505" s="191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</row>
    <row r="506" spans="1:180" customFormat="1" ht="30" hidden="1" x14ac:dyDescent="0.25">
      <c r="A506" s="185"/>
      <c r="B506" s="185" t="s">
        <v>532</v>
      </c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96"/>
      <c r="Q506" s="185"/>
      <c r="R506" s="152"/>
      <c r="S506" s="189"/>
      <c r="T506" s="190"/>
      <c r="U506" s="190"/>
      <c r="V506" s="190"/>
      <c r="W506" s="190"/>
      <c r="X506" s="146"/>
      <c r="Y506" s="184"/>
      <c r="Z506" s="60"/>
      <c r="AA506" s="191"/>
      <c r="AB506" s="60"/>
    </row>
    <row r="507" spans="1:180" customFormat="1" ht="30" hidden="1" x14ac:dyDescent="0.25">
      <c r="A507" s="192"/>
      <c r="B507" s="194" t="s">
        <v>532</v>
      </c>
      <c r="C507" s="195" t="s">
        <v>533</v>
      </c>
      <c r="D507" s="192" t="s">
        <v>221</v>
      </c>
      <c r="E507" s="192" t="s">
        <v>534</v>
      </c>
      <c r="F507" s="192" t="s">
        <v>535</v>
      </c>
      <c r="G507" s="192"/>
      <c r="H507" s="192"/>
      <c r="I507" s="192"/>
      <c r="J507" s="192"/>
      <c r="K507" s="192"/>
      <c r="L507" s="192"/>
      <c r="M507" s="192"/>
      <c r="N507" s="192"/>
      <c r="O507" s="192"/>
      <c r="P507" s="196"/>
      <c r="Q507" s="195"/>
      <c r="R507" s="152"/>
      <c r="S507" s="189" t="s">
        <v>1047</v>
      </c>
      <c r="T507" s="190"/>
      <c r="U507" s="190"/>
      <c r="V507" s="190" t="s">
        <v>1048</v>
      </c>
      <c r="W507" s="190" t="s">
        <v>1049</v>
      </c>
      <c r="X507" s="146"/>
      <c r="Y507" s="184"/>
      <c r="Z507" s="60"/>
      <c r="AA507" s="191"/>
      <c r="AB507" s="60"/>
    </row>
    <row r="508" spans="1:180" customFormat="1" ht="57.6" hidden="1" customHeight="1" x14ac:dyDescent="0.25">
      <c r="A508" s="192" t="s">
        <v>1334</v>
      </c>
      <c r="B508" s="194" t="s">
        <v>532</v>
      </c>
      <c r="C508" s="147" t="s">
        <v>533</v>
      </c>
      <c r="D508" s="198">
        <v>0.4</v>
      </c>
      <c r="E508" s="198">
        <v>0.2</v>
      </c>
      <c r="F508" s="198">
        <v>0.4</v>
      </c>
      <c r="G508" s="198"/>
      <c r="H508" s="198"/>
      <c r="I508" s="198"/>
      <c r="J508" s="198"/>
      <c r="K508" s="149"/>
      <c r="L508" s="149"/>
      <c r="M508" s="149"/>
      <c r="N508" s="149"/>
      <c r="O508" s="149" t="s">
        <v>35</v>
      </c>
      <c r="P508" s="196">
        <f>SUM(D508:K508)</f>
        <v>1</v>
      </c>
      <c r="Q508" s="228" t="s">
        <v>536</v>
      </c>
      <c r="R508" s="251"/>
      <c r="S508" s="189"/>
      <c r="T508" s="190"/>
      <c r="U508" s="190"/>
      <c r="V508" s="190"/>
      <c r="W508" s="190"/>
      <c r="X508" s="146"/>
      <c r="Y508" s="184"/>
      <c r="Z508" s="60"/>
      <c r="AA508" s="191"/>
      <c r="AB508" s="60"/>
    </row>
    <row r="509" spans="1:180" s="158" customFormat="1" ht="30" hidden="1" x14ac:dyDescent="0.25">
      <c r="A509" s="252"/>
      <c r="B509" s="253" t="s">
        <v>532</v>
      </c>
      <c r="C509" s="341" t="s">
        <v>796</v>
      </c>
      <c r="D509" s="252" t="s">
        <v>797</v>
      </c>
      <c r="E509" s="252" t="s">
        <v>798</v>
      </c>
      <c r="F509" s="252" t="s">
        <v>799</v>
      </c>
      <c r="G509" s="252"/>
      <c r="H509" s="252"/>
      <c r="I509" s="252"/>
      <c r="J509" s="252"/>
      <c r="K509" s="252"/>
      <c r="L509" s="252"/>
      <c r="M509" s="252"/>
      <c r="N509" s="252"/>
      <c r="O509" s="252"/>
      <c r="P509" s="256"/>
      <c r="Q509" s="341"/>
      <c r="R509" s="167"/>
      <c r="S509" s="284" t="s">
        <v>1047</v>
      </c>
      <c r="T509" s="285"/>
      <c r="U509" s="285"/>
      <c r="V509" s="285" t="s">
        <v>1048</v>
      </c>
      <c r="W509" s="285" t="s">
        <v>1049</v>
      </c>
      <c r="X509" s="166"/>
      <c r="Y509" s="166"/>
      <c r="Z509" s="166"/>
      <c r="AA509" s="342"/>
      <c r="AB509" s="166"/>
    </row>
    <row r="510" spans="1:180" s="158" customFormat="1" ht="57.6" hidden="1" customHeight="1" x14ac:dyDescent="0.25">
      <c r="A510" s="252" t="s">
        <v>1335</v>
      </c>
      <c r="B510" s="253" t="s">
        <v>532</v>
      </c>
      <c r="C510" s="169" t="s">
        <v>800</v>
      </c>
      <c r="D510" s="258">
        <v>0.1</v>
      </c>
      <c r="E510" s="258">
        <v>0.3</v>
      </c>
      <c r="F510" s="258">
        <v>0.6</v>
      </c>
      <c r="G510" s="258"/>
      <c r="H510" s="258"/>
      <c r="I510" s="258"/>
      <c r="J510" s="258"/>
      <c r="K510" s="161"/>
      <c r="L510" s="161"/>
      <c r="M510" s="161"/>
      <c r="N510" s="161"/>
      <c r="O510" s="161" t="s">
        <v>122</v>
      </c>
      <c r="P510" s="256">
        <f>SUM(D510:K510)</f>
        <v>1</v>
      </c>
      <c r="Q510" s="343"/>
      <c r="R510" s="283"/>
      <c r="S510" s="284"/>
      <c r="T510" s="285"/>
      <c r="U510" s="285"/>
      <c r="V510" s="285"/>
      <c r="W510" s="285"/>
      <c r="X510" s="166"/>
      <c r="Y510" s="166"/>
      <c r="Z510" s="166"/>
      <c r="AA510" s="342"/>
      <c r="AB510" s="166"/>
    </row>
    <row r="511" spans="1:180" customFormat="1" hidden="1" x14ac:dyDescent="0.25">
      <c r="A511" s="192"/>
      <c r="B511" s="194"/>
      <c r="C511" s="147"/>
      <c r="D511" s="198"/>
      <c r="E511" s="198"/>
      <c r="F511" s="198"/>
      <c r="G511" s="198"/>
      <c r="H511" s="198"/>
      <c r="I511" s="198"/>
      <c r="J511" s="198"/>
      <c r="K511" s="149"/>
      <c r="L511" s="149"/>
      <c r="M511" s="149"/>
      <c r="N511" s="149"/>
      <c r="O511" s="149"/>
      <c r="P511" s="196"/>
      <c r="Q511" s="199"/>
      <c r="R511" s="251" t="s">
        <v>787</v>
      </c>
      <c r="S511" s="189"/>
      <c r="T511" s="190"/>
      <c r="U511" s="190"/>
      <c r="V511" s="190"/>
      <c r="W511" s="190"/>
      <c r="X511" s="146"/>
      <c r="Y511" s="184"/>
      <c r="Z511" s="60"/>
      <c r="AA511" s="191"/>
      <c r="AB511" s="60"/>
    </row>
    <row r="512" spans="1:180" customFormat="1" ht="30" hidden="1" x14ac:dyDescent="0.25">
      <c r="A512" s="185"/>
      <c r="B512" s="185" t="s">
        <v>537</v>
      </c>
      <c r="C512" s="185" t="s">
        <v>538</v>
      </c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96"/>
      <c r="Q512" s="185"/>
      <c r="R512" s="152"/>
      <c r="S512" s="189"/>
      <c r="T512" s="190"/>
      <c r="U512" s="190"/>
      <c r="V512" s="190"/>
      <c r="W512" s="190"/>
      <c r="X512" s="146"/>
      <c r="Y512" s="184"/>
      <c r="Z512" s="60"/>
      <c r="AA512" s="191"/>
      <c r="AB512" s="60"/>
    </row>
    <row r="513" spans="1:180" customFormat="1" ht="30" hidden="1" x14ac:dyDescent="0.25">
      <c r="A513" s="192"/>
      <c r="B513" s="194" t="s">
        <v>537</v>
      </c>
      <c r="C513" s="195" t="s">
        <v>538</v>
      </c>
      <c r="D513" s="192" t="s">
        <v>539</v>
      </c>
      <c r="E513" s="192" t="s">
        <v>540</v>
      </c>
      <c r="F513" s="192" t="s">
        <v>539</v>
      </c>
      <c r="G513" s="192"/>
      <c r="H513" s="192"/>
      <c r="I513" s="192"/>
      <c r="J513" s="192"/>
      <c r="K513" s="192"/>
      <c r="L513" s="192"/>
      <c r="M513" s="192"/>
      <c r="N513" s="192"/>
      <c r="O513" s="192"/>
      <c r="P513" s="196"/>
      <c r="Q513" s="195"/>
      <c r="R513" s="152"/>
      <c r="S513" s="189" t="s">
        <v>1052</v>
      </c>
      <c r="T513" s="190"/>
      <c r="U513" s="190"/>
      <c r="V513" s="190" t="s">
        <v>1053</v>
      </c>
      <c r="W513" s="190" t="s">
        <v>1054</v>
      </c>
      <c r="X513" s="146"/>
      <c r="Y513" s="184"/>
      <c r="Z513" s="60"/>
      <c r="AA513" s="191"/>
      <c r="AB513" s="60"/>
    </row>
    <row r="514" spans="1:180" customFormat="1" ht="30" hidden="1" x14ac:dyDescent="0.25">
      <c r="A514" s="192" t="s">
        <v>1336</v>
      </c>
      <c r="B514" s="194" t="s">
        <v>537</v>
      </c>
      <c r="C514" s="147" t="s">
        <v>541</v>
      </c>
      <c r="D514" s="198">
        <v>0.05</v>
      </c>
      <c r="E514" s="198">
        <v>0.9</v>
      </c>
      <c r="F514" s="198">
        <v>0.05</v>
      </c>
      <c r="G514" s="198"/>
      <c r="H514" s="198"/>
      <c r="I514" s="198"/>
      <c r="J514" s="198"/>
      <c r="K514" s="149"/>
      <c r="L514" s="149"/>
      <c r="M514" s="149"/>
      <c r="N514" s="149"/>
      <c r="O514" s="149" t="s">
        <v>35</v>
      </c>
      <c r="P514" s="196">
        <f>SUM(D514:K514)</f>
        <v>1</v>
      </c>
      <c r="Q514" s="199"/>
      <c r="R514" s="251"/>
      <c r="S514" s="189"/>
      <c r="T514" s="190"/>
      <c r="U514" s="190"/>
      <c r="V514" s="190"/>
      <c r="W514" s="190"/>
      <c r="X514" s="146"/>
      <c r="Y514" s="184"/>
      <c r="Z514" s="60"/>
      <c r="AA514" s="191"/>
      <c r="AB514" s="60"/>
    </row>
    <row r="515" spans="1:180" customFormat="1" ht="30" hidden="1" x14ac:dyDescent="0.25">
      <c r="A515" s="192" t="s">
        <v>1337</v>
      </c>
      <c r="B515" s="194" t="s">
        <v>537</v>
      </c>
      <c r="C515" s="147"/>
      <c r="D515" s="198"/>
      <c r="E515" s="198"/>
      <c r="F515" s="198"/>
      <c r="G515" s="198"/>
      <c r="H515" s="198"/>
      <c r="I515" s="198"/>
      <c r="J515" s="198"/>
      <c r="K515" s="149"/>
      <c r="L515" s="149"/>
      <c r="M515" s="149"/>
      <c r="N515" s="149"/>
      <c r="O515" s="149"/>
      <c r="P515" s="196"/>
      <c r="Q515" s="199"/>
      <c r="R515" s="251" t="s">
        <v>787</v>
      </c>
      <c r="S515" s="189"/>
      <c r="T515" s="190"/>
      <c r="U515" s="190"/>
      <c r="V515" s="190"/>
      <c r="W515" s="190"/>
      <c r="X515" s="146"/>
      <c r="Y515" s="184"/>
      <c r="Z515" s="60"/>
      <c r="AA515" s="191"/>
      <c r="AB515" s="60"/>
    </row>
    <row r="516" spans="1:180" customFormat="1" x14ac:dyDescent="0.25">
      <c r="A516" s="192"/>
      <c r="B516" s="194"/>
      <c r="C516" s="147"/>
      <c r="D516" s="198"/>
      <c r="E516" s="198"/>
      <c r="F516" s="198"/>
      <c r="G516" s="198"/>
      <c r="H516" s="198"/>
      <c r="I516" s="198"/>
      <c r="J516" s="198"/>
      <c r="K516" s="149"/>
      <c r="L516" s="149"/>
      <c r="M516" s="149"/>
      <c r="N516" s="149"/>
      <c r="O516" s="149"/>
      <c r="P516" s="196"/>
      <c r="Q516" s="199"/>
      <c r="R516" s="251"/>
      <c r="S516" s="189"/>
      <c r="T516" s="190"/>
      <c r="U516" s="190"/>
      <c r="V516" s="190"/>
      <c r="W516" s="190"/>
      <c r="X516" s="146"/>
      <c r="Y516" s="184"/>
      <c r="Z516" s="60"/>
      <c r="AA516" s="191"/>
      <c r="AB516" s="60"/>
    </row>
    <row r="517" spans="1:180" customFormat="1" ht="30" x14ac:dyDescent="0.25">
      <c r="A517" s="185"/>
      <c r="B517" s="185" t="s">
        <v>537</v>
      </c>
      <c r="C517" s="185" t="s">
        <v>542</v>
      </c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96"/>
      <c r="Q517" s="185"/>
      <c r="R517" s="152"/>
      <c r="S517" s="189"/>
      <c r="T517" s="190"/>
      <c r="U517" s="190"/>
      <c r="V517" s="190"/>
      <c r="W517" s="190"/>
      <c r="X517" s="146"/>
      <c r="Y517" s="184"/>
      <c r="Z517" s="60"/>
      <c r="AA517" s="191"/>
      <c r="AB517" s="60"/>
    </row>
    <row r="518" spans="1:180" customFormat="1" ht="30" x14ac:dyDescent="0.25">
      <c r="A518" s="192"/>
      <c r="B518" s="194" t="s">
        <v>537</v>
      </c>
      <c r="C518" s="202"/>
      <c r="D518" s="235"/>
      <c r="E518" s="235"/>
      <c r="F518" s="235"/>
      <c r="G518" s="235"/>
      <c r="H518" s="235"/>
      <c r="I518" s="235"/>
      <c r="J518" s="235"/>
      <c r="K518" s="206"/>
      <c r="L518" s="206"/>
      <c r="M518" s="206"/>
      <c r="N518" s="206"/>
      <c r="O518" s="206"/>
      <c r="P518" s="192"/>
      <c r="Q518" s="193"/>
      <c r="R518" s="344"/>
      <c r="S518" s="192"/>
      <c r="T518" s="194"/>
      <c r="U518" s="147"/>
      <c r="V518" s="198"/>
      <c r="W518" s="198"/>
      <c r="X518" s="247"/>
      <c r="Y518" s="345"/>
      <c r="Z518" s="345"/>
      <c r="AA518" s="345"/>
      <c r="AB518" s="345"/>
    </row>
    <row r="519" spans="1:180" customFormat="1" ht="105.75" customHeight="1" x14ac:dyDescent="0.25">
      <c r="A519" s="192" t="s">
        <v>1338</v>
      </c>
      <c r="B519" s="194" t="s">
        <v>537</v>
      </c>
      <c r="C519" s="147"/>
      <c r="D519" s="198"/>
      <c r="E519" s="198"/>
      <c r="F519" s="198"/>
      <c r="G519" s="198"/>
      <c r="H519" s="198"/>
      <c r="I519" s="198"/>
      <c r="J519" s="198"/>
      <c r="K519" s="149"/>
      <c r="L519" s="149"/>
      <c r="M519" s="149"/>
      <c r="N519" s="149"/>
      <c r="O519" s="149"/>
      <c r="P519" s="196">
        <f>SUM(D519:K519)</f>
        <v>0</v>
      </c>
      <c r="Q519" s="199" t="s">
        <v>543</v>
      </c>
      <c r="R519" s="251"/>
      <c r="S519" s="189" t="s">
        <v>1055</v>
      </c>
      <c r="T519" s="190"/>
      <c r="U519" s="190"/>
      <c r="V519" s="190" t="s">
        <v>1056</v>
      </c>
      <c r="W519" s="190" t="s">
        <v>1057</v>
      </c>
      <c r="X519" s="146"/>
      <c r="Y519" s="184"/>
      <c r="Z519" s="60"/>
      <c r="AA519" s="191"/>
      <c r="AB519" s="60"/>
    </row>
    <row r="520" spans="1:180" customFormat="1" ht="30" x14ac:dyDescent="0.25">
      <c r="A520" s="192" t="s">
        <v>1339</v>
      </c>
      <c r="B520" s="194" t="s">
        <v>537</v>
      </c>
      <c r="C520" s="147"/>
      <c r="D520" s="198"/>
      <c r="E520" s="198"/>
      <c r="F520" s="198"/>
      <c r="G520" s="198"/>
      <c r="H520" s="198"/>
      <c r="I520" s="198"/>
      <c r="J520" s="198"/>
      <c r="K520" s="149"/>
      <c r="L520" s="149"/>
      <c r="M520" s="149"/>
      <c r="N520" s="149"/>
      <c r="O520" s="149"/>
      <c r="P520" s="196">
        <f>SUM(D520:J520)</f>
        <v>0</v>
      </c>
      <c r="Q520" s="199"/>
      <c r="R520" s="251" t="s">
        <v>787</v>
      </c>
      <c r="S520" s="189"/>
      <c r="T520" s="190"/>
      <c r="U520" s="190"/>
      <c r="V520" s="190"/>
      <c r="W520" s="190"/>
      <c r="X520" s="146"/>
      <c r="Y520" s="184"/>
      <c r="Z520" s="60"/>
      <c r="AA520" s="191"/>
      <c r="AB520" s="60"/>
    </row>
    <row r="521" spans="1:180" customFormat="1" x14ac:dyDescent="0.25">
      <c r="A521" s="192"/>
      <c r="B521" s="194"/>
      <c r="C521" s="147"/>
      <c r="D521" s="198"/>
      <c r="E521" s="198"/>
      <c r="F521" s="198"/>
      <c r="G521" s="198"/>
      <c r="H521" s="198"/>
      <c r="I521" s="198"/>
      <c r="J521" s="198"/>
      <c r="K521" s="149"/>
      <c r="L521" s="149"/>
      <c r="M521" s="149"/>
      <c r="N521" s="149"/>
      <c r="O521" s="149"/>
      <c r="P521" s="196"/>
      <c r="Q521" s="199"/>
      <c r="R521" s="251"/>
      <c r="S521" s="189"/>
      <c r="T521" s="190"/>
      <c r="U521" s="190"/>
      <c r="V521" s="190"/>
      <c r="W521" s="190"/>
      <c r="X521" s="146"/>
      <c r="Y521" s="184"/>
      <c r="Z521" s="60"/>
      <c r="AA521" s="191"/>
      <c r="AB521" s="60"/>
    </row>
    <row r="522" spans="1:180" customFormat="1" ht="30" x14ac:dyDescent="0.25">
      <c r="A522" s="185"/>
      <c r="B522" s="185" t="s">
        <v>537</v>
      </c>
      <c r="C522" s="185" t="s">
        <v>544</v>
      </c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96"/>
      <c r="Q522" s="185"/>
      <c r="R522" s="152"/>
      <c r="S522" s="189"/>
      <c r="T522" s="190"/>
      <c r="U522" s="190"/>
      <c r="V522" s="190"/>
      <c r="W522" s="190"/>
      <c r="X522" s="146"/>
      <c r="Y522" s="184"/>
      <c r="Z522" s="60"/>
      <c r="AA522" s="191"/>
      <c r="AB522" s="60"/>
    </row>
    <row r="523" spans="1:180" customFormat="1" ht="30" x14ac:dyDescent="0.25">
      <c r="A523" s="240"/>
      <c r="B523" s="194" t="s">
        <v>537</v>
      </c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196"/>
      <c r="Q523" s="195"/>
      <c r="R523" s="152"/>
      <c r="S523" s="189"/>
      <c r="T523" s="190"/>
      <c r="U523" s="190"/>
      <c r="V523" s="190"/>
      <c r="W523" s="190"/>
      <c r="X523" s="146"/>
      <c r="Y523" s="184"/>
      <c r="Z523" s="60"/>
      <c r="AA523" s="191"/>
      <c r="AB523" s="60"/>
    </row>
    <row r="524" spans="1:180" ht="111" customHeight="1" x14ac:dyDescent="0.25">
      <c r="A524" s="192" t="s">
        <v>1340</v>
      </c>
      <c r="B524" s="194" t="s">
        <v>537</v>
      </c>
      <c r="C524" s="240"/>
      <c r="D524" s="198"/>
      <c r="E524" s="198"/>
      <c r="F524" s="198"/>
      <c r="G524" s="198"/>
      <c r="H524" s="198"/>
      <c r="I524" s="198"/>
      <c r="J524" s="198"/>
      <c r="K524" s="149"/>
      <c r="L524" s="149"/>
      <c r="M524" s="149"/>
      <c r="N524" s="149"/>
      <c r="O524" s="149"/>
      <c r="P524" s="196">
        <f>SUM(D524:K524)</f>
        <v>0</v>
      </c>
      <c r="Q524" s="199" t="s">
        <v>543</v>
      </c>
      <c r="R524" s="251"/>
      <c r="S524" s="189" t="s">
        <v>1058</v>
      </c>
      <c r="V524" s="190" t="s">
        <v>1059</v>
      </c>
      <c r="W524" s="190" t="s">
        <v>1060</v>
      </c>
      <c r="AA524" s="191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</row>
    <row r="525" spans="1:180" ht="30" x14ac:dyDescent="0.25">
      <c r="A525" s="192" t="s">
        <v>1341</v>
      </c>
      <c r="B525" s="194" t="s">
        <v>537</v>
      </c>
      <c r="C525" s="147"/>
      <c r="D525" s="198"/>
      <c r="E525" s="198"/>
      <c r="F525" s="198"/>
      <c r="G525" s="198"/>
      <c r="H525" s="198"/>
      <c r="I525" s="198"/>
      <c r="J525" s="198"/>
      <c r="K525" s="149"/>
      <c r="L525" s="149"/>
      <c r="M525" s="149"/>
      <c r="N525" s="149"/>
      <c r="O525" s="149"/>
      <c r="P525" s="346">
        <f>SUM(D525:J525)</f>
        <v>0</v>
      </c>
      <c r="Q525" s="199"/>
      <c r="R525" s="251" t="s">
        <v>787</v>
      </c>
      <c r="AA525" s="191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</row>
  </sheetData>
  <autoFilter ref="A1:N515" xr:uid="{FE81F984-D037-43F0-AE16-7176D9CD302C}">
    <filterColumn colId="1">
      <filters>
        <filter val="Structural Steel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C027-A3F3-4BCB-996F-C7D71B3CCD70}">
  <dimension ref="A4:Z44"/>
  <sheetViews>
    <sheetView zoomScale="80" zoomScaleNormal="80" workbookViewId="0">
      <selection activeCell="Z23" sqref="Z23"/>
    </sheetView>
  </sheetViews>
  <sheetFormatPr defaultRowHeight="15" x14ac:dyDescent="0.25"/>
  <cols>
    <col min="1" max="1" width="17.42578125" customWidth="1"/>
    <col min="2" max="2" width="7.42578125" customWidth="1"/>
    <col min="3" max="3" width="8.5703125" bestFit="1" customWidth="1"/>
    <col min="4" max="4" width="10.42578125" bestFit="1" customWidth="1"/>
    <col min="5" max="5" width="10.5703125" customWidth="1"/>
    <col min="6" max="6" width="63.42578125" bestFit="1" customWidth="1"/>
    <col min="7" max="7" width="25.5703125" customWidth="1"/>
    <col min="8" max="8" width="8.5703125" customWidth="1"/>
    <col min="9" max="10" width="10.5703125" customWidth="1"/>
    <col min="11" max="11" width="7.5703125" customWidth="1"/>
    <col min="12" max="13" width="10.5703125" customWidth="1"/>
    <col min="14" max="14" width="12.5703125" customWidth="1"/>
    <col min="15" max="20" width="5.5703125" customWidth="1"/>
    <col min="21" max="23" width="12.5703125" customWidth="1"/>
    <col min="26" max="26" width="60.5703125" customWidth="1"/>
  </cols>
  <sheetData>
    <row r="4" spans="1:26" ht="15.75" thickBot="1" x14ac:dyDescent="0.3"/>
    <row r="5" spans="1:26" ht="26.25" thickBot="1" x14ac:dyDescent="0.3">
      <c r="A5" s="351" t="s">
        <v>6</v>
      </c>
      <c r="B5" s="352" t="s">
        <v>7</v>
      </c>
      <c r="C5" s="352" t="s">
        <v>18</v>
      </c>
      <c r="D5" s="352"/>
      <c r="E5" s="352"/>
      <c r="F5" s="352" t="s">
        <v>8</v>
      </c>
      <c r="G5" s="352" t="s">
        <v>1455</v>
      </c>
      <c r="H5" s="353" t="s">
        <v>548</v>
      </c>
      <c r="I5" s="352" t="s">
        <v>549</v>
      </c>
      <c r="J5" s="352" t="s">
        <v>553</v>
      </c>
      <c r="K5" s="352" t="s">
        <v>550</v>
      </c>
      <c r="L5" s="353" t="s">
        <v>552</v>
      </c>
      <c r="M5" s="353" t="s">
        <v>0</v>
      </c>
      <c r="N5" s="353" t="s">
        <v>551</v>
      </c>
      <c r="O5" s="353" t="s">
        <v>9</v>
      </c>
      <c r="P5" s="353" t="s">
        <v>10</v>
      </c>
      <c r="Q5" s="353" t="s">
        <v>11</v>
      </c>
      <c r="R5" s="353" t="s">
        <v>12</v>
      </c>
      <c r="S5" s="353" t="s">
        <v>13</v>
      </c>
      <c r="T5" s="353" t="s">
        <v>609</v>
      </c>
      <c r="U5" s="352" t="s">
        <v>1</v>
      </c>
      <c r="V5" s="352" t="s">
        <v>2</v>
      </c>
      <c r="W5" s="352" t="s">
        <v>610</v>
      </c>
      <c r="X5" s="352"/>
      <c r="Y5" s="352"/>
      <c r="Z5" s="354" t="s">
        <v>5</v>
      </c>
    </row>
    <row r="6" spans="1:26" x14ac:dyDescent="0.25">
      <c r="A6" s="355" t="s">
        <v>6</v>
      </c>
      <c r="B6" s="356" t="s">
        <v>7</v>
      </c>
      <c r="C6" s="356" t="s">
        <v>18</v>
      </c>
      <c r="D6" s="356" t="s">
        <v>1354</v>
      </c>
      <c r="E6" s="356" t="s">
        <v>1353</v>
      </c>
      <c r="F6" s="356" t="s">
        <v>8</v>
      </c>
      <c r="G6" s="357"/>
      <c r="H6" s="357"/>
      <c r="I6" s="357"/>
      <c r="J6" s="357"/>
      <c r="K6" s="357"/>
      <c r="L6" s="358" t="e">
        <f>L7+L28+L51+L82+L110+L141+L200+L228</f>
        <v>#VALUE!</v>
      </c>
      <c r="M6" s="358" t="e">
        <f>M7+M28+M51+M82+M110+M141+M200+M228</f>
        <v>#VALUE!</v>
      </c>
      <c r="N6" s="358" t="e">
        <f>N7+N28+N51+N82+N110+N141+N200+N228</f>
        <v>#VALUE!</v>
      </c>
      <c r="O6" s="359"/>
      <c r="P6" s="359"/>
      <c r="Q6" s="359"/>
      <c r="R6" s="359"/>
      <c r="S6" s="359"/>
      <c r="T6" s="359"/>
      <c r="U6" s="360"/>
      <c r="V6" s="358" t="e">
        <f>V7+V28+V51+V82+V110+V141+V200+V228</f>
        <v>#VALUE!</v>
      </c>
      <c r="W6" s="358">
        <f>SUM(W7)</f>
        <v>27641</v>
      </c>
      <c r="X6" s="361"/>
      <c r="Y6" s="361"/>
      <c r="Z6" s="362"/>
    </row>
    <row r="7" spans="1:26" x14ac:dyDescent="0.25">
      <c r="A7" s="363"/>
      <c r="B7" s="364"/>
      <c r="C7" s="364"/>
      <c r="D7" s="364"/>
      <c r="E7" s="364"/>
      <c r="F7" s="365" t="s">
        <v>1391</v>
      </c>
      <c r="G7" s="365"/>
      <c r="H7" s="364"/>
      <c r="I7" s="364"/>
      <c r="J7" s="364"/>
      <c r="K7" s="364"/>
      <c r="L7" s="366">
        <f>SUM(L8:L26)</f>
        <v>0</v>
      </c>
      <c r="M7" s="367">
        <f>SUM(M8:M26)</f>
        <v>0</v>
      </c>
      <c r="N7" s="367">
        <f>SUM(N8:N26)</f>
        <v>0</v>
      </c>
      <c r="O7" s="368" t="s">
        <v>1474</v>
      </c>
      <c r="P7" s="368" t="s">
        <v>1474</v>
      </c>
      <c r="Q7" s="368" t="s">
        <v>1474</v>
      </c>
      <c r="R7" s="368" t="s">
        <v>1474</v>
      </c>
      <c r="S7" s="368" t="s">
        <v>1474</v>
      </c>
      <c r="T7" s="368" t="s">
        <v>1474</v>
      </c>
      <c r="U7" s="369" t="e">
        <f>AVERAGE(U8:U25)</f>
        <v>#DIV/0!</v>
      </c>
      <c r="V7" s="366">
        <f>SUM(V8:V26)</f>
        <v>0</v>
      </c>
      <c r="W7" s="366">
        <f>SUM(W8:W26)</f>
        <v>27641</v>
      </c>
      <c r="X7" s="433"/>
      <c r="Y7" s="378"/>
      <c r="Z7" s="379"/>
    </row>
    <row r="8" spans="1:26" x14ac:dyDescent="0.25">
      <c r="A8" s="1" t="s">
        <v>1390</v>
      </c>
      <c r="B8" s="3" t="s">
        <v>545</v>
      </c>
      <c r="C8" s="3" t="s">
        <v>1224</v>
      </c>
      <c r="D8" s="3"/>
      <c r="E8" s="3"/>
      <c r="F8" s="3" t="s">
        <v>1389</v>
      </c>
      <c r="G8" s="3" t="s">
        <v>1404</v>
      </c>
      <c r="H8" s="3"/>
      <c r="I8" s="3"/>
      <c r="J8" s="429"/>
      <c r="K8" s="3"/>
      <c r="L8" s="2"/>
      <c r="M8" s="2"/>
      <c r="N8" s="2"/>
      <c r="O8" s="349"/>
      <c r="P8" s="349"/>
      <c r="Q8" s="349"/>
      <c r="R8" s="349"/>
      <c r="S8" s="349"/>
      <c r="T8" s="349"/>
      <c r="U8" s="350"/>
      <c r="V8" s="348"/>
      <c r="W8" s="348">
        <v>227</v>
      </c>
      <c r="X8" s="2"/>
      <c r="Y8" s="4"/>
      <c r="Z8" s="5" t="s">
        <v>1413</v>
      </c>
    </row>
    <row r="9" spans="1:26" ht="26.25" x14ac:dyDescent="0.25">
      <c r="A9" s="1"/>
      <c r="B9" s="3" t="s">
        <v>545</v>
      </c>
      <c r="C9" s="3"/>
      <c r="D9" s="3"/>
      <c r="E9" s="3"/>
      <c r="F9" s="431" t="s">
        <v>1388</v>
      </c>
      <c r="G9" s="462" t="s">
        <v>1456</v>
      </c>
      <c r="H9" s="429"/>
      <c r="I9" s="3"/>
      <c r="J9" s="429"/>
      <c r="K9" s="3"/>
      <c r="L9" s="2"/>
      <c r="M9" s="2"/>
      <c r="N9" s="2"/>
      <c r="O9" s="349"/>
      <c r="P9" s="349"/>
      <c r="Q9" s="349"/>
      <c r="R9" s="349"/>
      <c r="S9" s="349"/>
      <c r="T9" s="349"/>
      <c r="U9" s="350"/>
      <c r="V9" s="348"/>
      <c r="W9" s="348">
        <v>415</v>
      </c>
      <c r="X9" s="2"/>
      <c r="Y9" s="4"/>
      <c r="Z9" s="5" t="s">
        <v>1414</v>
      </c>
    </row>
    <row r="10" spans="1:26" ht="26.25" x14ac:dyDescent="0.25">
      <c r="A10" s="1"/>
      <c r="B10" s="3" t="s">
        <v>545</v>
      </c>
      <c r="C10" s="3"/>
      <c r="D10" s="3"/>
      <c r="E10" s="3"/>
      <c r="F10" s="431" t="s">
        <v>1394</v>
      </c>
      <c r="G10" s="3" t="s">
        <v>1403</v>
      </c>
      <c r="H10" s="429"/>
      <c r="I10" s="3"/>
      <c r="J10" s="429"/>
      <c r="K10" s="3"/>
      <c r="L10" s="2"/>
      <c r="M10" s="2"/>
      <c r="N10" s="2"/>
      <c r="O10" s="349"/>
      <c r="P10" s="349"/>
      <c r="Q10" s="349"/>
      <c r="R10" s="349"/>
      <c r="S10" s="349"/>
      <c r="T10" s="349"/>
      <c r="U10" s="350"/>
      <c r="V10" s="348"/>
      <c r="W10" s="348">
        <v>40</v>
      </c>
      <c r="X10" s="2"/>
      <c r="Y10" s="4"/>
      <c r="Z10" s="5" t="s">
        <v>1414</v>
      </c>
    </row>
    <row r="11" spans="1:26" ht="39" x14ac:dyDescent="0.25">
      <c r="A11" s="1"/>
      <c r="B11" s="3" t="s">
        <v>545</v>
      </c>
      <c r="C11" s="3"/>
      <c r="D11" s="3"/>
      <c r="E11" s="3"/>
      <c r="F11" s="3" t="s">
        <v>1392</v>
      </c>
      <c r="G11" s="462" t="s">
        <v>1459</v>
      </c>
      <c r="H11" s="3"/>
      <c r="I11" s="3"/>
      <c r="J11" s="429"/>
      <c r="K11" s="3"/>
      <c r="L11" s="2"/>
      <c r="M11" s="2"/>
      <c r="N11" s="2"/>
      <c r="O11" s="349"/>
      <c r="P11" s="349"/>
      <c r="Q11" s="349"/>
      <c r="R11" s="349"/>
      <c r="S11" s="349"/>
      <c r="T11" s="349"/>
      <c r="U11" s="350"/>
      <c r="V11" s="348"/>
      <c r="W11" s="348">
        <f>102.5+190.5</f>
        <v>293</v>
      </c>
      <c r="X11" s="2"/>
      <c r="Y11" s="4"/>
      <c r="Z11" s="5" t="s">
        <v>1414</v>
      </c>
    </row>
    <row r="12" spans="1:26" ht="51.75" x14ac:dyDescent="0.25">
      <c r="A12" s="1"/>
      <c r="B12" s="3" t="s">
        <v>545</v>
      </c>
      <c r="C12" s="3"/>
      <c r="D12" s="3"/>
      <c r="E12" s="3"/>
      <c r="F12" s="3" t="s">
        <v>1393</v>
      </c>
      <c r="G12" s="462" t="s">
        <v>1457</v>
      </c>
      <c r="H12" s="3"/>
      <c r="I12" s="3"/>
      <c r="J12" s="429"/>
      <c r="K12" s="3"/>
      <c r="L12" s="2"/>
      <c r="M12" s="2"/>
      <c r="N12" s="2"/>
      <c r="O12" s="349"/>
      <c r="P12" s="349"/>
      <c r="Q12" s="349"/>
      <c r="R12" s="349"/>
      <c r="S12" s="349"/>
      <c r="T12" s="349"/>
      <c r="U12" s="350"/>
      <c r="V12" s="348"/>
      <c r="W12" s="348">
        <v>224.5</v>
      </c>
      <c r="X12" s="2"/>
      <c r="Y12" s="4"/>
      <c r="Z12" s="5" t="s">
        <v>1414</v>
      </c>
    </row>
    <row r="13" spans="1:26" ht="39" x14ac:dyDescent="0.25">
      <c r="A13" s="1"/>
      <c r="B13" s="3" t="s">
        <v>545</v>
      </c>
      <c r="C13" s="3"/>
      <c r="D13" s="3"/>
      <c r="E13" s="3"/>
      <c r="F13" s="3" t="s">
        <v>1415</v>
      </c>
      <c r="G13" s="462" t="s">
        <v>1500</v>
      </c>
      <c r="H13" s="3"/>
      <c r="I13" s="3"/>
      <c r="J13" s="429"/>
      <c r="K13" s="3"/>
      <c r="L13" s="2"/>
      <c r="M13" s="2"/>
      <c r="N13" s="2"/>
      <c r="O13" s="349"/>
      <c r="P13" s="349"/>
      <c r="Q13" s="349"/>
      <c r="R13" s="349"/>
      <c r="S13" s="349"/>
      <c r="T13" s="349"/>
      <c r="U13" s="350"/>
      <c r="V13" s="348"/>
      <c r="W13" s="348">
        <f>76.5+12+118.5</f>
        <v>207</v>
      </c>
      <c r="X13" s="2"/>
      <c r="Y13" s="4"/>
      <c r="Z13" s="5" t="s">
        <v>1418</v>
      </c>
    </row>
    <row r="14" spans="1:26" x14ac:dyDescent="0.25">
      <c r="A14" s="1"/>
      <c r="B14" s="3" t="s">
        <v>1368</v>
      </c>
      <c r="C14" s="3"/>
      <c r="D14" s="3"/>
      <c r="E14" s="3"/>
      <c r="F14" s="3" t="s">
        <v>1416</v>
      </c>
      <c r="G14" s="3" t="s">
        <v>1417</v>
      </c>
      <c r="H14" s="3"/>
      <c r="I14" s="3"/>
      <c r="J14" s="429"/>
      <c r="K14" s="3"/>
      <c r="L14" s="2"/>
      <c r="M14" s="2"/>
      <c r="N14" s="2"/>
      <c r="O14" s="349"/>
      <c r="P14" s="349"/>
      <c r="Q14" s="349"/>
      <c r="R14" s="349"/>
      <c r="S14" s="349"/>
      <c r="T14" s="349"/>
      <c r="U14" s="350"/>
      <c r="V14" s="348"/>
      <c r="W14" s="348">
        <v>52.5</v>
      </c>
      <c r="X14" s="2"/>
      <c r="Y14" s="4"/>
      <c r="Z14" s="5" t="s">
        <v>1419</v>
      </c>
    </row>
    <row r="15" spans="1:26" ht="26.25" x14ac:dyDescent="0.25">
      <c r="A15" s="1"/>
      <c r="B15" s="3"/>
      <c r="C15" s="3"/>
      <c r="D15" s="3"/>
      <c r="E15" s="3"/>
      <c r="F15" s="431" t="s">
        <v>1420</v>
      </c>
      <c r="G15" s="462" t="s">
        <v>1458</v>
      </c>
      <c r="H15" s="3"/>
      <c r="I15" s="3"/>
      <c r="J15" s="429"/>
      <c r="K15" s="3"/>
      <c r="L15" s="2"/>
      <c r="M15" s="2"/>
      <c r="N15" s="2"/>
      <c r="O15" s="349"/>
      <c r="P15" s="349"/>
      <c r="Q15" s="349"/>
      <c r="R15" s="349"/>
      <c r="S15" s="349"/>
      <c r="T15" s="349"/>
      <c r="U15" s="350"/>
      <c r="V15" s="348"/>
      <c r="W15" s="348">
        <f>5+4</f>
        <v>9</v>
      </c>
      <c r="X15" s="2"/>
      <c r="Y15" s="4"/>
      <c r="Z15" s="5" t="s">
        <v>1421</v>
      </c>
    </row>
    <row r="16" spans="1:26" ht="26.25" x14ac:dyDescent="0.25">
      <c r="A16" s="1"/>
      <c r="B16" s="3" t="s">
        <v>1368</v>
      </c>
      <c r="C16" s="3"/>
      <c r="D16" s="3"/>
      <c r="E16" s="3"/>
      <c r="F16" s="432" t="s">
        <v>1434</v>
      </c>
      <c r="G16" s="460" t="s">
        <v>1435</v>
      </c>
      <c r="H16" s="3"/>
      <c r="I16" s="3"/>
      <c r="J16" s="429"/>
      <c r="K16" s="3"/>
      <c r="L16" s="2"/>
      <c r="M16" s="2"/>
      <c r="N16" s="2"/>
      <c r="O16" s="349"/>
      <c r="P16" s="349"/>
      <c r="Q16" s="349"/>
      <c r="R16" s="349"/>
      <c r="S16" s="349"/>
      <c r="T16" s="349"/>
      <c r="U16" s="350"/>
      <c r="V16" s="348"/>
      <c r="W16" s="348">
        <v>47.5</v>
      </c>
      <c r="X16" s="2"/>
      <c r="Y16" s="4"/>
      <c r="Z16" s="5"/>
    </row>
    <row r="17" spans="1:26" ht="26.25" x14ac:dyDescent="0.25">
      <c r="A17" s="1"/>
      <c r="B17" s="3" t="s">
        <v>1368</v>
      </c>
      <c r="C17" s="3"/>
      <c r="D17" s="3"/>
      <c r="E17" s="3"/>
      <c r="F17" s="432" t="s">
        <v>1434</v>
      </c>
      <c r="G17" s="3" t="s">
        <v>1453</v>
      </c>
      <c r="H17" s="3"/>
      <c r="I17" s="3"/>
      <c r="J17" s="429"/>
      <c r="K17" s="3"/>
      <c r="L17" s="2"/>
      <c r="M17" s="2"/>
      <c r="N17" s="2"/>
      <c r="O17" s="349"/>
      <c r="P17" s="349"/>
      <c r="Q17" s="349"/>
      <c r="R17" s="349"/>
      <c r="S17" s="349"/>
      <c r="T17" s="349"/>
      <c r="U17" s="350"/>
      <c r="V17" s="348"/>
      <c r="W17" s="348">
        <v>21.5</v>
      </c>
      <c r="X17" s="2"/>
      <c r="Y17" s="4"/>
      <c r="Z17" s="5" t="s">
        <v>1454</v>
      </c>
    </row>
    <row r="18" spans="1:26" x14ac:dyDescent="0.25">
      <c r="A18" s="1"/>
      <c r="B18" s="3"/>
      <c r="C18" s="3"/>
      <c r="D18" s="3"/>
      <c r="E18" s="3"/>
      <c r="F18" s="3"/>
      <c r="G18" s="3"/>
      <c r="H18" s="3"/>
      <c r="I18" s="3"/>
      <c r="J18" s="429"/>
      <c r="K18" s="3"/>
      <c r="L18" s="2"/>
      <c r="M18" s="2"/>
      <c r="N18" s="2"/>
      <c r="O18" s="349"/>
      <c r="P18" s="349"/>
      <c r="Q18" s="349"/>
      <c r="R18" s="349"/>
      <c r="S18" s="349"/>
      <c r="T18" s="349"/>
      <c r="U18" s="350"/>
      <c r="V18" s="348"/>
      <c r="W18" s="348"/>
      <c r="X18" s="2"/>
      <c r="Y18" s="4"/>
      <c r="Z18" s="5"/>
    </row>
    <row r="19" spans="1:26" ht="90" x14ac:dyDescent="0.25">
      <c r="A19" s="1"/>
      <c r="B19" s="3" t="s">
        <v>1368</v>
      </c>
      <c r="C19" s="3"/>
      <c r="D19" s="3"/>
      <c r="E19" s="3"/>
      <c r="F19" s="3" t="s">
        <v>4933</v>
      </c>
      <c r="G19" s="462" t="s">
        <v>5261</v>
      </c>
      <c r="H19" s="3"/>
      <c r="I19" s="3"/>
      <c r="J19" s="429"/>
      <c r="K19" s="3"/>
      <c r="L19" s="2"/>
      <c r="M19" s="2"/>
      <c r="N19" s="2"/>
      <c r="O19" s="349"/>
      <c r="P19" s="349"/>
      <c r="Q19" s="349"/>
      <c r="R19" s="349"/>
      <c r="S19" s="349"/>
      <c r="T19" s="349"/>
      <c r="U19" s="350"/>
      <c r="V19" s="348"/>
      <c r="W19" s="348">
        <f>187.5+1156.5+1250.5+586.5+565+380.5+728.5</f>
        <v>4855</v>
      </c>
      <c r="X19" s="2"/>
      <c r="Y19" s="4"/>
      <c r="Z19" s="569" t="s">
        <v>5256</v>
      </c>
    </row>
    <row r="20" spans="1:26" ht="90" x14ac:dyDescent="0.25">
      <c r="A20" s="1"/>
      <c r="B20" s="3" t="s">
        <v>1368</v>
      </c>
      <c r="C20" s="3"/>
      <c r="D20" s="3"/>
      <c r="E20" s="3"/>
      <c r="F20" s="3" t="s">
        <v>4934</v>
      </c>
      <c r="G20" s="462" t="s">
        <v>5261</v>
      </c>
      <c r="H20" s="3"/>
      <c r="I20" s="3"/>
      <c r="J20" s="429"/>
      <c r="K20" s="3"/>
      <c r="L20" s="2"/>
      <c r="M20" s="2"/>
      <c r="N20" s="2"/>
      <c r="O20" s="349"/>
      <c r="P20" s="349"/>
      <c r="Q20" s="349"/>
      <c r="R20" s="349"/>
      <c r="S20" s="349"/>
      <c r="T20" s="349"/>
      <c r="U20" s="350"/>
      <c r="V20" s="348"/>
      <c r="W20" s="348">
        <f>204.5+296.5+355+296.75+253+272+398.75</f>
        <v>2076.5</v>
      </c>
      <c r="X20" s="2"/>
      <c r="Y20" s="4"/>
      <c r="Z20" s="5" t="s">
        <v>5257</v>
      </c>
    </row>
    <row r="21" spans="1:26" ht="90" x14ac:dyDescent="0.25">
      <c r="A21" s="1"/>
      <c r="B21" s="3" t="s">
        <v>1368</v>
      </c>
      <c r="C21" s="3"/>
      <c r="D21" s="3"/>
      <c r="E21" s="3"/>
      <c r="F21" s="3" t="s">
        <v>4935</v>
      </c>
      <c r="G21" s="462" t="s">
        <v>5261</v>
      </c>
      <c r="H21" s="3"/>
      <c r="I21" s="3"/>
      <c r="J21" s="429"/>
      <c r="K21" s="3"/>
      <c r="L21" s="2"/>
      <c r="M21" s="2"/>
      <c r="N21" s="2"/>
      <c r="O21" s="349"/>
      <c r="P21" s="349"/>
      <c r="Q21" s="349"/>
      <c r="R21" s="349"/>
      <c r="S21" s="349"/>
      <c r="T21" s="349"/>
      <c r="U21" s="350"/>
      <c r="V21" s="348"/>
      <c r="W21" s="348">
        <f>145+29+302+320+419+184</f>
        <v>1399</v>
      </c>
      <c r="X21" s="2"/>
      <c r="Y21" s="4"/>
      <c r="Z21" s="5" t="s">
        <v>5258</v>
      </c>
    </row>
    <row r="22" spans="1:26" ht="90" x14ac:dyDescent="0.25">
      <c r="A22" s="1"/>
      <c r="B22" s="3" t="s">
        <v>1368</v>
      </c>
      <c r="C22" s="3"/>
      <c r="D22" s="3"/>
      <c r="E22" s="3"/>
      <c r="F22" s="3" t="s">
        <v>4963</v>
      </c>
      <c r="G22" s="462" t="s">
        <v>5260</v>
      </c>
      <c r="H22" s="3"/>
      <c r="I22" s="3"/>
      <c r="J22" s="429"/>
      <c r="K22" s="3"/>
      <c r="L22" s="2"/>
      <c r="M22" s="2"/>
      <c r="N22" s="2"/>
      <c r="O22" s="349"/>
      <c r="P22" s="349"/>
      <c r="Q22" s="349"/>
      <c r="R22" s="349"/>
      <c r="S22" s="349"/>
      <c r="T22" s="349"/>
      <c r="U22" s="350"/>
      <c r="V22" s="348"/>
      <c r="W22" s="348">
        <f>350+668+748+660.25+403+424.5+709.75</f>
        <v>3963.5</v>
      </c>
      <c r="X22" s="2"/>
      <c r="Y22" s="4"/>
      <c r="Z22" s="5" t="s">
        <v>5418</v>
      </c>
    </row>
    <row r="23" spans="1:26" ht="77.25" x14ac:dyDescent="0.25">
      <c r="A23" s="1"/>
      <c r="B23" s="3" t="s">
        <v>1368</v>
      </c>
      <c r="C23" s="3"/>
      <c r="D23" s="3"/>
      <c r="E23" s="3"/>
      <c r="F23" s="3" t="s">
        <v>4962</v>
      </c>
      <c r="G23" s="462" t="s">
        <v>5263</v>
      </c>
      <c r="H23" s="3"/>
      <c r="I23" s="3"/>
      <c r="J23" s="429"/>
      <c r="K23" s="3"/>
      <c r="L23" s="2"/>
      <c r="M23" s="2"/>
      <c r="N23" s="2"/>
      <c r="O23" s="349"/>
      <c r="P23" s="349"/>
      <c r="Q23" s="349"/>
      <c r="R23" s="349"/>
      <c r="S23" s="349"/>
      <c r="T23" s="349"/>
      <c r="U23" s="350"/>
      <c r="V23" s="348"/>
      <c r="W23" s="348">
        <f>1583.5+1762+1909+1790.25+1729+1992.25</f>
        <v>10766</v>
      </c>
      <c r="X23" s="2"/>
      <c r="Y23" s="4"/>
      <c r="Z23" s="5" t="s">
        <v>5262</v>
      </c>
    </row>
    <row r="24" spans="1:26" ht="64.5" x14ac:dyDescent="0.25">
      <c r="A24" s="1"/>
      <c r="B24" s="3" t="s">
        <v>1368</v>
      </c>
      <c r="C24" s="3"/>
      <c r="D24" s="3"/>
      <c r="E24" s="3"/>
      <c r="F24" s="3" t="s">
        <v>5113</v>
      </c>
      <c r="G24" s="462" t="s">
        <v>5161</v>
      </c>
      <c r="H24" s="3"/>
      <c r="I24" s="3"/>
      <c r="J24" s="429"/>
      <c r="K24" s="3"/>
      <c r="L24" s="2"/>
      <c r="M24" s="2"/>
      <c r="N24" s="2"/>
      <c r="O24" s="349"/>
      <c r="P24" s="349"/>
      <c r="Q24" s="349"/>
      <c r="R24" s="349"/>
      <c r="S24" s="349"/>
      <c r="T24" s="349"/>
      <c r="U24" s="350"/>
      <c r="V24" s="348"/>
      <c r="W24" s="348">
        <f>744+72+720.5+927+375</f>
        <v>2838.5</v>
      </c>
      <c r="X24" s="2"/>
      <c r="Y24" s="4"/>
      <c r="Z24" s="5" t="s">
        <v>5259</v>
      </c>
    </row>
    <row r="25" spans="1:26" x14ac:dyDescent="0.25">
      <c r="A25" s="1"/>
      <c r="B25" s="3"/>
      <c r="C25" s="3"/>
      <c r="D25" s="3"/>
      <c r="E25" s="3"/>
      <c r="F25" s="3" t="s">
        <v>5020</v>
      </c>
      <c r="G25" s="3" t="s">
        <v>5021</v>
      </c>
      <c r="H25" s="3"/>
      <c r="I25" s="3"/>
      <c r="J25" s="429"/>
      <c r="K25" s="3"/>
      <c r="L25" s="2"/>
      <c r="M25" s="2"/>
      <c r="N25" s="2"/>
      <c r="O25" s="349"/>
      <c r="P25" s="349"/>
      <c r="Q25" s="349"/>
      <c r="R25" s="349"/>
      <c r="S25" s="349"/>
      <c r="T25" s="349"/>
      <c r="U25" s="350"/>
      <c r="V25" s="348"/>
      <c r="W25" s="348">
        <v>93</v>
      </c>
      <c r="X25" s="2"/>
      <c r="Y25" s="4"/>
      <c r="Z25" s="5" t="s">
        <v>5022</v>
      </c>
    </row>
    <row r="26" spans="1:26" ht="26.25" x14ac:dyDescent="0.25">
      <c r="A26" s="1"/>
      <c r="B26" s="3" t="s">
        <v>1368</v>
      </c>
      <c r="C26" s="3"/>
      <c r="D26" s="3"/>
      <c r="E26" s="3"/>
      <c r="F26" s="3" t="s">
        <v>5111</v>
      </c>
      <c r="G26" s="462" t="s">
        <v>5206</v>
      </c>
      <c r="H26" s="3"/>
      <c r="I26" s="3"/>
      <c r="J26" s="429"/>
      <c r="K26" s="3"/>
      <c r="L26" s="2"/>
      <c r="M26" s="2"/>
      <c r="N26" s="2"/>
      <c r="O26" s="349"/>
      <c r="P26" s="349"/>
      <c r="Q26" s="349"/>
      <c r="R26" s="349"/>
      <c r="S26" s="349"/>
      <c r="T26" s="349"/>
      <c r="U26" s="350"/>
      <c r="V26" s="348"/>
      <c r="W26" s="348">
        <f>97.5+15</f>
        <v>112.5</v>
      </c>
      <c r="X26" s="2"/>
      <c r="Y26" s="4"/>
      <c r="Z26" s="5" t="s">
        <v>5207</v>
      </c>
    </row>
    <row r="27" spans="1:26" x14ac:dyDescent="0.25">
      <c r="A27" s="573" t="s">
        <v>5162</v>
      </c>
      <c r="B27" s="3" t="s">
        <v>1368</v>
      </c>
      <c r="C27" s="573" t="s">
        <v>5162</v>
      </c>
      <c r="D27" s="573" t="s">
        <v>5162</v>
      </c>
      <c r="E27" s="573" t="s">
        <v>5162</v>
      </c>
      <c r="F27" s="3" t="s">
        <v>5163</v>
      </c>
      <c r="G27" s="3" t="s">
        <v>5164</v>
      </c>
      <c r="H27" s="573" t="s">
        <v>5162</v>
      </c>
      <c r="I27" s="573" t="s">
        <v>5162</v>
      </c>
      <c r="J27" s="573" t="s">
        <v>5162</v>
      </c>
      <c r="K27" s="573" t="s">
        <v>5162</v>
      </c>
      <c r="L27" s="573" t="s">
        <v>5162</v>
      </c>
      <c r="M27" s="573" t="s">
        <v>5162</v>
      </c>
      <c r="N27" s="573" t="s">
        <v>5162</v>
      </c>
      <c r="O27" s="574" t="s">
        <v>5162</v>
      </c>
      <c r="P27" s="574" t="s">
        <v>5162</v>
      </c>
      <c r="Q27" s="574" t="s">
        <v>5162</v>
      </c>
      <c r="R27" s="574" t="s">
        <v>5162</v>
      </c>
      <c r="S27" s="574" t="s">
        <v>5162</v>
      </c>
      <c r="T27" s="574" t="s">
        <v>5162</v>
      </c>
      <c r="U27" s="575" t="s">
        <v>5162</v>
      </c>
      <c r="V27" s="575" t="s">
        <v>5162</v>
      </c>
      <c r="W27" s="575">
        <v>566</v>
      </c>
      <c r="X27" s="573" t="s">
        <v>5162</v>
      </c>
      <c r="Y27" s="573" t="s">
        <v>5162</v>
      </c>
      <c r="Z27" s="576" t="s">
        <v>5165</v>
      </c>
    </row>
    <row r="28" spans="1:26" x14ac:dyDescent="0.25">
      <c r="A28" s="573" t="s">
        <v>5162</v>
      </c>
      <c r="B28" s="3" t="s">
        <v>1368</v>
      </c>
      <c r="C28" s="578" t="s">
        <v>5162</v>
      </c>
      <c r="D28" s="578" t="s">
        <v>5162</v>
      </c>
      <c r="E28" s="578" t="s">
        <v>5162</v>
      </c>
      <c r="F28" s="3" t="s">
        <v>5166</v>
      </c>
      <c r="G28" s="3" t="s">
        <v>5164</v>
      </c>
      <c r="H28" s="578" t="s">
        <v>5162</v>
      </c>
      <c r="I28" s="578" t="s">
        <v>5162</v>
      </c>
      <c r="J28" s="578">
        <v>80</v>
      </c>
      <c r="K28" s="578" t="s">
        <v>5162</v>
      </c>
      <c r="L28" s="578" t="s">
        <v>5162</v>
      </c>
      <c r="M28" s="578" t="s">
        <v>5162</v>
      </c>
      <c r="N28" s="578" t="s">
        <v>5162</v>
      </c>
      <c r="O28" s="579" t="s">
        <v>5162</v>
      </c>
      <c r="P28" s="579" t="s">
        <v>5162</v>
      </c>
      <c r="Q28" s="579" t="s">
        <v>5162</v>
      </c>
      <c r="R28" s="579" t="s">
        <v>5162</v>
      </c>
      <c r="S28" s="579" t="s">
        <v>5162</v>
      </c>
      <c r="T28" s="579" t="s">
        <v>5162</v>
      </c>
      <c r="U28" s="580" t="s">
        <v>5162</v>
      </c>
      <c r="V28" s="580" t="s">
        <v>5162</v>
      </c>
      <c r="W28" s="580">
        <v>113</v>
      </c>
      <c r="X28" s="578" t="s">
        <v>5162</v>
      </c>
      <c r="Y28" s="578" t="s">
        <v>5162</v>
      </c>
      <c r="Z28" s="581" t="s">
        <v>5162</v>
      </c>
    </row>
    <row r="29" spans="1:26" x14ac:dyDescent="0.25">
      <c r="A29" s="573" t="s">
        <v>5162</v>
      </c>
      <c r="B29" s="3" t="s">
        <v>1368</v>
      </c>
      <c r="C29" s="578" t="s">
        <v>5162</v>
      </c>
      <c r="D29" s="578" t="s">
        <v>5162</v>
      </c>
      <c r="E29" s="578" t="s">
        <v>5162</v>
      </c>
      <c r="F29" s="3" t="s">
        <v>1416</v>
      </c>
      <c r="G29" s="3" t="s">
        <v>5164</v>
      </c>
      <c r="H29" s="578" t="s">
        <v>5162</v>
      </c>
      <c r="I29" s="578" t="s">
        <v>5162</v>
      </c>
      <c r="J29" s="578" t="s">
        <v>5162</v>
      </c>
      <c r="K29" s="578" t="s">
        <v>5162</v>
      </c>
      <c r="L29" s="578" t="s">
        <v>5162</v>
      </c>
      <c r="M29" s="578" t="s">
        <v>5162</v>
      </c>
      <c r="N29" s="578" t="s">
        <v>5162</v>
      </c>
      <c r="O29" s="579" t="s">
        <v>5162</v>
      </c>
      <c r="P29" s="579" t="s">
        <v>5162</v>
      </c>
      <c r="Q29" s="579" t="s">
        <v>5162</v>
      </c>
      <c r="R29" s="579" t="s">
        <v>5162</v>
      </c>
      <c r="S29" s="579" t="s">
        <v>5162</v>
      </c>
      <c r="T29" s="579" t="s">
        <v>5162</v>
      </c>
      <c r="U29" s="580" t="s">
        <v>5162</v>
      </c>
      <c r="V29" s="580" t="s">
        <v>5162</v>
      </c>
      <c r="W29" s="580">
        <v>116</v>
      </c>
      <c r="X29" s="578" t="s">
        <v>5162</v>
      </c>
      <c r="Y29" s="578" t="s">
        <v>5162</v>
      </c>
      <c r="Z29" s="581" t="s">
        <v>5162</v>
      </c>
    </row>
    <row r="30" spans="1:26" x14ac:dyDescent="0.25">
      <c r="A30" s="573" t="s">
        <v>5162</v>
      </c>
      <c r="B30" s="3" t="s">
        <v>1368</v>
      </c>
      <c r="C30" s="578" t="s">
        <v>5162</v>
      </c>
      <c r="D30" s="578" t="s">
        <v>5162</v>
      </c>
      <c r="E30" s="578" t="s">
        <v>5162</v>
      </c>
      <c r="F30" s="3" t="s">
        <v>5167</v>
      </c>
      <c r="G30" s="3" t="s">
        <v>5112</v>
      </c>
      <c r="H30" s="578" t="s">
        <v>5162</v>
      </c>
      <c r="I30" s="578" t="s">
        <v>5162</v>
      </c>
      <c r="J30" s="578" t="s">
        <v>5168</v>
      </c>
      <c r="K30" s="578" t="s">
        <v>5162</v>
      </c>
      <c r="L30" s="578" t="s">
        <v>5162</v>
      </c>
      <c r="M30" s="578" t="s">
        <v>5162</v>
      </c>
      <c r="N30" s="578" t="s">
        <v>5162</v>
      </c>
      <c r="O30" s="579" t="s">
        <v>5162</v>
      </c>
      <c r="P30" s="579" t="s">
        <v>5162</v>
      </c>
      <c r="Q30" s="579" t="s">
        <v>5162</v>
      </c>
      <c r="R30" s="579" t="s">
        <v>5162</v>
      </c>
      <c r="S30" s="579" t="s">
        <v>5162</v>
      </c>
      <c r="T30" s="579" t="s">
        <v>5162</v>
      </c>
      <c r="U30" s="580" t="s">
        <v>5162</v>
      </c>
      <c r="V30" s="580" t="s">
        <v>5162</v>
      </c>
      <c r="W30" s="580">
        <v>60</v>
      </c>
      <c r="X30" s="578" t="s">
        <v>5162</v>
      </c>
      <c r="Y30" s="578" t="s">
        <v>5162</v>
      </c>
      <c r="Z30" s="581" t="s">
        <v>5169</v>
      </c>
    </row>
    <row r="31" spans="1:26" x14ac:dyDescent="0.25">
      <c r="A31" s="573" t="s">
        <v>5162</v>
      </c>
      <c r="B31" s="3" t="s">
        <v>1368</v>
      </c>
      <c r="C31" s="578" t="s">
        <v>5162</v>
      </c>
      <c r="D31" s="578" t="s">
        <v>5162</v>
      </c>
      <c r="E31" s="578" t="s">
        <v>5162</v>
      </c>
      <c r="F31" s="3" t="s">
        <v>5171</v>
      </c>
      <c r="G31" s="3" t="s">
        <v>5170</v>
      </c>
      <c r="H31" s="578" t="s">
        <v>5162</v>
      </c>
      <c r="I31" s="578" t="s">
        <v>5162</v>
      </c>
      <c r="J31" s="578"/>
      <c r="K31" s="578" t="s">
        <v>5162</v>
      </c>
      <c r="L31" s="578" t="s">
        <v>5162</v>
      </c>
      <c r="M31" s="578" t="s">
        <v>5162</v>
      </c>
      <c r="N31" s="578" t="s">
        <v>5162</v>
      </c>
      <c r="O31" s="579" t="s">
        <v>5162</v>
      </c>
      <c r="P31" s="579" t="s">
        <v>5162</v>
      </c>
      <c r="Q31" s="579" t="s">
        <v>5162</v>
      </c>
      <c r="R31" s="579" t="s">
        <v>5162</v>
      </c>
      <c r="S31" s="579" t="s">
        <v>5162</v>
      </c>
      <c r="T31" s="579" t="s">
        <v>5162</v>
      </c>
      <c r="U31" s="580" t="s">
        <v>5162</v>
      </c>
      <c r="V31" s="580" t="s">
        <v>5162</v>
      </c>
      <c r="W31" s="580">
        <v>84</v>
      </c>
      <c r="X31" s="578" t="s">
        <v>5162</v>
      </c>
      <c r="Y31" s="578" t="s">
        <v>5162</v>
      </c>
      <c r="Z31" s="581"/>
    </row>
    <row r="32" spans="1:26" x14ac:dyDescent="0.25">
      <c r="A32" s="573" t="s">
        <v>5162</v>
      </c>
      <c r="B32" s="3" t="s">
        <v>1368</v>
      </c>
      <c r="C32" s="578" t="s">
        <v>5162</v>
      </c>
      <c r="D32" s="578" t="s">
        <v>5162</v>
      </c>
      <c r="E32" s="578" t="s">
        <v>5162</v>
      </c>
      <c r="F32" s="3" t="s">
        <v>5174</v>
      </c>
      <c r="G32" s="3" t="s">
        <v>5173</v>
      </c>
      <c r="H32" s="578" t="s">
        <v>5162</v>
      </c>
      <c r="I32" s="578" t="s">
        <v>5162</v>
      </c>
      <c r="J32" s="578"/>
      <c r="K32" s="578" t="s">
        <v>5162</v>
      </c>
      <c r="L32" s="578" t="s">
        <v>5162</v>
      </c>
      <c r="M32" s="578" t="s">
        <v>5162</v>
      </c>
      <c r="N32" s="578" t="s">
        <v>5162</v>
      </c>
      <c r="O32" s="579" t="s">
        <v>5162</v>
      </c>
      <c r="P32" s="579" t="s">
        <v>5162</v>
      </c>
      <c r="Q32" s="579" t="s">
        <v>5162</v>
      </c>
      <c r="R32" s="579" t="s">
        <v>5162</v>
      </c>
      <c r="S32" s="579" t="s">
        <v>5162</v>
      </c>
      <c r="T32" s="579" t="s">
        <v>5162</v>
      </c>
      <c r="U32" s="580" t="s">
        <v>5162</v>
      </c>
      <c r="V32" s="580" t="s">
        <v>5162</v>
      </c>
      <c r="W32" s="580">
        <v>9</v>
      </c>
      <c r="X32" s="578" t="s">
        <v>5162</v>
      </c>
      <c r="Y32" s="578" t="s">
        <v>5162</v>
      </c>
      <c r="Z32" s="581"/>
    </row>
    <row r="33" spans="1:26" x14ac:dyDescent="0.25">
      <c r="A33" s="573" t="s">
        <v>5162</v>
      </c>
      <c r="B33" s="3" t="s">
        <v>1368</v>
      </c>
      <c r="C33" s="578" t="s">
        <v>5162</v>
      </c>
      <c r="D33" s="578" t="s">
        <v>5162</v>
      </c>
      <c r="E33" s="578" t="s">
        <v>5162</v>
      </c>
      <c r="F33" s="3" t="s">
        <v>5176</v>
      </c>
      <c r="G33" s="3" t="s">
        <v>5175</v>
      </c>
      <c r="H33" s="578" t="s">
        <v>5162</v>
      </c>
      <c r="I33" s="578" t="s">
        <v>5162</v>
      </c>
      <c r="J33" s="578"/>
      <c r="K33" s="578" t="s">
        <v>5162</v>
      </c>
      <c r="L33" s="578" t="s">
        <v>5162</v>
      </c>
      <c r="M33" s="578" t="s">
        <v>5162</v>
      </c>
      <c r="N33" s="578" t="s">
        <v>5162</v>
      </c>
      <c r="O33" s="579" t="s">
        <v>5162</v>
      </c>
      <c r="P33" s="579" t="s">
        <v>5162</v>
      </c>
      <c r="Q33" s="579" t="s">
        <v>5162</v>
      </c>
      <c r="R33" s="579" t="s">
        <v>5162</v>
      </c>
      <c r="S33" s="579" t="s">
        <v>5162</v>
      </c>
      <c r="T33" s="579" t="s">
        <v>5162</v>
      </c>
      <c r="U33" s="580" t="s">
        <v>5162</v>
      </c>
      <c r="V33" s="580" t="s">
        <v>5162</v>
      </c>
      <c r="W33" s="580">
        <v>14</v>
      </c>
      <c r="X33" s="578" t="s">
        <v>5162</v>
      </c>
      <c r="Y33" s="578" t="s">
        <v>5162</v>
      </c>
      <c r="Z33" s="581"/>
    </row>
    <row r="34" spans="1:26" x14ac:dyDescent="0.25">
      <c r="A34" s="573" t="s">
        <v>5162</v>
      </c>
      <c r="B34" s="3" t="s">
        <v>1368</v>
      </c>
      <c r="C34" s="578" t="s">
        <v>5162</v>
      </c>
      <c r="D34" s="578" t="s">
        <v>5162</v>
      </c>
      <c r="E34" s="578" t="s">
        <v>5162</v>
      </c>
      <c r="F34" s="3" t="s">
        <v>5178</v>
      </c>
      <c r="G34" s="3" t="s">
        <v>5172</v>
      </c>
      <c r="H34" s="578" t="s">
        <v>5162</v>
      </c>
      <c r="I34" s="578" t="s">
        <v>5162</v>
      </c>
      <c r="J34" s="578" t="s">
        <v>5177</v>
      </c>
      <c r="K34" s="578" t="s">
        <v>5162</v>
      </c>
      <c r="L34" s="578" t="s">
        <v>5162</v>
      </c>
      <c r="M34" s="578" t="s">
        <v>5162</v>
      </c>
      <c r="N34" s="578" t="s">
        <v>5162</v>
      </c>
      <c r="O34" s="579" t="s">
        <v>5162</v>
      </c>
      <c r="P34" s="579" t="s">
        <v>5162</v>
      </c>
      <c r="Q34" s="579" t="s">
        <v>5162</v>
      </c>
      <c r="R34" s="579" t="s">
        <v>5162</v>
      </c>
      <c r="S34" s="579" t="s">
        <v>5162</v>
      </c>
      <c r="T34" s="579" t="s">
        <v>5162</v>
      </c>
      <c r="U34" s="580" t="s">
        <v>5162</v>
      </c>
      <c r="V34" s="580" t="s">
        <v>5162</v>
      </c>
      <c r="W34" s="580">
        <v>52</v>
      </c>
      <c r="X34" s="578" t="s">
        <v>5162</v>
      </c>
      <c r="Y34" s="578" t="s">
        <v>5162</v>
      </c>
      <c r="Z34" s="581"/>
    </row>
    <row r="35" spans="1:26" x14ac:dyDescent="0.25">
      <c r="A35" s="573" t="s">
        <v>5162</v>
      </c>
      <c r="B35" s="3" t="s">
        <v>1368</v>
      </c>
      <c r="C35" s="578" t="s">
        <v>5162</v>
      </c>
      <c r="D35" s="578" t="s">
        <v>5162</v>
      </c>
      <c r="E35" s="578" t="s">
        <v>5162</v>
      </c>
      <c r="F35" s="3" t="s">
        <v>5178</v>
      </c>
      <c r="G35" s="3" t="s">
        <v>5173</v>
      </c>
      <c r="H35" s="578" t="s">
        <v>5162</v>
      </c>
      <c r="I35" s="578" t="s">
        <v>5162</v>
      </c>
      <c r="J35" s="578" t="s">
        <v>5168</v>
      </c>
      <c r="K35" s="578" t="s">
        <v>5162</v>
      </c>
      <c r="L35" s="578" t="s">
        <v>5162</v>
      </c>
      <c r="M35" s="578" t="s">
        <v>5162</v>
      </c>
      <c r="N35" s="578" t="s">
        <v>5162</v>
      </c>
      <c r="O35" s="579" t="s">
        <v>5162</v>
      </c>
      <c r="P35" s="579" t="s">
        <v>5162</v>
      </c>
      <c r="Q35" s="579" t="s">
        <v>5162</v>
      </c>
      <c r="R35" s="579" t="s">
        <v>5162</v>
      </c>
      <c r="S35" s="579" t="s">
        <v>5162</v>
      </c>
      <c r="T35" s="579" t="s">
        <v>5162</v>
      </c>
      <c r="U35" s="580" t="s">
        <v>5162</v>
      </c>
      <c r="V35" s="580" t="s">
        <v>5162</v>
      </c>
      <c r="W35" s="580">
        <v>80</v>
      </c>
      <c r="X35" s="578" t="s">
        <v>5162</v>
      </c>
      <c r="Y35" s="578" t="s">
        <v>5162</v>
      </c>
      <c r="Z35" s="581"/>
    </row>
    <row r="36" spans="1:26" x14ac:dyDescent="0.25">
      <c r="A36" s="573" t="s">
        <v>5162</v>
      </c>
      <c r="B36" s="3" t="s">
        <v>1368</v>
      </c>
      <c r="C36" s="578" t="s">
        <v>5162</v>
      </c>
      <c r="D36" s="578" t="s">
        <v>5162</v>
      </c>
      <c r="E36" s="578" t="s">
        <v>5162</v>
      </c>
      <c r="F36" s="3" t="s">
        <v>5180</v>
      </c>
      <c r="G36" s="3" t="s">
        <v>5175</v>
      </c>
      <c r="H36" s="578" t="s">
        <v>5162</v>
      </c>
      <c r="I36" s="578" t="s">
        <v>5162</v>
      </c>
      <c r="J36" s="578" t="s">
        <v>5179</v>
      </c>
      <c r="K36" s="578" t="s">
        <v>5162</v>
      </c>
      <c r="L36" s="578" t="s">
        <v>5162</v>
      </c>
      <c r="M36" s="578" t="s">
        <v>5162</v>
      </c>
      <c r="N36" s="578" t="s">
        <v>5162</v>
      </c>
      <c r="O36" s="579" t="s">
        <v>5162</v>
      </c>
      <c r="P36" s="579" t="s">
        <v>5162</v>
      </c>
      <c r="Q36" s="579" t="s">
        <v>5162</v>
      </c>
      <c r="R36" s="579" t="s">
        <v>5162</v>
      </c>
      <c r="S36" s="579" t="s">
        <v>5162</v>
      </c>
      <c r="T36" s="579" t="s">
        <v>5162</v>
      </c>
      <c r="U36" s="580" t="s">
        <v>5162</v>
      </c>
      <c r="V36" s="580" t="s">
        <v>5162</v>
      </c>
      <c r="W36" s="580">
        <v>80</v>
      </c>
      <c r="X36" s="578" t="s">
        <v>5162</v>
      </c>
      <c r="Y36" s="578" t="s">
        <v>5162</v>
      </c>
      <c r="Z36" s="581"/>
    </row>
    <row r="37" spans="1:26" x14ac:dyDescent="0.25">
      <c r="A37" s="573" t="s">
        <v>5162</v>
      </c>
      <c r="B37" s="3" t="s">
        <v>1368</v>
      </c>
      <c r="C37" s="578" t="s">
        <v>5162</v>
      </c>
      <c r="D37" s="578" t="s">
        <v>5162</v>
      </c>
      <c r="E37" s="578" t="s">
        <v>5162</v>
      </c>
      <c r="F37" s="3" t="s">
        <v>5180</v>
      </c>
      <c r="G37" s="3" t="s">
        <v>5181</v>
      </c>
      <c r="H37" s="578" t="s">
        <v>5162</v>
      </c>
      <c r="I37" s="578" t="s">
        <v>5162</v>
      </c>
      <c r="J37" s="578" t="s">
        <v>5168</v>
      </c>
      <c r="K37" s="578" t="s">
        <v>5162</v>
      </c>
      <c r="L37" s="578" t="s">
        <v>5162</v>
      </c>
      <c r="M37" s="578" t="s">
        <v>5162</v>
      </c>
      <c r="N37" s="578" t="s">
        <v>5162</v>
      </c>
      <c r="O37" s="579" t="s">
        <v>5162</v>
      </c>
      <c r="P37" s="579" t="s">
        <v>5162</v>
      </c>
      <c r="Q37" s="579" t="s">
        <v>5162</v>
      </c>
      <c r="R37" s="579" t="s">
        <v>5162</v>
      </c>
      <c r="S37" s="579" t="s">
        <v>5162</v>
      </c>
      <c r="T37" s="579" t="s">
        <v>5162</v>
      </c>
      <c r="U37" s="580" t="s">
        <v>5162</v>
      </c>
      <c r="V37" s="580" t="s">
        <v>5162</v>
      </c>
      <c r="W37" s="580">
        <v>40</v>
      </c>
      <c r="X37" s="578" t="s">
        <v>5162</v>
      </c>
      <c r="Y37" s="578" t="s">
        <v>5162</v>
      </c>
      <c r="Z37" s="581"/>
    </row>
    <row r="38" spans="1:26" x14ac:dyDescent="0.25">
      <c r="A38" s="573" t="s">
        <v>5162</v>
      </c>
      <c r="B38" s="3" t="s">
        <v>1368</v>
      </c>
      <c r="C38" s="578" t="s">
        <v>5162</v>
      </c>
      <c r="D38" s="578" t="s">
        <v>5162</v>
      </c>
      <c r="E38" s="578" t="s">
        <v>5162</v>
      </c>
      <c r="F38" s="3" t="s">
        <v>5176</v>
      </c>
      <c r="G38" s="3" t="s">
        <v>5175</v>
      </c>
      <c r="H38" s="578" t="s">
        <v>5162</v>
      </c>
      <c r="I38" s="578" t="s">
        <v>5162</v>
      </c>
      <c r="J38" s="578"/>
      <c r="K38" s="578" t="s">
        <v>5162</v>
      </c>
      <c r="L38" s="578" t="s">
        <v>5162</v>
      </c>
      <c r="M38" s="578" t="s">
        <v>5162</v>
      </c>
      <c r="N38" s="578" t="s">
        <v>5162</v>
      </c>
      <c r="O38" s="579" t="s">
        <v>5162</v>
      </c>
      <c r="P38" s="579" t="s">
        <v>5162</v>
      </c>
      <c r="Q38" s="579" t="s">
        <v>5162</v>
      </c>
      <c r="R38" s="579" t="s">
        <v>5162</v>
      </c>
      <c r="S38" s="579" t="s">
        <v>5162</v>
      </c>
      <c r="T38" s="579" t="s">
        <v>5162</v>
      </c>
      <c r="U38" s="580" t="s">
        <v>5162</v>
      </c>
      <c r="V38" s="580" t="s">
        <v>5162</v>
      </c>
      <c r="W38" s="580">
        <v>14</v>
      </c>
      <c r="X38" s="578" t="s">
        <v>5162</v>
      </c>
      <c r="Y38" s="578" t="s">
        <v>5162</v>
      </c>
      <c r="Z38" s="581"/>
    </row>
    <row r="39" spans="1:26" x14ac:dyDescent="0.25">
      <c r="A39" s="605"/>
      <c r="B39" s="3" t="s">
        <v>1368</v>
      </c>
      <c r="C39" s="573"/>
      <c r="D39" s="573"/>
      <c r="E39" s="573"/>
      <c r="F39" s="3" t="s">
        <v>5163</v>
      </c>
      <c r="G39" s="3" t="s">
        <v>5406</v>
      </c>
      <c r="H39" s="573"/>
      <c r="I39" s="573"/>
      <c r="J39" s="573" t="s">
        <v>5407</v>
      </c>
      <c r="K39" s="573"/>
      <c r="L39" s="573"/>
      <c r="M39" s="573"/>
      <c r="N39" s="573"/>
      <c r="O39" s="574"/>
      <c r="P39" s="574"/>
      <c r="Q39" s="574"/>
      <c r="R39" s="574"/>
      <c r="S39" s="574"/>
      <c r="T39" s="574"/>
      <c r="U39" s="575"/>
      <c r="V39" s="575"/>
      <c r="W39" s="575">
        <v>30</v>
      </c>
      <c r="X39" s="573"/>
      <c r="Y39" s="573"/>
      <c r="Z39" s="576" t="s">
        <v>5408</v>
      </c>
    </row>
    <row r="40" spans="1:26" x14ac:dyDescent="0.25">
      <c r="A40" s="603"/>
      <c r="B40" s="3" t="s">
        <v>1368</v>
      </c>
      <c r="C40" s="578"/>
      <c r="D40" s="578"/>
      <c r="E40" s="578"/>
      <c r="F40" s="3" t="s">
        <v>5163</v>
      </c>
      <c r="G40" s="3" t="s">
        <v>5406</v>
      </c>
      <c r="H40" s="578"/>
      <c r="I40" s="578"/>
      <c r="J40" s="578" t="s">
        <v>5407</v>
      </c>
      <c r="K40" s="578"/>
      <c r="L40" s="578"/>
      <c r="M40" s="578"/>
      <c r="N40" s="578"/>
      <c r="O40" s="579"/>
      <c r="P40" s="579"/>
      <c r="Q40" s="579"/>
      <c r="R40" s="579"/>
      <c r="S40" s="579"/>
      <c r="T40" s="579"/>
      <c r="U40" s="580"/>
      <c r="V40" s="580"/>
      <c r="W40" s="580">
        <v>20</v>
      </c>
      <c r="X40" s="578"/>
      <c r="Y40" s="578"/>
      <c r="Z40" s="581" t="s">
        <v>5409</v>
      </c>
    </row>
    <row r="41" spans="1:26" x14ac:dyDescent="0.25">
      <c r="A41" s="603"/>
      <c r="B41" s="3" t="s">
        <v>1368</v>
      </c>
      <c r="C41" s="578"/>
      <c r="D41" s="578"/>
      <c r="E41" s="578"/>
      <c r="F41" s="3" t="s">
        <v>5163</v>
      </c>
      <c r="G41" s="3" t="s">
        <v>5406</v>
      </c>
      <c r="H41" s="578"/>
      <c r="I41" s="578"/>
      <c r="J41" s="578" t="s">
        <v>5410</v>
      </c>
      <c r="K41" s="578"/>
      <c r="L41" s="578"/>
      <c r="M41" s="578"/>
      <c r="N41" s="578"/>
      <c r="O41" s="579"/>
      <c r="P41" s="579"/>
      <c r="Q41" s="579"/>
      <c r="R41" s="579"/>
      <c r="S41" s="579"/>
      <c r="T41" s="579"/>
      <c r="U41" s="580"/>
      <c r="V41" s="580"/>
      <c r="W41" s="580">
        <v>80</v>
      </c>
      <c r="X41" s="578"/>
      <c r="Y41" s="578"/>
      <c r="Z41" s="581" t="s">
        <v>5411</v>
      </c>
    </row>
    <row r="42" spans="1:26" x14ac:dyDescent="0.25">
      <c r="A42" s="603"/>
      <c r="B42" s="3" t="s">
        <v>1368</v>
      </c>
      <c r="C42" s="578"/>
      <c r="D42" s="578"/>
      <c r="E42" s="578"/>
      <c r="F42" s="3" t="s">
        <v>5163</v>
      </c>
      <c r="G42" s="3" t="s">
        <v>5406</v>
      </c>
      <c r="H42" s="578"/>
      <c r="I42" s="578"/>
      <c r="J42" s="578">
        <v>14</v>
      </c>
      <c r="K42" s="578"/>
      <c r="L42" s="578"/>
      <c r="M42" s="578"/>
      <c r="N42" s="578"/>
      <c r="O42" s="579"/>
      <c r="P42" s="579"/>
      <c r="Q42" s="579"/>
      <c r="R42" s="579"/>
      <c r="S42" s="579"/>
      <c r="T42" s="579"/>
      <c r="U42" s="580"/>
      <c r="V42" s="580"/>
      <c r="W42" s="580">
        <v>57</v>
      </c>
      <c r="X42" s="578"/>
      <c r="Y42" s="578"/>
      <c r="Z42" s="581" t="s">
        <v>5412</v>
      </c>
    </row>
    <row r="43" spans="1:26" x14ac:dyDescent="0.25">
      <c r="A43" s="603"/>
      <c r="B43" s="3" t="s">
        <v>1368</v>
      </c>
      <c r="C43" s="578"/>
      <c r="D43" s="578"/>
      <c r="E43" s="578"/>
      <c r="F43" s="3" t="s">
        <v>5413</v>
      </c>
      <c r="G43" s="3" t="s">
        <v>5406</v>
      </c>
      <c r="H43" s="578"/>
      <c r="I43" s="578"/>
      <c r="J43" s="578">
        <v>11</v>
      </c>
      <c r="K43" s="578"/>
      <c r="L43" s="578"/>
      <c r="M43" s="578"/>
      <c r="N43" s="578"/>
      <c r="O43" s="579"/>
      <c r="P43" s="579"/>
      <c r="Q43" s="579"/>
      <c r="R43" s="579"/>
      <c r="S43" s="579"/>
      <c r="T43" s="579"/>
      <c r="U43" s="580"/>
      <c r="V43" s="580"/>
      <c r="W43" s="580">
        <v>130</v>
      </c>
      <c r="X43" s="578"/>
      <c r="Y43" s="578"/>
      <c r="Z43" s="581" t="s">
        <v>5414</v>
      </c>
    </row>
    <row r="44" spans="1:26" x14ac:dyDescent="0.25">
      <c r="A44" s="603"/>
      <c r="B44" s="3" t="s">
        <v>1368</v>
      </c>
      <c r="C44" s="578"/>
      <c r="D44" s="578"/>
      <c r="E44" s="578"/>
      <c r="F44" s="3" t="s">
        <v>5415</v>
      </c>
      <c r="G44" s="3" t="s">
        <v>5406</v>
      </c>
      <c r="H44" s="578"/>
      <c r="I44" s="578"/>
      <c r="J44" s="578" t="s">
        <v>5416</v>
      </c>
      <c r="K44" s="578"/>
      <c r="L44" s="578"/>
      <c r="M44" s="578"/>
      <c r="N44" s="578"/>
      <c r="O44" s="579"/>
      <c r="P44" s="579"/>
      <c r="Q44" s="579"/>
      <c r="R44" s="579"/>
      <c r="S44" s="579"/>
      <c r="T44" s="579"/>
      <c r="U44" s="580"/>
      <c r="V44" s="580"/>
      <c r="W44" s="580">
        <v>282</v>
      </c>
      <c r="X44" s="578"/>
      <c r="Y44" s="578"/>
      <c r="Z44" s="581" t="s">
        <v>5417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7756-F7A0-4C18-B983-1995306F679B}">
  <dimension ref="A2:AG1480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1428" sqref="B1428"/>
    </sheetView>
  </sheetViews>
  <sheetFormatPr defaultRowHeight="15" x14ac:dyDescent="0.25"/>
  <cols>
    <col min="1" max="1" width="2.5703125" customWidth="1"/>
    <col min="2" max="2" width="23.5703125" bestFit="1" customWidth="1"/>
    <col min="3" max="3" width="7.42578125" customWidth="1"/>
    <col min="4" max="4" width="11.42578125" bestFit="1" customWidth="1"/>
    <col min="5" max="5" width="20.5703125" bestFit="1" customWidth="1"/>
    <col min="6" max="6" width="39.7109375" customWidth="1"/>
    <col min="7" max="8" width="25.7109375" hidden="1" customWidth="1"/>
    <col min="9" max="10" width="28.85546875" hidden="1" customWidth="1"/>
    <col min="11" max="11" width="54.42578125" customWidth="1"/>
    <col min="12" max="12" width="11.28515625" customWidth="1"/>
    <col min="13" max="13" width="14.42578125" customWidth="1"/>
    <col min="14" max="14" width="13.42578125" customWidth="1"/>
    <col min="15" max="15" width="12.5703125" customWidth="1"/>
    <col min="16" max="16" width="11.42578125" customWidth="1"/>
    <col min="17" max="17" width="13.42578125" customWidth="1"/>
    <col min="18" max="18" width="14.7109375" customWidth="1"/>
    <col min="19" max="19" width="15" customWidth="1"/>
    <col min="20" max="20" width="13.7109375" customWidth="1"/>
    <col min="21" max="21" width="8.7109375" customWidth="1"/>
    <col min="22" max="22" width="12.42578125" customWidth="1"/>
    <col min="23" max="23" width="16.28515625" customWidth="1"/>
    <col min="24" max="25" width="11.42578125" bestFit="1" customWidth="1"/>
    <col min="26" max="26" width="11" bestFit="1" customWidth="1"/>
    <col min="27" max="27" width="15.28515625" customWidth="1"/>
    <col min="28" max="28" width="24.42578125" customWidth="1"/>
    <col min="29" max="29" width="21.5703125" customWidth="1"/>
    <col min="30" max="30" width="12.28515625" bestFit="1" customWidth="1"/>
    <col min="31" max="31" width="9.42578125" customWidth="1"/>
    <col min="32" max="32" width="31.5703125" customWidth="1"/>
  </cols>
  <sheetData>
    <row r="2" spans="2:32" ht="15.75" x14ac:dyDescent="0.25">
      <c r="B2" s="14" t="s">
        <v>1363</v>
      </c>
      <c r="AC2" s="606" t="s">
        <v>5235</v>
      </c>
      <c r="AD2" s="606"/>
      <c r="AE2" s="606"/>
      <c r="AF2" s="606"/>
    </row>
    <row r="4" spans="2:32" ht="15.75" thickBot="1" x14ac:dyDescent="0.3"/>
    <row r="5" spans="2:32" ht="48.6" customHeight="1" thickBot="1" x14ac:dyDescent="0.3">
      <c r="B5" s="351" t="s">
        <v>6</v>
      </c>
      <c r="C5" s="352" t="s">
        <v>7</v>
      </c>
      <c r="D5" s="352" t="s">
        <v>18</v>
      </c>
      <c r="E5" s="352"/>
      <c r="F5" s="352"/>
      <c r="G5" s="352"/>
      <c r="H5" s="352"/>
      <c r="I5" s="352"/>
      <c r="J5" s="352"/>
      <c r="K5" s="352" t="s">
        <v>8</v>
      </c>
      <c r="L5" s="353" t="s">
        <v>548</v>
      </c>
      <c r="M5" s="353" t="s">
        <v>0</v>
      </c>
      <c r="N5" s="352" t="s">
        <v>549</v>
      </c>
      <c r="O5" s="352" t="s">
        <v>553</v>
      </c>
      <c r="P5" s="352" t="s">
        <v>550</v>
      </c>
      <c r="Q5" s="353" t="s">
        <v>552</v>
      </c>
      <c r="R5" s="538" t="s">
        <v>1469</v>
      </c>
      <c r="S5" s="353" t="s">
        <v>0</v>
      </c>
      <c r="T5" s="353" t="s">
        <v>551</v>
      </c>
      <c r="U5" s="535"/>
      <c r="V5" s="609" t="s">
        <v>1364</v>
      </c>
      <c r="W5" s="607"/>
      <c r="X5" s="607"/>
      <c r="Y5" s="607"/>
      <c r="Z5" s="610"/>
      <c r="AA5" s="353" t="s">
        <v>1</v>
      </c>
      <c r="AB5" s="353" t="s">
        <v>2</v>
      </c>
      <c r="AC5" s="353" t="s">
        <v>1365</v>
      </c>
      <c r="AD5" s="490"/>
      <c r="AE5" s="490"/>
      <c r="AF5" s="353" t="s">
        <v>5</v>
      </c>
    </row>
    <row r="6" spans="2:32" ht="41.85" customHeight="1" x14ac:dyDescent="0.25">
      <c r="B6" s="388"/>
      <c r="C6" s="389"/>
      <c r="D6" s="389"/>
      <c r="E6" s="389"/>
      <c r="F6" s="389"/>
      <c r="G6" s="389"/>
      <c r="H6" s="389"/>
      <c r="I6" s="389"/>
      <c r="J6" s="389"/>
      <c r="K6" s="390"/>
      <c r="L6" s="390"/>
      <c r="M6" s="390"/>
      <c r="N6" s="390"/>
      <c r="O6" s="390"/>
      <c r="P6" s="390"/>
      <c r="Q6" s="391"/>
      <c r="R6" s="391"/>
      <c r="S6" s="391"/>
      <c r="T6" s="391"/>
      <c r="U6" s="391"/>
      <c r="V6" s="391" t="s">
        <v>9</v>
      </c>
      <c r="W6" s="391" t="s">
        <v>10</v>
      </c>
      <c r="X6" s="391" t="s">
        <v>11</v>
      </c>
      <c r="Y6" s="391" t="s">
        <v>12</v>
      </c>
      <c r="Z6" s="391" t="s">
        <v>13</v>
      </c>
      <c r="AA6" s="389"/>
      <c r="AB6" s="391"/>
      <c r="AC6" s="391"/>
      <c r="AD6" s="391"/>
      <c r="AE6" s="391"/>
      <c r="AF6" s="392"/>
    </row>
    <row r="7" spans="2:32" ht="39" x14ac:dyDescent="0.25">
      <c r="B7" s="393" t="s">
        <v>6</v>
      </c>
      <c r="C7" s="394" t="s">
        <v>7</v>
      </c>
      <c r="D7" s="394" t="s">
        <v>18</v>
      </c>
      <c r="E7" s="394" t="s">
        <v>1354</v>
      </c>
      <c r="F7" s="537" t="s">
        <v>3199</v>
      </c>
      <c r="G7" s="537" t="s">
        <v>3200</v>
      </c>
      <c r="H7" s="537" t="s">
        <v>3202</v>
      </c>
      <c r="I7" s="537" t="s">
        <v>1353</v>
      </c>
      <c r="J7" s="537" t="s">
        <v>3425</v>
      </c>
      <c r="K7" s="394" t="s">
        <v>8</v>
      </c>
      <c r="L7" s="475"/>
      <c r="M7" s="475"/>
      <c r="N7" s="475"/>
      <c r="O7" s="475"/>
      <c r="P7" s="475"/>
      <c r="Q7" s="457">
        <f>Q13+Q177+Q1281+Q1324+Q1393+Q1405+Q1459+Q369</f>
        <v>125938.66173417452</v>
      </c>
      <c r="R7" s="457"/>
      <c r="S7" s="457">
        <f>S13+S177</f>
        <v>0</v>
      </c>
      <c r="T7" s="457">
        <f>T13+T177+T1281+T1324+T1393+T1405+T1459+T369</f>
        <v>183811.67832628396</v>
      </c>
      <c r="U7" s="396"/>
      <c r="V7" s="397" t="s">
        <v>140</v>
      </c>
      <c r="W7" s="397" t="s">
        <v>135</v>
      </c>
      <c r="X7" s="397" t="s">
        <v>141</v>
      </c>
      <c r="Y7" s="397" t="s">
        <v>17</v>
      </c>
      <c r="Z7" s="397" t="s">
        <v>1366</v>
      </c>
      <c r="AA7" s="398">
        <f>AB7/T7</f>
        <v>0.56328674108506971</v>
      </c>
      <c r="AB7" s="457">
        <f>AB13+AB177+AB1281+AB1324+AB1393+AB1405+AB1459+AB368+AB1367</f>
        <v>103538.68125778963</v>
      </c>
      <c r="AC7" s="457">
        <f>AC13+AC177+AC1280+AC368</f>
        <v>74744</v>
      </c>
      <c r="AD7" s="395"/>
      <c r="AE7" s="399"/>
      <c r="AF7" s="400"/>
    </row>
    <row r="8" spans="2:32" x14ac:dyDescent="0.25">
      <c r="B8" s="539"/>
      <c r="C8" s="540"/>
      <c r="D8" s="540"/>
      <c r="E8" s="541"/>
      <c r="F8" s="540"/>
      <c r="G8" s="540"/>
      <c r="H8" s="540"/>
      <c r="I8" s="540"/>
      <c r="J8" s="540"/>
      <c r="K8" s="548" t="s">
        <v>3203</v>
      </c>
      <c r="L8" s="540"/>
      <c r="M8" s="540"/>
      <c r="N8" s="540"/>
      <c r="O8" s="540"/>
      <c r="P8" s="540"/>
      <c r="Q8" s="546"/>
      <c r="R8" s="546"/>
      <c r="S8" s="546"/>
      <c r="T8" s="546"/>
      <c r="U8" s="540"/>
      <c r="V8" s="544" t="s">
        <v>1474</v>
      </c>
      <c r="W8" s="544" t="s">
        <v>1474</v>
      </c>
      <c r="X8" s="544" t="s">
        <v>1474</v>
      </c>
      <c r="Y8" s="544" t="s">
        <v>1474</v>
      </c>
      <c r="Z8" s="544" t="s">
        <v>1474</v>
      </c>
      <c r="AA8" s="540"/>
      <c r="AB8" s="547"/>
      <c r="AC8" s="547"/>
      <c r="AD8" s="540"/>
      <c r="AE8" s="540"/>
      <c r="AF8" s="545"/>
    </row>
    <row r="9" spans="2:32" x14ac:dyDescent="0.25">
      <c r="B9" s="1"/>
      <c r="C9" s="3" t="s">
        <v>1368</v>
      </c>
      <c r="D9" s="407" t="s">
        <v>1357</v>
      </c>
      <c r="E9" s="407" t="s">
        <v>1369</v>
      </c>
      <c r="F9" s="407"/>
      <c r="G9" s="407"/>
      <c r="H9" s="407"/>
      <c r="I9" s="407" t="s">
        <v>1357</v>
      </c>
      <c r="J9" s="549"/>
      <c r="K9" s="408" t="s">
        <v>1370</v>
      </c>
      <c r="L9" s="409" t="s">
        <v>1371</v>
      </c>
      <c r="M9" s="409"/>
      <c r="N9" s="409" t="s">
        <v>1371</v>
      </c>
      <c r="O9" s="409" t="s">
        <v>1371</v>
      </c>
      <c r="P9" s="409" t="s">
        <v>1371</v>
      </c>
      <c r="Q9" s="2">
        <v>0</v>
      </c>
      <c r="R9" s="2"/>
      <c r="S9" s="2" t="e">
        <f>#REF!</f>
        <v>#REF!</v>
      </c>
      <c r="T9" s="2" t="e">
        <f>Q9+S9</f>
        <v>#REF!</v>
      </c>
      <c r="U9" s="410"/>
      <c r="V9" s="411" t="s">
        <v>1371</v>
      </c>
      <c r="W9" s="411" t="s">
        <v>1371</v>
      </c>
      <c r="X9" s="411" t="s">
        <v>1371</v>
      </c>
      <c r="Y9" s="411" t="s">
        <v>1371</v>
      </c>
      <c r="Z9" s="411" t="s">
        <v>1371</v>
      </c>
      <c r="AA9" s="412"/>
      <c r="AB9" s="3" t="e">
        <f>T9</f>
        <v>#REF!</v>
      </c>
      <c r="AC9" s="3" t="e">
        <f>$AC$8*AB9/SUMIF($AB$9:$AB$11,"&lt;&gt;0")</f>
        <v>#REF!</v>
      </c>
      <c r="AD9" s="2"/>
      <c r="AE9" s="4"/>
      <c r="AF9" s="5"/>
    </row>
    <row r="10" spans="2:32" x14ac:dyDescent="0.25">
      <c r="B10" s="1"/>
      <c r="C10" s="3" t="s">
        <v>1368</v>
      </c>
      <c r="D10" s="407" t="s">
        <v>1357</v>
      </c>
      <c r="E10" s="407" t="s">
        <v>1372</v>
      </c>
      <c r="F10" s="407"/>
      <c r="G10" s="407"/>
      <c r="H10" s="407"/>
      <c r="I10" s="407" t="s">
        <v>1357</v>
      </c>
      <c r="J10" s="549"/>
      <c r="K10" s="408" t="s">
        <v>1370</v>
      </c>
      <c r="L10" s="409" t="s">
        <v>1371</v>
      </c>
      <c r="M10" s="409"/>
      <c r="N10" s="409" t="s">
        <v>1371</v>
      </c>
      <c r="O10" s="409" t="s">
        <v>1371</v>
      </c>
      <c r="P10" s="409" t="s">
        <v>1371</v>
      </c>
      <c r="Q10" s="2">
        <v>0</v>
      </c>
      <c r="R10" s="2"/>
      <c r="S10" s="2">
        <f>350</f>
        <v>350</v>
      </c>
      <c r="T10" s="2">
        <f>Q10+S10</f>
        <v>350</v>
      </c>
      <c r="U10" s="410"/>
      <c r="V10" s="411" t="s">
        <v>1371</v>
      </c>
      <c r="W10" s="411" t="s">
        <v>1371</v>
      </c>
      <c r="X10" s="411" t="s">
        <v>1371</v>
      </c>
      <c r="Y10" s="411" t="s">
        <v>1371</v>
      </c>
      <c r="Z10" s="411" t="s">
        <v>1371</v>
      </c>
      <c r="AA10" s="412"/>
      <c r="AB10" s="3">
        <f>T10</f>
        <v>350</v>
      </c>
      <c r="AC10" s="3" t="e">
        <f>$AC$8*AB10/SUMIF($AB$9:$AB$11,"&lt;&gt;0")</f>
        <v>#REF!</v>
      </c>
      <c r="AD10" s="2"/>
      <c r="AE10" s="4"/>
      <c r="AF10" s="5"/>
    </row>
    <row r="11" spans="2:32" x14ac:dyDescent="0.25">
      <c r="B11" s="1"/>
      <c r="C11" s="3" t="s">
        <v>1368</v>
      </c>
      <c r="D11" s="407" t="s">
        <v>1357</v>
      </c>
      <c r="E11" s="407" t="s">
        <v>1373</v>
      </c>
      <c r="F11" s="407"/>
      <c r="G11" s="407"/>
      <c r="H11" s="407"/>
      <c r="I11" s="407" t="s">
        <v>1357</v>
      </c>
      <c r="J11" s="549"/>
      <c r="K11" s="408" t="s">
        <v>1370</v>
      </c>
      <c r="L11" s="409" t="s">
        <v>1371</v>
      </c>
      <c r="M11" s="409"/>
      <c r="N11" s="409" t="s">
        <v>1371</v>
      </c>
      <c r="O11" s="409" t="s">
        <v>1371</v>
      </c>
      <c r="P11" s="409" t="s">
        <v>1371</v>
      </c>
      <c r="Q11" s="2">
        <v>0</v>
      </c>
      <c r="R11" s="2"/>
      <c r="S11" s="2">
        <v>837</v>
      </c>
      <c r="T11" s="2">
        <f>Q11+S11</f>
        <v>837</v>
      </c>
      <c r="U11" s="410"/>
      <c r="V11" s="411" t="s">
        <v>1371</v>
      </c>
      <c r="W11" s="411" t="s">
        <v>1371</v>
      </c>
      <c r="X11" s="411" t="s">
        <v>1371</v>
      </c>
      <c r="Y11" s="411" t="s">
        <v>1371</v>
      </c>
      <c r="Z11" s="411" t="s">
        <v>1371</v>
      </c>
      <c r="AA11" s="412"/>
      <c r="AB11" s="3">
        <f>T11</f>
        <v>837</v>
      </c>
      <c r="AC11" s="3" t="e">
        <f>$AC$8*AB11/SUMIF($AB$9:$AB$11,"&lt;&gt;0")</f>
        <v>#REF!</v>
      </c>
      <c r="AD11" s="2"/>
      <c r="AE11" s="4"/>
      <c r="AF11" s="5"/>
    </row>
    <row r="12" spans="2:32" ht="15.75" thickBot="1" x14ac:dyDescent="0.3">
      <c r="B12" s="1"/>
      <c r="C12" s="3"/>
      <c r="D12" s="407"/>
      <c r="E12" s="413"/>
      <c r="F12" s="407"/>
      <c r="G12" s="407"/>
      <c r="H12" s="407"/>
      <c r="I12" s="407"/>
      <c r="J12" s="549"/>
      <c r="K12" s="408"/>
      <c r="L12" s="409"/>
      <c r="M12" s="409"/>
      <c r="N12" s="409"/>
      <c r="O12" s="409"/>
      <c r="P12" s="409"/>
      <c r="Q12" s="2"/>
      <c r="R12" s="2"/>
      <c r="S12" s="2"/>
      <c r="T12" s="2"/>
      <c r="U12" s="410"/>
      <c r="V12" s="411"/>
      <c r="W12" s="411"/>
      <c r="X12" s="411"/>
      <c r="Y12" s="411"/>
      <c r="Z12" s="411"/>
      <c r="AA12" s="412"/>
      <c r="AB12" s="3"/>
      <c r="AC12" s="3"/>
      <c r="AD12" s="2"/>
      <c r="AE12" s="4"/>
      <c r="AF12" s="5"/>
    </row>
    <row r="13" spans="2:32" ht="17.25" hidden="1" customHeight="1" x14ac:dyDescent="0.25">
      <c r="B13" s="539"/>
      <c r="C13" s="540"/>
      <c r="D13" s="540"/>
      <c r="E13" s="541"/>
      <c r="F13" s="540"/>
      <c r="G13" s="540"/>
      <c r="H13" s="540"/>
      <c r="I13" s="540"/>
      <c r="J13" s="540"/>
      <c r="K13" s="376" t="s">
        <v>1355</v>
      </c>
      <c r="L13" s="542">
        <f>SUM(L14:L1300)</f>
        <v>63030.515274500001</v>
      </c>
      <c r="M13" s="542">
        <f>SUM(M14:M1300)</f>
        <v>-403.14629100000002</v>
      </c>
      <c r="N13" s="542">
        <f>SUM(N14:N1300)</f>
        <v>28213.8689835</v>
      </c>
      <c r="O13" s="542" t="e">
        <f>SUM(O14:O1300)</f>
        <v>#DIV/0!</v>
      </c>
      <c r="P13" s="540"/>
      <c r="Q13" s="543">
        <f>SUM(Q14:Q154)</f>
        <v>61616.811734174466</v>
      </c>
      <c r="R13" s="543">
        <v>1071.5</v>
      </c>
      <c r="S13" s="543">
        <f>SUM(S14:S44)</f>
        <v>0</v>
      </c>
      <c r="T13" s="543">
        <f>SUM(T14:T175)</f>
        <v>69825.95232628379</v>
      </c>
      <c r="U13" s="540"/>
      <c r="V13" s="544">
        <v>0.1</v>
      </c>
      <c r="W13" s="544">
        <v>0.4</v>
      </c>
      <c r="X13" s="544">
        <v>0.45</v>
      </c>
      <c r="Y13" s="544">
        <v>0.05</v>
      </c>
      <c r="Z13" s="544">
        <v>0</v>
      </c>
      <c r="AA13" s="544">
        <f>AB13/Q13</f>
        <v>0.70794393627471752</v>
      </c>
      <c r="AB13" s="543">
        <f>SUM(AB14:AB175)</f>
        <v>43621.248239789675</v>
      </c>
      <c r="AC13" s="543">
        <f>15568+39.75+601.75+135+1117.5+1308.75+725.5+552.5+816.75+732.25+923.75-547+1569.75+2180.75+1490.25+1172.75+2322.25</f>
        <v>30710.25</v>
      </c>
      <c r="AD13" s="540"/>
      <c r="AE13" s="540"/>
      <c r="AF13" s="545"/>
    </row>
    <row r="14" spans="2:32" hidden="1" x14ac:dyDescent="0.25">
      <c r="B14" s="1" t="s">
        <v>1367</v>
      </c>
      <c r="C14" s="3" t="s">
        <v>1368</v>
      </c>
      <c r="D14" s="3" t="s">
        <v>1115</v>
      </c>
      <c r="E14" s="407" t="s">
        <v>1374</v>
      </c>
      <c r="F14" s="407" t="s">
        <v>3201</v>
      </c>
      <c r="G14" s="407" t="s">
        <v>3746</v>
      </c>
      <c r="H14" s="440" t="s">
        <v>4109</v>
      </c>
      <c r="I14" s="407" t="s">
        <v>4127</v>
      </c>
      <c r="J14" s="407" t="s">
        <v>3799</v>
      </c>
      <c r="K14" s="3" t="s">
        <v>3544</v>
      </c>
      <c r="L14" s="387">
        <v>23</v>
      </c>
      <c r="M14" s="387">
        <v>0</v>
      </c>
      <c r="N14" s="387">
        <f>L14+M14</f>
        <v>23</v>
      </c>
      <c r="O14" s="442">
        <f t="shared" ref="O14:O35" si="0">L14*AA14</f>
        <v>23</v>
      </c>
      <c r="P14" s="387" t="s">
        <v>5101</v>
      </c>
      <c r="Q14" s="459">
        <v>437</v>
      </c>
      <c r="R14" s="459"/>
      <c r="S14" s="456">
        <v>0</v>
      </c>
      <c r="T14" s="456">
        <f>Q14+S14</f>
        <v>437</v>
      </c>
      <c r="U14" s="410"/>
      <c r="V14" s="411">
        <v>1</v>
      </c>
      <c r="W14" s="411">
        <v>1</v>
      </c>
      <c r="X14" s="411">
        <v>1</v>
      </c>
      <c r="Y14" s="411">
        <v>1</v>
      </c>
      <c r="Z14" s="411">
        <v>0</v>
      </c>
      <c r="AA14" s="412">
        <v>1</v>
      </c>
      <c r="AB14" s="456">
        <f>(V14*V$13*T14)+(W14*W$13*T14)+(X14*X$13*T14)+(Y14*Y$13*T14)+(Z14*Z$13*T14)</f>
        <v>437</v>
      </c>
      <c r="AC14" s="456">
        <v>0</v>
      </c>
      <c r="AD14" s="2"/>
      <c r="AE14" s="4"/>
      <c r="AF14" s="5"/>
    </row>
    <row r="15" spans="2:32" hidden="1" x14ac:dyDescent="0.25">
      <c r="B15" s="1" t="s">
        <v>1376</v>
      </c>
      <c r="C15" s="3" t="s">
        <v>1368</v>
      </c>
      <c r="D15" s="3" t="s">
        <v>1115</v>
      </c>
      <c r="E15" s="407" t="s">
        <v>1377</v>
      </c>
      <c r="F15" s="407" t="s">
        <v>3201</v>
      </c>
      <c r="G15" s="407" t="s">
        <v>3307</v>
      </c>
      <c r="H15" s="440" t="s">
        <v>4109</v>
      </c>
      <c r="I15" s="407" t="s">
        <v>4128</v>
      </c>
      <c r="J15" s="407" t="s">
        <v>3800</v>
      </c>
      <c r="K15" s="3" t="s">
        <v>3426</v>
      </c>
      <c r="L15" s="387">
        <v>37.299999999999997</v>
      </c>
      <c r="M15" s="387">
        <v>0</v>
      </c>
      <c r="N15" s="387">
        <f t="shared" ref="N15:N79" si="1">L15+M15</f>
        <v>37.299999999999997</v>
      </c>
      <c r="O15" s="442">
        <f t="shared" si="0"/>
        <v>37.299999999999997</v>
      </c>
      <c r="P15" s="387" t="s">
        <v>5101</v>
      </c>
      <c r="Q15" s="459">
        <v>671</v>
      </c>
      <c r="R15" s="459"/>
      <c r="S15" s="456">
        <v>0</v>
      </c>
      <c r="T15" s="456">
        <f>Q15+S15</f>
        <v>671</v>
      </c>
      <c r="U15" s="410"/>
      <c r="V15" s="411">
        <v>1</v>
      </c>
      <c r="W15" s="411">
        <v>1</v>
      </c>
      <c r="X15" s="411">
        <v>1</v>
      </c>
      <c r="Y15" s="411">
        <v>1</v>
      </c>
      <c r="Z15" s="411">
        <v>0</v>
      </c>
      <c r="AA15" s="412">
        <v>1</v>
      </c>
      <c r="AB15" s="456">
        <f>(V15*V$13*T15)+(W15*W$13*T15)+(X15*X$13*T15)+(Y15*Y$13*T15)+(Z15*Z$13*T15)</f>
        <v>671</v>
      </c>
      <c r="AC15" s="456">
        <v>0</v>
      </c>
      <c r="AD15" s="2"/>
      <c r="AE15" s="4"/>
      <c r="AF15" s="5"/>
    </row>
    <row r="16" spans="2:32" hidden="1" x14ac:dyDescent="0.25">
      <c r="B16" s="1" t="s">
        <v>1378</v>
      </c>
      <c r="C16" s="3" t="s">
        <v>1368</v>
      </c>
      <c r="D16" s="3" t="s">
        <v>1115</v>
      </c>
      <c r="E16" s="407" t="s">
        <v>1379</v>
      </c>
      <c r="F16" s="407" t="s">
        <v>3201</v>
      </c>
      <c r="G16" s="407" t="s">
        <v>3308</v>
      </c>
      <c r="H16" s="440" t="s">
        <v>4109</v>
      </c>
      <c r="I16" s="407" t="s">
        <v>4129</v>
      </c>
      <c r="J16" s="407" t="s">
        <v>3801</v>
      </c>
      <c r="K16" s="3" t="s">
        <v>3427</v>
      </c>
      <c r="L16" s="387">
        <v>43</v>
      </c>
      <c r="M16" s="387">
        <v>0</v>
      </c>
      <c r="N16" s="387">
        <f t="shared" si="1"/>
        <v>43</v>
      </c>
      <c r="O16" s="442">
        <f t="shared" si="0"/>
        <v>43</v>
      </c>
      <c r="P16" s="387" t="s">
        <v>5101</v>
      </c>
      <c r="Q16" s="459">
        <v>693</v>
      </c>
      <c r="R16" s="459"/>
      <c r="S16" s="456">
        <v>0</v>
      </c>
      <c r="T16" s="456">
        <f t="shared" ref="T16:T34" si="2">Q16+S16</f>
        <v>693</v>
      </c>
      <c r="U16" s="410"/>
      <c r="V16" s="411">
        <v>1</v>
      </c>
      <c r="W16" s="411">
        <v>1</v>
      </c>
      <c r="X16" s="411">
        <v>1</v>
      </c>
      <c r="Y16" s="411">
        <v>1</v>
      </c>
      <c r="Z16" s="411">
        <v>0</v>
      </c>
      <c r="AA16" s="412">
        <v>1</v>
      </c>
      <c r="AB16" s="456">
        <f t="shared" ref="AB16:AB47" si="3">(V16*V$13*T16)+(W16*W$13*T16)+(X16*X$13*T16)+(Y16*Y$13*T16)+(Z16*Z$13*T16)</f>
        <v>693</v>
      </c>
      <c r="AC16" s="456">
        <v>0</v>
      </c>
      <c r="AD16" s="2"/>
      <c r="AE16" s="4"/>
      <c r="AF16" s="5"/>
    </row>
    <row r="17" spans="2:32" hidden="1" x14ac:dyDescent="0.25">
      <c r="B17" s="1" t="s">
        <v>1380</v>
      </c>
      <c r="C17" s="3" t="s">
        <v>1368</v>
      </c>
      <c r="D17" s="3" t="s">
        <v>1115</v>
      </c>
      <c r="E17" s="407" t="s">
        <v>1381</v>
      </c>
      <c r="F17" s="407" t="s">
        <v>3201</v>
      </c>
      <c r="G17" s="407" t="s">
        <v>3309</v>
      </c>
      <c r="H17" s="440" t="s">
        <v>4109</v>
      </c>
      <c r="I17" s="407" t="s">
        <v>4130</v>
      </c>
      <c r="J17" s="407" t="s">
        <v>3802</v>
      </c>
      <c r="K17" s="3" t="s">
        <v>3428</v>
      </c>
      <c r="L17" s="387">
        <v>23.6</v>
      </c>
      <c r="M17" s="387">
        <v>0</v>
      </c>
      <c r="N17" s="387">
        <f t="shared" si="1"/>
        <v>23.6</v>
      </c>
      <c r="O17" s="442">
        <f t="shared" si="0"/>
        <v>23.6</v>
      </c>
      <c r="P17" s="387" t="s">
        <v>5101</v>
      </c>
      <c r="Q17" s="459">
        <v>459</v>
      </c>
      <c r="R17" s="459"/>
      <c r="S17" s="456">
        <v>0</v>
      </c>
      <c r="T17" s="456">
        <f t="shared" si="2"/>
        <v>459</v>
      </c>
      <c r="U17" s="410"/>
      <c r="V17" s="411">
        <v>1</v>
      </c>
      <c r="W17" s="411">
        <v>1</v>
      </c>
      <c r="X17" s="411">
        <v>1</v>
      </c>
      <c r="Y17" s="411">
        <v>1</v>
      </c>
      <c r="Z17" s="411">
        <v>0</v>
      </c>
      <c r="AA17" s="412">
        <v>1</v>
      </c>
      <c r="AB17" s="456">
        <f t="shared" si="3"/>
        <v>459.00000000000006</v>
      </c>
      <c r="AC17" s="456">
        <v>0</v>
      </c>
      <c r="AD17" s="2"/>
      <c r="AE17" s="4"/>
      <c r="AF17" s="5"/>
    </row>
    <row r="18" spans="2:32" hidden="1" x14ac:dyDescent="0.25">
      <c r="B18" s="1" t="s">
        <v>1405</v>
      </c>
      <c r="C18" s="387" t="s">
        <v>1368</v>
      </c>
      <c r="D18" s="3" t="s">
        <v>1115</v>
      </c>
      <c r="E18" s="440" t="s">
        <v>1396</v>
      </c>
      <c r="F18" s="407" t="s">
        <v>3201</v>
      </c>
      <c r="G18" s="407" t="s">
        <v>3310</v>
      </c>
      <c r="H18" s="440" t="s">
        <v>4109</v>
      </c>
      <c r="I18" s="407" t="s">
        <v>4131</v>
      </c>
      <c r="J18" s="407" t="s">
        <v>3803</v>
      </c>
      <c r="K18" s="3" t="s">
        <v>3429</v>
      </c>
      <c r="L18" s="387">
        <v>42.7</v>
      </c>
      <c r="M18" s="387">
        <v>0</v>
      </c>
      <c r="N18" s="387">
        <f t="shared" si="1"/>
        <v>42.7</v>
      </c>
      <c r="O18" s="442">
        <f t="shared" si="0"/>
        <v>42.7</v>
      </c>
      <c r="P18" s="387" t="s">
        <v>5101</v>
      </c>
      <c r="Q18" s="459">
        <v>786</v>
      </c>
      <c r="R18" s="459"/>
      <c r="S18" s="456">
        <v>0</v>
      </c>
      <c r="T18" s="456">
        <f t="shared" si="2"/>
        <v>786</v>
      </c>
      <c r="U18" s="410"/>
      <c r="V18" s="411">
        <v>1</v>
      </c>
      <c r="W18" s="411">
        <v>1</v>
      </c>
      <c r="X18" s="411">
        <v>1</v>
      </c>
      <c r="Y18" s="411">
        <v>1</v>
      </c>
      <c r="Z18" s="411">
        <v>0</v>
      </c>
      <c r="AA18" s="412">
        <f t="shared" ref="AA18:AA47" si="4">IF(T18,AB18/T18,0)</f>
        <v>1</v>
      </c>
      <c r="AB18" s="456">
        <f t="shared" si="3"/>
        <v>786</v>
      </c>
      <c r="AC18" s="456">
        <v>0</v>
      </c>
      <c r="AD18" s="2"/>
      <c r="AE18" s="4"/>
      <c r="AF18" s="5"/>
    </row>
    <row r="19" spans="2:32" hidden="1" x14ac:dyDescent="0.25">
      <c r="B19" s="1" t="s">
        <v>1406</v>
      </c>
      <c r="C19" s="387" t="s">
        <v>1368</v>
      </c>
      <c r="D19" s="3" t="s">
        <v>1115</v>
      </c>
      <c r="E19" s="440" t="s">
        <v>1399</v>
      </c>
      <c r="F19" s="407" t="s">
        <v>3201</v>
      </c>
      <c r="G19" s="407" t="s">
        <v>3311</v>
      </c>
      <c r="H19" s="440" t="s">
        <v>4109</v>
      </c>
      <c r="I19" s="407" t="s">
        <v>4132</v>
      </c>
      <c r="J19" s="407" t="s">
        <v>3804</v>
      </c>
      <c r="K19" s="3" t="s">
        <v>3430</v>
      </c>
      <c r="L19" s="387">
        <v>29.69</v>
      </c>
      <c r="M19" s="387">
        <v>0</v>
      </c>
      <c r="N19" s="387">
        <f t="shared" si="1"/>
        <v>29.69</v>
      </c>
      <c r="O19" s="442">
        <f t="shared" si="0"/>
        <v>29.69</v>
      </c>
      <c r="P19" s="387" t="s">
        <v>5101</v>
      </c>
      <c r="Q19" s="459">
        <v>598</v>
      </c>
      <c r="R19" s="459"/>
      <c r="S19" s="456">
        <v>0</v>
      </c>
      <c r="T19" s="456">
        <f t="shared" si="2"/>
        <v>598</v>
      </c>
      <c r="U19" s="410"/>
      <c r="V19" s="411">
        <v>1</v>
      </c>
      <c r="W19" s="411">
        <v>1</v>
      </c>
      <c r="X19" s="411">
        <v>1</v>
      </c>
      <c r="Y19" s="411">
        <v>1</v>
      </c>
      <c r="Z19" s="411">
        <v>0</v>
      </c>
      <c r="AA19" s="412">
        <f t="shared" si="4"/>
        <v>1</v>
      </c>
      <c r="AB19" s="456">
        <f t="shared" si="3"/>
        <v>598</v>
      </c>
      <c r="AC19" s="456">
        <v>0</v>
      </c>
      <c r="AD19" s="2"/>
      <c r="AE19" s="4"/>
      <c r="AF19" s="5"/>
    </row>
    <row r="20" spans="2:32" hidden="1" x14ac:dyDescent="0.25">
      <c r="B20" s="1" t="s">
        <v>1407</v>
      </c>
      <c r="C20" s="387" t="s">
        <v>1368</v>
      </c>
      <c r="D20" s="3" t="s">
        <v>1115</v>
      </c>
      <c r="E20" s="440" t="s">
        <v>1400</v>
      </c>
      <c r="F20" s="407" t="s">
        <v>3201</v>
      </c>
      <c r="G20" s="407" t="s">
        <v>3312</v>
      </c>
      <c r="H20" s="440" t="s">
        <v>4109</v>
      </c>
      <c r="I20" s="407" t="s">
        <v>4133</v>
      </c>
      <c r="J20" s="407" t="s">
        <v>3805</v>
      </c>
      <c r="K20" s="3" t="s">
        <v>3431</v>
      </c>
      <c r="L20" s="387">
        <v>31.29</v>
      </c>
      <c r="M20" s="387">
        <v>0</v>
      </c>
      <c r="N20" s="387">
        <f t="shared" si="1"/>
        <v>31.29</v>
      </c>
      <c r="O20" s="442">
        <f t="shared" si="0"/>
        <v>31.29</v>
      </c>
      <c r="P20" s="387" t="s">
        <v>5101</v>
      </c>
      <c r="Q20" s="459">
        <v>590</v>
      </c>
      <c r="R20" s="459"/>
      <c r="S20" s="456">
        <v>0</v>
      </c>
      <c r="T20" s="456">
        <f t="shared" si="2"/>
        <v>590</v>
      </c>
      <c r="U20" s="410"/>
      <c r="V20" s="411">
        <v>1</v>
      </c>
      <c r="W20" s="411">
        <v>1</v>
      </c>
      <c r="X20" s="411">
        <v>1</v>
      </c>
      <c r="Y20" s="411">
        <v>1</v>
      </c>
      <c r="Z20" s="411">
        <v>0</v>
      </c>
      <c r="AA20" s="412">
        <f t="shared" si="4"/>
        <v>1</v>
      </c>
      <c r="AB20" s="456">
        <f t="shared" si="3"/>
        <v>590</v>
      </c>
      <c r="AC20" s="456">
        <v>0</v>
      </c>
      <c r="AD20" s="2"/>
      <c r="AE20" s="4"/>
      <c r="AF20" s="5"/>
    </row>
    <row r="21" spans="2:32" hidden="1" x14ac:dyDescent="0.25">
      <c r="B21" s="1" t="s">
        <v>1408</v>
      </c>
      <c r="C21" s="387" t="s">
        <v>1368</v>
      </c>
      <c r="D21" s="3" t="s">
        <v>1115</v>
      </c>
      <c r="E21" s="440" t="s">
        <v>1401</v>
      </c>
      <c r="F21" s="407" t="s">
        <v>3201</v>
      </c>
      <c r="G21" s="407" t="s">
        <v>3313</v>
      </c>
      <c r="H21" s="440" t="s">
        <v>4109</v>
      </c>
      <c r="I21" s="407" t="s">
        <v>4134</v>
      </c>
      <c r="J21" s="407" t="s">
        <v>3806</v>
      </c>
      <c r="K21" s="3" t="s">
        <v>3432</v>
      </c>
      <c r="L21" s="387">
        <v>29.71</v>
      </c>
      <c r="M21" s="387">
        <v>0</v>
      </c>
      <c r="N21" s="387">
        <f t="shared" si="1"/>
        <v>29.71</v>
      </c>
      <c r="O21" s="442">
        <f t="shared" si="0"/>
        <v>29.710000000000008</v>
      </c>
      <c r="P21" s="387" t="s">
        <v>5101</v>
      </c>
      <c r="Q21" s="459">
        <v>556.33000000000004</v>
      </c>
      <c r="R21" s="459"/>
      <c r="S21" s="456">
        <v>0</v>
      </c>
      <c r="T21" s="456">
        <f t="shared" si="2"/>
        <v>556.33000000000004</v>
      </c>
      <c r="U21" s="410"/>
      <c r="V21" s="411">
        <v>1</v>
      </c>
      <c r="W21" s="411">
        <v>1</v>
      </c>
      <c r="X21" s="411">
        <v>1</v>
      </c>
      <c r="Y21" s="411">
        <v>1</v>
      </c>
      <c r="Z21" s="411">
        <v>0</v>
      </c>
      <c r="AA21" s="412">
        <f t="shared" si="4"/>
        <v>1.0000000000000002</v>
      </c>
      <c r="AB21" s="456">
        <f>(V21*V$13*T21)+(W21*W$13*T21)+(X21*X$13*T21)+(Y21*Y$13*T21)+(Z21*Z$13*T21)</f>
        <v>556.33000000000015</v>
      </c>
      <c r="AC21" s="456">
        <v>0</v>
      </c>
      <c r="AD21" s="2"/>
      <c r="AE21" s="4"/>
      <c r="AF21" s="5"/>
    </row>
    <row r="22" spans="2:32" hidden="1" x14ac:dyDescent="0.25">
      <c r="B22" s="1" t="s">
        <v>1409</v>
      </c>
      <c r="C22" s="387" t="s">
        <v>1368</v>
      </c>
      <c r="D22" s="3" t="s">
        <v>1115</v>
      </c>
      <c r="E22" s="440" t="s">
        <v>1402</v>
      </c>
      <c r="F22" s="407" t="s">
        <v>3201</v>
      </c>
      <c r="G22" s="407" t="s">
        <v>3314</v>
      </c>
      <c r="H22" s="440" t="s">
        <v>4109</v>
      </c>
      <c r="I22" s="407" t="s">
        <v>4135</v>
      </c>
      <c r="J22" s="407" t="s">
        <v>3807</v>
      </c>
      <c r="K22" s="3" t="s">
        <v>3433</v>
      </c>
      <c r="L22" s="387">
        <v>28</v>
      </c>
      <c r="M22" s="387">
        <v>0</v>
      </c>
      <c r="N22" s="387">
        <f t="shared" si="1"/>
        <v>28</v>
      </c>
      <c r="O22" s="442">
        <f t="shared" si="0"/>
        <v>0</v>
      </c>
      <c r="P22" s="387" t="s">
        <v>5101</v>
      </c>
      <c r="Q22" s="459">
        <v>518</v>
      </c>
      <c r="R22" s="459"/>
      <c r="S22" s="456">
        <v>0</v>
      </c>
      <c r="T22" s="456">
        <f t="shared" si="2"/>
        <v>518</v>
      </c>
      <c r="U22" s="410"/>
      <c r="V22" s="411">
        <v>0</v>
      </c>
      <c r="W22" s="411">
        <v>0</v>
      </c>
      <c r="X22" s="411">
        <v>0</v>
      </c>
      <c r="Y22" s="411">
        <v>0</v>
      </c>
      <c r="Z22" s="411">
        <v>0</v>
      </c>
      <c r="AA22" s="412">
        <f t="shared" si="4"/>
        <v>0</v>
      </c>
      <c r="AB22" s="456">
        <f t="shared" si="3"/>
        <v>0</v>
      </c>
      <c r="AC22" s="456">
        <v>0</v>
      </c>
      <c r="AD22" s="2"/>
      <c r="AE22" s="4"/>
      <c r="AF22" s="5"/>
    </row>
    <row r="23" spans="2:32" hidden="1" x14ac:dyDescent="0.25">
      <c r="B23" s="1" t="s">
        <v>1410</v>
      </c>
      <c r="C23" s="387" t="s">
        <v>1368</v>
      </c>
      <c r="D23" s="3" t="s">
        <v>1115</v>
      </c>
      <c r="E23" s="440" t="s">
        <v>1395</v>
      </c>
      <c r="F23" s="407" t="s">
        <v>3201</v>
      </c>
      <c r="G23" s="407" t="s">
        <v>3315</v>
      </c>
      <c r="H23" s="440" t="s">
        <v>4109</v>
      </c>
      <c r="I23" s="407" t="s">
        <v>4136</v>
      </c>
      <c r="J23" s="407" t="s">
        <v>3808</v>
      </c>
      <c r="K23" s="3" t="s">
        <v>3434</v>
      </c>
      <c r="L23" s="387">
        <v>18.48</v>
      </c>
      <c r="M23" s="387">
        <v>0</v>
      </c>
      <c r="N23" s="387">
        <f t="shared" si="1"/>
        <v>18.48</v>
      </c>
      <c r="O23" s="442">
        <f t="shared" si="0"/>
        <v>18.48</v>
      </c>
      <c r="P23" s="387" t="s">
        <v>5101</v>
      </c>
      <c r="Q23" s="459">
        <v>365</v>
      </c>
      <c r="R23" s="459"/>
      <c r="S23" s="456">
        <v>0</v>
      </c>
      <c r="T23" s="456">
        <f t="shared" si="2"/>
        <v>365</v>
      </c>
      <c r="U23" s="410"/>
      <c r="V23" s="411">
        <v>1</v>
      </c>
      <c r="W23" s="411">
        <v>1</v>
      </c>
      <c r="X23" s="411">
        <v>1</v>
      </c>
      <c r="Y23" s="411">
        <v>1</v>
      </c>
      <c r="Z23" s="411">
        <v>0</v>
      </c>
      <c r="AA23" s="412">
        <f t="shared" si="4"/>
        <v>1</v>
      </c>
      <c r="AB23" s="456">
        <f>(V23*V$13*T23)+(W23*W$13*T23)+(X23*X$13*T23)+(Y23*Y$13*T23)+(Z23*Z$13*T23)</f>
        <v>365</v>
      </c>
      <c r="AC23" s="456">
        <v>0</v>
      </c>
      <c r="AD23" s="2"/>
      <c r="AE23" s="4"/>
      <c r="AF23" s="5"/>
    </row>
    <row r="24" spans="2:32" hidden="1" x14ac:dyDescent="0.25">
      <c r="B24" s="1" t="s">
        <v>1411</v>
      </c>
      <c r="C24" s="387" t="s">
        <v>1368</v>
      </c>
      <c r="D24" s="3" t="s">
        <v>1115</v>
      </c>
      <c r="E24" s="440" t="s">
        <v>1397</v>
      </c>
      <c r="F24" s="407" t="s">
        <v>3201</v>
      </c>
      <c r="G24" s="407" t="s">
        <v>3316</v>
      </c>
      <c r="H24" s="440" t="s">
        <v>4109</v>
      </c>
      <c r="I24" s="407" t="s">
        <v>4137</v>
      </c>
      <c r="J24" s="407" t="s">
        <v>3809</v>
      </c>
      <c r="K24" s="3" t="s">
        <v>3435</v>
      </c>
      <c r="L24" s="387">
        <v>42.4</v>
      </c>
      <c r="M24" s="387">
        <v>0</v>
      </c>
      <c r="N24" s="387">
        <f t="shared" si="1"/>
        <v>42.4</v>
      </c>
      <c r="O24" s="442">
        <f t="shared" si="0"/>
        <v>42.4</v>
      </c>
      <c r="P24" s="387" t="s">
        <v>5101</v>
      </c>
      <c r="Q24" s="459">
        <v>849</v>
      </c>
      <c r="R24" s="459"/>
      <c r="S24" s="456">
        <v>0</v>
      </c>
      <c r="T24" s="456">
        <f t="shared" si="2"/>
        <v>849</v>
      </c>
      <c r="U24" s="410"/>
      <c r="V24" s="411">
        <v>1</v>
      </c>
      <c r="W24" s="411">
        <v>1</v>
      </c>
      <c r="X24" s="411">
        <v>1</v>
      </c>
      <c r="Y24" s="411">
        <v>1</v>
      </c>
      <c r="Z24" s="411">
        <v>0</v>
      </c>
      <c r="AA24" s="412">
        <f t="shared" si="4"/>
        <v>1</v>
      </c>
      <c r="AB24" s="456">
        <f t="shared" si="3"/>
        <v>849</v>
      </c>
      <c r="AC24" s="456">
        <v>0</v>
      </c>
      <c r="AD24" s="2"/>
      <c r="AE24" s="4"/>
      <c r="AF24" s="5"/>
    </row>
    <row r="25" spans="2:32" hidden="1" x14ac:dyDescent="0.25">
      <c r="B25" s="1" t="s">
        <v>1412</v>
      </c>
      <c r="C25" s="387" t="s">
        <v>1368</v>
      </c>
      <c r="D25" s="3" t="s">
        <v>1115</v>
      </c>
      <c r="E25" s="440" t="s">
        <v>1398</v>
      </c>
      <c r="F25" s="407" t="s">
        <v>3201</v>
      </c>
      <c r="G25" s="407" t="s">
        <v>3317</v>
      </c>
      <c r="H25" s="440" t="s">
        <v>4109</v>
      </c>
      <c r="I25" s="407" t="s">
        <v>4138</v>
      </c>
      <c r="J25" s="407" t="s">
        <v>3810</v>
      </c>
      <c r="K25" s="3" t="s">
        <v>3436</v>
      </c>
      <c r="L25" s="387">
        <v>39.832000000000001</v>
      </c>
      <c r="M25" s="387">
        <v>0</v>
      </c>
      <c r="N25" s="387">
        <f t="shared" si="1"/>
        <v>39.832000000000001</v>
      </c>
      <c r="O25" s="442">
        <f t="shared" si="0"/>
        <v>39.832000000000001</v>
      </c>
      <c r="P25" s="387" t="s">
        <v>5101</v>
      </c>
      <c r="Q25" s="459">
        <v>770</v>
      </c>
      <c r="R25" s="459"/>
      <c r="S25" s="456">
        <v>0</v>
      </c>
      <c r="T25" s="456">
        <f t="shared" si="2"/>
        <v>770</v>
      </c>
      <c r="U25" s="435"/>
      <c r="V25" s="436">
        <v>1</v>
      </c>
      <c r="W25" s="436">
        <v>1</v>
      </c>
      <c r="X25" s="436">
        <v>1</v>
      </c>
      <c r="Y25" s="436">
        <v>1</v>
      </c>
      <c r="Z25" s="436">
        <v>0</v>
      </c>
      <c r="AA25" s="437">
        <f t="shared" si="4"/>
        <v>1</v>
      </c>
      <c r="AB25" s="455">
        <f t="shared" si="3"/>
        <v>770</v>
      </c>
      <c r="AC25" s="455">
        <v>0</v>
      </c>
      <c r="AD25" s="434"/>
      <c r="AE25" s="438"/>
      <c r="AF25" s="439"/>
    </row>
    <row r="26" spans="2:32" hidden="1" x14ac:dyDescent="0.25">
      <c r="B26" s="1" t="s">
        <v>1444</v>
      </c>
      <c r="C26" s="387" t="s">
        <v>1368</v>
      </c>
      <c r="D26" s="3" t="s">
        <v>1115</v>
      </c>
      <c r="E26" s="441" t="s">
        <v>1425</v>
      </c>
      <c r="F26" s="407" t="s">
        <v>3201</v>
      </c>
      <c r="G26" s="407" t="s">
        <v>3318</v>
      </c>
      <c r="H26" s="440" t="s">
        <v>4109</v>
      </c>
      <c r="I26" s="407" t="s">
        <v>4139</v>
      </c>
      <c r="J26" s="407" t="s">
        <v>3811</v>
      </c>
      <c r="K26" s="3" t="s">
        <v>3437</v>
      </c>
      <c r="L26" s="442">
        <f>84984.026/2000</f>
        <v>42.492013</v>
      </c>
      <c r="M26" s="387">
        <v>0</v>
      </c>
      <c r="N26" s="387">
        <f t="shared" si="1"/>
        <v>42.492013</v>
      </c>
      <c r="O26" s="442">
        <f t="shared" si="0"/>
        <v>42.492013</v>
      </c>
      <c r="P26" s="387" t="s">
        <v>5101</v>
      </c>
      <c r="Q26" s="443">
        <v>774.35799999999995</v>
      </c>
      <c r="R26" s="443"/>
      <c r="S26" s="456">
        <v>0</v>
      </c>
      <c r="T26" s="2">
        <f t="shared" si="2"/>
        <v>774.35799999999995</v>
      </c>
      <c r="U26" s="435"/>
      <c r="V26" s="436">
        <v>1</v>
      </c>
      <c r="W26" s="436">
        <v>1</v>
      </c>
      <c r="X26" s="436">
        <v>1</v>
      </c>
      <c r="Y26" s="436">
        <v>1</v>
      </c>
      <c r="Z26" s="436">
        <v>0</v>
      </c>
      <c r="AA26" s="437">
        <f t="shared" si="4"/>
        <v>1</v>
      </c>
      <c r="AB26" s="455">
        <f t="shared" si="3"/>
        <v>774.35799999999995</v>
      </c>
      <c r="AC26" s="455">
        <v>0</v>
      </c>
      <c r="AD26" s="434"/>
      <c r="AE26" s="438"/>
      <c r="AF26" s="439"/>
    </row>
    <row r="27" spans="2:32" hidden="1" x14ac:dyDescent="0.25">
      <c r="B27" s="1" t="s">
        <v>1445</v>
      </c>
      <c r="C27" s="387" t="s">
        <v>1368</v>
      </c>
      <c r="D27" s="3" t="s">
        <v>1115</v>
      </c>
      <c r="E27" s="441" t="s">
        <v>1426</v>
      </c>
      <c r="F27" s="407" t="s">
        <v>3201</v>
      </c>
      <c r="G27" s="407" t="s">
        <v>3319</v>
      </c>
      <c r="H27" s="440" t="s">
        <v>4109</v>
      </c>
      <c r="I27" s="407" t="s">
        <v>4140</v>
      </c>
      <c r="J27" s="407" t="s">
        <v>3812</v>
      </c>
      <c r="K27" s="3" t="s">
        <v>3438</v>
      </c>
      <c r="L27" s="442">
        <f>74515.644/2000</f>
        <v>37.257821999999997</v>
      </c>
      <c r="M27" s="387">
        <v>0</v>
      </c>
      <c r="N27" s="387">
        <f t="shared" si="1"/>
        <v>37.257821999999997</v>
      </c>
      <c r="O27" s="442">
        <f t="shared" si="0"/>
        <v>37.257821999999997</v>
      </c>
      <c r="P27" s="387" t="s">
        <v>5101</v>
      </c>
      <c r="Q27" s="443">
        <v>708.95799999999997</v>
      </c>
      <c r="R27" s="443"/>
      <c r="S27" s="456">
        <v>0</v>
      </c>
      <c r="T27" s="2">
        <f t="shared" si="2"/>
        <v>708.95799999999997</v>
      </c>
      <c r="U27" s="435"/>
      <c r="V27" s="436">
        <v>1</v>
      </c>
      <c r="W27" s="436">
        <v>1</v>
      </c>
      <c r="X27" s="436">
        <v>1</v>
      </c>
      <c r="Y27" s="436">
        <v>1</v>
      </c>
      <c r="Z27" s="436">
        <v>0</v>
      </c>
      <c r="AA27" s="437">
        <f t="shared" si="4"/>
        <v>1</v>
      </c>
      <c r="AB27" s="455">
        <f t="shared" si="3"/>
        <v>708.95799999999997</v>
      </c>
      <c r="AC27" s="455">
        <v>0</v>
      </c>
      <c r="AD27" s="434"/>
      <c r="AE27" s="438"/>
      <c r="AF27" s="439"/>
    </row>
    <row r="28" spans="2:32" hidden="1" x14ac:dyDescent="0.25">
      <c r="B28" s="1" t="s">
        <v>1446</v>
      </c>
      <c r="C28" s="387" t="s">
        <v>1368</v>
      </c>
      <c r="D28" s="3" t="s">
        <v>1115</v>
      </c>
      <c r="E28" s="441" t="s">
        <v>1427</v>
      </c>
      <c r="F28" s="407" t="s">
        <v>3201</v>
      </c>
      <c r="G28" s="407" t="s">
        <v>3320</v>
      </c>
      <c r="H28" s="440" t="s">
        <v>4109</v>
      </c>
      <c r="I28" s="407" t="s">
        <v>4141</v>
      </c>
      <c r="J28" s="407" t="s">
        <v>3813</v>
      </c>
      <c r="K28" s="3" t="s">
        <v>3439</v>
      </c>
      <c r="L28" s="442">
        <f>72218.546/2000</f>
        <v>36.109273000000002</v>
      </c>
      <c r="M28" s="387">
        <v>0</v>
      </c>
      <c r="N28" s="387">
        <f t="shared" si="1"/>
        <v>36.109273000000002</v>
      </c>
      <c r="O28" s="442">
        <f t="shared" si="0"/>
        <v>36.109273000000002</v>
      </c>
      <c r="P28" s="387" t="s">
        <v>5101</v>
      </c>
      <c r="Q28" s="443">
        <v>623.57799999999997</v>
      </c>
      <c r="R28" s="443"/>
      <c r="S28" s="456">
        <v>0</v>
      </c>
      <c r="T28" s="2">
        <f t="shared" si="2"/>
        <v>623.57799999999997</v>
      </c>
      <c r="U28" s="435"/>
      <c r="V28" s="436">
        <v>1</v>
      </c>
      <c r="W28" s="436">
        <v>1</v>
      </c>
      <c r="X28" s="436">
        <v>1</v>
      </c>
      <c r="Y28" s="436">
        <v>1</v>
      </c>
      <c r="Z28" s="436">
        <v>0</v>
      </c>
      <c r="AA28" s="437">
        <f t="shared" si="4"/>
        <v>1</v>
      </c>
      <c r="AB28" s="455">
        <f t="shared" si="3"/>
        <v>623.57799999999997</v>
      </c>
      <c r="AC28" s="455">
        <v>0</v>
      </c>
      <c r="AD28" s="434"/>
      <c r="AE28" s="438"/>
      <c r="AF28" s="439"/>
    </row>
    <row r="29" spans="2:32" hidden="1" x14ac:dyDescent="0.25">
      <c r="B29" s="1" t="s">
        <v>1447</v>
      </c>
      <c r="C29" s="387" t="s">
        <v>1368</v>
      </c>
      <c r="D29" s="387" t="s">
        <v>1115</v>
      </c>
      <c r="E29" s="441" t="s">
        <v>1428</v>
      </c>
      <c r="F29" s="407" t="s">
        <v>3201</v>
      </c>
      <c r="G29" s="407" t="s">
        <v>3321</v>
      </c>
      <c r="H29" s="440" t="s">
        <v>4109</v>
      </c>
      <c r="I29" s="407" t="s">
        <v>4142</v>
      </c>
      <c r="J29" s="407" t="s">
        <v>3814</v>
      </c>
      <c r="K29" s="3" t="s">
        <v>3440</v>
      </c>
      <c r="L29" s="442">
        <f>55338.584/2000</f>
        <v>27.669292000000002</v>
      </c>
      <c r="M29" s="387">
        <v>0</v>
      </c>
      <c r="N29" s="387">
        <f t="shared" si="1"/>
        <v>27.669292000000002</v>
      </c>
      <c r="O29" s="442">
        <f t="shared" si="0"/>
        <v>27.669292000000009</v>
      </c>
      <c r="P29" s="387" t="s">
        <v>5101</v>
      </c>
      <c r="Q29" s="443">
        <v>499.58600000000001</v>
      </c>
      <c r="R29" s="443"/>
      <c r="S29" s="459">
        <v>0</v>
      </c>
      <c r="T29" s="461">
        <f t="shared" si="2"/>
        <v>499.58600000000001</v>
      </c>
      <c r="U29" s="435"/>
      <c r="V29" s="436">
        <v>1</v>
      </c>
      <c r="W29" s="436">
        <v>1</v>
      </c>
      <c r="X29" s="436">
        <v>1</v>
      </c>
      <c r="Y29" s="436">
        <v>1</v>
      </c>
      <c r="Z29" s="436">
        <v>0</v>
      </c>
      <c r="AA29" s="437">
        <f t="shared" si="4"/>
        <v>1.0000000000000002</v>
      </c>
      <c r="AB29" s="455">
        <f t="shared" si="3"/>
        <v>499.58600000000007</v>
      </c>
      <c r="AC29" s="455">
        <v>0</v>
      </c>
      <c r="AD29" s="434"/>
      <c r="AE29" s="438"/>
      <c r="AF29" s="439"/>
    </row>
    <row r="30" spans="2:32" hidden="1" x14ac:dyDescent="0.25">
      <c r="B30" s="1" t="s">
        <v>1448</v>
      </c>
      <c r="C30" s="387" t="s">
        <v>1368</v>
      </c>
      <c r="D30" s="387" t="s">
        <v>1115</v>
      </c>
      <c r="E30" s="441" t="s">
        <v>1429</v>
      </c>
      <c r="F30" s="407" t="s">
        <v>3201</v>
      </c>
      <c r="G30" s="407" t="s">
        <v>3322</v>
      </c>
      <c r="H30" s="440" t="s">
        <v>4109</v>
      </c>
      <c r="I30" s="407" t="s">
        <v>4143</v>
      </c>
      <c r="J30" s="407" t="s">
        <v>3815</v>
      </c>
      <c r="K30" s="3" t="s">
        <v>3441</v>
      </c>
      <c r="L30" s="442">
        <f>57279.076/2000</f>
        <v>28.639538000000002</v>
      </c>
      <c r="M30" s="387">
        <v>0</v>
      </c>
      <c r="N30" s="387">
        <f t="shared" si="1"/>
        <v>28.639538000000002</v>
      </c>
      <c r="O30" s="442">
        <f t="shared" si="0"/>
        <v>28.639538000000002</v>
      </c>
      <c r="P30" s="387" t="s">
        <v>5101</v>
      </c>
      <c r="Q30" s="443">
        <v>487.822</v>
      </c>
      <c r="R30" s="443"/>
      <c r="S30" s="459">
        <v>0</v>
      </c>
      <c r="T30" s="461">
        <f t="shared" si="2"/>
        <v>487.822</v>
      </c>
      <c r="U30" s="435"/>
      <c r="V30" s="436">
        <v>1</v>
      </c>
      <c r="W30" s="436">
        <v>1</v>
      </c>
      <c r="X30" s="436">
        <v>1</v>
      </c>
      <c r="Y30" s="436">
        <v>1</v>
      </c>
      <c r="Z30" s="436">
        <v>0</v>
      </c>
      <c r="AA30" s="437">
        <f t="shared" si="4"/>
        <v>1</v>
      </c>
      <c r="AB30" s="455">
        <f t="shared" si="3"/>
        <v>487.822</v>
      </c>
      <c r="AC30" s="455">
        <v>0</v>
      </c>
      <c r="AD30" s="434"/>
      <c r="AE30" s="438"/>
      <c r="AF30" s="439"/>
    </row>
    <row r="31" spans="2:32" hidden="1" x14ac:dyDescent="0.25">
      <c r="B31" s="1" t="s">
        <v>1449</v>
      </c>
      <c r="C31" s="387" t="s">
        <v>1368</v>
      </c>
      <c r="D31" s="387" t="s">
        <v>1115</v>
      </c>
      <c r="E31" s="441" t="s">
        <v>1430</v>
      </c>
      <c r="F31" s="407" t="s">
        <v>3201</v>
      </c>
      <c r="G31" s="407" t="s">
        <v>3323</v>
      </c>
      <c r="H31" s="440" t="s">
        <v>4109</v>
      </c>
      <c r="I31" s="407" t="s">
        <v>4144</v>
      </c>
      <c r="J31" s="407" t="s">
        <v>3816</v>
      </c>
      <c r="K31" s="3" t="s">
        <v>3442</v>
      </c>
      <c r="L31" s="442">
        <f>85582.595/2000</f>
        <v>42.791297499999999</v>
      </c>
      <c r="M31" s="387">
        <v>0</v>
      </c>
      <c r="N31" s="387">
        <f t="shared" si="1"/>
        <v>42.791297499999999</v>
      </c>
      <c r="O31" s="442">
        <f t="shared" si="0"/>
        <v>42.791297500000006</v>
      </c>
      <c r="P31" s="387" t="s">
        <v>5101</v>
      </c>
      <c r="Q31" s="443">
        <v>760.62199999999996</v>
      </c>
      <c r="R31" s="443"/>
      <c r="S31" s="459">
        <v>0</v>
      </c>
      <c r="T31" s="461">
        <f t="shared" si="2"/>
        <v>760.62199999999996</v>
      </c>
      <c r="U31" s="435"/>
      <c r="V31" s="436">
        <v>1</v>
      </c>
      <c r="W31" s="436">
        <v>1</v>
      </c>
      <c r="X31" s="436">
        <v>1</v>
      </c>
      <c r="Y31" s="436">
        <v>1</v>
      </c>
      <c r="Z31" s="436">
        <v>0</v>
      </c>
      <c r="AA31" s="437">
        <f t="shared" si="4"/>
        <v>1.0000000000000002</v>
      </c>
      <c r="AB31" s="455">
        <f t="shared" si="3"/>
        <v>760.62200000000007</v>
      </c>
      <c r="AC31" s="455">
        <v>0</v>
      </c>
      <c r="AD31" s="466"/>
      <c r="AE31" s="438"/>
      <c r="AF31" s="439"/>
    </row>
    <row r="32" spans="2:32" hidden="1" x14ac:dyDescent="0.25">
      <c r="B32" s="1" t="s">
        <v>1450</v>
      </c>
      <c r="C32" s="387" t="s">
        <v>1368</v>
      </c>
      <c r="D32" s="387" t="s">
        <v>1115</v>
      </c>
      <c r="E32" s="441" t="s">
        <v>1431</v>
      </c>
      <c r="F32" s="407" t="s">
        <v>3201</v>
      </c>
      <c r="G32" s="407" t="s">
        <v>3324</v>
      </c>
      <c r="H32" s="440" t="s">
        <v>4109</v>
      </c>
      <c r="I32" s="407" t="s">
        <v>4145</v>
      </c>
      <c r="J32" s="407" t="s">
        <v>3817</v>
      </c>
      <c r="K32" s="3" t="s">
        <v>3443</v>
      </c>
      <c r="L32" s="442">
        <f>(38268.588+1412)/2000</f>
        <v>19.840294</v>
      </c>
      <c r="M32" s="387">
        <v>0</v>
      </c>
      <c r="N32" s="387">
        <f t="shared" si="1"/>
        <v>19.840294</v>
      </c>
      <c r="O32" s="442">
        <f t="shared" si="0"/>
        <v>19.840294</v>
      </c>
      <c r="P32" s="387" t="s">
        <v>5101</v>
      </c>
      <c r="Q32" s="443">
        <v>356.202</v>
      </c>
      <c r="R32" s="443"/>
      <c r="S32" s="459">
        <v>0</v>
      </c>
      <c r="T32" s="461">
        <f t="shared" si="2"/>
        <v>356.202</v>
      </c>
      <c r="U32" s="435"/>
      <c r="V32" s="436">
        <v>1</v>
      </c>
      <c r="W32" s="436">
        <v>1</v>
      </c>
      <c r="X32" s="436">
        <v>1</v>
      </c>
      <c r="Y32" s="436">
        <v>1</v>
      </c>
      <c r="Z32" s="436">
        <v>0</v>
      </c>
      <c r="AA32" s="437">
        <f t="shared" si="4"/>
        <v>1</v>
      </c>
      <c r="AB32" s="455">
        <f t="shared" si="3"/>
        <v>356.202</v>
      </c>
      <c r="AC32" s="455">
        <v>0</v>
      </c>
      <c r="AD32" s="466"/>
      <c r="AE32" s="438"/>
      <c r="AF32" s="439"/>
    </row>
    <row r="33" spans="1:32" hidden="1" x14ac:dyDescent="0.25">
      <c r="B33" s="1" t="s">
        <v>1451</v>
      </c>
      <c r="C33" s="387" t="s">
        <v>1368</v>
      </c>
      <c r="D33" s="387" t="s">
        <v>1115</v>
      </c>
      <c r="E33" s="441" t="s">
        <v>1432</v>
      </c>
      <c r="F33" s="407" t="s">
        <v>3201</v>
      </c>
      <c r="G33" s="407" t="s">
        <v>3325</v>
      </c>
      <c r="H33" s="440" t="s">
        <v>4109</v>
      </c>
      <c r="I33" s="407" t="s">
        <v>4146</v>
      </c>
      <c r="J33" s="407" t="s">
        <v>3818</v>
      </c>
      <c r="K33" s="3" t="s">
        <v>3444</v>
      </c>
      <c r="L33" s="442">
        <f>60390.87/2000</f>
        <v>30.195435</v>
      </c>
      <c r="M33" s="387">
        <v>0</v>
      </c>
      <c r="N33" s="387">
        <f t="shared" si="1"/>
        <v>30.195435</v>
      </c>
      <c r="O33" s="442">
        <f t="shared" si="0"/>
        <v>30.195435</v>
      </c>
      <c r="P33" s="387" t="s">
        <v>5101</v>
      </c>
      <c r="Q33" s="443">
        <v>566.97900000000004</v>
      </c>
      <c r="R33" s="443"/>
      <c r="S33" s="459">
        <v>0</v>
      </c>
      <c r="T33" s="461">
        <f t="shared" si="2"/>
        <v>566.97900000000004</v>
      </c>
      <c r="U33" s="435"/>
      <c r="V33" s="436">
        <v>1</v>
      </c>
      <c r="W33" s="436">
        <v>1</v>
      </c>
      <c r="X33" s="436">
        <v>1</v>
      </c>
      <c r="Y33" s="436">
        <v>1</v>
      </c>
      <c r="Z33" s="436">
        <v>0</v>
      </c>
      <c r="AA33" s="437">
        <f t="shared" si="4"/>
        <v>1</v>
      </c>
      <c r="AB33" s="455">
        <f t="shared" si="3"/>
        <v>566.97900000000004</v>
      </c>
      <c r="AC33" s="455">
        <v>0</v>
      </c>
      <c r="AD33" s="466"/>
      <c r="AE33" s="438"/>
      <c r="AF33" s="439"/>
    </row>
    <row r="34" spans="1:32" ht="15.75" hidden="1" thickBot="1" x14ac:dyDescent="0.3">
      <c r="B34" s="1" t="s">
        <v>1452</v>
      </c>
      <c r="C34" s="387" t="s">
        <v>1368</v>
      </c>
      <c r="D34" s="387" t="s">
        <v>1115</v>
      </c>
      <c r="E34" s="441" t="s">
        <v>1433</v>
      </c>
      <c r="F34" s="407" t="s">
        <v>3201</v>
      </c>
      <c r="G34" s="407" t="s">
        <v>3326</v>
      </c>
      <c r="H34" s="440" t="s">
        <v>4109</v>
      </c>
      <c r="I34" s="407" t="s">
        <v>4147</v>
      </c>
      <c r="J34" s="407" t="s">
        <v>3819</v>
      </c>
      <c r="K34" s="3" t="s">
        <v>3445</v>
      </c>
      <c r="L34" s="442">
        <f>52225.368/2000</f>
        <v>26.112684000000002</v>
      </c>
      <c r="M34" s="387">
        <v>0</v>
      </c>
      <c r="N34" s="387">
        <f t="shared" si="1"/>
        <v>26.112684000000002</v>
      </c>
      <c r="O34" s="442">
        <f t="shared" si="0"/>
        <v>26.112684000000002</v>
      </c>
      <c r="P34" s="387" t="s">
        <v>5101</v>
      </c>
      <c r="Q34" s="443">
        <v>480.20600000000002</v>
      </c>
      <c r="R34" s="443"/>
      <c r="S34" s="459">
        <v>0</v>
      </c>
      <c r="T34" s="461">
        <f t="shared" si="2"/>
        <v>480.20600000000002</v>
      </c>
      <c r="U34" s="435"/>
      <c r="V34" s="436">
        <v>1</v>
      </c>
      <c r="W34" s="436">
        <v>1</v>
      </c>
      <c r="X34" s="436">
        <v>1</v>
      </c>
      <c r="Y34" s="436">
        <v>1</v>
      </c>
      <c r="Z34" s="436">
        <v>0</v>
      </c>
      <c r="AA34" s="437">
        <f t="shared" si="4"/>
        <v>1</v>
      </c>
      <c r="AB34" s="455">
        <f t="shared" si="3"/>
        <v>480.20600000000002</v>
      </c>
      <c r="AC34" s="455">
        <v>0</v>
      </c>
      <c r="AD34" s="466"/>
      <c r="AE34" s="438"/>
      <c r="AF34" s="439"/>
    </row>
    <row r="35" spans="1:32" hidden="1" x14ac:dyDescent="0.25">
      <c r="A35" s="463"/>
      <c r="B35" s="1" t="s">
        <v>1460</v>
      </c>
      <c r="C35" s="387" t="s">
        <v>1368</v>
      </c>
      <c r="D35" s="387" t="s">
        <v>1115</v>
      </c>
      <c r="E35" s="441" t="s">
        <v>3204</v>
      </c>
      <c r="F35" s="407" t="s">
        <v>3201</v>
      </c>
      <c r="G35" s="407" t="s">
        <v>3327</v>
      </c>
      <c r="H35" s="440" t="s">
        <v>4110</v>
      </c>
      <c r="I35" s="407" t="s">
        <v>4539</v>
      </c>
      <c r="J35" s="407" t="s">
        <v>3820</v>
      </c>
      <c r="K35" s="3" t="s">
        <v>3446</v>
      </c>
      <c r="L35" s="442">
        <v>0</v>
      </c>
      <c r="M35" s="387">
        <v>4.28</v>
      </c>
      <c r="N35" s="387">
        <f t="shared" si="1"/>
        <v>4.28</v>
      </c>
      <c r="O35" s="442">
        <f t="shared" si="0"/>
        <v>0</v>
      </c>
      <c r="P35" s="387" t="s">
        <v>5101</v>
      </c>
      <c r="Q35" s="443">
        <v>143.10732761829576</v>
      </c>
      <c r="R35" s="443"/>
      <c r="S35" s="459">
        <v>0</v>
      </c>
      <c r="T35" s="461">
        <f t="shared" ref="T35:T40" si="5">Q35+S35</f>
        <v>143.10732761829576</v>
      </c>
      <c r="U35" s="435"/>
      <c r="V35" s="436">
        <v>1</v>
      </c>
      <c r="W35" s="436">
        <v>1</v>
      </c>
      <c r="X35" s="436">
        <v>1</v>
      </c>
      <c r="Y35" s="436">
        <v>1</v>
      </c>
      <c r="Z35" s="436">
        <v>0</v>
      </c>
      <c r="AA35" s="437">
        <f t="shared" si="4"/>
        <v>1</v>
      </c>
      <c r="AB35" s="455">
        <f t="shared" si="3"/>
        <v>143.10732761829576</v>
      </c>
      <c r="AC35" s="455"/>
      <c r="AD35" s="466"/>
      <c r="AE35" s="438"/>
      <c r="AF35" s="439"/>
    </row>
    <row r="36" spans="1:32" hidden="1" x14ac:dyDescent="0.25">
      <c r="A36" s="464"/>
      <c r="B36" s="1" t="s">
        <v>1501</v>
      </c>
      <c r="C36" s="387" t="s">
        <v>1368</v>
      </c>
      <c r="D36" s="387" t="s">
        <v>1115</v>
      </c>
      <c r="E36" s="441" t="s">
        <v>3205</v>
      </c>
      <c r="F36" s="407" t="s">
        <v>3201</v>
      </c>
      <c r="G36" s="407" t="s">
        <v>3328</v>
      </c>
      <c r="H36" s="440" t="s">
        <v>4109</v>
      </c>
      <c r="I36" s="407" t="s">
        <v>4148</v>
      </c>
      <c r="J36" s="407" t="s">
        <v>3821</v>
      </c>
      <c r="K36" s="3" t="s">
        <v>3447</v>
      </c>
      <c r="L36" s="442">
        <v>17</v>
      </c>
      <c r="M36" s="387"/>
      <c r="N36" s="387">
        <f t="shared" si="1"/>
        <v>17</v>
      </c>
      <c r="O36" s="442">
        <v>17</v>
      </c>
      <c r="P36" s="387" t="s">
        <v>5101</v>
      </c>
      <c r="Q36" s="443"/>
      <c r="R36" s="443"/>
      <c r="S36" s="459"/>
      <c r="T36" s="461">
        <v>338</v>
      </c>
      <c r="U36" s="435"/>
      <c r="V36" s="436">
        <v>1</v>
      </c>
      <c r="W36" s="436">
        <v>1</v>
      </c>
      <c r="X36" s="436">
        <v>1</v>
      </c>
      <c r="Y36" s="436">
        <v>1</v>
      </c>
      <c r="Z36" s="436">
        <v>0</v>
      </c>
      <c r="AA36" s="437">
        <f t="shared" si="4"/>
        <v>1</v>
      </c>
      <c r="AB36" s="455">
        <f t="shared" si="3"/>
        <v>338</v>
      </c>
      <c r="AC36" s="455"/>
      <c r="AD36" s="466"/>
      <c r="AE36" s="438"/>
      <c r="AF36" s="439"/>
    </row>
    <row r="37" spans="1:32" hidden="1" x14ac:dyDescent="0.25">
      <c r="A37" s="464"/>
      <c r="B37" s="1" t="s">
        <v>1461</v>
      </c>
      <c r="C37" s="387" t="s">
        <v>1368</v>
      </c>
      <c r="D37" s="387" t="s">
        <v>1115</v>
      </c>
      <c r="E37" s="441" t="s">
        <v>3206</v>
      </c>
      <c r="F37" s="407" t="s">
        <v>3201</v>
      </c>
      <c r="G37" s="407" t="s">
        <v>3329</v>
      </c>
      <c r="H37" s="440" t="s">
        <v>4110</v>
      </c>
      <c r="I37" s="407" t="s">
        <v>4540</v>
      </c>
      <c r="J37" s="407" t="s">
        <v>3822</v>
      </c>
      <c r="K37" s="3" t="s">
        <v>3448</v>
      </c>
      <c r="L37" s="442">
        <v>0</v>
      </c>
      <c r="M37" s="387">
        <v>11.752000000000001</v>
      </c>
      <c r="N37" s="387">
        <f t="shared" si="1"/>
        <v>11.752000000000001</v>
      </c>
      <c r="O37" s="442">
        <f>L37*AA37</f>
        <v>0</v>
      </c>
      <c r="P37" s="387" t="s">
        <v>5101</v>
      </c>
      <c r="Q37" s="443">
        <v>350.31139683158926</v>
      </c>
      <c r="R37" s="443">
        <v>30</v>
      </c>
      <c r="S37" s="459">
        <v>0</v>
      </c>
      <c r="T37" s="461">
        <f t="shared" si="5"/>
        <v>350.31139683158926</v>
      </c>
      <c r="U37" s="435"/>
      <c r="V37" s="436">
        <v>1</v>
      </c>
      <c r="W37" s="436">
        <v>1</v>
      </c>
      <c r="X37" s="436">
        <v>1</v>
      </c>
      <c r="Y37" s="436">
        <v>1</v>
      </c>
      <c r="Z37" s="436">
        <v>0</v>
      </c>
      <c r="AA37" s="437">
        <f t="shared" si="4"/>
        <v>1</v>
      </c>
      <c r="AB37" s="455">
        <f t="shared" si="3"/>
        <v>350.31139683158926</v>
      </c>
      <c r="AC37" s="455">
        <v>56</v>
      </c>
      <c r="AD37" s="466"/>
      <c r="AE37" s="438"/>
      <c r="AF37" s="439"/>
    </row>
    <row r="38" spans="1:32" hidden="1" x14ac:dyDescent="0.25">
      <c r="A38" s="464"/>
      <c r="B38" s="1" t="s">
        <v>1462</v>
      </c>
      <c r="C38" s="387" t="s">
        <v>1368</v>
      </c>
      <c r="D38" s="387" t="s">
        <v>1115</v>
      </c>
      <c r="E38" s="441" t="s">
        <v>3207</v>
      </c>
      <c r="F38" s="407" t="s">
        <v>3201</v>
      </c>
      <c r="G38" s="407" t="s">
        <v>3330</v>
      </c>
      <c r="H38" s="440" t="s">
        <v>4110</v>
      </c>
      <c r="I38" s="407" t="s">
        <v>4541</v>
      </c>
      <c r="J38" s="407" t="s">
        <v>3823</v>
      </c>
      <c r="K38" s="3" t="s">
        <v>3449</v>
      </c>
      <c r="L38" s="442">
        <v>0</v>
      </c>
      <c r="M38" s="387">
        <v>2.706</v>
      </c>
      <c r="N38" s="387">
        <f t="shared" si="1"/>
        <v>2.706</v>
      </c>
      <c r="O38" s="442">
        <f>L38*AA38</f>
        <v>0</v>
      </c>
      <c r="P38" s="387" t="s">
        <v>5101</v>
      </c>
      <c r="Q38" s="443">
        <v>68.861403867717087</v>
      </c>
      <c r="R38" s="443"/>
      <c r="S38" s="459">
        <v>0</v>
      </c>
      <c r="T38" s="461">
        <f t="shared" si="5"/>
        <v>68.861403867717087</v>
      </c>
      <c r="U38" s="435"/>
      <c r="V38" s="436">
        <v>1</v>
      </c>
      <c r="W38" s="436">
        <v>1</v>
      </c>
      <c r="X38" s="436">
        <v>1</v>
      </c>
      <c r="Y38" s="436">
        <v>1</v>
      </c>
      <c r="Z38" s="436">
        <v>0</v>
      </c>
      <c r="AA38" s="437">
        <f t="shared" si="4"/>
        <v>1</v>
      </c>
      <c r="AB38" s="455">
        <f t="shared" si="3"/>
        <v>68.861403867717087</v>
      </c>
      <c r="AC38" s="455">
        <v>25</v>
      </c>
      <c r="AD38" s="466"/>
      <c r="AE38" s="438"/>
      <c r="AF38" s="439"/>
    </row>
    <row r="39" spans="1:32" hidden="1" x14ac:dyDescent="0.25">
      <c r="A39" s="464"/>
      <c r="B39" s="1" t="s">
        <v>1463</v>
      </c>
      <c r="C39" s="387" t="s">
        <v>1368</v>
      </c>
      <c r="D39" s="387" t="s">
        <v>1115</v>
      </c>
      <c r="E39" s="441" t="s">
        <v>3208</v>
      </c>
      <c r="F39" s="407" t="s">
        <v>3201</v>
      </c>
      <c r="G39" s="407" t="s">
        <v>3331</v>
      </c>
      <c r="H39" s="440" t="s">
        <v>4110</v>
      </c>
      <c r="I39" s="407" t="s">
        <v>4542</v>
      </c>
      <c r="J39" s="407" t="s">
        <v>3824</v>
      </c>
      <c r="K39" s="3" t="s">
        <v>3450</v>
      </c>
      <c r="L39" s="442">
        <v>0</v>
      </c>
      <c r="M39" s="387">
        <v>11.804</v>
      </c>
      <c r="N39" s="387">
        <f t="shared" si="1"/>
        <v>11.804</v>
      </c>
      <c r="O39" s="442">
        <f>L39*AA39</f>
        <v>0</v>
      </c>
      <c r="P39" s="387" t="s">
        <v>5101</v>
      </c>
      <c r="Q39" s="443">
        <v>353.08117553023095</v>
      </c>
      <c r="R39" s="443"/>
      <c r="S39" s="459">
        <v>0</v>
      </c>
      <c r="T39" s="461">
        <f t="shared" si="5"/>
        <v>353.08117553023095</v>
      </c>
      <c r="U39" s="435"/>
      <c r="V39" s="436">
        <v>1</v>
      </c>
      <c r="W39" s="436">
        <v>1</v>
      </c>
      <c r="X39" s="436">
        <v>1</v>
      </c>
      <c r="Y39" s="436">
        <v>1</v>
      </c>
      <c r="Z39" s="436">
        <v>0</v>
      </c>
      <c r="AA39" s="437">
        <f t="shared" si="4"/>
        <v>1</v>
      </c>
      <c r="AB39" s="455">
        <f t="shared" si="3"/>
        <v>353.08117553023095</v>
      </c>
      <c r="AC39" s="455">
        <v>0</v>
      </c>
      <c r="AD39" s="466"/>
      <c r="AE39" s="438"/>
      <c r="AF39" s="439"/>
    </row>
    <row r="40" spans="1:32" hidden="1" x14ac:dyDescent="0.25">
      <c r="A40" s="464"/>
      <c r="B40" s="1" t="s">
        <v>1464</v>
      </c>
      <c r="C40" s="387" t="s">
        <v>1368</v>
      </c>
      <c r="D40" s="387" t="s">
        <v>1115</v>
      </c>
      <c r="E40" s="441" t="s">
        <v>3209</v>
      </c>
      <c r="F40" s="407" t="s">
        <v>3201</v>
      </c>
      <c r="G40" s="407" t="s">
        <v>3332</v>
      </c>
      <c r="H40" s="440" t="s">
        <v>4110</v>
      </c>
      <c r="I40" s="407" t="s">
        <v>4543</v>
      </c>
      <c r="J40" s="407" t="s">
        <v>3825</v>
      </c>
      <c r="K40" s="3" t="s">
        <v>3451</v>
      </c>
      <c r="L40" s="442">
        <v>0</v>
      </c>
      <c r="M40" s="387">
        <v>2.706</v>
      </c>
      <c r="N40" s="387">
        <f t="shared" si="1"/>
        <v>2.706</v>
      </c>
      <c r="O40" s="442">
        <f>L40*AA40</f>
        <v>0</v>
      </c>
      <c r="P40" s="387" t="s">
        <v>5101</v>
      </c>
      <c r="Q40" s="443">
        <v>68.861403867717087</v>
      </c>
      <c r="R40" s="443"/>
      <c r="S40" s="459">
        <v>0</v>
      </c>
      <c r="T40" s="461">
        <f t="shared" si="5"/>
        <v>68.861403867717087</v>
      </c>
      <c r="U40" s="435"/>
      <c r="V40" s="436">
        <v>1</v>
      </c>
      <c r="W40" s="436">
        <v>1</v>
      </c>
      <c r="X40" s="436">
        <v>1</v>
      </c>
      <c r="Y40" s="436">
        <v>1</v>
      </c>
      <c r="Z40" s="436">
        <v>0</v>
      </c>
      <c r="AA40" s="437">
        <f t="shared" si="4"/>
        <v>1</v>
      </c>
      <c r="AB40" s="455">
        <f t="shared" si="3"/>
        <v>68.861403867717087</v>
      </c>
      <c r="AC40" s="455">
        <v>0</v>
      </c>
      <c r="AD40" s="466"/>
      <c r="AE40" s="438"/>
      <c r="AF40" s="439"/>
    </row>
    <row r="41" spans="1:32" hidden="1" x14ac:dyDescent="0.25">
      <c r="A41" s="464"/>
      <c r="B41" s="1" t="s">
        <v>1465</v>
      </c>
      <c r="C41" s="387" t="s">
        <v>1368</v>
      </c>
      <c r="D41" s="387" t="s">
        <v>1115</v>
      </c>
      <c r="E41" s="441" t="s">
        <v>3210</v>
      </c>
      <c r="F41" s="407" t="s">
        <v>3201</v>
      </c>
      <c r="G41" s="407" t="s">
        <v>3333</v>
      </c>
      <c r="H41" s="440" t="s">
        <v>4109</v>
      </c>
      <c r="I41" s="407" t="s">
        <v>4149</v>
      </c>
      <c r="J41" s="407" t="s">
        <v>3826</v>
      </c>
      <c r="K41" s="3" t="s">
        <v>3452</v>
      </c>
      <c r="L41" s="442">
        <v>16</v>
      </c>
      <c r="M41" s="387"/>
      <c r="N41" s="387">
        <f t="shared" si="1"/>
        <v>16</v>
      </c>
      <c r="O41" s="442">
        <v>15.95</v>
      </c>
      <c r="P41" s="387" t="s">
        <v>5101</v>
      </c>
      <c r="Q41" s="443"/>
      <c r="R41" s="443"/>
      <c r="S41" s="459">
        <v>0</v>
      </c>
      <c r="T41" s="461">
        <v>320</v>
      </c>
      <c r="U41" s="435"/>
      <c r="V41" s="436">
        <v>1</v>
      </c>
      <c r="W41" s="436">
        <v>1</v>
      </c>
      <c r="X41" s="436">
        <v>1</v>
      </c>
      <c r="Y41" s="436">
        <v>1</v>
      </c>
      <c r="Z41" s="436">
        <v>0</v>
      </c>
      <c r="AA41" s="437">
        <f t="shared" si="4"/>
        <v>1</v>
      </c>
      <c r="AB41" s="455">
        <f t="shared" si="3"/>
        <v>320</v>
      </c>
      <c r="AC41" s="455">
        <v>0</v>
      </c>
      <c r="AD41" s="466"/>
      <c r="AE41" s="438"/>
      <c r="AF41" s="439"/>
    </row>
    <row r="42" spans="1:32" hidden="1" x14ac:dyDescent="0.25">
      <c r="A42" s="464"/>
      <c r="B42" s="1" t="s">
        <v>1466</v>
      </c>
      <c r="C42" s="387" t="s">
        <v>1368</v>
      </c>
      <c r="D42" s="387" t="s">
        <v>1115</v>
      </c>
      <c r="E42" s="441" t="s">
        <v>3211</v>
      </c>
      <c r="F42" s="407" t="s">
        <v>3201</v>
      </c>
      <c r="G42" s="407" t="s">
        <v>3334</v>
      </c>
      <c r="H42" s="440" t="s">
        <v>4110</v>
      </c>
      <c r="I42" s="407" t="s">
        <v>4544</v>
      </c>
      <c r="J42" s="407" t="s">
        <v>3827</v>
      </c>
      <c r="K42" s="3" t="s">
        <v>3453</v>
      </c>
      <c r="L42" s="442">
        <v>0</v>
      </c>
      <c r="M42" s="387">
        <v>4.28</v>
      </c>
      <c r="N42" s="387">
        <f t="shared" si="1"/>
        <v>4.28</v>
      </c>
      <c r="O42" s="442">
        <f t="shared" ref="O42:O47" si="6">L42*AA42</f>
        <v>0</v>
      </c>
      <c r="P42" s="387" t="s">
        <v>5101</v>
      </c>
      <c r="Q42" s="443">
        <v>131.14678699159649</v>
      </c>
      <c r="R42" s="443">
        <v>37.25</v>
      </c>
      <c r="S42" s="459">
        <v>0</v>
      </c>
      <c r="T42" s="461">
        <f>Q42+S42+R42</f>
        <v>168.39678699159649</v>
      </c>
      <c r="U42" s="435"/>
      <c r="V42" s="436">
        <v>1</v>
      </c>
      <c r="W42" s="436">
        <v>1</v>
      </c>
      <c r="X42" s="436">
        <v>1</v>
      </c>
      <c r="Y42" s="436">
        <v>1</v>
      </c>
      <c r="Z42" s="436">
        <v>0</v>
      </c>
      <c r="AA42" s="437">
        <f t="shared" si="4"/>
        <v>1.0000000000000002</v>
      </c>
      <c r="AB42" s="455">
        <f t="shared" si="3"/>
        <v>168.39678699159651</v>
      </c>
      <c r="AC42" s="455">
        <v>73.5</v>
      </c>
      <c r="AD42" s="466"/>
      <c r="AE42" s="438"/>
      <c r="AF42" s="439"/>
    </row>
    <row r="43" spans="1:32" hidden="1" x14ac:dyDescent="0.25">
      <c r="A43" s="464"/>
      <c r="B43" s="1" t="s">
        <v>1467</v>
      </c>
      <c r="C43" s="387" t="s">
        <v>1368</v>
      </c>
      <c r="D43" s="387" t="s">
        <v>1115</v>
      </c>
      <c r="E43" s="441" t="s">
        <v>3212</v>
      </c>
      <c r="F43" s="407" t="s">
        <v>3201</v>
      </c>
      <c r="G43" s="407" t="s">
        <v>3335</v>
      </c>
      <c r="H43" s="440" t="s">
        <v>4110</v>
      </c>
      <c r="I43" s="407" t="s">
        <v>4545</v>
      </c>
      <c r="J43" s="407" t="s">
        <v>3828</v>
      </c>
      <c r="K43" s="3" t="s">
        <v>3454</v>
      </c>
      <c r="L43" s="442">
        <v>0</v>
      </c>
      <c r="M43" s="387">
        <v>13.8</v>
      </c>
      <c r="N43" s="387">
        <f t="shared" si="1"/>
        <v>13.8</v>
      </c>
      <c r="O43" s="442">
        <f t="shared" si="6"/>
        <v>0</v>
      </c>
      <c r="P43" s="387" t="s">
        <v>5101</v>
      </c>
      <c r="Q43" s="443">
        <v>411.62245347188298</v>
      </c>
      <c r="R43" s="443">
        <v>129</v>
      </c>
      <c r="S43" s="459">
        <v>0</v>
      </c>
      <c r="T43" s="461">
        <f>Q43+S43+R43</f>
        <v>540.62245347188298</v>
      </c>
      <c r="U43" s="435"/>
      <c r="V43" s="436">
        <v>1</v>
      </c>
      <c r="W43" s="436">
        <v>1</v>
      </c>
      <c r="X43" s="436">
        <v>1</v>
      </c>
      <c r="Y43" s="436">
        <v>1</v>
      </c>
      <c r="Z43" s="436">
        <v>0</v>
      </c>
      <c r="AA43" s="437">
        <f t="shared" si="4"/>
        <v>1</v>
      </c>
      <c r="AB43" s="455">
        <f t="shared" si="3"/>
        <v>540.62245347188298</v>
      </c>
      <c r="AC43" s="455">
        <v>48</v>
      </c>
      <c r="AD43" s="466"/>
      <c r="AE43" s="438"/>
      <c r="AF43" s="439"/>
    </row>
    <row r="44" spans="1:32" ht="26.25" hidden="1" x14ac:dyDescent="0.25">
      <c r="A44" s="464"/>
      <c r="B44" s="1" t="s">
        <v>1468</v>
      </c>
      <c r="C44" s="387" t="s">
        <v>1368</v>
      </c>
      <c r="D44" s="387" t="s">
        <v>1115</v>
      </c>
      <c r="E44" s="441" t="s">
        <v>3213</v>
      </c>
      <c r="F44" s="407" t="s">
        <v>3201</v>
      </c>
      <c r="G44" s="407" t="s">
        <v>3336</v>
      </c>
      <c r="H44" s="440" t="s">
        <v>4110</v>
      </c>
      <c r="I44" s="407" t="s">
        <v>4546</v>
      </c>
      <c r="J44" s="407" t="s">
        <v>3829</v>
      </c>
      <c r="K44" s="3" t="s">
        <v>3455</v>
      </c>
      <c r="L44" s="442">
        <v>0</v>
      </c>
      <c r="M44" s="387"/>
      <c r="N44" s="387">
        <f t="shared" si="1"/>
        <v>0</v>
      </c>
      <c r="O44" s="442">
        <f t="shared" si="6"/>
        <v>0</v>
      </c>
      <c r="P44" s="387" t="s">
        <v>5101</v>
      </c>
      <c r="Q44" s="443">
        <v>0</v>
      </c>
      <c r="R44" s="443"/>
      <c r="S44" s="459">
        <v>0</v>
      </c>
      <c r="T44" s="461">
        <f t="shared" ref="T44:T66" si="7">Q44+S44+R44</f>
        <v>0</v>
      </c>
      <c r="U44" s="435"/>
      <c r="V44" s="436">
        <v>0</v>
      </c>
      <c r="W44" s="436">
        <v>0</v>
      </c>
      <c r="X44" s="436">
        <v>0</v>
      </c>
      <c r="Y44" s="436">
        <v>0</v>
      </c>
      <c r="Z44" s="436">
        <v>0</v>
      </c>
      <c r="AA44" s="437">
        <f t="shared" si="4"/>
        <v>0</v>
      </c>
      <c r="AB44" s="455">
        <f t="shared" si="3"/>
        <v>0</v>
      </c>
      <c r="AC44" s="455">
        <v>0</v>
      </c>
      <c r="AD44" s="466"/>
      <c r="AE44" s="438"/>
      <c r="AF44" s="439" t="s">
        <v>1475</v>
      </c>
    </row>
    <row r="45" spans="1:32" ht="42" hidden="1" customHeight="1" x14ac:dyDescent="0.25">
      <c r="A45" s="464"/>
      <c r="B45" s="1" t="s">
        <v>1471</v>
      </c>
      <c r="C45" s="387" t="s">
        <v>1368</v>
      </c>
      <c r="D45" s="387" t="s">
        <v>1115</v>
      </c>
      <c r="E45" s="441" t="s">
        <v>3214</v>
      </c>
      <c r="F45" s="407" t="s">
        <v>3201</v>
      </c>
      <c r="G45" s="407" t="s">
        <v>3926</v>
      </c>
      <c r="H45" s="440" t="s">
        <v>4110</v>
      </c>
      <c r="I45" s="440" t="s">
        <v>4547</v>
      </c>
      <c r="J45" s="407" t="s">
        <v>3830</v>
      </c>
      <c r="K45" s="387" t="s">
        <v>5213</v>
      </c>
      <c r="L45" s="442">
        <v>0</v>
      </c>
      <c r="M45" s="387">
        <v>16.626722000000008</v>
      </c>
      <c r="N45" s="387">
        <f t="shared" si="1"/>
        <v>16.626722000000008</v>
      </c>
      <c r="O45" s="442">
        <f t="shared" si="6"/>
        <v>0</v>
      </c>
      <c r="P45" s="387" t="s">
        <v>5101</v>
      </c>
      <c r="Q45" s="443">
        <v>660.31</v>
      </c>
      <c r="R45" s="443"/>
      <c r="S45" s="459">
        <v>0</v>
      </c>
      <c r="T45" s="461">
        <f t="shared" si="7"/>
        <v>660.31</v>
      </c>
      <c r="U45" s="435"/>
      <c r="V45" s="436">
        <v>1</v>
      </c>
      <c r="W45" s="436">
        <v>1</v>
      </c>
      <c r="X45" s="436">
        <v>1</v>
      </c>
      <c r="Y45" s="436">
        <v>0</v>
      </c>
      <c r="Z45" s="436">
        <v>0</v>
      </c>
      <c r="AA45" s="437">
        <f t="shared" si="4"/>
        <v>0.95000000000000007</v>
      </c>
      <c r="AB45" s="455">
        <f t="shared" si="3"/>
        <v>627.29449999999997</v>
      </c>
      <c r="AC45" s="455">
        <v>0</v>
      </c>
      <c r="AD45" s="466"/>
      <c r="AE45" s="438"/>
      <c r="AF45" s="439" t="s">
        <v>5212</v>
      </c>
    </row>
    <row r="46" spans="1:32" hidden="1" x14ac:dyDescent="0.25">
      <c r="A46" s="464"/>
      <c r="B46" s="1" t="s">
        <v>1472</v>
      </c>
      <c r="C46" s="387" t="s">
        <v>1368</v>
      </c>
      <c r="D46" s="387" t="s">
        <v>1115</v>
      </c>
      <c r="E46" s="441" t="s">
        <v>3215</v>
      </c>
      <c r="F46" s="407" t="s">
        <v>3201</v>
      </c>
      <c r="G46" s="407" t="s">
        <v>3927</v>
      </c>
      <c r="H46" s="440" t="s">
        <v>4110</v>
      </c>
      <c r="I46" s="440" t="s">
        <v>4548</v>
      </c>
      <c r="J46" s="407" t="s">
        <v>3831</v>
      </c>
      <c r="K46" s="387" t="s">
        <v>3456</v>
      </c>
      <c r="L46" s="442">
        <v>0</v>
      </c>
      <c r="M46" s="387">
        <v>11.500911000000004</v>
      </c>
      <c r="N46" s="387">
        <f t="shared" si="1"/>
        <v>11.500911000000004</v>
      </c>
      <c r="O46" s="442">
        <f t="shared" si="6"/>
        <v>0</v>
      </c>
      <c r="P46" s="387" t="s">
        <v>5101</v>
      </c>
      <c r="Q46" s="443">
        <v>469.55</v>
      </c>
      <c r="R46" s="443"/>
      <c r="S46" s="459">
        <v>0</v>
      </c>
      <c r="T46" s="461">
        <f t="shared" si="7"/>
        <v>469.55</v>
      </c>
      <c r="U46" s="435"/>
      <c r="V46" s="436">
        <v>1</v>
      </c>
      <c r="W46" s="436">
        <v>0.6</v>
      </c>
      <c r="X46" s="436">
        <v>0.3</v>
      </c>
      <c r="Y46" s="436">
        <v>0</v>
      </c>
      <c r="Z46" s="436">
        <v>0</v>
      </c>
      <c r="AA46" s="437">
        <f t="shared" si="4"/>
        <v>0.47499999999999998</v>
      </c>
      <c r="AB46" s="455">
        <f t="shared" si="3"/>
        <v>223.03625</v>
      </c>
      <c r="AC46" s="455">
        <v>0</v>
      </c>
      <c r="AD46" s="466"/>
      <c r="AE46" s="438"/>
      <c r="AF46" s="439"/>
    </row>
    <row r="47" spans="1:32" ht="15.75" hidden="1" thickBot="1" x14ac:dyDescent="0.3">
      <c r="A47" s="465"/>
      <c r="B47" s="1" t="s">
        <v>1473</v>
      </c>
      <c r="C47" s="387" t="s">
        <v>1368</v>
      </c>
      <c r="D47" s="387" t="s">
        <v>1115</v>
      </c>
      <c r="E47" s="441" t="s">
        <v>3216</v>
      </c>
      <c r="F47" s="407" t="s">
        <v>3201</v>
      </c>
      <c r="G47" s="407" t="s">
        <v>3928</v>
      </c>
      <c r="H47" s="440" t="s">
        <v>4110</v>
      </c>
      <c r="I47" s="440" t="s">
        <v>4549</v>
      </c>
      <c r="J47" s="407" t="s">
        <v>3832</v>
      </c>
      <c r="K47" s="387" t="s">
        <v>3457</v>
      </c>
      <c r="L47" s="442">
        <v>0</v>
      </c>
      <c r="M47" s="387">
        <v>7.3980760000000041</v>
      </c>
      <c r="N47" s="387">
        <f t="shared" si="1"/>
        <v>7.3980760000000041</v>
      </c>
      <c r="O47" s="442">
        <f t="shared" si="6"/>
        <v>0</v>
      </c>
      <c r="P47" s="387" t="s">
        <v>5101</v>
      </c>
      <c r="Q47" s="443">
        <v>323.05</v>
      </c>
      <c r="R47" s="443"/>
      <c r="S47" s="459">
        <v>0</v>
      </c>
      <c r="T47" s="461">
        <f t="shared" si="7"/>
        <v>323.05</v>
      </c>
      <c r="U47" s="435"/>
      <c r="V47" s="436">
        <v>1</v>
      </c>
      <c r="W47" s="436">
        <v>0.6</v>
      </c>
      <c r="X47" s="436">
        <v>0.3</v>
      </c>
      <c r="Y47" s="436">
        <v>0</v>
      </c>
      <c r="Z47" s="436">
        <v>0</v>
      </c>
      <c r="AA47" s="437">
        <f t="shared" si="4"/>
        <v>0.47499999999999998</v>
      </c>
      <c r="AB47" s="455">
        <f t="shared" si="3"/>
        <v>153.44874999999999</v>
      </c>
      <c r="AC47" s="455">
        <v>0</v>
      </c>
      <c r="AD47" s="466"/>
      <c r="AE47" s="438"/>
      <c r="AF47" s="439"/>
    </row>
    <row r="48" spans="1:32" hidden="1" x14ac:dyDescent="0.25">
      <c r="A48" s="464"/>
      <c r="B48" s="1" t="s">
        <v>1476</v>
      </c>
      <c r="C48" s="387" t="s">
        <v>1368</v>
      </c>
      <c r="D48" s="387" t="s">
        <v>1115</v>
      </c>
      <c r="E48" s="441" t="s">
        <v>3217</v>
      </c>
      <c r="F48" s="407" t="s">
        <v>3201</v>
      </c>
      <c r="G48" s="407" t="s">
        <v>3340</v>
      </c>
      <c r="H48" s="440" t="s">
        <v>4110</v>
      </c>
      <c r="I48" s="407" t="s">
        <v>4550</v>
      </c>
      <c r="J48" s="407" t="s">
        <v>3833</v>
      </c>
      <c r="K48" s="3" t="s">
        <v>3458</v>
      </c>
      <c r="L48" s="442">
        <v>15.829000000000001</v>
      </c>
      <c r="M48" s="387">
        <v>0</v>
      </c>
      <c r="N48" s="387">
        <f t="shared" si="1"/>
        <v>15.829000000000001</v>
      </c>
      <c r="O48" s="442">
        <f t="shared" ref="O48:O68" si="8">L48*AA48</f>
        <v>15.829000000000001</v>
      </c>
      <c r="P48" s="387" t="s">
        <v>5101</v>
      </c>
      <c r="Q48" s="443">
        <v>526.90704797938258</v>
      </c>
      <c r="R48" s="443"/>
      <c r="S48" s="459">
        <v>0</v>
      </c>
      <c r="T48" s="461">
        <f t="shared" si="7"/>
        <v>526.90704797938258</v>
      </c>
      <c r="U48" s="435"/>
      <c r="V48" s="436">
        <v>1</v>
      </c>
      <c r="W48" s="436">
        <v>1</v>
      </c>
      <c r="X48" s="436">
        <v>1</v>
      </c>
      <c r="Y48" s="436">
        <v>1</v>
      </c>
      <c r="Z48" s="436">
        <v>0</v>
      </c>
      <c r="AA48" s="437">
        <f t="shared" ref="AA48:AA141" si="9">IF(T48,AB48/T48,0)</f>
        <v>1</v>
      </c>
      <c r="AB48" s="455">
        <f t="shared" ref="AB48:AB80" si="10">(V48*V$13*T48)+(W48*W$13*T48)+(X48*X$13*T48)+(Y48*Y$13*T48)+(Z48*Z$13*T48)</f>
        <v>526.90704797938258</v>
      </c>
      <c r="AC48" s="455">
        <v>0</v>
      </c>
      <c r="AD48" s="466"/>
      <c r="AE48" s="438"/>
      <c r="AF48" s="439"/>
    </row>
    <row r="49" spans="1:32" hidden="1" x14ac:dyDescent="0.25">
      <c r="A49" s="464"/>
      <c r="B49" s="1" t="s">
        <v>1477</v>
      </c>
      <c r="C49" s="387" t="s">
        <v>1368</v>
      </c>
      <c r="D49" s="387" t="s">
        <v>1115</v>
      </c>
      <c r="E49" s="441" t="s">
        <v>3218</v>
      </c>
      <c r="F49" s="407" t="s">
        <v>3201</v>
      </c>
      <c r="G49" s="407" t="s">
        <v>3341</v>
      </c>
      <c r="H49" s="441" t="s">
        <v>4109</v>
      </c>
      <c r="I49" s="407" t="s">
        <v>4150</v>
      </c>
      <c r="J49" s="407" t="s">
        <v>3834</v>
      </c>
      <c r="K49" s="3" t="s">
        <v>3459</v>
      </c>
      <c r="L49" s="442">
        <v>14</v>
      </c>
      <c r="M49" s="387">
        <v>0</v>
      </c>
      <c r="N49" s="387">
        <f t="shared" si="1"/>
        <v>14</v>
      </c>
      <c r="O49" s="442">
        <f>L49*AA49</f>
        <v>14.000000000000004</v>
      </c>
      <c r="P49" s="387" t="s">
        <v>5101</v>
      </c>
      <c r="Q49" s="443">
        <v>227.66</v>
      </c>
      <c r="R49" s="443"/>
      <c r="S49" s="459">
        <v>0</v>
      </c>
      <c r="T49" s="461">
        <f t="shared" si="7"/>
        <v>227.66</v>
      </c>
      <c r="U49" s="435"/>
      <c r="V49" s="436">
        <v>1</v>
      </c>
      <c r="W49" s="436">
        <v>1</v>
      </c>
      <c r="X49" s="436">
        <v>1</v>
      </c>
      <c r="Y49" s="436">
        <v>1</v>
      </c>
      <c r="Z49" s="436">
        <v>0</v>
      </c>
      <c r="AA49" s="437">
        <f t="shared" si="9"/>
        <v>1.0000000000000002</v>
      </c>
      <c r="AB49" s="455">
        <f t="shared" si="10"/>
        <v>227.66000000000003</v>
      </c>
      <c r="AC49" s="455">
        <v>0</v>
      </c>
      <c r="AD49" s="466"/>
      <c r="AE49" s="438"/>
      <c r="AF49" s="439"/>
    </row>
    <row r="50" spans="1:32" hidden="1" x14ac:dyDescent="0.25">
      <c r="A50" s="464"/>
      <c r="B50" s="1" t="s">
        <v>1478</v>
      </c>
      <c r="C50" s="387" t="s">
        <v>1368</v>
      </c>
      <c r="D50" s="387" t="s">
        <v>1115</v>
      </c>
      <c r="E50" s="441" t="s">
        <v>3219</v>
      </c>
      <c r="F50" s="407" t="s">
        <v>3201</v>
      </c>
      <c r="G50" s="407" t="s">
        <v>3342</v>
      </c>
      <c r="H50" s="440" t="s">
        <v>4110</v>
      </c>
      <c r="I50" s="407" t="s">
        <v>4551</v>
      </c>
      <c r="J50" s="407" t="s">
        <v>3835</v>
      </c>
      <c r="K50" s="3" t="s">
        <v>3460</v>
      </c>
      <c r="L50" s="442">
        <v>2.762</v>
      </c>
      <c r="M50" s="387">
        <v>0</v>
      </c>
      <c r="N50" s="387">
        <f t="shared" si="1"/>
        <v>2.762</v>
      </c>
      <c r="O50" s="442">
        <f t="shared" ref="O50:O55" si="11">L50*AA50</f>
        <v>2.762</v>
      </c>
      <c r="P50" s="387" t="s">
        <v>5101</v>
      </c>
      <c r="Q50" s="443">
        <v>71.725124246125063</v>
      </c>
      <c r="R50" s="443"/>
      <c r="S50" s="459">
        <v>0</v>
      </c>
      <c r="T50" s="461">
        <f t="shared" si="7"/>
        <v>71.725124246125063</v>
      </c>
      <c r="U50" s="435"/>
      <c r="V50" s="436">
        <v>1</v>
      </c>
      <c r="W50" s="436">
        <v>1</v>
      </c>
      <c r="X50" s="436">
        <v>1</v>
      </c>
      <c r="Y50" s="436">
        <v>1</v>
      </c>
      <c r="Z50" s="436">
        <v>0</v>
      </c>
      <c r="AA50" s="437">
        <f t="shared" si="9"/>
        <v>1</v>
      </c>
      <c r="AB50" s="455">
        <f t="shared" si="10"/>
        <v>71.725124246125063</v>
      </c>
      <c r="AC50" s="455">
        <v>0</v>
      </c>
      <c r="AD50" s="466"/>
      <c r="AE50" s="438"/>
      <c r="AF50" s="439"/>
    </row>
    <row r="51" spans="1:32" hidden="1" x14ac:dyDescent="0.25">
      <c r="A51" s="464"/>
      <c r="B51" s="1" t="s">
        <v>1479</v>
      </c>
      <c r="C51" s="387" t="s">
        <v>1368</v>
      </c>
      <c r="D51" s="387" t="s">
        <v>1115</v>
      </c>
      <c r="E51" s="441" t="s">
        <v>3220</v>
      </c>
      <c r="F51" s="407" t="s">
        <v>3201</v>
      </c>
      <c r="G51" s="407" t="s">
        <v>3343</v>
      </c>
      <c r="H51" s="440" t="s">
        <v>4110</v>
      </c>
      <c r="I51" s="407" t="s">
        <v>4552</v>
      </c>
      <c r="J51" s="407" t="s">
        <v>3836</v>
      </c>
      <c r="K51" s="3" t="s">
        <v>3461</v>
      </c>
      <c r="L51" s="442">
        <v>11.275</v>
      </c>
      <c r="M51" s="387">
        <v>0</v>
      </c>
      <c r="N51" s="387">
        <f t="shared" si="1"/>
        <v>11.275</v>
      </c>
      <c r="O51" s="442">
        <f t="shared" si="11"/>
        <v>11.275</v>
      </c>
      <c r="P51" s="387" t="s">
        <v>5101</v>
      </c>
      <c r="Q51" s="443">
        <v>333.56977734019461</v>
      </c>
      <c r="R51" s="443"/>
      <c r="S51" s="459">
        <v>0</v>
      </c>
      <c r="T51" s="461">
        <f t="shared" si="7"/>
        <v>333.56977734019461</v>
      </c>
      <c r="U51" s="435"/>
      <c r="V51" s="436">
        <v>1</v>
      </c>
      <c r="W51" s="436">
        <v>1</v>
      </c>
      <c r="X51" s="436">
        <v>1</v>
      </c>
      <c r="Y51" s="436">
        <v>1</v>
      </c>
      <c r="Z51" s="436">
        <v>0</v>
      </c>
      <c r="AA51" s="437">
        <f t="shared" si="9"/>
        <v>1</v>
      </c>
      <c r="AB51" s="455">
        <f t="shared" si="10"/>
        <v>333.56977734019461</v>
      </c>
      <c r="AC51" s="455">
        <v>0</v>
      </c>
      <c r="AD51" s="466"/>
      <c r="AE51" s="438"/>
      <c r="AF51" s="439"/>
    </row>
    <row r="52" spans="1:32" hidden="1" x14ac:dyDescent="0.25">
      <c r="A52" s="464"/>
      <c r="B52" s="1" t="s">
        <v>1480</v>
      </c>
      <c r="C52" s="387" t="s">
        <v>1368</v>
      </c>
      <c r="D52" s="387" t="s">
        <v>1115</v>
      </c>
      <c r="E52" s="441" t="s">
        <v>3221</v>
      </c>
      <c r="F52" s="407" t="s">
        <v>3201</v>
      </c>
      <c r="G52" s="407" t="s">
        <v>3344</v>
      </c>
      <c r="H52" s="440" t="s">
        <v>4110</v>
      </c>
      <c r="I52" s="407" t="s">
        <v>4553</v>
      </c>
      <c r="J52" s="407" t="s">
        <v>3837</v>
      </c>
      <c r="K52" s="3" t="s">
        <v>3462</v>
      </c>
      <c r="L52" s="442">
        <v>2.8159999999999998</v>
      </c>
      <c r="M52" s="387">
        <v>0</v>
      </c>
      <c r="N52" s="387">
        <f t="shared" si="1"/>
        <v>2.8159999999999998</v>
      </c>
      <c r="O52" s="442">
        <f t="shared" si="11"/>
        <v>2.8159999999999998</v>
      </c>
      <c r="P52" s="387" t="s">
        <v>5101</v>
      </c>
      <c r="Q52" s="443">
        <v>77.184350762210258</v>
      </c>
      <c r="R52" s="443"/>
      <c r="S52" s="459">
        <v>0</v>
      </c>
      <c r="T52" s="461">
        <f t="shared" si="7"/>
        <v>77.184350762210258</v>
      </c>
      <c r="U52" s="435"/>
      <c r="V52" s="436">
        <v>1</v>
      </c>
      <c r="W52" s="436">
        <v>1</v>
      </c>
      <c r="X52" s="436">
        <v>1</v>
      </c>
      <c r="Y52" s="436">
        <v>1</v>
      </c>
      <c r="Z52" s="436">
        <v>0</v>
      </c>
      <c r="AA52" s="437">
        <f t="shared" si="9"/>
        <v>1</v>
      </c>
      <c r="AB52" s="455">
        <f t="shared" si="10"/>
        <v>77.184350762210258</v>
      </c>
      <c r="AC52" s="455">
        <v>0</v>
      </c>
      <c r="AD52" s="466"/>
      <c r="AE52" s="438"/>
      <c r="AF52" s="439"/>
    </row>
    <row r="53" spans="1:32" hidden="1" x14ac:dyDescent="0.25">
      <c r="A53" s="464"/>
      <c r="B53" s="1" t="s">
        <v>1481</v>
      </c>
      <c r="C53" s="387" t="s">
        <v>1368</v>
      </c>
      <c r="D53" s="387" t="s">
        <v>1115</v>
      </c>
      <c r="E53" s="441" t="s">
        <v>3222</v>
      </c>
      <c r="F53" s="407" t="s">
        <v>3201</v>
      </c>
      <c r="G53" s="407" t="s">
        <v>3345</v>
      </c>
      <c r="H53" s="440" t="s">
        <v>4110</v>
      </c>
      <c r="I53" s="407" t="s">
        <v>4554</v>
      </c>
      <c r="J53" s="407" t="s">
        <v>3838</v>
      </c>
      <c r="K53" s="3" t="s">
        <v>3463</v>
      </c>
      <c r="L53" s="442">
        <v>11.265000000000001</v>
      </c>
      <c r="M53" s="387">
        <v>0</v>
      </c>
      <c r="N53" s="387">
        <f t="shared" si="1"/>
        <v>11.265000000000001</v>
      </c>
      <c r="O53" s="442">
        <f t="shared" si="11"/>
        <v>11.265000000000001</v>
      </c>
      <c r="P53" s="387" t="s">
        <v>5101</v>
      </c>
      <c r="Q53" s="443">
        <v>332.95700640667866</v>
      </c>
      <c r="R53" s="443"/>
      <c r="S53" s="459">
        <v>0</v>
      </c>
      <c r="T53" s="461">
        <f t="shared" si="7"/>
        <v>332.95700640667866</v>
      </c>
      <c r="U53" s="435"/>
      <c r="V53" s="436">
        <v>1</v>
      </c>
      <c r="W53" s="436">
        <v>1</v>
      </c>
      <c r="X53" s="436">
        <v>1</v>
      </c>
      <c r="Y53" s="436">
        <v>1</v>
      </c>
      <c r="Z53" s="436">
        <v>0</v>
      </c>
      <c r="AA53" s="437">
        <f t="shared" si="9"/>
        <v>1</v>
      </c>
      <c r="AB53" s="455">
        <f t="shared" si="10"/>
        <v>332.95700640667866</v>
      </c>
      <c r="AC53" s="455">
        <v>0</v>
      </c>
      <c r="AD53" s="466"/>
      <c r="AE53" s="438"/>
      <c r="AF53" s="439"/>
    </row>
    <row r="54" spans="1:32" hidden="1" x14ac:dyDescent="0.25">
      <c r="A54" s="464"/>
      <c r="B54" s="1" t="s">
        <v>1482</v>
      </c>
      <c r="C54" s="387" t="s">
        <v>1368</v>
      </c>
      <c r="D54" s="387" t="s">
        <v>1115</v>
      </c>
      <c r="E54" s="441" t="s">
        <v>3223</v>
      </c>
      <c r="F54" s="407" t="s">
        <v>3201</v>
      </c>
      <c r="G54" s="407" t="s">
        <v>3346</v>
      </c>
      <c r="H54" s="440" t="s">
        <v>4110</v>
      </c>
      <c r="I54" s="407" t="s">
        <v>4555</v>
      </c>
      <c r="J54" s="407" t="s">
        <v>3839</v>
      </c>
      <c r="K54" s="3" t="s">
        <v>3464</v>
      </c>
      <c r="L54" s="442">
        <v>5.7939999999999996</v>
      </c>
      <c r="M54" s="387">
        <v>0</v>
      </c>
      <c r="N54" s="387">
        <f t="shared" si="1"/>
        <v>5.7939999999999996</v>
      </c>
      <c r="O54" s="442">
        <f t="shared" si="11"/>
        <v>5.7939999999999987</v>
      </c>
      <c r="P54" s="387" t="s">
        <v>5101</v>
      </c>
      <c r="Q54" s="443">
        <v>158.71803285291574</v>
      </c>
      <c r="R54" s="443"/>
      <c r="S54" s="459">
        <v>0</v>
      </c>
      <c r="T54" s="461">
        <f t="shared" si="7"/>
        <v>158.71803285291574</v>
      </c>
      <c r="U54" s="435"/>
      <c r="V54" s="436">
        <v>1</v>
      </c>
      <c r="W54" s="436">
        <v>1</v>
      </c>
      <c r="X54" s="436">
        <v>1</v>
      </c>
      <c r="Y54" s="436">
        <v>1</v>
      </c>
      <c r="Z54" s="436">
        <v>0</v>
      </c>
      <c r="AA54" s="437">
        <f t="shared" si="9"/>
        <v>0.99999999999999978</v>
      </c>
      <c r="AB54" s="455">
        <f t="shared" si="10"/>
        <v>158.71803285291571</v>
      </c>
      <c r="AC54" s="455">
        <v>0</v>
      </c>
      <c r="AD54" s="466"/>
      <c r="AE54" s="438"/>
      <c r="AF54" s="439"/>
    </row>
    <row r="55" spans="1:32" hidden="1" x14ac:dyDescent="0.25">
      <c r="A55" s="464"/>
      <c r="B55" s="1" t="s">
        <v>1483</v>
      </c>
      <c r="C55" s="387" t="s">
        <v>1368</v>
      </c>
      <c r="D55" s="387" t="s">
        <v>1115</v>
      </c>
      <c r="E55" s="441" t="s">
        <v>3224</v>
      </c>
      <c r="F55" s="407" t="s">
        <v>3201</v>
      </c>
      <c r="G55" s="407" t="s">
        <v>3347</v>
      </c>
      <c r="H55" s="441" t="s">
        <v>4109</v>
      </c>
      <c r="I55" s="407" t="s">
        <v>4151</v>
      </c>
      <c r="J55" s="407" t="s">
        <v>3840</v>
      </c>
      <c r="K55" s="3" t="s">
        <v>3465</v>
      </c>
      <c r="L55" s="442">
        <v>14</v>
      </c>
      <c r="M55" s="387">
        <v>0</v>
      </c>
      <c r="N55" s="387">
        <f t="shared" si="1"/>
        <v>14</v>
      </c>
      <c r="O55" s="442">
        <f t="shared" si="11"/>
        <v>14</v>
      </c>
      <c r="P55" s="387" t="s">
        <v>5101</v>
      </c>
      <c r="Q55" s="443">
        <v>205.3</v>
      </c>
      <c r="R55" s="443"/>
      <c r="S55" s="459">
        <v>0</v>
      </c>
      <c r="T55" s="461">
        <f t="shared" si="7"/>
        <v>205.3</v>
      </c>
      <c r="U55" s="435"/>
      <c r="V55" s="436">
        <v>1</v>
      </c>
      <c r="W55" s="436">
        <v>1</v>
      </c>
      <c r="X55" s="436">
        <v>1</v>
      </c>
      <c r="Y55" s="436">
        <v>1</v>
      </c>
      <c r="Z55" s="436">
        <v>0</v>
      </c>
      <c r="AA55" s="437">
        <f t="shared" si="9"/>
        <v>1</v>
      </c>
      <c r="AB55" s="455">
        <f t="shared" si="10"/>
        <v>205.3</v>
      </c>
      <c r="AC55" s="455">
        <v>0</v>
      </c>
      <c r="AD55" s="466"/>
      <c r="AE55" s="438"/>
      <c r="AF55" s="439"/>
    </row>
    <row r="56" spans="1:32" hidden="1" x14ac:dyDescent="0.25">
      <c r="A56" s="464"/>
      <c r="B56" s="1" t="s">
        <v>1484</v>
      </c>
      <c r="C56" s="387" t="s">
        <v>1368</v>
      </c>
      <c r="D56" s="387" t="s">
        <v>1115</v>
      </c>
      <c r="E56" s="441" t="s">
        <v>3225</v>
      </c>
      <c r="F56" s="407" t="s">
        <v>3201</v>
      </c>
      <c r="G56" s="407" t="s">
        <v>3348</v>
      </c>
      <c r="H56" s="440" t="s">
        <v>4110</v>
      </c>
      <c r="I56" s="407" t="s">
        <v>4556</v>
      </c>
      <c r="J56" s="407" t="s">
        <v>3841</v>
      </c>
      <c r="K56" s="3" t="s">
        <v>3466</v>
      </c>
      <c r="L56" s="442">
        <v>2.89</v>
      </c>
      <c r="M56" s="387">
        <v>0</v>
      </c>
      <c r="N56" s="387">
        <f t="shared" si="1"/>
        <v>2.89</v>
      </c>
      <c r="O56" s="442">
        <f>L56*AA56</f>
        <v>2.89</v>
      </c>
      <c r="P56" s="387" t="s">
        <v>5101</v>
      </c>
      <c r="Q56" s="443">
        <v>77.061506194822869</v>
      </c>
      <c r="R56" s="443"/>
      <c r="S56" s="459">
        <v>0</v>
      </c>
      <c r="T56" s="461">
        <f t="shared" si="7"/>
        <v>77.061506194822869</v>
      </c>
      <c r="U56" s="435"/>
      <c r="V56" s="436">
        <v>1</v>
      </c>
      <c r="W56" s="436">
        <v>1</v>
      </c>
      <c r="X56" s="436">
        <v>1</v>
      </c>
      <c r="Y56" s="436">
        <v>1</v>
      </c>
      <c r="Z56" s="436">
        <v>0</v>
      </c>
      <c r="AA56" s="437">
        <f t="shared" si="9"/>
        <v>1</v>
      </c>
      <c r="AB56" s="455">
        <f t="shared" si="10"/>
        <v>77.061506194822869</v>
      </c>
      <c r="AC56" s="455">
        <v>0</v>
      </c>
      <c r="AD56" s="466"/>
      <c r="AE56" s="438"/>
      <c r="AF56" s="439"/>
    </row>
    <row r="57" spans="1:32" hidden="1" x14ac:dyDescent="0.25">
      <c r="A57" s="464"/>
      <c r="B57" s="1" t="s">
        <v>1485</v>
      </c>
      <c r="C57" s="387" t="s">
        <v>1368</v>
      </c>
      <c r="D57" s="387" t="s">
        <v>1115</v>
      </c>
      <c r="E57" s="441" t="s">
        <v>3226</v>
      </c>
      <c r="F57" s="407" t="s">
        <v>3201</v>
      </c>
      <c r="G57" s="407" t="s">
        <v>3349</v>
      </c>
      <c r="H57" s="440" t="s">
        <v>4110</v>
      </c>
      <c r="I57" s="407" t="s">
        <v>4557</v>
      </c>
      <c r="J57" s="407" t="s">
        <v>3842</v>
      </c>
      <c r="K57" s="3" t="s">
        <v>3467</v>
      </c>
      <c r="L57" s="442">
        <v>17.382000000000001</v>
      </c>
      <c r="M57" s="387">
        <v>0</v>
      </c>
      <c r="N57" s="387">
        <f t="shared" si="1"/>
        <v>17.382000000000001</v>
      </c>
      <c r="O57" s="442">
        <f t="shared" si="8"/>
        <v>17.382000000000005</v>
      </c>
      <c r="P57" s="387" t="s">
        <v>5101</v>
      </c>
      <c r="Q57" s="443">
        <v>577.38073821735622</v>
      </c>
      <c r="R57" s="443"/>
      <c r="S57" s="459">
        <v>0</v>
      </c>
      <c r="T57" s="461">
        <f t="shared" si="7"/>
        <v>577.38073821735622</v>
      </c>
      <c r="U57" s="435"/>
      <c r="V57" s="436">
        <v>1</v>
      </c>
      <c r="W57" s="436">
        <v>1</v>
      </c>
      <c r="X57" s="436">
        <v>1</v>
      </c>
      <c r="Y57" s="436">
        <v>1</v>
      </c>
      <c r="Z57" s="436">
        <v>0</v>
      </c>
      <c r="AA57" s="437">
        <f t="shared" si="9"/>
        <v>1.0000000000000002</v>
      </c>
      <c r="AB57" s="455">
        <f t="shared" si="10"/>
        <v>577.38073821735634</v>
      </c>
      <c r="AC57" s="455">
        <v>0</v>
      </c>
      <c r="AD57" s="466"/>
      <c r="AE57" s="438"/>
      <c r="AF57" s="439"/>
    </row>
    <row r="58" spans="1:32" hidden="1" x14ac:dyDescent="0.25">
      <c r="A58" s="464"/>
      <c r="B58" s="1" t="s">
        <v>1486</v>
      </c>
      <c r="C58" s="387" t="s">
        <v>1368</v>
      </c>
      <c r="D58" s="387" t="s">
        <v>1115</v>
      </c>
      <c r="E58" s="441" t="s">
        <v>3227</v>
      </c>
      <c r="F58" s="407" t="s">
        <v>3201</v>
      </c>
      <c r="G58" s="407" t="s">
        <v>3350</v>
      </c>
      <c r="H58" s="440" t="s">
        <v>4110</v>
      </c>
      <c r="I58" s="407" t="s">
        <v>4558</v>
      </c>
      <c r="J58" s="407" t="s">
        <v>3843</v>
      </c>
      <c r="K58" s="3" t="s">
        <v>3468</v>
      </c>
      <c r="L58" s="442">
        <v>11.215999999999999</v>
      </c>
      <c r="M58" s="387">
        <v>0</v>
      </c>
      <c r="N58" s="387">
        <f t="shared" si="1"/>
        <v>11.215999999999999</v>
      </c>
      <c r="O58" s="442">
        <f t="shared" si="8"/>
        <v>11.216000000000001</v>
      </c>
      <c r="P58" s="387" t="s">
        <v>5101</v>
      </c>
      <c r="Q58" s="443">
        <v>330.22081404258375</v>
      </c>
      <c r="R58" s="443"/>
      <c r="S58" s="459">
        <v>0</v>
      </c>
      <c r="T58" s="461">
        <f t="shared" si="7"/>
        <v>330.22081404258375</v>
      </c>
      <c r="U58" s="435"/>
      <c r="V58" s="436">
        <v>1</v>
      </c>
      <c r="W58" s="436">
        <v>1</v>
      </c>
      <c r="X58" s="436">
        <v>1</v>
      </c>
      <c r="Y58" s="436">
        <v>1</v>
      </c>
      <c r="Z58" s="436">
        <v>0</v>
      </c>
      <c r="AA58" s="437">
        <f t="shared" si="9"/>
        <v>1.0000000000000002</v>
      </c>
      <c r="AB58" s="455">
        <f t="shared" si="10"/>
        <v>330.22081404258381</v>
      </c>
      <c r="AC58" s="455">
        <v>0</v>
      </c>
      <c r="AD58" s="466"/>
      <c r="AE58" s="438"/>
      <c r="AF58" s="439"/>
    </row>
    <row r="59" spans="1:32" hidden="1" x14ac:dyDescent="0.25">
      <c r="A59" s="464"/>
      <c r="B59" s="1" t="s">
        <v>1487</v>
      </c>
      <c r="C59" s="387" t="s">
        <v>1368</v>
      </c>
      <c r="D59" s="387" t="s">
        <v>1115</v>
      </c>
      <c r="E59" s="441" t="s">
        <v>3228</v>
      </c>
      <c r="F59" s="407" t="s">
        <v>3201</v>
      </c>
      <c r="G59" s="407" t="s">
        <v>3351</v>
      </c>
      <c r="H59" s="440" t="s">
        <v>4110</v>
      </c>
      <c r="I59" s="407" t="s">
        <v>4559</v>
      </c>
      <c r="J59" s="407" t="s">
        <v>3844</v>
      </c>
      <c r="K59" s="3" t="s">
        <v>3469</v>
      </c>
      <c r="L59" s="442">
        <v>5.2320000000000002</v>
      </c>
      <c r="M59" s="387">
        <v>0</v>
      </c>
      <c r="N59" s="387">
        <f t="shared" si="1"/>
        <v>5.2320000000000002</v>
      </c>
      <c r="O59" s="442">
        <f t="shared" si="8"/>
        <v>5.2320000000000002</v>
      </c>
      <c r="P59" s="387" t="s">
        <v>5101</v>
      </c>
      <c r="Q59" s="443">
        <v>133.24989730935823</v>
      </c>
      <c r="R59" s="443"/>
      <c r="S59" s="459">
        <v>0</v>
      </c>
      <c r="T59" s="461">
        <f t="shared" si="7"/>
        <v>133.24989730935823</v>
      </c>
      <c r="U59" s="435"/>
      <c r="V59" s="436">
        <v>1</v>
      </c>
      <c r="W59" s="436">
        <v>1</v>
      </c>
      <c r="X59" s="436">
        <v>1</v>
      </c>
      <c r="Y59" s="436">
        <v>1</v>
      </c>
      <c r="Z59" s="436">
        <v>0</v>
      </c>
      <c r="AA59" s="437">
        <f t="shared" si="9"/>
        <v>1</v>
      </c>
      <c r="AB59" s="455">
        <f t="shared" si="10"/>
        <v>133.24989730935823</v>
      </c>
      <c r="AC59" s="455">
        <v>0</v>
      </c>
      <c r="AD59" s="466"/>
      <c r="AE59" s="438"/>
      <c r="AF59" s="439"/>
    </row>
    <row r="60" spans="1:32" hidden="1" x14ac:dyDescent="0.25">
      <c r="A60" s="464"/>
      <c r="B60" s="1" t="s">
        <v>1488</v>
      </c>
      <c r="C60" s="387" t="s">
        <v>1368</v>
      </c>
      <c r="D60" s="387" t="s">
        <v>1115</v>
      </c>
      <c r="E60" s="441" t="s">
        <v>3229</v>
      </c>
      <c r="F60" s="407" t="s">
        <v>3201</v>
      </c>
      <c r="G60" s="407" t="s">
        <v>3352</v>
      </c>
      <c r="H60" s="440" t="s">
        <v>4110</v>
      </c>
      <c r="I60" s="407" t="s">
        <v>4560</v>
      </c>
      <c r="J60" s="407" t="s">
        <v>3845</v>
      </c>
      <c r="K60" s="3" t="s">
        <v>3470</v>
      </c>
      <c r="L60" s="442">
        <v>9.3960000000000008</v>
      </c>
      <c r="M60" s="387">
        <v>0</v>
      </c>
      <c r="N60" s="387">
        <f t="shared" si="1"/>
        <v>9.3960000000000008</v>
      </c>
      <c r="O60" s="442">
        <f t="shared" si="8"/>
        <v>9.3960000000000008</v>
      </c>
      <c r="P60" s="387" t="s">
        <v>5101</v>
      </c>
      <c r="Q60" s="443">
        <v>263.27397995813885</v>
      </c>
      <c r="R60" s="443"/>
      <c r="S60" s="459">
        <v>0</v>
      </c>
      <c r="T60" s="461">
        <f t="shared" si="7"/>
        <v>263.27397995813885</v>
      </c>
      <c r="U60" s="435"/>
      <c r="V60" s="436">
        <v>1</v>
      </c>
      <c r="W60" s="436">
        <v>1</v>
      </c>
      <c r="X60" s="436">
        <v>1</v>
      </c>
      <c r="Y60" s="436">
        <v>1</v>
      </c>
      <c r="Z60" s="436">
        <v>0</v>
      </c>
      <c r="AA60" s="437">
        <f t="shared" si="9"/>
        <v>1</v>
      </c>
      <c r="AB60" s="455">
        <f t="shared" si="10"/>
        <v>263.27397995813885</v>
      </c>
      <c r="AC60" s="455">
        <v>0</v>
      </c>
      <c r="AD60" s="466"/>
      <c r="AE60" s="438"/>
      <c r="AF60" s="439"/>
    </row>
    <row r="61" spans="1:32" hidden="1" x14ac:dyDescent="0.25">
      <c r="A61" s="464"/>
      <c r="B61" s="1" t="s">
        <v>1489</v>
      </c>
      <c r="C61" s="387" t="s">
        <v>1368</v>
      </c>
      <c r="D61" s="387" t="s">
        <v>1115</v>
      </c>
      <c r="E61" s="441" t="s">
        <v>3230</v>
      </c>
      <c r="F61" s="407" t="s">
        <v>3201</v>
      </c>
      <c r="G61" s="407" t="s">
        <v>3353</v>
      </c>
      <c r="H61" s="440" t="s">
        <v>4110</v>
      </c>
      <c r="I61" s="407" t="s">
        <v>4561</v>
      </c>
      <c r="J61" s="407" t="s">
        <v>3846</v>
      </c>
      <c r="K61" s="3" t="s">
        <v>3471</v>
      </c>
      <c r="L61" s="442">
        <v>14.705</v>
      </c>
      <c r="M61" s="387">
        <v>0</v>
      </c>
      <c r="N61" s="387">
        <f t="shared" si="1"/>
        <v>14.705</v>
      </c>
      <c r="O61" s="442">
        <f t="shared" si="8"/>
        <v>14.705</v>
      </c>
      <c r="P61" s="387" t="s">
        <v>5101</v>
      </c>
      <c r="Q61" s="443">
        <v>448.66497344869941</v>
      </c>
      <c r="R61" s="443"/>
      <c r="S61" s="459">
        <v>0</v>
      </c>
      <c r="T61" s="461">
        <f t="shared" si="7"/>
        <v>448.66497344869941</v>
      </c>
      <c r="U61" s="435"/>
      <c r="V61" s="436">
        <v>1</v>
      </c>
      <c r="W61" s="436">
        <v>1</v>
      </c>
      <c r="X61" s="436">
        <v>1</v>
      </c>
      <c r="Y61" s="436">
        <v>1</v>
      </c>
      <c r="Z61" s="436">
        <v>0</v>
      </c>
      <c r="AA61" s="437">
        <f t="shared" si="9"/>
        <v>1</v>
      </c>
      <c r="AB61" s="455">
        <f t="shared" si="10"/>
        <v>448.66497344869941</v>
      </c>
      <c r="AC61" s="455">
        <v>0</v>
      </c>
      <c r="AD61" s="466"/>
      <c r="AE61" s="438"/>
      <c r="AF61" s="439"/>
    </row>
    <row r="62" spans="1:32" hidden="1" x14ac:dyDescent="0.25">
      <c r="A62" s="464"/>
      <c r="B62" s="1" t="s">
        <v>1490</v>
      </c>
      <c r="C62" s="387" t="s">
        <v>1368</v>
      </c>
      <c r="D62" s="387" t="s">
        <v>1115</v>
      </c>
      <c r="E62" s="441" t="s">
        <v>3231</v>
      </c>
      <c r="F62" s="407" t="s">
        <v>3201</v>
      </c>
      <c r="G62" s="407" t="s">
        <v>3354</v>
      </c>
      <c r="H62" s="440" t="s">
        <v>4110</v>
      </c>
      <c r="I62" s="407" t="s">
        <v>4562</v>
      </c>
      <c r="J62" s="407" t="s">
        <v>3847</v>
      </c>
      <c r="K62" s="3" t="s">
        <v>3472</v>
      </c>
      <c r="L62" s="442">
        <v>11.369</v>
      </c>
      <c r="M62" s="387">
        <v>0</v>
      </c>
      <c r="N62" s="387">
        <f t="shared" si="1"/>
        <v>11.369</v>
      </c>
      <c r="O62" s="442">
        <f t="shared" si="8"/>
        <v>11.369000000000002</v>
      </c>
      <c r="P62" s="387" t="s">
        <v>5101</v>
      </c>
      <c r="Q62" s="443">
        <v>352.12996420441885</v>
      </c>
      <c r="R62" s="443"/>
      <c r="S62" s="459">
        <v>0</v>
      </c>
      <c r="T62" s="461">
        <f t="shared" si="7"/>
        <v>352.12996420441885</v>
      </c>
      <c r="U62" s="435"/>
      <c r="V62" s="436">
        <v>1</v>
      </c>
      <c r="W62" s="436">
        <v>1</v>
      </c>
      <c r="X62" s="436">
        <v>1</v>
      </c>
      <c r="Y62" s="436">
        <v>1</v>
      </c>
      <c r="Z62" s="436">
        <v>0</v>
      </c>
      <c r="AA62" s="437">
        <f t="shared" si="9"/>
        <v>1.0000000000000002</v>
      </c>
      <c r="AB62" s="455">
        <f t="shared" si="10"/>
        <v>352.12996420441891</v>
      </c>
      <c r="AC62" s="455">
        <v>0</v>
      </c>
      <c r="AD62" s="466"/>
      <c r="AE62" s="438"/>
      <c r="AF62" s="439"/>
    </row>
    <row r="63" spans="1:32" hidden="1" x14ac:dyDescent="0.25">
      <c r="B63" s="1" t="s">
        <v>1491</v>
      </c>
      <c r="C63" s="387" t="s">
        <v>1368</v>
      </c>
      <c r="D63" s="387" t="s">
        <v>1115</v>
      </c>
      <c r="E63" s="441" t="s">
        <v>3232</v>
      </c>
      <c r="F63" s="407" t="s">
        <v>3201</v>
      </c>
      <c r="G63" s="407" t="s">
        <v>3355</v>
      </c>
      <c r="H63" s="440" t="s">
        <v>4110</v>
      </c>
      <c r="I63" s="407" t="s">
        <v>4563</v>
      </c>
      <c r="J63" s="407" t="s">
        <v>3848</v>
      </c>
      <c r="K63" s="3" t="s">
        <v>3473</v>
      </c>
      <c r="L63" s="442">
        <v>16.917000000000002</v>
      </c>
      <c r="M63" s="387">
        <v>0</v>
      </c>
      <c r="N63" s="387">
        <f t="shared" si="1"/>
        <v>16.917000000000002</v>
      </c>
      <c r="O63" s="442">
        <f t="shared" si="8"/>
        <v>16.917000000000005</v>
      </c>
      <c r="P63" s="387" t="s">
        <v>5101</v>
      </c>
      <c r="Q63" s="443">
        <v>569.86616180618023</v>
      </c>
      <c r="R63" s="443"/>
      <c r="S63" s="459">
        <v>0</v>
      </c>
      <c r="T63" s="461">
        <f t="shared" si="7"/>
        <v>569.86616180618023</v>
      </c>
      <c r="U63" s="435"/>
      <c r="V63" s="436">
        <v>1</v>
      </c>
      <c r="W63" s="436">
        <v>1</v>
      </c>
      <c r="X63" s="436">
        <v>1</v>
      </c>
      <c r="Y63" s="436">
        <v>1</v>
      </c>
      <c r="Z63" s="436">
        <v>0</v>
      </c>
      <c r="AA63" s="437">
        <f t="shared" si="9"/>
        <v>1.0000000000000002</v>
      </c>
      <c r="AB63" s="455">
        <f t="shared" si="10"/>
        <v>569.86616180618034</v>
      </c>
      <c r="AC63" s="455">
        <v>0</v>
      </c>
      <c r="AD63" s="466"/>
      <c r="AE63" s="438"/>
      <c r="AF63" s="439"/>
    </row>
    <row r="64" spans="1:32" hidden="1" x14ac:dyDescent="0.25">
      <c r="B64" s="1" t="s">
        <v>1492</v>
      </c>
      <c r="C64" s="387" t="s">
        <v>1368</v>
      </c>
      <c r="D64" s="387" t="s">
        <v>1115</v>
      </c>
      <c r="E64" s="441" t="s">
        <v>3233</v>
      </c>
      <c r="F64" s="407" t="s">
        <v>3201</v>
      </c>
      <c r="G64" s="407" t="s">
        <v>3356</v>
      </c>
      <c r="H64" s="441" t="s">
        <v>4109</v>
      </c>
      <c r="I64" s="407" t="s">
        <v>4152</v>
      </c>
      <c r="J64" s="407" t="s">
        <v>3849</v>
      </c>
      <c r="K64" s="3" t="s">
        <v>3474</v>
      </c>
      <c r="L64" s="442">
        <v>48.697461000000089</v>
      </c>
      <c r="M64" s="387">
        <v>0</v>
      </c>
      <c r="N64" s="387">
        <f t="shared" si="1"/>
        <v>48.697461000000089</v>
      </c>
      <c r="O64" s="442">
        <f t="shared" si="8"/>
        <v>0</v>
      </c>
      <c r="P64" s="387" t="s">
        <v>5101</v>
      </c>
      <c r="Q64" s="443">
        <v>0</v>
      </c>
      <c r="R64" s="443"/>
      <c r="S64" s="459">
        <v>0</v>
      </c>
      <c r="T64" s="461">
        <f t="shared" si="7"/>
        <v>0</v>
      </c>
      <c r="U64" s="435"/>
      <c r="V64" s="436">
        <v>1</v>
      </c>
      <c r="W64" s="436">
        <v>1</v>
      </c>
      <c r="X64" s="436">
        <v>1</v>
      </c>
      <c r="Y64" s="436">
        <v>0</v>
      </c>
      <c r="Z64" s="436">
        <v>0</v>
      </c>
      <c r="AA64" s="437">
        <f t="shared" si="9"/>
        <v>0</v>
      </c>
      <c r="AB64" s="455">
        <f t="shared" si="10"/>
        <v>0</v>
      </c>
      <c r="AC64" s="455">
        <v>0</v>
      </c>
      <c r="AD64" s="466"/>
      <c r="AE64" s="438"/>
      <c r="AF64" s="439"/>
    </row>
    <row r="65" spans="2:32" hidden="1" x14ac:dyDescent="0.25">
      <c r="B65" s="1" t="s">
        <v>1493</v>
      </c>
      <c r="C65" s="387" t="s">
        <v>1368</v>
      </c>
      <c r="D65" s="387" t="s">
        <v>1115</v>
      </c>
      <c r="E65" s="441" t="s">
        <v>3234</v>
      </c>
      <c r="F65" s="407" t="s">
        <v>3201</v>
      </c>
      <c r="G65" s="407" t="s">
        <v>3357</v>
      </c>
      <c r="H65" s="441" t="s">
        <v>4109</v>
      </c>
      <c r="I65" s="407" t="s">
        <v>4153</v>
      </c>
      <c r="J65" s="407" t="s">
        <v>3850</v>
      </c>
      <c r="K65" s="3" t="s">
        <v>3475</v>
      </c>
      <c r="L65" s="442">
        <v>37.646155000000284</v>
      </c>
      <c r="M65" s="387">
        <v>0</v>
      </c>
      <c r="N65" s="387">
        <f t="shared" si="1"/>
        <v>37.646155000000284</v>
      </c>
      <c r="O65" s="442">
        <f t="shared" si="8"/>
        <v>0</v>
      </c>
      <c r="P65" s="387" t="s">
        <v>5101</v>
      </c>
      <c r="Q65" s="443">
        <v>0</v>
      </c>
      <c r="R65" s="443"/>
      <c r="S65" s="459">
        <v>0</v>
      </c>
      <c r="T65" s="461">
        <f t="shared" si="7"/>
        <v>0</v>
      </c>
      <c r="U65" s="435"/>
      <c r="V65" s="436">
        <v>1</v>
      </c>
      <c r="W65" s="436">
        <v>1</v>
      </c>
      <c r="X65" s="436">
        <v>1</v>
      </c>
      <c r="Y65" s="436">
        <v>0</v>
      </c>
      <c r="Z65" s="436">
        <v>0</v>
      </c>
      <c r="AA65" s="437">
        <f t="shared" si="9"/>
        <v>0</v>
      </c>
      <c r="AB65" s="455">
        <f t="shared" si="10"/>
        <v>0</v>
      </c>
      <c r="AC65" s="455">
        <v>0</v>
      </c>
      <c r="AD65" s="466"/>
      <c r="AE65" s="438"/>
      <c r="AF65" s="439"/>
    </row>
    <row r="66" spans="2:32" hidden="1" x14ac:dyDescent="0.25">
      <c r="B66" s="1" t="s">
        <v>1494</v>
      </c>
      <c r="C66" s="387" t="s">
        <v>1368</v>
      </c>
      <c r="D66" s="387" t="s">
        <v>1115</v>
      </c>
      <c r="E66" s="441" t="s">
        <v>3235</v>
      </c>
      <c r="F66" s="407" t="s">
        <v>3201</v>
      </c>
      <c r="G66" s="407" t="s">
        <v>3358</v>
      </c>
      <c r="H66" s="440" t="s">
        <v>4110</v>
      </c>
      <c r="I66" s="407" t="s">
        <v>4564</v>
      </c>
      <c r="J66" s="407" t="s">
        <v>3851</v>
      </c>
      <c r="K66" s="3" t="s">
        <v>3476</v>
      </c>
      <c r="L66" s="442">
        <v>2.6</v>
      </c>
      <c r="M66" s="387">
        <v>0</v>
      </c>
      <c r="N66" s="387">
        <f t="shared" si="1"/>
        <v>2.6</v>
      </c>
      <c r="O66" s="442">
        <f t="shared" si="8"/>
        <v>2.6000000000000005</v>
      </c>
      <c r="P66" s="387" t="s">
        <v>5101</v>
      </c>
      <c r="Q66" s="443">
        <v>101.69792900889659</v>
      </c>
      <c r="R66" s="443"/>
      <c r="S66" s="459">
        <v>0</v>
      </c>
      <c r="T66" s="461">
        <f t="shared" si="7"/>
        <v>101.69792900889659</v>
      </c>
      <c r="U66" s="435"/>
      <c r="V66" s="436">
        <v>1</v>
      </c>
      <c r="W66" s="436">
        <v>1</v>
      </c>
      <c r="X66" s="436">
        <v>1</v>
      </c>
      <c r="Y66" s="436">
        <v>1</v>
      </c>
      <c r="Z66" s="436">
        <v>0</v>
      </c>
      <c r="AA66" s="437">
        <f t="shared" si="9"/>
        <v>1.0000000000000002</v>
      </c>
      <c r="AB66" s="455">
        <f t="shared" si="10"/>
        <v>101.69792900889661</v>
      </c>
      <c r="AC66" s="455">
        <v>0</v>
      </c>
      <c r="AD66" s="466"/>
      <c r="AE66" s="438"/>
      <c r="AF66" s="439"/>
    </row>
    <row r="67" spans="2:32" hidden="1" x14ac:dyDescent="0.25">
      <c r="B67" s="1" t="s">
        <v>1502</v>
      </c>
      <c r="C67" s="387" t="s">
        <v>1368</v>
      </c>
      <c r="D67" s="387" t="s">
        <v>1115</v>
      </c>
      <c r="E67" s="441" t="s">
        <v>3236</v>
      </c>
      <c r="F67" s="407" t="s">
        <v>3201</v>
      </c>
      <c r="G67" s="407" t="s">
        <v>3359</v>
      </c>
      <c r="H67" s="440" t="s">
        <v>4109</v>
      </c>
      <c r="I67" s="407" t="s">
        <v>4154</v>
      </c>
      <c r="J67" s="407" t="s">
        <v>3852</v>
      </c>
      <c r="K67" s="3" t="s">
        <v>3477</v>
      </c>
      <c r="L67" s="442">
        <v>26.16</v>
      </c>
      <c r="M67" s="387">
        <v>0</v>
      </c>
      <c r="N67" s="387">
        <f t="shared" si="1"/>
        <v>26.16</v>
      </c>
      <c r="O67" s="442">
        <f t="shared" si="8"/>
        <v>24.852</v>
      </c>
      <c r="P67" s="387" t="s">
        <v>5101</v>
      </c>
      <c r="Q67" s="443"/>
      <c r="R67" s="443"/>
      <c r="S67" s="459"/>
      <c r="T67" s="461">
        <v>502</v>
      </c>
      <c r="U67" s="435"/>
      <c r="V67" s="436">
        <v>1</v>
      </c>
      <c r="W67" s="436">
        <v>1</v>
      </c>
      <c r="X67" s="436">
        <v>1</v>
      </c>
      <c r="Y67" s="436">
        <v>0</v>
      </c>
      <c r="Z67" s="436">
        <v>0</v>
      </c>
      <c r="AA67" s="437">
        <f t="shared" si="9"/>
        <v>0.95</v>
      </c>
      <c r="AB67" s="455">
        <f t="shared" si="10"/>
        <v>476.9</v>
      </c>
      <c r="AC67" s="455">
        <v>0</v>
      </c>
      <c r="AD67" s="466"/>
      <c r="AE67" s="438"/>
      <c r="AF67" s="439"/>
    </row>
    <row r="68" spans="2:32" hidden="1" x14ac:dyDescent="0.25">
      <c r="B68" s="1" t="s">
        <v>1503</v>
      </c>
      <c r="C68" s="387" t="s">
        <v>1368</v>
      </c>
      <c r="D68" s="387" t="s">
        <v>1115</v>
      </c>
      <c r="E68" s="441" t="s">
        <v>3237</v>
      </c>
      <c r="F68" s="407" t="s">
        <v>3201</v>
      </c>
      <c r="G68" s="407" t="s">
        <v>3929</v>
      </c>
      <c r="H68" s="440"/>
      <c r="I68" s="407" t="s">
        <v>4565</v>
      </c>
      <c r="J68" s="407" t="s">
        <v>3853</v>
      </c>
      <c r="K68" s="3" t="s">
        <v>4634</v>
      </c>
      <c r="L68" s="442">
        <v>3.8714430000000011</v>
      </c>
      <c r="M68" s="387">
        <v>0</v>
      </c>
      <c r="N68" s="387">
        <f t="shared" si="1"/>
        <v>3.8714430000000011</v>
      </c>
      <c r="O68" s="442">
        <f t="shared" si="8"/>
        <v>3.8714430000000011</v>
      </c>
      <c r="P68" s="387" t="s">
        <v>5101</v>
      </c>
      <c r="Q68" s="443">
        <v>148.22982045651705</v>
      </c>
      <c r="R68" s="443"/>
      <c r="S68" s="459">
        <v>0</v>
      </c>
      <c r="T68" s="461">
        <f>Q68</f>
        <v>148.22982045651705</v>
      </c>
      <c r="U68" s="435"/>
      <c r="V68" s="436">
        <v>1</v>
      </c>
      <c r="W68" s="436">
        <v>1</v>
      </c>
      <c r="X68" s="436">
        <v>1</v>
      </c>
      <c r="Y68" s="436">
        <v>1</v>
      </c>
      <c r="Z68" s="436">
        <v>0</v>
      </c>
      <c r="AA68" s="437">
        <f t="shared" si="9"/>
        <v>1</v>
      </c>
      <c r="AB68" s="455">
        <f t="shared" si="10"/>
        <v>148.22982045651705</v>
      </c>
      <c r="AC68" s="455">
        <v>0</v>
      </c>
      <c r="AD68" s="466"/>
      <c r="AE68" s="438"/>
      <c r="AF68" s="439"/>
    </row>
    <row r="69" spans="2:32" hidden="1" x14ac:dyDescent="0.25">
      <c r="B69" s="1" t="s">
        <v>1504</v>
      </c>
      <c r="C69" s="387" t="s">
        <v>1368</v>
      </c>
      <c r="D69" s="387" t="s">
        <v>1115</v>
      </c>
      <c r="E69" s="441" t="s">
        <v>3238</v>
      </c>
      <c r="F69" s="407" t="s">
        <v>3201</v>
      </c>
      <c r="G69" s="407" t="s">
        <v>3930</v>
      </c>
      <c r="H69" s="440" t="s">
        <v>4110</v>
      </c>
      <c r="I69" s="440" t="s">
        <v>4566</v>
      </c>
      <c r="J69" s="407" t="s">
        <v>3854</v>
      </c>
      <c r="K69" s="387" t="s">
        <v>3478</v>
      </c>
      <c r="L69" s="442">
        <v>6.4025960000000008</v>
      </c>
      <c r="M69" s="387">
        <v>0</v>
      </c>
      <c r="N69" s="387">
        <f t="shared" si="1"/>
        <v>6.4025960000000008</v>
      </c>
      <c r="O69" s="442">
        <f>L69*AA69</f>
        <v>2.0648372100000008</v>
      </c>
      <c r="P69" s="387" t="s">
        <v>5101</v>
      </c>
      <c r="Q69" s="443">
        <v>274.18456024689453</v>
      </c>
      <c r="R69" s="443"/>
      <c r="S69" s="459">
        <v>0</v>
      </c>
      <c r="T69" s="461">
        <f t="shared" ref="T69:T133" si="12">Q69</f>
        <v>274.18456024689453</v>
      </c>
      <c r="U69" s="435"/>
      <c r="V69" s="436">
        <v>0.5</v>
      </c>
      <c r="W69" s="436">
        <v>0.4</v>
      </c>
      <c r="X69" s="436">
        <v>0.25</v>
      </c>
      <c r="Y69" s="436">
        <v>0</v>
      </c>
      <c r="Z69" s="436">
        <v>0</v>
      </c>
      <c r="AA69" s="437">
        <f t="shared" si="9"/>
        <v>0.32250000000000006</v>
      </c>
      <c r="AB69" s="455">
        <f t="shared" si="10"/>
        <v>88.424520679623498</v>
      </c>
      <c r="AC69" s="455">
        <v>0</v>
      </c>
      <c r="AD69" s="466"/>
      <c r="AE69" s="438"/>
      <c r="AF69" s="439"/>
    </row>
    <row r="70" spans="2:32" hidden="1" x14ac:dyDescent="0.25">
      <c r="B70" s="1" t="s">
        <v>1505</v>
      </c>
      <c r="C70" s="387" t="s">
        <v>1368</v>
      </c>
      <c r="D70" s="387" t="s">
        <v>1115</v>
      </c>
      <c r="E70" s="441" t="s">
        <v>3239</v>
      </c>
      <c r="F70" s="407" t="s">
        <v>3201</v>
      </c>
      <c r="G70" s="407" t="s">
        <v>3931</v>
      </c>
      <c r="H70" s="440" t="s">
        <v>4110</v>
      </c>
      <c r="I70" s="440" t="s">
        <v>4567</v>
      </c>
      <c r="J70" s="407" t="s">
        <v>3855</v>
      </c>
      <c r="K70" s="387" t="s">
        <v>4633</v>
      </c>
      <c r="L70" s="442">
        <v>4.6945100000000011</v>
      </c>
      <c r="M70" s="387">
        <v>0</v>
      </c>
      <c r="N70" s="387">
        <f t="shared" si="1"/>
        <v>4.6945100000000011</v>
      </c>
      <c r="O70" s="442"/>
      <c r="P70" s="387" t="s">
        <v>5101</v>
      </c>
      <c r="Q70" s="443">
        <v>180.13269954526538</v>
      </c>
      <c r="R70" s="443"/>
      <c r="S70" s="459">
        <v>0</v>
      </c>
      <c r="T70" s="461">
        <f t="shared" si="12"/>
        <v>180.13269954526538</v>
      </c>
      <c r="U70" s="435"/>
      <c r="V70" s="436">
        <v>1</v>
      </c>
      <c r="W70" s="436">
        <v>1</v>
      </c>
      <c r="X70" s="436">
        <v>1</v>
      </c>
      <c r="Y70" s="436">
        <v>1</v>
      </c>
      <c r="Z70" s="436">
        <v>0</v>
      </c>
      <c r="AA70" s="437">
        <f t="shared" si="9"/>
        <v>1</v>
      </c>
      <c r="AB70" s="455">
        <f t="shared" si="10"/>
        <v>180.13269954526538</v>
      </c>
      <c r="AC70" s="455">
        <v>0</v>
      </c>
      <c r="AD70" s="466"/>
      <c r="AE70" s="438"/>
      <c r="AF70" s="439"/>
    </row>
    <row r="71" spans="2:32" hidden="1" x14ac:dyDescent="0.25">
      <c r="B71" s="1" t="s">
        <v>1506</v>
      </c>
      <c r="C71" s="387" t="s">
        <v>1368</v>
      </c>
      <c r="D71" s="387" t="s">
        <v>1115</v>
      </c>
      <c r="E71" s="441" t="s">
        <v>3240</v>
      </c>
      <c r="F71" s="407" t="s">
        <v>3201</v>
      </c>
      <c r="G71" s="407" t="s">
        <v>3932</v>
      </c>
      <c r="H71" s="407" t="s">
        <v>4110</v>
      </c>
      <c r="I71" s="407" t="s">
        <v>4568</v>
      </c>
      <c r="J71" s="407" t="s">
        <v>3856</v>
      </c>
      <c r="K71" s="407" t="s">
        <v>3479</v>
      </c>
      <c r="L71" s="442">
        <v>4.0552710000000003</v>
      </c>
      <c r="M71" s="387">
        <v>0</v>
      </c>
      <c r="N71" s="387">
        <f t="shared" si="1"/>
        <v>4.0552710000000003</v>
      </c>
      <c r="O71" s="442"/>
      <c r="P71" s="387" t="s">
        <v>5101</v>
      </c>
      <c r="Q71" s="443">
        <v>163.94245616734037</v>
      </c>
      <c r="R71" s="443"/>
      <c r="S71" s="459">
        <v>0</v>
      </c>
      <c r="T71" s="461">
        <f t="shared" si="12"/>
        <v>163.94245616734037</v>
      </c>
      <c r="U71" s="435"/>
      <c r="V71" s="436">
        <v>0.5</v>
      </c>
      <c r="W71" s="436">
        <v>0.4</v>
      </c>
      <c r="X71" s="436">
        <v>0.25</v>
      </c>
      <c r="Y71" s="436">
        <v>0</v>
      </c>
      <c r="Z71" s="436">
        <v>0</v>
      </c>
      <c r="AA71" s="437">
        <f t="shared" si="9"/>
        <v>0.32250000000000006</v>
      </c>
      <c r="AB71" s="455">
        <f t="shared" si="10"/>
        <v>52.871442113967277</v>
      </c>
      <c r="AC71" s="455">
        <v>0</v>
      </c>
      <c r="AD71" s="466"/>
      <c r="AE71" s="438"/>
      <c r="AF71" s="439"/>
    </row>
    <row r="72" spans="2:32" hidden="1" x14ac:dyDescent="0.25">
      <c r="B72" s="571" t="s">
        <v>5214</v>
      </c>
      <c r="C72" s="387" t="s">
        <v>1368</v>
      </c>
      <c r="D72" s="387" t="s">
        <v>1115</v>
      </c>
      <c r="E72" s="441" t="s">
        <v>3241</v>
      </c>
      <c r="F72" s="407" t="s">
        <v>3201</v>
      </c>
      <c r="G72" s="407"/>
      <c r="H72" s="407"/>
      <c r="I72" s="407"/>
      <c r="J72" s="407"/>
      <c r="K72" s="387" t="s">
        <v>5142</v>
      </c>
      <c r="L72" s="442">
        <v>2.0880000000000001</v>
      </c>
      <c r="M72" s="387">
        <v>0</v>
      </c>
      <c r="N72" s="387">
        <f t="shared" si="1"/>
        <v>2.0880000000000001</v>
      </c>
      <c r="O72" s="442"/>
      <c r="P72" s="387" t="s">
        <v>5101</v>
      </c>
      <c r="Q72" s="443">
        <v>60.762</v>
      </c>
      <c r="R72" s="443"/>
      <c r="S72" s="459"/>
      <c r="T72" s="461">
        <f t="shared" si="12"/>
        <v>60.762</v>
      </c>
      <c r="U72" s="435"/>
      <c r="V72" s="436">
        <v>1</v>
      </c>
      <c r="W72" s="436">
        <v>1</v>
      </c>
      <c r="X72" s="436">
        <v>1</v>
      </c>
      <c r="Y72" s="436">
        <v>1</v>
      </c>
      <c r="Z72" s="436">
        <v>0</v>
      </c>
      <c r="AA72" s="437">
        <f t="shared" si="9"/>
        <v>1</v>
      </c>
      <c r="AB72" s="455">
        <f t="shared" ref="AB72" si="13">(V72*V$13*T72)+(W72*W$13*T72)+(X72*X$13*T72)+(Y72*Y$13*T72)+(Z72*Z$13*T72)</f>
        <v>60.762</v>
      </c>
      <c r="AC72" s="455">
        <v>0</v>
      </c>
      <c r="AD72" s="466"/>
      <c r="AE72" s="438"/>
      <c r="AF72" s="439" t="s">
        <v>5143</v>
      </c>
    </row>
    <row r="73" spans="2:32" hidden="1" x14ac:dyDescent="0.25">
      <c r="B73" s="1" t="s">
        <v>1507</v>
      </c>
      <c r="C73" s="387" t="s">
        <v>1368</v>
      </c>
      <c r="D73" s="387" t="s">
        <v>1115</v>
      </c>
      <c r="E73" s="441" t="s">
        <v>3241</v>
      </c>
      <c r="F73" s="407" t="s">
        <v>3201</v>
      </c>
      <c r="G73" s="407" t="s">
        <v>3933</v>
      </c>
      <c r="H73" s="407" t="s">
        <v>4110</v>
      </c>
      <c r="I73" s="407" t="s">
        <v>4569</v>
      </c>
      <c r="J73" s="407" t="s">
        <v>3857</v>
      </c>
      <c r="K73" s="407" t="s">
        <v>3480</v>
      </c>
      <c r="L73" s="442">
        <v>1.7010000000000001</v>
      </c>
      <c r="M73" s="387">
        <v>0</v>
      </c>
      <c r="N73" s="387">
        <f t="shared" si="1"/>
        <v>1.7010000000000001</v>
      </c>
      <c r="O73" s="442"/>
      <c r="P73" s="387" t="s">
        <v>5101</v>
      </c>
      <c r="Q73" s="443">
        <v>100.762</v>
      </c>
      <c r="R73" s="443"/>
      <c r="S73" s="459">
        <v>0</v>
      </c>
      <c r="T73" s="461">
        <f t="shared" si="12"/>
        <v>100.762</v>
      </c>
      <c r="U73" s="435"/>
      <c r="V73" s="436">
        <v>0</v>
      </c>
      <c r="W73" s="436">
        <v>0</v>
      </c>
      <c r="X73" s="436">
        <v>0</v>
      </c>
      <c r="Y73" s="436">
        <v>0</v>
      </c>
      <c r="Z73" s="436">
        <v>0</v>
      </c>
      <c r="AA73" s="437">
        <f t="shared" si="9"/>
        <v>0</v>
      </c>
      <c r="AB73" s="455">
        <f t="shared" si="10"/>
        <v>0</v>
      </c>
      <c r="AC73" s="455">
        <v>0</v>
      </c>
      <c r="AD73" s="466"/>
      <c r="AE73" s="438"/>
      <c r="AF73" s="439" t="s">
        <v>5143</v>
      </c>
    </row>
    <row r="74" spans="2:32" hidden="1" x14ac:dyDescent="0.25">
      <c r="B74" s="1" t="s">
        <v>1508</v>
      </c>
      <c r="C74" s="387" t="s">
        <v>1368</v>
      </c>
      <c r="D74" s="387" t="s">
        <v>1115</v>
      </c>
      <c r="E74" s="441" t="s">
        <v>3242</v>
      </c>
      <c r="F74" s="407" t="s">
        <v>3201</v>
      </c>
      <c r="G74" s="407" t="s">
        <v>3934</v>
      </c>
      <c r="H74" s="407" t="s">
        <v>4110</v>
      </c>
      <c r="I74" s="407" t="s">
        <v>4570</v>
      </c>
      <c r="J74" s="407" t="s">
        <v>3858</v>
      </c>
      <c r="K74" s="407" t="s">
        <v>3481</v>
      </c>
      <c r="L74" s="442">
        <v>8.3351759999999988</v>
      </c>
      <c r="M74" s="387">
        <v>0</v>
      </c>
      <c r="N74" s="387">
        <f t="shared" si="1"/>
        <v>8.3351759999999988</v>
      </c>
      <c r="O74" s="442"/>
      <c r="P74" s="387" t="s">
        <v>5101</v>
      </c>
      <c r="Q74" s="443">
        <v>382.74376105041165</v>
      </c>
      <c r="R74" s="443"/>
      <c r="S74" s="459">
        <v>0</v>
      </c>
      <c r="T74" s="461">
        <f t="shared" si="12"/>
        <v>382.74376105041165</v>
      </c>
      <c r="U74" s="435"/>
      <c r="V74" s="436">
        <v>0</v>
      </c>
      <c r="W74" s="436">
        <v>0</v>
      </c>
      <c r="X74" s="436">
        <v>0</v>
      </c>
      <c r="Y74" s="436">
        <v>0</v>
      </c>
      <c r="Z74" s="436">
        <v>0</v>
      </c>
      <c r="AA74" s="437">
        <f t="shared" si="9"/>
        <v>0</v>
      </c>
      <c r="AB74" s="455">
        <f t="shared" si="10"/>
        <v>0</v>
      </c>
      <c r="AC74" s="455">
        <v>0</v>
      </c>
      <c r="AD74" s="466"/>
      <c r="AE74" s="438"/>
      <c r="AF74" s="439"/>
    </row>
    <row r="75" spans="2:32" hidden="1" x14ac:dyDescent="0.25">
      <c r="B75" s="1" t="s">
        <v>1509</v>
      </c>
      <c r="C75" s="387" t="s">
        <v>1368</v>
      </c>
      <c r="D75" s="387" t="s">
        <v>1115</v>
      </c>
      <c r="E75" s="441" t="s">
        <v>3243</v>
      </c>
      <c r="F75" s="407" t="s">
        <v>3201</v>
      </c>
      <c r="G75" s="407" t="s">
        <v>3935</v>
      </c>
      <c r="H75" s="407" t="s">
        <v>4110</v>
      </c>
      <c r="I75" s="407" t="s">
        <v>4571</v>
      </c>
      <c r="J75" s="407" t="s">
        <v>3859</v>
      </c>
      <c r="K75" s="387" t="s">
        <v>5253</v>
      </c>
      <c r="L75" s="442">
        <v>2.8709639999999998</v>
      </c>
      <c r="M75" s="387">
        <v>0</v>
      </c>
      <c r="N75" s="387">
        <f t="shared" si="1"/>
        <v>2.8709639999999998</v>
      </c>
      <c r="O75" s="442"/>
      <c r="P75" s="387" t="s">
        <v>5101</v>
      </c>
      <c r="Q75" s="443">
        <v>104.78093675159374</v>
      </c>
      <c r="R75" s="443"/>
      <c r="S75" s="459">
        <v>0</v>
      </c>
      <c r="T75" s="461">
        <f t="shared" si="12"/>
        <v>104.78093675159374</v>
      </c>
      <c r="U75" s="435"/>
      <c r="V75" s="436">
        <v>1</v>
      </c>
      <c r="W75" s="436">
        <v>1</v>
      </c>
      <c r="X75" s="436">
        <v>1</v>
      </c>
      <c r="Y75" s="436">
        <v>1</v>
      </c>
      <c r="Z75" s="436">
        <v>0</v>
      </c>
      <c r="AA75" s="437">
        <f t="shared" si="9"/>
        <v>1.0000000000000002</v>
      </c>
      <c r="AB75" s="455">
        <f t="shared" si="10"/>
        <v>104.78093675159376</v>
      </c>
      <c r="AC75" s="455">
        <v>0</v>
      </c>
      <c r="AD75" s="466"/>
      <c r="AE75" s="438"/>
      <c r="AF75" s="439"/>
    </row>
    <row r="76" spans="2:32" hidden="1" x14ac:dyDescent="0.25">
      <c r="B76" s="1" t="s">
        <v>1510</v>
      </c>
      <c r="C76" s="387" t="s">
        <v>1368</v>
      </c>
      <c r="D76" s="387" t="s">
        <v>1115</v>
      </c>
      <c r="E76" s="441" t="s">
        <v>3244</v>
      </c>
      <c r="F76" s="407" t="s">
        <v>3201</v>
      </c>
      <c r="G76" s="407" t="s">
        <v>3936</v>
      </c>
      <c r="H76" s="407" t="s">
        <v>4110</v>
      </c>
      <c r="I76" s="407" t="s">
        <v>4572</v>
      </c>
      <c r="J76" s="407" t="s">
        <v>3860</v>
      </c>
      <c r="K76" s="407" t="s">
        <v>3482</v>
      </c>
      <c r="L76" s="442">
        <v>3.1564910000000004</v>
      </c>
      <c r="M76" s="387">
        <v>0</v>
      </c>
      <c r="N76" s="387">
        <f t="shared" si="1"/>
        <v>3.1564910000000004</v>
      </c>
      <c r="O76" s="442"/>
      <c r="P76" s="387" t="s">
        <v>5101</v>
      </c>
      <c r="Q76" s="443">
        <v>137.91667414191767</v>
      </c>
      <c r="R76" s="443"/>
      <c r="S76" s="459">
        <v>0</v>
      </c>
      <c r="T76" s="461">
        <f t="shared" si="12"/>
        <v>137.91667414191767</v>
      </c>
      <c r="U76" s="435"/>
      <c r="V76" s="436">
        <v>0</v>
      </c>
      <c r="W76" s="436">
        <v>0</v>
      </c>
      <c r="X76" s="436">
        <v>0</v>
      </c>
      <c r="Y76" s="436">
        <v>0</v>
      </c>
      <c r="Z76" s="436">
        <v>0</v>
      </c>
      <c r="AA76" s="437">
        <f t="shared" si="9"/>
        <v>0</v>
      </c>
      <c r="AB76" s="455">
        <f t="shared" si="10"/>
        <v>0</v>
      </c>
      <c r="AC76" s="455">
        <v>0</v>
      </c>
      <c r="AD76" s="466"/>
      <c r="AE76" s="438"/>
      <c r="AF76" s="439"/>
    </row>
    <row r="77" spans="2:32" hidden="1" x14ac:dyDescent="0.25">
      <c r="B77" s="1" t="s">
        <v>1511</v>
      </c>
      <c r="C77" s="387" t="s">
        <v>1368</v>
      </c>
      <c r="D77" s="387" t="s">
        <v>1115</v>
      </c>
      <c r="E77" s="441" t="s">
        <v>3245</v>
      </c>
      <c r="F77" s="407" t="s">
        <v>3201</v>
      </c>
      <c r="G77" s="407" t="s">
        <v>3937</v>
      </c>
      <c r="H77" s="407" t="s">
        <v>4110</v>
      </c>
      <c r="I77" s="407" t="s">
        <v>4573</v>
      </c>
      <c r="J77" s="407" t="s">
        <v>3861</v>
      </c>
      <c r="K77" s="407" t="s">
        <v>3483</v>
      </c>
      <c r="L77" s="442">
        <v>3.2202930000000007</v>
      </c>
      <c r="M77" s="387">
        <v>0</v>
      </c>
      <c r="N77" s="387">
        <f t="shared" si="1"/>
        <v>3.2202930000000007</v>
      </c>
      <c r="O77" s="442"/>
      <c r="P77" s="387" t="s">
        <v>5101</v>
      </c>
      <c r="Q77" s="443">
        <v>116.10247034888059</v>
      </c>
      <c r="R77" s="443"/>
      <c r="S77" s="459">
        <v>0</v>
      </c>
      <c r="T77" s="461">
        <f t="shared" si="12"/>
        <v>116.10247034888059</v>
      </c>
      <c r="U77" s="435"/>
      <c r="V77" s="436">
        <v>0.8</v>
      </c>
      <c r="W77" s="436">
        <v>0.65</v>
      </c>
      <c r="X77" s="436">
        <v>0.65</v>
      </c>
      <c r="Y77" s="436">
        <v>0</v>
      </c>
      <c r="Z77" s="436">
        <v>0</v>
      </c>
      <c r="AA77" s="437">
        <f t="shared" si="9"/>
        <v>0.63250000000000006</v>
      </c>
      <c r="AB77" s="455">
        <f t="shared" si="10"/>
        <v>73.434812495666975</v>
      </c>
      <c r="AC77" s="455">
        <v>0</v>
      </c>
      <c r="AD77" s="466"/>
      <c r="AE77" s="438"/>
      <c r="AF77" s="439"/>
    </row>
    <row r="78" spans="2:32" hidden="1" x14ac:dyDescent="0.25">
      <c r="B78" s="1" t="s">
        <v>1512</v>
      </c>
      <c r="C78" s="387" t="s">
        <v>1368</v>
      </c>
      <c r="D78" s="387" t="s">
        <v>1115</v>
      </c>
      <c r="E78" s="441" t="s">
        <v>3246</v>
      </c>
      <c r="F78" s="407" t="s">
        <v>3201</v>
      </c>
      <c r="G78" s="407" t="s">
        <v>3938</v>
      </c>
      <c r="H78" s="407" t="s">
        <v>4110</v>
      </c>
      <c r="I78" s="407" t="s">
        <v>4574</v>
      </c>
      <c r="J78" s="407" t="s">
        <v>3862</v>
      </c>
      <c r="K78" s="407" t="s">
        <v>3484</v>
      </c>
      <c r="L78" s="442">
        <v>0.44088800000000006</v>
      </c>
      <c r="M78" s="387">
        <v>0</v>
      </c>
      <c r="N78" s="387">
        <f t="shared" si="1"/>
        <v>0.44088800000000006</v>
      </c>
      <c r="O78" s="442"/>
      <c r="P78" s="387" t="s">
        <v>5101</v>
      </c>
      <c r="Q78" s="443">
        <v>20.189460907342202</v>
      </c>
      <c r="R78" s="443"/>
      <c r="S78" s="459">
        <v>0</v>
      </c>
      <c r="T78" s="461">
        <f t="shared" si="12"/>
        <v>20.189460907342202</v>
      </c>
      <c r="U78" s="435"/>
      <c r="V78" s="436">
        <v>0</v>
      </c>
      <c r="W78" s="436">
        <v>0</v>
      </c>
      <c r="X78" s="436">
        <v>0</v>
      </c>
      <c r="Y78" s="436">
        <v>0</v>
      </c>
      <c r="Z78" s="436">
        <v>0</v>
      </c>
      <c r="AA78" s="437">
        <f t="shared" si="9"/>
        <v>0</v>
      </c>
      <c r="AB78" s="455">
        <f t="shared" si="10"/>
        <v>0</v>
      </c>
      <c r="AC78" s="455">
        <v>0</v>
      </c>
      <c r="AD78" s="466"/>
      <c r="AE78" s="438"/>
      <c r="AF78" s="439"/>
    </row>
    <row r="79" spans="2:32" hidden="1" x14ac:dyDescent="0.25">
      <c r="B79" s="1" t="s">
        <v>1513</v>
      </c>
      <c r="C79" s="387" t="s">
        <v>1368</v>
      </c>
      <c r="D79" s="387" t="s">
        <v>1115</v>
      </c>
      <c r="E79" s="441" t="s">
        <v>3247</v>
      </c>
      <c r="F79" s="407" t="s">
        <v>3201</v>
      </c>
      <c r="G79" s="407" t="s">
        <v>3939</v>
      </c>
      <c r="H79" s="407" t="s">
        <v>4109</v>
      </c>
      <c r="I79" s="407" t="s">
        <v>4155</v>
      </c>
      <c r="J79" s="407" t="s">
        <v>3863</v>
      </c>
      <c r="K79" s="407" t="s">
        <v>3485</v>
      </c>
      <c r="L79" s="442">
        <v>16.384612999999998</v>
      </c>
      <c r="M79" s="387">
        <v>0</v>
      </c>
      <c r="N79" s="387">
        <f t="shared" si="1"/>
        <v>16.384612999999998</v>
      </c>
      <c r="O79" s="442"/>
      <c r="P79" s="387" t="s">
        <v>5101</v>
      </c>
      <c r="Q79" s="443">
        <v>678.96679589704524</v>
      </c>
      <c r="R79" s="443"/>
      <c r="S79" s="459">
        <v>0</v>
      </c>
      <c r="T79" s="461">
        <f t="shared" si="12"/>
        <v>678.96679589704524</v>
      </c>
      <c r="U79" s="435"/>
      <c r="V79" s="436">
        <v>0</v>
      </c>
      <c r="W79" s="436">
        <v>0</v>
      </c>
      <c r="X79" s="436">
        <v>0</v>
      </c>
      <c r="Y79" s="436">
        <v>0</v>
      </c>
      <c r="Z79" s="436">
        <v>0</v>
      </c>
      <c r="AA79" s="437">
        <f t="shared" si="9"/>
        <v>0</v>
      </c>
      <c r="AB79" s="455">
        <f t="shared" si="10"/>
        <v>0</v>
      </c>
      <c r="AC79" s="455">
        <v>0</v>
      </c>
      <c r="AD79" s="466"/>
      <c r="AE79" s="438"/>
      <c r="AF79" s="439"/>
    </row>
    <row r="80" spans="2:32" hidden="1" x14ac:dyDescent="0.25">
      <c r="B80" s="1" t="s">
        <v>1514</v>
      </c>
      <c r="C80" s="387" t="s">
        <v>1368</v>
      </c>
      <c r="D80" s="387" t="s">
        <v>1115</v>
      </c>
      <c r="E80" s="441" t="s">
        <v>3248</v>
      </c>
      <c r="F80" s="407" t="s">
        <v>3201</v>
      </c>
      <c r="G80" s="407" t="s">
        <v>3940</v>
      </c>
      <c r="H80" s="407" t="s">
        <v>4110</v>
      </c>
      <c r="I80" s="407" t="s">
        <v>4575</v>
      </c>
      <c r="J80" s="407" t="s">
        <v>3864</v>
      </c>
      <c r="K80" s="407" t="s">
        <v>3486</v>
      </c>
      <c r="L80" s="442">
        <v>4.0970000000000004</v>
      </c>
      <c r="M80" s="387">
        <v>0</v>
      </c>
      <c r="N80" s="387">
        <f t="shared" ref="N80:N143" si="14">L80+M80</f>
        <v>4.0970000000000004</v>
      </c>
      <c r="O80" s="442"/>
      <c r="P80" s="387" t="s">
        <v>5101</v>
      </c>
      <c r="Q80" s="443">
        <v>156.54419802112346</v>
      </c>
      <c r="R80" s="443"/>
      <c r="S80" s="459">
        <v>0</v>
      </c>
      <c r="T80" s="461">
        <f t="shared" si="12"/>
        <v>156.54419802112346</v>
      </c>
      <c r="U80" s="435"/>
      <c r="V80" s="436">
        <v>1</v>
      </c>
      <c r="W80" s="436">
        <v>0.8</v>
      </c>
      <c r="X80" s="436">
        <v>0.5</v>
      </c>
      <c r="Y80" s="436">
        <v>0</v>
      </c>
      <c r="Z80" s="436">
        <v>0</v>
      </c>
      <c r="AA80" s="437">
        <f t="shared" si="9"/>
        <v>0.64500000000000013</v>
      </c>
      <c r="AB80" s="455">
        <f t="shared" si="10"/>
        <v>100.97100772362465</v>
      </c>
      <c r="AC80" s="455">
        <v>0</v>
      </c>
      <c r="AD80" s="466"/>
      <c r="AE80" s="438"/>
      <c r="AF80" s="439"/>
    </row>
    <row r="81" spans="2:32" hidden="1" x14ac:dyDescent="0.25">
      <c r="B81" s="1" t="s">
        <v>1515</v>
      </c>
      <c r="C81" s="387" t="s">
        <v>1368</v>
      </c>
      <c r="D81" s="387" t="s">
        <v>1115</v>
      </c>
      <c r="E81" s="441" t="s">
        <v>3249</v>
      </c>
      <c r="F81" s="407" t="s">
        <v>3201</v>
      </c>
      <c r="G81" s="407" t="s">
        <v>3941</v>
      </c>
      <c r="H81" s="407" t="s">
        <v>4110</v>
      </c>
      <c r="I81" s="407" t="s">
        <v>4576</v>
      </c>
      <c r="J81" s="407" t="s">
        <v>3865</v>
      </c>
      <c r="K81" s="407" t="s">
        <v>3487</v>
      </c>
      <c r="L81" s="442">
        <v>0.82599999999999996</v>
      </c>
      <c r="M81" s="387">
        <v>0</v>
      </c>
      <c r="N81" s="387">
        <f t="shared" si="14"/>
        <v>0.82599999999999996</v>
      </c>
      <c r="O81" s="442"/>
      <c r="P81" s="387" t="s">
        <v>5101</v>
      </c>
      <c r="Q81" s="443">
        <v>38.364419249457697</v>
      </c>
      <c r="R81" s="443"/>
      <c r="S81" s="459">
        <v>0</v>
      </c>
      <c r="T81" s="461">
        <f t="shared" si="12"/>
        <v>38.364419249457697</v>
      </c>
      <c r="U81" s="435"/>
      <c r="V81" s="436">
        <v>1</v>
      </c>
      <c r="W81" s="436">
        <v>0.8</v>
      </c>
      <c r="X81" s="436">
        <v>0.5</v>
      </c>
      <c r="Y81" s="436">
        <v>0</v>
      </c>
      <c r="Z81" s="436">
        <v>0</v>
      </c>
      <c r="AA81" s="437">
        <f t="shared" si="9"/>
        <v>0.64500000000000002</v>
      </c>
      <c r="AB81" s="455">
        <f t="shared" ref="AB81:AB112" si="15">(V81*V$13*T81)+(W81*W$13*T81)+(X81*X$13*T81)+(Y81*Y$13*T81)+(Z81*Z$13*T81)</f>
        <v>24.745050415900216</v>
      </c>
      <c r="AC81" s="455">
        <v>0</v>
      </c>
      <c r="AD81" s="466"/>
      <c r="AE81" s="438"/>
      <c r="AF81" s="439"/>
    </row>
    <row r="82" spans="2:32" hidden="1" x14ac:dyDescent="0.25">
      <c r="B82" s="1" t="s">
        <v>1516</v>
      </c>
      <c r="C82" s="387" t="s">
        <v>1368</v>
      </c>
      <c r="D82" s="387" t="s">
        <v>1115</v>
      </c>
      <c r="E82" s="441" t="s">
        <v>3250</v>
      </c>
      <c r="F82" s="407" t="s">
        <v>3201</v>
      </c>
      <c r="G82" s="407" t="s">
        <v>3942</v>
      </c>
      <c r="H82" s="407" t="s">
        <v>4110</v>
      </c>
      <c r="I82" s="407" t="s">
        <v>4577</v>
      </c>
      <c r="J82" s="407" t="s">
        <v>3866</v>
      </c>
      <c r="K82" s="407" t="s">
        <v>3488</v>
      </c>
      <c r="L82" s="442">
        <v>2.5910000000000002</v>
      </c>
      <c r="M82" s="387">
        <v>0</v>
      </c>
      <c r="N82" s="387">
        <f t="shared" si="14"/>
        <v>2.5910000000000002</v>
      </c>
      <c r="O82" s="442"/>
      <c r="P82" s="387" t="s">
        <v>5101</v>
      </c>
      <c r="Q82" s="443">
        <v>86.375730523808883</v>
      </c>
      <c r="R82" s="443"/>
      <c r="S82" s="459">
        <v>0</v>
      </c>
      <c r="T82" s="461">
        <f t="shared" si="12"/>
        <v>86.375730523808883</v>
      </c>
      <c r="U82" s="435"/>
      <c r="V82" s="436">
        <v>1</v>
      </c>
      <c r="W82" s="436">
        <v>0.8</v>
      </c>
      <c r="X82" s="436">
        <v>0.5</v>
      </c>
      <c r="Y82" s="436">
        <v>0</v>
      </c>
      <c r="Z82" s="436">
        <v>0</v>
      </c>
      <c r="AA82" s="437">
        <f t="shared" si="9"/>
        <v>0.64500000000000013</v>
      </c>
      <c r="AB82" s="455">
        <f t="shared" si="15"/>
        <v>55.712346187856738</v>
      </c>
      <c r="AC82" s="455">
        <v>0</v>
      </c>
      <c r="AD82" s="466"/>
      <c r="AE82" s="438"/>
      <c r="AF82" s="439"/>
    </row>
    <row r="83" spans="2:32" hidden="1" x14ac:dyDescent="0.25">
      <c r="B83" s="1" t="s">
        <v>1517</v>
      </c>
      <c r="C83" s="387" t="s">
        <v>1368</v>
      </c>
      <c r="D83" s="387" t="s">
        <v>1115</v>
      </c>
      <c r="E83" s="441" t="s">
        <v>3251</v>
      </c>
      <c r="F83" s="407" t="s">
        <v>3201</v>
      </c>
      <c r="G83" s="407" t="s">
        <v>3943</v>
      </c>
      <c r="H83" s="407" t="s">
        <v>4110</v>
      </c>
      <c r="I83" s="407" t="s">
        <v>4578</v>
      </c>
      <c r="J83" s="407" t="s">
        <v>3867</v>
      </c>
      <c r="K83" s="407" t="s">
        <v>3489</v>
      </c>
      <c r="L83" s="442">
        <v>0.88</v>
      </c>
      <c r="M83" s="387">
        <v>0</v>
      </c>
      <c r="N83" s="387">
        <f t="shared" si="14"/>
        <v>0.88</v>
      </c>
      <c r="O83" s="442"/>
      <c r="P83" s="387" t="s">
        <v>5101</v>
      </c>
      <c r="Q83" s="443">
        <v>41.125863900065397</v>
      </c>
      <c r="R83" s="443"/>
      <c r="S83" s="459">
        <v>0</v>
      </c>
      <c r="T83" s="461">
        <f t="shared" si="12"/>
        <v>41.125863900065397</v>
      </c>
      <c r="U83" s="435"/>
      <c r="V83" s="436">
        <v>1</v>
      </c>
      <c r="W83" s="436">
        <v>0.8</v>
      </c>
      <c r="X83" s="436">
        <v>1</v>
      </c>
      <c r="Y83" s="436">
        <v>0</v>
      </c>
      <c r="Z83" s="436">
        <v>0</v>
      </c>
      <c r="AA83" s="437">
        <f t="shared" si="9"/>
        <v>0.87000000000000011</v>
      </c>
      <c r="AB83" s="455">
        <f t="shared" si="15"/>
        <v>35.779501593056899</v>
      </c>
      <c r="AC83" s="455">
        <v>0</v>
      </c>
      <c r="AD83" s="466"/>
      <c r="AE83" s="438"/>
      <c r="AF83" s="439"/>
    </row>
    <row r="84" spans="2:32" hidden="1" x14ac:dyDescent="0.25">
      <c r="B84" s="1" t="s">
        <v>1518</v>
      </c>
      <c r="C84" s="387" t="s">
        <v>1368</v>
      </c>
      <c r="D84" s="387" t="s">
        <v>1115</v>
      </c>
      <c r="E84" s="441" t="s">
        <v>3252</v>
      </c>
      <c r="F84" s="407" t="s">
        <v>3201</v>
      </c>
      <c r="G84" s="407" t="s">
        <v>3944</v>
      </c>
      <c r="H84" s="407" t="s">
        <v>4109</v>
      </c>
      <c r="I84" s="407" t="s">
        <v>4156</v>
      </c>
      <c r="J84" s="407" t="s">
        <v>3868</v>
      </c>
      <c r="K84" s="407" t="s">
        <v>3490</v>
      </c>
      <c r="L84" s="442">
        <v>17.353850000000012</v>
      </c>
      <c r="M84" s="387">
        <v>0</v>
      </c>
      <c r="N84" s="387">
        <f t="shared" si="14"/>
        <v>17.353850000000012</v>
      </c>
      <c r="O84" s="442"/>
      <c r="P84" s="387" t="s">
        <v>5101</v>
      </c>
      <c r="Q84" s="443">
        <v>721.97711027339847</v>
      </c>
      <c r="R84" s="443"/>
      <c r="S84" s="459">
        <v>0</v>
      </c>
      <c r="T84" s="461">
        <f t="shared" si="12"/>
        <v>721.97711027339847</v>
      </c>
      <c r="U84" s="435"/>
      <c r="V84" s="436">
        <v>0</v>
      </c>
      <c r="W84" s="436">
        <v>0</v>
      </c>
      <c r="X84" s="436">
        <v>0</v>
      </c>
      <c r="Y84" s="436">
        <v>0</v>
      </c>
      <c r="Z84" s="436">
        <v>0</v>
      </c>
      <c r="AA84" s="437">
        <f t="shared" si="9"/>
        <v>0</v>
      </c>
      <c r="AB84" s="455">
        <f t="shared" si="15"/>
        <v>0</v>
      </c>
      <c r="AC84" s="455">
        <v>0</v>
      </c>
      <c r="AD84" s="466"/>
      <c r="AE84" s="438"/>
      <c r="AF84" s="439"/>
    </row>
    <row r="85" spans="2:32" hidden="1" x14ac:dyDescent="0.25">
      <c r="B85" s="1" t="s">
        <v>1519</v>
      </c>
      <c r="C85" s="387" t="s">
        <v>1368</v>
      </c>
      <c r="D85" s="387" t="s">
        <v>1115</v>
      </c>
      <c r="E85" s="441" t="s">
        <v>3253</v>
      </c>
      <c r="F85" s="407" t="s">
        <v>3201</v>
      </c>
      <c r="G85" s="407" t="s">
        <v>3945</v>
      </c>
      <c r="H85" s="407" t="s">
        <v>4110</v>
      </c>
      <c r="I85" s="407" t="s">
        <v>4579</v>
      </c>
      <c r="J85" s="407" t="s">
        <v>3869</v>
      </c>
      <c r="K85" s="407" t="s">
        <v>3491</v>
      </c>
      <c r="L85" s="442">
        <v>7.2167730000000017</v>
      </c>
      <c r="M85" s="387">
        <v>0</v>
      </c>
      <c r="N85" s="387">
        <f t="shared" si="14"/>
        <v>7.2167730000000017</v>
      </c>
      <c r="O85" s="442"/>
      <c r="P85" s="387" t="s">
        <v>5101</v>
      </c>
      <c r="Q85" s="443">
        <v>295.49625133880249</v>
      </c>
      <c r="R85" s="443"/>
      <c r="S85" s="459">
        <v>0</v>
      </c>
      <c r="T85" s="461">
        <f t="shared" si="12"/>
        <v>295.49625133880249</v>
      </c>
      <c r="U85" s="435"/>
      <c r="V85" s="436">
        <v>0</v>
      </c>
      <c r="W85" s="436">
        <v>0</v>
      </c>
      <c r="X85" s="436">
        <v>0</v>
      </c>
      <c r="Y85" s="436">
        <v>0</v>
      </c>
      <c r="Z85" s="436">
        <v>0</v>
      </c>
      <c r="AA85" s="437">
        <f t="shared" si="9"/>
        <v>0</v>
      </c>
      <c r="AB85" s="455">
        <f t="shared" si="15"/>
        <v>0</v>
      </c>
      <c r="AC85" s="455">
        <v>0</v>
      </c>
      <c r="AD85" s="466"/>
      <c r="AE85" s="438"/>
      <c r="AF85" s="439"/>
    </row>
    <row r="86" spans="2:32" hidden="1" x14ac:dyDescent="0.25">
      <c r="B86" s="1" t="s">
        <v>1520</v>
      </c>
      <c r="C86" s="387" t="s">
        <v>1368</v>
      </c>
      <c r="D86" s="387" t="s">
        <v>1115</v>
      </c>
      <c r="E86" s="441" t="s">
        <v>3254</v>
      </c>
      <c r="F86" s="407" t="s">
        <v>3201</v>
      </c>
      <c r="G86" s="407" t="s">
        <v>3946</v>
      </c>
      <c r="H86" s="407" t="s">
        <v>4110</v>
      </c>
      <c r="I86" s="407" t="s">
        <v>4580</v>
      </c>
      <c r="J86" s="407" t="s">
        <v>3870</v>
      </c>
      <c r="K86" s="407" t="s">
        <v>3492</v>
      </c>
      <c r="L86" s="442">
        <v>6.5010350000000008</v>
      </c>
      <c r="M86" s="387">
        <v>0</v>
      </c>
      <c r="N86" s="387">
        <f t="shared" si="14"/>
        <v>6.5010350000000008</v>
      </c>
      <c r="O86" s="442"/>
      <c r="P86" s="387" t="s">
        <v>5101</v>
      </c>
      <c r="Q86" s="443">
        <v>274.14394259834046</v>
      </c>
      <c r="R86" s="443"/>
      <c r="S86" s="459">
        <v>0</v>
      </c>
      <c r="T86" s="461">
        <f t="shared" si="12"/>
        <v>274.14394259834046</v>
      </c>
      <c r="U86" s="435"/>
      <c r="V86" s="436">
        <v>0.5</v>
      </c>
      <c r="W86" s="436">
        <v>0.3</v>
      </c>
      <c r="X86" s="436">
        <v>0.2</v>
      </c>
      <c r="Y86" s="436">
        <v>0</v>
      </c>
      <c r="Z86" s="436">
        <v>0</v>
      </c>
      <c r="AA86" s="437">
        <f t="shared" si="9"/>
        <v>0.26</v>
      </c>
      <c r="AB86" s="455">
        <f t="shared" si="15"/>
        <v>71.277425075568516</v>
      </c>
      <c r="AC86" s="455">
        <v>0</v>
      </c>
      <c r="AD86" s="466"/>
      <c r="AE86" s="438"/>
      <c r="AF86" s="439"/>
    </row>
    <row r="87" spans="2:32" hidden="1" x14ac:dyDescent="0.25">
      <c r="B87" s="1" t="s">
        <v>1521</v>
      </c>
      <c r="C87" s="387" t="s">
        <v>1368</v>
      </c>
      <c r="D87" s="387" t="s">
        <v>1115</v>
      </c>
      <c r="E87" s="441" t="s">
        <v>3255</v>
      </c>
      <c r="F87" s="407" t="s">
        <v>3201</v>
      </c>
      <c r="G87" s="407" t="s">
        <v>3947</v>
      </c>
      <c r="H87" s="407" t="s">
        <v>4110</v>
      </c>
      <c r="I87" s="407" t="s">
        <v>4581</v>
      </c>
      <c r="J87" s="407" t="s">
        <v>3871</v>
      </c>
      <c r="K87" s="407" t="s">
        <v>3493</v>
      </c>
      <c r="L87" s="442">
        <v>3.8069999999999999</v>
      </c>
      <c r="M87" s="387">
        <v>0</v>
      </c>
      <c r="N87" s="387">
        <f t="shared" si="14"/>
        <v>3.8069999999999999</v>
      </c>
      <c r="O87" s="442"/>
      <c r="P87" s="387" t="s">
        <v>5101</v>
      </c>
      <c r="Q87" s="443">
        <v>174.57418115944515</v>
      </c>
      <c r="R87" s="443"/>
      <c r="S87" s="459">
        <v>0</v>
      </c>
      <c r="T87" s="461">
        <f t="shared" si="12"/>
        <v>174.57418115944515</v>
      </c>
      <c r="U87" s="435"/>
      <c r="V87" s="436">
        <v>0.5</v>
      </c>
      <c r="W87" s="436">
        <v>0.3</v>
      </c>
      <c r="X87" s="436">
        <v>0.2</v>
      </c>
      <c r="Y87" s="436">
        <v>0</v>
      </c>
      <c r="Z87" s="436">
        <v>0</v>
      </c>
      <c r="AA87" s="437">
        <f t="shared" si="9"/>
        <v>0.26</v>
      </c>
      <c r="AB87" s="455">
        <f t="shared" si="15"/>
        <v>45.389287101455736</v>
      </c>
      <c r="AC87" s="455">
        <v>0</v>
      </c>
      <c r="AD87" s="466"/>
      <c r="AE87" s="438"/>
      <c r="AF87" s="439"/>
    </row>
    <row r="88" spans="2:32" hidden="1" x14ac:dyDescent="0.25">
      <c r="B88" s="1" t="s">
        <v>1522</v>
      </c>
      <c r="C88" s="387" t="s">
        <v>1368</v>
      </c>
      <c r="D88" s="387" t="s">
        <v>1115</v>
      </c>
      <c r="E88" s="441" t="s">
        <v>3256</v>
      </c>
      <c r="F88" s="407" t="s">
        <v>3201</v>
      </c>
      <c r="G88" s="407" t="s">
        <v>3948</v>
      </c>
      <c r="H88" s="407" t="s">
        <v>4110</v>
      </c>
      <c r="I88" s="407" t="s">
        <v>4582</v>
      </c>
      <c r="J88" s="407" t="s">
        <v>3872</v>
      </c>
      <c r="K88" s="407" t="s">
        <v>3494</v>
      </c>
      <c r="L88" s="442">
        <v>3.5270000000000001</v>
      </c>
      <c r="M88" s="387">
        <v>0</v>
      </c>
      <c r="N88" s="387">
        <f t="shared" si="14"/>
        <v>3.5270000000000001</v>
      </c>
      <c r="O88" s="442"/>
      <c r="P88" s="387" t="s">
        <v>5101</v>
      </c>
      <c r="Q88" s="443">
        <v>150.99177553346397</v>
      </c>
      <c r="R88" s="443"/>
      <c r="S88" s="459">
        <v>0</v>
      </c>
      <c r="T88" s="461">
        <f t="shared" si="12"/>
        <v>150.99177553346397</v>
      </c>
      <c r="U88" s="435"/>
      <c r="V88" s="436">
        <v>0</v>
      </c>
      <c r="W88" s="436">
        <v>0</v>
      </c>
      <c r="X88" s="436">
        <v>0</v>
      </c>
      <c r="Y88" s="436">
        <v>0</v>
      </c>
      <c r="Z88" s="436">
        <v>0</v>
      </c>
      <c r="AA88" s="437">
        <f t="shared" si="9"/>
        <v>0</v>
      </c>
      <c r="AB88" s="455">
        <f t="shared" si="15"/>
        <v>0</v>
      </c>
      <c r="AC88" s="455">
        <v>0</v>
      </c>
      <c r="AD88" s="466"/>
      <c r="AE88" s="438"/>
      <c r="AF88" s="439"/>
    </row>
    <row r="89" spans="2:32" hidden="1" x14ac:dyDescent="0.25">
      <c r="B89" s="1" t="s">
        <v>1523</v>
      </c>
      <c r="C89" s="387" t="s">
        <v>1368</v>
      </c>
      <c r="D89" s="387" t="s">
        <v>1115</v>
      </c>
      <c r="E89" s="441" t="s">
        <v>3257</v>
      </c>
      <c r="F89" s="407" t="s">
        <v>3201</v>
      </c>
      <c r="G89" s="407" t="s">
        <v>3949</v>
      </c>
      <c r="H89" s="407" t="s">
        <v>4110</v>
      </c>
      <c r="I89" s="407" t="s">
        <v>4583</v>
      </c>
      <c r="J89" s="407" t="s">
        <v>3873</v>
      </c>
      <c r="K89" s="407" t="s">
        <v>3495</v>
      </c>
      <c r="L89" s="442">
        <v>4.3977139999999988</v>
      </c>
      <c r="M89" s="387">
        <v>0</v>
      </c>
      <c r="N89" s="387">
        <f t="shared" si="14"/>
        <v>4.3977139999999988</v>
      </c>
      <c r="O89" s="442"/>
      <c r="P89" s="387" t="s">
        <v>5101</v>
      </c>
      <c r="Q89" s="443">
        <v>158.9577857442811</v>
      </c>
      <c r="R89" s="443"/>
      <c r="S89" s="459">
        <v>0</v>
      </c>
      <c r="T89" s="461">
        <f t="shared" si="12"/>
        <v>158.9577857442811</v>
      </c>
      <c r="U89" s="435"/>
      <c r="V89" s="436">
        <v>0</v>
      </c>
      <c r="W89" s="436">
        <v>0</v>
      </c>
      <c r="X89" s="436">
        <v>0</v>
      </c>
      <c r="Y89" s="436">
        <v>0</v>
      </c>
      <c r="Z89" s="436">
        <v>0</v>
      </c>
      <c r="AA89" s="437">
        <f t="shared" si="9"/>
        <v>0</v>
      </c>
      <c r="AB89" s="455">
        <f t="shared" si="15"/>
        <v>0</v>
      </c>
      <c r="AC89" s="455">
        <v>0</v>
      </c>
      <c r="AD89" s="466"/>
      <c r="AE89" s="438"/>
      <c r="AF89" s="439"/>
    </row>
    <row r="90" spans="2:32" hidden="1" x14ac:dyDescent="0.25">
      <c r="B90" s="1" t="s">
        <v>1524</v>
      </c>
      <c r="C90" s="387" t="s">
        <v>1368</v>
      </c>
      <c r="D90" s="387" t="s">
        <v>1115</v>
      </c>
      <c r="E90" s="441" t="s">
        <v>3258</v>
      </c>
      <c r="F90" s="407" t="s">
        <v>3201</v>
      </c>
      <c r="G90" s="407" t="s">
        <v>3950</v>
      </c>
      <c r="H90" s="407" t="s">
        <v>4110</v>
      </c>
      <c r="I90" s="407" t="s">
        <v>4584</v>
      </c>
      <c r="J90" s="407" t="s">
        <v>3874</v>
      </c>
      <c r="K90" s="407" t="s">
        <v>3496</v>
      </c>
      <c r="L90" s="442">
        <v>1.4726869999999999</v>
      </c>
      <c r="M90" s="387">
        <v>0</v>
      </c>
      <c r="N90" s="387">
        <f t="shared" si="14"/>
        <v>1.4726869999999999</v>
      </c>
      <c r="O90" s="442"/>
      <c r="P90" s="387" t="s">
        <v>5101</v>
      </c>
      <c r="Q90" s="443">
        <v>69.140824607895553</v>
      </c>
      <c r="R90" s="443"/>
      <c r="S90" s="459">
        <v>0</v>
      </c>
      <c r="T90" s="461">
        <f t="shared" si="12"/>
        <v>69.140824607895553</v>
      </c>
      <c r="U90" s="435"/>
      <c r="V90" s="436">
        <v>0</v>
      </c>
      <c r="W90" s="436">
        <v>0</v>
      </c>
      <c r="X90" s="436">
        <v>0</v>
      </c>
      <c r="Y90" s="436">
        <v>0</v>
      </c>
      <c r="Z90" s="436">
        <v>0</v>
      </c>
      <c r="AA90" s="437">
        <f t="shared" si="9"/>
        <v>0</v>
      </c>
      <c r="AB90" s="455">
        <f t="shared" si="15"/>
        <v>0</v>
      </c>
      <c r="AC90" s="455">
        <v>0</v>
      </c>
      <c r="AD90" s="466"/>
      <c r="AE90" s="438"/>
      <c r="AF90" s="439"/>
    </row>
    <row r="91" spans="2:32" hidden="1" x14ac:dyDescent="0.25">
      <c r="B91" s="1" t="s">
        <v>1525</v>
      </c>
      <c r="C91" s="387" t="s">
        <v>1368</v>
      </c>
      <c r="D91" s="387" t="s">
        <v>1115</v>
      </c>
      <c r="E91" s="441" t="s">
        <v>3259</v>
      </c>
      <c r="F91" s="407" t="s">
        <v>3201</v>
      </c>
      <c r="G91" s="407" t="s">
        <v>3951</v>
      </c>
      <c r="H91" s="407" t="s">
        <v>4110</v>
      </c>
      <c r="I91" s="407" t="s">
        <v>4585</v>
      </c>
      <c r="J91" s="407" t="s">
        <v>3875</v>
      </c>
      <c r="K91" s="407" t="s">
        <v>3497</v>
      </c>
      <c r="L91" s="442">
        <v>2.0607030000000002</v>
      </c>
      <c r="M91" s="387">
        <v>0</v>
      </c>
      <c r="N91" s="387">
        <f t="shared" si="14"/>
        <v>2.0607030000000002</v>
      </c>
      <c r="O91" s="442"/>
      <c r="P91" s="387" t="s">
        <v>5101</v>
      </c>
      <c r="Q91" s="443">
        <v>72.407079866014399</v>
      </c>
      <c r="R91" s="443"/>
      <c r="S91" s="459">
        <v>0</v>
      </c>
      <c r="T91" s="461">
        <f t="shared" si="12"/>
        <v>72.407079866014399</v>
      </c>
      <c r="U91" s="435"/>
      <c r="V91" s="436">
        <v>0</v>
      </c>
      <c r="W91" s="436">
        <v>0</v>
      </c>
      <c r="X91" s="436">
        <v>0</v>
      </c>
      <c r="Y91" s="436">
        <v>0</v>
      </c>
      <c r="Z91" s="436">
        <v>0</v>
      </c>
      <c r="AA91" s="437">
        <f t="shared" si="9"/>
        <v>0</v>
      </c>
      <c r="AB91" s="455">
        <f t="shared" si="15"/>
        <v>0</v>
      </c>
      <c r="AC91" s="455">
        <v>0</v>
      </c>
      <c r="AD91" s="466"/>
      <c r="AE91" s="438"/>
      <c r="AF91" s="439"/>
    </row>
    <row r="92" spans="2:32" hidden="1" x14ac:dyDescent="0.25">
      <c r="B92" s="1" t="s">
        <v>1526</v>
      </c>
      <c r="C92" s="387" t="s">
        <v>1368</v>
      </c>
      <c r="D92" s="387" t="s">
        <v>1115</v>
      </c>
      <c r="E92" s="441" t="s">
        <v>3260</v>
      </c>
      <c r="F92" s="407" t="s">
        <v>3201</v>
      </c>
      <c r="G92" s="407" t="s">
        <v>3952</v>
      </c>
      <c r="H92" s="407" t="s">
        <v>4110</v>
      </c>
      <c r="I92" s="407" t="s">
        <v>4586</v>
      </c>
      <c r="J92" s="407" t="s">
        <v>3876</v>
      </c>
      <c r="K92" s="407" t="s">
        <v>3498</v>
      </c>
      <c r="L92" s="442">
        <v>0.27152800000000005</v>
      </c>
      <c r="M92" s="387">
        <v>0</v>
      </c>
      <c r="N92" s="387">
        <f t="shared" si="14"/>
        <v>0.27152800000000005</v>
      </c>
      <c r="O92" s="442"/>
      <c r="P92" s="387" t="s">
        <v>5101</v>
      </c>
      <c r="Q92" s="443">
        <v>12.006263860985735</v>
      </c>
      <c r="R92" s="443"/>
      <c r="S92" s="459">
        <v>0</v>
      </c>
      <c r="T92" s="461">
        <f t="shared" si="12"/>
        <v>12.006263860985735</v>
      </c>
      <c r="U92" s="435"/>
      <c r="V92" s="436">
        <v>0</v>
      </c>
      <c r="W92" s="436">
        <v>0</v>
      </c>
      <c r="X92" s="436">
        <v>0</v>
      </c>
      <c r="Y92" s="436">
        <v>0</v>
      </c>
      <c r="Z92" s="436">
        <v>0</v>
      </c>
      <c r="AA92" s="437">
        <f t="shared" si="9"/>
        <v>0</v>
      </c>
      <c r="AB92" s="455">
        <f t="shared" si="15"/>
        <v>0</v>
      </c>
      <c r="AC92" s="455">
        <v>0</v>
      </c>
      <c r="AD92" s="466"/>
      <c r="AE92" s="438"/>
      <c r="AF92" s="439"/>
    </row>
    <row r="93" spans="2:32" hidden="1" x14ac:dyDescent="0.25">
      <c r="B93" s="1" t="s">
        <v>1527</v>
      </c>
      <c r="C93" s="387" t="s">
        <v>1368</v>
      </c>
      <c r="D93" s="387" t="s">
        <v>1115</v>
      </c>
      <c r="E93" s="441" t="s">
        <v>3261</v>
      </c>
      <c r="F93" s="407" t="s">
        <v>3201</v>
      </c>
      <c r="G93" s="407" t="s">
        <v>3953</v>
      </c>
      <c r="H93" s="407" t="s">
        <v>4110</v>
      </c>
      <c r="I93" s="407" t="s">
        <v>4587</v>
      </c>
      <c r="J93" s="407" t="s">
        <v>3877</v>
      </c>
      <c r="K93" s="407" t="s">
        <v>3499</v>
      </c>
      <c r="L93" s="442">
        <v>3.6742689999999998</v>
      </c>
      <c r="M93" s="387">
        <v>0</v>
      </c>
      <c r="N93" s="387">
        <f t="shared" si="14"/>
        <v>3.6742689999999998</v>
      </c>
      <c r="O93" s="442"/>
      <c r="P93" s="387" t="s">
        <v>5101</v>
      </c>
      <c r="Q93" s="443">
        <v>137.0674759765545</v>
      </c>
      <c r="R93" s="443"/>
      <c r="S93" s="459">
        <v>0</v>
      </c>
      <c r="T93" s="461">
        <f t="shared" si="12"/>
        <v>137.0674759765545</v>
      </c>
      <c r="U93" s="435"/>
      <c r="V93" s="436">
        <v>0</v>
      </c>
      <c r="W93" s="436">
        <v>0</v>
      </c>
      <c r="X93" s="436">
        <v>0</v>
      </c>
      <c r="Y93" s="436">
        <v>0</v>
      </c>
      <c r="Z93" s="436">
        <v>0</v>
      </c>
      <c r="AA93" s="437">
        <f t="shared" si="9"/>
        <v>0</v>
      </c>
      <c r="AB93" s="455">
        <f t="shared" si="15"/>
        <v>0</v>
      </c>
      <c r="AC93" s="455">
        <v>0</v>
      </c>
      <c r="AD93" s="466"/>
      <c r="AE93" s="438"/>
      <c r="AF93" s="439"/>
    </row>
    <row r="94" spans="2:32" hidden="1" x14ac:dyDescent="0.25">
      <c r="B94" s="1" t="s">
        <v>1528</v>
      </c>
      <c r="C94" s="387" t="s">
        <v>1368</v>
      </c>
      <c r="D94" s="387" t="s">
        <v>1115</v>
      </c>
      <c r="E94" s="441" t="s">
        <v>3262</v>
      </c>
      <c r="F94" s="407" t="s">
        <v>3201</v>
      </c>
      <c r="G94" s="407" t="s">
        <v>3954</v>
      </c>
      <c r="H94" s="407" t="s">
        <v>4110</v>
      </c>
      <c r="I94" s="407" t="s">
        <v>4588</v>
      </c>
      <c r="J94" s="407" t="s">
        <v>3878</v>
      </c>
      <c r="K94" s="407" t="s">
        <v>3500</v>
      </c>
      <c r="L94" s="442">
        <v>0.71402700000000008</v>
      </c>
      <c r="M94" s="387">
        <v>0</v>
      </c>
      <c r="N94" s="387">
        <f t="shared" si="14"/>
        <v>0.71402700000000008</v>
      </c>
      <c r="O94" s="442"/>
      <c r="P94" s="387" t="s">
        <v>5101</v>
      </c>
      <c r="Q94" s="443">
        <v>33.088585354060676</v>
      </c>
      <c r="R94" s="443"/>
      <c r="S94" s="459">
        <v>0</v>
      </c>
      <c r="T94" s="461">
        <f t="shared" si="12"/>
        <v>33.088585354060676</v>
      </c>
      <c r="U94" s="435"/>
      <c r="V94" s="436">
        <v>0</v>
      </c>
      <c r="W94" s="436">
        <v>0</v>
      </c>
      <c r="X94" s="436">
        <v>0</v>
      </c>
      <c r="Y94" s="436">
        <v>0</v>
      </c>
      <c r="Z94" s="436">
        <v>0</v>
      </c>
      <c r="AA94" s="437">
        <f t="shared" si="9"/>
        <v>0</v>
      </c>
      <c r="AB94" s="455">
        <f t="shared" si="15"/>
        <v>0</v>
      </c>
      <c r="AC94" s="455">
        <v>0</v>
      </c>
      <c r="AD94" s="466"/>
      <c r="AE94" s="438"/>
      <c r="AF94" s="439"/>
    </row>
    <row r="95" spans="2:32" hidden="1" x14ac:dyDescent="0.25">
      <c r="B95" s="1" t="s">
        <v>1529</v>
      </c>
      <c r="C95" s="387" t="s">
        <v>1368</v>
      </c>
      <c r="D95" s="387" t="s">
        <v>1115</v>
      </c>
      <c r="E95" s="441" t="s">
        <v>3263</v>
      </c>
      <c r="F95" s="407" t="s">
        <v>3201</v>
      </c>
      <c r="G95" s="407" t="s">
        <v>3955</v>
      </c>
      <c r="H95" s="407" t="s">
        <v>4110</v>
      </c>
      <c r="I95" s="407" t="s">
        <v>4589</v>
      </c>
      <c r="J95" s="407" t="s">
        <v>3879</v>
      </c>
      <c r="K95" s="407" t="s">
        <v>3501</v>
      </c>
      <c r="L95" s="442">
        <v>3.1185169999999993</v>
      </c>
      <c r="M95" s="387">
        <v>0</v>
      </c>
      <c r="N95" s="387">
        <f t="shared" si="14"/>
        <v>3.1185169999999993</v>
      </c>
      <c r="O95" s="442"/>
      <c r="P95" s="387" t="s">
        <v>5101</v>
      </c>
      <c r="Q95" s="443">
        <v>109.75772261025718</v>
      </c>
      <c r="R95" s="443"/>
      <c r="S95" s="459">
        <v>0</v>
      </c>
      <c r="T95" s="461">
        <v>335</v>
      </c>
      <c r="U95" s="435"/>
      <c r="V95" s="436">
        <v>1</v>
      </c>
      <c r="W95" s="436">
        <v>0.95</v>
      </c>
      <c r="X95" s="436">
        <v>0.95</v>
      </c>
      <c r="Y95" s="436">
        <v>0.3</v>
      </c>
      <c r="Z95" s="436">
        <v>0</v>
      </c>
      <c r="AA95" s="437">
        <f t="shared" si="9"/>
        <v>0.9225000000000001</v>
      </c>
      <c r="AB95" s="455">
        <f t="shared" si="15"/>
        <v>309.03750000000002</v>
      </c>
      <c r="AC95" s="455">
        <v>0</v>
      </c>
      <c r="AD95" s="466"/>
      <c r="AE95" s="438"/>
      <c r="AF95" s="439"/>
    </row>
    <row r="96" spans="2:32" ht="26.25" hidden="1" x14ac:dyDescent="0.25">
      <c r="B96" s="1" t="s">
        <v>1530</v>
      </c>
      <c r="C96" s="387" t="s">
        <v>1368</v>
      </c>
      <c r="D96" s="387" t="s">
        <v>1115</v>
      </c>
      <c r="E96" s="441" t="s">
        <v>3264</v>
      </c>
      <c r="F96" s="407" t="s">
        <v>3201</v>
      </c>
      <c r="G96" s="407" t="s">
        <v>3956</v>
      </c>
      <c r="H96" s="407" t="s">
        <v>4110</v>
      </c>
      <c r="I96" s="407" t="s">
        <v>4590</v>
      </c>
      <c r="J96" s="407" t="s">
        <v>3880</v>
      </c>
      <c r="K96" s="407" t="s">
        <v>3502</v>
      </c>
      <c r="L96" s="442">
        <v>0.20604500000000001</v>
      </c>
      <c r="M96" s="387">
        <v>0</v>
      </c>
      <c r="N96" s="387">
        <f t="shared" si="14"/>
        <v>0.20604500000000001</v>
      </c>
      <c r="O96" s="442"/>
      <c r="P96" s="387" t="s">
        <v>5101</v>
      </c>
      <c r="Q96" s="443">
        <v>9.1107754531275056</v>
      </c>
      <c r="R96" s="443"/>
      <c r="S96" s="459">
        <v>0</v>
      </c>
      <c r="T96" s="461">
        <v>175.78100000000001</v>
      </c>
      <c r="U96" s="435"/>
      <c r="V96" s="436">
        <v>1</v>
      </c>
      <c r="W96" s="436">
        <v>0.65</v>
      </c>
      <c r="X96" s="436">
        <v>0.6</v>
      </c>
      <c r="Y96" s="436">
        <v>0.15</v>
      </c>
      <c r="Z96" s="436">
        <v>0</v>
      </c>
      <c r="AA96" s="437">
        <f t="shared" si="9"/>
        <v>0.63749999999999996</v>
      </c>
      <c r="AB96" s="455">
        <f t="shared" si="15"/>
        <v>112.0603875</v>
      </c>
      <c r="AC96" s="455">
        <v>0</v>
      </c>
      <c r="AD96" s="466"/>
      <c r="AE96" s="438"/>
      <c r="AF96" s="439" t="s">
        <v>5023</v>
      </c>
    </row>
    <row r="97" spans="2:32" hidden="1" x14ac:dyDescent="0.25">
      <c r="B97" s="1" t="s">
        <v>1531</v>
      </c>
      <c r="C97" s="387" t="s">
        <v>1368</v>
      </c>
      <c r="D97" s="387" t="s">
        <v>1115</v>
      </c>
      <c r="E97" s="441" t="s">
        <v>3265</v>
      </c>
      <c r="F97" s="407" t="s">
        <v>3201</v>
      </c>
      <c r="G97" s="407" t="s">
        <v>3957</v>
      </c>
      <c r="H97" s="407" t="s">
        <v>4110</v>
      </c>
      <c r="I97" s="407" t="s">
        <v>4591</v>
      </c>
      <c r="J97" s="407" t="s">
        <v>3881</v>
      </c>
      <c r="K97" s="407" t="s">
        <v>3503</v>
      </c>
      <c r="L97" s="442">
        <v>3.0154899999999998</v>
      </c>
      <c r="M97" s="387">
        <v>0</v>
      </c>
      <c r="N97" s="387">
        <f t="shared" si="14"/>
        <v>3.0154899999999998</v>
      </c>
      <c r="O97" s="442"/>
      <c r="P97" s="387" t="s">
        <v>5101</v>
      </c>
      <c r="Q97" s="443">
        <v>96.178822062642709</v>
      </c>
      <c r="R97" s="443"/>
      <c r="S97" s="459">
        <v>0</v>
      </c>
      <c r="T97" s="461">
        <f t="shared" si="12"/>
        <v>96.178822062642709</v>
      </c>
      <c r="U97" s="435"/>
      <c r="V97" s="436">
        <v>0</v>
      </c>
      <c r="W97" s="436">
        <v>0</v>
      </c>
      <c r="X97" s="436">
        <v>0</v>
      </c>
      <c r="Y97" s="436">
        <v>0</v>
      </c>
      <c r="Z97" s="436">
        <v>0</v>
      </c>
      <c r="AA97" s="437">
        <f t="shared" si="9"/>
        <v>0</v>
      </c>
      <c r="AB97" s="455">
        <f t="shared" si="15"/>
        <v>0</v>
      </c>
      <c r="AC97" s="455">
        <v>0</v>
      </c>
      <c r="AD97" s="466"/>
      <c r="AE97" s="438"/>
      <c r="AF97" s="439"/>
    </row>
    <row r="98" spans="2:32" hidden="1" x14ac:dyDescent="0.25">
      <c r="B98" s="1" t="s">
        <v>1532</v>
      </c>
      <c r="C98" s="387" t="s">
        <v>1368</v>
      </c>
      <c r="D98" s="387" t="s">
        <v>1115</v>
      </c>
      <c r="E98" s="441" t="s">
        <v>3266</v>
      </c>
      <c r="F98" s="407" t="s">
        <v>3201</v>
      </c>
      <c r="G98" s="407" t="s">
        <v>3958</v>
      </c>
      <c r="H98" s="407" t="s">
        <v>4110</v>
      </c>
      <c r="I98" s="407" t="s">
        <v>4592</v>
      </c>
      <c r="J98" s="407" t="s">
        <v>3882</v>
      </c>
      <c r="K98" s="407" t="s">
        <v>3504</v>
      </c>
      <c r="L98" s="442">
        <v>2.3848839999999996</v>
      </c>
      <c r="M98" s="387">
        <v>0</v>
      </c>
      <c r="N98" s="387">
        <f t="shared" si="14"/>
        <v>2.3848839999999996</v>
      </c>
      <c r="O98" s="442"/>
      <c r="P98" s="387" t="s">
        <v>5101</v>
      </c>
      <c r="Q98" s="443">
        <v>111.41767552794271</v>
      </c>
      <c r="R98" s="443"/>
      <c r="S98" s="459">
        <v>0</v>
      </c>
      <c r="T98" s="461">
        <f t="shared" si="12"/>
        <v>111.41767552794271</v>
      </c>
      <c r="U98" s="435"/>
      <c r="V98" s="436">
        <v>0</v>
      </c>
      <c r="W98" s="436">
        <v>0</v>
      </c>
      <c r="X98" s="436">
        <v>0</v>
      </c>
      <c r="Y98" s="436">
        <v>0</v>
      </c>
      <c r="Z98" s="436">
        <v>0</v>
      </c>
      <c r="AA98" s="437">
        <f t="shared" si="9"/>
        <v>0</v>
      </c>
      <c r="AB98" s="455">
        <f t="shared" si="15"/>
        <v>0</v>
      </c>
      <c r="AC98" s="455">
        <v>0</v>
      </c>
      <c r="AD98" s="466"/>
      <c r="AE98" s="438"/>
      <c r="AF98" s="439"/>
    </row>
    <row r="99" spans="2:32" hidden="1" x14ac:dyDescent="0.25">
      <c r="B99" s="1" t="s">
        <v>1533</v>
      </c>
      <c r="C99" s="387" t="s">
        <v>1368</v>
      </c>
      <c r="D99" s="387" t="s">
        <v>1115</v>
      </c>
      <c r="E99" s="441" t="s">
        <v>3267</v>
      </c>
      <c r="F99" s="407" t="s">
        <v>3201</v>
      </c>
      <c r="G99" s="407" t="s">
        <v>3959</v>
      </c>
      <c r="H99" s="407" t="s">
        <v>4110</v>
      </c>
      <c r="I99" s="407" t="s">
        <v>4593</v>
      </c>
      <c r="J99" s="407" t="s">
        <v>3883</v>
      </c>
      <c r="K99" s="407" t="s">
        <v>3505</v>
      </c>
      <c r="L99" s="442">
        <v>3.4846570000000012</v>
      </c>
      <c r="M99" s="387">
        <v>0</v>
      </c>
      <c r="N99" s="387">
        <f t="shared" si="14"/>
        <v>3.4846570000000012</v>
      </c>
      <c r="O99" s="442"/>
      <c r="P99" s="387" t="s">
        <v>5101</v>
      </c>
      <c r="Q99" s="443">
        <v>127.68428664444333</v>
      </c>
      <c r="R99" s="443"/>
      <c r="S99" s="459">
        <v>0</v>
      </c>
      <c r="T99" s="461">
        <f t="shared" si="12"/>
        <v>127.68428664444333</v>
      </c>
      <c r="U99" s="435"/>
      <c r="V99" s="436">
        <v>0</v>
      </c>
      <c r="W99" s="436">
        <v>0</v>
      </c>
      <c r="X99" s="436">
        <v>0</v>
      </c>
      <c r="Y99" s="436">
        <v>0</v>
      </c>
      <c r="Z99" s="436">
        <v>0</v>
      </c>
      <c r="AA99" s="437">
        <f t="shared" si="9"/>
        <v>0</v>
      </c>
      <c r="AB99" s="455">
        <f t="shared" si="15"/>
        <v>0</v>
      </c>
      <c r="AC99" s="455">
        <v>0</v>
      </c>
      <c r="AD99" s="466"/>
      <c r="AE99" s="438"/>
      <c r="AF99" s="439"/>
    </row>
    <row r="100" spans="2:32" hidden="1" x14ac:dyDescent="0.25">
      <c r="B100" s="1" t="s">
        <v>1534</v>
      </c>
      <c r="C100" s="387" t="s">
        <v>1368</v>
      </c>
      <c r="D100" s="387" t="s">
        <v>1115</v>
      </c>
      <c r="E100" s="441" t="s">
        <v>3268</v>
      </c>
      <c r="F100" s="407" t="s">
        <v>3201</v>
      </c>
      <c r="G100" s="407" t="s">
        <v>3960</v>
      </c>
      <c r="H100" s="407" t="s">
        <v>4110</v>
      </c>
      <c r="I100" s="407" t="s">
        <v>4594</v>
      </c>
      <c r="J100" s="407" t="s">
        <v>3884</v>
      </c>
      <c r="K100" s="407" t="s">
        <v>3506</v>
      </c>
      <c r="L100" s="442">
        <v>2.0658810000000001</v>
      </c>
      <c r="M100" s="387">
        <v>0</v>
      </c>
      <c r="N100" s="387">
        <f t="shared" si="14"/>
        <v>2.0658810000000001</v>
      </c>
      <c r="O100" s="442"/>
      <c r="P100" s="387" t="s">
        <v>5101</v>
      </c>
      <c r="Q100" s="443">
        <v>97.968013463857375</v>
      </c>
      <c r="R100" s="443"/>
      <c r="S100" s="459">
        <v>0</v>
      </c>
      <c r="T100" s="461">
        <f t="shared" si="12"/>
        <v>97.968013463857375</v>
      </c>
      <c r="U100" s="435"/>
      <c r="V100" s="436">
        <v>0</v>
      </c>
      <c r="W100" s="436">
        <v>0</v>
      </c>
      <c r="X100" s="436">
        <v>0</v>
      </c>
      <c r="Y100" s="436">
        <v>0</v>
      </c>
      <c r="Z100" s="436">
        <v>0</v>
      </c>
      <c r="AA100" s="437">
        <f t="shared" si="9"/>
        <v>0</v>
      </c>
      <c r="AB100" s="455">
        <f t="shared" si="15"/>
        <v>0</v>
      </c>
      <c r="AC100" s="455">
        <v>0</v>
      </c>
      <c r="AD100" s="466"/>
      <c r="AE100" s="438"/>
      <c r="AF100" s="439"/>
    </row>
    <row r="101" spans="2:32" hidden="1" x14ac:dyDescent="0.25">
      <c r="B101" s="1" t="s">
        <v>1535</v>
      </c>
      <c r="C101" s="387" t="s">
        <v>1368</v>
      </c>
      <c r="D101" s="387" t="s">
        <v>1115</v>
      </c>
      <c r="E101" s="441" t="s">
        <v>3269</v>
      </c>
      <c r="F101" s="407" t="s">
        <v>3201</v>
      </c>
      <c r="G101" s="407" t="s">
        <v>3961</v>
      </c>
      <c r="H101" s="407" t="s">
        <v>4110</v>
      </c>
      <c r="I101" s="407" t="s">
        <v>4595</v>
      </c>
      <c r="J101" s="407" t="s">
        <v>3885</v>
      </c>
      <c r="K101" s="407" t="s">
        <v>3507</v>
      </c>
      <c r="L101" s="442">
        <v>3.3348330000000006</v>
      </c>
      <c r="M101" s="387">
        <v>0</v>
      </c>
      <c r="N101" s="387">
        <f t="shared" si="14"/>
        <v>3.3348330000000006</v>
      </c>
      <c r="O101" s="442"/>
      <c r="P101" s="387" t="s">
        <v>5101</v>
      </c>
      <c r="Q101" s="443">
        <v>111.69567107199444</v>
      </c>
      <c r="R101" s="443"/>
      <c r="S101" s="459">
        <v>0</v>
      </c>
      <c r="T101" s="461">
        <f t="shared" si="12"/>
        <v>111.69567107199444</v>
      </c>
      <c r="U101" s="435"/>
      <c r="V101" s="436">
        <v>0</v>
      </c>
      <c r="W101" s="436">
        <v>0</v>
      </c>
      <c r="X101" s="436">
        <v>0</v>
      </c>
      <c r="Y101" s="436">
        <v>0</v>
      </c>
      <c r="Z101" s="436">
        <v>0</v>
      </c>
      <c r="AA101" s="437">
        <f t="shared" si="9"/>
        <v>0</v>
      </c>
      <c r="AB101" s="455">
        <f t="shared" si="15"/>
        <v>0</v>
      </c>
      <c r="AC101" s="455">
        <v>0</v>
      </c>
      <c r="AD101" s="466"/>
      <c r="AE101" s="438"/>
      <c r="AF101" s="439"/>
    </row>
    <row r="102" spans="2:32" hidden="1" x14ac:dyDescent="0.25">
      <c r="B102" s="1" t="s">
        <v>1536</v>
      </c>
      <c r="C102" s="387" t="s">
        <v>1368</v>
      </c>
      <c r="D102" s="387" t="s">
        <v>1115</v>
      </c>
      <c r="E102" s="441" t="s">
        <v>3270</v>
      </c>
      <c r="F102" s="407" t="s">
        <v>3201</v>
      </c>
      <c r="G102" s="407" t="s">
        <v>3962</v>
      </c>
      <c r="H102" s="407" t="s">
        <v>4110</v>
      </c>
      <c r="I102" s="407" t="s">
        <v>4596</v>
      </c>
      <c r="J102" s="407" t="s">
        <v>3886</v>
      </c>
      <c r="K102" s="407" t="s">
        <v>3508</v>
      </c>
      <c r="L102" s="442">
        <v>0.62988199999999994</v>
      </c>
      <c r="M102" s="387">
        <v>0</v>
      </c>
      <c r="N102" s="387">
        <f t="shared" si="14"/>
        <v>0.62988199999999994</v>
      </c>
      <c r="O102" s="442"/>
      <c r="P102" s="387" t="s">
        <v>5101</v>
      </c>
      <c r="Q102" s="443">
        <v>29.079761300794047</v>
      </c>
      <c r="R102" s="443"/>
      <c r="S102" s="459">
        <v>0</v>
      </c>
      <c r="T102" s="461">
        <f t="shared" si="12"/>
        <v>29.079761300794047</v>
      </c>
      <c r="U102" s="435"/>
      <c r="V102" s="436">
        <v>0</v>
      </c>
      <c r="W102" s="436">
        <v>0</v>
      </c>
      <c r="X102" s="436">
        <v>0</v>
      </c>
      <c r="Y102" s="436">
        <v>0</v>
      </c>
      <c r="Z102" s="436">
        <v>0</v>
      </c>
      <c r="AA102" s="437">
        <f t="shared" si="9"/>
        <v>0</v>
      </c>
      <c r="AB102" s="455">
        <f t="shared" si="15"/>
        <v>0</v>
      </c>
      <c r="AC102" s="455">
        <v>0</v>
      </c>
      <c r="AD102" s="466"/>
      <c r="AE102" s="438"/>
      <c r="AF102" s="439"/>
    </row>
    <row r="103" spans="2:32" hidden="1" x14ac:dyDescent="0.25">
      <c r="B103" s="1" t="s">
        <v>1537</v>
      </c>
      <c r="C103" s="387" t="s">
        <v>1368</v>
      </c>
      <c r="D103" s="387" t="s">
        <v>1115</v>
      </c>
      <c r="E103" s="441" t="s">
        <v>3271</v>
      </c>
      <c r="F103" s="407" t="s">
        <v>3201</v>
      </c>
      <c r="G103" s="407" t="s">
        <v>3963</v>
      </c>
      <c r="H103" s="407" t="s">
        <v>4110</v>
      </c>
      <c r="I103" s="407" t="s">
        <v>4597</v>
      </c>
      <c r="J103" s="407" t="s">
        <v>3887</v>
      </c>
      <c r="K103" s="407" t="s">
        <v>3509</v>
      </c>
      <c r="L103" s="442">
        <v>3.261848000000001</v>
      </c>
      <c r="M103" s="387">
        <v>0</v>
      </c>
      <c r="N103" s="387">
        <f t="shared" si="14"/>
        <v>3.261848000000001</v>
      </c>
      <c r="O103" s="442"/>
      <c r="P103" s="387" t="s">
        <v>5101</v>
      </c>
      <c r="Q103" s="443">
        <v>117.35043716763656</v>
      </c>
      <c r="R103" s="443"/>
      <c r="S103" s="459">
        <v>0</v>
      </c>
      <c r="T103" s="461">
        <f t="shared" si="12"/>
        <v>117.35043716763656</v>
      </c>
      <c r="U103" s="435"/>
      <c r="V103" s="436">
        <v>0</v>
      </c>
      <c r="W103" s="436">
        <v>0</v>
      </c>
      <c r="X103" s="436">
        <v>0</v>
      </c>
      <c r="Y103" s="436">
        <v>0</v>
      </c>
      <c r="Z103" s="436">
        <v>0</v>
      </c>
      <c r="AA103" s="437">
        <f t="shared" si="9"/>
        <v>0</v>
      </c>
      <c r="AB103" s="455">
        <f t="shared" si="15"/>
        <v>0</v>
      </c>
      <c r="AC103" s="455">
        <v>0</v>
      </c>
      <c r="AD103" s="466"/>
      <c r="AE103" s="438"/>
      <c r="AF103" s="439"/>
    </row>
    <row r="104" spans="2:32" hidden="1" x14ac:dyDescent="0.25">
      <c r="B104" s="1" t="s">
        <v>1538</v>
      </c>
      <c r="C104" s="387" t="s">
        <v>1368</v>
      </c>
      <c r="D104" s="387" t="s">
        <v>1115</v>
      </c>
      <c r="E104" s="441" t="s">
        <v>3272</v>
      </c>
      <c r="F104" s="407" t="s">
        <v>3201</v>
      </c>
      <c r="G104" s="407" t="s">
        <v>3964</v>
      </c>
      <c r="H104" s="407" t="s">
        <v>4110</v>
      </c>
      <c r="I104" s="407" t="s">
        <v>4598</v>
      </c>
      <c r="J104" s="407" t="s">
        <v>3888</v>
      </c>
      <c r="K104" s="407" t="s">
        <v>3510</v>
      </c>
      <c r="L104" s="442">
        <v>0.41516399999999998</v>
      </c>
      <c r="M104" s="387">
        <v>0</v>
      </c>
      <c r="N104" s="387">
        <f t="shared" si="14"/>
        <v>0.41516399999999998</v>
      </c>
      <c r="O104" s="442"/>
      <c r="P104" s="387" t="s">
        <v>5101</v>
      </c>
      <c r="Q104" s="443">
        <v>19.440911889223358</v>
      </c>
      <c r="R104" s="443"/>
      <c r="S104" s="459">
        <v>0</v>
      </c>
      <c r="T104" s="461">
        <f t="shared" si="12"/>
        <v>19.440911889223358</v>
      </c>
      <c r="U104" s="435"/>
      <c r="V104" s="436">
        <v>0</v>
      </c>
      <c r="W104" s="436">
        <v>0</v>
      </c>
      <c r="X104" s="436">
        <v>0</v>
      </c>
      <c r="Y104" s="436">
        <v>0</v>
      </c>
      <c r="Z104" s="436">
        <v>0</v>
      </c>
      <c r="AA104" s="437">
        <f t="shared" si="9"/>
        <v>0</v>
      </c>
      <c r="AB104" s="455">
        <f t="shared" si="15"/>
        <v>0</v>
      </c>
      <c r="AC104" s="455">
        <v>0</v>
      </c>
      <c r="AD104" s="466"/>
      <c r="AE104" s="438"/>
      <c r="AF104" s="439"/>
    </row>
    <row r="105" spans="2:32" hidden="1" x14ac:dyDescent="0.25">
      <c r="B105" s="1" t="s">
        <v>1539</v>
      </c>
      <c r="C105" s="387" t="s">
        <v>1368</v>
      </c>
      <c r="D105" s="387" t="s">
        <v>1115</v>
      </c>
      <c r="E105" s="441" t="s">
        <v>3273</v>
      </c>
      <c r="F105" s="407" t="s">
        <v>3201</v>
      </c>
      <c r="G105" s="407" t="s">
        <v>3965</v>
      </c>
      <c r="H105" s="407" t="s">
        <v>4110</v>
      </c>
      <c r="I105" s="407" t="s">
        <v>4599</v>
      </c>
      <c r="J105" s="407" t="s">
        <v>3889</v>
      </c>
      <c r="K105" s="407" t="s">
        <v>3511</v>
      </c>
      <c r="L105" s="442">
        <v>2.6467029999999991</v>
      </c>
      <c r="M105" s="387">
        <v>0</v>
      </c>
      <c r="N105" s="387">
        <f t="shared" si="14"/>
        <v>2.6467029999999991</v>
      </c>
      <c r="O105" s="442"/>
      <c r="P105" s="387" t="s">
        <v>5101</v>
      </c>
      <c r="Q105" s="443">
        <v>89.404556990744098</v>
      </c>
      <c r="R105" s="443"/>
      <c r="S105" s="459">
        <v>0</v>
      </c>
      <c r="T105" s="461">
        <f t="shared" si="12"/>
        <v>89.404556990744098</v>
      </c>
      <c r="U105" s="435"/>
      <c r="V105" s="436">
        <v>1</v>
      </c>
      <c r="W105" s="436">
        <v>1</v>
      </c>
      <c r="X105" s="436">
        <v>1</v>
      </c>
      <c r="Y105" s="436">
        <v>1</v>
      </c>
      <c r="Z105" s="436">
        <v>0</v>
      </c>
      <c r="AA105" s="437">
        <f t="shared" si="9"/>
        <v>1.0000000000000002</v>
      </c>
      <c r="AB105" s="455">
        <f t="shared" si="15"/>
        <v>89.404556990744112</v>
      </c>
      <c r="AC105" s="455">
        <v>0</v>
      </c>
      <c r="AD105" s="466"/>
      <c r="AE105" s="438"/>
      <c r="AF105" s="439"/>
    </row>
    <row r="106" spans="2:32" hidden="1" x14ac:dyDescent="0.25">
      <c r="B106" s="1" t="s">
        <v>1540</v>
      </c>
      <c r="C106" s="387" t="s">
        <v>1368</v>
      </c>
      <c r="D106" s="387" t="s">
        <v>1115</v>
      </c>
      <c r="E106" s="441" t="s">
        <v>3274</v>
      </c>
      <c r="F106" s="407" t="s">
        <v>3201</v>
      </c>
      <c r="G106" s="407" t="s">
        <v>3966</v>
      </c>
      <c r="H106" s="407" t="s">
        <v>4110</v>
      </c>
      <c r="I106" s="407" t="s">
        <v>4600</v>
      </c>
      <c r="J106" s="407" t="s">
        <v>3890</v>
      </c>
      <c r="K106" s="407" t="s">
        <v>3512</v>
      </c>
      <c r="L106" s="442">
        <v>0.198708</v>
      </c>
      <c r="M106" s="387">
        <v>0</v>
      </c>
      <c r="N106" s="387">
        <f t="shared" si="14"/>
        <v>0.198708</v>
      </c>
      <c r="O106" s="442"/>
      <c r="P106" s="387" t="s">
        <v>5101</v>
      </c>
      <c r="Q106" s="443">
        <v>10.207086594006341</v>
      </c>
      <c r="R106" s="443"/>
      <c r="S106" s="459">
        <v>0</v>
      </c>
      <c r="T106" s="461">
        <f t="shared" si="12"/>
        <v>10.207086594006341</v>
      </c>
      <c r="U106" s="435"/>
      <c r="V106" s="436">
        <v>0</v>
      </c>
      <c r="W106" s="436">
        <v>0</v>
      </c>
      <c r="X106" s="436">
        <v>0</v>
      </c>
      <c r="Y106" s="436">
        <v>0</v>
      </c>
      <c r="Z106" s="436">
        <v>0</v>
      </c>
      <c r="AA106" s="437">
        <f t="shared" si="9"/>
        <v>0</v>
      </c>
      <c r="AB106" s="455">
        <f t="shared" si="15"/>
        <v>0</v>
      </c>
      <c r="AC106" s="455">
        <v>0</v>
      </c>
      <c r="AD106" s="466"/>
      <c r="AE106" s="438"/>
      <c r="AF106" s="439"/>
    </row>
    <row r="107" spans="2:32" hidden="1" x14ac:dyDescent="0.25">
      <c r="B107" s="1" t="s">
        <v>1541</v>
      </c>
      <c r="C107" s="387" t="s">
        <v>1368</v>
      </c>
      <c r="D107" s="387" t="s">
        <v>1115</v>
      </c>
      <c r="E107" s="441" t="s">
        <v>3275</v>
      </c>
      <c r="F107" s="407" t="s">
        <v>3201</v>
      </c>
      <c r="G107" s="407" t="s">
        <v>3967</v>
      </c>
      <c r="H107" s="407" t="s">
        <v>4109</v>
      </c>
      <c r="I107" s="407" t="s">
        <v>4157</v>
      </c>
      <c r="J107" s="407" t="s">
        <v>3891</v>
      </c>
      <c r="K107" s="407" t="s">
        <v>3513</v>
      </c>
      <c r="L107" s="442">
        <v>18.02898200000002</v>
      </c>
      <c r="M107" s="387">
        <v>0</v>
      </c>
      <c r="N107" s="387">
        <f t="shared" si="14"/>
        <v>18.02898200000002</v>
      </c>
      <c r="O107" s="442"/>
      <c r="P107" s="387" t="s">
        <v>5101</v>
      </c>
      <c r="Q107" s="443">
        <v>729.47023602772811</v>
      </c>
      <c r="R107" s="443"/>
      <c r="S107" s="459">
        <v>0</v>
      </c>
      <c r="T107" s="461">
        <f t="shared" si="12"/>
        <v>729.47023602772811</v>
      </c>
      <c r="U107" s="435"/>
      <c r="V107" s="436">
        <v>0</v>
      </c>
      <c r="W107" s="436">
        <v>0</v>
      </c>
      <c r="X107" s="436">
        <v>0</v>
      </c>
      <c r="Y107" s="436">
        <v>0</v>
      </c>
      <c r="Z107" s="436">
        <v>0</v>
      </c>
      <c r="AA107" s="437">
        <f t="shared" si="9"/>
        <v>0</v>
      </c>
      <c r="AB107" s="455">
        <f t="shared" si="15"/>
        <v>0</v>
      </c>
      <c r="AC107" s="455">
        <v>0</v>
      </c>
      <c r="AD107" s="466"/>
      <c r="AE107" s="438"/>
      <c r="AF107" s="439"/>
    </row>
    <row r="108" spans="2:32" hidden="1" x14ac:dyDescent="0.25">
      <c r="B108" s="1" t="s">
        <v>1542</v>
      </c>
      <c r="C108" s="387" t="s">
        <v>1368</v>
      </c>
      <c r="D108" s="387" t="s">
        <v>1115</v>
      </c>
      <c r="E108" s="441" t="s">
        <v>3276</v>
      </c>
      <c r="F108" s="407" t="s">
        <v>3201</v>
      </c>
      <c r="G108" s="407" t="s">
        <v>3968</v>
      </c>
      <c r="H108" s="407" t="s">
        <v>4110</v>
      </c>
      <c r="I108" s="407" t="s">
        <v>4601</v>
      </c>
      <c r="J108" s="407" t="s">
        <v>3892</v>
      </c>
      <c r="K108" s="407" t="s">
        <v>3514</v>
      </c>
      <c r="L108" s="442">
        <v>6.215130000000002</v>
      </c>
      <c r="M108" s="387">
        <v>0</v>
      </c>
      <c r="N108" s="387">
        <f t="shared" si="14"/>
        <v>6.215130000000002</v>
      </c>
      <c r="O108" s="442"/>
      <c r="P108" s="387" t="s">
        <v>5101</v>
      </c>
      <c r="Q108" s="443">
        <v>267.19044585029951</v>
      </c>
      <c r="R108" s="443"/>
      <c r="S108" s="459">
        <v>0</v>
      </c>
      <c r="T108" s="461">
        <f t="shared" si="12"/>
        <v>267.19044585029951</v>
      </c>
      <c r="U108" s="435"/>
      <c r="V108" s="436">
        <v>0</v>
      </c>
      <c r="W108" s="436">
        <v>0</v>
      </c>
      <c r="X108" s="436">
        <v>0</v>
      </c>
      <c r="Y108" s="436">
        <v>0</v>
      </c>
      <c r="Z108" s="436">
        <v>0</v>
      </c>
      <c r="AA108" s="437">
        <f t="shared" si="9"/>
        <v>0</v>
      </c>
      <c r="AB108" s="455">
        <f t="shared" si="15"/>
        <v>0</v>
      </c>
      <c r="AC108" s="455">
        <v>0</v>
      </c>
      <c r="AD108" s="466"/>
      <c r="AE108" s="438"/>
      <c r="AF108" s="439"/>
    </row>
    <row r="109" spans="2:32" hidden="1" x14ac:dyDescent="0.25">
      <c r="B109" s="1" t="s">
        <v>1543</v>
      </c>
      <c r="C109" s="387" t="s">
        <v>1368</v>
      </c>
      <c r="D109" s="387" t="s">
        <v>1115</v>
      </c>
      <c r="E109" s="441" t="s">
        <v>3277</v>
      </c>
      <c r="F109" s="407" t="s">
        <v>3201</v>
      </c>
      <c r="G109" s="407" t="s">
        <v>3969</v>
      </c>
      <c r="H109" s="407" t="s">
        <v>4110</v>
      </c>
      <c r="I109" s="407" t="s">
        <v>4602</v>
      </c>
      <c r="J109" s="407" t="s">
        <v>3893</v>
      </c>
      <c r="K109" s="407" t="s">
        <v>3515</v>
      </c>
      <c r="L109" s="442">
        <v>0.98784299999999992</v>
      </c>
      <c r="M109" s="387">
        <v>0</v>
      </c>
      <c r="N109" s="387">
        <f t="shared" si="14"/>
        <v>0.98784299999999992</v>
      </c>
      <c r="O109" s="442"/>
      <c r="P109" s="387" t="s">
        <v>5101</v>
      </c>
      <c r="Q109" s="443">
        <v>47.248722998141048</v>
      </c>
      <c r="R109" s="443"/>
      <c r="S109" s="459">
        <v>0</v>
      </c>
      <c r="T109" s="461">
        <f t="shared" si="12"/>
        <v>47.248722998141048</v>
      </c>
      <c r="U109" s="435"/>
      <c r="V109" s="436">
        <v>0</v>
      </c>
      <c r="W109" s="436">
        <v>0</v>
      </c>
      <c r="X109" s="436">
        <v>0</v>
      </c>
      <c r="Y109" s="436">
        <v>0</v>
      </c>
      <c r="Z109" s="436">
        <v>0</v>
      </c>
      <c r="AA109" s="437">
        <f t="shared" si="9"/>
        <v>0</v>
      </c>
      <c r="AB109" s="455">
        <f t="shared" si="15"/>
        <v>0</v>
      </c>
      <c r="AC109" s="455">
        <v>0</v>
      </c>
      <c r="AD109" s="466"/>
      <c r="AE109" s="438"/>
      <c r="AF109" s="439"/>
    </row>
    <row r="110" spans="2:32" ht="26.25" hidden="1" x14ac:dyDescent="0.25">
      <c r="B110" s="1" t="s">
        <v>1544</v>
      </c>
      <c r="C110" s="387" t="s">
        <v>1368</v>
      </c>
      <c r="D110" s="387" t="s">
        <v>1115</v>
      </c>
      <c r="E110" s="441" t="s">
        <v>3278</v>
      </c>
      <c r="F110" s="407" t="s">
        <v>3201</v>
      </c>
      <c r="G110" s="407" t="s">
        <v>3970</v>
      </c>
      <c r="H110" s="407" t="s">
        <v>4110</v>
      </c>
      <c r="I110" s="407" t="s">
        <v>4603</v>
      </c>
      <c r="J110" s="407" t="s">
        <v>3894</v>
      </c>
      <c r="K110" s="407" t="s">
        <v>3516</v>
      </c>
      <c r="L110" s="442">
        <v>0.38257500000000005</v>
      </c>
      <c r="M110" s="387">
        <v>0</v>
      </c>
      <c r="N110" s="387">
        <f t="shared" si="14"/>
        <v>0.38257500000000005</v>
      </c>
      <c r="O110" s="442"/>
      <c r="P110" s="387" t="s">
        <v>5101</v>
      </c>
      <c r="Q110" s="443">
        <v>16.91647416331508</v>
      </c>
      <c r="R110" s="443"/>
      <c r="S110" s="459">
        <v>0</v>
      </c>
      <c r="T110" s="461">
        <v>225</v>
      </c>
      <c r="U110" s="435"/>
      <c r="V110" s="436">
        <v>1</v>
      </c>
      <c r="W110" s="436">
        <v>0.85</v>
      </c>
      <c r="X110" s="436">
        <v>0.8</v>
      </c>
      <c r="Y110" s="436">
        <v>0.15</v>
      </c>
      <c r="Z110" s="436">
        <v>0</v>
      </c>
      <c r="AA110" s="437">
        <f t="shared" si="9"/>
        <v>0.8075</v>
      </c>
      <c r="AB110" s="455">
        <f t="shared" si="15"/>
        <v>181.6875</v>
      </c>
      <c r="AC110" s="455">
        <v>0</v>
      </c>
      <c r="AD110" s="466"/>
      <c r="AE110" s="438"/>
      <c r="AF110" s="439" t="s">
        <v>5023</v>
      </c>
    </row>
    <row r="111" spans="2:32" hidden="1" x14ac:dyDescent="0.25">
      <c r="B111" s="1" t="s">
        <v>1545</v>
      </c>
      <c r="C111" s="387" t="s">
        <v>1368</v>
      </c>
      <c r="D111" s="387" t="s">
        <v>1115</v>
      </c>
      <c r="E111" s="441" t="s">
        <v>3279</v>
      </c>
      <c r="F111" s="407" t="s">
        <v>3201</v>
      </c>
      <c r="G111" s="407" t="s">
        <v>3971</v>
      </c>
      <c r="H111" s="407" t="s">
        <v>4110</v>
      </c>
      <c r="I111" s="407" t="s">
        <v>4604</v>
      </c>
      <c r="J111" s="407" t="s">
        <v>3895</v>
      </c>
      <c r="K111" s="407" t="s">
        <v>3517</v>
      </c>
      <c r="L111" s="442">
        <v>2.1929620000000001</v>
      </c>
      <c r="M111" s="387">
        <v>0</v>
      </c>
      <c r="N111" s="387">
        <f t="shared" si="14"/>
        <v>2.1929620000000001</v>
      </c>
      <c r="O111" s="442"/>
      <c r="P111" s="387" t="s">
        <v>5101</v>
      </c>
      <c r="Q111" s="443">
        <v>106.8640257983958</v>
      </c>
      <c r="R111" s="443"/>
      <c r="S111" s="459">
        <v>0</v>
      </c>
      <c r="T111" s="461">
        <f t="shared" si="12"/>
        <v>106.8640257983958</v>
      </c>
      <c r="U111" s="435"/>
      <c r="V111" s="436">
        <v>0</v>
      </c>
      <c r="W111" s="436">
        <v>0</v>
      </c>
      <c r="X111" s="436">
        <v>0</v>
      </c>
      <c r="Y111" s="436">
        <v>0</v>
      </c>
      <c r="Z111" s="436">
        <v>0</v>
      </c>
      <c r="AA111" s="437">
        <f t="shared" si="9"/>
        <v>0</v>
      </c>
      <c r="AB111" s="455">
        <f t="shared" si="15"/>
        <v>0</v>
      </c>
      <c r="AC111" s="455">
        <v>0</v>
      </c>
      <c r="AD111" s="466"/>
      <c r="AE111" s="438"/>
      <c r="AF111" s="439"/>
    </row>
    <row r="112" spans="2:32" hidden="1" x14ac:dyDescent="0.25">
      <c r="B112" s="1" t="s">
        <v>1546</v>
      </c>
      <c r="C112" s="387" t="s">
        <v>1368</v>
      </c>
      <c r="D112" s="387" t="s">
        <v>1115</v>
      </c>
      <c r="E112" s="441" t="s">
        <v>3280</v>
      </c>
      <c r="F112" s="407" t="s">
        <v>3201</v>
      </c>
      <c r="G112" s="407" t="s">
        <v>3972</v>
      </c>
      <c r="H112" s="407" t="s">
        <v>4110</v>
      </c>
      <c r="I112" s="407" t="s">
        <v>4605</v>
      </c>
      <c r="J112" s="407" t="s">
        <v>3896</v>
      </c>
      <c r="K112" s="407" t="s">
        <v>3518</v>
      </c>
      <c r="L112" s="442">
        <v>3.0211739999999994</v>
      </c>
      <c r="M112" s="387">
        <v>0</v>
      </c>
      <c r="N112" s="387">
        <f t="shared" si="14"/>
        <v>3.0211739999999994</v>
      </c>
      <c r="O112" s="442"/>
      <c r="P112" s="387" t="s">
        <v>5101</v>
      </c>
      <c r="Q112" s="443">
        <v>138.65509113453751</v>
      </c>
      <c r="R112" s="443"/>
      <c r="S112" s="459">
        <v>0</v>
      </c>
      <c r="T112" s="461">
        <f t="shared" si="12"/>
        <v>138.65509113453751</v>
      </c>
      <c r="U112" s="435"/>
      <c r="V112" s="436">
        <v>0</v>
      </c>
      <c r="W112" s="436">
        <v>0</v>
      </c>
      <c r="X112" s="436">
        <v>0</v>
      </c>
      <c r="Y112" s="436">
        <v>0</v>
      </c>
      <c r="Z112" s="436">
        <v>0</v>
      </c>
      <c r="AA112" s="437">
        <f t="shared" si="9"/>
        <v>0</v>
      </c>
      <c r="AB112" s="455">
        <f t="shared" si="15"/>
        <v>0</v>
      </c>
      <c r="AC112" s="455">
        <v>0</v>
      </c>
      <c r="AD112" s="466"/>
      <c r="AE112" s="438"/>
      <c r="AF112" s="439"/>
    </row>
    <row r="113" spans="2:32" hidden="1" x14ac:dyDescent="0.25">
      <c r="B113" s="1" t="s">
        <v>1547</v>
      </c>
      <c r="C113" s="387" t="s">
        <v>1368</v>
      </c>
      <c r="D113" s="387" t="s">
        <v>1115</v>
      </c>
      <c r="E113" s="441" t="s">
        <v>3281</v>
      </c>
      <c r="F113" s="407" t="s">
        <v>3201</v>
      </c>
      <c r="G113" s="407" t="s">
        <v>3973</v>
      </c>
      <c r="H113" s="407" t="s">
        <v>4110</v>
      </c>
      <c r="I113" s="407" t="s">
        <v>4606</v>
      </c>
      <c r="J113" s="407" t="s">
        <v>3897</v>
      </c>
      <c r="K113" s="407" t="s">
        <v>3519</v>
      </c>
      <c r="L113" s="442">
        <v>12.088328999999998</v>
      </c>
      <c r="M113" s="387">
        <v>0</v>
      </c>
      <c r="N113" s="387">
        <f t="shared" si="14"/>
        <v>12.088328999999998</v>
      </c>
      <c r="O113" s="442"/>
      <c r="P113" s="387" t="s">
        <v>5101</v>
      </c>
      <c r="Q113" s="443">
        <v>461.44955175438503</v>
      </c>
      <c r="R113" s="443"/>
      <c r="S113" s="459">
        <v>0</v>
      </c>
      <c r="T113" s="461">
        <f t="shared" si="12"/>
        <v>461.44955175438503</v>
      </c>
      <c r="U113" s="435"/>
      <c r="V113" s="436">
        <v>0</v>
      </c>
      <c r="W113" s="436">
        <v>0</v>
      </c>
      <c r="X113" s="436">
        <v>0</v>
      </c>
      <c r="Y113" s="436">
        <v>0</v>
      </c>
      <c r="Z113" s="436">
        <v>0</v>
      </c>
      <c r="AA113" s="437">
        <f t="shared" si="9"/>
        <v>0</v>
      </c>
      <c r="AB113" s="455">
        <f t="shared" ref="AB113:AB141" si="16">(V113*V$13*T113)+(W113*W$13*T113)+(X113*X$13*T113)+(Y113*Y$13*T113)+(Z113*Z$13*T113)</f>
        <v>0</v>
      </c>
      <c r="AC113" s="455">
        <v>0</v>
      </c>
      <c r="AD113" s="466"/>
      <c r="AE113" s="438"/>
      <c r="AF113" s="439"/>
    </row>
    <row r="114" spans="2:32" hidden="1" x14ac:dyDescent="0.25">
      <c r="B114" s="1" t="s">
        <v>1548</v>
      </c>
      <c r="C114" s="387" t="s">
        <v>1368</v>
      </c>
      <c r="D114" s="387" t="s">
        <v>1115</v>
      </c>
      <c r="E114" s="441" t="s">
        <v>3282</v>
      </c>
      <c r="F114" s="407" t="s">
        <v>3201</v>
      </c>
      <c r="G114" s="407" t="s">
        <v>3974</v>
      </c>
      <c r="H114" s="407" t="s">
        <v>4110</v>
      </c>
      <c r="I114" s="407" t="s">
        <v>4607</v>
      </c>
      <c r="J114" s="407" t="s">
        <v>3898</v>
      </c>
      <c r="K114" s="407" t="s">
        <v>3520</v>
      </c>
      <c r="L114" s="442">
        <v>0.49049799999999999</v>
      </c>
      <c r="M114" s="387">
        <v>0</v>
      </c>
      <c r="N114" s="387">
        <f t="shared" si="14"/>
        <v>0.49049799999999999</v>
      </c>
      <c r="O114" s="442"/>
      <c r="P114" s="387" t="s">
        <v>5101</v>
      </c>
      <c r="Q114" s="443">
        <v>23.888393820622255</v>
      </c>
      <c r="R114" s="443"/>
      <c r="S114" s="459">
        <v>0</v>
      </c>
      <c r="T114" s="461">
        <f t="shared" si="12"/>
        <v>23.888393820622255</v>
      </c>
      <c r="U114" s="435"/>
      <c r="V114" s="436">
        <v>0</v>
      </c>
      <c r="W114" s="436">
        <v>0</v>
      </c>
      <c r="X114" s="436">
        <v>0</v>
      </c>
      <c r="Y114" s="436">
        <v>0</v>
      </c>
      <c r="Z114" s="436">
        <v>0</v>
      </c>
      <c r="AA114" s="437">
        <f t="shared" si="9"/>
        <v>0</v>
      </c>
      <c r="AB114" s="455">
        <f t="shared" si="16"/>
        <v>0</v>
      </c>
      <c r="AC114" s="455">
        <v>0</v>
      </c>
      <c r="AD114" s="466"/>
      <c r="AE114" s="438"/>
      <c r="AF114" s="439"/>
    </row>
    <row r="115" spans="2:32" hidden="1" x14ac:dyDescent="0.25">
      <c r="B115" s="1" t="s">
        <v>1549</v>
      </c>
      <c r="C115" s="387" t="s">
        <v>1368</v>
      </c>
      <c r="D115" s="387" t="s">
        <v>1115</v>
      </c>
      <c r="E115" s="441" t="s">
        <v>3283</v>
      </c>
      <c r="F115" s="407" t="s">
        <v>3201</v>
      </c>
      <c r="G115" s="407" t="s">
        <v>3975</v>
      </c>
      <c r="H115" s="407" t="s">
        <v>4110</v>
      </c>
      <c r="I115" s="407" t="s">
        <v>4608</v>
      </c>
      <c r="J115" s="407" t="s">
        <v>3899</v>
      </c>
      <c r="K115" s="407" t="s">
        <v>3521</v>
      </c>
      <c r="L115" s="442">
        <v>2.9262299999999999</v>
      </c>
      <c r="M115" s="387">
        <v>0</v>
      </c>
      <c r="N115" s="387">
        <f t="shared" si="14"/>
        <v>2.9262299999999999</v>
      </c>
      <c r="O115" s="442"/>
      <c r="P115" s="387" t="s">
        <v>5101</v>
      </c>
      <c r="Q115" s="443">
        <v>126.70982090862137</v>
      </c>
      <c r="R115" s="443"/>
      <c r="S115" s="459">
        <v>0</v>
      </c>
      <c r="T115" s="461">
        <f t="shared" si="12"/>
        <v>126.70982090862137</v>
      </c>
      <c r="U115" s="435"/>
      <c r="V115" s="436">
        <v>0</v>
      </c>
      <c r="W115" s="436">
        <v>0</v>
      </c>
      <c r="X115" s="436">
        <v>0</v>
      </c>
      <c r="Y115" s="436">
        <v>0</v>
      </c>
      <c r="Z115" s="436">
        <v>0</v>
      </c>
      <c r="AA115" s="437">
        <f t="shared" si="9"/>
        <v>0</v>
      </c>
      <c r="AB115" s="455">
        <f t="shared" si="16"/>
        <v>0</v>
      </c>
      <c r="AC115" s="455">
        <v>0</v>
      </c>
      <c r="AD115" s="466"/>
      <c r="AE115" s="438"/>
      <c r="AF115" s="439"/>
    </row>
    <row r="116" spans="2:32" hidden="1" x14ac:dyDescent="0.25">
      <c r="B116" s="1" t="s">
        <v>1550</v>
      </c>
      <c r="C116" s="387" t="s">
        <v>1368</v>
      </c>
      <c r="D116" s="387" t="s">
        <v>1115</v>
      </c>
      <c r="E116" s="441" t="s">
        <v>3284</v>
      </c>
      <c r="F116" s="407" t="s">
        <v>3201</v>
      </c>
      <c r="G116" s="407" t="s">
        <v>3976</v>
      </c>
      <c r="H116" s="407" t="s">
        <v>4109</v>
      </c>
      <c r="I116" s="407" t="s">
        <v>4158</v>
      </c>
      <c r="J116" s="407" t="s">
        <v>3900</v>
      </c>
      <c r="K116" s="407" t="s">
        <v>3522</v>
      </c>
      <c r="L116" s="442">
        <v>18.329993500000011</v>
      </c>
      <c r="M116" s="387">
        <v>0</v>
      </c>
      <c r="N116" s="387">
        <f t="shared" si="14"/>
        <v>18.329993500000011</v>
      </c>
      <c r="O116" s="442"/>
      <c r="P116" s="387" t="s">
        <v>5101</v>
      </c>
      <c r="Q116" s="443">
        <v>742.12699424524635</v>
      </c>
      <c r="R116" s="443"/>
      <c r="S116" s="459">
        <v>0</v>
      </c>
      <c r="T116" s="461">
        <f t="shared" si="12"/>
        <v>742.12699424524635</v>
      </c>
      <c r="U116" s="435"/>
      <c r="V116" s="436">
        <v>0</v>
      </c>
      <c r="W116" s="436">
        <v>0</v>
      </c>
      <c r="X116" s="436">
        <v>0</v>
      </c>
      <c r="Y116" s="436">
        <v>0</v>
      </c>
      <c r="Z116" s="436">
        <v>0</v>
      </c>
      <c r="AA116" s="437">
        <f t="shared" si="9"/>
        <v>0</v>
      </c>
      <c r="AB116" s="455">
        <f t="shared" si="16"/>
        <v>0</v>
      </c>
      <c r="AC116" s="455">
        <v>0</v>
      </c>
      <c r="AD116" s="466"/>
      <c r="AE116" s="438"/>
      <c r="AF116" s="439"/>
    </row>
    <row r="117" spans="2:32" hidden="1" x14ac:dyDescent="0.25">
      <c r="B117" s="1" t="s">
        <v>1551</v>
      </c>
      <c r="C117" s="387" t="s">
        <v>1368</v>
      </c>
      <c r="D117" s="387" t="s">
        <v>1115</v>
      </c>
      <c r="E117" s="441" t="s">
        <v>3285</v>
      </c>
      <c r="F117" s="407" t="s">
        <v>3201</v>
      </c>
      <c r="G117" s="407" t="s">
        <v>3977</v>
      </c>
      <c r="H117" s="407" t="s">
        <v>4110</v>
      </c>
      <c r="I117" s="407" t="s">
        <v>4609</v>
      </c>
      <c r="J117" s="407" t="s">
        <v>3901</v>
      </c>
      <c r="K117" s="407" t="s">
        <v>3523</v>
      </c>
      <c r="L117" s="442">
        <v>8.6268340000000023</v>
      </c>
      <c r="M117" s="387">
        <v>0</v>
      </c>
      <c r="N117" s="387">
        <f t="shared" si="14"/>
        <v>8.6268340000000023</v>
      </c>
      <c r="O117" s="442"/>
      <c r="P117" s="387" t="s">
        <v>5101</v>
      </c>
      <c r="Q117" s="443">
        <v>359.53913805103502</v>
      </c>
      <c r="R117" s="443"/>
      <c r="S117" s="459">
        <v>0</v>
      </c>
      <c r="T117" s="461">
        <f t="shared" si="12"/>
        <v>359.53913805103502</v>
      </c>
      <c r="U117" s="435"/>
      <c r="V117" s="436">
        <v>1</v>
      </c>
      <c r="W117" s="436">
        <v>0.9</v>
      </c>
      <c r="X117" s="436">
        <v>0.8</v>
      </c>
      <c r="Y117" s="436">
        <v>0</v>
      </c>
      <c r="Z117" s="436">
        <v>0</v>
      </c>
      <c r="AA117" s="437">
        <f t="shared" si="9"/>
        <v>0.82</v>
      </c>
      <c r="AB117" s="455">
        <f t="shared" si="16"/>
        <v>294.8220932018487</v>
      </c>
      <c r="AC117" s="455">
        <v>0</v>
      </c>
      <c r="AD117" s="466"/>
      <c r="AE117" s="438"/>
      <c r="AF117" s="439"/>
    </row>
    <row r="118" spans="2:32" hidden="1" x14ac:dyDescent="0.25">
      <c r="B118" s="1" t="s">
        <v>1552</v>
      </c>
      <c r="C118" s="387" t="s">
        <v>1368</v>
      </c>
      <c r="D118" s="387" t="s">
        <v>1115</v>
      </c>
      <c r="E118" s="441" t="s">
        <v>3286</v>
      </c>
      <c r="F118" s="407" t="s">
        <v>3201</v>
      </c>
      <c r="G118" s="407" t="s">
        <v>3978</v>
      </c>
      <c r="H118" s="407" t="s">
        <v>4110</v>
      </c>
      <c r="I118" s="407" t="s">
        <v>4610</v>
      </c>
      <c r="J118" s="407" t="s">
        <v>3902</v>
      </c>
      <c r="K118" s="407" t="s">
        <v>3524</v>
      </c>
      <c r="L118" s="442">
        <v>3.7871250000000001</v>
      </c>
      <c r="M118" s="387">
        <v>0</v>
      </c>
      <c r="N118" s="387">
        <f t="shared" si="14"/>
        <v>3.7871250000000001</v>
      </c>
      <c r="O118" s="442"/>
      <c r="P118" s="387" t="s">
        <v>5101</v>
      </c>
      <c r="Q118" s="443">
        <v>141.78375910316453</v>
      </c>
      <c r="R118" s="443"/>
      <c r="S118" s="459">
        <v>0</v>
      </c>
      <c r="T118" s="461">
        <f t="shared" si="12"/>
        <v>141.78375910316453</v>
      </c>
      <c r="U118" s="435"/>
      <c r="V118" s="436">
        <v>0</v>
      </c>
      <c r="W118" s="436">
        <v>0</v>
      </c>
      <c r="X118" s="436">
        <v>0</v>
      </c>
      <c r="Y118" s="436">
        <v>0</v>
      </c>
      <c r="Z118" s="436">
        <v>0</v>
      </c>
      <c r="AA118" s="437">
        <f t="shared" si="9"/>
        <v>0</v>
      </c>
      <c r="AB118" s="455">
        <f t="shared" si="16"/>
        <v>0</v>
      </c>
      <c r="AC118" s="455">
        <v>0</v>
      </c>
      <c r="AD118" s="466"/>
      <c r="AE118" s="438"/>
      <c r="AF118" s="439"/>
    </row>
    <row r="119" spans="2:32" hidden="1" x14ac:dyDescent="0.25">
      <c r="B119" s="1" t="s">
        <v>1553</v>
      </c>
      <c r="C119" s="387" t="s">
        <v>1368</v>
      </c>
      <c r="D119" s="387" t="s">
        <v>1115</v>
      </c>
      <c r="E119" s="441" t="s">
        <v>3287</v>
      </c>
      <c r="F119" s="407" t="s">
        <v>3201</v>
      </c>
      <c r="G119" s="407" t="s">
        <v>3979</v>
      </c>
      <c r="H119" s="407" t="s">
        <v>4110</v>
      </c>
      <c r="I119" s="407" t="s">
        <v>4611</v>
      </c>
      <c r="J119" s="407" t="s">
        <v>3903</v>
      </c>
      <c r="K119" s="407" t="s">
        <v>3525</v>
      </c>
      <c r="L119" s="442">
        <v>0.27152800000000005</v>
      </c>
      <c r="M119" s="387">
        <v>0</v>
      </c>
      <c r="N119" s="387">
        <f t="shared" si="14"/>
        <v>0.27152800000000005</v>
      </c>
      <c r="O119" s="442"/>
      <c r="P119" s="387" t="s">
        <v>5101</v>
      </c>
      <c r="Q119" s="443">
        <v>12.006263860985735</v>
      </c>
      <c r="R119" s="443"/>
      <c r="S119" s="459">
        <v>0</v>
      </c>
      <c r="T119" s="461">
        <f t="shared" si="12"/>
        <v>12.006263860985735</v>
      </c>
      <c r="U119" s="435"/>
      <c r="V119" s="436">
        <v>0</v>
      </c>
      <c r="W119" s="436">
        <v>0</v>
      </c>
      <c r="X119" s="436">
        <v>0</v>
      </c>
      <c r="Y119" s="436">
        <v>0</v>
      </c>
      <c r="Z119" s="436">
        <v>0</v>
      </c>
      <c r="AA119" s="437">
        <f t="shared" si="9"/>
        <v>0</v>
      </c>
      <c r="AB119" s="455">
        <f t="shared" si="16"/>
        <v>0</v>
      </c>
      <c r="AC119" s="455">
        <v>0</v>
      </c>
      <c r="AD119" s="466"/>
      <c r="AE119" s="438"/>
      <c r="AF119" s="439"/>
    </row>
    <row r="120" spans="2:32" hidden="1" x14ac:dyDescent="0.25">
      <c r="B120" s="1" t="s">
        <v>1554</v>
      </c>
      <c r="C120" s="387" t="s">
        <v>1368</v>
      </c>
      <c r="D120" s="387" t="s">
        <v>1115</v>
      </c>
      <c r="E120" s="441" t="s">
        <v>3288</v>
      </c>
      <c r="F120" s="407" t="s">
        <v>3201</v>
      </c>
      <c r="G120" s="407" t="s">
        <v>3980</v>
      </c>
      <c r="H120" s="407" t="s">
        <v>4110</v>
      </c>
      <c r="I120" s="407" t="s">
        <v>4612</v>
      </c>
      <c r="J120" s="407" t="s">
        <v>3904</v>
      </c>
      <c r="K120" s="407" t="s">
        <v>3526</v>
      </c>
      <c r="L120" s="442">
        <v>0.33629799999999999</v>
      </c>
      <c r="M120" s="387">
        <v>0</v>
      </c>
      <c r="N120" s="387">
        <f t="shared" si="14"/>
        <v>0.33629799999999999</v>
      </c>
      <c r="O120" s="442"/>
      <c r="P120" s="387" t="s">
        <v>5101</v>
      </c>
      <c r="Q120" s="443">
        <v>15.865209036833429</v>
      </c>
      <c r="R120" s="443"/>
      <c r="S120" s="459">
        <v>0</v>
      </c>
      <c r="T120" s="461">
        <f t="shared" si="12"/>
        <v>15.865209036833429</v>
      </c>
      <c r="U120" s="435"/>
      <c r="V120" s="436">
        <v>0</v>
      </c>
      <c r="W120" s="436">
        <v>0</v>
      </c>
      <c r="X120" s="436">
        <v>0</v>
      </c>
      <c r="Y120" s="436">
        <v>0</v>
      </c>
      <c r="Z120" s="436">
        <v>0</v>
      </c>
      <c r="AA120" s="437">
        <f t="shared" si="9"/>
        <v>0</v>
      </c>
      <c r="AB120" s="455">
        <f t="shared" si="16"/>
        <v>0</v>
      </c>
      <c r="AC120" s="455">
        <v>0</v>
      </c>
      <c r="AD120" s="466"/>
      <c r="AE120" s="438"/>
      <c r="AF120" s="439"/>
    </row>
    <row r="121" spans="2:32" hidden="1" x14ac:dyDescent="0.25">
      <c r="B121" s="1" t="s">
        <v>1555</v>
      </c>
      <c r="C121" s="387" t="s">
        <v>1368</v>
      </c>
      <c r="D121" s="387" t="s">
        <v>1115</v>
      </c>
      <c r="E121" s="441" t="s">
        <v>3289</v>
      </c>
      <c r="F121" s="407" t="s">
        <v>3201</v>
      </c>
      <c r="G121" s="407" t="s">
        <v>3981</v>
      </c>
      <c r="H121" s="407" t="s">
        <v>4110</v>
      </c>
      <c r="I121" s="407" t="s">
        <v>4613</v>
      </c>
      <c r="J121" s="407" t="s">
        <v>3905</v>
      </c>
      <c r="K121" s="407" t="s">
        <v>3527</v>
      </c>
      <c r="L121" s="442">
        <v>0.33382699999999998</v>
      </c>
      <c r="M121" s="387">
        <v>0</v>
      </c>
      <c r="N121" s="387">
        <f t="shared" si="14"/>
        <v>0.33382699999999998</v>
      </c>
      <c r="O121" s="442"/>
      <c r="P121" s="387" t="s">
        <v>5101</v>
      </c>
      <c r="Q121" s="443">
        <v>16.381890068340809</v>
      </c>
      <c r="R121" s="443"/>
      <c r="S121" s="459">
        <v>0</v>
      </c>
      <c r="T121" s="461">
        <f t="shared" si="12"/>
        <v>16.381890068340809</v>
      </c>
      <c r="U121" s="435"/>
      <c r="V121" s="436">
        <v>0</v>
      </c>
      <c r="W121" s="436">
        <v>0</v>
      </c>
      <c r="X121" s="436">
        <v>0</v>
      </c>
      <c r="Y121" s="436">
        <v>0</v>
      </c>
      <c r="Z121" s="436">
        <v>0</v>
      </c>
      <c r="AA121" s="437">
        <f t="shared" si="9"/>
        <v>0</v>
      </c>
      <c r="AB121" s="455">
        <f t="shared" si="16"/>
        <v>0</v>
      </c>
      <c r="AC121" s="455">
        <v>0</v>
      </c>
      <c r="AD121" s="466"/>
      <c r="AE121" s="438"/>
      <c r="AF121" s="439"/>
    </row>
    <row r="122" spans="2:32" hidden="1" x14ac:dyDescent="0.25">
      <c r="B122" s="1" t="s">
        <v>1556</v>
      </c>
      <c r="C122" s="387" t="s">
        <v>1368</v>
      </c>
      <c r="D122" s="387" t="s">
        <v>1115</v>
      </c>
      <c r="E122" s="441" t="s">
        <v>3290</v>
      </c>
      <c r="F122" s="407" t="s">
        <v>3201</v>
      </c>
      <c r="G122" s="407" t="s">
        <v>3982</v>
      </c>
      <c r="H122" s="407" t="s">
        <v>4110</v>
      </c>
      <c r="I122" s="407" t="s">
        <v>4614</v>
      </c>
      <c r="J122" s="407" t="s">
        <v>3906</v>
      </c>
      <c r="K122" s="407" t="s">
        <v>3528</v>
      </c>
      <c r="L122" s="442">
        <v>1.7567360000000001</v>
      </c>
      <c r="M122" s="387">
        <v>0</v>
      </c>
      <c r="N122" s="387">
        <f t="shared" si="14"/>
        <v>1.7567360000000001</v>
      </c>
      <c r="O122" s="442"/>
      <c r="P122" s="387" t="s">
        <v>5101</v>
      </c>
      <c r="Q122" s="443">
        <v>70.648975609795997</v>
      </c>
      <c r="R122" s="443"/>
      <c r="S122" s="459">
        <v>0</v>
      </c>
      <c r="T122" s="461">
        <f t="shared" si="12"/>
        <v>70.648975609795997</v>
      </c>
      <c r="U122" s="435"/>
      <c r="V122" s="436">
        <v>0</v>
      </c>
      <c r="W122" s="436">
        <v>0</v>
      </c>
      <c r="X122" s="436">
        <v>0</v>
      </c>
      <c r="Y122" s="436">
        <v>0</v>
      </c>
      <c r="Z122" s="436">
        <v>0</v>
      </c>
      <c r="AA122" s="437">
        <f t="shared" si="9"/>
        <v>0</v>
      </c>
      <c r="AB122" s="455">
        <f t="shared" si="16"/>
        <v>0</v>
      </c>
      <c r="AC122" s="455">
        <v>0</v>
      </c>
      <c r="AD122" s="466"/>
      <c r="AE122" s="438"/>
      <c r="AF122" s="439"/>
    </row>
    <row r="123" spans="2:32" hidden="1" x14ac:dyDescent="0.25">
      <c r="B123" s="1" t="s">
        <v>1557</v>
      </c>
      <c r="C123" s="387" t="s">
        <v>1368</v>
      </c>
      <c r="D123" s="387" t="s">
        <v>1115</v>
      </c>
      <c r="E123" s="441" t="s">
        <v>3291</v>
      </c>
      <c r="F123" s="407" t="s">
        <v>3201</v>
      </c>
      <c r="G123" s="407" t="s">
        <v>3410</v>
      </c>
      <c r="H123" s="407" t="s">
        <v>4109</v>
      </c>
      <c r="I123" s="407" t="s">
        <v>4159</v>
      </c>
      <c r="J123" s="407" t="s">
        <v>3907</v>
      </c>
      <c r="K123" s="407" t="s">
        <v>3529</v>
      </c>
      <c r="L123" s="442">
        <v>16.899999999999999</v>
      </c>
      <c r="M123" s="387">
        <v>0</v>
      </c>
      <c r="N123" s="387">
        <f t="shared" si="14"/>
        <v>16.899999999999999</v>
      </c>
      <c r="O123" s="442"/>
      <c r="P123" s="387" t="s">
        <v>5101</v>
      </c>
      <c r="Q123" s="443">
        <v>4302.0863893377864</v>
      </c>
      <c r="R123" s="443"/>
      <c r="S123" s="459">
        <v>0</v>
      </c>
      <c r="T123" s="461">
        <v>185.85</v>
      </c>
      <c r="U123" s="435"/>
      <c r="V123" s="436">
        <v>1</v>
      </c>
      <c r="W123" s="436">
        <v>1</v>
      </c>
      <c r="X123" s="436">
        <v>1</v>
      </c>
      <c r="Y123" s="436">
        <v>1</v>
      </c>
      <c r="Z123" s="436">
        <v>0</v>
      </c>
      <c r="AA123" s="437">
        <f t="shared" si="9"/>
        <v>1</v>
      </c>
      <c r="AB123" s="455">
        <f t="shared" si="16"/>
        <v>185.85</v>
      </c>
      <c r="AC123" s="455">
        <v>0</v>
      </c>
      <c r="AD123" s="466"/>
      <c r="AE123" s="438"/>
      <c r="AF123" s="439"/>
    </row>
    <row r="124" spans="2:32" hidden="1" x14ac:dyDescent="0.25">
      <c r="B124" s="1" t="s">
        <v>1558</v>
      </c>
      <c r="C124" s="387" t="s">
        <v>1368</v>
      </c>
      <c r="D124" s="387" t="s">
        <v>1115</v>
      </c>
      <c r="E124" s="441" t="s">
        <v>3292</v>
      </c>
      <c r="F124" s="407" t="s">
        <v>3201</v>
      </c>
      <c r="G124" s="407" t="s">
        <v>3411</v>
      </c>
      <c r="H124" s="407" t="s">
        <v>4109</v>
      </c>
      <c r="I124" s="407" t="s">
        <v>4160</v>
      </c>
      <c r="J124" s="407" t="s">
        <v>3908</v>
      </c>
      <c r="K124" s="407" t="s">
        <v>3530</v>
      </c>
      <c r="L124" s="442">
        <v>4.67</v>
      </c>
      <c r="M124" s="387">
        <v>0</v>
      </c>
      <c r="N124" s="387">
        <f t="shared" si="14"/>
        <v>4.67</v>
      </c>
      <c r="O124" s="442"/>
      <c r="P124" s="387" t="s">
        <v>5101</v>
      </c>
      <c r="Q124" s="443">
        <v>3948.4821299402365</v>
      </c>
      <c r="R124" s="443"/>
      <c r="S124" s="459">
        <v>0</v>
      </c>
      <c r="T124" s="461">
        <v>69.739999999999995</v>
      </c>
      <c r="U124" s="435"/>
      <c r="V124" s="436">
        <v>1</v>
      </c>
      <c r="W124" s="436">
        <v>1</v>
      </c>
      <c r="X124" s="436">
        <v>1</v>
      </c>
      <c r="Y124" s="436">
        <v>1</v>
      </c>
      <c r="Z124" s="436">
        <v>0</v>
      </c>
      <c r="AA124" s="437">
        <f t="shared" si="9"/>
        <v>1</v>
      </c>
      <c r="AB124" s="455">
        <f t="shared" si="16"/>
        <v>69.739999999999995</v>
      </c>
      <c r="AC124" s="455">
        <v>0</v>
      </c>
      <c r="AD124" s="466"/>
      <c r="AE124" s="438"/>
      <c r="AF124" s="439"/>
    </row>
    <row r="125" spans="2:32" hidden="1" x14ac:dyDescent="0.25">
      <c r="B125" s="1" t="s">
        <v>1559</v>
      </c>
      <c r="C125" s="387" t="s">
        <v>1368</v>
      </c>
      <c r="D125" s="387" t="s">
        <v>1115</v>
      </c>
      <c r="E125" s="441" t="s">
        <v>3293</v>
      </c>
      <c r="F125" s="407" t="s">
        <v>3201</v>
      </c>
      <c r="G125" s="407" t="s">
        <v>3412</v>
      </c>
      <c r="H125" s="407" t="s">
        <v>4109</v>
      </c>
      <c r="I125" s="407" t="s">
        <v>4161</v>
      </c>
      <c r="J125" s="407" t="s">
        <v>3909</v>
      </c>
      <c r="K125" s="407" t="s">
        <v>4785</v>
      </c>
      <c r="L125" s="442">
        <v>113.15730049999979</v>
      </c>
      <c r="M125" s="387">
        <v>0</v>
      </c>
      <c r="N125" s="387">
        <f t="shared" si="14"/>
        <v>113.15730049999979</v>
      </c>
      <c r="O125" s="442"/>
      <c r="P125" s="387" t="s">
        <v>5101</v>
      </c>
      <c r="Q125" s="443">
        <v>3958.741166848703</v>
      </c>
      <c r="R125" s="443"/>
      <c r="S125" s="459">
        <v>0</v>
      </c>
      <c r="T125" s="461">
        <v>507</v>
      </c>
      <c r="U125" s="435"/>
      <c r="V125" s="436">
        <v>1</v>
      </c>
      <c r="W125" s="436">
        <v>0.85</v>
      </c>
      <c r="X125" s="436">
        <v>0.8</v>
      </c>
      <c r="Y125" s="436">
        <v>0</v>
      </c>
      <c r="Z125" s="436">
        <v>0</v>
      </c>
      <c r="AA125" s="437">
        <f t="shared" si="9"/>
        <v>0.8</v>
      </c>
      <c r="AB125" s="455">
        <f t="shared" si="16"/>
        <v>405.6</v>
      </c>
      <c r="AC125" s="455">
        <v>0</v>
      </c>
      <c r="AD125" s="466"/>
      <c r="AE125" s="438"/>
      <c r="AF125" s="439"/>
    </row>
    <row r="126" spans="2:32" hidden="1" x14ac:dyDescent="0.25">
      <c r="B126" s="1" t="s">
        <v>1560</v>
      </c>
      <c r="C126" s="387" t="s">
        <v>1368</v>
      </c>
      <c r="D126" s="387" t="s">
        <v>1115</v>
      </c>
      <c r="E126" s="441" t="s">
        <v>3294</v>
      </c>
      <c r="F126" s="407" t="s">
        <v>3201</v>
      </c>
      <c r="G126" s="407" t="s">
        <v>3413</v>
      </c>
      <c r="H126" s="407" t="s">
        <v>4109</v>
      </c>
      <c r="I126" s="407" t="s">
        <v>4162</v>
      </c>
      <c r="J126" s="407" t="s">
        <v>3910</v>
      </c>
      <c r="K126" s="407" t="s">
        <v>3531</v>
      </c>
      <c r="L126" s="442">
        <v>18.064</v>
      </c>
      <c r="M126" s="387">
        <v>0</v>
      </c>
      <c r="N126" s="387">
        <f t="shared" si="14"/>
        <v>18.064</v>
      </c>
      <c r="O126" s="442"/>
      <c r="P126" s="387" t="s">
        <v>5101</v>
      </c>
      <c r="Q126" s="443">
        <v>3445.0557495372732</v>
      </c>
      <c r="R126" s="443"/>
      <c r="S126" s="459">
        <v>0</v>
      </c>
      <c r="T126" s="461">
        <v>221.58</v>
      </c>
      <c r="U126" s="435"/>
      <c r="V126" s="436">
        <v>1</v>
      </c>
      <c r="W126" s="436">
        <v>1</v>
      </c>
      <c r="X126" s="436">
        <v>1</v>
      </c>
      <c r="Y126" s="436">
        <v>1</v>
      </c>
      <c r="Z126" s="436">
        <v>0</v>
      </c>
      <c r="AA126" s="437">
        <f t="shared" si="9"/>
        <v>1.0000000000000002</v>
      </c>
      <c r="AB126" s="455">
        <f t="shared" si="16"/>
        <v>221.58000000000004</v>
      </c>
      <c r="AC126" s="455">
        <v>0</v>
      </c>
      <c r="AD126" s="466"/>
      <c r="AE126" s="438"/>
      <c r="AF126" s="439"/>
    </row>
    <row r="127" spans="2:32" hidden="1" x14ac:dyDescent="0.25">
      <c r="B127" s="1" t="s">
        <v>1561</v>
      </c>
      <c r="C127" s="387" t="s">
        <v>1368</v>
      </c>
      <c r="D127" s="387" t="s">
        <v>1115</v>
      </c>
      <c r="E127" s="441" t="s">
        <v>3295</v>
      </c>
      <c r="F127" s="407" t="s">
        <v>3201</v>
      </c>
      <c r="G127" s="407" t="s">
        <v>3983</v>
      </c>
      <c r="H127" s="407" t="s">
        <v>4110</v>
      </c>
      <c r="I127" s="407" t="s">
        <v>4615</v>
      </c>
      <c r="J127" s="407" t="s">
        <v>3911</v>
      </c>
      <c r="K127" s="407" t="s">
        <v>3532</v>
      </c>
      <c r="L127" s="442">
        <v>3.706</v>
      </c>
      <c r="M127" s="387">
        <v>0</v>
      </c>
      <c r="N127" s="387">
        <f t="shared" si="14"/>
        <v>3.706</v>
      </c>
      <c r="O127" s="442"/>
      <c r="P127" s="387" t="s">
        <v>5101</v>
      </c>
      <c r="Q127" s="443">
        <v>128.47035856653687</v>
      </c>
      <c r="R127" s="443"/>
      <c r="S127" s="459">
        <v>0</v>
      </c>
      <c r="T127" s="461">
        <f t="shared" si="12"/>
        <v>128.47035856653687</v>
      </c>
      <c r="U127" s="435"/>
      <c r="V127" s="436">
        <v>0</v>
      </c>
      <c r="W127" s="436">
        <v>0</v>
      </c>
      <c r="X127" s="436">
        <v>0</v>
      </c>
      <c r="Y127" s="436">
        <v>0</v>
      </c>
      <c r="Z127" s="436">
        <v>0</v>
      </c>
      <c r="AA127" s="437">
        <f t="shared" si="9"/>
        <v>0</v>
      </c>
      <c r="AB127" s="455">
        <f t="shared" si="16"/>
        <v>0</v>
      </c>
      <c r="AC127" s="455">
        <v>0</v>
      </c>
      <c r="AD127" s="466"/>
      <c r="AE127" s="438"/>
      <c r="AF127" s="439"/>
    </row>
    <row r="128" spans="2:32" hidden="1" x14ac:dyDescent="0.25">
      <c r="B128" s="1" t="s">
        <v>1562</v>
      </c>
      <c r="C128" s="387" t="s">
        <v>1368</v>
      </c>
      <c r="D128" s="387" t="s">
        <v>1115</v>
      </c>
      <c r="E128" s="441" t="s">
        <v>3296</v>
      </c>
      <c r="F128" s="407" t="s">
        <v>3201</v>
      </c>
      <c r="G128" s="407" t="s">
        <v>3984</v>
      </c>
      <c r="H128" s="407" t="s">
        <v>4110</v>
      </c>
      <c r="I128" s="407" t="s">
        <v>4616</v>
      </c>
      <c r="J128" s="407" t="s">
        <v>3912</v>
      </c>
      <c r="K128" s="407" t="s">
        <v>3533</v>
      </c>
      <c r="L128" s="442">
        <v>1.3</v>
      </c>
      <c r="M128" s="387">
        <v>0</v>
      </c>
      <c r="N128" s="387">
        <f t="shared" si="14"/>
        <v>1.3</v>
      </c>
      <c r="O128" s="442"/>
      <c r="P128" s="387" t="s">
        <v>5101</v>
      </c>
      <c r="Q128" s="443">
        <v>59.655651742665256</v>
      </c>
      <c r="R128" s="443"/>
      <c r="S128" s="459">
        <v>0</v>
      </c>
      <c r="T128" s="461">
        <f t="shared" si="12"/>
        <v>59.655651742665256</v>
      </c>
      <c r="U128" s="435"/>
      <c r="V128" s="436">
        <v>0</v>
      </c>
      <c r="W128" s="436">
        <v>0</v>
      </c>
      <c r="X128" s="436">
        <v>0</v>
      </c>
      <c r="Y128" s="436">
        <v>0</v>
      </c>
      <c r="Z128" s="436">
        <v>0</v>
      </c>
      <c r="AA128" s="437">
        <f t="shared" si="9"/>
        <v>0</v>
      </c>
      <c r="AB128" s="455">
        <f t="shared" si="16"/>
        <v>0</v>
      </c>
      <c r="AC128" s="455">
        <v>0</v>
      </c>
      <c r="AD128" s="466"/>
      <c r="AE128" s="438"/>
      <c r="AF128" s="439"/>
    </row>
    <row r="129" spans="2:32" hidden="1" x14ac:dyDescent="0.25">
      <c r="B129" s="1" t="s">
        <v>1563</v>
      </c>
      <c r="C129" s="387" t="s">
        <v>1368</v>
      </c>
      <c r="D129" s="387" t="s">
        <v>1115</v>
      </c>
      <c r="E129" s="441" t="s">
        <v>3297</v>
      </c>
      <c r="F129" s="407" t="s">
        <v>3201</v>
      </c>
      <c r="G129" s="407" t="s">
        <v>3985</v>
      </c>
      <c r="H129" s="407" t="s">
        <v>4110</v>
      </c>
      <c r="I129" s="407" t="s">
        <v>4617</v>
      </c>
      <c r="J129" s="407" t="s">
        <v>3913</v>
      </c>
      <c r="K129" s="407" t="s">
        <v>3534</v>
      </c>
      <c r="L129" s="442">
        <v>4.7519999999999998</v>
      </c>
      <c r="M129" s="387">
        <v>0</v>
      </c>
      <c r="N129" s="387">
        <f t="shared" si="14"/>
        <v>4.7519999999999998</v>
      </c>
      <c r="O129" s="442"/>
      <c r="P129" s="387" t="s">
        <v>5101</v>
      </c>
      <c r="Q129" s="443">
        <v>177.32621332063877</v>
      </c>
      <c r="R129" s="443"/>
      <c r="S129" s="459">
        <v>0</v>
      </c>
      <c r="T129" s="461">
        <f t="shared" si="12"/>
        <v>177.32621332063877</v>
      </c>
      <c r="U129" s="435"/>
      <c r="V129" s="436">
        <v>0</v>
      </c>
      <c r="W129" s="436">
        <v>0</v>
      </c>
      <c r="X129" s="436">
        <v>0</v>
      </c>
      <c r="Y129" s="436">
        <v>0</v>
      </c>
      <c r="Z129" s="436">
        <v>0</v>
      </c>
      <c r="AA129" s="437">
        <f t="shared" si="9"/>
        <v>0</v>
      </c>
      <c r="AB129" s="455">
        <f t="shared" si="16"/>
        <v>0</v>
      </c>
      <c r="AC129" s="455">
        <v>0</v>
      </c>
      <c r="AD129" s="466"/>
      <c r="AE129" s="438"/>
      <c r="AF129" s="439"/>
    </row>
    <row r="130" spans="2:32" hidden="1" x14ac:dyDescent="0.25">
      <c r="B130" s="1" t="s">
        <v>1564</v>
      </c>
      <c r="C130" s="387" t="s">
        <v>1368</v>
      </c>
      <c r="D130" s="387" t="s">
        <v>1115</v>
      </c>
      <c r="E130" s="441" t="s">
        <v>3298</v>
      </c>
      <c r="F130" s="407" t="s">
        <v>3201</v>
      </c>
      <c r="G130" s="407" t="s">
        <v>3986</v>
      </c>
      <c r="H130" s="407" t="s">
        <v>4110</v>
      </c>
      <c r="I130" s="407" t="s">
        <v>4618</v>
      </c>
      <c r="J130" s="407" t="s">
        <v>3914</v>
      </c>
      <c r="K130" s="407" t="s">
        <v>3535</v>
      </c>
      <c r="L130" s="442">
        <v>0.46700000000000003</v>
      </c>
      <c r="M130" s="387">
        <v>0</v>
      </c>
      <c r="N130" s="387">
        <f t="shared" si="14"/>
        <v>0.46700000000000003</v>
      </c>
      <c r="O130" s="442"/>
      <c r="P130" s="387" t="s">
        <v>5101</v>
      </c>
      <c r="Q130" s="443">
        <v>21.798324662884298</v>
      </c>
      <c r="R130" s="443"/>
      <c r="S130" s="459">
        <v>0</v>
      </c>
      <c r="T130" s="461">
        <f t="shared" si="12"/>
        <v>21.798324662884298</v>
      </c>
      <c r="U130" s="435"/>
      <c r="V130" s="436">
        <v>0</v>
      </c>
      <c r="W130" s="436">
        <v>0</v>
      </c>
      <c r="X130" s="436">
        <v>0</v>
      </c>
      <c r="Y130" s="436">
        <v>0</v>
      </c>
      <c r="Z130" s="436">
        <v>0</v>
      </c>
      <c r="AA130" s="437">
        <f t="shared" si="9"/>
        <v>0</v>
      </c>
      <c r="AB130" s="455">
        <f t="shared" si="16"/>
        <v>0</v>
      </c>
      <c r="AC130" s="455">
        <v>0</v>
      </c>
      <c r="AD130" s="466"/>
      <c r="AE130" s="438"/>
      <c r="AF130" s="439"/>
    </row>
    <row r="131" spans="2:32" hidden="1" x14ac:dyDescent="0.25">
      <c r="B131" s="1" t="s">
        <v>1565</v>
      </c>
      <c r="C131" s="387" t="s">
        <v>1368</v>
      </c>
      <c r="D131" s="387" t="s">
        <v>1115</v>
      </c>
      <c r="E131" s="441" t="s">
        <v>3299</v>
      </c>
      <c r="F131" s="407" t="s">
        <v>3201</v>
      </c>
      <c r="G131" s="407" t="s">
        <v>3987</v>
      </c>
      <c r="H131" s="407" t="s">
        <v>4110</v>
      </c>
      <c r="I131" s="407" t="s">
        <v>4619</v>
      </c>
      <c r="J131" s="407" t="s">
        <v>3915</v>
      </c>
      <c r="K131" s="407" t="s">
        <v>3536</v>
      </c>
      <c r="L131" s="442">
        <v>3.214</v>
      </c>
      <c r="M131" s="387">
        <v>0</v>
      </c>
      <c r="N131" s="387">
        <f t="shared" si="14"/>
        <v>3.214</v>
      </c>
      <c r="O131" s="442"/>
      <c r="P131" s="387" t="s">
        <v>5101</v>
      </c>
      <c r="Q131" s="443">
        <v>104.97941777345018</v>
      </c>
      <c r="R131" s="443"/>
      <c r="S131" s="459">
        <v>0</v>
      </c>
      <c r="T131" s="461">
        <f t="shared" si="12"/>
        <v>104.97941777345018</v>
      </c>
      <c r="U131" s="435"/>
      <c r="V131" s="436">
        <v>0</v>
      </c>
      <c r="W131" s="436">
        <v>0</v>
      </c>
      <c r="X131" s="436">
        <v>0</v>
      </c>
      <c r="Y131" s="436">
        <v>0</v>
      </c>
      <c r="Z131" s="436">
        <v>0</v>
      </c>
      <c r="AA131" s="437">
        <f t="shared" si="9"/>
        <v>0</v>
      </c>
      <c r="AB131" s="455">
        <f t="shared" si="16"/>
        <v>0</v>
      </c>
      <c r="AC131" s="455">
        <v>0</v>
      </c>
      <c r="AD131" s="466"/>
      <c r="AE131" s="438"/>
      <c r="AF131" s="439"/>
    </row>
    <row r="132" spans="2:32" hidden="1" x14ac:dyDescent="0.25">
      <c r="B132" s="1" t="s">
        <v>1566</v>
      </c>
      <c r="C132" s="387" t="s">
        <v>1368</v>
      </c>
      <c r="D132" s="387" t="s">
        <v>1115</v>
      </c>
      <c r="E132" s="441" t="s">
        <v>3300</v>
      </c>
      <c r="F132" s="407" t="s">
        <v>3201</v>
      </c>
      <c r="G132" s="407" t="s">
        <v>3988</v>
      </c>
      <c r="H132" s="407" t="s">
        <v>4110</v>
      </c>
      <c r="I132" s="407" t="s">
        <v>4620</v>
      </c>
      <c r="J132" s="407" t="s">
        <v>3916</v>
      </c>
      <c r="K132" s="407" t="s">
        <v>3537</v>
      </c>
      <c r="L132" s="442">
        <v>1.2110000000000001</v>
      </c>
      <c r="M132" s="387">
        <v>0</v>
      </c>
      <c r="N132" s="387">
        <f t="shared" si="14"/>
        <v>1.2110000000000001</v>
      </c>
      <c r="O132" s="442"/>
      <c r="P132" s="387" t="s">
        <v>5101</v>
      </c>
      <c r="Q132" s="443">
        <v>56.870749088106635</v>
      </c>
      <c r="R132" s="443"/>
      <c r="S132" s="459">
        <v>0</v>
      </c>
      <c r="T132" s="461">
        <f t="shared" si="12"/>
        <v>56.870749088106635</v>
      </c>
      <c r="U132" s="435"/>
      <c r="V132" s="436">
        <v>0</v>
      </c>
      <c r="W132" s="436">
        <v>0</v>
      </c>
      <c r="X132" s="436">
        <v>0</v>
      </c>
      <c r="Y132" s="436">
        <v>0</v>
      </c>
      <c r="Z132" s="436">
        <v>0</v>
      </c>
      <c r="AA132" s="437">
        <f t="shared" si="9"/>
        <v>0</v>
      </c>
      <c r="AB132" s="455">
        <f t="shared" si="16"/>
        <v>0</v>
      </c>
      <c r="AC132" s="455">
        <v>0</v>
      </c>
      <c r="AD132" s="466"/>
      <c r="AE132" s="438"/>
      <c r="AF132" s="439"/>
    </row>
    <row r="133" spans="2:32" hidden="1" x14ac:dyDescent="0.25">
      <c r="B133" s="1" t="s">
        <v>1567</v>
      </c>
      <c r="C133" s="387" t="s">
        <v>1368</v>
      </c>
      <c r="D133" s="387" t="s">
        <v>1115</v>
      </c>
      <c r="E133" s="441" t="s">
        <v>3301</v>
      </c>
      <c r="F133" s="407" t="s">
        <v>3201</v>
      </c>
      <c r="G133" s="407" t="s">
        <v>3989</v>
      </c>
      <c r="H133" s="407" t="s">
        <v>4109</v>
      </c>
      <c r="I133" s="407" t="s">
        <v>4163</v>
      </c>
      <c r="J133" s="407" t="s">
        <v>3917</v>
      </c>
      <c r="K133" s="407" t="s">
        <v>3538</v>
      </c>
      <c r="L133" s="442">
        <v>17.827338000000022</v>
      </c>
      <c r="M133" s="387">
        <v>0</v>
      </c>
      <c r="N133" s="387">
        <f t="shared" si="14"/>
        <v>17.827338000000022</v>
      </c>
      <c r="O133" s="442"/>
      <c r="P133" s="387" t="s">
        <v>5101</v>
      </c>
      <c r="Q133" s="443">
        <v>720.08974006475694</v>
      </c>
      <c r="R133" s="443"/>
      <c r="S133" s="459">
        <v>0</v>
      </c>
      <c r="T133" s="461">
        <f t="shared" si="12"/>
        <v>720.08974006475694</v>
      </c>
      <c r="U133" s="435"/>
      <c r="V133" s="436">
        <v>0</v>
      </c>
      <c r="W133" s="436">
        <v>0</v>
      </c>
      <c r="X133" s="436">
        <v>0</v>
      </c>
      <c r="Y133" s="436">
        <v>0</v>
      </c>
      <c r="Z133" s="436">
        <v>0</v>
      </c>
      <c r="AA133" s="437">
        <f t="shared" si="9"/>
        <v>0</v>
      </c>
      <c r="AB133" s="455">
        <f t="shared" si="16"/>
        <v>0</v>
      </c>
      <c r="AC133" s="455">
        <v>0</v>
      </c>
      <c r="AD133" s="466"/>
      <c r="AE133" s="438"/>
      <c r="AF133" s="439"/>
    </row>
    <row r="134" spans="2:32" hidden="1" x14ac:dyDescent="0.25">
      <c r="B134" s="1" t="s">
        <v>1568</v>
      </c>
      <c r="C134" s="387" t="s">
        <v>1368</v>
      </c>
      <c r="D134" s="387" t="s">
        <v>1115</v>
      </c>
      <c r="E134" s="441" t="s">
        <v>3302</v>
      </c>
      <c r="F134" s="407" t="s">
        <v>3201</v>
      </c>
      <c r="G134" s="407" t="s">
        <v>3990</v>
      </c>
      <c r="H134" s="407" t="s">
        <v>4109</v>
      </c>
      <c r="I134" s="407" t="s">
        <v>4164</v>
      </c>
      <c r="J134" s="407" t="s">
        <v>3918</v>
      </c>
      <c r="K134" s="407" t="s">
        <v>3539</v>
      </c>
      <c r="L134" s="442">
        <v>17.815952000000028</v>
      </c>
      <c r="M134" s="387">
        <v>0</v>
      </c>
      <c r="N134" s="387">
        <f t="shared" si="14"/>
        <v>17.815952000000028</v>
      </c>
      <c r="O134" s="442"/>
      <c r="P134" s="387" t="s">
        <v>5101</v>
      </c>
      <c r="Q134" s="443">
        <v>719.5838834180089</v>
      </c>
      <c r="R134" s="443"/>
      <c r="S134" s="459">
        <v>0</v>
      </c>
      <c r="T134" s="461">
        <f t="shared" ref="T134:T152" si="17">Q134</f>
        <v>719.5838834180089</v>
      </c>
      <c r="U134" s="435"/>
      <c r="V134" s="436">
        <v>0</v>
      </c>
      <c r="W134" s="436">
        <v>0</v>
      </c>
      <c r="X134" s="436">
        <v>0</v>
      </c>
      <c r="Y134" s="436">
        <v>0</v>
      </c>
      <c r="Z134" s="436">
        <v>0</v>
      </c>
      <c r="AA134" s="437">
        <f t="shared" si="9"/>
        <v>0</v>
      </c>
      <c r="AB134" s="455">
        <f t="shared" si="16"/>
        <v>0</v>
      </c>
      <c r="AC134" s="455">
        <v>0</v>
      </c>
      <c r="AD134" s="466"/>
      <c r="AE134" s="438"/>
      <c r="AF134" s="439"/>
    </row>
    <row r="135" spans="2:32" hidden="1" x14ac:dyDescent="0.25">
      <c r="B135" s="1" t="s">
        <v>1569</v>
      </c>
      <c r="C135" s="387" t="s">
        <v>1368</v>
      </c>
      <c r="D135" s="387" t="s">
        <v>1115</v>
      </c>
      <c r="E135" s="441" t="s">
        <v>3303</v>
      </c>
      <c r="F135" s="407" t="s">
        <v>3201</v>
      </c>
      <c r="G135" s="407" t="s">
        <v>3991</v>
      </c>
      <c r="H135" s="407" t="s">
        <v>4110</v>
      </c>
      <c r="I135" s="407" t="s">
        <v>4621</v>
      </c>
      <c r="J135" s="407" t="s">
        <v>3919</v>
      </c>
      <c r="K135" s="407" t="s">
        <v>3540</v>
      </c>
      <c r="L135" s="442">
        <v>1.47</v>
      </c>
      <c r="M135" s="387">
        <v>0</v>
      </c>
      <c r="N135" s="387">
        <f t="shared" si="14"/>
        <v>1.47</v>
      </c>
      <c r="O135" s="442"/>
      <c r="P135" s="387" t="s">
        <v>5101</v>
      </c>
      <c r="Q135" s="443">
        <v>63.3151597553275</v>
      </c>
      <c r="R135" s="443"/>
      <c r="S135" s="459">
        <v>0</v>
      </c>
      <c r="T135" s="461">
        <f t="shared" si="17"/>
        <v>63.3151597553275</v>
      </c>
      <c r="U135" s="435"/>
      <c r="V135" s="436">
        <v>0</v>
      </c>
      <c r="W135" s="436">
        <v>0</v>
      </c>
      <c r="X135" s="436">
        <v>0</v>
      </c>
      <c r="Y135" s="436">
        <v>0</v>
      </c>
      <c r="Z135" s="436">
        <v>0</v>
      </c>
      <c r="AA135" s="437">
        <f t="shared" si="9"/>
        <v>0</v>
      </c>
      <c r="AB135" s="455">
        <f t="shared" si="16"/>
        <v>0</v>
      </c>
      <c r="AC135" s="455">
        <v>0</v>
      </c>
      <c r="AD135" s="466"/>
      <c r="AE135" s="438"/>
      <c r="AF135" s="439"/>
    </row>
    <row r="136" spans="2:32" hidden="1" x14ac:dyDescent="0.25">
      <c r="B136" s="1" t="s">
        <v>1570</v>
      </c>
      <c r="C136" s="387" t="s">
        <v>1368</v>
      </c>
      <c r="D136" s="387" t="s">
        <v>1115</v>
      </c>
      <c r="E136" s="441" t="s">
        <v>3304</v>
      </c>
      <c r="F136" s="407" t="s">
        <v>3201</v>
      </c>
      <c r="G136" s="407" t="s">
        <v>3992</v>
      </c>
      <c r="H136" s="407" t="s">
        <v>4110</v>
      </c>
      <c r="I136" s="407" t="s">
        <v>4622</v>
      </c>
      <c r="J136" s="407" t="s">
        <v>3920</v>
      </c>
      <c r="K136" s="407" t="s">
        <v>3541</v>
      </c>
      <c r="L136" s="442">
        <v>6.7649999999999997</v>
      </c>
      <c r="M136" s="387">
        <v>0</v>
      </c>
      <c r="N136" s="387">
        <f t="shared" si="14"/>
        <v>6.7649999999999997</v>
      </c>
      <c r="O136" s="442"/>
      <c r="P136" s="387" t="s">
        <v>5101</v>
      </c>
      <c r="Q136" s="443">
        <v>270.66221609250397</v>
      </c>
      <c r="R136" s="443"/>
      <c r="S136" s="459">
        <v>0</v>
      </c>
      <c r="T136" s="461">
        <f t="shared" si="17"/>
        <v>270.66221609250397</v>
      </c>
      <c r="U136" s="435"/>
      <c r="V136" s="436">
        <v>0</v>
      </c>
      <c r="W136" s="436">
        <v>0</v>
      </c>
      <c r="X136" s="436">
        <v>0</v>
      </c>
      <c r="Y136" s="436">
        <v>0</v>
      </c>
      <c r="Z136" s="436">
        <v>0</v>
      </c>
      <c r="AA136" s="437">
        <f t="shared" si="9"/>
        <v>0</v>
      </c>
      <c r="AB136" s="455">
        <f t="shared" si="16"/>
        <v>0</v>
      </c>
      <c r="AC136" s="455">
        <v>0</v>
      </c>
      <c r="AD136" s="466"/>
      <c r="AE136" s="438"/>
      <c r="AF136" s="439"/>
    </row>
    <row r="137" spans="2:32" hidden="1" x14ac:dyDescent="0.25">
      <c r="B137" s="1" t="s">
        <v>1571</v>
      </c>
      <c r="C137" s="387" t="s">
        <v>1368</v>
      </c>
      <c r="D137" s="387" t="s">
        <v>1115</v>
      </c>
      <c r="E137" s="441" t="s">
        <v>3305</v>
      </c>
      <c r="F137" s="407" t="s">
        <v>3201</v>
      </c>
      <c r="G137" s="407" t="s">
        <v>3993</v>
      </c>
      <c r="H137" s="407" t="s">
        <v>4110</v>
      </c>
      <c r="I137" s="407" t="s">
        <v>4623</v>
      </c>
      <c r="J137" s="407" t="s">
        <v>3921</v>
      </c>
      <c r="K137" s="407" t="s">
        <v>3542</v>
      </c>
      <c r="L137" s="442">
        <v>4.1310000000000002</v>
      </c>
      <c r="M137" s="387">
        <v>0</v>
      </c>
      <c r="N137" s="387">
        <f t="shared" si="14"/>
        <v>4.1310000000000002</v>
      </c>
      <c r="O137" s="442"/>
      <c r="P137" s="387" t="s">
        <v>5101</v>
      </c>
      <c r="Q137" s="443">
        <v>170.39582275715836</v>
      </c>
      <c r="R137" s="443"/>
      <c r="S137" s="459">
        <v>0</v>
      </c>
      <c r="T137" s="461">
        <f t="shared" si="17"/>
        <v>170.39582275715836</v>
      </c>
      <c r="U137" s="435"/>
      <c r="V137" s="436">
        <v>0</v>
      </c>
      <c r="W137" s="436">
        <v>0</v>
      </c>
      <c r="X137" s="436">
        <v>0</v>
      </c>
      <c r="Y137" s="436">
        <v>0</v>
      </c>
      <c r="Z137" s="436">
        <v>0</v>
      </c>
      <c r="AA137" s="437">
        <f t="shared" si="9"/>
        <v>0</v>
      </c>
      <c r="AB137" s="455">
        <f t="shared" si="16"/>
        <v>0</v>
      </c>
      <c r="AC137" s="455">
        <v>0</v>
      </c>
      <c r="AD137" s="466"/>
      <c r="AE137" s="438"/>
      <c r="AF137" s="439"/>
    </row>
    <row r="138" spans="2:32" hidden="1" x14ac:dyDescent="0.25">
      <c r="B138" s="1" t="s">
        <v>1572</v>
      </c>
      <c r="C138" s="387" t="s">
        <v>1368</v>
      </c>
      <c r="D138" s="387" t="s">
        <v>1115</v>
      </c>
      <c r="E138" s="441" t="s">
        <v>3306</v>
      </c>
      <c r="F138" s="407" t="s">
        <v>3201</v>
      </c>
      <c r="G138" s="407" t="s">
        <v>3994</v>
      </c>
      <c r="H138" s="407" t="s">
        <v>4109</v>
      </c>
      <c r="I138" s="407" t="s">
        <v>4165</v>
      </c>
      <c r="J138" s="407" t="s">
        <v>3922</v>
      </c>
      <c r="K138" s="407" t="s">
        <v>3543</v>
      </c>
      <c r="L138" s="442">
        <v>131.22291199999981</v>
      </c>
      <c r="M138" s="387">
        <v>0</v>
      </c>
      <c r="N138" s="387">
        <f t="shared" si="14"/>
        <v>131.22291199999981</v>
      </c>
      <c r="O138" s="442"/>
      <c r="P138" s="387" t="s">
        <v>5101</v>
      </c>
      <c r="Q138" s="443">
        <v>3854.9626725824332</v>
      </c>
      <c r="R138" s="443"/>
      <c r="S138" s="459">
        <v>0</v>
      </c>
      <c r="T138" s="461">
        <f t="shared" si="17"/>
        <v>3854.9626725824332</v>
      </c>
      <c r="U138" s="435"/>
      <c r="V138" s="436">
        <v>0</v>
      </c>
      <c r="W138" s="436">
        <v>0</v>
      </c>
      <c r="X138" s="436">
        <v>0</v>
      </c>
      <c r="Y138" s="436">
        <v>0</v>
      </c>
      <c r="Z138" s="436">
        <v>0</v>
      </c>
      <c r="AA138" s="437">
        <f t="shared" si="9"/>
        <v>0</v>
      </c>
      <c r="AB138" s="455">
        <f t="shared" si="16"/>
        <v>0</v>
      </c>
      <c r="AC138" s="455">
        <v>0</v>
      </c>
      <c r="AD138" s="466"/>
      <c r="AE138" s="438"/>
      <c r="AF138" s="439"/>
    </row>
    <row r="139" spans="2:32" hidden="1" x14ac:dyDescent="0.25">
      <c r="B139" s="571" t="s">
        <v>5145</v>
      </c>
      <c r="C139" s="387" t="s">
        <v>1368</v>
      </c>
      <c r="D139" s="387" t="s">
        <v>1115</v>
      </c>
      <c r="E139" s="441" t="s">
        <v>3226</v>
      </c>
      <c r="F139" s="407"/>
      <c r="G139" s="407"/>
      <c r="H139" s="407"/>
      <c r="I139" s="407"/>
      <c r="J139" s="407"/>
      <c r="K139" s="407" t="s">
        <v>5099</v>
      </c>
      <c r="L139" s="442"/>
      <c r="M139" s="387">
        <v>0</v>
      </c>
      <c r="N139" s="387"/>
      <c r="O139" s="442"/>
      <c r="P139" s="387" t="s">
        <v>5101</v>
      </c>
      <c r="Q139" s="443">
        <v>130</v>
      </c>
      <c r="R139" s="443"/>
      <c r="S139" s="459">
        <v>0</v>
      </c>
      <c r="T139" s="461">
        <v>130.25</v>
      </c>
      <c r="U139" s="435"/>
      <c r="V139" s="436">
        <v>1</v>
      </c>
      <c r="W139" s="436">
        <v>0.8</v>
      </c>
      <c r="X139" s="436">
        <v>0.75</v>
      </c>
      <c r="Y139" s="436">
        <v>0</v>
      </c>
      <c r="Z139" s="436">
        <v>0</v>
      </c>
      <c r="AA139" s="437">
        <f t="shared" ref="AA139" si="18">IF(T139,AB139/T139,0)</f>
        <v>0.75750000000000006</v>
      </c>
      <c r="AB139" s="455">
        <f t="shared" ref="AB139" si="19">(V139*V$13*T139)+(W139*W$13*T139)+(X139*X$13*T139)+(Y139*Y$13*T139)+(Z139*Z$13*T139)</f>
        <v>98.664375000000007</v>
      </c>
      <c r="AC139" s="455">
        <v>0</v>
      </c>
      <c r="AD139" s="466"/>
      <c r="AE139" s="438"/>
      <c r="AF139" s="439"/>
    </row>
    <row r="140" spans="2:32" hidden="1" x14ac:dyDescent="0.25">
      <c r="B140" s="1" t="s">
        <v>1573</v>
      </c>
      <c r="C140" s="387" t="s">
        <v>1368</v>
      </c>
      <c r="D140" s="387" t="s">
        <v>1115</v>
      </c>
      <c r="E140" s="387" t="s">
        <v>3715</v>
      </c>
      <c r="F140" s="387" t="s">
        <v>3201</v>
      </c>
      <c r="G140" s="407" t="s">
        <v>4517</v>
      </c>
      <c r="H140" s="407" t="s">
        <v>4109</v>
      </c>
      <c r="I140" s="407" t="s">
        <v>4518</v>
      </c>
      <c r="J140" s="407" t="s">
        <v>3996</v>
      </c>
      <c r="K140" s="407" t="s">
        <v>3743</v>
      </c>
      <c r="L140" s="442"/>
      <c r="M140" s="387">
        <v>0</v>
      </c>
      <c r="N140" s="387">
        <f t="shared" si="14"/>
        <v>0</v>
      </c>
      <c r="O140" s="442"/>
      <c r="P140" s="387"/>
      <c r="Q140" s="443">
        <v>300</v>
      </c>
      <c r="R140" s="443"/>
      <c r="S140" s="459">
        <v>0</v>
      </c>
      <c r="T140" s="461">
        <f t="shared" si="17"/>
        <v>300</v>
      </c>
      <c r="U140" s="435"/>
      <c r="V140" s="436">
        <v>1</v>
      </c>
      <c r="W140" s="436">
        <v>1</v>
      </c>
      <c r="X140" s="436">
        <v>1</v>
      </c>
      <c r="Y140" s="436">
        <v>0</v>
      </c>
      <c r="Z140" s="436">
        <v>0</v>
      </c>
      <c r="AA140" s="437">
        <f t="shared" si="9"/>
        <v>0.95</v>
      </c>
      <c r="AB140" s="455">
        <f t="shared" si="16"/>
        <v>285</v>
      </c>
      <c r="AC140" s="455">
        <v>204</v>
      </c>
      <c r="AD140" s="466"/>
      <c r="AE140" s="438"/>
      <c r="AF140" s="439"/>
    </row>
    <row r="141" spans="2:32" hidden="1" x14ac:dyDescent="0.25">
      <c r="B141" s="1" t="s">
        <v>1574</v>
      </c>
      <c r="C141" s="387" t="s">
        <v>1368</v>
      </c>
      <c r="D141" s="387" t="s">
        <v>1115</v>
      </c>
      <c r="E141" s="387" t="s">
        <v>3716</v>
      </c>
      <c r="F141" s="387" t="s">
        <v>3201</v>
      </c>
      <c r="G141" s="407" t="s">
        <v>4519</v>
      </c>
      <c r="H141" s="407" t="s">
        <v>4109</v>
      </c>
      <c r="I141" s="407" t="s">
        <v>4529</v>
      </c>
      <c r="J141" s="407" t="s">
        <v>3997</v>
      </c>
      <c r="K141" s="407" t="s">
        <v>3736</v>
      </c>
      <c r="L141" s="442"/>
      <c r="M141" s="387">
        <v>0</v>
      </c>
      <c r="N141" s="387">
        <f t="shared" si="14"/>
        <v>0</v>
      </c>
      <c r="O141" s="442"/>
      <c r="P141" s="387"/>
      <c r="Q141" s="443">
        <v>300</v>
      </c>
      <c r="R141" s="443"/>
      <c r="S141" s="459">
        <v>0</v>
      </c>
      <c r="T141" s="461">
        <f t="shared" si="17"/>
        <v>300</v>
      </c>
      <c r="U141" s="435"/>
      <c r="V141" s="436">
        <v>1</v>
      </c>
      <c r="W141" s="436">
        <v>1</v>
      </c>
      <c r="X141" s="436">
        <v>1</v>
      </c>
      <c r="Y141" s="436">
        <v>0</v>
      </c>
      <c r="Z141" s="436">
        <v>0</v>
      </c>
      <c r="AA141" s="437">
        <f t="shared" si="9"/>
        <v>0.95</v>
      </c>
      <c r="AB141" s="455">
        <f t="shared" si="16"/>
        <v>285</v>
      </c>
      <c r="AC141" s="455">
        <v>264</v>
      </c>
      <c r="AD141" s="466"/>
      <c r="AE141" s="438"/>
      <c r="AF141" s="439"/>
    </row>
    <row r="142" spans="2:32" hidden="1" x14ac:dyDescent="0.25">
      <c r="B142" s="1" t="s">
        <v>1773</v>
      </c>
      <c r="C142" s="387" t="s">
        <v>1368</v>
      </c>
      <c r="D142" s="387" t="s">
        <v>1115</v>
      </c>
      <c r="E142" s="387" t="s">
        <v>3712</v>
      </c>
      <c r="F142" s="387" t="s">
        <v>3201</v>
      </c>
      <c r="G142" s="407" t="s">
        <v>4520</v>
      </c>
      <c r="H142" s="407" t="s">
        <v>4109</v>
      </c>
      <c r="I142" s="407" t="s">
        <v>4530</v>
      </c>
      <c r="J142" s="407" t="s">
        <v>3998</v>
      </c>
      <c r="K142" s="407" t="s">
        <v>3735</v>
      </c>
      <c r="L142" s="442"/>
      <c r="M142" s="387">
        <v>0</v>
      </c>
      <c r="N142" s="387">
        <f t="shared" si="14"/>
        <v>0</v>
      </c>
      <c r="O142" s="442"/>
      <c r="P142" s="387"/>
      <c r="Q142" s="443">
        <v>600</v>
      </c>
      <c r="R142" s="443"/>
      <c r="S142" s="459">
        <v>0</v>
      </c>
      <c r="T142" s="461">
        <f t="shared" si="17"/>
        <v>600</v>
      </c>
      <c r="U142" s="435"/>
      <c r="V142" s="436">
        <v>1</v>
      </c>
      <c r="W142" s="436">
        <v>1</v>
      </c>
      <c r="X142" s="436">
        <v>0.5</v>
      </c>
      <c r="Y142" s="436">
        <v>0</v>
      </c>
      <c r="Z142" s="436">
        <v>0</v>
      </c>
      <c r="AA142" s="437">
        <f>IF(T142,AB142/T142,0)</f>
        <v>0.72499999999999998</v>
      </c>
      <c r="AB142" s="455">
        <f>(V142*V$13*T142)+(W142*W$13*T142)+(X142*X$13*T142)+(Y142*Y$13*T142)+(Z142*Z$13*T142)</f>
        <v>435</v>
      </c>
      <c r="AC142" s="458">
        <v>292.625</v>
      </c>
      <c r="AD142" s="466"/>
      <c r="AE142" s="482"/>
      <c r="AF142" s="483"/>
    </row>
    <row r="143" spans="2:32" hidden="1" x14ac:dyDescent="0.25">
      <c r="B143" s="1" t="s">
        <v>1774</v>
      </c>
      <c r="C143" s="387" t="s">
        <v>1368</v>
      </c>
      <c r="D143" s="387" t="s">
        <v>1115</v>
      </c>
      <c r="E143" s="387" t="s">
        <v>3744</v>
      </c>
      <c r="F143" s="387" t="s">
        <v>3201</v>
      </c>
      <c r="G143" s="407" t="s">
        <v>4126</v>
      </c>
      <c r="H143" s="407" t="s">
        <v>4111</v>
      </c>
      <c r="I143" s="407" t="s">
        <v>4624</v>
      </c>
      <c r="J143" s="407"/>
      <c r="K143" s="407" t="s">
        <v>4112</v>
      </c>
      <c r="L143" s="442"/>
      <c r="M143" s="387">
        <v>0</v>
      </c>
      <c r="N143" s="387">
        <f t="shared" si="14"/>
        <v>0</v>
      </c>
      <c r="O143" s="442"/>
      <c r="P143" s="387"/>
      <c r="Q143" s="443">
        <v>250</v>
      </c>
      <c r="R143" s="443"/>
      <c r="S143" s="459">
        <v>0</v>
      </c>
      <c r="T143" s="461">
        <f t="shared" si="17"/>
        <v>250</v>
      </c>
      <c r="U143" s="435"/>
      <c r="V143" s="436">
        <v>1</v>
      </c>
      <c r="W143" s="436">
        <v>1</v>
      </c>
      <c r="X143" s="436">
        <v>1</v>
      </c>
      <c r="Y143" s="436">
        <v>1</v>
      </c>
      <c r="Z143" s="436">
        <v>0</v>
      </c>
      <c r="AA143" s="437">
        <f>IF(T143,AB143/T143,0)</f>
        <v>1</v>
      </c>
      <c r="AB143" s="455">
        <f>(V143*V$13*T143)+(W143*W$13*T143)+(X143*X$13*T143)+(Y143*Y$13*T143)+(Z143*Z$13*T143)</f>
        <v>250</v>
      </c>
      <c r="AC143" s="458">
        <v>189.5</v>
      </c>
      <c r="AD143" s="466"/>
      <c r="AE143" s="482"/>
      <c r="AF143" s="483"/>
    </row>
    <row r="144" spans="2:32" hidden="1" x14ac:dyDescent="0.25">
      <c r="B144" s="1" t="s">
        <v>1775</v>
      </c>
      <c r="C144" s="387" t="s">
        <v>1368</v>
      </c>
      <c r="D144" s="387" t="s">
        <v>1115</v>
      </c>
      <c r="E144" s="387" t="s">
        <v>3713</v>
      </c>
      <c r="F144" s="387" t="s">
        <v>3201</v>
      </c>
      <c r="G144" s="407" t="s">
        <v>4521</v>
      </c>
      <c r="H144" s="407" t="s">
        <v>4109</v>
      </c>
      <c r="I144" s="407" t="s">
        <v>4522</v>
      </c>
      <c r="J144" s="407" t="s">
        <v>3999</v>
      </c>
      <c r="K144" s="407" t="s">
        <v>3737</v>
      </c>
      <c r="L144" s="442"/>
      <c r="M144" s="387">
        <v>0</v>
      </c>
      <c r="N144" s="387">
        <f t="shared" ref="N144:N153" si="20">L144+M144</f>
        <v>0</v>
      </c>
      <c r="O144" s="442"/>
      <c r="P144" s="387"/>
      <c r="Q144" s="443">
        <v>800</v>
      </c>
      <c r="R144" s="443"/>
      <c r="S144" s="459">
        <v>0</v>
      </c>
      <c r="T144" s="461">
        <v>400</v>
      </c>
      <c r="U144" s="435"/>
      <c r="V144" s="436">
        <v>1</v>
      </c>
      <c r="W144" s="436">
        <v>1</v>
      </c>
      <c r="X144" s="436">
        <v>1</v>
      </c>
      <c r="Y144" s="436">
        <v>0</v>
      </c>
      <c r="Z144" s="436">
        <v>0</v>
      </c>
      <c r="AA144" s="437">
        <f>IF(T144,AB144/T144,0)</f>
        <v>0.95</v>
      </c>
      <c r="AB144" s="455">
        <f>(V144*V$13*T144)+(W144*W$13*T144)+(X144*X$13*T144)+(Y144*Y$13*T144)+(Z144*Z$13*T144)</f>
        <v>380</v>
      </c>
      <c r="AC144" s="458">
        <v>175.25</v>
      </c>
      <c r="AD144" s="466"/>
      <c r="AE144" s="482"/>
      <c r="AF144" s="483"/>
    </row>
    <row r="145" spans="2:32" hidden="1" x14ac:dyDescent="0.25">
      <c r="B145" s="1" t="s">
        <v>3148</v>
      </c>
      <c r="C145" s="387" t="s">
        <v>1368</v>
      </c>
      <c r="D145" s="387" t="s">
        <v>1115</v>
      </c>
      <c r="E145" s="387" t="s">
        <v>3714</v>
      </c>
      <c r="F145" s="387" t="s">
        <v>3201</v>
      </c>
      <c r="G145" s="407" t="s">
        <v>4515</v>
      </c>
      <c r="H145" s="407" t="s">
        <v>4109</v>
      </c>
      <c r="I145" s="407" t="s">
        <v>4516</v>
      </c>
      <c r="J145" s="407" t="s">
        <v>4000</v>
      </c>
      <c r="K145" s="407" t="s">
        <v>3738</v>
      </c>
      <c r="L145" s="442"/>
      <c r="M145" s="387">
        <v>0</v>
      </c>
      <c r="N145" s="387">
        <f t="shared" si="20"/>
        <v>0</v>
      </c>
      <c r="O145" s="442"/>
      <c r="P145" s="387"/>
      <c r="Q145" s="443">
        <v>300</v>
      </c>
      <c r="R145" s="443"/>
      <c r="S145" s="459">
        <v>0</v>
      </c>
      <c r="T145" s="461">
        <f t="shared" si="17"/>
        <v>300</v>
      </c>
      <c r="U145" s="435"/>
      <c r="V145" s="436">
        <v>1</v>
      </c>
      <c r="W145" s="436">
        <v>0.95</v>
      </c>
      <c r="X145" s="436">
        <v>0.93</v>
      </c>
      <c r="Y145" s="436">
        <v>0</v>
      </c>
      <c r="Z145" s="436">
        <v>0</v>
      </c>
      <c r="AA145" s="437">
        <f>IF(T145,AB145/T145,0)</f>
        <v>0.89850000000000008</v>
      </c>
      <c r="AB145" s="455">
        <f t="shared" ref="AB145:AB156" si="21">(V145*V$13*T145)+(W145*W$13*T145)+(X145*X$13*T145)+(Y145*Y$13*T145)+(Z145*Z$13*T145)</f>
        <v>269.55</v>
      </c>
      <c r="AC145" s="458">
        <v>0</v>
      </c>
      <c r="AD145" s="466"/>
      <c r="AE145" s="482"/>
      <c r="AF145" s="483"/>
    </row>
    <row r="146" spans="2:32" hidden="1" x14ac:dyDescent="0.25">
      <c r="B146" s="1" t="s">
        <v>3149</v>
      </c>
      <c r="C146" s="387" t="s">
        <v>1368</v>
      </c>
      <c r="D146" s="387" t="s">
        <v>1115</v>
      </c>
      <c r="E146" s="387" t="s">
        <v>3717</v>
      </c>
      <c r="F146" s="387" t="s">
        <v>3201</v>
      </c>
      <c r="G146" s="407" t="s">
        <v>4523</v>
      </c>
      <c r="H146" s="407" t="s">
        <v>4109</v>
      </c>
      <c r="I146" s="407" t="s">
        <v>4524</v>
      </c>
      <c r="J146" s="407" t="s">
        <v>4001</v>
      </c>
      <c r="K146" s="407" t="s">
        <v>3739</v>
      </c>
      <c r="L146" s="442"/>
      <c r="M146" s="387">
        <v>0</v>
      </c>
      <c r="N146" s="387">
        <f t="shared" si="20"/>
        <v>0</v>
      </c>
      <c r="O146" s="442"/>
      <c r="P146" s="387"/>
      <c r="Q146" s="443"/>
      <c r="R146" s="443"/>
      <c r="S146" s="459">
        <v>0</v>
      </c>
      <c r="T146" s="461">
        <v>300</v>
      </c>
      <c r="U146" s="435"/>
      <c r="V146" s="436">
        <v>1</v>
      </c>
      <c r="W146" s="436">
        <v>0.75</v>
      </c>
      <c r="X146" s="436">
        <v>0.5</v>
      </c>
      <c r="Y146" s="436">
        <v>0</v>
      </c>
      <c r="Z146" s="436">
        <v>0</v>
      </c>
      <c r="AA146" s="437">
        <f t="shared" ref="AA146:AA149" si="22">IF(T146,AB146/T146,0)</f>
        <v>0.625</v>
      </c>
      <c r="AB146" s="455">
        <f t="shared" si="21"/>
        <v>187.5</v>
      </c>
      <c r="AC146" s="458">
        <v>0</v>
      </c>
      <c r="AD146" s="466"/>
      <c r="AE146" s="482"/>
      <c r="AF146" s="483"/>
    </row>
    <row r="147" spans="2:32" hidden="1" x14ac:dyDescent="0.25">
      <c r="B147" s="1" t="s">
        <v>3150</v>
      </c>
      <c r="C147" s="387" t="s">
        <v>1368</v>
      </c>
      <c r="D147" s="387" t="s">
        <v>1115</v>
      </c>
      <c r="E147" s="387" t="s">
        <v>3718</v>
      </c>
      <c r="F147" s="387" t="s">
        <v>3201</v>
      </c>
      <c r="G147" s="407" t="s">
        <v>4525</v>
      </c>
      <c r="H147" s="407" t="s">
        <v>4109</v>
      </c>
      <c r="I147" s="407" t="s">
        <v>4526</v>
      </c>
      <c r="J147" s="407" t="s">
        <v>4002</v>
      </c>
      <c r="K147" s="407" t="s">
        <v>3740</v>
      </c>
      <c r="L147" s="442"/>
      <c r="M147" s="387">
        <v>0</v>
      </c>
      <c r="N147" s="387">
        <f t="shared" si="20"/>
        <v>0</v>
      </c>
      <c r="O147" s="442"/>
      <c r="P147" s="387"/>
      <c r="Q147" s="443"/>
      <c r="R147" s="443"/>
      <c r="S147" s="459">
        <v>0</v>
      </c>
      <c r="T147" s="461">
        <f t="shared" si="17"/>
        <v>0</v>
      </c>
      <c r="U147" s="435"/>
      <c r="V147" s="436">
        <v>0</v>
      </c>
      <c r="W147" s="436">
        <v>0</v>
      </c>
      <c r="X147" s="436">
        <v>0</v>
      </c>
      <c r="Y147" s="436">
        <v>0</v>
      </c>
      <c r="Z147" s="436">
        <v>0</v>
      </c>
      <c r="AA147" s="437">
        <f t="shared" si="22"/>
        <v>0</v>
      </c>
      <c r="AB147" s="455">
        <f t="shared" si="21"/>
        <v>0</v>
      </c>
      <c r="AC147" s="458">
        <v>0</v>
      </c>
      <c r="AD147" s="466"/>
      <c r="AE147" s="482"/>
      <c r="AF147" s="483"/>
    </row>
    <row r="148" spans="2:32" hidden="1" x14ac:dyDescent="0.25">
      <c r="B148" s="1" t="s">
        <v>3151</v>
      </c>
      <c r="C148" s="387" t="s">
        <v>1368</v>
      </c>
      <c r="D148" s="387" t="s">
        <v>1115</v>
      </c>
      <c r="E148" s="387" t="s">
        <v>3719</v>
      </c>
      <c r="F148" s="407" t="s">
        <v>3201</v>
      </c>
      <c r="G148" s="407" t="s">
        <v>3424</v>
      </c>
      <c r="H148" s="407" t="s">
        <v>4109</v>
      </c>
      <c r="I148" s="407" t="s">
        <v>4166</v>
      </c>
      <c r="J148" s="407" t="s">
        <v>4003</v>
      </c>
      <c r="K148" s="407" t="s">
        <v>3741</v>
      </c>
      <c r="L148" s="442"/>
      <c r="M148" s="387">
        <v>0</v>
      </c>
      <c r="N148" s="387">
        <f t="shared" si="20"/>
        <v>0</v>
      </c>
      <c r="O148" s="442"/>
      <c r="P148" s="387"/>
      <c r="Q148" s="443"/>
      <c r="R148" s="443"/>
      <c r="S148" s="459">
        <v>0</v>
      </c>
      <c r="T148" s="461">
        <f t="shared" si="17"/>
        <v>0</v>
      </c>
      <c r="U148" s="435"/>
      <c r="V148" s="436">
        <v>0</v>
      </c>
      <c r="W148" s="436">
        <v>0</v>
      </c>
      <c r="X148" s="436">
        <v>0</v>
      </c>
      <c r="Y148" s="436">
        <v>0</v>
      </c>
      <c r="Z148" s="436">
        <v>0</v>
      </c>
      <c r="AA148" s="437">
        <f t="shared" si="22"/>
        <v>0</v>
      </c>
      <c r="AB148" s="455">
        <f t="shared" si="21"/>
        <v>0</v>
      </c>
      <c r="AC148" s="458">
        <v>0</v>
      </c>
      <c r="AD148" s="466"/>
      <c r="AE148" s="482"/>
      <c r="AF148" s="483"/>
    </row>
    <row r="149" spans="2:32" hidden="1" x14ac:dyDescent="0.25">
      <c r="B149" s="1" t="s">
        <v>3152</v>
      </c>
      <c r="C149" s="387" t="s">
        <v>1368</v>
      </c>
      <c r="D149" s="387" t="s">
        <v>1115</v>
      </c>
      <c r="E149" s="387" t="s">
        <v>3720</v>
      </c>
      <c r="F149" s="407" t="s">
        <v>3201</v>
      </c>
      <c r="G149" s="407" t="s">
        <v>4527</v>
      </c>
      <c r="H149" s="407" t="s">
        <v>4109</v>
      </c>
      <c r="I149" s="407" t="s">
        <v>4528</v>
      </c>
      <c r="J149" s="407" t="s">
        <v>4004</v>
      </c>
      <c r="K149" s="407" t="s">
        <v>3742</v>
      </c>
      <c r="L149" s="442"/>
      <c r="M149" s="387">
        <v>0</v>
      </c>
      <c r="N149" s="387">
        <f t="shared" si="20"/>
        <v>0</v>
      </c>
      <c r="O149" s="442"/>
      <c r="P149" s="387"/>
      <c r="Q149" s="443"/>
      <c r="R149" s="443"/>
      <c r="S149" s="459">
        <v>0</v>
      </c>
      <c r="T149" s="461">
        <v>300</v>
      </c>
      <c r="U149" s="435"/>
      <c r="V149" s="436">
        <v>1</v>
      </c>
      <c r="W149" s="436">
        <v>1</v>
      </c>
      <c r="X149" s="436">
        <v>0.95</v>
      </c>
      <c r="Y149" s="436">
        <v>0</v>
      </c>
      <c r="Z149" s="436">
        <v>0</v>
      </c>
      <c r="AA149" s="437">
        <f t="shared" si="22"/>
        <v>0.92749999999999999</v>
      </c>
      <c r="AB149" s="455">
        <f t="shared" si="21"/>
        <v>278.25</v>
      </c>
      <c r="AC149" s="458">
        <v>0</v>
      </c>
      <c r="AD149" s="466"/>
      <c r="AE149" s="482"/>
      <c r="AF149" s="483"/>
    </row>
    <row r="150" spans="2:32" hidden="1" x14ac:dyDescent="0.25">
      <c r="B150" s="1" t="s">
        <v>4745</v>
      </c>
      <c r="C150" s="444" t="s">
        <v>1368</v>
      </c>
      <c r="D150" s="387" t="s">
        <v>1115</v>
      </c>
      <c r="E150" s="444" t="s">
        <v>1395</v>
      </c>
      <c r="F150" s="407" t="s">
        <v>3201</v>
      </c>
      <c r="G150" s="553"/>
      <c r="H150" s="553"/>
      <c r="I150" s="553"/>
      <c r="J150" s="553" t="s">
        <v>3808</v>
      </c>
      <c r="K150" s="553" t="s">
        <v>4662</v>
      </c>
      <c r="L150" s="442">
        <v>14.26</v>
      </c>
      <c r="M150" s="387">
        <v>0</v>
      </c>
      <c r="N150" s="387">
        <f t="shared" si="20"/>
        <v>14.26</v>
      </c>
      <c r="O150" s="442">
        <f>L150*AA150</f>
        <v>6.8305400000000001</v>
      </c>
      <c r="P150" s="387" t="s">
        <v>5101</v>
      </c>
      <c r="Q150" s="443">
        <v>354.5</v>
      </c>
      <c r="R150" s="443"/>
      <c r="S150" s="459">
        <v>0</v>
      </c>
      <c r="T150" s="461">
        <f t="shared" si="17"/>
        <v>354.5</v>
      </c>
      <c r="U150" s="435"/>
      <c r="V150" s="436">
        <v>0.67</v>
      </c>
      <c r="W150" s="436">
        <v>0.56999999999999995</v>
      </c>
      <c r="X150" s="436">
        <v>0.5</v>
      </c>
      <c r="Y150" s="436">
        <v>0.21</v>
      </c>
      <c r="Z150" s="436">
        <v>0</v>
      </c>
      <c r="AA150" s="437">
        <v>0.47899999999999998</v>
      </c>
      <c r="AB150" s="455">
        <f t="shared" si="21"/>
        <v>188.06224999999998</v>
      </c>
      <c r="AC150" s="458">
        <v>0</v>
      </c>
      <c r="AD150" s="554"/>
      <c r="AE150" s="482"/>
      <c r="AF150" s="483"/>
    </row>
    <row r="151" spans="2:32" hidden="1" x14ac:dyDescent="0.25">
      <c r="B151" s="1" t="s">
        <v>4746</v>
      </c>
      <c r="C151" s="444" t="s">
        <v>1368</v>
      </c>
      <c r="D151" s="387" t="s">
        <v>1115</v>
      </c>
      <c r="E151" s="444" t="s">
        <v>1381</v>
      </c>
      <c r="F151" s="407" t="s">
        <v>3201</v>
      </c>
      <c r="G151" s="553"/>
      <c r="H151" s="553"/>
      <c r="I151" s="553"/>
      <c r="J151" s="553" t="s">
        <v>3802</v>
      </c>
      <c r="K151" s="553" t="s">
        <v>4663</v>
      </c>
      <c r="L151" s="442">
        <v>70.2</v>
      </c>
      <c r="M151" s="387">
        <v>0</v>
      </c>
      <c r="N151" s="387">
        <f t="shared" si="20"/>
        <v>70.2</v>
      </c>
      <c r="O151" s="442">
        <f t="shared" ref="O151:O153" si="23">L151*AA151</f>
        <v>69.533100000000005</v>
      </c>
      <c r="P151" s="387" t="s">
        <v>5101</v>
      </c>
      <c r="Q151" s="443">
        <v>3778</v>
      </c>
      <c r="R151" s="443"/>
      <c r="S151" s="459">
        <v>0</v>
      </c>
      <c r="T151" s="461">
        <f t="shared" si="17"/>
        <v>3778</v>
      </c>
      <c r="U151" s="435"/>
      <c r="V151" s="436">
        <v>1</v>
      </c>
      <c r="W151" s="436">
        <v>1</v>
      </c>
      <c r="X151" s="436">
        <v>0.99</v>
      </c>
      <c r="Y151" s="436">
        <v>0.9</v>
      </c>
      <c r="Z151" s="436">
        <v>0</v>
      </c>
      <c r="AA151" s="437">
        <f>IF(T151,AB151/T151,0)</f>
        <v>0.99050000000000005</v>
      </c>
      <c r="AB151" s="455">
        <f t="shared" si="21"/>
        <v>3742.1090000000004</v>
      </c>
      <c r="AC151" s="458">
        <v>0</v>
      </c>
      <c r="AD151" s="554"/>
      <c r="AE151" s="482"/>
      <c r="AF151" s="483"/>
    </row>
    <row r="152" spans="2:32" hidden="1" x14ac:dyDescent="0.25">
      <c r="B152" s="1" t="s">
        <v>4747</v>
      </c>
      <c r="C152" s="444" t="s">
        <v>1368</v>
      </c>
      <c r="D152" s="387" t="s">
        <v>1115</v>
      </c>
      <c r="E152" s="444" t="s">
        <v>1396</v>
      </c>
      <c r="F152" s="407" t="s">
        <v>3201</v>
      </c>
      <c r="G152" s="553"/>
      <c r="H152" s="553"/>
      <c r="I152" s="553"/>
      <c r="J152" s="553" t="s">
        <v>3803</v>
      </c>
      <c r="K152" s="553" t="s">
        <v>4664</v>
      </c>
      <c r="L152" s="442">
        <v>2.63</v>
      </c>
      <c r="M152" s="387">
        <v>0</v>
      </c>
      <c r="N152" s="387">
        <f t="shared" si="20"/>
        <v>2.63</v>
      </c>
      <c r="O152" s="442">
        <f t="shared" si="23"/>
        <v>2.38015</v>
      </c>
      <c r="P152" s="387" t="s">
        <v>5101</v>
      </c>
      <c r="Q152" s="443">
        <v>1100</v>
      </c>
      <c r="R152" s="443"/>
      <c r="S152" s="459">
        <v>0</v>
      </c>
      <c r="T152" s="461">
        <f t="shared" si="17"/>
        <v>1100</v>
      </c>
      <c r="U152" s="435"/>
      <c r="V152" s="411">
        <v>1</v>
      </c>
      <c r="W152" s="411">
        <v>1</v>
      </c>
      <c r="X152" s="411">
        <v>0.9</v>
      </c>
      <c r="Y152" s="411">
        <v>0</v>
      </c>
      <c r="Z152" s="411">
        <v>0</v>
      </c>
      <c r="AA152" s="437">
        <f>IF(T152,AB152/T152,0)</f>
        <v>0.90500000000000003</v>
      </c>
      <c r="AB152" s="455">
        <f t="shared" si="21"/>
        <v>995.5</v>
      </c>
      <c r="AC152" s="458">
        <v>0</v>
      </c>
      <c r="AD152" s="554"/>
      <c r="AE152" s="482"/>
      <c r="AF152" s="483"/>
    </row>
    <row r="153" spans="2:32" hidden="1" x14ac:dyDescent="0.25">
      <c r="B153" s="1" t="s">
        <v>4819</v>
      </c>
      <c r="C153" s="444" t="s">
        <v>1368</v>
      </c>
      <c r="D153" s="387" t="s">
        <v>1115</v>
      </c>
      <c r="E153" s="444" t="s">
        <v>1374</v>
      </c>
      <c r="F153" s="407" t="s">
        <v>3201</v>
      </c>
      <c r="G153" s="553"/>
      <c r="H153" s="553"/>
      <c r="I153" s="553"/>
      <c r="J153" s="553"/>
      <c r="K153" s="553" t="s">
        <v>4753</v>
      </c>
      <c r="L153" s="442">
        <v>46.55</v>
      </c>
      <c r="M153" s="387">
        <v>0</v>
      </c>
      <c r="N153" s="387">
        <f t="shared" si="20"/>
        <v>46.55</v>
      </c>
      <c r="O153" s="442">
        <f t="shared" si="23"/>
        <v>39.102000000000004</v>
      </c>
      <c r="P153" s="387" t="s">
        <v>5101</v>
      </c>
      <c r="Q153" s="443">
        <v>1772.71</v>
      </c>
      <c r="R153" s="443"/>
      <c r="S153" s="459">
        <v>0</v>
      </c>
      <c r="T153" s="461">
        <v>1772.71</v>
      </c>
      <c r="U153" s="435"/>
      <c r="V153" s="557">
        <v>1</v>
      </c>
      <c r="W153" s="557">
        <v>0.95</v>
      </c>
      <c r="X153" s="557">
        <v>0.8</v>
      </c>
      <c r="Y153" s="557">
        <v>0</v>
      </c>
      <c r="Z153" s="557">
        <v>0</v>
      </c>
      <c r="AA153" s="437">
        <f>IF(T153,AB153/T153,0)</f>
        <v>0.84000000000000008</v>
      </c>
      <c r="AB153" s="455">
        <f t="shared" si="21"/>
        <v>1489.0764000000001</v>
      </c>
      <c r="AC153" s="458">
        <v>0</v>
      </c>
      <c r="AD153" s="554"/>
      <c r="AE153" s="482"/>
      <c r="AF153" s="483"/>
    </row>
    <row r="154" spans="2:32" ht="15.75" hidden="1" thickBot="1" x14ac:dyDescent="0.3">
      <c r="B154" s="568" t="s">
        <v>4820</v>
      </c>
      <c r="C154" s="444" t="s">
        <v>1368</v>
      </c>
      <c r="D154" s="387" t="s">
        <v>1115</v>
      </c>
      <c r="E154" s="444" t="s">
        <v>1377</v>
      </c>
      <c r="F154" s="407" t="s">
        <v>3201</v>
      </c>
      <c r="G154" s="553"/>
      <c r="H154" s="553"/>
      <c r="I154" s="553"/>
      <c r="J154" s="553"/>
      <c r="K154" s="553" t="s">
        <v>4767</v>
      </c>
      <c r="L154" s="442">
        <v>20.53</v>
      </c>
      <c r="M154" s="387">
        <v>0</v>
      </c>
      <c r="N154" s="387">
        <f t="shared" ref="N154:N157" si="24">L154+M154</f>
        <v>20.53</v>
      </c>
      <c r="O154" s="442">
        <f t="shared" ref="O154:O157" si="25">L154*AA154</f>
        <v>19.503499999999999</v>
      </c>
      <c r="P154" s="387" t="s">
        <v>5101</v>
      </c>
      <c r="Q154" s="443">
        <v>614</v>
      </c>
      <c r="R154" s="443"/>
      <c r="S154" s="459">
        <v>0</v>
      </c>
      <c r="T154" s="461">
        <v>614</v>
      </c>
      <c r="U154" s="435"/>
      <c r="V154" s="411">
        <v>1</v>
      </c>
      <c r="W154" s="411">
        <v>1</v>
      </c>
      <c r="X154" s="411">
        <v>1</v>
      </c>
      <c r="Y154" s="411">
        <v>0</v>
      </c>
      <c r="Z154" s="411">
        <v>0</v>
      </c>
      <c r="AA154" s="437">
        <f>IF(T154,AB154/T154,0)</f>
        <v>0.95</v>
      </c>
      <c r="AB154" s="455">
        <f t="shared" si="21"/>
        <v>583.29999999999995</v>
      </c>
      <c r="AC154" s="458">
        <v>0</v>
      </c>
      <c r="AD154" s="554"/>
      <c r="AE154" s="482"/>
      <c r="AF154" s="483"/>
    </row>
    <row r="155" spans="2:32" hidden="1" x14ac:dyDescent="0.25">
      <c r="B155" s="430" t="s">
        <v>4965</v>
      </c>
      <c r="C155" s="444" t="s">
        <v>1368</v>
      </c>
      <c r="D155" s="387" t="s">
        <v>1115</v>
      </c>
      <c r="E155" s="444" t="s">
        <v>3291</v>
      </c>
      <c r="F155" s="407" t="s">
        <v>3201</v>
      </c>
      <c r="G155" s="553"/>
      <c r="H155" s="553"/>
      <c r="I155" s="553"/>
      <c r="J155" s="553"/>
      <c r="K155" s="553" t="s">
        <v>4781</v>
      </c>
      <c r="L155" s="442">
        <v>8.3800000000000008</v>
      </c>
      <c r="M155" s="387">
        <v>0</v>
      </c>
      <c r="N155" s="387">
        <f t="shared" si="24"/>
        <v>8.3800000000000008</v>
      </c>
      <c r="O155" s="442">
        <f t="shared" si="25"/>
        <v>6.7040000000000006</v>
      </c>
      <c r="P155" s="387" t="s">
        <v>5101</v>
      </c>
      <c r="Q155" s="443">
        <v>415.15</v>
      </c>
      <c r="R155" s="443"/>
      <c r="S155" s="459">
        <v>0</v>
      </c>
      <c r="T155" s="461">
        <v>415.15</v>
      </c>
      <c r="U155" s="435"/>
      <c r="V155" s="411">
        <v>1</v>
      </c>
      <c r="W155" s="411">
        <v>0.85</v>
      </c>
      <c r="X155" s="411">
        <v>0.8</v>
      </c>
      <c r="Y155" s="411">
        <v>0</v>
      </c>
      <c r="Z155" s="411">
        <v>0</v>
      </c>
      <c r="AA155" s="437">
        <f t="shared" ref="AA155:AA156" si="26">IF(T155,AB155/T155,0)</f>
        <v>0.8</v>
      </c>
      <c r="AB155" s="455">
        <f t="shared" si="21"/>
        <v>332.12</v>
      </c>
      <c r="AC155" s="458">
        <v>0</v>
      </c>
      <c r="AD155" s="554"/>
      <c r="AE155" s="482"/>
      <c r="AF155" s="483"/>
    </row>
    <row r="156" spans="2:32" hidden="1" x14ac:dyDescent="0.25">
      <c r="B156" s="1" t="s">
        <v>5114</v>
      </c>
      <c r="C156" s="444" t="s">
        <v>1368</v>
      </c>
      <c r="D156" s="387" t="s">
        <v>1115</v>
      </c>
      <c r="E156" s="444" t="s">
        <v>3292</v>
      </c>
      <c r="F156" s="407" t="s">
        <v>3201</v>
      </c>
      <c r="G156" s="553"/>
      <c r="H156" s="553"/>
      <c r="I156" s="553"/>
      <c r="J156" s="553"/>
      <c r="K156" s="553" t="s">
        <v>4782</v>
      </c>
      <c r="L156" s="442">
        <v>92</v>
      </c>
      <c r="M156" s="387">
        <v>0</v>
      </c>
      <c r="N156" s="387">
        <f t="shared" si="24"/>
        <v>92</v>
      </c>
      <c r="O156" s="442">
        <f t="shared" si="25"/>
        <v>73.600000000000009</v>
      </c>
      <c r="P156" s="387" t="s">
        <v>5101</v>
      </c>
      <c r="Q156" s="443">
        <v>658.66</v>
      </c>
      <c r="R156" s="443"/>
      <c r="S156" s="459">
        <v>0</v>
      </c>
      <c r="T156" s="461">
        <v>658.66</v>
      </c>
      <c r="U156" s="435"/>
      <c r="V156" s="411">
        <v>1</v>
      </c>
      <c r="W156" s="411">
        <v>0.85</v>
      </c>
      <c r="X156" s="411">
        <v>0.8</v>
      </c>
      <c r="Y156" s="411">
        <v>0</v>
      </c>
      <c r="Z156" s="411">
        <v>0</v>
      </c>
      <c r="AA156" s="437">
        <f t="shared" si="26"/>
        <v>0.8</v>
      </c>
      <c r="AB156" s="455">
        <f t="shared" si="21"/>
        <v>526.928</v>
      </c>
      <c r="AC156" s="458">
        <v>0</v>
      </c>
      <c r="AD156" s="554"/>
      <c r="AE156" s="482"/>
      <c r="AF156" s="483"/>
    </row>
    <row r="157" spans="2:32" hidden="1" x14ac:dyDescent="0.25">
      <c r="B157" s="430" t="s">
        <v>4966</v>
      </c>
      <c r="C157" s="444" t="s">
        <v>1368</v>
      </c>
      <c r="D157" s="387" t="s">
        <v>1115</v>
      </c>
      <c r="E157" s="444" t="s">
        <v>3294</v>
      </c>
      <c r="F157" s="407" t="s">
        <v>3201</v>
      </c>
      <c r="G157" s="553"/>
      <c r="H157" s="553"/>
      <c r="I157" s="553"/>
      <c r="J157" s="553"/>
      <c r="K157" s="553" t="s">
        <v>4783</v>
      </c>
      <c r="L157" s="442">
        <v>11.1</v>
      </c>
      <c r="M157" s="387">
        <v>0</v>
      </c>
      <c r="N157" s="387">
        <f t="shared" si="24"/>
        <v>11.1</v>
      </c>
      <c r="O157" s="442">
        <f t="shared" si="25"/>
        <v>9.1020000000000003</v>
      </c>
      <c r="P157" s="387" t="s">
        <v>5101</v>
      </c>
      <c r="Q157" s="443">
        <v>414.42</v>
      </c>
      <c r="R157" s="443"/>
      <c r="S157" s="459">
        <v>0</v>
      </c>
      <c r="T157" s="461">
        <v>414.42</v>
      </c>
      <c r="U157" s="435"/>
      <c r="V157" s="411">
        <v>1</v>
      </c>
      <c r="W157" s="411">
        <v>0.9</v>
      </c>
      <c r="X157" s="411">
        <v>0.8</v>
      </c>
      <c r="Y157" s="411">
        <v>0</v>
      </c>
      <c r="Z157" s="411">
        <v>0</v>
      </c>
      <c r="AA157" s="437">
        <f t="shared" ref="AA157:AA175" si="27">IF(T157,AB157/T157,0)</f>
        <v>0.82000000000000006</v>
      </c>
      <c r="AB157" s="455">
        <f t="shared" ref="AB157:AB175" si="28">(V157*V$13*T157)+(W157*W$13*T157)+(X157*X$13*T157)+(Y157*Y$13*T157)+(Z157*Z$13*T157)</f>
        <v>339.82440000000003</v>
      </c>
      <c r="AC157" s="458">
        <v>0</v>
      </c>
      <c r="AD157" s="554"/>
      <c r="AE157" s="482"/>
      <c r="AF157" s="483"/>
    </row>
    <row r="158" spans="2:32" hidden="1" x14ac:dyDescent="0.25">
      <c r="B158" s="430" t="s">
        <v>4967</v>
      </c>
      <c r="C158" s="444" t="s">
        <v>1368</v>
      </c>
      <c r="D158" s="387" t="s">
        <v>1115</v>
      </c>
      <c r="E158" s="444" t="s">
        <v>1397</v>
      </c>
      <c r="F158" s="407" t="s">
        <v>3201</v>
      </c>
      <c r="G158" s="553"/>
      <c r="H158" s="553"/>
      <c r="I158" s="553"/>
      <c r="J158" s="553"/>
      <c r="K158" s="553" t="s">
        <v>4941</v>
      </c>
      <c r="L158" s="442">
        <v>37.5</v>
      </c>
      <c r="M158" s="387">
        <v>0</v>
      </c>
      <c r="N158" s="387">
        <f t="shared" ref="N158" si="29">L158+M158</f>
        <v>37.5</v>
      </c>
      <c r="O158" s="442">
        <f t="shared" ref="O158" si="30">L158*AA158</f>
        <v>30</v>
      </c>
      <c r="P158" s="387" t="s">
        <v>5101</v>
      </c>
      <c r="Q158" s="443">
        <v>1689.44</v>
      </c>
      <c r="R158" s="443"/>
      <c r="S158" s="459">
        <v>0</v>
      </c>
      <c r="T158" s="461">
        <v>1689.44</v>
      </c>
      <c r="U158" s="435"/>
      <c r="V158" s="411">
        <v>1</v>
      </c>
      <c r="W158" s="411">
        <v>0.85</v>
      </c>
      <c r="X158" s="411">
        <v>0.8</v>
      </c>
      <c r="Y158" s="411">
        <v>0</v>
      </c>
      <c r="Z158" s="411">
        <v>0</v>
      </c>
      <c r="AA158" s="437">
        <f t="shared" si="27"/>
        <v>0.8</v>
      </c>
      <c r="AB158" s="455">
        <f t="shared" si="28"/>
        <v>1351.5520000000001</v>
      </c>
      <c r="AC158" s="458">
        <v>0</v>
      </c>
      <c r="AD158" s="554"/>
      <c r="AE158" s="482"/>
      <c r="AF158" s="483"/>
    </row>
    <row r="159" spans="2:32" hidden="1" x14ac:dyDescent="0.25">
      <c r="B159" s="430" t="s">
        <v>5115</v>
      </c>
      <c r="C159" s="444" t="s">
        <v>1368</v>
      </c>
      <c r="D159" s="387" t="s">
        <v>1115</v>
      </c>
      <c r="E159" s="444" t="s">
        <v>1399</v>
      </c>
      <c r="F159" s="407" t="s">
        <v>3201</v>
      </c>
      <c r="G159" s="553"/>
      <c r="H159" s="553"/>
      <c r="I159" s="553"/>
      <c r="J159" s="553"/>
      <c r="K159" s="553" t="s">
        <v>5038</v>
      </c>
      <c r="L159" s="442">
        <v>57.93</v>
      </c>
      <c r="M159" s="387">
        <v>0</v>
      </c>
      <c r="N159" s="387">
        <f t="shared" ref="N159:N161" si="31">L159+M159</f>
        <v>57.93</v>
      </c>
      <c r="O159" s="442">
        <f t="shared" ref="O159:O162" si="32">L159*AA159</f>
        <v>38.813099999999999</v>
      </c>
      <c r="P159" s="387" t="s">
        <v>5101</v>
      </c>
      <c r="Q159" s="443">
        <v>2991</v>
      </c>
      <c r="R159" s="443"/>
      <c r="S159" s="459">
        <v>0</v>
      </c>
      <c r="T159" s="461">
        <v>2991</v>
      </c>
      <c r="U159" s="435"/>
      <c r="V159" s="411">
        <v>1</v>
      </c>
      <c r="W159" s="411">
        <v>0.75</v>
      </c>
      <c r="X159" s="411">
        <v>0.6</v>
      </c>
      <c r="Y159" s="411">
        <v>0</v>
      </c>
      <c r="Z159" s="411">
        <v>0</v>
      </c>
      <c r="AA159" s="437">
        <f t="shared" ref="AA159" si="33">IF(T159,AB159/T159,0)</f>
        <v>0.67</v>
      </c>
      <c r="AB159" s="455">
        <f t="shared" ref="AB159" si="34">(V159*V$13*T159)+(W159*W$13*T159)+(X159*X$13*T159)+(Y159*Y$13*T159)+(Z159*Z$13*T159)</f>
        <v>2003.9700000000003</v>
      </c>
      <c r="AC159" s="458">
        <v>0</v>
      </c>
      <c r="AD159" s="554"/>
      <c r="AE159" s="482"/>
      <c r="AF159" s="483"/>
    </row>
    <row r="160" spans="2:32" hidden="1" x14ac:dyDescent="0.25">
      <c r="B160" s="1" t="s">
        <v>5116</v>
      </c>
      <c r="C160" s="444" t="s">
        <v>1368</v>
      </c>
      <c r="D160" s="387" t="s">
        <v>1115</v>
      </c>
      <c r="E160" s="444" t="s">
        <v>1400</v>
      </c>
      <c r="F160" s="407" t="s">
        <v>3201</v>
      </c>
      <c r="G160" s="553"/>
      <c r="H160" s="553"/>
      <c r="I160" s="553"/>
      <c r="J160" s="553"/>
      <c r="K160" s="553" t="s">
        <v>5044</v>
      </c>
      <c r="L160" s="442">
        <v>43</v>
      </c>
      <c r="M160" s="387">
        <v>0</v>
      </c>
      <c r="N160" s="387">
        <f t="shared" si="31"/>
        <v>43</v>
      </c>
      <c r="O160" s="442">
        <f t="shared" si="32"/>
        <v>19.565000000000001</v>
      </c>
      <c r="P160" s="387" t="s">
        <v>5101</v>
      </c>
      <c r="Q160" s="443">
        <v>2847</v>
      </c>
      <c r="R160" s="443"/>
      <c r="S160" s="459">
        <v>0</v>
      </c>
      <c r="T160" s="461">
        <v>2847</v>
      </c>
      <c r="U160" s="435"/>
      <c r="V160" s="411">
        <v>1</v>
      </c>
      <c r="W160" s="411">
        <v>0.55000000000000004</v>
      </c>
      <c r="X160" s="411">
        <v>0.3</v>
      </c>
      <c r="Y160" s="411">
        <v>0</v>
      </c>
      <c r="Z160" s="411">
        <v>0</v>
      </c>
      <c r="AA160" s="437">
        <f t="shared" ref="AA160" si="35">IF(T160,AB160/T160,0)</f>
        <v>0.45500000000000002</v>
      </c>
      <c r="AB160" s="455">
        <f t="shared" ref="AB160" si="36">(V160*V$13*T160)+(W160*W$13*T160)+(X160*X$13*T160)+(Y160*Y$13*T160)+(Z160*Z$13*T160)</f>
        <v>1295.385</v>
      </c>
      <c r="AC160" s="458">
        <v>0</v>
      </c>
      <c r="AD160" s="554"/>
      <c r="AE160" s="482"/>
      <c r="AF160" s="483"/>
    </row>
    <row r="161" spans="2:32" hidden="1" x14ac:dyDescent="0.25">
      <c r="B161" s="1" t="s">
        <v>5117</v>
      </c>
      <c r="C161" s="444" t="s">
        <v>1368</v>
      </c>
      <c r="D161" s="387" t="s">
        <v>1115</v>
      </c>
      <c r="E161" s="444" t="s">
        <v>1401</v>
      </c>
      <c r="F161" s="407" t="s">
        <v>3201</v>
      </c>
      <c r="G161" s="553"/>
      <c r="H161" s="553"/>
      <c r="I161" s="553"/>
      <c r="J161" s="553"/>
      <c r="K161" s="553" t="s">
        <v>5045</v>
      </c>
      <c r="L161" s="442">
        <v>42</v>
      </c>
      <c r="M161" s="387">
        <v>0</v>
      </c>
      <c r="N161" s="387">
        <f t="shared" si="31"/>
        <v>42</v>
      </c>
      <c r="O161" s="442">
        <f t="shared" si="32"/>
        <v>7.98</v>
      </c>
      <c r="P161" s="387" t="s">
        <v>5101</v>
      </c>
      <c r="Q161" s="443">
        <v>1453.84</v>
      </c>
      <c r="R161" s="443"/>
      <c r="S161" s="459">
        <v>0</v>
      </c>
      <c r="T161" s="461">
        <v>1453.84</v>
      </c>
      <c r="U161" s="435"/>
      <c r="V161" s="411">
        <v>0.85</v>
      </c>
      <c r="W161" s="411">
        <v>0.15</v>
      </c>
      <c r="X161" s="411">
        <v>0.1</v>
      </c>
      <c r="Y161" s="411">
        <v>0</v>
      </c>
      <c r="Z161" s="411">
        <v>0</v>
      </c>
      <c r="AA161" s="437">
        <f t="shared" ref="AA161" si="37">IF(T161,AB161/T161,0)</f>
        <v>0.19</v>
      </c>
      <c r="AB161" s="455">
        <f t="shared" ref="AB161" si="38">(V161*V$13*T161)+(W161*W$13*T161)+(X161*X$13*T161)+(Y161*Y$13*T161)+(Z161*Z$13*T161)</f>
        <v>276.2296</v>
      </c>
      <c r="AC161" s="458">
        <v>0</v>
      </c>
      <c r="AD161" s="554"/>
      <c r="AE161" s="482"/>
      <c r="AF161" s="483"/>
    </row>
    <row r="162" spans="2:32" hidden="1" x14ac:dyDescent="0.25">
      <c r="B162" s="1" t="s">
        <v>5118</v>
      </c>
      <c r="C162" s="444" t="s">
        <v>1368</v>
      </c>
      <c r="D162" s="387" t="s">
        <v>1115</v>
      </c>
      <c r="E162" s="444" t="s">
        <v>1398</v>
      </c>
      <c r="F162" s="407" t="s">
        <v>3201</v>
      </c>
      <c r="G162" s="553"/>
      <c r="H162" s="553"/>
      <c r="I162" s="553"/>
      <c r="J162" s="553"/>
      <c r="K162" s="553" t="s">
        <v>5089</v>
      </c>
      <c r="L162" s="442">
        <v>37.770000000000003</v>
      </c>
      <c r="M162" s="387">
        <v>0</v>
      </c>
      <c r="N162" s="387">
        <v>214.4</v>
      </c>
      <c r="O162" s="442">
        <f t="shared" si="32"/>
        <v>31.821224999999998</v>
      </c>
      <c r="P162" s="387" t="s">
        <v>5101</v>
      </c>
      <c r="Q162" s="443">
        <v>1469.13</v>
      </c>
      <c r="R162" s="443"/>
      <c r="S162" s="459">
        <v>0</v>
      </c>
      <c r="T162" s="461">
        <v>1469.13</v>
      </c>
      <c r="U162" s="435"/>
      <c r="V162" s="411">
        <v>1</v>
      </c>
      <c r="W162" s="411">
        <v>0.9</v>
      </c>
      <c r="X162" s="411">
        <v>0.85</v>
      </c>
      <c r="Y162" s="411">
        <v>0</v>
      </c>
      <c r="Z162" s="411">
        <v>0</v>
      </c>
      <c r="AA162" s="437">
        <f t="shared" ref="AA162" si="39">IF(T162,AB162/T162,0)</f>
        <v>0.84249999999999992</v>
      </c>
      <c r="AB162" s="455">
        <f t="shared" ref="AB162" si="40">(V162*V$13*T162)+(W162*W$13*T162)+(X162*X$13*T162)+(Y162*Y$13*T162)+(Z162*Z$13*T162)</f>
        <v>1237.742025</v>
      </c>
      <c r="AC162" s="458">
        <v>0</v>
      </c>
      <c r="AD162" s="554"/>
      <c r="AE162" s="482"/>
      <c r="AF162" s="483"/>
    </row>
    <row r="163" spans="2:32" hidden="1" x14ac:dyDescent="0.25">
      <c r="B163" s="430"/>
      <c r="C163" s="444" t="s">
        <v>1368</v>
      </c>
      <c r="D163" s="387" t="s">
        <v>1115</v>
      </c>
      <c r="E163" s="444" t="s">
        <v>1425</v>
      </c>
      <c r="F163" s="407" t="s">
        <v>3201</v>
      </c>
      <c r="G163" s="553"/>
      <c r="H163" s="553"/>
      <c r="I163" s="553"/>
      <c r="J163" s="553"/>
      <c r="K163" s="553" t="s">
        <v>5090</v>
      </c>
      <c r="L163" s="442">
        <v>1</v>
      </c>
      <c r="M163" s="387">
        <v>0</v>
      </c>
      <c r="N163" s="387"/>
      <c r="O163" s="442"/>
      <c r="P163" s="387"/>
      <c r="Q163" s="443"/>
      <c r="R163" s="443"/>
      <c r="S163" s="459">
        <v>0</v>
      </c>
      <c r="T163" s="461">
        <v>17.16</v>
      </c>
      <c r="U163" s="435"/>
      <c r="V163" s="411">
        <v>0</v>
      </c>
      <c r="W163" s="411">
        <v>0</v>
      </c>
      <c r="X163" s="411">
        <v>0</v>
      </c>
      <c r="Y163" s="411">
        <v>0</v>
      </c>
      <c r="Z163" s="411">
        <v>0</v>
      </c>
      <c r="AA163" s="437">
        <f t="shared" ref="AA163:AA164" si="41">IF(T163,AB163/T163,0)</f>
        <v>0</v>
      </c>
      <c r="AB163" s="455">
        <f t="shared" ref="AB163:AB164" si="42">(V163*V$13*T163)+(W163*W$13*T163)+(X163*X$13*T163)+(Y163*Y$13*T163)+(Z163*Z$13*T163)</f>
        <v>0</v>
      </c>
      <c r="AC163" s="458">
        <v>0</v>
      </c>
      <c r="AD163" s="554"/>
      <c r="AE163" s="482"/>
      <c r="AF163" s="483"/>
    </row>
    <row r="164" spans="2:32" hidden="1" x14ac:dyDescent="0.25">
      <c r="B164" s="1" t="s">
        <v>5119</v>
      </c>
      <c r="C164" s="444" t="s">
        <v>1368</v>
      </c>
      <c r="D164" s="387" t="s">
        <v>1115</v>
      </c>
      <c r="E164" s="444" t="s">
        <v>1426</v>
      </c>
      <c r="F164" s="407" t="s">
        <v>3201</v>
      </c>
      <c r="G164" s="553"/>
      <c r="H164" s="553"/>
      <c r="I164" s="553"/>
      <c r="J164" s="553"/>
      <c r="K164" s="553" t="s">
        <v>5091</v>
      </c>
      <c r="L164" s="442">
        <v>38</v>
      </c>
      <c r="M164" s="387">
        <v>0</v>
      </c>
      <c r="N164" s="387"/>
      <c r="O164" s="442"/>
      <c r="P164" s="387" t="s">
        <v>5101</v>
      </c>
      <c r="Q164" s="443">
        <v>1270.33</v>
      </c>
      <c r="R164" s="443"/>
      <c r="S164" s="459">
        <v>0</v>
      </c>
      <c r="T164" s="461">
        <v>1270.33</v>
      </c>
      <c r="U164" s="435"/>
      <c r="V164" s="411">
        <v>0.2</v>
      </c>
      <c r="W164" s="411">
        <v>0.2</v>
      </c>
      <c r="X164" s="411">
        <v>0.2</v>
      </c>
      <c r="Y164" s="411">
        <v>0</v>
      </c>
      <c r="Z164" s="411">
        <v>0</v>
      </c>
      <c r="AA164" s="437">
        <f t="shared" si="41"/>
        <v>0.19000000000000003</v>
      </c>
      <c r="AB164" s="455">
        <f t="shared" si="42"/>
        <v>241.36270000000002</v>
      </c>
      <c r="AC164" s="458">
        <v>0</v>
      </c>
      <c r="AD164" s="554"/>
      <c r="AE164" s="482"/>
      <c r="AF164" s="483"/>
    </row>
    <row r="165" spans="2:32" hidden="1" x14ac:dyDescent="0.25">
      <c r="B165" s="430"/>
      <c r="C165" s="444" t="s">
        <v>1368</v>
      </c>
      <c r="D165" s="387" t="s">
        <v>1115</v>
      </c>
      <c r="E165" s="444" t="s">
        <v>1427</v>
      </c>
      <c r="F165" s="407" t="s">
        <v>3201</v>
      </c>
      <c r="G165" s="553"/>
      <c r="H165" s="553"/>
      <c r="I165" s="553"/>
      <c r="J165" s="553"/>
      <c r="K165" s="553" t="s">
        <v>5092</v>
      </c>
      <c r="L165" s="442">
        <v>5.7</v>
      </c>
      <c r="M165" s="387">
        <v>0</v>
      </c>
      <c r="N165" s="387"/>
      <c r="O165" s="442"/>
      <c r="P165" s="387" t="s">
        <v>5101</v>
      </c>
      <c r="Q165" s="443"/>
      <c r="R165" s="443"/>
      <c r="S165" s="459">
        <v>0</v>
      </c>
      <c r="T165" s="461">
        <v>166.65</v>
      </c>
      <c r="U165" s="435"/>
      <c r="V165" s="411">
        <v>0</v>
      </c>
      <c r="W165" s="411">
        <v>0</v>
      </c>
      <c r="X165" s="411">
        <v>0</v>
      </c>
      <c r="Y165" s="411">
        <v>0</v>
      </c>
      <c r="Z165" s="411">
        <v>0</v>
      </c>
      <c r="AA165" s="437">
        <f t="shared" ref="AA165:AA171" si="43">IF(T165,AB165/T165,0)</f>
        <v>0</v>
      </c>
      <c r="AB165" s="455">
        <f t="shared" ref="AB165:AB171" si="44">(V165*V$13*T165)+(W165*W$13*T165)+(X165*X$13*T165)+(Y165*Y$13*T165)+(Z165*Z$13*T165)</f>
        <v>0</v>
      </c>
      <c r="AC165" s="458">
        <v>0</v>
      </c>
      <c r="AD165" s="554"/>
      <c r="AE165" s="482"/>
      <c r="AF165" s="483"/>
    </row>
    <row r="166" spans="2:32" hidden="1" x14ac:dyDescent="0.25">
      <c r="B166" s="430"/>
      <c r="C166" s="444" t="s">
        <v>1368</v>
      </c>
      <c r="D166" s="387" t="s">
        <v>1115</v>
      </c>
      <c r="E166" s="444" t="s">
        <v>1428</v>
      </c>
      <c r="F166" s="407" t="s">
        <v>3201</v>
      </c>
      <c r="G166" s="553"/>
      <c r="H166" s="553"/>
      <c r="I166" s="553"/>
      <c r="J166" s="553"/>
      <c r="K166" s="553" t="s">
        <v>5093</v>
      </c>
      <c r="L166" s="442"/>
      <c r="M166" s="387">
        <v>0</v>
      </c>
      <c r="N166" s="387"/>
      <c r="O166" s="442"/>
      <c r="P166" s="387"/>
      <c r="Q166" s="443"/>
      <c r="R166" s="443"/>
      <c r="S166" s="459">
        <v>0</v>
      </c>
      <c r="T166" s="461">
        <v>314.12</v>
      </c>
      <c r="U166" s="435"/>
      <c r="V166" s="411">
        <v>0</v>
      </c>
      <c r="W166" s="411">
        <v>0</v>
      </c>
      <c r="X166" s="411">
        <v>0</v>
      </c>
      <c r="Y166" s="411">
        <v>0</v>
      </c>
      <c r="Z166" s="411">
        <v>0</v>
      </c>
      <c r="AA166" s="437">
        <f t="shared" si="43"/>
        <v>0</v>
      </c>
      <c r="AB166" s="455">
        <f t="shared" si="44"/>
        <v>0</v>
      </c>
      <c r="AC166" s="458">
        <v>0</v>
      </c>
      <c r="AD166" s="554"/>
      <c r="AE166" s="482"/>
      <c r="AF166" s="483"/>
    </row>
    <row r="167" spans="2:32" hidden="1" x14ac:dyDescent="0.25">
      <c r="B167" s="430"/>
      <c r="C167" s="444" t="s">
        <v>1368</v>
      </c>
      <c r="D167" s="387" t="s">
        <v>1115</v>
      </c>
      <c r="E167" s="444" t="s">
        <v>1429</v>
      </c>
      <c r="F167" s="407" t="s">
        <v>3201</v>
      </c>
      <c r="G167" s="553"/>
      <c r="H167" s="553"/>
      <c r="I167" s="553"/>
      <c r="J167" s="553"/>
      <c r="K167" s="553" t="s">
        <v>5094</v>
      </c>
      <c r="L167" s="442"/>
      <c r="M167" s="387">
        <v>0</v>
      </c>
      <c r="N167" s="387"/>
      <c r="O167" s="442"/>
      <c r="P167" s="387"/>
      <c r="Q167" s="443"/>
      <c r="R167" s="443"/>
      <c r="S167" s="459">
        <v>0</v>
      </c>
      <c r="T167" s="461">
        <v>169.16</v>
      </c>
      <c r="U167" s="435"/>
      <c r="V167" s="411">
        <v>0</v>
      </c>
      <c r="W167" s="411">
        <v>0</v>
      </c>
      <c r="X167" s="411">
        <v>0</v>
      </c>
      <c r="Y167" s="411">
        <v>0</v>
      </c>
      <c r="Z167" s="411">
        <v>0</v>
      </c>
      <c r="AA167" s="437">
        <f t="shared" si="43"/>
        <v>0</v>
      </c>
      <c r="AB167" s="455">
        <f t="shared" si="44"/>
        <v>0</v>
      </c>
      <c r="AC167" s="458">
        <v>0</v>
      </c>
      <c r="AD167" s="554"/>
      <c r="AE167" s="482"/>
      <c r="AF167" s="483"/>
    </row>
    <row r="168" spans="2:32" hidden="1" x14ac:dyDescent="0.25">
      <c r="B168" s="430"/>
      <c r="C168" s="444" t="s">
        <v>1368</v>
      </c>
      <c r="D168" s="387" t="s">
        <v>1115</v>
      </c>
      <c r="E168" s="444" t="s">
        <v>1430</v>
      </c>
      <c r="F168" s="407" t="s">
        <v>3201</v>
      </c>
      <c r="G168" s="553"/>
      <c r="H168" s="553"/>
      <c r="I168" s="553"/>
      <c r="J168" s="553"/>
      <c r="K168" s="553" t="s">
        <v>5095</v>
      </c>
      <c r="L168" s="442"/>
      <c r="M168" s="387">
        <v>0</v>
      </c>
      <c r="N168" s="387"/>
      <c r="O168" s="442"/>
      <c r="P168" s="387"/>
      <c r="Q168" s="443"/>
      <c r="R168" s="443"/>
      <c r="S168" s="459">
        <v>0</v>
      </c>
      <c r="T168" s="461">
        <v>620.25</v>
      </c>
      <c r="U168" s="435"/>
      <c r="V168" s="411">
        <v>0.25</v>
      </c>
      <c r="W168" s="411">
        <v>0.15</v>
      </c>
      <c r="X168" s="411">
        <v>0.1</v>
      </c>
      <c r="Y168" s="411">
        <v>0</v>
      </c>
      <c r="Z168" s="411">
        <v>0</v>
      </c>
      <c r="AA168" s="437">
        <f t="shared" si="43"/>
        <v>0.12999999999999998</v>
      </c>
      <c r="AB168" s="455">
        <f t="shared" si="44"/>
        <v>80.632499999999993</v>
      </c>
      <c r="AC168" s="458">
        <v>0</v>
      </c>
      <c r="AD168" s="554"/>
      <c r="AE168" s="482"/>
      <c r="AF168" s="483"/>
    </row>
    <row r="169" spans="2:32" hidden="1" x14ac:dyDescent="0.25">
      <c r="B169" s="430"/>
      <c r="C169" s="444" t="s">
        <v>1368</v>
      </c>
      <c r="D169" s="387" t="s">
        <v>1115</v>
      </c>
      <c r="E169" s="444" t="s">
        <v>1431</v>
      </c>
      <c r="F169" s="407" t="s">
        <v>3201</v>
      </c>
      <c r="G169" s="553"/>
      <c r="H169" s="553"/>
      <c r="I169" s="553"/>
      <c r="J169" s="553"/>
      <c r="K169" s="553" t="s">
        <v>5096</v>
      </c>
      <c r="L169" s="442"/>
      <c r="M169" s="387">
        <v>0</v>
      </c>
      <c r="N169" s="387"/>
      <c r="O169" s="442"/>
      <c r="P169" s="387"/>
      <c r="Q169" s="443"/>
      <c r="R169" s="443"/>
      <c r="S169" s="459">
        <v>0</v>
      </c>
      <c r="T169" s="461">
        <v>598.37</v>
      </c>
      <c r="U169" s="435"/>
      <c r="V169" s="411">
        <v>0.25</v>
      </c>
      <c r="W169" s="411">
        <v>0.1</v>
      </c>
      <c r="X169" s="411">
        <v>0.05</v>
      </c>
      <c r="Y169" s="411">
        <v>0</v>
      </c>
      <c r="Z169" s="411">
        <v>0</v>
      </c>
      <c r="AA169" s="437">
        <f t="shared" si="43"/>
        <v>8.7500000000000008E-2</v>
      </c>
      <c r="AB169" s="455">
        <f t="shared" si="44"/>
        <v>52.357375000000005</v>
      </c>
      <c r="AC169" s="458">
        <v>0</v>
      </c>
      <c r="AD169" s="554"/>
      <c r="AE169" s="482"/>
      <c r="AF169" s="483"/>
    </row>
    <row r="170" spans="2:32" hidden="1" x14ac:dyDescent="0.25">
      <c r="B170" s="430"/>
      <c r="C170" s="444" t="s">
        <v>1368</v>
      </c>
      <c r="D170" s="387" t="s">
        <v>1115</v>
      </c>
      <c r="E170" s="444" t="s">
        <v>1432</v>
      </c>
      <c r="F170" s="407" t="s">
        <v>3201</v>
      </c>
      <c r="G170" s="553"/>
      <c r="H170" s="553"/>
      <c r="I170" s="553"/>
      <c r="J170" s="553"/>
      <c r="K170" s="553" t="s">
        <v>5097</v>
      </c>
      <c r="L170" s="442"/>
      <c r="M170" s="387">
        <v>0</v>
      </c>
      <c r="N170" s="387"/>
      <c r="O170" s="442"/>
      <c r="P170" s="387"/>
      <c r="Q170" s="443"/>
      <c r="R170" s="443"/>
      <c r="S170" s="459">
        <v>0</v>
      </c>
      <c r="T170" s="461">
        <v>1957.91</v>
      </c>
      <c r="U170" s="435"/>
      <c r="V170" s="411">
        <v>0.1</v>
      </c>
      <c r="W170" s="411">
        <v>0.05</v>
      </c>
      <c r="X170" s="411">
        <v>0.05</v>
      </c>
      <c r="Y170" s="411">
        <v>0</v>
      </c>
      <c r="Z170" s="411">
        <v>0</v>
      </c>
      <c r="AA170" s="437">
        <f t="shared" si="43"/>
        <v>5.2500000000000005E-2</v>
      </c>
      <c r="AB170" s="455">
        <f t="shared" si="44"/>
        <v>102.79027500000001</v>
      </c>
      <c r="AC170" s="458">
        <v>0</v>
      </c>
      <c r="AD170" s="554"/>
      <c r="AE170" s="482"/>
      <c r="AF170" s="483"/>
    </row>
    <row r="171" spans="2:32" hidden="1" x14ac:dyDescent="0.25">
      <c r="B171" s="430"/>
      <c r="C171" s="444" t="s">
        <v>1368</v>
      </c>
      <c r="D171" s="387" t="s">
        <v>1115</v>
      </c>
      <c r="E171" s="444" t="s">
        <v>1433</v>
      </c>
      <c r="F171" s="407" t="s">
        <v>3201</v>
      </c>
      <c r="G171" s="553"/>
      <c r="H171" s="553"/>
      <c r="I171" s="553"/>
      <c r="J171" s="553"/>
      <c r="K171" s="553" t="s">
        <v>5098</v>
      </c>
      <c r="L171" s="442"/>
      <c r="M171" s="387">
        <v>0</v>
      </c>
      <c r="N171" s="387"/>
      <c r="O171" s="442"/>
      <c r="P171" s="387"/>
      <c r="Q171" s="443"/>
      <c r="R171" s="443"/>
      <c r="S171" s="459">
        <v>0</v>
      </c>
      <c r="T171" s="461">
        <v>624.53</v>
      </c>
      <c r="U171" s="435"/>
      <c r="V171" s="411">
        <v>0</v>
      </c>
      <c r="W171" s="411">
        <v>0</v>
      </c>
      <c r="X171" s="411">
        <v>0</v>
      </c>
      <c r="Y171" s="411">
        <v>0</v>
      </c>
      <c r="Z171" s="411">
        <v>0</v>
      </c>
      <c r="AA171" s="437">
        <f t="shared" si="43"/>
        <v>0</v>
      </c>
      <c r="AB171" s="455">
        <f t="shared" si="44"/>
        <v>0</v>
      </c>
      <c r="AC171" s="458">
        <v>0</v>
      </c>
      <c r="AD171" s="554"/>
      <c r="AE171" s="482"/>
      <c r="AF171" s="483"/>
    </row>
    <row r="172" spans="2:32" hidden="1" x14ac:dyDescent="0.25">
      <c r="B172" s="430"/>
      <c r="C172" s="444" t="s">
        <v>1368</v>
      </c>
      <c r="D172" s="387" t="s">
        <v>1115</v>
      </c>
      <c r="E172" s="441" t="s">
        <v>3237</v>
      </c>
      <c r="F172" s="407" t="s">
        <v>3201</v>
      </c>
      <c r="G172" s="553"/>
      <c r="H172" s="553"/>
      <c r="I172" s="553"/>
      <c r="J172" s="553"/>
      <c r="K172" s="553" t="s">
        <v>5254</v>
      </c>
      <c r="L172" s="442">
        <v>3</v>
      </c>
      <c r="M172" s="387">
        <v>0</v>
      </c>
      <c r="N172" s="387"/>
      <c r="O172" s="442"/>
      <c r="P172" s="387"/>
      <c r="Q172" s="461"/>
      <c r="R172" s="443"/>
      <c r="S172" s="459">
        <v>0</v>
      </c>
      <c r="T172" s="461">
        <v>150.44999999999999</v>
      </c>
      <c r="U172" s="435"/>
      <c r="V172" s="411">
        <v>0.5</v>
      </c>
      <c r="W172" s="411">
        <v>0.4</v>
      </c>
      <c r="X172" s="411">
        <v>0.25</v>
      </c>
      <c r="Y172" s="411">
        <v>0</v>
      </c>
      <c r="Z172" s="411">
        <v>0</v>
      </c>
      <c r="AA172" s="437">
        <f t="shared" ref="AA172:AA173" si="45">IF(T172,AB172/T172,0)</f>
        <v>0.32250000000000006</v>
      </c>
      <c r="AB172" s="455">
        <f t="shared" ref="AB172:AB173" si="46">(V172*V$13*T172)+(W172*W$13*T172)+(X172*X$13*T172)+(Y172*Y$13*T172)+(Z172*Z$13*T172)</f>
        <v>48.520125000000007</v>
      </c>
      <c r="AC172" s="458"/>
      <c r="AD172" s="554"/>
      <c r="AE172" s="482"/>
      <c r="AF172" s="483"/>
    </row>
    <row r="173" spans="2:32" hidden="1" x14ac:dyDescent="0.25">
      <c r="B173" s="430"/>
      <c r="C173" s="444" t="s">
        <v>1368</v>
      </c>
      <c r="D173" s="387" t="s">
        <v>1115</v>
      </c>
      <c r="E173" s="441" t="s">
        <v>3239</v>
      </c>
      <c r="F173" s="407" t="s">
        <v>3201</v>
      </c>
      <c r="G173" s="553"/>
      <c r="H173" s="553"/>
      <c r="I173" s="553"/>
      <c r="J173" s="553"/>
      <c r="K173" s="553" t="s">
        <v>5255</v>
      </c>
      <c r="L173" s="442">
        <v>0.92200000000000004</v>
      </c>
      <c r="M173" s="387">
        <v>0</v>
      </c>
      <c r="N173" s="387"/>
      <c r="O173" s="442"/>
      <c r="P173" s="387"/>
      <c r="Q173" s="461"/>
      <c r="R173" s="443"/>
      <c r="S173" s="459">
        <v>0</v>
      </c>
      <c r="T173" s="461">
        <v>125.27</v>
      </c>
      <c r="U173" s="435"/>
      <c r="V173" s="411">
        <v>0.5</v>
      </c>
      <c r="W173" s="411">
        <v>0.4</v>
      </c>
      <c r="X173" s="411">
        <v>0.25</v>
      </c>
      <c r="Y173" s="411">
        <v>0</v>
      </c>
      <c r="Z173" s="411">
        <v>0</v>
      </c>
      <c r="AA173" s="437">
        <f t="shared" si="45"/>
        <v>0.32250000000000001</v>
      </c>
      <c r="AB173" s="455">
        <f t="shared" si="46"/>
        <v>40.399574999999999</v>
      </c>
      <c r="AC173" s="458"/>
      <c r="AD173" s="554"/>
      <c r="AE173" s="482"/>
      <c r="AF173" s="483"/>
    </row>
    <row r="174" spans="2:32" hidden="1" x14ac:dyDescent="0.25">
      <c r="B174" s="430" t="s">
        <v>4957</v>
      </c>
      <c r="C174" s="444" t="s">
        <v>1368</v>
      </c>
      <c r="D174" s="387" t="s">
        <v>1115</v>
      </c>
      <c r="E174" s="444" t="s">
        <v>4872</v>
      </c>
      <c r="F174" s="407" t="s">
        <v>3201</v>
      </c>
      <c r="G174" s="553"/>
      <c r="H174" s="553"/>
      <c r="I174" s="553"/>
      <c r="J174" s="553"/>
      <c r="K174" s="553" t="s">
        <v>4961</v>
      </c>
      <c r="L174" s="442"/>
      <c r="M174" s="387">
        <v>0</v>
      </c>
      <c r="N174" s="387"/>
      <c r="O174" s="442"/>
      <c r="P174" s="387"/>
      <c r="Q174" s="443"/>
      <c r="R174" s="443"/>
      <c r="S174" s="459">
        <v>0</v>
      </c>
      <c r="T174" s="461">
        <v>1400</v>
      </c>
      <c r="U174" s="435"/>
      <c r="V174" s="411">
        <v>1</v>
      </c>
      <c r="W174" s="411">
        <v>1</v>
      </c>
      <c r="X174" s="411">
        <v>1</v>
      </c>
      <c r="Y174" s="411">
        <v>0</v>
      </c>
      <c r="Z174" s="411">
        <v>0</v>
      </c>
      <c r="AA174" s="437">
        <f t="shared" si="27"/>
        <v>0.95</v>
      </c>
      <c r="AB174" s="455">
        <f t="shared" si="28"/>
        <v>1330</v>
      </c>
      <c r="AC174" s="458">
        <v>0</v>
      </c>
      <c r="AD174" s="554"/>
      <c r="AE174" s="482"/>
      <c r="AF174" s="483"/>
    </row>
    <row r="175" spans="2:32" hidden="1" x14ac:dyDescent="0.25">
      <c r="B175" s="430" t="s">
        <v>4968</v>
      </c>
      <c r="C175" s="444" t="s">
        <v>1368</v>
      </c>
      <c r="D175" s="387" t="s">
        <v>1115</v>
      </c>
      <c r="E175" s="444" t="s">
        <v>4872</v>
      </c>
      <c r="F175" s="407" t="s">
        <v>3201</v>
      </c>
      <c r="G175" s="553"/>
      <c r="H175" s="553"/>
      <c r="I175" s="553"/>
      <c r="J175" s="553"/>
      <c r="K175" s="553" t="s">
        <v>4964</v>
      </c>
      <c r="L175" s="442"/>
      <c r="M175" s="387">
        <v>0</v>
      </c>
      <c r="N175" s="387"/>
      <c r="O175" s="471"/>
      <c r="P175" s="387"/>
      <c r="Q175" s="443"/>
      <c r="R175" s="443"/>
      <c r="S175" s="459">
        <v>0</v>
      </c>
      <c r="T175" s="443">
        <v>1400</v>
      </c>
      <c r="U175" s="435"/>
      <c r="V175" s="411">
        <v>1</v>
      </c>
      <c r="W175" s="411">
        <v>1</v>
      </c>
      <c r="X175" s="411">
        <v>1</v>
      </c>
      <c r="Y175" s="411">
        <v>0</v>
      </c>
      <c r="Z175" s="411">
        <v>0</v>
      </c>
      <c r="AA175" s="437">
        <f t="shared" si="27"/>
        <v>0.95</v>
      </c>
      <c r="AB175" s="455">
        <f t="shared" si="28"/>
        <v>1330</v>
      </c>
      <c r="AC175" s="458">
        <v>0</v>
      </c>
    </row>
    <row r="176" spans="2:32" hidden="1" x14ac:dyDescent="0.25">
      <c r="B176" s="393" t="s">
        <v>6</v>
      </c>
      <c r="C176" s="394" t="s">
        <v>7</v>
      </c>
      <c r="D176" s="394" t="s">
        <v>18</v>
      </c>
      <c r="E176" s="394" t="s">
        <v>1354</v>
      </c>
      <c r="F176" s="537" t="s">
        <v>3199</v>
      </c>
      <c r="G176" s="537" t="s">
        <v>3200</v>
      </c>
      <c r="H176" s="537" t="s">
        <v>3202</v>
      </c>
      <c r="I176" s="537" t="s">
        <v>1353</v>
      </c>
      <c r="J176" s="537" t="s">
        <v>3425</v>
      </c>
      <c r="K176" s="394" t="s">
        <v>3147</v>
      </c>
      <c r="L176" s="446"/>
      <c r="M176" s="447"/>
      <c r="N176" s="447"/>
      <c r="O176" s="476"/>
      <c r="P176" s="447"/>
      <c r="Q176" s="447"/>
      <c r="R176" s="447"/>
      <c r="S176" s="448"/>
      <c r="T176" s="448"/>
      <c r="U176" s="449"/>
      <c r="V176" s="450" t="s">
        <v>103</v>
      </c>
      <c r="W176" s="450" t="s">
        <v>338</v>
      </c>
      <c r="X176" s="450"/>
      <c r="Y176" s="450" t="s">
        <v>4754</v>
      </c>
      <c r="Z176" s="450"/>
      <c r="AA176" s="451"/>
      <c r="AB176" s="446"/>
      <c r="AC176" s="446"/>
      <c r="AD176" s="452"/>
      <c r="AE176" s="453"/>
      <c r="AF176" s="454"/>
    </row>
    <row r="177" spans="2:32" ht="21" hidden="1" customHeight="1" x14ac:dyDescent="0.25">
      <c r="B177" s="539"/>
      <c r="C177" s="540"/>
      <c r="D177" s="540"/>
      <c r="E177" s="541"/>
      <c r="F177" s="541"/>
      <c r="G177" s="540"/>
      <c r="H177" s="540"/>
      <c r="I177" s="540"/>
      <c r="J177" s="540"/>
      <c r="K177" s="365" t="s">
        <v>1352</v>
      </c>
      <c r="L177" s="546">
        <f>SUM(L178:L361)</f>
        <v>184</v>
      </c>
      <c r="M177" s="540">
        <f>SUM(M178:M354)</f>
        <v>0</v>
      </c>
      <c r="N177" s="546">
        <f>SUM(N178:N361)</f>
        <v>179</v>
      </c>
      <c r="O177" s="550">
        <f>SUM(O178:O361)</f>
        <v>24.560000000000002</v>
      </c>
      <c r="P177" s="540"/>
      <c r="Q177" s="550">
        <f>SUM(Q178:Q361)</f>
        <v>17741.850000000049</v>
      </c>
      <c r="R177" s="546">
        <f>SUM(R178:R361)</f>
        <v>247</v>
      </c>
      <c r="S177" s="543">
        <f>SUM(S178:S361)</f>
        <v>0</v>
      </c>
      <c r="T177" s="543">
        <f>SUM(T178:T361)</f>
        <v>18180.740000000053</v>
      </c>
      <c r="U177" s="540"/>
      <c r="V177" s="544">
        <v>0.05</v>
      </c>
      <c r="W177" s="544">
        <v>0.85</v>
      </c>
      <c r="X177" s="544">
        <v>0</v>
      </c>
      <c r="Y177" s="544">
        <v>0.1</v>
      </c>
      <c r="Z177" s="544">
        <v>0</v>
      </c>
      <c r="AA177" s="540"/>
      <c r="AB177" s="543">
        <f>SUM(AB178:AB361)</f>
        <v>13731.783200000009</v>
      </c>
      <c r="AC177" s="543">
        <f>7272.5+587.5+542.25+726.75-124+638.5+369+437.25+667+390</f>
        <v>11506.75</v>
      </c>
      <c r="AD177" s="540"/>
      <c r="AE177" s="540"/>
      <c r="AF177" s="545"/>
    </row>
    <row r="178" spans="2:32" hidden="1" x14ac:dyDescent="0.25">
      <c r="B178" s="387" t="s">
        <v>1422</v>
      </c>
      <c r="C178" s="387" t="s">
        <v>1368</v>
      </c>
      <c r="D178" s="3" t="s">
        <v>1224</v>
      </c>
      <c r="E178" s="441" t="s">
        <v>3204</v>
      </c>
      <c r="F178" s="407" t="s">
        <v>3201</v>
      </c>
      <c r="G178" s="413" t="s">
        <v>3327</v>
      </c>
      <c r="H178" s="441" t="s">
        <v>4110</v>
      </c>
      <c r="I178" s="441" t="s">
        <v>4336</v>
      </c>
      <c r="J178" s="407" t="s">
        <v>3820</v>
      </c>
      <c r="K178" s="387" t="s">
        <v>4113</v>
      </c>
      <c r="L178" s="442">
        <v>1</v>
      </c>
      <c r="M178" s="387">
        <v>0</v>
      </c>
      <c r="N178" s="387">
        <f>L178+M178</f>
        <v>1</v>
      </c>
      <c r="O178" s="387">
        <f>L178*AA178</f>
        <v>1</v>
      </c>
      <c r="P178" s="387" t="s">
        <v>1358</v>
      </c>
      <c r="Q178" s="387">
        <v>64.27</v>
      </c>
      <c r="R178" s="387">
        <v>237</v>
      </c>
      <c r="S178" s="2">
        <v>0</v>
      </c>
      <c r="T178" s="459">
        <f>Q178+S178+R178</f>
        <v>301.27</v>
      </c>
      <c r="U178" s="435"/>
      <c r="V178" s="436">
        <v>1</v>
      </c>
      <c r="W178" s="436">
        <v>1</v>
      </c>
      <c r="X178" s="436">
        <v>0</v>
      </c>
      <c r="Y178" s="411">
        <v>1</v>
      </c>
      <c r="Z178" s="436">
        <v>0</v>
      </c>
      <c r="AA178" s="437">
        <f t="shared" ref="AA178:AA181" si="47">IF(T178,AB178/T178,0)</f>
        <v>1</v>
      </c>
      <c r="AB178" s="455">
        <f>(V178*V$177*T178)+(W178*W$177*T178)+(X178*X$177*T178)+(Y178*Y$177*T178)+(Z178*Z$177*T178)</f>
        <v>301.27</v>
      </c>
      <c r="AC178" s="455">
        <v>301</v>
      </c>
      <c r="AD178" s="434"/>
      <c r="AE178" s="438"/>
      <c r="AF178" s="439"/>
    </row>
    <row r="179" spans="2:32" hidden="1" x14ac:dyDescent="0.25">
      <c r="B179" s="387" t="s">
        <v>3153</v>
      </c>
      <c r="C179" s="387" t="s">
        <v>1368</v>
      </c>
      <c r="D179" s="3" t="s">
        <v>1225</v>
      </c>
      <c r="E179" s="441" t="s">
        <v>3205</v>
      </c>
      <c r="F179" s="407" t="s">
        <v>3201</v>
      </c>
      <c r="G179" s="413" t="s">
        <v>3328</v>
      </c>
      <c r="H179" s="413" t="s">
        <v>4109</v>
      </c>
      <c r="I179" s="413" t="s">
        <v>4167</v>
      </c>
      <c r="J179" s="413" t="s">
        <v>3821</v>
      </c>
      <c r="K179" s="413" t="s">
        <v>3630</v>
      </c>
      <c r="L179" s="442">
        <v>1</v>
      </c>
      <c r="M179" s="387">
        <v>0</v>
      </c>
      <c r="N179" s="387">
        <v>1</v>
      </c>
      <c r="O179" s="387">
        <v>1</v>
      </c>
      <c r="P179" s="387" t="s">
        <v>1358</v>
      </c>
      <c r="Q179" s="387">
        <v>193</v>
      </c>
      <c r="R179" s="387"/>
      <c r="S179" s="2"/>
      <c r="T179" s="459">
        <v>192.81</v>
      </c>
      <c r="U179" s="435"/>
      <c r="V179" s="436">
        <v>1</v>
      </c>
      <c r="W179" s="436">
        <v>1</v>
      </c>
      <c r="X179" s="436">
        <v>0</v>
      </c>
      <c r="Y179" s="411">
        <v>1</v>
      </c>
      <c r="Z179" s="436">
        <v>0</v>
      </c>
      <c r="AA179" s="437">
        <f t="shared" si="47"/>
        <v>1</v>
      </c>
      <c r="AB179" s="455">
        <f>(V179*V$177*T179)+(W179*W$177*T179)+(X179*X$177*T179)+(Y179*Y$177*T179)+(Z179*Z$177*T179)</f>
        <v>192.81</v>
      </c>
      <c r="AC179" s="455">
        <v>0</v>
      </c>
      <c r="AD179" s="434"/>
      <c r="AE179" s="438"/>
      <c r="AF179" s="439"/>
    </row>
    <row r="180" spans="2:32" hidden="1" x14ac:dyDescent="0.25">
      <c r="B180" s="387" t="s">
        <v>1470</v>
      </c>
      <c r="C180" s="387" t="s">
        <v>1368</v>
      </c>
      <c r="D180" s="3" t="s">
        <v>1224</v>
      </c>
      <c r="E180" s="441" t="s">
        <v>3206</v>
      </c>
      <c r="F180" s="407" t="s">
        <v>3201</v>
      </c>
      <c r="G180" s="413" t="s">
        <v>3329</v>
      </c>
      <c r="H180" s="413" t="s">
        <v>4110</v>
      </c>
      <c r="I180" s="413" t="s">
        <v>4337</v>
      </c>
      <c r="J180" s="413" t="s">
        <v>3822</v>
      </c>
      <c r="K180" s="413" t="s">
        <v>4114</v>
      </c>
      <c r="L180" s="442">
        <v>1</v>
      </c>
      <c r="M180" s="387">
        <v>0</v>
      </c>
      <c r="N180" s="387">
        <f t="shared" ref="N180:N247" si="48">L180+M180</f>
        <v>1</v>
      </c>
      <c r="O180" s="387">
        <v>0</v>
      </c>
      <c r="P180" s="387" t="s">
        <v>1358</v>
      </c>
      <c r="Q180" s="387">
        <v>64.27</v>
      </c>
      <c r="R180" s="387"/>
      <c r="S180" s="2">
        <v>0</v>
      </c>
      <c r="T180" s="459">
        <f t="shared" ref="T180:T201" si="49">Q180+S180+R180</f>
        <v>64.27</v>
      </c>
      <c r="U180" s="435"/>
      <c r="V180" s="436">
        <v>1</v>
      </c>
      <c r="W180" s="436">
        <v>1</v>
      </c>
      <c r="X180" s="436">
        <v>0</v>
      </c>
      <c r="Y180" s="411">
        <v>1</v>
      </c>
      <c r="Z180" s="436">
        <v>0</v>
      </c>
      <c r="AA180" s="437">
        <f t="shared" si="47"/>
        <v>0.99999999999999978</v>
      </c>
      <c r="AB180" s="455">
        <f t="shared" ref="AB180:AB208" si="50">(V180*V$177*T180)+(W180*W$177*T180)+(X180*X$177*T180)+(Y180*Y$177*T180)+(Z180*Z$177*T180)</f>
        <v>64.269999999999982</v>
      </c>
      <c r="AC180" s="455">
        <v>0</v>
      </c>
      <c r="AD180" s="434"/>
      <c r="AE180" s="438"/>
      <c r="AF180" s="439"/>
    </row>
    <row r="181" spans="2:32" hidden="1" x14ac:dyDescent="0.25">
      <c r="B181" s="387" t="s">
        <v>1423</v>
      </c>
      <c r="C181" s="387" t="s">
        <v>1368</v>
      </c>
      <c r="D181" s="3" t="s">
        <v>1224</v>
      </c>
      <c r="E181" s="441" t="s">
        <v>3207</v>
      </c>
      <c r="F181" s="407" t="s">
        <v>3201</v>
      </c>
      <c r="G181" s="413" t="s">
        <v>3330</v>
      </c>
      <c r="H181" s="413" t="s">
        <v>4110</v>
      </c>
      <c r="I181" s="413" t="s">
        <v>4338</v>
      </c>
      <c r="J181" s="413" t="s">
        <v>3823</v>
      </c>
      <c r="K181" s="413" t="s">
        <v>4115</v>
      </c>
      <c r="L181" s="442">
        <v>1</v>
      </c>
      <c r="M181" s="387">
        <v>0</v>
      </c>
      <c r="N181" s="387">
        <f t="shared" si="48"/>
        <v>1</v>
      </c>
      <c r="O181" s="387">
        <f t="shared" ref="O181:O196" si="51">L181*AA181</f>
        <v>0.99999999999999978</v>
      </c>
      <c r="P181" s="387" t="s">
        <v>1358</v>
      </c>
      <c r="Q181" s="387">
        <v>64.27</v>
      </c>
      <c r="R181" s="387"/>
      <c r="S181" s="2">
        <v>0</v>
      </c>
      <c r="T181" s="459">
        <f t="shared" si="49"/>
        <v>64.27</v>
      </c>
      <c r="U181" s="435"/>
      <c r="V181" s="436">
        <v>1</v>
      </c>
      <c r="W181" s="436">
        <v>1</v>
      </c>
      <c r="X181" s="436">
        <v>0</v>
      </c>
      <c r="Y181" s="411">
        <v>1</v>
      </c>
      <c r="Z181" s="436">
        <v>0</v>
      </c>
      <c r="AA181" s="437">
        <f t="shared" si="47"/>
        <v>0.99999999999999978</v>
      </c>
      <c r="AB181" s="455">
        <f t="shared" si="50"/>
        <v>64.269999999999982</v>
      </c>
      <c r="AC181" s="455">
        <v>0</v>
      </c>
      <c r="AD181" s="434"/>
      <c r="AE181" s="438"/>
      <c r="AF181" s="439"/>
    </row>
    <row r="182" spans="2:32" hidden="1" x14ac:dyDescent="0.25">
      <c r="B182" s="387" t="s">
        <v>1424</v>
      </c>
      <c r="C182" s="387" t="s">
        <v>1368</v>
      </c>
      <c r="D182" s="3" t="s">
        <v>1224</v>
      </c>
      <c r="E182" s="441" t="s">
        <v>3208</v>
      </c>
      <c r="F182" s="407" t="s">
        <v>3201</v>
      </c>
      <c r="G182" s="413" t="s">
        <v>3331</v>
      </c>
      <c r="H182" s="413" t="s">
        <v>4110</v>
      </c>
      <c r="I182" s="413" t="s">
        <v>4339</v>
      </c>
      <c r="J182" s="413" t="s">
        <v>3824</v>
      </c>
      <c r="K182" s="413" t="s">
        <v>4116</v>
      </c>
      <c r="L182" s="442">
        <v>1</v>
      </c>
      <c r="M182" s="387">
        <v>0</v>
      </c>
      <c r="N182" s="387">
        <f t="shared" si="48"/>
        <v>1</v>
      </c>
      <c r="O182" s="387">
        <f t="shared" si="51"/>
        <v>0.99999999999999978</v>
      </c>
      <c r="P182" s="387" t="s">
        <v>1358</v>
      </c>
      <c r="Q182" s="387">
        <v>64.27</v>
      </c>
      <c r="R182" s="387"/>
      <c r="S182" s="2">
        <v>0</v>
      </c>
      <c r="T182" s="459">
        <f t="shared" si="49"/>
        <v>64.27</v>
      </c>
      <c r="U182" s="435"/>
      <c r="V182" s="436">
        <v>1</v>
      </c>
      <c r="W182" s="436">
        <v>1</v>
      </c>
      <c r="X182" s="436">
        <v>0</v>
      </c>
      <c r="Y182" s="411">
        <v>1</v>
      </c>
      <c r="Z182" s="436">
        <v>0</v>
      </c>
      <c r="AA182" s="437">
        <f t="shared" ref="AA182:AA187" si="52">IF(T182,AB182/T182,0)</f>
        <v>0.99999999999999978</v>
      </c>
      <c r="AB182" s="455">
        <f t="shared" si="50"/>
        <v>64.269999999999982</v>
      </c>
      <c r="AC182" s="455">
        <v>0</v>
      </c>
      <c r="AD182" s="434"/>
      <c r="AE182" s="438"/>
      <c r="AF182" s="439"/>
    </row>
    <row r="183" spans="2:32" hidden="1" x14ac:dyDescent="0.25">
      <c r="B183" s="387" t="s">
        <v>1436</v>
      </c>
      <c r="C183" s="387" t="s">
        <v>1368</v>
      </c>
      <c r="D183" s="3" t="s">
        <v>1224</v>
      </c>
      <c r="E183" s="441" t="s">
        <v>3209</v>
      </c>
      <c r="F183" s="407" t="s">
        <v>3201</v>
      </c>
      <c r="G183" s="413" t="s">
        <v>3332</v>
      </c>
      <c r="H183" s="413" t="s">
        <v>4110</v>
      </c>
      <c r="I183" s="413" t="s">
        <v>4340</v>
      </c>
      <c r="J183" s="413" t="s">
        <v>3825</v>
      </c>
      <c r="K183" s="413" t="s">
        <v>4117</v>
      </c>
      <c r="L183" s="442">
        <v>1</v>
      </c>
      <c r="M183" s="387">
        <v>0</v>
      </c>
      <c r="N183" s="387">
        <f t="shared" si="48"/>
        <v>1</v>
      </c>
      <c r="O183" s="387">
        <f t="shared" si="51"/>
        <v>0.99999999999999978</v>
      </c>
      <c r="P183" s="387" t="s">
        <v>1358</v>
      </c>
      <c r="Q183" s="387">
        <v>64.27</v>
      </c>
      <c r="R183" s="387"/>
      <c r="S183" s="2">
        <v>0</v>
      </c>
      <c r="T183" s="459">
        <f t="shared" si="49"/>
        <v>64.27</v>
      </c>
      <c r="U183" s="435"/>
      <c r="V183" s="436">
        <v>1</v>
      </c>
      <c r="W183" s="436">
        <v>1</v>
      </c>
      <c r="X183" s="436">
        <v>0</v>
      </c>
      <c r="Y183" s="411">
        <v>1</v>
      </c>
      <c r="Z183" s="436">
        <v>0</v>
      </c>
      <c r="AA183" s="437">
        <f t="shared" si="52"/>
        <v>0.99999999999999978</v>
      </c>
      <c r="AB183" s="455">
        <f t="shared" si="50"/>
        <v>64.269999999999982</v>
      </c>
      <c r="AC183" s="455">
        <v>0</v>
      </c>
      <c r="AD183" s="434"/>
      <c r="AE183" s="438"/>
      <c r="AF183" s="439"/>
    </row>
    <row r="184" spans="2:32" hidden="1" x14ac:dyDescent="0.25">
      <c r="B184" s="387" t="s">
        <v>1437</v>
      </c>
      <c r="C184" s="387" t="s">
        <v>1368</v>
      </c>
      <c r="D184" s="3" t="s">
        <v>1224</v>
      </c>
      <c r="E184" s="441" t="s">
        <v>3210</v>
      </c>
      <c r="F184" s="407" t="s">
        <v>3201</v>
      </c>
      <c r="G184" s="413" t="s">
        <v>3333</v>
      </c>
      <c r="H184" s="413" t="s">
        <v>4109</v>
      </c>
      <c r="I184" s="413" t="s">
        <v>4168</v>
      </c>
      <c r="J184" s="413" t="s">
        <v>3826</v>
      </c>
      <c r="K184" s="413" t="s">
        <v>4118</v>
      </c>
      <c r="L184" s="442">
        <v>1</v>
      </c>
      <c r="M184" s="387">
        <v>0</v>
      </c>
      <c r="N184" s="387">
        <f t="shared" si="48"/>
        <v>1</v>
      </c>
      <c r="O184" s="387">
        <f t="shared" si="51"/>
        <v>0.99999999999999978</v>
      </c>
      <c r="P184" s="387" t="s">
        <v>1358</v>
      </c>
      <c r="Q184" s="387">
        <v>64.27</v>
      </c>
      <c r="R184" s="387"/>
      <c r="S184" s="2">
        <v>0</v>
      </c>
      <c r="T184" s="459">
        <f t="shared" si="49"/>
        <v>64.27</v>
      </c>
      <c r="U184" s="435"/>
      <c r="V184" s="436">
        <v>1</v>
      </c>
      <c r="W184" s="436">
        <v>1</v>
      </c>
      <c r="X184" s="436">
        <v>0</v>
      </c>
      <c r="Y184" s="411">
        <v>1</v>
      </c>
      <c r="Z184" s="436">
        <v>0</v>
      </c>
      <c r="AA184" s="437">
        <f t="shared" si="52"/>
        <v>0.99999999999999978</v>
      </c>
      <c r="AB184" s="455">
        <f t="shared" si="50"/>
        <v>64.269999999999982</v>
      </c>
      <c r="AC184" s="455">
        <v>0</v>
      </c>
      <c r="AD184" s="434"/>
      <c r="AE184" s="438"/>
      <c r="AF184" s="439"/>
    </row>
    <row r="185" spans="2:32" hidden="1" x14ac:dyDescent="0.25">
      <c r="B185" s="387" t="s">
        <v>1438</v>
      </c>
      <c r="C185" s="387" t="s">
        <v>1368</v>
      </c>
      <c r="D185" s="3" t="s">
        <v>1224</v>
      </c>
      <c r="E185" s="441" t="s">
        <v>3211</v>
      </c>
      <c r="F185" s="407" t="s">
        <v>3201</v>
      </c>
      <c r="G185" s="413" t="s">
        <v>3334</v>
      </c>
      <c r="H185" s="413" t="s">
        <v>4110</v>
      </c>
      <c r="I185" s="413" t="s">
        <v>4341</v>
      </c>
      <c r="J185" s="413" t="s">
        <v>3827</v>
      </c>
      <c r="K185" s="413" t="s">
        <v>4119</v>
      </c>
      <c r="L185" s="442">
        <v>1</v>
      </c>
      <c r="M185" s="387">
        <v>0</v>
      </c>
      <c r="N185" s="387">
        <f t="shared" si="48"/>
        <v>1</v>
      </c>
      <c r="O185" s="387">
        <f t="shared" si="51"/>
        <v>0.99999999999999978</v>
      </c>
      <c r="P185" s="387" t="s">
        <v>1358</v>
      </c>
      <c r="Q185" s="387">
        <v>64.27</v>
      </c>
      <c r="R185" s="387">
        <v>10</v>
      </c>
      <c r="S185" s="2">
        <v>0</v>
      </c>
      <c r="T185" s="459">
        <f t="shared" si="49"/>
        <v>74.27</v>
      </c>
      <c r="U185" s="435"/>
      <c r="V185" s="436">
        <v>1</v>
      </c>
      <c r="W185" s="436">
        <v>1</v>
      </c>
      <c r="X185" s="436">
        <v>0</v>
      </c>
      <c r="Y185" s="411">
        <v>1</v>
      </c>
      <c r="Z185" s="436">
        <v>0</v>
      </c>
      <c r="AA185" s="437">
        <f t="shared" si="52"/>
        <v>0.99999999999999978</v>
      </c>
      <c r="AB185" s="455">
        <f t="shared" si="50"/>
        <v>74.269999999999982</v>
      </c>
      <c r="AC185" s="455">
        <f>74+87</f>
        <v>161</v>
      </c>
      <c r="AD185" s="434"/>
      <c r="AE185" s="438"/>
      <c r="AF185" s="439"/>
    </row>
    <row r="186" spans="2:32" hidden="1" x14ac:dyDescent="0.25">
      <c r="B186" s="387" t="s">
        <v>1439</v>
      </c>
      <c r="C186" s="387" t="s">
        <v>1368</v>
      </c>
      <c r="D186" s="3" t="s">
        <v>1224</v>
      </c>
      <c r="E186" s="441" t="s">
        <v>3212</v>
      </c>
      <c r="F186" s="407" t="s">
        <v>3201</v>
      </c>
      <c r="G186" s="413" t="s">
        <v>3335</v>
      </c>
      <c r="H186" s="413" t="s">
        <v>4110</v>
      </c>
      <c r="I186" s="413" t="s">
        <v>4342</v>
      </c>
      <c r="J186" s="413" t="s">
        <v>3828</v>
      </c>
      <c r="K186" s="413" t="s">
        <v>4120</v>
      </c>
      <c r="L186" s="442">
        <v>1</v>
      </c>
      <c r="M186" s="387">
        <v>0</v>
      </c>
      <c r="N186" s="387">
        <f t="shared" si="48"/>
        <v>1</v>
      </c>
      <c r="O186" s="387">
        <v>0</v>
      </c>
      <c r="P186" s="387" t="s">
        <v>1358</v>
      </c>
      <c r="Q186" s="387">
        <v>87</v>
      </c>
      <c r="R186" s="387"/>
      <c r="S186" s="2">
        <v>0</v>
      </c>
      <c r="T186" s="459">
        <f t="shared" si="49"/>
        <v>87</v>
      </c>
      <c r="U186" s="435"/>
      <c r="V186" s="436">
        <v>1</v>
      </c>
      <c r="W186" s="436">
        <v>1</v>
      </c>
      <c r="X186" s="436">
        <v>0</v>
      </c>
      <c r="Y186" s="411">
        <v>1</v>
      </c>
      <c r="Z186" s="436">
        <v>0</v>
      </c>
      <c r="AA186" s="437">
        <f t="shared" si="52"/>
        <v>1</v>
      </c>
      <c r="AB186" s="455">
        <f t="shared" si="50"/>
        <v>87</v>
      </c>
      <c r="AC186" s="455">
        <v>87</v>
      </c>
      <c r="AD186" s="434"/>
      <c r="AE186" s="438"/>
      <c r="AF186" s="439"/>
    </row>
    <row r="187" spans="2:32" hidden="1" x14ac:dyDescent="0.25">
      <c r="B187" s="387" t="s">
        <v>1440</v>
      </c>
      <c r="C187" s="387" t="s">
        <v>1368</v>
      </c>
      <c r="D187" s="3" t="s">
        <v>1224</v>
      </c>
      <c r="E187" s="441" t="s">
        <v>3213</v>
      </c>
      <c r="F187" s="407" t="s">
        <v>3201</v>
      </c>
      <c r="G187" s="413" t="s">
        <v>3336</v>
      </c>
      <c r="H187" s="413" t="s">
        <v>4110</v>
      </c>
      <c r="I187" s="413" t="s">
        <v>4343</v>
      </c>
      <c r="J187" s="413" t="s">
        <v>3829</v>
      </c>
      <c r="K187" s="413" t="s">
        <v>4121</v>
      </c>
      <c r="L187" s="387">
        <v>1</v>
      </c>
      <c r="M187" s="387">
        <v>0</v>
      </c>
      <c r="N187" s="387">
        <f t="shared" si="48"/>
        <v>1</v>
      </c>
      <c r="O187" s="387">
        <f t="shared" si="51"/>
        <v>1</v>
      </c>
      <c r="P187" s="387" t="s">
        <v>1358</v>
      </c>
      <c r="Q187" s="387">
        <v>87</v>
      </c>
      <c r="R187" s="387"/>
      <c r="S187" s="2">
        <v>0</v>
      </c>
      <c r="T187" s="459">
        <f t="shared" si="49"/>
        <v>87</v>
      </c>
      <c r="U187" s="409"/>
      <c r="V187" s="411">
        <v>1</v>
      </c>
      <c r="W187" s="411">
        <v>1</v>
      </c>
      <c r="X187" s="436">
        <v>0</v>
      </c>
      <c r="Y187" s="411">
        <v>1</v>
      </c>
      <c r="Z187" s="436">
        <v>0</v>
      </c>
      <c r="AA187" s="412">
        <f t="shared" si="52"/>
        <v>1</v>
      </c>
      <c r="AB187" s="455">
        <f t="shared" si="50"/>
        <v>87</v>
      </c>
      <c r="AC187" s="456">
        <v>87</v>
      </c>
      <c r="AD187" s="2"/>
      <c r="AE187" s="4"/>
      <c r="AF187" s="5"/>
    </row>
    <row r="188" spans="2:32" hidden="1" x14ac:dyDescent="0.25">
      <c r="B188" s="387" t="s">
        <v>1441</v>
      </c>
      <c r="C188" s="387" t="s">
        <v>1368</v>
      </c>
      <c r="D188" s="3" t="s">
        <v>1224</v>
      </c>
      <c r="E188" s="387" t="s">
        <v>3712</v>
      </c>
      <c r="F188" s="407" t="s">
        <v>3201</v>
      </c>
      <c r="G188" s="413" t="s">
        <v>4520</v>
      </c>
      <c r="H188" s="413" t="s">
        <v>4109</v>
      </c>
      <c r="I188" s="413" t="s">
        <v>4532</v>
      </c>
      <c r="J188" s="413" t="s">
        <v>3995</v>
      </c>
      <c r="K188" s="413" t="s">
        <v>3726</v>
      </c>
      <c r="L188" s="387">
        <v>1</v>
      </c>
      <c r="M188" s="387">
        <v>0</v>
      </c>
      <c r="N188" s="387">
        <f t="shared" si="48"/>
        <v>1</v>
      </c>
      <c r="O188" s="387">
        <f t="shared" si="51"/>
        <v>1</v>
      </c>
      <c r="P188" s="387" t="s">
        <v>1358</v>
      </c>
      <c r="Q188" s="387">
        <v>98.25</v>
      </c>
      <c r="R188" s="387"/>
      <c r="S188" s="2">
        <v>0</v>
      </c>
      <c r="T188" s="459">
        <f t="shared" si="49"/>
        <v>98.25</v>
      </c>
      <c r="U188" s="409"/>
      <c r="V188" s="411">
        <v>1</v>
      </c>
      <c r="W188" s="411">
        <v>1</v>
      </c>
      <c r="X188" s="436">
        <v>0</v>
      </c>
      <c r="Y188" s="411">
        <v>1</v>
      </c>
      <c r="Z188" s="436">
        <v>0</v>
      </c>
      <c r="AA188" s="412">
        <f t="shared" ref="AA188:AA196" si="53">IF(T188,AB188/T188,0)</f>
        <v>1</v>
      </c>
      <c r="AB188" s="455">
        <f t="shared" si="50"/>
        <v>98.25</v>
      </c>
      <c r="AC188" s="456">
        <v>98.25</v>
      </c>
      <c r="AD188" s="2"/>
      <c r="AE188" s="4"/>
      <c r="AF188" s="5"/>
    </row>
    <row r="189" spans="2:32" hidden="1" x14ac:dyDescent="0.25">
      <c r="B189" s="387" t="s">
        <v>1495</v>
      </c>
      <c r="C189" s="387" t="s">
        <v>1368</v>
      </c>
      <c r="D189" s="3" t="s">
        <v>1224</v>
      </c>
      <c r="E189" s="387" t="s">
        <v>3713</v>
      </c>
      <c r="F189" s="407" t="s">
        <v>3201</v>
      </c>
      <c r="G189" s="413" t="s">
        <v>4521</v>
      </c>
      <c r="H189" s="413" t="s">
        <v>4109</v>
      </c>
      <c r="I189" s="413" t="s">
        <v>4531</v>
      </c>
      <c r="J189" s="413" t="s">
        <v>4005</v>
      </c>
      <c r="K189" s="413" t="s">
        <v>3727</v>
      </c>
      <c r="L189" s="387">
        <v>1</v>
      </c>
      <c r="M189" s="387">
        <v>0</v>
      </c>
      <c r="N189" s="387">
        <f>L189+M189</f>
        <v>1</v>
      </c>
      <c r="O189" s="387">
        <f>L189*AA189</f>
        <v>1</v>
      </c>
      <c r="P189" s="387" t="s">
        <v>1358</v>
      </c>
      <c r="Q189" s="387">
        <v>216</v>
      </c>
      <c r="R189" s="461"/>
      <c r="S189" s="2">
        <v>0</v>
      </c>
      <c r="T189" s="459">
        <f>Q189+S189+R189</f>
        <v>216</v>
      </c>
      <c r="U189" s="409"/>
      <c r="V189" s="411">
        <v>1</v>
      </c>
      <c r="W189" s="411">
        <v>1</v>
      </c>
      <c r="X189" s="436">
        <v>0</v>
      </c>
      <c r="Y189" s="411">
        <v>1</v>
      </c>
      <c r="Z189" s="436">
        <v>0</v>
      </c>
      <c r="AA189" s="412">
        <f t="shared" si="53"/>
        <v>1</v>
      </c>
      <c r="AB189" s="455">
        <f t="shared" si="50"/>
        <v>216</v>
      </c>
      <c r="AC189" s="455">
        <v>216</v>
      </c>
      <c r="AD189" s="455"/>
      <c r="AE189" s="455"/>
      <c r="AF189" s="5"/>
    </row>
    <row r="190" spans="2:32" ht="15.75" hidden="1" thickBot="1" x14ac:dyDescent="0.3">
      <c r="B190" s="387" t="s">
        <v>1496</v>
      </c>
      <c r="C190" s="387" t="s">
        <v>1368</v>
      </c>
      <c r="D190" s="387" t="s">
        <v>1224</v>
      </c>
      <c r="E190" s="387" t="s">
        <v>3714</v>
      </c>
      <c r="F190" s="387" t="s">
        <v>3201</v>
      </c>
      <c r="G190" s="387" t="s">
        <v>4515</v>
      </c>
      <c r="H190" s="387" t="s">
        <v>4109</v>
      </c>
      <c r="I190" s="387" t="s">
        <v>4533</v>
      </c>
      <c r="J190" s="387" t="s">
        <v>4006</v>
      </c>
      <c r="K190" s="387" t="s">
        <v>3728</v>
      </c>
      <c r="L190" s="387">
        <v>1</v>
      </c>
      <c r="M190" s="387">
        <v>0</v>
      </c>
      <c r="N190" s="387">
        <f>L190+M190</f>
        <v>1</v>
      </c>
      <c r="O190" s="387">
        <f>L190*AA190</f>
        <v>1</v>
      </c>
      <c r="P190" s="387" t="s">
        <v>1358</v>
      </c>
      <c r="Q190" s="387">
        <v>180</v>
      </c>
      <c r="R190" s="387"/>
      <c r="S190" s="2">
        <v>0</v>
      </c>
      <c r="T190" s="459">
        <f>Q190+S190+R190</f>
        <v>180</v>
      </c>
      <c r="U190" s="387"/>
      <c r="V190" s="411">
        <v>1</v>
      </c>
      <c r="W190" s="411">
        <v>1</v>
      </c>
      <c r="X190" s="436">
        <v>0</v>
      </c>
      <c r="Y190" s="411">
        <v>1</v>
      </c>
      <c r="Z190" s="436">
        <v>0</v>
      </c>
      <c r="AA190" s="412">
        <f t="shared" si="53"/>
        <v>1</v>
      </c>
      <c r="AB190" s="455">
        <f t="shared" si="50"/>
        <v>180</v>
      </c>
      <c r="AC190" s="455">
        <v>180</v>
      </c>
      <c r="AD190" s="455"/>
      <c r="AE190" s="455"/>
      <c r="AF190" s="516"/>
    </row>
    <row r="191" spans="2:32" hidden="1" x14ac:dyDescent="0.25">
      <c r="B191" s="387" t="s">
        <v>1442</v>
      </c>
      <c r="C191" s="387" t="s">
        <v>1368</v>
      </c>
      <c r="D191" s="387" t="s">
        <v>1224</v>
      </c>
      <c r="E191" s="387" t="s">
        <v>3715</v>
      </c>
      <c r="F191" s="387" t="s">
        <v>3201</v>
      </c>
      <c r="G191" s="387" t="s">
        <v>4517</v>
      </c>
      <c r="H191" s="387" t="s">
        <v>4109</v>
      </c>
      <c r="I191" s="387" t="s">
        <v>4534</v>
      </c>
      <c r="J191" s="387" t="s">
        <v>4007</v>
      </c>
      <c r="K191" s="387" t="s">
        <v>3729</v>
      </c>
      <c r="L191" s="387">
        <v>1</v>
      </c>
      <c r="M191" s="387">
        <v>0</v>
      </c>
      <c r="N191" s="387">
        <f t="shared" si="48"/>
        <v>1</v>
      </c>
      <c r="O191" s="387">
        <f t="shared" si="51"/>
        <v>0.99999999999999978</v>
      </c>
      <c r="P191" s="387" t="s">
        <v>1358</v>
      </c>
      <c r="Q191" s="387">
        <v>167</v>
      </c>
      <c r="R191" s="387"/>
      <c r="S191" s="2">
        <v>0</v>
      </c>
      <c r="T191" s="459">
        <f t="shared" si="49"/>
        <v>167</v>
      </c>
      <c r="U191" s="387"/>
      <c r="V191" s="411">
        <v>1</v>
      </c>
      <c r="W191" s="411">
        <v>1</v>
      </c>
      <c r="X191" s="436">
        <v>0</v>
      </c>
      <c r="Y191" s="411">
        <v>1</v>
      </c>
      <c r="Z191" s="436">
        <v>0</v>
      </c>
      <c r="AA191" s="412">
        <f t="shared" si="53"/>
        <v>0.99999999999999978</v>
      </c>
      <c r="AB191" s="455">
        <f t="shared" si="50"/>
        <v>166.99999999999997</v>
      </c>
      <c r="AC191" s="455">
        <v>167</v>
      </c>
      <c r="AD191" s="455"/>
      <c r="AE191" s="455"/>
      <c r="AF191" s="5"/>
    </row>
    <row r="192" spans="2:32" hidden="1" x14ac:dyDescent="0.25">
      <c r="B192" s="387" t="s">
        <v>1443</v>
      </c>
      <c r="C192" s="387" t="s">
        <v>1368</v>
      </c>
      <c r="D192" s="387" t="s">
        <v>1224</v>
      </c>
      <c r="E192" s="387" t="s">
        <v>3716</v>
      </c>
      <c r="F192" s="387" t="s">
        <v>3201</v>
      </c>
      <c r="G192" s="387" t="s">
        <v>4519</v>
      </c>
      <c r="H192" s="387" t="s">
        <v>4109</v>
      </c>
      <c r="I192" s="387" t="s">
        <v>4535</v>
      </c>
      <c r="J192" s="387" t="s">
        <v>4008</v>
      </c>
      <c r="K192" s="387" t="s">
        <v>3730</v>
      </c>
      <c r="L192" s="387">
        <v>1</v>
      </c>
      <c r="M192" s="387">
        <v>0</v>
      </c>
      <c r="N192" s="387">
        <f t="shared" si="48"/>
        <v>1</v>
      </c>
      <c r="O192" s="387">
        <f t="shared" si="51"/>
        <v>1</v>
      </c>
      <c r="P192" s="387" t="s">
        <v>1358</v>
      </c>
      <c r="Q192" s="387">
        <v>106</v>
      </c>
      <c r="R192" s="387"/>
      <c r="S192" s="2">
        <v>0</v>
      </c>
      <c r="T192" s="459">
        <f t="shared" si="49"/>
        <v>106</v>
      </c>
      <c r="U192" s="387"/>
      <c r="V192" s="411">
        <v>1</v>
      </c>
      <c r="W192" s="411">
        <v>1</v>
      </c>
      <c r="X192" s="436">
        <v>0</v>
      </c>
      <c r="Y192" s="411">
        <v>1</v>
      </c>
      <c r="Z192" s="436">
        <v>0</v>
      </c>
      <c r="AA192" s="412">
        <f t="shared" si="53"/>
        <v>1</v>
      </c>
      <c r="AB192" s="455">
        <f t="shared" si="50"/>
        <v>106</v>
      </c>
      <c r="AC192" s="456">
        <v>106</v>
      </c>
      <c r="AD192" s="2"/>
      <c r="AE192" s="4"/>
      <c r="AF192" s="5"/>
    </row>
    <row r="193" spans="2:32" hidden="1" x14ac:dyDescent="0.25">
      <c r="B193" s="387" t="s">
        <v>3154</v>
      </c>
      <c r="C193" s="387" t="s">
        <v>1368</v>
      </c>
      <c r="D193" s="387" t="s">
        <v>1224</v>
      </c>
      <c r="E193" s="387" t="s">
        <v>3717</v>
      </c>
      <c r="F193" s="387" t="s">
        <v>3201</v>
      </c>
      <c r="G193" s="387" t="s">
        <v>4523</v>
      </c>
      <c r="H193" s="387" t="s">
        <v>4109</v>
      </c>
      <c r="I193" s="387" t="s">
        <v>4536</v>
      </c>
      <c r="J193" s="387" t="s">
        <v>4009</v>
      </c>
      <c r="K193" s="387" t="s">
        <v>3731</v>
      </c>
      <c r="L193" s="387">
        <v>1</v>
      </c>
      <c r="M193" s="387">
        <v>0</v>
      </c>
      <c r="N193" s="387">
        <f t="shared" si="48"/>
        <v>1</v>
      </c>
      <c r="O193" s="387">
        <f t="shared" si="51"/>
        <v>1</v>
      </c>
      <c r="P193" s="387" t="s">
        <v>1358</v>
      </c>
      <c r="Q193" s="387">
        <v>200</v>
      </c>
      <c r="R193" s="387"/>
      <c r="S193" s="2">
        <v>0</v>
      </c>
      <c r="T193" s="459">
        <v>350</v>
      </c>
      <c r="U193" s="387"/>
      <c r="V193" s="411">
        <v>1</v>
      </c>
      <c r="W193" s="411">
        <v>1</v>
      </c>
      <c r="X193" s="436">
        <v>0</v>
      </c>
      <c r="Y193" s="411">
        <v>1</v>
      </c>
      <c r="Z193" s="436">
        <v>0</v>
      </c>
      <c r="AA193" s="412">
        <f t="shared" si="53"/>
        <v>1</v>
      </c>
      <c r="AB193" s="455">
        <f t="shared" si="50"/>
        <v>350</v>
      </c>
      <c r="AC193" s="456">
        <v>0</v>
      </c>
      <c r="AD193" s="2"/>
      <c r="AE193" s="4"/>
      <c r="AF193" s="5"/>
    </row>
    <row r="194" spans="2:32" hidden="1" x14ac:dyDescent="0.25">
      <c r="B194" s="387" t="s">
        <v>3156</v>
      </c>
      <c r="C194" s="387" t="s">
        <v>1368</v>
      </c>
      <c r="D194" s="387" t="s">
        <v>1224</v>
      </c>
      <c r="E194" s="387" t="s">
        <v>3718</v>
      </c>
      <c r="F194" s="387" t="s">
        <v>3201</v>
      </c>
      <c r="G194" s="387" t="s">
        <v>4525</v>
      </c>
      <c r="H194" s="387" t="s">
        <v>4109</v>
      </c>
      <c r="I194" s="387" t="s">
        <v>4537</v>
      </c>
      <c r="J194" s="387" t="s">
        <v>4010</v>
      </c>
      <c r="K194" s="387" t="s">
        <v>3732</v>
      </c>
      <c r="L194" s="387">
        <v>1</v>
      </c>
      <c r="M194" s="387">
        <v>0</v>
      </c>
      <c r="N194" s="387">
        <f t="shared" si="48"/>
        <v>1</v>
      </c>
      <c r="O194" s="387">
        <f t="shared" si="51"/>
        <v>0.56000000000000005</v>
      </c>
      <c r="P194" s="387" t="s">
        <v>1358</v>
      </c>
      <c r="Q194" s="387">
        <v>200</v>
      </c>
      <c r="R194" s="387"/>
      <c r="S194" s="2">
        <v>0</v>
      </c>
      <c r="T194" s="459">
        <v>350</v>
      </c>
      <c r="U194" s="387"/>
      <c r="V194" s="411">
        <v>1</v>
      </c>
      <c r="W194" s="411">
        <v>0.6</v>
      </c>
      <c r="X194" s="436">
        <v>0.4</v>
      </c>
      <c r="Y194" s="411"/>
      <c r="Z194" s="436">
        <v>0</v>
      </c>
      <c r="AA194" s="412">
        <f t="shared" si="53"/>
        <v>0.56000000000000005</v>
      </c>
      <c r="AB194" s="455">
        <f t="shared" si="50"/>
        <v>196</v>
      </c>
      <c r="AC194" s="456">
        <v>0</v>
      </c>
      <c r="AD194" s="2"/>
      <c r="AE194" s="4"/>
      <c r="AF194" s="5"/>
    </row>
    <row r="195" spans="2:32" hidden="1" x14ac:dyDescent="0.25">
      <c r="B195" s="387" t="s">
        <v>3157</v>
      </c>
      <c r="C195" s="387" t="s">
        <v>1368</v>
      </c>
      <c r="D195" s="387" t="s">
        <v>1224</v>
      </c>
      <c r="E195" s="387" t="s">
        <v>3719</v>
      </c>
      <c r="F195" s="387" t="s">
        <v>3201</v>
      </c>
      <c r="G195" s="387" t="s">
        <v>4013</v>
      </c>
      <c r="H195" s="387" t="s">
        <v>4109</v>
      </c>
      <c r="I195" s="387" t="s">
        <v>4169</v>
      </c>
      <c r="J195" s="387" t="s">
        <v>4011</v>
      </c>
      <c r="K195" s="387" t="s">
        <v>3733</v>
      </c>
      <c r="L195" s="387">
        <v>1</v>
      </c>
      <c r="M195" s="387">
        <v>0</v>
      </c>
      <c r="N195" s="387">
        <f t="shared" si="48"/>
        <v>1</v>
      </c>
      <c r="O195" s="387">
        <f t="shared" si="51"/>
        <v>0</v>
      </c>
      <c r="P195" s="387" t="s">
        <v>1358</v>
      </c>
      <c r="Q195" s="387">
        <v>200</v>
      </c>
      <c r="R195" s="387"/>
      <c r="S195" s="2">
        <v>0</v>
      </c>
      <c r="T195" s="459">
        <v>0</v>
      </c>
      <c r="U195" s="387"/>
      <c r="V195" s="411"/>
      <c r="W195" s="411"/>
      <c r="X195" s="436">
        <v>0</v>
      </c>
      <c r="Y195" s="411"/>
      <c r="Z195" s="436">
        <v>0</v>
      </c>
      <c r="AA195" s="412">
        <f t="shared" si="53"/>
        <v>0</v>
      </c>
      <c r="AB195" s="455">
        <f t="shared" si="50"/>
        <v>0</v>
      </c>
      <c r="AC195" s="456">
        <v>0</v>
      </c>
      <c r="AD195" s="2"/>
      <c r="AE195" s="4"/>
      <c r="AF195" s="5"/>
    </row>
    <row r="196" spans="2:32" hidden="1" x14ac:dyDescent="0.25">
      <c r="B196" s="387" t="s">
        <v>3155</v>
      </c>
      <c r="C196" s="387" t="s">
        <v>1368</v>
      </c>
      <c r="D196" s="387" t="s">
        <v>1224</v>
      </c>
      <c r="E196" s="387" t="s">
        <v>3720</v>
      </c>
      <c r="F196" s="387" t="s">
        <v>3201</v>
      </c>
      <c r="G196" s="387" t="s">
        <v>4527</v>
      </c>
      <c r="H196" s="387" t="s">
        <v>4109</v>
      </c>
      <c r="I196" s="387" t="s">
        <v>4538</v>
      </c>
      <c r="J196" s="387" t="s">
        <v>4012</v>
      </c>
      <c r="K196" s="387" t="s">
        <v>3734</v>
      </c>
      <c r="L196" s="387">
        <v>1</v>
      </c>
      <c r="M196" s="387">
        <v>0</v>
      </c>
      <c r="N196" s="387">
        <f t="shared" si="48"/>
        <v>1</v>
      </c>
      <c r="O196" s="387">
        <f t="shared" si="51"/>
        <v>1</v>
      </c>
      <c r="P196" s="387" t="s">
        <v>1358</v>
      </c>
      <c r="Q196" s="387">
        <v>200</v>
      </c>
      <c r="R196" s="387"/>
      <c r="S196" s="2">
        <v>0</v>
      </c>
      <c r="T196" s="459">
        <f t="shared" si="49"/>
        <v>200</v>
      </c>
      <c r="U196" s="387"/>
      <c r="V196" s="411">
        <v>1</v>
      </c>
      <c r="W196" s="411">
        <v>1</v>
      </c>
      <c r="X196" s="436">
        <v>0</v>
      </c>
      <c r="Y196" s="411">
        <v>1</v>
      </c>
      <c r="Z196" s="436">
        <v>0</v>
      </c>
      <c r="AA196" s="412">
        <f t="shared" si="53"/>
        <v>1</v>
      </c>
      <c r="AB196" s="455">
        <f t="shared" si="50"/>
        <v>200</v>
      </c>
      <c r="AC196" s="456">
        <v>0</v>
      </c>
      <c r="AD196" s="2"/>
      <c r="AE196" s="4"/>
      <c r="AF196" s="5"/>
    </row>
    <row r="197" spans="2:32" hidden="1" x14ac:dyDescent="0.25">
      <c r="B197" s="387" t="s">
        <v>1575</v>
      </c>
      <c r="C197" s="387" t="s">
        <v>1368</v>
      </c>
      <c r="D197" s="387" t="s">
        <v>1224</v>
      </c>
      <c r="E197" s="387" t="s">
        <v>1396</v>
      </c>
      <c r="F197" s="387" t="s">
        <v>3201</v>
      </c>
      <c r="G197" s="387" t="s">
        <v>3310</v>
      </c>
      <c r="H197" s="387" t="s">
        <v>4109</v>
      </c>
      <c r="I197" s="387" t="s">
        <v>4170</v>
      </c>
      <c r="J197" s="387" t="s">
        <v>3803</v>
      </c>
      <c r="K197" s="387" t="s">
        <v>3631</v>
      </c>
      <c r="L197" s="387">
        <v>1</v>
      </c>
      <c r="M197" s="387">
        <v>0</v>
      </c>
      <c r="N197" s="387">
        <f t="shared" si="48"/>
        <v>1</v>
      </c>
      <c r="O197" s="387">
        <v>1</v>
      </c>
      <c r="P197" s="387" t="s">
        <v>1358</v>
      </c>
      <c r="Q197" s="387">
        <v>200</v>
      </c>
      <c r="R197" s="387"/>
      <c r="S197" s="2">
        <v>0</v>
      </c>
      <c r="T197" s="459">
        <f t="shared" si="49"/>
        <v>200</v>
      </c>
      <c r="U197" s="387"/>
      <c r="V197" s="411">
        <v>1</v>
      </c>
      <c r="W197" s="411">
        <v>1</v>
      </c>
      <c r="X197" s="436">
        <v>0</v>
      </c>
      <c r="Y197" s="411">
        <v>1</v>
      </c>
      <c r="Z197" s="436">
        <v>0</v>
      </c>
      <c r="AA197" s="412">
        <f>IF(T197,AB197/T197,0)</f>
        <v>1</v>
      </c>
      <c r="AB197" s="455">
        <f t="shared" si="50"/>
        <v>200</v>
      </c>
      <c r="AC197" s="456">
        <v>0</v>
      </c>
      <c r="AD197" s="2"/>
      <c r="AE197" s="4"/>
      <c r="AF197" s="5"/>
    </row>
    <row r="198" spans="2:32" hidden="1" x14ac:dyDescent="0.25">
      <c r="B198" s="387" t="s">
        <v>1576</v>
      </c>
      <c r="C198" s="387" t="s">
        <v>1368</v>
      </c>
      <c r="D198" s="387" t="s">
        <v>1224</v>
      </c>
      <c r="E198" s="387" t="s">
        <v>1396</v>
      </c>
      <c r="F198" s="387" t="s">
        <v>3201</v>
      </c>
      <c r="G198" s="387" t="s">
        <v>3310</v>
      </c>
      <c r="H198" s="387" t="s">
        <v>4109</v>
      </c>
      <c r="I198" s="387" t="s">
        <v>4170</v>
      </c>
      <c r="J198" s="387" t="s">
        <v>3803</v>
      </c>
      <c r="K198" s="387" t="s">
        <v>3632</v>
      </c>
      <c r="L198" s="387">
        <v>1</v>
      </c>
      <c r="M198" s="387">
        <v>0</v>
      </c>
      <c r="N198" s="387">
        <f t="shared" si="48"/>
        <v>1</v>
      </c>
      <c r="O198" s="387">
        <v>1</v>
      </c>
      <c r="P198" s="387" t="s">
        <v>1358</v>
      </c>
      <c r="Q198" s="387">
        <v>200</v>
      </c>
      <c r="R198" s="387"/>
      <c r="S198" s="2">
        <v>0</v>
      </c>
      <c r="T198" s="459">
        <f t="shared" si="49"/>
        <v>200</v>
      </c>
      <c r="U198" s="387"/>
      <c r="V198" s="411">
        <v>1</v>
      </c>
      <c r="W198" s="411">
        <v>1</v>
      </c>
      <c r="X198" s="436">
        <v>0</v>
      </c>
      <c r="Y198" s="411">
        <v>1</v>
      </c>
      <c r="Z198" s="436">
        <v>0</v>
      </c>
      <c r="AA198" s="412">
        <f t="shared" ref="AA198:AA260" si="54">IF(T198,AB198/T198,0)</f>
        <v>1</v>
      </c>
      <c r="AB198" s="455">
        <f t="shared" si="50"/>
        <v>200</v>
      </c>
      <c r="AC198" s="456">
        <v>0</v>
      </c>
      <c r="AD198" s="2"/>
      <c r="AE198" s="4"/>
      <c r="AF198" s="5"/>
    </row>
    <row r="199" spans="2:32" hidden="1" x14ac:dyDescent="0.25">
      <c r="B199" s="387" t="s">
        <v>1577</v>
      </c>
      <c r="C199" s="387" t="s">
        <v>1368</v>
      </c>
      <c r="D199" s="387" t="s">
        <v>1224</v>
      </c>
      <c r="E199" s="387" t="s">
        <v>1396</v>
      </c>
      <c r="F199" s="387" t="s">
        <v>3201</v>
      </c>
      <c r="G199" s="387" t="s">
        <v>3310</v>
      </c>
      <c r="H199" s="387" t="s">
        <v>4109</v>
      </c>
      <c r="I199" s="387" t="s">
        <v>4170</v>
      </c>
      <c r="J199" s="387" t="s">
        <v>3803</v>
      </c>
      <c r="K199" s="387" t="s">
        <v>3633</v>
      </c>
      <c r="L199" s="387">
        <v>1</v>
      </c>
      <c r="M199" s="387">
        <v>0</v>
      </c>
      <c r="N199" s="387">
        <f t="shared" si="48"/>
        <v>1</v>
      </c>
      <c r="O199" s="387">
        <v>1</v>
      </c>
      <c r="P199" s="387" t="s">
        <v>1358</v>
      </c>
      <c r="Q199" s="387">
        <v>200</v>
      </c>
      <c r="R199" s="387"/>
      <c r="S199" s="2">
        <v>0</v>
      </c>
      <c r="T199" s="459">
        <f t="shared" si="49"/>
        <v>200</v>
      </c>
      <c r="U199" s="387"/>
      <c r="V199" s="411">
        <v>1</v>
      </c>
      <c r="W199" s="411">
        <v>1</v>
      </c>
      <c r="X199" s="436">
        <v>0</v>
      </c>
      <c r="Y199" s="411">
        <v>1</v>
      </c>
      <c r="Z199" s="436">
        <v>0</v>
      </c>
      <c r="AA199" s="412">
        <f t="shared" si="54"/>
        <v>1</v>
      </c>
      <c r="AB199" s="455">
        <f t="shared" si="50"/>
        <v>200</v>
      </c>
      <c r="AC199" s="456">
        <v>0</v>
      </c>
      <c r="AD199" s="2"/>
      <c r="AE199" s="4"/>
      <c r="AF199" s="5"/>
    </row>
    <row r="200" spans="2:32" hidden="1" x14ac:dyDescent="0.25">
      <c r="B200" s="387" t="s">
        <v>1578</v>
      </c>
      <c r="C200" s="387" t="s">
        <v>1368</v>
      </c>
      <c r="D200" s="387" t="s">
        <v>1224</v>
      </c>
      <c r="E200" s="387" t="s">
        <v>3230</v>
      </c>
      <c r="F200" s="387" t="s">
        <v>3201</v>
      </c>
      <c r="G200" s="387" t="s">
        <v>3353</v>
      </c>
      <c r="H200" s="387" t="s">
        <v>4110</v>
      </c>
      <c r="I200" s="387" t="s">
        <v>4344</v>
      </c>
      <c r="J200" s="387" t="s">
        <v>3846</v>
      </c>
      <c r="K200" s="387" t="s">
        <v>3553</v>
      </c>
      <c r="L200" s="387">
        <v>1</v>
      </c>
      <c r="M200" s="387">
        <v>0</v>
      </c>
      <c r="N200" s="387">
        <f t="shared" si="48"/>
        <v>1</v>
      </c>
      <c r="O200" s="387">
        <v>0</v>
      </c>
      <c r="P200" s="387" t="s">
        <v>1358</v>
      </c>
      <c r="Q200" s="387">
        <v>64.27</v>
      </c>
      <c r="R200" s="387"/>
      <c r="S200" s="2">
        <v>0</v>
      </c>
      <c r="T200" s="459">
        <f t="shared" si="49"/>
        <v>64.27</v>
      </c>
      <c r="U200" s="387"/>
      <c r="V200" s="436">
        <v>1</v>
      </c>
      <c r="W200" s="436">
        <v>1</v>
      </c>
      <c r="X200" s="436">
        <v>0</v>
      </c>
      <c r="Y200" s="411">
        <v>1</v>
      </c>
      <c r="Z200" s="436">
        <v>0</v>
      </c>
      <c r="AA200" s="437">
        <f t="shared" si="54"/>
        <v>0.99999999999999978</v>
      </c>
      <c r="AB200" s="455">
        <f t="shared" si="50"/>
        <v>64.269999999999982</v>
      </c>
      <c r="AC200" s="456">
        <v>0</v>
      </c>
      <c r="AD200" s="2"/>
      <c r="AE200" s="4"/>
      <c r="AF200" s="5"/>
    </row>
    <row r="201" spans="2:32" hidden="1" x14ac:dyDescent="0.25">
      <c r="B201" s="387" t="s">
        <v>1579</v>
      </c>
      <c r="C201" s="387" t="s">
        <v>1368</v>
      </c>
      <c r="D201" s="387" t="s">
        <v>1224</v>
      </c>
      <c r="E201" s="387" t="s">
        <v>3231</v>
      </c>
      <c r="F201" s="387" t="s">
        <v>3201</v>
      </c>
      <c r="G201" s="387" t="s">
        <v>3354</v>
      </c>
      <c r="H201" s="387" t="s">
        <v>4110</v>
      </c>
      <c r="I201" s="387" t="s">
        <v>4345</v>
      </c>
      <c r="J201" s="387" t="s">
        <v>3847</v>
      </c>
      <c r="K201" s="387" t="s">
        <v>3554</v>
      </c>
      <c r="L201" s="387">
        <v>1</v>
      </c>
      <c r="M201" s="387">
        <v>0</v>
      </c>
      <c r="N201" s="387">
        <f t="shared" si="48"/>
        <v>1</v>
      </c>
      <c r="O201" s="387">
        <v>0</v>
      </c>
      <c r="P201" s="387" t="s">
        <v>1358</v>
      </c>
      <c r="Q201" s="387">
        <v>64.27</v>
      </c>
      <c r="R201" s="387"/>
      <c r="S201" s="2">
        <v>0</v>
      </c>
      <c r="T201" s="459">
        <f t="shared" si="49"/>
        <v>64.27</v>
      </c>
      <c r="U201" s="387"/>
      <c r="V201" s="411">
        <v>1</v>
      </c>
      <c r="W201" s="411">
        <v>1</v>
      </c>
      <c r="X201" s="436">
        <v>0</v>
      </c>
      <c r="Y201" s="411">
        <v>1</v>
      </c>
      <c r="Z201" s="436">
        <v>0</v>
      </c>
      <c r="AA201" s="437">
        <f t="shared" si="54"/>
        <v>0.99999999999999978</v>
      </c>
      <c r="AB201" s="455">
        <f t="shared" si="50"/>
        <v>64.269999999999982</v>
      </c>
      <c r="AC201" s="456">
        <v>0</v>
      </c>
      <c r="AD201" s="2"/>
      <c r="AE201" s="4"/>
      <c r="AF201" s="5"/>
    </row>
    <row r="202" spans="2:32" hidden="1" x14ac:dyDescent="0.25">
      <c r="B202" s="387" t="s">
        <v>1582</v>
      </c>
      <c r="C202" s="387" t="s">
        <v>1368</v>
      </c>
      <c r="D202" s="387" t="s">
        <v>1224</v>
      </c>
      <c r="E202" s="387" t="s">
        <v>3232</v>
      </c>
      <c r="F202" s="387" t="s">
        <v>3201</v>
      </c>
      <c r="G202" s="387" t="s">
        <v>3355</v>
      </c>
      <c r="H202" s="387" t="s">
        <v>4110</v>
      </c>
      <c r="I202" s="387" t="s">
        <v>4346</v>
      </c>
      <c r="J202" s="387" t="s">
        <v>3848</v>
      </c>
      <c r="K202" s="387" t="s">
        <v>3555</v>
      </c>
      <c r="L202" s="387">
        <v>1</v>
      </c>
      <c r="M202" s="387">
        <v>0</v>
      </c>
      <c r="N202" s="387">
        <f>L202+M202</f>
        <v>1</v>
      </c>
      <c r="O202" s="387">
        <v>0</v>
      </c>
      <c r="P202" s="387" t="s">
        <v>1358</v>
      </c>
      <c r="Q202" s="387">
        <v>64.27</v>
      </c>
      <c r="R202" s="387"/>
      <c r="S202" s="2">
        <v>0</v>
      </c>
      <c r="T202" s="459">
        <f>Q202+S202+R202</f>
        <v>64.27</v>
      </c>
      <c r="U202" s="387"/>
      <c r="V202" s="411">
        <v>1</v>
      </c>
      <c r="W202" s="411">
        <v>1</v>
      </c>
      <c r="X202" s="436">
        <v>0</v>
      </c>
      <c r="Y202" s="411">
        <v>1</v>
      </c>
      <c r="Z202" s="436">
        <v>0</v>
      </c>
      <c r="AA202" s="437">
        <f>IF(T202,AB202/T202,0)</f>
        <v>0.99999999999999978</v>
      </c>
      <c r="AB202" s="455">
        <f t="shared" si="50"/>
        <v>64.269999999999982</v>
      </c>
      <c r="AC202" s="456">
        <v>0</v>
      </c>
      <c r="AD202" s="480"/>
      <c r="AE202" s="480"/>
      <c r="AF202" s="481"/>
    </row>
    <row r="203" spans="2:32" hidden="1" x14ac:dyDescent="0.25">
      <c r="B203" s="387" t="s">
        <v>1624</v>
      </c>
      <c r="C203" s="387" t="s">
        <v>1368</v>
      </c>
      <c r="D203" s="387" t="s">
        <v>1224</v>
      </c>
      <c r="E203" s="387" t="s">
        <v>3217</v>
      </c>
      <c r="F203" s="387" t="s">
        <v>3201</v>
      </c>
      <c r="G203" s="387" t="s">
        <v>3340</v>
      </c>
      <c r="H203" s="387" t="s">
        <v>4110</v>
      </c>
      <c r="I203" s="387" t="s">
        <v>4347</v>
      </c>
      <c r="J203" s="387" t="s">
        <v>3833</v>
      </c>
      <c r="K203" s="387" t="s">
        <v>3556</v>
      </c>
      <c r="L203" s="387">
        <v>1</v>
      </c>
      <c r="M203" s="387">
        <v>0</v>
      </c>
      <c r="N203" s="387">
        <f>L203+M203</f>
        <v>1</v>
      </c>
      <c r="O203" s="387">
        <v>0</v>
      </c>
      <c r="P203" s="387" t="s">
        <v>1358</v>
      </c>
      <c r="Q203" s="387">
        <v>64.27</v>
      </c>
      <c r="R203" s="387"/>
      <c r="S203" s="2">
        <v>0</v>
      </c>
      <c r="T203" s="459">
        <f>Q203+S203+R203</f>
        <v>64.27</v>
      </c>
      <c r="U203" s="387"/>
      <c r="V203" s="411">
        <v>1</v>
      </c>
      <c r="W203" s="411">
        <v>1</v>
      </c>
      <c r="X203" s="436">
        <v>0</v>
      </c>
      <c r="Y203" s="411">
        <v>1</v>
      </c>
      <c r="Z203" s="436">
        <v>0</v>
      </c>
      <c r="AA203" s="437">
        <f>IF(T203,AB203/T203,0)</f>
        <v>0.99999999999999978</v>
      </c>
      <c r="AB203" s="455">
        <f t="shared" si="50"/>
        <v>64.269999999999982</v>
      </c>
      <c r="AC203" s="456">
        <v>0</v>
      </c>
      <c r="AD203" s="480"/>
      <c r="AE203" s="480"/>
      <c r="AF203" s="481"/>
    </row>
    <row r="204" spans="2:32" hidden="1" x14ac:dyDescent="0.25">
      <c r="B204" s="387" t="s">
        <v>1581</v>
      </c>
      <c r="C204" s="387" t="s">
        <v>1368</v>
      </c>
      <c r="D204" s="387" t="s">
        <v>1224</v>
      </c>
      <c r="E204" s="387" t="s">
        <v>3219</v>
      </c>
      <c r="F204" s="387" t="s">
        <v>3201</v>
      </c>
      <c r="G204" s="387" t="s">
        <v>3342</v>
      </c>
      <c r="H204" s="387" t="s">
        <v>4110</v>
      </c>
      <c r="I204" s="387" t="s">
        <v>4348</v>
      </c>
      <c r="J204" s="387" t="s">
        <v>3835</v>
      </c>
      <c r="K204" s="387" t="s">
        <v>3557</v>
      </c>
      <c r="L204" s="387">
        <v>1</v>
      </c>
      <c r="M204" s="387">
        <v>0</v>
      </c>
      <c r="N204" s="387">
        <f t="shared" si="48"/>
        <v>1</v>
      </c>
      <c r="O204" s="387">
        <v>0</v>
      </c>
      <c r="P204" s="387" t="s">
        <v>1358</v>
      </c>
      <c r="Q204" s="387">
        <v>100</v>
      </c>
      <c r="R204" s="387"/>
      <c r="S204" s="2">
        <v>0</v>
      </c>
      <c r="T204" s="459">
        <f t="shared" ref="T204:T266" si="55">Q204+S204+R204</f>
        <v>100</v>
      </c>
      <c r="U204" s="387"/>
      <c r="V204" s="411">
        <v>1</v>
      </c>
      <c r="W204" s="411">
        <v>1</v>
      </c>
      <c r="X204" s="436">
        <v>0</v>
      </c>
      <c r="Y204" s="411">
        <v>1</v>
      </c>
      <c r="Z204" s="436">
        <v>0</v>
      </c>
      <c r="AA204" s="437">
        <f t="shared" si="54"/>
        <v>1</v>
      </c>
      <c r="AB204" s="455">
        <f t="shared" si="50"/>
        <v>100</v>
      </c>
      <c r="AC204" s="456">
        <v>0</v>
      </c>
      <c r="AD204" s="2"/>
      <c r="AE204" s="4"/>
      <c r="AF204" s="5"/>
    </row>
    <row r="205" spans="2:32" hidden="1" x14ac:dyDescent="0.25">
      <c r="B205" s="387" t="s">
        <v>1580</v>
      </c>
      <c r="C205" s="387" t="s">
        <v>1368</v>
      </c>
      <c r="D205" s="387" t="s">
        <v>1224</v>
      </c>
      <c r="E205" s="387" t="s">
        <v>3222</v>
      </c>
      <c r="F205" s="387" t="s">
        <v>3201</v>
      </c>
      <c r="G205" s="387" t="s">
        <v>3345</v>
      </c>
      <c r="H205" s="387" t="s">
        <v>4110</v>
      </c>
      <c r="I205" s="387" t="s">
        <v>4349</v>
      </c>
      <c r="J205" s="387" t="s">
        <v>3838</v>
      </c>
      <c r="K205" s="387" t="s">
        <v>3558</v>
      </c>
      <c r="L205" s="387">
        <v>1</v>
      </c>
      <c r="M205" s="387">
        <v>0</v>
      </c>
      <c r="N205" s="387">
        <f>L205+M205</f>
        <v>1</v>
      </c>
      <c r="O205" s="387">
        <v>0</v>
      </c>
      <c r="P205" s="387" t="s">
        <v>1358</v>
      </c>
      <c r="Q205" s="387">
        <v>100</v>
      </c>
      <c r="R205" s="387"/>
      <c r="S205" s="2">
        <v>0</v>
      </c>
      <c r="T205" s="459">
        <f>Q205+S205+R205</f>
        <v>100</v>
      </c>
      <c r="U205" s="387"/>
      <c r="V205" s="411">
        <v>1</v>
      </c>
      <c r="W205" s="411">
        <v>1</v>
      </c>
      <c r="X205" s="436">
        <v>0</v>
      </c>
      <c r="Y205" s="411">
        <v>1</v>
      </c>
      <c r="Z205" s="436">
        <v>0</v>
      </c>
      <c r="AA205" s="437">
        <f>IF(T205,AB205/T205,0)</f>
        <v>1</v>
      </c>
      <c r="AB205" s="455">
        <f t="shared" si="50"/>
        <v>100</v>
      </c>
      <c r="AC205" s="456">
        <v>0</v>
      </c>
      <c r="AD205" s="2"/>
      <c r="AE205" s="4"/>
      <c r="AF205" s="5"/>
    </row>
    <row r="206" spans="2:32" hidden="1" x14ac:dyDescent="0.25">
      <c r="B206" s="387" t="s">
        <v>1586</v>
      </c>
      <c r="C206" s="387" t="s">
        <v>1368</v>
      </c>
      <c r="D206" s="387" t="s">
        <v>1224</v>
      </c>
      <c r="E206" s="387" t="s">
        <v>3221</v>
      </c>
      <c r="F206" s="387" t="s">
        <v>3201</v>
      </c>
      <c r="G206" s="387" t="s">
        <v>3344</v>
      </c>
      <c r="H206" s="387" t="s">
        <v>4110</v>
      </c>
      <c r="I206" s="387" t="s">
        <v>4350</v>
      </c>
      <c r="J206" s="387" t="s">
        <v>3837</v>
      </c>
      <c r="K206" s="387" t="s">
        <v>3559</v>
      </c>
      <c r="L206" s="387">
        <v>1</v>
      </c>
      <c r="M206" s="387">
        <v>0</v>
      </c>
      <c r="N206" s="387">
        <f t="shared" si="48"/>
        <v>1</v>
      </c>
      <c r="O206" s="387">
        <v>0</v>
      </c>
      <c r="P206" s="387" t="s">
        <v>1358</v>
      </c>
      <c r="Q206" s="387">
        <v>100</v>
      </c>
      <c r="R206" s="387"/>
      <c r="S206" s="2">
        <v>0</v>
      </c>
      <c r="T206" s="459">
        <f t="shared" si="55"/>
        <v>100</v>
      </c>
      <c r="U206" s="387"/>
      <c r="V206" s="411">
        <v>1</v>
      </c>
      <c r="W206" s="411">
        <v>1</v>
      </c>
      <c r="X206" s="436">
        <v>0</v>
      </c>
      <c r="Y206" s="411">
        <v>1</v>
      </c>
      <c r="Z206" s="436">
        <v>0</v>
      </c>
      <c r="AA206" s="437">
        <f t="shared" si="54"/>
        <v>1</v>
      </c>
      <c r="AB206" s="455">
        <f t="shared" si="50"/>
        <v>100</v>
      </c>
      <c r="AC206" s="456">
        <v>0</v>
      </c>
      <c r="AD206" s="480"/>
      <c r="AE206" s="480"/>
      <c r="AF206" s="481"/>
    </row>
    <row r="207" spans="2:32" hidden="1" x14ac:dyDescent="0.25">
      <c r="B207" s="387" t="s">
        <v>1587</v>
      </c>
      <c r="C207" s="387" t="s">
        <v>1368</v>
      </c>
      <c r="D207" s="387" t="s">
        <v>1224</v>
      </c>
      <c r="E207" s="387" t="s">
        <v>3223</v>
      </c>
      <c r="F207" s="387" t="s">
        <v>3201</v>
      </c>
      <c r="G207" s="387" t="s">
        <v>3346</v>
      </c>
      <c r="H207" s="387" t="s">
        <v>4110</v>
      </c>
      <c r="I207" s="387" t="s">
        <v>4351</v>
      </c>
      <c r="J207" s="387" t="s">
        <v>3839</v>
      </c>
      <c r="K207" s="387" t="s">
        <v>3560</v>
      </c>
      <c r="L207" s="387">
        <v>1</v>
      </c>
      <c r="M207" s="387">
        <v>0</v>
      </c>
      <c r="N207" s="387">
        <f t="shared" si="48"/>
        <v>1</v>
      </c>
      <c r="O207" s="387">
        <v>0</v>
      </c>
      <c r="P207" s="387" t="s">
        <v>1358</v>
      </c>
      <c r="Q207" s="387">
        <v>100</v>
      </c>
      <c r="R207" s="387"/>
      <c r="S207" s="2">
        <v>0</v>
      </c>
      <c r="T207" s="459">
        <f t="shared" si="55"/>
        <v>100</v>
      </c>
      <c r="U207" s="387"/>
      <c r="V207" s="411">
        <v>1</v>
      </c>
      <c r="W207" s="411">
        <v>1</v>
      </c>
      <c r="X207" s="436">
        <v>0</v>
      </c>
      <c r="Y207" s="411">
        <v>1</v>
      </c>
      <c r="Z207" s="436">
        <v>0</v>
      </c>
      <c r="AA207" s="437">
        <f t="shared" si="54"/>
        <v>1</v>
      </c>
      <c r="AB207" s="455">
        <f t="shared" si="50"/>
        <v>100</v>
      </c>
      <c r="AC207" s="456">
        <v>0</v>
      </c>
      <c r="AD207" s="480"/>
      <c r="AE207" s="480"/>
      <c r="AF207" s="481"/>
    </row>
    <row r="208" spans="2:32" hidden="1" x14ac:dyDescent="0.25">
      <c r="B208" s="387" t="s">
        <v>1588</v>
      </c>
      <c r="C208" s="387" t="s">
        <v>1368</v>
      </c>
      <c r="D208" s="387" t="s">
        <v>1224</v>
      </c>
      <c r="E208" s="387" t="s">
        <v>3225</v>
      </c>
      <c r="F208" s="387" t="s">
        <v>3201</v>
      </c>
      <c r="G208" s="387" t="s">
        <v>3348</v>
      </c>
      <c r="H208" s="387" t="s">
        <v>4110</v>
      </c>
      <c r="I208" s="387" t="s">
        <v>4352</v>
      </c>
      <c r="J208" s="387" t="s">
        <v>3841</v>
      </c>
      <c r="K208" s="387" t="s">
        <v>3561</v>
      </c>
      <c r="L208" s="387">
        <v>1</v>
      </c>
      <c r="M208" s="387">
        <v>0</v>
      </c>
      <c r="N208" s="387">
        <f t="shared" si="48"/>
        <v>1</v>
      </c>
      <c r="O208" s="387">
        <v>0</v>
      </c>
      <c r="P208" s="387" t="s">
        <v>1358</v>
      </c>
      <c r="Q208" s="387">
        <v>64.27</v>
      </c>
      <c r="R208" s="387"/>
      <c r="S208" s="2">
        <v>0</v>
      </c>
      <c r="T208" s="459">
        <f t="shared" si="55"/>
        <v>64.27</v>
      </c>
      <c r="U208" s="387"/>
      <c r="V208" s="411">
        <v>1</v>
      </c>
      <c r="W208" s="411">
        <v>1</v>
      </c>
      <c r="X208" s="436">
        <v>0</v>
      </c>
      <c r="Y208" s="411">
        <v>1</v>
      </c>
      <c r="Z208" s="436">
        <v>0</v>
      </c>
      <c r="AA208" s="437">
        <f t="shared" si="54"/>
        <v>0.99999999999999978</v>
      </c>
      <c r="AB208" s="455">
        <f t="shared" si="50"/>
        <v>64.269999999999982</v>
      </c>
      <c r="AC208" s="456">
        <v>0</v>
      </c>
      <c r="AD208" s="480"/>
      <c r="AE208" s="480"/>
      <c r="AF208" s="481"/>
    </row>
    <row r="209" spans="2:32" hidden="1" x14ac:dyDescent="0.25">
      <c r="B209" s="387" t="s">
        <v>1589</v>
      </c>
      <c r="C209" s="387" t="s">
        <v>1368</v>
      </c>
      <c r="D209" s="387" t="s">
        <v>1224</v>
      </c>
      <c r="E209" s="387" t="s">
        <v>3248</v>
      </c>
      <c r="F209" s="387" t="s">
        <v>3201</v>
      </c>
      <c r="G209" s="387" t="s">
        <v>3370</v>
      </c>
      <c r="H209" s="387" t="s">
        <v>4110</v>
      </c>
      <c r="I209" s="387" t="s">
        <v>4353</v>
      </c>
      <c r="J209" s="387" t="s">
        <v>3864</v>
      </c>
      <c r="K209" s="387" t="s">
        <v>3562</v>
      </c>
      <c r="L209" s="387">
        <v>1</v>
      </c>
      <c r="M209" s="387">
        <v>0</v>
      </c>
      <c r="N209" s="387">
        <f t="shared" si="48"/>
        <v>1</v>
      </c>
      <c r="O209" s="387">
        <v>0</v>
      </c>
      <c r="P209" s="387" t="s">
        <v>1358</v>
      </c>
      <c r="Q209" s="387">
        <v>64.27</v>
      </c>
      <c r="R209" s="387"/>
      <c r="S209" s="2">
        <v>0</v>
      </c>
      <c r="T209" s="459">
        <f t="shared" si="55"/>
        <v>64.27</v>
      </c>
      <c r="U209" s="387"/>
      <c r="V209" s="411">
        <v>1</v>
      </c>
      <c r="W209" s="411">
        <v>1</v>
      </c>
      <c r="X209" s="436">
        <v>0</v>
      </c>
      <c r="Y209" s="411">
        <v>1</v>
      </c>
      <c r="Z209" s="436">
        <v>0</v>
      </c>
      <c r="AA209" s="437">
        <f t="shared" si="54"/>
        <v>0.99999999999999978</v>
      </c>
      <c r="AB209" s="455">
        <f t="shared" ref="AB209:AB222" si="56">(V209*V$177*T209)+(W209*W$177*T209)+(X209*X$177*T209)+(Y209*Y$177*T209)+(Z209*Z$177*T209)</f>
        <v>64.269999999999982</v>
      </c>
      <c r="AC209" s="456">
        <v>0</v>
      </c>
      <c r="AD209" s="480"/>
      <c r="AE209" s="480"/>
      <c r="AF209" s="481"/>
    </row>
    <row r="210" spans="2:32" hidden="1" x14ac:dyDescent="0.25">
      <c r="B210" s="387" t="s">
        <v>1590</v>
      </c>
      <c r="C210" s="387" t="s">
        <v>1368</v>
      </c>
      <c r="D210" s="387" t="s">
        <v>1224</v>
      </c>
      <c r="E210" s="387" t="s">
        <v>3249</v>
      </c>
      <c r="F210" s="387" t="s">
        <v>3201</v>
      </c>
      <c r="G210" s="387" t="s">
        <v>3371</v>
      </c>
      <c r="H210" s="387" t="s">
        <v>4110</v>
      </c>
      <c r="I210" s="387" t="s">
        <v>4354</v>
      </c>
      <c r="J210" s="387" t="s">
        <v>3865</v>
      </c>
      <c r="K210" s="387" t="s">
        <v>3563</v>
      </c>
      <c r="L210" s="387">
        <v>1</v>
      </c>
      <c r="M210" s="387">
        <v>0</v>
      </c>
      <c r="N210" s="387">
        <f t="shared" si="48"/>
        <v>1</v>
      </c>
      <c r="O210" s="387">
        <v>0</v>
      </c>
      <c r="P210" s="387" t="s">
        <v>1358</v>
      </c>
      <c r="Q210" s="387">
        <v>64.27</v>
      </c>
      <c r="R210" s="387"/>
      <c r="S210" s="2">
        <v>0</v>
      </c>
      <c r="T210" s="459">
        <f t="shared" si="55"/>
        <v>64.27</v>
      </c>
      <c r="U210" s="387"/>
      <c r="V210" s="411">
        <v>1</v>
      </c>
      <c r="W210" s="411">
        <v>1</v>
      </c>
      <c r="X210" s="436">
        <v>0</v>
      </c>
      <c r="Y210" s="411">
        <v>1</v>
      </c>
      <c r="Z210" s="436">
        <v>0</v>
      </c>
      <c r="AA210" s="437">
        <f t="shared" si="54"/>
        <v>0.99999999999999978</v>
      </c>
      <c r="AB210" s="455">
        <f t="shared" si="56"/>
        <v>64.269999999999982</v>
      </c>
      <c r="AC210" s="456">
        <v>0</v>
      </c>
      <c r="AD210" s="480"/>
      <c r="AE210" s="480"/>
      <c r="AF210" s="481"/>
    </row>
    <row r="211" spans="2:32" hidden="1" x14ac:dyDescent="0.25">
      <c r="B211" s="387" t="s">
        <v>1591</v>
      </c>
      <c r="C211" s="387" t="s">
        <v>1368</v>
      </c>
      <c r="D211" s="387" t="s">
        <v>1224</v>
      </c>
      <c r="E211" s="387" t="s">
        <v>3255</v>
      </c>
      <c r="F211" s="387" t="s">
        <v>3201</v>
      </c>
      <c r="G211" s="387" t="s">
        <v>3376</v>
      </c>
      <c r="H211" s="387" t="s">
        <v>4110</v>
      </c>
      <c r="I211" s="387" t="s">
        <v>4355</v>
      </c>
      <c r="J211" s="387" t="s">
        <v>3871</v>
      </c>
      <c r="K211" s="387" t="s">
        <v>3564</v>
      </c>
      <c r="L211" s="387">
        <v>1</v>
      </c>
      <c r="M211" s="387">
        <v>0</v>
      </c>
      <c r="N211" s="387">
        <f t="shared" si="48"/>
        <v>1</v>
      </c>
      <c r="O211" s="387">
        <v>0</v>
      </c>
      <c r="P211" s="387" t="s">
        <v>1358</v>
      </c>
      <c r="Q211" s="387">
        <v>64.27</v>
      </c>
      <c r="R211" s="387"/>
      <c r="S211" s="2">
        <v>0</v>
      </c>
      <c r="T211" s="459">
        <f t="shared" si="55"/>
        <v>64.27</v>
      </c>
      <c r="U211" s="387"/>
      <c r="V211" s="411">
        <v>1</v>
      </c>
      <c r="W211" s="411">
        <v>1</v>
      </c>
      <c r="X211" s="436">
        <v>0</v>
      </c>
      <c r="Y211" s="411">
        <v>1</v>
      </c>
      <c r="Z211" s="436">
        <v>0</v>
      </c>
      <c r="AA211" s="437">
        <f t="shared" si="54"/>
        <v>0.99999999999999978</v>
      </c>
      <c r="AB211" s="455">
        <f t="shared" si="56"/>
        <v>64.269999999999982</v>
      </c>
      <c r="AC211" s="456">
        <v>0</v>
      </c>
      <c r="AD211" s="480"/>
      <c r="AE211" s="480"/>
      <c r="AF211" s="481"/>
    </row>
    <row r="212" spans="2:32" hidden="1" x14ac:dyDescent="0.25">
      <c r="B212" s="387" t="s">
        <v>1592</v>
      </c>
      <c r="C212" s="387" t="s">
        <v>1368</v>
      </c>
      <c r="D212" s="387" t="s">
        <v>1224</v>
      </c>
      <c r="E212" s="387" t="s">
        <v>3250</v>
      </c>
      <c r="F212" s="387" t="s">
        <v>3201</v>
      </c>
      <c r="G212" s="387" t="s">
        <v>3372</v>
      </c>
      <c r="H212" s="387" t="s">
        <v>4110</v>
      </c>
      <c r="I212" s="387" t="s">
        <v>4356</v>
      </c>
      <c r="J212" s="387" t="s">
        <v>3866</v>
      </c>
      <c r="K212" s="387" t="s">
        <v>3565</v>
      </c>
      <c r="L212" s="387">
        <v>1</v>
      </c>
      <c r="M212" s="387">
        <v>0</v>
      </c>
      <c r="N212" s="387">
        <f t="shared" si="48"/>
        <v>1</v>
      </c>
      <c r="O212" s="387">
        <v>0</v>
      </c>
      <c r="P212" s="387" t="s">
        <v>1358</v>
      </c>
      <c r="Q212" s="387">
        <v>64.27</v>
      </c>
      <c r="R212" s="387"/>
      <c r="S212" s="2">
        <v>0</v>
      </c>
      <c r="T212" s="459">
        <f t="shared" si="55"/>
        <v>64.27</v>
      </c>
      <c r="U212" s="387"/>
      <c r="V212" s="411">
        <v>1</v>
      </c>
      <c r="W212" s="411">
        <v>1</v>
      </c>
      <c r="X212" s="436">
        <v>0</v>
      </c>
      <c r="Y212" s="411">
        <v>1</v>
      </c>
      <c r="Z212" s="436">
        <v>0</v>
      </c>
      <c r="AA212" s="437">
        <f t="shared" si="54"/>
        <v>0.99999999999999978</v>
      </c>
      <c r="AB212" s="455">
        <f t="shared" si="56"/>
        <v>64.269999999999982</v>
      </c>
      <c r="AC212" s="456">
        <v>0</v>
      </c>
      <c r="AD212" s="480"/>
      <c r="AE212" s="480"/>
      <c r="AF212" s="481"/>
    </row>
    <row r="213" spans="2:32" hidden="1" x14ac:dyDescent="0.25">
      <c r="B213" s="387" t="s">
        <v>1593</v>
      </c>
      <c r="C213" s="387" t="s">
        <v>1368</v>
      </c>
      <c r="D213" s="387" t="s">
        <v>1224</v>
      </c>
      <c r="E213" s="387" t="s">
        <v>3251</v>
      </c>
      <c r="F213" s="387" t="s">
        <v>3201</v>
      </c>
      <c r="G213" s="387" t="s">
        <v>3373</v>
      </c>
      <c r="H213" s="387" t="s">
        <v>4110</v>
      </c>
      <c r="I213" s="387" t="s">
        <v>4357</v>
      </c>
      <c r="J213" s="387" t="s">
        <v>3867</v>
      </c>
      <c r="K213" s="387" t="s">
        <v>3566</v>
      </c>
      <c r="L213" s="387">
        <v>1</v>
      </c>
      <c r="M213" s="387">
        <v>0</v>
      </c>
      <c r="N213" s="387">
        <f t="shared" si="48"/>
        <v>1</v>
      </c>
      <c r="O213" s="387">
        <v>0</v>
      </c>
      <c r="P213" s="387" t="s">
        <v>1358</v>
      </c>
      <c r="Q213" s="387">
        <v>64.27</v>
      </c>
      <c r="R213" s="387"/>
      <c r="S213" s="2">
        <v>0</v>
      </c>
      <c r="T213" s="459">
        <f t="shared" si="55"/>
        <v>64.27</v>
      </c>
      <c r="U213" s="387"/>
      <c r="V213" s="411">
        <v>1</v>
      </c>
      <c r="W213" s="411">
        <v>1</v>
      </c>
      <c r="X213" s="436">
        <v>0</v>
      </c>
      <c r="Y213" s="411">
        <v>1</v>
      </c>
      <c r="Z213" s="436">
        <v>0</v>
      </c>
      <c r="AA213" s="437">
        <f t="shared" si="54"/>
        <v>0.99999999999999978</v>
      </c>
      <c r="AB213" s="455">
        <f t="shared" si="56"/>
        <v>64.269999999999982</v>
      </c>
      <c r="AC213" s="456">
        <v>0</v>
      </c>
      <c r="AD213" s="480"/>
      <c r="AE213" s="480"/>
      <c r="AF213" s="481"/>
    </row>
    <row r="214" spans="2:32" hidden="1" x14ac:dyDescent="0.25">
      <c r="B214" s="387" t="s">
        <v>1594</v>
      </c>
      <c r="C214" s="387" t="s">
        <v>1368</v>
      </c>
      <c r="D214" s="387" t="s">
        <v>1224</v>
      </c>
      <c r="E214" s="387" t="s">
        <v>3256</v>
      </c>
      <c r="F214" s="387" t="s">
        <v>3201</v>
      </c>
      <c r="G214" s="387" t="s">
        <v>3377</v>
      </c>
      <c r="H214" s="387" t="s">
        <v>4110</v>
      </c>
      <c r="I214" s="387" t="s">
        <v>4358</v>
      </c>
      <c r="J214" s="387" t="s">
        <v>3872</v>
      </c>
      <c r="K214" s="387" t="s">
        <v>3567</v>
      </c>
      <c r="L214" s="387">
        <v>1</v>
      </c>
      <c r="M214" s="387">
        <v>0</v>
      </c>
      <c r="N214" s="387">
        <f t="shared" si="48"/>
        <v>1</v>
      </c>
      <c r="O214" s="387">
        <v>0</v>
      </c>
      <c r="P214" s="387" t="s">
        <v>1358</v>
      </c>
      <c r="Q214" s="387">
        <v>64.27</v>
      </c>
      <c r="R214" s="387"/>
      <c r="S214" s="2">
        <v>0</v>
      </c>
      <c r="T214" s="459">
        <f t="shared" si="55"/>
        <v>64.27</v>
      </c>
      <c r="U214" s="387"/>
      <c r="V214" s="411">
        <v>1</v>
      </c>
      <c r="W214" s="411">
        <v>1</v>
      </c>
      <c r="X214" s="436">
        <v>0</v>
      </c>
      <c r="Y214" s="411">
        <v>1</v>
      </c>
      <c r="Z214" s="436">
        <v>0</v>
      </c>
      <c r="AA214" s="437">
        <f t="shared" si="54"/>
        <v>0.99999999999999978</v>
      </c>
      <c r="AB214" s="455">
        <f t="shared" si="56"/>
        <v>64.269999999999982</v>
      </c>
      <c r="AC214" s="456">
        <v>0</v>
      </c>
      <c r="AD214" s="480"/>
      <c r="AE214" s="480"/>
      <c r="AF214" s="481"/>
    </row>
    <row r="215" spans="2:32" hidden="1" x14ac:dyDescent="0.25">
      <c r="B215" s="387" t="s">
        <v>1595</v>
      </c>
      <c r="C215" s="387" t="s">
        <v>1368</v>
      </c>
      <c r="D215" s="387" t="s">
        <v>1224</v>
      </c>
      <c r="E215" s="387" t="s">
        <v>3235</v>
      </c>
      <c r="F215" s="387" t="s">
        <v>3201</v>
      </c>
      <c r="G215" s="387" t="s">
        <v>3358</v>
      </c>
      <c r="H215" s="387" t="s">
        <v>4110</v>
      </c>
      <c r="I215" s="387" t="s">
        <v>4359</v>
      </c>
      <c r="J215" s="387" t="s">
        <v>3851</v>
      </c>
      <c r="K215" s="387" t="s">
        <v>3568</v>
      </c>
      <c r="L215" s="387">
        <v>1</v>
      </c>
      <c r="M215" s="387">
        <v>0</v>
      </c>
      <c r="N215" s="387">
        <f t="shared" si="48"/>
        <v>1</v>
      </c>
      <c r="O215" s="387">
        <v>0</v>
      </c>
      <c r="P215" s="387" t="s">
        <v>1358</v>
      </c>
      <c r="Q215" s="387">
        <v>64.27</v>
      </c>
      <c r="R215" s="387"/>
      <c r="S215" s="2">
        <v>0</v>
      </c>
      <c r="T215" s="459">
        <f t="shared" si="55"/>
        <v>64.27</v>
      </c>
      <c r="U215" s="387"/>
      <c r="V215" s="411">
        <v>1</v>
      </c>
      <c r="W215" s="411">
        <v>1</v>
      </c>
      <c r="X215" s="436">
        <v>0</v>
      </c>
      <c r="Y215" s="411">
        <v>1</v>
      </c>
      <c r="Z215" s="436">
        <v>0</v>
      </c>
      <c r="AA215" s="437">
        <f t="shared" si="54"/>
        <v>0.99999999999999978</v>
      </c>
      <c r="AB215" s="455">
        <f t="shared" si="56"/>
        <v>64.269999999999982</v>
      </c>
      <c r="AC215" s="456">
        <v>0</v>
      </c>
      <c r="AD215" s="480"/>
      <c r="AE215" s="480"/>
      <c r="AF215" s="481"/>
    </row>
    <row r="216" spans="2:32" hidden="1" x14ac:dyDescent="0.25">
      <c r="B216" s="387" t="s">
        <v>1596</v>
      </c>
      <c r="C216" s="387" t="s">
        <v>1368</v>
      </c>
      <c r="D216" s="387" t="s">
        <v>1224</v>
      </c>
      <c r="E216" s="387" t="s">
        <v>3227</v>
      </c>
      <c r="F216" s="387" t="s">
        <v>3201</v>
      </c>
      <c r="G216" s="387" t="s">
        <v>3350</v>
      </c>
      <c r="H216" s="387" t="s">
        <v>4110</v>
      </c>
      <c r="I216" s="387" t="s">
        <v>4360</v>
      </c>
      <c r="J216" s="387" t="s">
        <v>3843</v>
      </c>
      <c r="K216" s="387" t="s">
        <v>3569</v>
      </c>
      <c r="L216" s="387">
        <v>1</v>
      </c>
      <c r="M216" s="387">
        <v>0</v>
      </c>
      <c r="N216" s="387">
        <f t="shared" si="48"/>
        <v>1</v>
      </c>
      <c r="O216" s="387">
        <v>0</v>
      </c>
      <c r="P216" s="387" t="s">
        <v>1358</v>
      </c>
      <c r="Q216" s="387">
        <v>64.27</v>
      </c>
      <c r="R216" s="387"/>
      <c r="S216" s="2">
        <v>0</v>
      </c>
      <c r="T216" s="459">
        <f t="shared" si="55"/>
        <v>64.27</v>
      </c>
      <c r="U216" s="387"/>
      <c r="V216" s="411">
        <v>1</v>
      </c>
      <c r="W216" s="411">
        <v>1</v>
      </c>
      <c r="X216" s="436">
        <v>0</v>
      </c>
      <c r="Y216" s="411">
        <v>1</v>
      </c>
      <c r="Z216" s="436">
        <v>0</v>
      </c>
      <c r="AA216" s="437">
        <f t="shared" si="54"/>
        <v>0.99999999999999978</v>
      </c>
      <c r="AB216" s="455">
        <f t="shared" si="56"/>
        <v>64.269999999999982</v>
      </c>
      <c r="AC216" s="456">
        <v>0</v>
      </c>
      <c r="AD216" s="480"/>
      <c r="AE216" s="480"/>
      <c r="AF216" s="481"/>
    </row>
    <row r="217" spans="2:32" hidden="1" x14ac:dyDescent="0.25">
      <c r="B217" s="387" t="s">
        <v>1597</v>
      </c>
      <c r="C217" s="387" t="s">
        <v>1368</v>
      </c>
      <c r="D217" s="387" t="s">
        <v>1224</v>
      </c>
      <c r="E217" s="387" t="s">
        <v>3228</v>
      </c>
      <c r="F217" s="387" t="s">
        <v>3201</v>
      </c>
      <c r="G217" s="387" t="s">
        <v>3351</v>
      </c>
      <c r="H217" s="387" t="s">
        <v>4110</v>
      </c>
      <c r="I217" s="387" t="s">
        <v>4361</v>
      </c>
      <c r="J217" s="387" t="s">
        <v>3844</v>
      </c>
      <c r="K217" s="387" t="s">
        <v>3570</v>
      </c>
      <c r="L217" s="387">
        <v>1</v>
      </c>
      <c r="M217" s="387">
        <v>0</v>
      </c>
      <c r="N217" s="387">
        <f t="shared" si="48"/>
        <v>1</v>
      </c>
      <c r="O217" s="387">
        <v>0</v>
      </c>
      <c r="P217" s="387" t="s">
        <v>1358</v>
      </c>
      <c r="Q217" s="387">
        <v>64.27</v>
      </c>
      <c r="R217" s="387"/>
      <c r="S217" s="2">
        <v>0</v>
      </c>
      <c r="T217" s="459">
        <f t="shared" si="55"/>
        <v>64.27</v>
      </c>
      <c r="U217" s="387"/>
      <c r="V217" s="411">
        <v>1</v>
      </c>
      <c r="W217" s="411">
        <v>1</v>
      </c>
      <c r="X217" s="436">
        <v>0</v>
      </c>
      <c r="Y217" s="411">
        <v>1</v>
      </c>
      <c r="Z217" s="436">
        <v>0</v>
      </c>
      <c r="AA217" s="437">
        <f t="shared" si="54"/>
        <v>0.99999999999999978</v>
      </c>
      <c r="AB217" s="455">
        <f t="shared" si="56"/>
        <v>64.269999999999982</v>
      </c>
      <c r="AC217" s="456">
        <v>0</v>
      </c>
      <c r="AD217" s="480"/>
      <c r="AE217" s="480"/>
      <c r="AF217" s="481"/>
    </row>
    <row r="218" spans="2:32" hidden="1" x14ac:dyDescent="0.25">
      <c r="B218" s="387" t="s">
        <v>1598</v>
      </c>
      <c r="C218" s="387" t="s">
        <v>1368</v>
      </c>
      <c r="D218" s="387" t="s">
        <v>1224</v>
      </c>
      <c r="E218" s="387" t="s">
        <v>3245</v>
      </c>
      <c r="F218" s="387" t="s">
        <v>3201</v>
      </c>
      <c r="G218" s="387" t="s">
        <v>3368</v>
      </c>
      <c r="H218" s="387" t="s">
        <v>4110</v>
      </c>
      <c r="I218" s="387" t="s">
        <v>4362</v>
      </c>
      <c r="J218" s="387" t="s">
        <v>3861</v>
      </c>
      <c r="K218" s="387" t="s">
        <v>3571</v>
      </c>
      <c r="L218" s="387">
        <v>1</v>
      </c>
      <c r="M218" s="387">
        <v>0</v>
      </c>
      <c r="N218" s="387">
        <f t="shared" si="48"/>
        <v>1</v>
      </c>
      <c r="O218" s="387">
        <v>0</v>
      </c>
      <c r="P218" s="387" t="s">
        <v>1358</v>
      </c>
      <c r="Q218" s="387">
        <v>64.27</v>
      </c>
      <c r="R218" s="387"/>
      <c r="S218" s="2">
        <v>0</v>
      </c>
      <c r="T218" s="459">
        <f t="shared" si="55"/>
        <v>64.27</v>
      </c>
      <c r="U218" s="387"/>
      <c r="V218" s="411">
        <v>0</v>
      </c>
      <c r="W218" s="411">
        <v>0</v>
      </c>
      <c r="X218" s="436">
        <v>0</v>
      </c>
      <c r="Y218" s="411">
        <v>0</v>
      </c>
      <c r="Z218" s="436">
        <v>0</v>
      </c>
      <c r="AA218" s="437">
        <f t="shared" si="54"/>
        <v>0</v>
      </c>
      <c r="AB218" s="455">
        <f t="shared" si="56"/>
        <v>0</v>
      </c>
      <c r="AC218" s="456">
        <v>0</v>
      </c>
      <c r="AD218" s="480"/>
      <c r="AE218" s="480"/>
      <c r="AF218" s="481"/>
    </row>
    <row r="219" spans="2:32" hidden="1" x14ac:dyDescent="0.25">
      <c r="B219" s="387" t="s">
        <v>1599</v>
      </c>
      <c r="C219" s="387" t="s">
        <v>1368</v>
      </c>
      <c r="D219" s="387" t="s">
        <v>1224</v>
      </c>
      <c r="E219" s="387" t="s">
        <v>3229</v>
      </c>
      <c r="F219" s="387" t="s">
        <v>3201</v>
      </c>
      <c r="G219" s="387" t="s">
        <v>3352</v>
      </c>
      <c r="H219" s="387" t="s">
        <v>4110</v>
      </c>
      <c r="I219" s="387" t="s">
        <v>4363</v>
      </c>
      <c r="J219" s="387" t="s">
        <v>3845</v>
      </c>
      <c r="K219" s="387" t="s">
        <v>3572</v>
      </c>
      <c r="L219" s="387">
        <v>1</v>
      </c>
      <c r="M219" s="387">
        <v>0</v>
      </c>
      <c r="N219" s="387">
        <f t="shared" si="48"/>
        <v>1</v>
      </c>
      <c r="O219" s="387">
        <v>0</v>
      </c>
      <c r="P219" s="387" t="s">
        <v>1358</v>
      </c>
      <c r="Q219" s="387">
        <v>64.27</v>
      </c>
      <c r="R219" s="387"/>
      <c r="S219" s="2">
        <v>0</v>
      </c>
      <c r="T219" s="459">
        <f t="shared" si="55"/>
        <v>64.27</v>
      </c>
      <c r="U219" s="387"/>
      <c r="V219" s="411">
        <v>1</v>
      </c>
      <c r="W219" s="411">
        <v>1</v>
      </c>
      <c r="X219" s="436">
        <v>0</v>
      </c>
      <c r="Y219" s="411">
        <v>1</v>
      </c>
      <c r="Z219" s="436">
        <v>0</v>
      </c>
      <c r="AA219" s="437">
        <f t="shared" si="54"/>
        <v>0.99999999999999978</v>
      </c>
      <c r="AB219" s="455">
        <f t="shared" si="56"/>
        <v>64.269999999999982</v>
      </c>
      <c r="AC219" s="456">
        <v>0</v>
      </c>
      <c r="AD219" s="480"/>
      <c r="AE219" s="480"/>
      <c r="AF219" s="481"/>
    </row>
    <row r="220" spans="2:32" hidden="1" x14ac:dyDescent="0.25">
      <c r="B220" s="387" t="s">
        <v>1600</v>
      </c>
      <c r="C220" s="387" t="s">
        <v>1368</v>
      </c>
      <c r="D220" s="387" t="s">
        <v>1224</v>
      </c>
      <c r="E220" s="387" t="s">
        <v>3246</v>
      </c>
      <c r="F220" s="387" t="s">
        <v>3201</v>
      </c>
      <c r="G220" s="387" t="s">
        <v>3369</v>
      </c>
      <c r="H220" s="387" t="s">
        <v>4110</v>
      </c>
      <c r="I220" s="387" t="s">
        <v>4364</v>
      </c>
      <c r="J220" s="387" t="s">
        <v>3862</v>
      </c>
      <c r="K220" s="387" t="s">
        <v>3573</v>
      </c>
      <c r="L220" s="387">
        <v>1</v>
      </c>
      <c r="M220" s="387">
        <v>0</v>
      </c>
      <c r="N220" s="387">
        <f t="shared" si="48"/>
        <v>1</v>
      </c>
      <c r="O220" s="387">
        <v>0</v>
      </c>
      <c r="P220" s="387" t="s">
        <v>1358</v>
      </c>
      <c r="Q220" s="387">
        <v>64.27</v>
      </c>
      <c r="R220" s="387"/>
      <c r="S220" s="2">
        <v>0</v>
      </c>
      <c r="T220" s="459">
        <f t="shared" si="55"/>
        <v>64.27</v>
      </c>
      <c r="U220" s="387"/>
      <c r="V220" s="411">
        <v>0</v>
      </c>
      <c r="W220" s="411">
        <v>0</v>
      </c>
      <c r="X220" s="436">
        <v>0</v>
      </c>
      <c r="Y220" s="411">
        <v>0</v>
      </c>
      <c r="Z220" s="436">
        <v>0</v>
      </c>
      <c r="AA220" s="437">
        <f t="shared" si="54"/>
        <v>0</v>
      </c>
      <c r="AB220" s="455">
        <f t="shared" si="56"/>
        <v>0</v>
      </c>
      <c r="AC220" s="456">
        <v>0</v>
      </c>
      <c r="AD220" s="480"/>
      <c r="AE220" s="480"/>
      <c r="AF220" s="481"/>
    </row>
    <row r="221" spans="2:32" hidden="1" x14ac:dyDescent="0.25">
      <c r="B221" s="387" t="s">
        <v>1601</v>
      </c>
      <c r="C221" s="387" t="s">
        <v>1368</v>
      </c>
      <c r="D221" s="387" t="s">
        <v>1224</v>
      </c>
      <c r="E221" s="387" t="s">
        <v>3253</v>
      </c>
      <c r="F221" s="387" t="s">
        <v>3201</v>
      </c>
      <c r="G221" s="387" t="s">
        <v>3374</v>
      </c>
      <c r="H221" s="387" t="s">
        <v>4110</v>
      </c>
      <c r="I221" s="387" t="s">
        <v>4365</v>
      </c>
      <c r="J221" s="387" t="s">
        <v>3869</v>
      </c>
      <c r="K221" s="387" t="s">
        <v>3574</v>
      </c>
      <c r="L221" s="387">
        <v>1</v>
      </c>
      <c r="M221" s="387">
        <v>0</v>
      </c>
      <c r="N221" s="387">
        <f t="shared" si="48"/>
        <v>1</v>
      </c>
      <c r="O221" s="387">
        <v>0</v>
      </c>
      <c r="P221" s="387" t="s">
        <v>1358</v>
      </c>
      <c r="Q221" s="387">
        <v>64.27</v>
      </c>
      <c r="R221" s="387"/>
      <c r="S221" s="2">
        <v>0</v>
      </c>
      <c r="T221" s="459">
        <f t="shared" si="55"/>
        <v>64.27</v>
      </c>
      <c r="U221" s="387"/>
      <c r="V221" s="411">
        <v>0</v>
      </c>
      <c r="W221" s="411">
        <v>0</v>
      </c>
      <c r="X221" s="436">
        <v>0</v>
      </c>
      <c r="Y221" s="411">
        <v>0</v>
      </c>
      <c r="Z221" s="436">
        <v>0</v>
      </c>
      <c r="AA221" s="437">
        <f t="shared" si="54"/>
        <v>0</v>
      </c>
      <c r="AB221" s="455">
        <f t="shared" si="56"/>
        <v>0</v>
      </c>
      <c r="AC221" s="456">
        <v>0</v>
      </c>
      <c r="AD221" s="480"/>
      <c r="AE221" s="480"/>
      <c r="AF221" s="481"/>
    </row>
    <row r="222" spans="2:32" hidden="1" x14ac:dyDescent="0.25">
      <c r="B222" s="387" t="s">
        <v>1602</v>
      </c>
      <c r="C222" s="387" t="s">
        <v>1368</v>
      </c>
      <c r="D222" s="387" t="s">
        <v>1224</v>
      </c>
      <c r="E222" s="387" t="s">
        <v>3226</v>
      </c>
      <c r="F222" s="387" t="s">
        <v>3201</v>
      </c>
      <c r="G222" s="387" t="s">
        <v>3349</v>
      </c>
      <c r="H222" s="387" t="s">
        <v>4110</v>
      </c>
      <c r="I222" s="387" t="s">
        <v>4366</v>
      </c>
      <c r="J222" s="387" t="s">
        <v>3842</v>
      </c>
      <c r="K222" s="387" t="s">
        <v>3575</v>
      </c>
      <c r="L222" s="387">
        <v>1</v>
      </c>
      <c r="M222" s="387">
        <v>0</v>
      </c>
      <c r="N222" s="387">
        <f t="shared" si="48"/>
        <v>1</v>
      </c>
      <c r="O222" s="387">
        <v>0</v>
      </c>
      <c r="P222" s="387" t="s">
        <v>1358</v>
      </c>
      <c r="Q222" s="387">
        <v>64.27</v>
      </c>
      <c r="R222" s="387"/>
      <c r="S222" s="2">
        <v>0</v>
      </c>
      <c r="T222" s="459">
        <f t="shared" si="55"/>
        <v>64.27</v>
      </c>
      <c r="U222" s="387"/>
      <c r="V222" s="411">
        <v>1</v>
      </c>
      <c r="W222" s="411">
        <v>1</v>
      </c>
      <c r="X222" s="436">
        <v>0</v>
      </c>
      <c r="Y222" s="411">
        <v>0</v>
      </c>
      <c r="Z222" s="436">
        <v>0</v>
      </c>
      <c r="AA222" s="437">
        <f t="shared" si="54"/>
        <v>0.89999999999999991</v>
      </c>
      <c r="AB222" s="455">
        <f t="shared" si="56"/>
        <v>57.842999999999989</v>
      </c>
      <c r="AC222" s="456">
        <v>0</v>
      </c>
      <c r="AD222" s="480"/>
      <c r="AE222" s="480"/>
      <c r="AF222" s="481"/>
    </row>
    <row r="223" spans="2:32" hidden="1" x14ac:dyDescent="0.25">
      <c r="B223" s="387" t="s">
        <v>1603</v>
      </c>
      <c r="C223" s="387" t="s">
        <v>1368</v>
      </c>
      <c r="D223" s="387" t="s">
        <v>1224</v>
      </c>
      <c r="E223" s="387" t="s">
        <v>3295</v>
      </c>
      <c r="F223" s="387" t="s">
        <v>3201</v>
      </c>
      <c r="G223" s="387" t="s">
        <v>3414</v>
      </c>
      <c r="H223" s="387" t="s">
        <v>4110</v>
      </c>
      <c r="I223" s="387" t="s">
        <v>4367</v>
      </c>
      <c r="J223" s="387" t="s">
        <v>3911</v>
      </c>
      <c r="K223" s="387" t="s">
        <v>3576</v>
      </c>
      <c r="L223" s="387">
        <v>1</v>
      </c>
      <c r="M223" s="387">
        <v>0</v>
      </c>
      <c r="N223" s="387">
        <f t="shared" si="48"/>
        <v>1</v>
      </c>
      <c r="O223" s="387">
        <v>0</v>
      </c>
      <c r="P223" s="387" t="s">
        <v>1358</v>
      </c>
      <c r="Q223" s="387">
        <v>64.27</v>
      </c>
      <c r="R223" s="387"/>
      <c r="S223" s="2">
        <v>0</v>
      </c>
      <c r="T223" s="459">
        <f t="shared" si="55"/>
        <v>64.27</v>
      </c>
      <c r="U223" s="387"/>
      <c r="V223" s="411">
        <v>0</v>
      </c>
      <c r="W223" s="411">
        <v>0</v>
      </c>
      <c r="X223" s="436">
        <v>0</v>
      </c>
      <c r="Y223" s="411">
        <v>0</v>
      </c>
      <c r="Z223" s="436">
        <v>0</v>
      </c>
      <c r="AA223" s="437">
        <f t="shared" si="54"/>
        <v>0</v>
      </c>
      <c r="AB223" s="455">
        <f t="shared" ref="AB223:AB247" si="57">(V223*V$177*T223)+(W223*W$177*T223)+(X223*X$177*T223)+(Y223*Y$177*T223)+(Z223*Z$177*T223)</f>
        <v>0</v>
      </c>
      <c r="AC223" s="456">
        <v>0</v>
      </c>
      <c r="AD223" s="480"/>
      <c r="AE223" s="480"/>
      <c r="AF223" s="481"/>
    </row>
    <row r="224" spans="2:32" hidden="1" x14ac:dyDescent="0.25">
      <c r="B224" s="387" t="s">
        <v>1604</v>
      </c>
      <c r="C224" s="387" t="s">
        <v>1368</v>
      </c>
      <c r="D224" s="387" t="s">
        <v>1224</v>
      </c>
      <c r="E224" s="387" t="s">
        <v>3296</v>
      </c>
      <c r="F224" s="387" t="s">
        <v>3201</v>
      </c>
      <c r="G224" s="387" t="s">
        <v>3415</v>
      </c>
      <c r="H224" s="387" t="s">
        <v>4110</v>
      </c>
      <c r="I224" s="387" t="s">
        <v>4368</v>
      </c>
      <c r="J224" s="387" t="s">
        <v>3912</v>
      </c>
      <c r="K224" s="387" t="s">
        <v>3577</v>
      </c>
      <c r="L224" s="387">
        <v>1</v>
      </c>
      <c r="M224" s="387">
        <v>0</v>
      </c>
      <c r="N224" s="387">
        <f t="shared" si="48"/>
        <v>1</v>
      </c>
      <c r="O224" s="387">
        <v>0</v>
      </c>
      <c r="P224" s="387" t="s">
        <v>1358</v>
      </c>
      <c r="Q224" s="387">
        <v>64.27</v>
      </c>
      <c r="R224" s="387"/>
      <c r="S224" s="2">
        <v>0</v>
      </c>
      <c r="T224" s="459">
        <f t="shared" si="55"/>
        <v>64.27</v>
      </c>
      <c r="U224" s="387"/>
      <c r="V224" s="411">
        <v>0</v>
      </c>
      <c r="W224" s="411">
        <v>0</v>
      </c>
      <c r="X224" s="436">
        <v>0</v>
      </c>
      <c r="Y224" s="411">
        <v>0</v>
      </c>
      <c r="Z224" s="436">
        <v>0</v>
      </c>
      <c r="AA224" s="437">
        <f t="shared" si="54"/>
        <v>0</v>
      </c>
      <c r="AB224" s="455">
        <f t="shared" si="57"/>
        <v>0</v>
      </c>
      <c r="AC224" s="456">
        <v>0</v>
      </c>
      <c r="AD224" s="480"/>
      <c r="AE224" s="480"/>
      <c r="AF224" s="481"/>
    </row>
    <row r="225" spans="2:32" hidden="1" x14ac:dyDescent="0.25">
      <c r="B225" s="387" t="s">
        <v>1605</v>
      </c>
      <c r="C225" s="387" t="s">
        <v>1368</v>
      </c>
      <c r="D225" s="387" t="s">
        <v>1224</v>
      </c>
      <c r="E225" s="387" t="s">
        <v>3303</v>
      </c>
      <c r="F225" s="387" t="s">
        <v>3201</v>
      </c>
      <c r="G225" s="387" t="s">
        <v>3420</v>
      </c>
      <c r="H225" s="387" t="s">
        <v>4110</v>
      </c>
      <c r="I225" s="387" t="s">
        <v>4369</v>
      </c>
      <c r="J225" s="387" t="s">
        <v>3919</v>
      </c>
      <c r="K225" s="387" t="s">
        <v>3578</v>
      </c>
      <c r="L225" s="387">
        <v>1</v>
      </c>
      <c r="M225" s="387">
        <v>0</v>
      </c>
      <c r="N225" s="387">
        <f t="shared" si="48"/>
        <v>1</v>
      </c>
      <c r="O225" s="387">
        <v>0</v>
      </c>
      <c r="P225" s="387" t="s">
        <v>1358</v>
      </c>
      <c r="Q225" s="387">
        <v>64.27</v>
      </c>
      <c r="R225" s="387"/>
      <c r="S225" s="2">
        <v>0</v>
      </c>
      <c r="T225" s="459">
        <f t="shared" si="55"/>
        <v>64.27</v>
      </c>
      <c r="U225" s="387"/>
      <c r="V225" s="411">
        <v>0</v>
      </c>
      <c r="W225" s="411">
        <v>0</v>
      </c>
      <c r="X225" s="436">
        <v>0</v>
      </c>
      <c r="Y225" s="411">
        <v>0</v>
      </c>
      <c r="Z225" s="436">
        <v>0</v>
      </c>
      <c r="AA225" s="437">
        <f t="shared" si="54"/>
        <v>0</v>
      </c>
      <c r="AB225" s="455">
        <f t="shared" si="57"/>
        <v>0</v>
      </c>
      <c r="AC225" s="456">
        <v>0</v>
      </c>
      <c r="AD225" s="480"/>
      <c r="AE225" s="480"/>
      <c r="AF225" s="481"/>
    </row>
    <row r="226" spans="2:32" hidden="1" x14ac:dyDescent="0.25">
      <c r="B226" s="387" t="s">
        <v>1606</v>
      </c>
      <c r="C226" s="387" t="s">
        <v>1368</v>
      </c>
      <c r="D226" s="387" t="s">
        <v>1224</v>
      </c>
      <c r="E226" s="387" t="s">
        <v>3237</v>
      </c>
      <c r="F226" s="387" t="s">
        <v>3201</v>
      </c>
      <c r="G226" s="387" t="s">
        <v>3360</v>
      </c>
      <c r="H226" s="387" t="s">
        <v>4110</v>
      </c>
      <c r="I226" s="387" t="s">
        <v>4370</v>
      </c>
      <c r="J226" s="387" t="s">
        <v>3853</v>
      </c>
      <c r="K226" s="387" t="s">
        <v>3579</v>
      </c>
      <c r="L226" s="387">
        <v>1</v>
      </c>
      <c r="M226" s="387">
        <v>0</v>
      </c>
      <c r="N226" s="387">
        <f t="shared" si="48"/>
        <v>1</v>
      </c>
      <c r="O226" s="387">
        <v>0</v>
      </c>
      <c r="P226" s="387" t="s">
        <v>1358</v>
      </c>
      <c r="Q226" s="387">
        <v>64.27</v>
      </c>
      <c r="R226" s="387"/>
      <c r="S226" s="2">
        <v>0</v>
      </c>
      <c r="T226" s="459">
        <f t="shared" si="55"/>
        <v>64.27</v>
      </c>
      <c r="U226" s="387"/>
      <c r="V226" s="411">
        <v>1</v>
      </c>
      <c r="W226" s="411">
        <v>1</v>
      </c>
      <c r="X226" s="436">
        <v>0</v>
      </c>
      <c r="Y226" s="411">
        <v>0</v>
      </c>
      <c r="Z226" s="436">
        <v>0</v>
      </c>
      <c r="AA226" s="437">
        <f t="shared" si="54"/>
        <v>0.89999999999999991</v>
      </c>
      <c r="AB226" s="455">
        <f t="shared" si="57"/>
        <v>57.842999999999989</v>
      </c>
      <c r="AC226" s="456">
        <v>0</v>
      </c>
      <c r="AD226" s="480"/>
      <c r="AE226" s="480"/>
      <c r="AF226" s="481"/>
    </row>
    <row r="227" spans="2:32" hidden="1" x14ac:dyDescent="0.25">
      <c r="B227" s="387" t="s">
        <v>1607</v>
      </c>
      <c r="C227" s="387" t="s">
        <v>1368</v>
      </c>
      <c r="D227" s="387" t="s">
        <v>1224</v>
      </c>
      <c r="E227" s="387" t="s">
        <v>3238</v>
      </c>
      <c r="F227" s="387" t="s">
        <v>3201</v>
      </c>
      <c r="G227" s="387" t="s">
        <v>3361</v>
      </c>
      <c r="H227" s="387" t="s">
        <v>4110</v>
      </c>
      <c r="I227" s="387" t="s">
        <v>4371</v>
      </c>
      <c r="J227" s="387" t="s">
        <v>3854</v>
      </c>
      <c r="K227" s="387" t="s">
        <v>3580</v>
      </c>
      <c r="L227" s="387">
        <v>1</v>
      </c>
      <c r="M227" s="387">
        <v>0</v>
      </c>
      <c r="N227" s="387">
        <f t="shared" si="48"/>
        <v>1</v>
      </c>
      <c r="O227" s="387">
        <v>0</v>
      </c>
      <c r="P227" s="387" t="s">
        <v>1358</v>
      </c>
      <c r="Q227" s="387">
        <v>64.27</v>
      </c>
      <c r="R227" s="387"/>
      <c r="S227" s="2">
        <v>0</v>
      </c>
      <c r="T227" s="459">
        <f t="shared" si="55"/>
        <v>64.27</v>
      </c>
      <c r="U227" s="387"/>
      <c r="V227" s="411">
        <v>1</v>
      </c>
      <c r="W227" s="411">
        <v>1</v>
      </c>
      <c r="X227" s="436">
        <v>0</v>
      </c>
      <c r="Y227" s="411">
        <v>0</v>
      </c>
      <c r="Z227" s="436">
        <v>0</v>
      </c>
      <c r="AA227" s="437">
        <f t="shared" si="54"/>
        <v>0.89999999999999991</v>
      </c>
      <c r="AB227" s="455">
        <f t="shared" si="57"/>
        <v>57.842999999999989</v>
      </c>
      <c r="AC227" s="456">
        <v>0</v>
      </c>
      <c r="AD227" s="480"/>
      <c r="AE227" s="480"/>
      <c r="AF227" s="481"/>
    </row>
    <row r="228" spans="2:32" hidden="1" x14ac:dyDescent="0.25">
      <c r="B228" s="387" t="s">
        <v>1608</v>
      </c>
      <c r="C228" s="387" t="s">
        <v>1368</v>
      </c>
      <c r="D228" s="387" t="s">
        <v>1224</v>
      </c>
      <c r="E228" s="387" t="s">
        <v>3239</v>
      </c>
      <c r="F228" s="387" t="s">
        <v>3201</v>
      </c>
      <c r="G228" s="387" t="s">
        <v>3362</v>
      </c>
      <c r="H228" s="387" t="s">
        <v>4110</v>
      </c>
      <c r="I228" s="387" t="s">
        <v>4372</v>
      </c>
      <c r="J228" s="387" t="s">
        <v>3855</v>
      </c>
      <c r="K228" s="387" t="s">
        <v>3581</v>
      </c>
      <c r="L228" s="387">
        <v>1</v>
      </c>
      <c r="M228" s="387">
        <v>0</v>
      </c>
      <c r="N228" s="387">
        <f t="shared" si="48"/>
        <v>1</v>
      </c>
      <c r="O228" s="387">
        <v>0</v>
      </c>
      <c r="P228" s="387" t="s">
        <v>1358</v>
      </c>
      <c r="Q228" s="387">
        <v>64.27</v>
      </c>
      <c r="R228" s="387"/>
      <c r="S228" s="2">
        <v>0</v>
      </c>
      <c r="T228" s="459">
        <f t="shared" si="55"/>
        <v>64.27</v>
      </c>
      <c r="U228" s="387"/>
      <c r="V228" s="411">
        <v>1</v>
      </c>
      <c r="W228" s="411">
        <v>1</v>
      </c>
      <c r="X228" s="436">
        <v>0</v>
      </c>
      <c r="Y228" s="411">
        <v>1</v>
      </c>
      <c r="Z228" s="436">
        <v>0</v>
      </c>
      <c r="AA228" s="437">
        <f t="shared" si="54"/>
        <v>0.99999999999999978</v>
      </c>
      <c r="AB228" s="455">
        <f t="shared" si="57"/>
        <v>64.269999999999982</v>
      </c>
      <c r="AC228" s="456">
        <v>0</v>
      </c>
      <c r="AD228" s="480"/>
      <c r="AE228" s="480"/>
      <c r="AF228" s="481"/>
    </row>
    <row r="229" spans="2:32" hidden="1" x14ac:dyDescent="0.25">
      <c r="B229" s="387" t="s">
        <v>1609</v>
      </c>
      <c r="C229" s="387" t="s">
        <v>1368</v>
      </c>
      <c r="D229" s="387" t="s">
        <v>1224</v>
      </c>
      <c r="E229" s="387" t="s">
        <v>3240</v>
      </c>
      <c r="F229" s="387" t="s">
        <v>3201</v>
      </c>
      <c r="G229" s="387" t="s">
        <v>3363</v>
      </c>
      <c r="H229" s="387" t="s">
        <v>4110</v>
      </c>
      <c r="I229" s="387" t="s">
        <v>4373</v>
      </c>
      <c r="J229" s="387" t="s">
        <v>3856</v>
      </c>
      <c r="K229" s="387" t="s">
        <v>3582</v>
      </c>
      <c r="L229" s="387">
        <v>1</v>
      </c>
      <c r="M229" s="387">
        <v>0</v>
      </c>
      <c r="N229" s="387">
        <f t="shared" si="48"/>
        <v>1</v>
      </c>
      <c r="O229" s="387">
        <v>0</v>
      </c>
      <c r="P229" s="387" t="s">
        <v>1358</v>
      </c>
      <c r="Q229" s="387">
        <v>64.27</v>
      </c>
      <c r="R229" s="387"/>
      <c r="S229" s="2">
        <v>0</v>
      </c>
      <c r="T229" s="459">
        <f t="shared" si="55"/>
        <v>64.27</v>
      </c>
      <c r="U229" s="387"/>
      <c r="V229" s="411">
        <v>1</v>
      </c>
      <c r="W229" s="411">
        <v>1</v>
      </c>
      <c r="X229" s="436">
        <v>0</v>
      </c>
      <c r="Y229" s="411">
        <v>0</v>
      </c>
      <c r="Z229" s="436">
        <v>0</v>
      </c>
      <c r="AA229" s="437">
        <f t="shared" si="54"/>
        <v>0.89999999999999991</v>
      </c>
      <c r="AB229" s="455">
        <f t="shared" si="57"/>
        <v>57.842999999999989</v>
      </c>
      <c r="AC229" s="456">
        <v>0</v>
      </c>
      <c r="AD229" s="480"/>
      <c r="AE229" s="480"/>
      <c r="AF229" s="481"/>
    </row>
    <row r="230" spans="2:32" hidden="1" x14ac:dyDescent="0.25">
      <c r="B230" s="387" t="s">
        <v>1610</v>
      </c>
      <c r="C230" s="387" t="s">
        <v>1368</v>
      </c>
      <c r="D230" s="387" t="s">
        <v>1224</v>
      </c>
      <c r="E230" s="387" t="s">
        <v>3261</v>
      </c>
      <c r="F230" s="387" t="s">
        <v>3201</v>
      </c>
      <c r="G230" s="387" t="s">
        <v>3382</v>
      </c>
      <c r="H230" s="387" t="s">
        <v>4110</v>
      </c>
      <c r="I230" s="387" t="s">
        <v>4374</v>
      </c>
      <c r="J230" s="387" t="s">
        <v>3877</v>
      </c>
      <c r="K230" s="387" t="s">
        <v>3583</v>
      </c>
      <c r="L230" s="387">
        <v>1</v>
      </c>
      <c r="M230" s="387">
        <v>0</v>
      </c>
      <c r="N230" s="387">
        <f t="shared" si="48"/>
        <v>1</v>
      </c>
      <c r="O230" s="387">
        <v>0</v>
      </c>
      <c r="P230" s="387" t="s">
        <v>1358</v>
      </c>
      <c r="Q230" s="387">
        <v>64.27</v>
      </c>
      <c r="R230" s="387"/>
      <c r="S230" s="2">
        <v>0</v>
      </c>
      <c r="T230" s="459">
        <f t="shared" si="55"/>
        <v>64.27</v>
      </c>
      <c r="U230" s="387"/>
      <c r="V230" s="411">
        <v>0</v>
      </c>
      <c r="W230" s="411">
        <v>0</v>
      </c>
      <c r="X230" s="436">
        <v>0</v>
      </c>
      <c r="Y230" s="411">
        <v>0</v>
      </c>
      <c r="Z230" s="436">
        <v>0</v>
      </c>
      <c r="AA230" s="437">
        <f t="shared" si="54"/>
        <v>0</v>
      </c>
      <c r="AB230" s="455">
        <f t="shared" si="57"/>
        <v>0</v>
      </c>
      <c r="AC230" s="456">
        <v>0</v>
      </c>
      <c r="AD230" s="480"/>
      <c r="AE230" s="480"/>
      <c r="AF230" s="481"/>
    </row>
    <row r="231" spans="2:32" hidden="1" x14ac:dyDescent="0.25">
      <c r="B231" s="387" t="s">
        <v>1611</v>
      </c>
      <c r="C231" s="387" t="s">
        <v>1368</v>
      </c>
      <c r="D231" s="387" t="s">
        <v>1224</v>
      </c>
      <c r="E231" s="387" t="s">
        <v>3262</v>
      </c>
      <c r="F231" s="387" t="s">
        <v>3201</v>
      </c>
      <c r="G231" s="387" t="s">
        <v>3383</v>
      </c>
      <c r="H231" s="387" t="s">
        <v>4110</v>
      </c>
      <c r="I231" s="387" t="s">
        <v>4375</v>
      </c>
      <c r="J231" s="387" t="s">
        <v>3878</v>
      </c>
      <c r="K231" s="387" t="s">
        <v>3584</v>
      </c>
      <c r="L231" s="387">
        <v>1</v>
      </c>
      <c r="M231" s="387">
        <v>0</v>
      </c>
      <c r="N231" s="387">
        <f t="shared" si="48"/>
        <v>1</v>
      </c>
      <c r="O231" s="387">
        <v>0</v>
      </c>
      <c r="P231" s="387" t="s">
        <v>1358</v>
      </c>
      <c r="Q231" s="387">
        <v>64.27</v>
      </c>
      <c r="R231" s="387"/>
      <c r="S231" s="2">
        <v>0</v>
      </c>
      <c r="T231" s="459">
        <f t="shared" si="55"/>
        <v>64.27</v>
      </c>
      <c r="U231" s="387"/>
      <c r="V231" s="411">
        <v>0</v>
      </c>
      <c r="W231" s="411">
        <v>0</v>
      </c>
      <c r="X231" s="436">
        <v>0</v>
      </c>
      <c r="Y231" s="411">
        <v>0</v>
      </c>
      <c r="Z231" s="436">
        <v>0</v>
      </c>
      <c r="AA231" s="437">
        <f t="shared" si="54"/>
        <v>0</v>
      </c>
      <c r="AB231" s="455">
        <f t="shared" si="57"/>
        <v>0</v>
      </c>
      <c r="AC231" s="456">
        <v>0</v>
      </c>
      <c r="AD231" s="480"/>
      <c r="AE231" s="480"/>
      <c r="AF231" s="481"/>
    </row>
    <row r="232" spans="2:32" hidden="1" x14ac:dyDescent="0.25">
      <c r="B232" s="387" t="s">
        <v>1612</v>
      </c>
      <c r="C232" s="387" t="s">
        <v>1368</v>
      </c>
      <c r="D232" s="387" t="s">
        <v>1224</v>
      </c>
      <c r="E232" s="387" t="s">
        <v>3277</v>
      </c>
      <c r="F232" s="387" t="s">
        <v>3201</v>
      </c>
      <c r="G232" s="387" t="s">
        <v>3397</v>
      </c>
      <c r="H232" s="387" t="s">
        <v>4110</v>
      </c>
      <c r="I232" s="387" t="s">
        <v>4376</v>
      </c>
      <c r="J232" s="387" t="s">
        <v>3893</v>
      </c>
      <c r="K232" s="387" t="s">
        <v>3585</v>
      </c>
      <c r="L232" s="387">
        <v>1</v>
      </c>
      <c r="M232" s="387">
        <v>0</v>
      </c>
      <c r="N232" s="387">
        <f t="shared" si="48"/>
        <v>1</v>
      </c>
      <c r="O232" s="387">
        <v>0</v>
      </c>
      <c r="P232" s="387" t="s">
        <v>1358</v>
      </c>
      <c r="Q232" s="387">
        <v>64.27</v>
      </c>
      <c r="R232" s="387"/>
      <c r="S232" s="2">
        <v>0</v>
      </c>
      <c r="T232" s="459">
        <f t="shared" si="55"/>
        <v>64.27</v>
      </c>
      <c r="U232" s="387"/>
      <c r="V232" s="411">
        <v>0</v>
      </c>
      <c r="W232" s="411">
        <v>0</v>
      </c>
      <c r="X232" s="436">
        <v>0</v>
      </c>
      <c r="Y232" s="411">
        <v>0</v>
      </c>
      <c r="Z232" s="436">
        <v>0</v>
      </c>
      <c r="AA232" s="437">
        <f t="shared" si="54"/>
        <v>0</v>
      </c>
      <c r="AB232" s="455">
        <f t="shared" si="57"/>
        <v>0</v>
      </c>
      <c r="AC232" s="456">
        <v>0</v>
      </c>
      <c r="AD232" s="480"/>
      <c r="AE232" s="480"/>
      <c r="AF232" s="481"/>
    </row>
    <row r="233" spans="2:32" hidden="1" x14ac:dyDescent="0.25">
      <c r="B233" s="387" t="s">
        <v>1613</v>
      </c>
      <c r="C233" s="387" t="s">
        <v>1368</v>
      </c>
      <c r="D233" s="387" t="s">
        <v>1224</v>
      </c>
      <c r="E233" s="387" t="s">
        <v>3289</v>
      </c>
      <c r="F233" s="387" t="s">
        <v>3201</v>
      </c>
      <c r="G233" s="387" t="s">
        <v>3408</v>
      </c>
      <c r="H233" s="387" t="s">
        <v>4110</v>
      </c>
      <c r="I233" s="387" t="s">
        <v>4377</v>
      </c>
      <c r="J233" s="387" t="s">
        <v>3905</v>
      </c>
      <c r="K233" s="387" t="s">
        <v>3586</v>
      </c>
      <c r="L233" s="387">
        <v>1</v>
      </c>
      <c r="M233" s="387">
        <v>0</v>
      </c>
      <c r="N233" s="387">
        <f t="shared" si="48"/>
        <v>1</v>
      </c>
      <c r="O233" s="387">
        <v>0</v>
      </c>
      <c r="P233" s="387" t="s">
        <v>1358</v>
      </c>
      <c r="Q233" s="387">
        <v>64.27</v>
      </c>
      <c r="R233" s="387"/>
      <c r="S233" s="2">
        <v>0</v>
      </c>
      <c r="T233" s="459">
        <f t="shared" si="55"/>
        <v>64.27</v>
      </c>
      <c r="U233" s="387"/>
      <c r="V233" s="411">
        <v>0</v>
      </c>
      <c r="W233" s="411">
        <v>0</v>
      </c>
      <c r="X233" s="436">
        <v>0</v>
      </c>
      <c r="Y233" s="411">
        <v>0</v>
      </c>
      <c r="Z233" s="436">
        <v>0</v>
      </c>
      <c r="AA233" s="437">
        <f t="shared" si="54"/>
        <v>0</v>
      </c>
      <c r="AB233" s="455">
        <f t="shared" si="57"/>
        <v>0</v>
      </c>
      <c r="AC233" s="456">
        <v>0</v>
      </c>
      <c r="AD233" s="480"/>
      <c r="AE233" s="480"/>
      <c r="AF233" s="481"/>
    </row>
    <row r="234" spans="2:32" hidden="1" x14ac:dyDescent="0.25">
      <c r="B234" s="387" t="s">
        <v>1614</v>
      </c>
      <c r="C234" s="387" t="s">
        <v>1368</v>
      </c>
      <c r="D234" s="387" t="s">
        <v>1224</v>
      </c>
      <c r="E234" s="387" t="s">
        <v>3286</v>
      </c>
      <c r="F234" s="387" t="s">
        <v>3201</v>
      </c>
      <c r="G234" s="387" t="s">
        <v>3405</v>
      </c>
      <c r="H234" s="387" t="s">
        <v>4110</v>
      </c>
      <c r="I234" s="387" t="s">
        <v>4378</v>
      </c>
      <c r="J234" s="387" t="s">
        <v>3902</v>
      </c>
      <c r="K234" s="387" t="s">
        <v>3587</v>
      </c>
      <c r="L234" s="387">
        <v>1</v>
      </c>
      <c r="M234" s="387">
        <v>0</v>
      </c>
      <c r="N234" s="387">
        <f t="shared" si="48"/>
        <v>1</v>
      </c>
      <c r="O234" s="387">
        <v>0</v>
      </c>
      <c r="P234" s="387" t="s">
        <v>1358</v>
      </c>
      <c r="Q234" s="387">
        <v>64.27</v>
      </c>
      <c r="R234" s="387"/>
      <c r="S234" s="2">
        <v>0</v>
      </c>
      <c r="T234" s="459">
        <f t="shared" si="55"/>
        <v>64.27</v>
      </c>
      <c r="U234" s="387"/>
      <c r="V234" s="411">
        <v>0</v>
      </c>
      <c r="W234" s="411">
        <v>0</v>
      </c>
      <c r="X234" s="436">
        <v>0</v>
      </c>
      <c r="Y234" s="411">
        <v>0</v>
      </c>
      <c r="Z234" s="436">
        <v>0</v>
      </c>
      <c r="AA234" s="437">
        <f t="shared" si="54"/>
        <v>0</v>
      </c>
      <c r="AB234" s="455">
        <f t="shared" si="57"/>
        <v>0</v>
      </c>
      <c r="AC234" s="456">
        <v>0</v>
      </c>
      <c r="AD234" s="480"/>
      <c r="AE234" s="480"/>
      <c r="AF234" s="481"/>
    </row>
    <row r="235" spans="2:32" hidden="1" x14ac:dyDescent="0.25">
      <c r="B235" s="387" t="s">
        <v>1615</v>
      </c>
      <c r="C235" s="387" t="s">
        <v>1368</v>
      </c>
      <c r="D235" s="387" t="s">
        <v>1224</v>
      </c>
      <c r="E235" s="387" t="s">
        <v>3265</v>
      </c>
      <c r="F235" s="387" t="s">
        <v>3201</v>
      </c>
      <c r="G235" s="387" t="s">
        <v>3386</v>
      </c>
      <c r="H235" s="387" t="s">
        <v>4110</v>
      </c>
      <c r="I235" s="387" t="s">
        <v>4379</v>
      </c>
      <c r="J235" s="387" t="s">
        <v>3881</v>
      </c>
      <c r="K235" s="387" t="s">
        <v>3588</v>
      </c>
      <c r="L235" s="387">
        <v>1</v>
      </c>
      <c r="M235" s="387">
        <v>0</v>
      </c>
      <c r="N235" s="387">
        <f t="shared" si="48"/>
        <v>1</v>
      </c>
      <c r="O235" s="387">
        <v>0</v>
      </c>
      <c r="P235" s="387" t="s">
        <v>1358</v>
      </c>
      <c r="Q235" s="387">
        <v>64.27</v>
      </c>
      <c r="R235" s="387"/>
      <c r="S235" s="2">
        <v>0</v>
      </c>
      <c r="T235" s="459">
        <f t="shared" si="55"/>
        <v>64.27</v>
      </c>
      <c r="U235" s="387"/>
      <c r="V235" s="411">
        <v>0</v>
      </c>
      <c r="W235" s="411">
        <v>0</v>
      </c>
      <c r="X235" s="436">
        <v>0</v>
      </c>
      <c r="Y235" s="411">
        <v>0</v>
      </c>
      <c r="Z235" s="436">
        <v>0</v>
      </c>
      <c r="AA235" s="437">
        <f t="shared" si="54"/>
        <v>0</v>
      </c>
      <c r="AB235" s="455">
        <f t="shared" si="57"/>
        <v>0</v>
      </c>
      <c r="AC235" s="456">
        <v>0</v>
      </c>
      <c r="AD235" s="480"/>
      <c r="AE235" s="480"/>
      <c r="AF235" s="481"/>
    </row>
    <row r="236" spans="2:32" hidden="1" x14ac:dyDescent="0.25">
      <c r="B236" s="387" t="s">
        <v>1616</v>
      </c>
      <c r="C236" s="387" t="s">
        <v>1368</v>
      </c>
      <c r="D236" s="387" t="s">
        <v>1224</v>
      </c>
      <c r="E236" s="387" t="s">
        <v>3266</v>
      </c>
      <c r="F236" s="387" t="s">
        <v>3201</v>
      </c>
      <c r="G236" s="387" t="s">
        <v>3387</v>
      </c>
      <c r="H236" s="387" t="s">
        <v>4110</v>
      </c>
      <c r="I236" s="387" t="s">
        <v>4380</v>
      </c>
      <c r="J236" s="387" t="s">
        <v>3882</v>
      </c>
      <c r="K236" s="387" t="s">
        <v>3589</v>
      </c>
      <c r="L236" s="387">
        <v>1</v>
      </c>
      <c r="M236" s="387">
        <v>0</v>
      </c>
      <c r="N236" s="387">
        <f t="shared" si="48"/>
        <v>1</v>
      </c>
      <c r="O236" s="387">
        <v>0</v>
      </c>
      <c r="P236" s="387" t="s">
        <v>1358</v>
      </c>
      <c r="Q236" s="387">
        <v>64.27</v>
      </c>
      <c r="R236" s="387"/>
      <c r="S236" s="2">
        <v>0</v>
      </c>
      <c r="T236" s="459">
        <f t="shared" si="55"/>
        <v>64.27</v>
      </c>
      <c r="U236" s="387"/>
      <c r="V236" s="411">
        <v>0</v>
      </c>
      <c r="W236" s="411">
        <v>0</v>
      </c>
      <c r="X236" s="436">
        <v>0</v>
      </c>
      <c r="Y236" s="411">
        <v>0</v>
      </c>
      <c r="Z236" s="436">
        <v>0</v>
      </c>
      <c r="AA236" s="437">
        <f t="shared" si="54"/>
        <v>0</v>
      </c>
      <c r="AB236" s="455">
        <f t="shared" si="57"/>
        <v>0</v>
      </c>
      <c r="AC236" s="456">
        <v>0</v>
      </c>
      <c r="AD236" s="480"/>
      <c r="AE236" s="480"/>
      <c r="AF236" s="481"/>
    </row>
    <row r="237" spans="2:32" hidden="1" x14ac:dyDescent="0.25">
      <c r="B237" s="387" t="s">
        <v>1617</v>
      </c>
      <c r="C237" s="387" t="s">
        <v>1368</v>
      </c>
      <c r="D237" s="387" t="s">
        <v>1224</v>
      </c>
      <c r="E237" s="387" t="s">
        <v>3279</v>
      </c>
      <c r="F237" s="387" t="s">
        <v>3201</v>
      </c>
      <c r="G237" s="387" t="s">
        <v>3399</v>
      </c>
      <c r="H237" s="387" t="s">
        <v>4110</v>
      </c>
      <c r="I237" s="387" t="s">
        <v>4381</v>
      </c>
      <c r="J237" s="387" t="s">
        <v>3895</v>
      </c>
      <c r="K237" s="387" t="s">
        <v>3590</v>
      </c>
      <c r="L237" s="387">
        <v>1</v>
      </c>
      <c r="M237" s="387">
        <v>0</v>
      </c>
      <c r="N237" s="387">
        <f t="shared" si="48"/>
        <v>1</v>
      </c>
      <c r="O237" s="387">
        <v>0</v>
      </c>
      <c r="P237" s="387" t="s">
        <v>1358</v>
      </c>
      <c r="Q237" s="387">
        <v>64.27</v>
      </c>
      <c r="R237" s="387"/>
      <c r="S237" s="2">
        <v>0</v>
      </c>
      <c r="T237" s="459">
        <f t="shared" si="55"/>
        <v>64.27</v>
      </c>
      <c r="U237" s="387"/>
      <c r="V237" s="411">
        <v>0</v>
      </c>
      <c r="W237" s="411">
        <v>0</v>
      </c>
      <c r="X237" s="436">
        <v>0</v>
      </c>
      <c r="Y237" s="411">
        <v>0</v>
      </c>
      <c r="Z237" s="436">
        <v>0</v>
      </c>
      <c r="AA237" s="437">
        <f t="shared" si="54"/>
        <v>0</v>
      </c>
      <c r="AB237" s="455">
        <f t="shared" si="57"/>
        <v>0</v>
      </c>
      <c r="AC237" s="456">
        <v>0</v>
      </c>
      <c r="AD237" s="480"/>
      <c r="AE237" s="480"/>
      <c r="AF237" s="481"/>
    </row>
    <row r="238" spans="2:32" hidden="1" x14ac:dyDescent="0.25">
      <c r="B238" s="387" t="s">
        <v>1618</v>
      </c>
      <c r="C238" s="387" t="s">
        <v>1368</v>
      </c>
      <c r="D238" s="387" t="s">
        <v>1224</v>
      </c>
      <c r="E238" s="387" t="s">
        <v>3267</v>
      </c>
      <c r="F238" s="387" t="s">
        <v>3201</v>
      </c>
      <c r="G238" s="387" t="s">
        <v>3388</v>
      </c>
      <c r="H238" s="387" t="s">
        <v>4110</v>
      </c>
      <c r="I238" s="387" t="s">
        <v>4382</v>
      </c>
      <c r="J238" s="387" t="s">
        <v>3883</v>
      </c>
      <c r="K238" s="387" t="s">
        <v>3591</v>
      </c>
      <c r="L238" s="387">
        <v>1</v>
      </c>
      <c r="M238" s="387">
        <v>0</v>
      </c>
      <c r="N238" s="387">
        <f t="shared" si="48"/>
        <v>1</v>
      </c>
      <c r="O238" s="387">
        <v>0</v>
      </c>
      <c r="P238" s="387" t="s">
        <v>1358</v>
      </c>
      <c r="Q238" s="387">
        <v>64.27</v>
      </c>
      <c r="R238" s="387"/>
      <c r="S238" s="2">
        <v>0</v>
      </c>
      <c r="T238" s="459">
        <f t="shared" si="55"/>
        <v>64.27</v>
      </c>
      <c r="U238" s="387"/>
      <c r="V238" s="411">
        <v>0</v>
      </c>
      <c r="W238" s="411">
        <v>0</v>
      </c>
      <c r="X238" s="436">
        <v>0</v>
      </c>
      <c r="Y238" s="411">
        <v>0</v>
      </c>
      <c r="Z238" s="436">
        <v>0</v>
      </c>
      <c r="AA238" s="437">
        <f t="shared" si="54"/>
        <v>0</v>
      </c>
      <c r="AB238" s="455">
        <f t="shared" si="57"/>
        <v>0</v>
      </c>
      <c r="AC238" s="456">
        <v>0</v>
      </c>
      <c r="AD238" s="480"/>
      <c r="AE238" s="480"/>
      <c r="AF238" s="481"/>
    </row>
    <row r="239" spans="2:32" hidden="1" x14ac:dyDescent="0.25">
      <c r="B239" s="387" t="s">
        <v>1619</v>
      </c>
      <c r="C239" s="387" t="s">
        <v>1368</v>
      </c>
      <c r="D239" s="387" t="s">
        <v>1224</v>
      </c>
      <c r="E239" s="387" t="s">
        <v>3268</v>
      </c>
      <c r="F239" s="387" t="s">
        <v>3201</v>
      </c>
      <c r="G239" s="387" t="s">
        <v>3389</v>
      </c>
      <c r="H239" s="387" t="s">
        <v>4110</v>
      </c>
      <c r="I239" s="387" t="s">
        <v>4383</v>
      </c>
      <c r="J239" s="387" t="s">
        <v>3884</v>
      </c>
      <c r="K239" s="387" t="s">
        <v>3592</v>
      </c>
      <c r="L239" s="387">
        <v>1</v>
      </c>
      <c r="M239" s="387">
        <v>0</v>
      </c>
      <c r="N239" s="387">
        <f t="shared" si="48"/>
        <v>1</v>
      </c>
      <c r="O239" s="387">
        <v>0</v>
      </c>
      <c r="P239" s="387" t="s">
        <v>1358</v>
      </c>
      <c r="Q239" s="387">
        <v>64.27</v>
      </c>
      <c r="R239" s="387"/>
      <c r="S239" s="2">
        <v>0</v>
      </c>
      <c r="T239" s="459">
        <f t="shared" si="55"/>
        <v>64.27</v>
      </c>
      <c r="U239" s="387"/>
      <c r="V239" s="411">
        <v>0</v>
      </c>
      <c r="W239" s="411">
        <v>0</v>
      </c>
      <c r="X239" s="436">
        <v>0</v>
      </c>
      <c r="Y239" s="411">
        <v>0</v>
      </c>
      <c r="Z239" s="436">
        <v>0</v>
      </c>
      <c r="AA239" s="437">
        <f t="shared" si="54"/>
        <v>0</v>
      </c>
      <c r="AB239" s="455">
        <f t="shared" si="57"/>
        <v>0</v>
      </c>
      <c r="AC239" s="456">
        <v>0</v>
      </c>
      <c r="AD239" s="480"/>
      <c r="AE239" s="480"/>
      <c r="AF239" s="481"/>
    </row>
    <row r="240" spans="2:32" hidden="1" x14ac:dyDescent="0.25">
      <c r="B240" s="387" t="s">
        <v>1620</v>
      </c>
      <c r="C240" s="387" t="s">
        <v>1368</v>
      </c>
      <c r="D240" s="387" t="s">
        <v>1224</v>
      </c>
      <c r="E240" s="387" t="s">
        <v>3280</v>
      </c>
      <c r="F240" s="387" t="s">
        <v>3201</v>
      </c>
      <c r="G240" s="387" t="s">
        <v>3400</v>
      </c>
      <c r="H240" s="387" t="s">
        <v>4110</v>
      </c>
      <c r="I240" s="387" t="s">
        <v>4384</v>
      </c>
      <c r="J240" s="387" t="s">
        <v>3896</v>
      </c>
      <c r="K240" s="387" t="s">
        <v>3593</v>
      </c>
      <c r="L240" s="387">
        <v>1</v>
      </c>
      <c r="M240" s="387">
        <v>0</v>
      </c>
      <c r="N240" s="387">
        <f t="shared" si="48"/>
        <v>1</v>
      </c>
      <c r="O240" s="387">
        <v>0</v>
      </c>
      <c r="P240" s="387" t="s">
        <v>1358</v>
      </c>
      <c r="Q240" s="387">
        <v>64.27</v>
      </c>
      <c r="R240" s="387"/>
      <c r="S240" s="2">
        <v>0</v>
      </c>
      <c r="T240" s="459">
        <f t="shared" si="55"/>
        <v>64.27</v>
      </c>
      <c r="U240" s="387"/>
      <c r="V240" s="411">
        <v>0</v>
      </c>
      <c r="W240" s="411">
        <v>0</v>
      </c>
      <c r="X240" s="436">
        <v>0</v>
      </c>
      <c r="Y240" s="411">
        <v>0</v>
      </c>
      <c r="Z240" s="436">
        <v>0</v>
      </c>
      <c r="AA240" s="437">
        <f t="shared" si="54"/>
        <v>0</v>
      </c>
      <c r="AB240" s="455">
        <f t="shared" si="57"/>
        <v>0</v>
      </c>
      <c r="AC240" s="456">
        <v>0</v>
      </c>
      <c r="AD240" s="480"/>
      <c r="AE240" s="480"/>
      <c r="AF240" s="481"/>
    </row>
    <row r="241" spans="2:32" hidden="1" x14ac:dyDescent="0.25">
      <c r="B241" s="387" t="s">
        <v>1621</v>
      </c>
      <c r="C241" s="387" t="s">
        <v>1368</v>
      </c>
      <c r="D241" s="387" t="s">
        <v>1224</v>
      </c>
      <c r="E241" s="387" t="s">
        <v>3287</v>
      </c>
      <c r="F241" s="387" t="s">
        <v>3201</v>
      </c>
      <c r="G241" s="387" t="s">
        <v>3406</v>
      </c>
      <c r="H241" s="387" t="s">
        <v>4110</v>
      </c>
      <c r="I241" s="387" t="s">
        <v>4385</v>
      </c>
      <c r="J241" s="387" t="s">
        <v>3903</v>
      </c>
      <c r="K241" s="387" t="s">
        <v>3594</v>
      </c>
      <c r="L241" s="387">
        <v>1</v>
      </c>
      <c r="M241" s="387">
        <v>0</v>
      </c>
      <c r="N241" s="387">
        <f t="shared" si="48"/>
        <v>1</v>
      </c>
      <c r="O241" s="387">
        <v>0</v>
      </c>
      <c r="P241" s="387" t="s">
        <v>1358</v>
      </c>
      <c r="Q241" s="387">
        <v>64.27</v>
      </c>
      <c r="R241" s="387"/>
      <c r="S241" s="2">
        <v>0</v>
      </c>
      <c r="T241" s="459">
        <f t="shared" si="55"/>
        <v>64.27</v>
      </c>
      <c r="U241" s="387"/>
      <c r="V241" s="411">
        <v>0</v>
      </c>
      <c r="W241" s="411">
        <v>0</v>
      </c>
      <c r="X241" s="436">
        <v>0</v>
      </c>
      <c r="Y241" s="411">
        <v>0</v>
      </c>
      <c r="Z241" s="436">
        <v>0</v>
      </c>
      <c r="AA241" s="437">
        <f t="shared" si="54"/>
        <v>0</v>
      </c>
      <c r="AB241" s="455">
        <f t="shared" si="57"/>
        <v>0</v>
      </c>
      <c r="AC241" s="456">
        <v>0</v>
      </c>
      <c r="AD241" s="480"/>
      <c r="AE241" s="480"/>
      <c r="AF241" s="481"/>
    </row>
    <row r="242" spans="2:32" hidden="1" x14ac:dyDescent="0.25">
      <c r="B242" s="387" t="s">
        <v>1622</v>
      </c>
      <c r="C242" s="387" t="s">
        <v>1368</v>
      </c>
      <c r="D242" s="387" t="s">
        <v>1224</v>
      </c>
      <c r="E242" s="387" t="s">
        <v>3288</v>
      </c>
      <c r="F242" s="387" t="s">
        <v>3201</v>
      </c>
      <c r="G242" s="387" t="s">
        <v>3407</v>
      </c>
      <c r="H242" s="387" t="s">
        <v>4110</v>
      </c>
      <c r="I242" s="387" t="s">
        <v>4386</v>
      </c>
      <c r="J242" s="387" t="s">
        <v>3904</v>
      </c>
      <c r="K242" s="387" t="s">
        <v>3595</v>
      </c>
      <c r="L242" s="387">
        <v>1</v>
      </c>
      <c r="M242" s="387">
        <v>0</v>
      </c>
      <c r="N242" s="387">
        <f t="shared" si="48"/>
        <v>1</v>
      </c>
      <c r="O242" s="387">
        <v>0</v>
      </c>
      <c r="P242" s="387" t="s">
        <v>1358</v>
      </c>
      <c r="Q242" s="387">
        <v>64.27</v>
      </c>
      <c r="R242" s="387"/>
      <c r="S242" s="2">
        <v>0</v>
      </c>
      <c r="T242" s="459">
        <f t="shared" si="55"/>
        <v>64.27</v>
      </c>
      <c r="U242" s="387"/>
      <c r="V242" s="411">
        <v>0</v>
      </c>
      <c r="W242" s="411">
        <v>0</v>
      </c>
      <c r="X242" s="436">
        <v>0</v>
      </c>
      <c r="Y242" s="411">
        <v>0</v>
      </c>
      <c r="Z242" s="436">
        <v>0</v>
      </c>
      <c r="AA242" s="437">
        <f t="shared" si="54"/>
        <v>0</v>
      </c>
      <c r="AB242" s="455">
        <f t="shared" si="57"/>
        <v>0</v>
      </c>
      <c r="AC242" s="456">
        <v>0</v>
      </c>
      <c r="AD242" s="480"/>
      <c r="AE242" s="480"/>
      <c r="AF242" s="481"/>
    </row>
    <row r="243" spans="2:32" hidden="1" x14ac:dyDescent="0.25">
      <c r="B243" s="387" t="s">
        <v>1583</v>
      </c>
      <c r="C243" s="387" t="s">
        <v>1368</v>
      </c>
      <c r="D243" s="387" t="s">
        <v>1224</v>
      </c>
      <c r="E243" s="387" t="s">
        <v>3214</v>
      </c>
      <c r="F243" s="387" t="s">
        <v>3201</v>
      </c>
      <c r="G243" s="387" t="s">
        <v>3337</v>
      </c>
      <c r="H243" s="387" t="s">
        <v>4110</v>
      </c>
      <c r="I243" s="387" t="s">
        <v>4387</v>
      </c>
      <c r="J243" s="387" t="s">
        <v>3830</v>
      </c>
      <c r="K243" s="387" t="s">
        <v>3596</v>
      </c>
      <c r="L243" s="387">
        <v>1</v>
      </c>
      <c r="M243" s="387">
        <v>0</v>
      </c>
      <c r="N243" s="387">
        <f>L243+M243</f>
        <v>1</v>
      </c>
      <c r="O243" s="387">
        <v>0</v>
      </c>
      <c r="P243" s="387" t="s">
        <v>1358</v>
      </c>
      <c r="Q243" s="387">
        <v>64.27</v>
      </c>
      <c r="R243" s="387"/>
      <c r="S243" s="2">
        <v>0</v>
      </c>
      <c r="T243" s="459">
        <f>Q243+S243+R243</f>
        <v>64.27</v>
      </c>
      <c r="U243" s="387"/>
      <c r="V243" s="411">
        <v>1</v>
      </c>
      <c r="W243" s="411">
        <v>1</v>
      </c>
      <c r="X243" s="436">
        <v>0</v>
      </c>
      <c r="Y243" s="411">
        <v>1</v>
      </c>
      <c r="Z243" s="436">
        <v>0</v>
      </c>
      <c r="AA243" s="437">
        <f>IF(T243,AB243/T243,0)</f>
        <v>0.99999999999999978</v>
      </c>
      <c r="AB243" s="455">
        <f t="shared" si="57"/>
        <v>64.269999999999982</v>
      </c>
      <c r="AC243" s="456">
        <v>0</v>
      </c>
      <c r="AD243" s="480"/>
      <c r="AE243" s="480"/>
      <c r="AF243" s="481"/>
    </row>
    <row r="244" spans="2:32" hidden="1" x14ac:dyDescent="0.25">
      <c r="B244" s="387" t="s">
        <v>1584</v>
      </c>
      <c r="C244" s="387" t="s">
        <v>1368</v>
      </c>
      <c r="D244" s="387" t="s">
        <v>1224</v>
      </c>
      <c r="E244" s="387" t="s">
        <v>3215</v>
      </c>
      <c r="F244" s="387" t="s">
        <v>3201</v>
      </c>
      <c r="G244" s="387" t="s">
        <v>3338</v>
      </c>
      <c r="H244" s="387" t="s">
        <v>4110</v>
      </c>
      <c r="I244" s="387" t="s">
        <v>4388</v>
      </c>
      <c r="J244" s="387" t="s">
        <v>3831</v>
      </c>
      <c r="K244" s="387" t="s">
        <v>3597</v>
      </c>
      <c r="L244" s="387">
        <v>1</v>
      </c>
      <c r="M244" s="387">
        <v>0</v>
      </c>
      <c r="N244" s="387">
        <f>L244+M244</f>
        <v>1</v>
      </c>
      <c r="O244" s="387">
        <v>0</v>
      </c>
      <c r="P244" s="387" t="s">
        <v>1358</v>
      </c>
      <c r="Q244" s="387">
        <v>64.27</v>
      </c>
      <c r="R244" s="387"/>
      <c r="S244" s="2">
        <v>0</v>
      </c>
      <c r="T244" s="459">
        <f>Q244+S244+R244</f>
        <v>64.27</v>
      </c>
      <c r="U244" s="387"/>
      <c r="V244" s="411">
        <v>1</v>
      </c>
      <c r="W244" s="411">
        <v>1</v>
      </c>
      <c r="X244" s="436">
        <v>0</v>
      </c>
      <c r="Y244" s="411">
        <v>1</v>
      </c>
      <c r="Z244" s="436">
        <v>0</v>
      </c>
      <c r="AA244" s="437">
        <f>IF(T244,AB244/T244,0)</f>
        <v>0.99999999999999978</v>
      </c>
      <c r="AB244" s="455">
        <f t="shared" si="57"/>
        <v>64.269999999999982</v>
      </c>
      <c r="AC244" s="456">
        <v>0</v>
      </c>
      <c r="AD244" s="480"/>
      <c r="AE244" s="480"/>
      <c r="AF244" s="481"/>
    </row>
    <row r="245" spans="2:32" hidden="1" x14ac:dyDescent="0.25">
      <c r="B245" s="387" t="s">
        <v>1585</v>
      </c>
      <c r="C245" s="387" t="s">
        <v>1368</v>
      </c>
      <c r="D245" s="387" t="s">
        <v>1224</v>
      </c>
      <c r="E245" s="387" t="s">
        <v>3216</v>
      </c>
      <c r="F245" s="387" t="s">
        <v>3201</v>
      </c>
      <c r="G245" s="387" t="s">
        <v>3339</v>
      </c>
      <c r="H245" s="387" t="s">
        <v>4110</v>
      </c>
      <c r="I245" s="387" t="s">
        <v>4389</v>
      </c>
      <c r="J245" s="387" t="s">
        <v>3832</v>
      </c>
      <c r="K245" s="387" t="s">
        <v>3598</v>
      </c>
      <c r="L245" s="387">
        <v>1</v>
      </c>
      <c r="M245" s="387">
        <v>0</v>
      </c>
      <c r="N245" s="387">
        <f>L245+M245</f>
        <v>1</v>
      </c>
      <c r="O245" s="387">
        <v>0</v>
      </c>
      <c r="P245" s="387" t="s">
        <v>1358</v>
      </c>
      <c r="Q245" s="387">
        <v>64.27</v>
      </c>
      <c r="R245" s="387"/>
      <c r="S245" s="2">
        <v>0</v>
      </c>
      <c r="T245" s="459">
        <f>Q245+S245+R245</f>
        <v>64.27</v>
      </c>
      <c r="U245" s="387"/>
      <c r="V245" s="411">
        <v>1</v>
      </c>
      <c r="W245" s="411">
        <v>1</v>
      </c>
      <c r="X245" s="436">
        <v>0</v>
      </c>
      <c r="Y245" s="411">
        <v>1</v>
      </c>
      <c r="Z245" s="436">
        <v>0</v>
      </c>
      <c r="AA245" s="437">
        <f>IF(T245,AB245/T245,0)</f>
        <v>0.99999999999999978</v>
      </c>
      <c r="AB245" s="455">
        <f t="shared" si="57"/>
        <v>64.269999999999982</v>
      </c>
      <c r="AC245" s="456">
        <v>0</v>
      </c>
      <c r="AD245" s="480"/>
      <c r="AE245" s="480"/>
      <c r="AF245" s="481"/>
    </row>
    <row r="246" spans="2:32" hidden="1" x14ac:dyDescent="0.25">
      <c r="B246" s="387" t="s">
        <v>1623</v>
      </c>
      <c r="C246" s="387" t="s">
        <v>1368</v>
      </c>
      <c r="D246" s="387" t="s">
        <v>1224</v>
      </c>
      <c r="E246" s="387" t="s">
        <v>3290</v>
      </c>
      <c r="F246" s="387" t="s">
        <v>3201</v>
      </c>
      <c r="G246" s="387" t="s">
        <v>3409</v>
      </c>
      <c r="H246" s="387" t="s">
        <v>4110</v>
      </c>
      <c r="I246" s="387" t="s">
        <v>4390</v>
      </c>
      <c r="J246" s="387" t="s">
        <v>3906</v>
      </c>
      <c r="K246" s="387" t="s">
        <v>3599</v>
      </c>
      <c r="L246" s="387">
        <v>1</v>
      </c>
      <c r="M246" s="387">
        <v>0</v>
      </c>
      <c r="N246" s="387">
        <f t="shared" si="48"/>
        <v>1</v>
      </c>
      <c r="O246" s="387">
        <v>0</v>
      </c>
      <c r="P246" s="387" t="s">
        <v>1358</v>
      </c>
      <c r="Q246" s="387">
        <v>64.27</v>
      </c>
      <c r="R246" s="387"/>
      <c r="S246" s="2">
        <v>0</v>
      </c>
      <c r="T246" s="459">
        <f t="shared" si="55"/>
        <v>64.27</v>
      </c>
      <c r="U246" s="387"/>
      <c r="V246" s="411">
        <v>0</v>
      </c>
      <c r="W246" s="411">
        <v>0</v>
      </c>
      <c r="X246" s="436">
        <v>0</v>
      </c>
      <c r="Y246" s="411">
        <v>0</v>
      </c>
      <c r="Z246" s="436">
        <v>0</v>
      </c>
      <c r="AA246" s="437">
        <f t="shared" si="54"/>
        <v>0</v>
      </c>
      <c r="AB246" s="455">
        <f t="shared" si="57"/>
        <v>0</v>
      </c>
      <c r="AC246" s="456">
        <v>0</v>
      </c>
      <c r="AD246" s="480"/>
      <c r="AE246" s="480"/>
      <c r="AF246" s="481"/>
    </row>
    <row r="247" spans="2:32" hidden="1" x14ac:dyDescent="0.25">
      <c r="B247" s="387" t="s">
        <v>1625</v>
      </c>
      <c r="C247" s="387" t="s">
        <v>1368</v>
      </c>
      <c r="D247" s="387" t="s">
        <v>1224</v>
      </c>
      <c r="E247" s="387" t="s">
        <v>3263</v>
      </c>
      <c r="F247" s="387" t="s">
        <v>3201</v>
      </c>
      <c r="G247" s="387" t="s">
        <v>3384</v>
      </c>
      <c r="H247" s="387" t="s">
        <v>4110</v>
      </c>
      <c r="I247" s="387" t="s">
        <v>4391</v>
      </c>
      <c r="J247" s="387" t="s">
        <v>3879</v>
      </c>
      <c r="K247" s="387" t="s">
        <v>3600</v>
      </c>
      <c r="L247" s="387">
        <v>1</v>
      </c>
      <c r="M247" s="387">
        <v>0</v>
      </c>
      <c r="N247" s="387">
        <f t="shared" si="48"/>
        <v>1</v>
      </c>
      <c r="O247" s="387">
        <v>0</v>
      </c>
      <c r="P247" s="387" t="s">
        <v>1358</v>
      </c>
      <c r="Q247" s="387">
        <v>64.27</v>
      </c>
      <c r="R247" s="387"/>
      <c r="S247" s="2">
        <v>0</v>
      </c>
      <c r="T247" s="459">
        <f t="shared" si="55"/>
        <v>64.27</v>
      </c>
      <c r="U247" s="387"/>
      <c r="V247" s="411">
        <v>1</v>
      </c>
      <c r="W247" s="411">
        <v>1</v>
      </c>
      <c r="X247" s="436">
        <v>0</v>
      </c>
      <c r="Y247" s="411">
        <v>1</v>
      </c>
      <c r="Z247" s="436">
        <v>0</v>
      </c>
      <c r="AA247" s="437">
        <f t="shared" si="54"/>
        <v>0.99999999999999978</v>
      </c>
      <c r="AB247" s="455">
        <f t="shared" si="57"/>
        <v>64.269999999999982</v>
      </c>
      <c r="AC247" s="456">
        <v>0</v>
      </c>
      <c r="AD247" s="480"/>
      <c r="AE247" s="480"/>
      <c r="AF247" s="481"/>
    </row>
    <row r="248" spans="2:32" hidden="1" x14ac:dyDescent="0.25">
      <c r="B248" s="387" t="s">
        <v>1626</v>
      </c>
      <c r="C248" s="387" t="s">
        <v>1368</v>
      </c>
      <c r="D248" s="387" t="s">
        <v>1224</v>
      </c>
      <c r="E248" s="387" t="s">
        <v>3257</v>
      </c>
      <c r="F248" s="387" t="s">
        <v>3201</v>
      </c>
      <c r="G248" s="387" t="s">
        <v>3378</v>
      </c>
      <c r="H248" s="387" t="s">
        <v>4110</v>
      </c>
      <c r="I248" s="387" t="s">
        <v>4392</v>
      </c>
      <c r="J248" s="387" t="s">
        <v>3873</v>
      </c>
      <c r="K248" s="387" t="s">
        <v>3601</v>
      </c>
      <c r="L248" s="387">
        <v>1</v>
      </c>
      <c r="M248" s="387">
        <v>0</v>
      </c>
      <c r="N248" s="387">
        <f t="shared" ref="N248:N311" si="58">L248+M248</f>
        <v>1</v>
      </c>
      <c r="O248" s="387">
        <v>0</v>
      </c>
      <c r="P248" s="387" t="s">
        <v>1358</v>
      </c>
      <c r="Q248" s="387">
        <v>64.27</v>
      </c>
      <c r="R248" s="387"/>
      <c r="S248" s="2">
        <v>0</v>
      </c>
      <c r="T248" s="459">
        <f t="shared" si="55"/>
        <v>64.27</v>
      </c>
      <c r="U248" s="387"/>
      <c r="V248" s="411">
        <v>0</v>
      </c>
      <c r="W248" s="411">
        <v>0</v>
      </c>
      <c r="X248" s="436">
        <v>0</v>
      </c>
      <c r="Y248" s="411">
        <v>0</v>
      </c>
      <c r="Z248" s="436">
        <v>0</v>
      </c>
      <c r="AA248" s="437">
        <f t="shared" si="54"/>
        <v>0</v>
      </c>
      <c r="AB248" s="455">
        <f t="shared" ref="AB248:AB311" si="59">(V248*V$177*T248)+(W248*W$177*T248)+(X248*X$177*T248)+(Y248*Y$177*T248)+(Z248*Z$177*T248)</f>
        <v>0</v>
      </c>
      <c r="AC248" s="456">
        <v>0</v>
      </c>
      <c r="AD248" s="480"/>
      <c r="AE248" s="480"/>
      <c r="AF248" s="481"/>
    </row>
    <row r="249" spans="2:32" hidden="1" x14ac:dyDescent="0.25">
      <c r="B249" s="387" t="s">
        <v>1627</v>
      </c>
      <c r="C249" s="387" t="s">
        <v>1368</v>
      </c>
      <c r="D249" s="387" t="s">
        <v>1224</v>
      </c>
      <c r="E249" s="387" t="s">
        <v>3258</v>
      </c>
      <c r="F249" s="387" t="s">
        <v>3201</v>
      </c>
      <c r="G249" s="387" t="s">
        <v>3379</v>
      </c>
      <c r="H249" s="387" t="s">
        <v>4110</v>
      </c>
      <c r="I249" s="387" t="s">
        <v>4393</v>
      </c>
      <c r="J249" s="387" t="s">
        <v>3874</v>
      </c>
      <c r="K249" s="387" t="s">
        <v>3602</v>
      </c>
      <c r="L249" s="387">
        <v>1</v>
      </c>
      <c r="M249" s="387">
        <v>0</v>
      </c>
      <c r="N249" s="387">
        <f t="shared" si="58"/>
        <v>1</v>
      </c>
      <c r="O249" s="387">
        <v>0</v>
      </c>
      <c r="P249" s="387" t="s">
        <v>1358</v>
      </c>
      <c r="Q249" s="387">
        <v>64.27</v>
      </c>
      <c r="R249" s="387"/>
      <c r="S249" s="2">
        <v>0</v>
      </c>
      <c r="T249" s="459">
        <f t="shared" si="55"/>
        <v>64.27</v>
      </c>
      <c r="U249" s="387"/>
      <c r="V249" s="411">
        <v>0</v>
      </c>
      <c r="W249" s="411">
        <v>0</v>
      </c>
      <c r="X249" s="436">
        <v>0</v>
      </c>
      <c r="Y249" s="411">
        <v>0</v>
      </c>
      <c r="Z249" s="436">
        <v>0</v>
      </c>
      <c r="AA249" s="437">
        <f t="shared" si="54"/>
        <v>0</v>
      </c>
      <c r="AB249" s="455">
        <f t="shared" si="59"/>
        <v>0</v>
      </c>
      <c r="AC249" s="456">
        <v>0</v>
      </c>
      <c r="AD249" s="480"/>
      <c r="AE249" s="480"/>
      <c r="AF249" s="481"/>
    </row>
    <row r="250" spans="2:32" hidden="1" x14ac:dyDescent="0.25">
      <c r="B250" s="387" t="s">
        <v>1628</v>
      </c>
      <c r="C250" s="387" t="s">
        <v>1368</v>
      </c>
      <c r="D250" s="387" t="s">
        <v>1224</v>
      </c>
      <c r="E250" s="387" t="s">
        <v>3273</v>
      </c>
      <c r="F250" s="387" t="s">
        <v>3201</v>
      </c>
      <c r="G250" s="387" t="s">
        <v>3394</v>
      </c>
      <c r="H250" s="387" t="s">
        <v>4110</v>
      </c>
      <c r="I250" s="387" t="s">
        <v>4394</v>
      </c>
      <c r="J250" s="387" t="s">
        <v>3889</v>
      </c>
      <c r="K250" s="387" t="s">
        <v>3603</v>
      </c>
      <c r="L250" s="387">
        <v>1</v>
      </c>
      <c r="M250" s="387">
        <v>0</v>
      </c>
      <c r="N250" s="387">
        <f t="shared" si="58"/>
        <v>1</v>
      </c>
      <c r="O250" s="387">
        <v>0</v>
      </c>
      <c r="P250" s="387" t="s">
        <v>1358</v>
      </c>
      <c r="Q250" s="387">
        <v>64.27</v>
      </c>
      <c r="R250" s="387"/>
      <c r="S250" s="2">
        <v>0</v>
      </c>
      <c r="T250" s="459">
        <f t="shared" si="55"/>
        <v>64.27</v>
      </c>
      <c r="U250" s="387"/>
      <c r="V250" s="411">
        <v>1</v>
      </c>
      <c r="W250" s="411">
        <v>1</v>
      </c>
      <c r="X250" s="436">
        <v>0</v>
      </c>
      <c r="Y250" s="411">
        <v>1</v>
      </c>
      <c r="Z250" s="436">
        <v>0</v>
      </c>
      <c r="AA250" s="437">
        <f t="shared" si="54"/>
        <v>0.99999999999999978</v>
      </c>
      <c r="AB250" s="455">
        <f t="shared" si="59"/>
        <v>64.269999999999982</v>
      </c>
      <c r="AC250" s="456">
        <v>0</v>
      </c>
      <c r="AD250" s="480"/>
      <c r="AE250" s="480"/>
      <c r="AF250" s="481"/>
    </row>
    <row r="251" spans="2:32" hidden="1" x14ac:dyDescent="0.25">
      <c r="B251" s="387" t="s">
        <v>1629</v>
      </c>
      <c r="C251" s="387" t="s">
        <v>1368</v>
      </c>
      <c r="D251" s="387" t="s">
        <v>1224</v>
      </c>
      <c r="E251" s="387" t="s">
        <v>3274</v>
      </c>
      <c r="F251" s="387" t="s">
        <v>3201</v>
      </c>
      <c r="G251" s="387" t="s">
        <v>3395</v>
      </c>
      <c r="H251" s="387" t="s">
        <v>4110</v>
      </c>
      <c r="I251" s="387" t="s">
        <v>4395</v>
      </c>
      <c r="J251" s="387" t="s">
        <v>3890</v>
      </c>
      <c r="K251" s="387" t="s">
        <v>3604</v>
      </c>
      <c r="L251" s="387">
        <v>1</v>
      </c>
      <c r="M251" s="387">
        <v>0</v>
      </c>
      <c r="N251" s="387">
        <f t="shared" si="58"/>
        <v>1</v>
      </c>
      <c r="O251" s="387">
        <v>0</v>
      </c>
      <c r="P251" s="387" t="s">
        <v>1358</v>
      </c>
      <c r="Q251" s="387">
        <v>64.27</v>
      </c>
      <c r="R251" s="387"/>
      <c r="S251" s="2">
        <v>0</v>
      </c>
      <c r="T251" s="459">
        <f t="shared" si="55"/>
        <v>64.27</v>
      </c>
      <c r="U251" s="387"/>
      <c r="V251" s="411">
        <v>1</v>
      </c>
      <c r="W251" s="411">
        <v>1</v>
      </c>
      <c r="X251" s="436">
        <v>0</v>
      </c>
      <c r="Y251" s="411">
        <v>1</v>
      </c>
      <c r="Z251" s="436">
        <v>0</v>
      </c>
      <c r="AA251" s="437">
        <f t="shared" si="54"/>
        <v>0.99999999999999978</v>
      </c>
      <c r="AB251" s="455">
        <f t="shared" si="59"/>
        <v>64.269999999999982</v>
      </c>
      <c r="AC251" s="456">
        <v>0</v>
      </c>
      <c r="AD251" s="480"/>
      <c r="AE251" s="480"/>
      <c r="AF251" s="481"/>
    </row>
    <row r="252" spans="2:32" hidden="1" x14ac:dyDescent="0.25">
      <c r="B252" s="387" t="s">
        <v>1630</v>
      </c>
      <c r="C252" s="387" t="s">
        <v>1368</v>
      </c>
      <c r="D252" s="387" t="s">
        <v>1224</v>
      </c>
      <c r="E252" s="387" t="s">
        <v>3283</v>
      </c>
      <c r="F252" s="387" t="s">
        <v>3201</v>
      </c>
      <c r="G252" s="387" t="s">
        <v>3403</v>
      </c>
      <c r="H252" s="387" t="s">
        <v>4110</v>
      </c>
      <c r="I252" s="387" t="s">
        <v>4396</v>
      </c>
      <c r="J252" s="387" t="s">
        <v>3899</v>
      </c>
      <c r="K252" s="387" t="s">
        <v>3605</v>
      </c>
      <c r="L252" s="387">
        <v>1</v>
      </c>
      <c r="M252" s="387">
        <v>0</v>
      </c>
      <c r="N252" s="387">
        <f t="shared" si="58"/>
        <v>1</v>
      </c>
      <c r="O252" s="387">
        <v>0</v>
      </c>
      <c r="P252" s="387" t="s">
        <v>1358</v>
      </c>
      <c r="Q252" s="387">
        <v>64.27</v>
      </c>
      <c r="R252" s="387"/>
      <c r="S252" s="2">
        <v>0</v>
      </c>
      <c r="T252" s="459">
        <f t="shared" si="55"/>
        <v>64.27</v>
      </c>
      <c r="U252" s="387"/>
      <c r="V252" s="411">
        <v>1</v>
      </c>
      <c r="W252" s="411">
        <v>0.6</v>
      </c>
      <c r="X252" s="436">
        <v>0</v>
      </c>
      <c r="Y252" s="411">
        <v>0</v>
      </c>
      <c r="Z252" s="436">
        <v>0</v>
      </c>
      <c r="AA252" s="437">
        <f t="shared" si="54"/>
        <v>0.55999999999999994</v>
      </c>
      <c r="AB252" s="455">
        <f t="shared" si="59"/>
        <v>35.991199999999992</v>
      </c>
      <c r="AC252" s="456">
        <v>0</v>
      </c>
      <c r="AD252" s="480"/>
      <c r="AE252" s="480"/>
      <c r="AF252" s="481"/>
    </row>
    <row r="253" spans="2:32" hidden="1" x14ac:dyDescent="0.25">
      <c r="B253" s="387" t="s">
        <v>1631</v>
      </c>
      <c r="C253" s="387" t="s">
        <v>1368</v>
      </c>
      <c r="D253" s="387" t="s">
        <v>1224</v>
      </c>
      <c r="E253" s="387" t="s">
        <v>3264</v>
      </c>
      <c r="F253" s="387" t="s">
        <v>3201</v>
      </c>
      <c r="G253" s="387" t="s">
        <v>3385</v>
      </c>
      <c r="H253" s="387" t="s">
        <v>4110</v>
      </c>
      <c r="I253" s="387" t="s">
        <v>4397</v>
      </c>
      <c r="J253" s="387" t="s">
        <v>3880</v>
      </c>
      <c r="K253" s="387" t="s">
        <v>3606</v>
      </c>
      <c r="L253" s="387">
        <v>1</v>
      </c>
      <c r="M253" s="387">
        <v>0</v>
      </c>
      <c r="N253" s="387">
        <f t="shared" si="58"/>
        <v>1</v>
      </c>
      <c r="O253" s="387">
        <v>0</v>
      </c>
      <c r="P253" s="387" t="s">
        <v>1358</v>
      </c>
      <c r="Q253" s="387">
        <v>64.27</v>
      </c>
      <c r="R253" s="387"/>
      <c r="S253" s="2">
        <v>0</v>
      </c>
      <c r="T253" s="459">
        <f t="shared" si="55"/>
        <v>64.27</v>
      </c>
      <c r="U253" s="387"/>
      <c r="V253" s="411">
        <v>1</v>
      </c>
      <c r="W253" s="411">
        <v>1</v>
      </c>
      <c r="X253" s="436">
        <v>0</v>
      </c>
      <c r="Y253" s="411">
        <v>1</v>
      </c>
      <c r="Z253" s="436">
        <v>0</v>
      </c>
      <c r="AA253" s="437">
        <f t="shared" si="54"/>
        <v>0.99999999999999978</v>
      </c>
      <c r="AB253" s="455">
        <f t="shared" si="59"/>
        <v>64.269999999999982</v>
      </c>
      <c r="AC253" s="456">
        <v>0</v>
      </c>
      <c r="AD253" s="480"/>
      <c r="AE253" s="480"/>
      <c r="AF253" s="481"/>
    </row>
    <row r="254" spans="2:32" hidden="1" x14ac:dyDescent="0.25">
      <c r="B254" s="387" t="s">
        <v>1632</v>
      </c>
      <c r="C254" s="387" t="s">
        <v>1368</v>
      </c>
      <c r="D254" s="387" t="s">
        <v>1224</v>
      </c>
      <c r="E254" s="387" t="s">
        <v>3278</v>
      </c>
      <c r="F254" s="387" t="s">
        <v>3201</v>
      </c>
      <c r="G254" s="387" t="s">
        <v>3398</v>
      </c>
      <c r="H254" s="387" t="s">
        <v>4110</v>
      </c>
      <c r="I254" s="387" t="s">
        <v>4398</v>
      </c>
      <c r="J254" s="387" t="s">
        <v>3894</v>
      </c>
      <c r="K254" s="387" t="s">
        <v>3607</v>
      </c>
      <c r="L254" s="387">
        <v>1</v>
      </c>
      <c r="M254" s="387">
        <v>0</v>
      </c>
      <c r="N254" s="387">
        <f t="shared" si="58"/>
        <v>1</v>
      </c>
      <c r="O254" s="387">
        <v>0</v>
      </c>
      <c r="P254" s="387" t="s">
        <v>1358</v>
      </c>
      <c r="Q254" s="387">
        <v>64.27</v>
      </c>
      <c r="R254" s="387"/>
      <c r="S254" s="2">
        <v>0</v>
      </c>
      <c r="T254" s="459">
        <f t="shared" si="55"/>
        <v>64.27</v>
      </c>
      <c r="U254" s="387"/>
      <c r="V254" s="411">
        <v>1</v>
      </c>
      <c r="W254" s="411">
        <v>1</v>
      </c>
      <c r="X254" s="436">
        <v>0</v>
      </c>
      <c r="Y254" s="411">
        <v>1</v>
      </c>
      <c r="Z254" s="436">
        <v>0</v>
      </c>
      <c r="AA254" s="437">
        <f t="shared" si="54"/>
        <v>0.99999999999999978</v>
      </c>
      <c r="AB254" s="455">
        <f t="shared" si="59"/>
        <v>64.269999999999982</v>
      </c>
      <c r="AC254" s="456">
        <v>0</v>
      </c>
      <c r="AD254" s="480"/>
      <c r="AE254" s="480"/>
      <c r="AF254" s="481"/>
    </row>
    <row r="255" spans="2:32" hidden="1" x14ac:dyDescent="0.25">
      <c r="B255" s="387" t="s">
        <v>1633</v>
      </c>
      <c r="C255" s="387" t="s">
        <v>1368</v>
      </c>
      <c r="D255" s="387" t="s">
        <v>1224</v>
      </c>
      <c r="E255" s="387" t="s">
        <v>3276</v>
      </c>
      <c r="F255" s="387" t="s">
        <v>3201</v>
      </c>
      <c r="G255" s="387" t="s">
        <v>3396</v>
      </c>
      <c r="H255" s="387" t="s">
        <v>4110</v>
      </c>
      <c r="I255" s="387" t="s">
        <v>4399</v>
      </c>
      <c r="J255" s="387" t="s">
        <v>3892</v>
      </c>
      <c r="K255" s="387" t="s">
        <v>3608</v>
      </c>
      <c r="L255" s="387">
        <v>1</v>
      </c>
      <c r="M255" s="387">
        <v>0</v>
      </c>
      <c r="N255" s="387">
        <f t="shared" si="58"/>
        <v>1</v>
      </c>
      <c r="O255" s="387">
        <v>0</v>
      </c>
      <c r="P255" s="387" t="s">
        <v>1358</v>
      </c>
      <c r="Q255" s="387">
        <v>64.27</v>
      </c>
      <c r="R255" s="387"/>
      <c r="S255" s="2">
        <v>0</v>
      </c>
      <c r="T255" s="459">
        <f t="shared" si="55"/>
        <v>64.27</v>
      </c>
      <c r="U255" s="387"/>
      <c r="V255" s="411">
        <v>0</v>
      </c>
      <c r="W255" s="411">
        <v>0</v>
      </c>
      <c r="X255" s="436">
        <v>0</v>
      </c>
      <c r="Y255" s="411">
        <v>0</v>
      </c>
      <c r="Z255" s="436">
        <v>0</v>
      </c>
      <c r="AA255" s="437">
        <f t="shared" si="54"/>
        <v>0</v>
      </c>
      <c r="AB255" s="455">
        <f t="shared" si="59"/>
        <v>0</v>
      </c>
      <c r="AC255" s="456">
        <v>0</v>
      </c>
      <c r="AD255" s="480"/>
      <c r="AE255" s="480"/>
      <c r="AF255" s="481"/>
    </row>
    <row r="256" spans="2:32" hidden="1" x14ac:dyDescent="0.25">
      <c r="B256" s="387" t="s">
        <v>1634</v>
      </c>
      <c r="C256" s="387" t="s">
        <v>1368</v>
      </c>
      <c r="D256" s="387" t="s">
        <v>1224</v>
      </c>
      <c r="E256" s="387" t="s">
        <v>3259</v>
      </c>
      <c r="F256" s="387" t="s">
        <v>3201</v>
      </c>
      <c r="G256" s="387" t="s">
        <v>3380</v>
      </c>
      <c r="H256" s="387" t="s">
        <v>4110</v>
      </c>
      <c r="I256" s="387" t="s">
        <v>4400</v>
      </c>
      <c r="J256" s="387" t="s">
        <v>3875</v>
      </c>
      <c r="K256" s="387" t="s">
        <v>3609</v>
      </c>
      <c r="L256" s="387">
        <v>1</v>
      </c>
      <c r="M256" s="387">
        <v>0</v>
      </c>
      <c r="N256" s="387">
        <f t="shared" si="58"/>
        <v>1</v>
      </c>
      <c r="O256" s="387">
        <v>0</v>
      </c>
      <c r="P256" s="387" t="s">
        <v>1358</v>
      </c>
      <c r="Q256" s="387">
        <v>64.27</v>
      </c>
      <c r="R256" s="387"/>
      <c r="S256" s="2">
        <v>0</v>
      </c>
      <c r="T256" s="459">
        <f t="shared" si="55"/>
        <v>64.27</v>
      </c>
      <c r="U256" s="387"/>
      <c r="V256" s="411">
        <v>0</v>
      </c>
      <c r="W256" s="411">
        <v>0</v>
      </c>
      <c r="X256" s="436">
        <v>0</v>
      </c>
      <c r="Y256" s="411">
        <v>0</v>
      </c>
      <c r="Z256" s="436">
        <v>0</v>
      </c>
      <c r="AA256" s="437">
        <f t="shared" si="54"/>
        <v>0</v>
      </c>
      <c r="AB256" s="455">
        <f t="shared" si="59"/>
        <v>0</v>
      </c>
      <c r="AC256" s="456">
        <v>0</v>
      </c>
      <c r="AD256" s="480"/>
      <c r="AE256" s="480"/>
      <c r="AF256" s="481"/>
    </row>
    <row r="257" spans="2:32" hidden="1" x14ac:dyDescent="0.25">
      <c r="B257" s="387" t="s">
        <v>1635</v>
      </c>
      <c r="C257" s="387" t="s">
        <v>1368</v>
      </c>
      <c r="D257" s="387" t="s">
        <v>1224</v>
      </c>
      <c r="E257" s="387" t="s">
        <v>3260</v>
      </c>
      <c r="F257" s="387" t="s">
        <v>3201</v>
      </c>
      <c r="G257" s="387" t="s">
        <v>3381</v>
      </c>
      <c r="H257" s="387" t="s">
        <v>4110</v>
      </c>
      <c r="I257" s="387" t="s">
        <v>4401</v>
      </c>
      <c r="J257" s="387" t="s">
        <v>3876</v>
      </c>
      <c r="K257" s="387" t="s">
        <v>3610</v>
      </c>
      <c r="L257" s="387">
        <v>1</v>
      </c>
      <c r="M257" s="387">
        <v>0</v>
      </c>
      <c r="N257" s="387">
        <f t="shared" si="58"/>
        <v>1</v>
      </c>
      <c r="O257" s="387">
        <v>0</v>
      </c>
      <c r="P257" s="387" t="s">
        <v>1358</v>
      </c>
      <c r="Q257" s="387">
        <v>64.27</v>
      </c>
      <c r="R257" s="387"/>
      <c r="S257" s="2">
        <v>0</v>
      </c>
      <c r="T257" s="459">
        <f t="shared" si="55"/>
        <v>64.27</v>
      </c>
      <c r="U257" s="387"/>
      <c r="V257" s="411">
        <v>0</v>
      </c>
      <c r="W257" s="411">
        <v>0</v>
      </c>
      <c r="X257" s="436">
        <v>0</v>
      </c>
      <c r="Y257" s="411">
        <v>0</v>
      </c>
      <c r="Z257" s="436">
        <v>0</v>
      </c>
      <c r="AA257" s="437">
        <f t="shared" si="54"/>
        <v>0</v>
      </c>
      <c r="AB257" s="455">
        <f t="shared" si="59"/>
        <v>0</v>
      </c>
      <c r="AC257" s="456">
        <v>0</v>
      </c>
      <c r="AD257" s="480"/>
      <c r="AE257" s="480"/>
      <c r="AF257" s="481"/>
    </row>
    <row r="258" spans="2:32" hidden="1" x14ac:dyDescent="0.25">
      <c r="B258" s="387" t="s">
        <v>1636</v>
      </c>
      <c r="C258" s="387" t="s">
        <v>1368</v>
      </c>
      <c r="D258" s="387" t="s">
        <v>1224</v>
      </c>
      <c r="E258" s="387" t="s">
        <v>3269</v>
      </c>
      <c r="F258" s="387" t="s">
        <v>3201</v>
      </c>
      <c r="G258" s="387" t="s">
        <v>3390</v>
      </c>
      <c r="H258" s="387" t="s">
        <v>4110</v>
      </c>
      <c r="I258" s="387" t="s">
        <v>4402</v>
      </c>
      <c r="J258" s="387" t="s">
        <v>3885</v>
      </c>
      <c r="K258" s="387" t="s">
        <v>3611</v>
      </c>
      <c r="L258" s="387">
        <v>1</v>
      </c>
      <c r="M258" s="387">
        <v>0</v>
      </c>
      <c r="N258" s="387">
        <f t="shared" si="58"/>
        <v>1</v>
      </c>
      <c r="O258" s="387">
        <v>0</v>
      </c>
      <c r="P258" s="387" t="s">
        <v>1358</v>
      </c>
      <c r="Q258" s="387">
        <v>64.27</v>
      </c>
      <c r="R258" s="387"/>
      <c r="S258" s="2">
        <v>0</v>
      </c>
      <c r="T258" s="459">
        <f t="shared" si="55"/>
        <v>64.27</v>
      </c>
      <c r="U258" s="387"/>
      <c r="V258" s="411">
        <v>0</v>
      </c>
      <c r="W258" s="411">
        <v>0</v>
      </c>
      <c r="X258" s="436">
        <v>0</v>
      </c>
      <c r="Y258" s="411">
        <v>0</v>
      </c>
      <c r="Z258" s="436">
        <v>0</v>
      </c>
      <c r="AA258" s="437">
        <f t="shared" si="54"/>
        <v>0</v>
      </c>
      <c r="AB258" s="455">
        <f t="shared" si="59"/>
        <v>0</v>
      </c>
      <c r="AC258" s="456">
        <v>0</v>
      </c>
      <c r="AD258" s="480"/>
      <c r="AE258" s="480"/>
      <c r="AF258" s="481"/>
    </row>
    <row r="259" spans="2:32" hidden="1" x14ac:dyDescent="0.25">
      <c r="B259" s="387" t="s">
        <v>1637</v>
      </c>
      <c r="C259" s="387" t="s">
        <v>1368</v>
      </c>
      <c r="D259" s="387" t="s">
        <v>1224</v>
      </c>
      <c r="E259" s="387" t="s">
        <v>3545</v>
      </c>
      <c r="F259" s="387" t="s">
        <v>3201</v>
      </c>
      <c r="G259" s="387" t="s">
        <v>4014</v>
      </c>
      <c r="H259" s="387" t="s">
        <v>4110</v>
      </c>
      <c r="I259" s="387" t="s">
        <v>4403</v>
      </c>
      <c r="J259" s="387" t="s">
        <v>3923</v>
      </c>
      <c r="K259" s="387" t="s">
        <v>3612</v>
      </c>
      <c r="L259" s="387">
        <v>1</v>
      </c>
      <c r="M259" s="387">
        <v>0</v>
      </c>
      <c r="N259" s="387">
        <f t="shared" si="58"/>
        <v>1</v>
      </c>
      <c r="O259" s="387">
        <v>0</v>
      </c>
      <c r="P259" s="387" t="s">
        <v>1358</v>
      </c>
      <c r="Q259" s="387">
        <v>64.27</v>
      </c>
      <c r="R259" s="387"/>
      <c r="S259" s="2">
        <v>0</v>
      </c>
      <c r="T259" s="459">
        <f t="shared" si="55"/>
        <v>64.27</v>
      </c>
      <c r="U259" s="387"/>
      <c r="V259" s="411">
        <v>0</v>
      </c>
      <c r="W259" s="411">
        <v>0</v>
      </c>
      <c r="X259" s="436">
        <v>0</v>
      </c>
      <c r="Y259" s="411">
        <v>0</v>
      </c>
      <c r="Z259" s="436">
        <v>0</v>
      </c>
      <c r="AA259" s="437">
        <f t="shared" si="54"/>
        <v>0</v>
      </c>
      <c r="AB259" s="455">
        <f t="shared" si="59"/>
        <v>0</v>
      </c>
      <c r="AC259" s="456">
        <v>0</v>
      </c>
      <c r="AD259" s="480"/>
      <c r="AE259" s="480"/>
      <c r="AF259" s="481"/>
    </row>
    <row r="260" spans="2:32" hidden="1" x14ac:dyDescent="0.25">
      <c r="B260" s="387" t="s">
        <v>1638</v>
      </c>
      <c r="C260" s="387" t="s">
        <v>1368</v>
      </c>
      <c r="D260" s="387" t="s">
        <v>1224</v>
      </c>
      <c r="E260" s="387" t="s">
        <v>3297</v>
      </c>
      <c r="F260" s="387" t="s">
        <v>3201</v>
      </c>
      <c r="G260" s="387" t="s">
        <v>3416</v>
      </c>
      <c r="H260" s="387" t="s">
        <v>4110</v>
      </c>
      <c r="I260" s="387" t="s">
        <v>4404</v>
      </c>
      <c r="J260" s="387" t="s">
        <v>3913</v>
      </c>
      <c r="K260" s="387" t="s">
        <v>3613</v>
      </c>
      <c r="L260" s="387">
        <v>1</v>
      </c>
      <c r="M260" s="387">
        <v>0</v>
      </c>
      <c r="N260" s="387">
        <f t="shared" si="58"/>
        <v>1</v>
      </c>
      <c r="O260" s="387">
        <v>0</v>
      </c>
      <c r="P260" s="387" t="s">
        <v>1358</v>
      </c>
      <c r="Q260" s="387">
        <v>64.27</v>
      </c>
      <c r="R260" s="387"/>
      <c r="S260" s="2">
        <v>0</v>
      </c>
      <c r="T260" s="459">
        <f t="shared" si="55"/>
        <v>64.27</v>
      </c>
      <c r="U260" s="387"/>
      <c r="V260" s="411">
        <v>0</v>
      </c>
      <c r="W260" s="411">
        <v>0</v>
      </c>
      <c r="X260" s="436">
        <v>0</v>
      </c>
      <c r="Y260" s="411">
        <v>0</v>
      </c>
      <c r="Z260" s="436">
        <v>0</v>
      </c>
      <c r="AA260" s="437">
        <f t="shared" si="54"/>
        <v>0</v>
      </c>
      <c r="AB260" s="455">
        <f t="shared" si="59"/>
        <v>0</v>
      </c>
      <c r="AC260" s="456">
        <v>0</v>
      </c>
      <c r="AD260" s="480"/>
      <c r="AE260" s="480"/>
      <c r="AF260" s="481"/>
    </row>
    <row r="261" spans="2:32" hidden="1" x14ac:dyDescent="0.25">
      <c r="B261" s="387" t="s">
        <v>1639</v>
      </c>
      <c r="C261" s="387" t="s">
        <v>1368</v>
      </c>
      <c r="D261" s="387" t="s">
        <v>1224</v>
      </c>
      <c r="E261" s="387" t="s">
        <v>3298</v>
      </c>
      <c r="F261" s="387" t="s">
        <v>3201</v>
      </c>
      <c r="G261" s="387" t="s">
        <v>3417</v>
      </c>
      <c r="H261" s="387" t="s">
        <v>4110</v>
      </c>
      <c r="I261" s="387" t="s">
        <v>4405</v>
      </c>
      <c r="J261" s="387" t="s">
        <v>3914</v>
      </c>
      <c r="K261" s="387" t="s">
        <v>3614</v>
      </c>
      <c r="L261" s="387">
        <v>1</v>
      </c>
      <c r="M261" s="387">
        <v>0</v>
      </c>
      <c r="N261" s="387">
        <f t="shared" si="58"/>
        <v>1</v>
      </c>
      <c r="O261" s="387">
        <v>0</v>
      </c>
      <c r="P261" s="387" t="s">
        <v>1358</v>
      </c>
      <c r="Q261" s="387">
        <v>64.27</v>
      </c>
      <c r="R261" s="387"/>
      <c r="S261" s="2">
        <v>0</v>
      </c>
      <c r="T261" s="459">
        <f t="shared" si="55"/>
        <v>64.27</v>
      </c>
      <c r="U261" s="387"/>
      <c r="V261" s="411">
        <v>0</v>
      </c>
      <c r="W261" s="411">
        <v>0</v>
      </c>
      <c r="X261" s="436">
        <v>0</v>
      </c>
      <c r="Y261" s="411">
        <v>0</v>
      </c>
      <c r="Z261" s="436">
        <v>0</v>
      </c>
      <c r="AA261" s="437">
        <f t="shared" ref="AA261:AA324" si="60">IF(T261,AB261/T261,0)</f>
        <v>0</v>
      </c>
      <c r="AB261" s="455">
        <f t="shared" si="59"/>
        <v>0</v>
      </c>
      <c r="AC261" s="456">
        <v>0</v>
      </c>
      <c r="AD261" s="480"/>
      <c r="AE261" s="480"/>
      <c r="AF261" s="481"/>
    </row>
    <row r="262" spans="2:32" hidden="1" x14ac:dyDescent="0.25">
      <c r="B262" s="387" t="s">
        <v>1640</v>
      </c>
      <c r="C262" s="387" t="s">
        <v>1368</v>
      </c>
      <c r="D262" s="387" t="s">
        <v>1224</v>
      </c>
      <c r="E262" s="387" t="s">
        <v>3304</v>
      </c>
      <c r="F262" s="387" t="s">
        <v>3201</v>
      </c>
      <c r="G262" s="387" t="s">
        <v>3421</v>
      </c>
      <c r="H262" s="387" t="s">
        <v>4110</v>
      </c>
      <c r="I262" s="387" t="s">
        <v>4406</v>
      </c>
      <c r="J262" s="387" t="s">
        <v>3920</v>
      </c>
      <c r="K262" s="387" t="s">
        <v>3615</v>
      </c>
      <c r="L262" s="387">
        <v>1</v>
      </c>
      <c r="M262" s="387">
        <v>0</v>
      </c>
      <c r="N262" s="387">
        <f t="shared" si="58"/>
        <v>1</v>
      </c>
      <c r="O262" s="387">
        <v>0</v>
      </c>
      <c r="P262" s="387" t="s">
        <v>1358</v>
      </c>
      <c r="Q262" s="387">
        <v>64.27</v>
      </c>
      <c r="R262" s="387"/>
      <c r="S262" s="2">
        <v>0</v>
      </c>
      <c r="T262" s="459">
        <f t="shared" si="55"/>
        <v>64.27</v>
      </c>
      <c r="U262" s="387"/>
      <c r="V262" s="411">
        <v>0</v>
      </c>
      <c r="W262" s="411">
        <v>0</v>
      </c>
      <c r="X262" s="436">
        <v>0</v>
      </c>
      <c r="Y262" s="411">
        <v>0</v>
      </c>
      <c r="Z262" s="436">
        <v>0</v>
      </c>
      <c r="AA262" s="437">
        <f t="shared" si="60"/>
        <v>0</v>
      </c>
      <c r="AB262" s="455">
        <f t="shared" si="59"/>
        <v>0</v>
      </c>
      <c r="AC262" s="456">
        <v>0</v>
      </c>
      <c r="AD262" s="480"/>
      <c r="AE262" s="480"/>
      <c r="AF262" s="481"/>
    </row>
    <row r="263" spans="2:32" hidden="1" x14ac:dyDescent="0.25">
      <c r="B263" s="387" t="s">
        <v>1641</v>
      </c>
      <c r="C263" s="387" t="s">
        <v>1368</v>
      </c>
      <c r="D263" s="387" t="s">
        <v>1224</v>
      </c>
      <c r="E263" s="387" t="s">
        <v>3299</v>
      </c>
      <c r="F263" s="387" t="s">
        <v>3201</v>
      </c>
      <c r="G263" s="387" t="s">
        <v>3418</v>
      </c>
      <c r="H263" s="387" t="s">
        <v>4110</v>
      </c>
      <c r="I263" s="387" t="s">
        <v>4407</v>
      </c>
      <c r="J263" s="387" t="s">
        <v>3915</v>
      </c>
      <c r="K263" s="387" t="s">
        <v>3616</v>
      </c>
      <c r="L263" s="387">
        <v>1</v>
      </c>
      <c r="M263" s="387">
        <v>0</v>
      </c>
      <c r="N263" s="387">
        <f t="shared" si="58"/>
        <v>1</v>
      </c>
      <c r="O263" s="387">
        <v>0</v>
      </c>
      <c r="P263" s="387" t="s">
        <v>1358</v>
      </c>
      <c r="Q263" s="387">
        <v>64.27</v>
      </c>
      <c r="R263" s="387"/>
      <c r="S263" s="2">
        <v>0</v>
      </c>
      <c r="T263" s="459">
        <f t="shared" si="55"/>
        <v>64.27</v>
      </c>
      <c r="U263" s="387"/>
      <c r="V263" s="411">
        <v>0</v>
      </c>
      <c r="W263" s="411">
        <v>0</v>
      </c>
      <c r="X263" s="436">
        <v>0</v>
      </c>
      <c r="Y263" s="411">
        <v>0</v>
      </c>
      <c r="Z263" s="436">
        <v>0</v>
      </c>
      <c r="AA263" s="437">
        <f t="shared" si="60"/>
        <v>0</v>
      </c>
      <c r="AB263" s="455">
        <f t="shared" si="59"/>
        <v>0</v>
      </c>
      <c r="AC263" s="456">
        <v>0</v>
      </c>
      <c r="AD263" s="480"/>
      <c r="AE263" s="480"/>
      <c r="AF263" s="481"/>
    </row>
    <row r="264" spans="2:32" hidden="1" x14ac:dyDescent="0.25">
      <c r="B264" s="387" t="s">
        <v>1642</v>
      </c>
      <c r="C264" s="387" t="s">
        <v>1368</v>
      </c>
      <c r="D264" s="387" t="s">
        <v>1224</v>
      </c>
      <c r="E264" s="387" t="s">
        <v>3300</v>
      </c>
      <c r="F264" s="387" t="s">
        <v>3201</v>
      </c>
      <c r="G264" s="387" t="s">
        <v>3419</v>
      </c>
      <c r="H264" s="387" t="s">
        <v>4110</v>
      </c>
      <c r="I264" s="387" t="s">
        <v>4408</v>
      </c>
      <c r="J264" s="387" t="s">
        <v>3916</v>
      </c>
      <c r="K264" s="387" t="s">
        <v>3617</v>
      </c>
      <c r="L264" s="387">
        <v>1</v>
      </c>
      <c r="M264" s="387">
        <v>0</v>
      </c>
      <c r="N264" s="387">
        <f t="shared" si="58"/>
        <v>1</v>
      </c>
      <c r="O264" s="387">
        <v>0</v>
      </c>
      <c r="P264" s="387" t="s">
        <v>1358</v>
      </c>
      <c r="Q264" s="387">
        <v>64.27</v>
      </c>
      <c r="R264" s="387"/>
      <c r="S264" s="2">
        <v>0</v>
      </c>
      <c r="T264" s="459">
        <f t="shared" si="55"/>
        <v>64.27</v>
      </c>
      <c r="U264" s="387"/>
      <c r="V264" s="411">
        <v>0</v>
      </c>
      <c r="W264" s="411">
        <v>0</v>
      </c>
      <c r="X264" s="436">
        <v>0</v>
      </c>
      <c r="Y264" s="411">
        <v>0</v>
      </c>
      <c r="Z264" s="436">
        <v>0</v>
      </c>
      <c r="AA264" s="437">
        <f t="shared" si="60"/>
        <v>0</v>
      </c>
      <c r="AB264" s="455">
        <f t="shared" si="59"/>
        <v>0</v>
      </c>
      <c r="AC264" s="456">
        <v>0</v>
      </c>
      <c r="AD264" s="480"/>
      <c r="AE264" s="480"/>
      <c r="AF264" s="481"/>
    </row>
    <row r="265" spans="2:32" hidden="1" x14ac:dyDescent="0.25">
      <c r="B265" s="387" t="s">
        <v>1643</v>
      </c>
      <c r="C265" s="387" t="s">
        <v>1368</v>
      </c>
      <c r="D265" s="387" t="s">
        <v>1224</v>
      </c>
      <c r="E265" s="387" t="s">
        <v>3305</v>
      </c>
      <c r="F265" s="387" t="s">
        <v>3201</v>
      </c>
      <c r="G265" s="387" t="s">
        <v>3422</v>
      </c>
      <c r="H265" s="387" t="s">
        <v>4110</v>
      </c>
      <c r="I265" s="387" t="s">
        <v>4409</v>
      </c>
      <c r="J265" s="387" t="s">
        <v>3921</v>
      </c>
      <c r="K265" s="387" t="s">
        <v>3618</v>
      </c>
      <c r="L265" s="387">
        <v>1</v>
      </c>
      <c r="M265" s="387">
        <v>0</v>
      </c>
      <c r="N265" s="387">
        <f t="shared" si="58"/>
        <v>1</v>
      </c>
      <c r="O265" s="387">
        <v>0</v>
      </c>
      <c r="P265" s="387" t="s">
        <v>1358</v>
      </c>
      <c r="Q265" s="387">
        <v>64.27</v>
      </c>
      <c r="R265" s="387"/>
      <c r="S265" s="2">
        <v>0</v>
      </c>
      <c r="T265" s="459">
        <f t="shared" si="55"/>
        <v>64.27</v>
      </c>
      <c r="U265" s="387"/>
      <c r="V265" s="411">
        <v>0</v>
      </c>
      <c r="W265" s="411">
        <v>0</v>
      </c>
      <c r="X265" s="436">
        <v>0</v>
      </c>
      <c r="Y265" s="411">
        <v>0</v>
      </c>
      <c r="Z265" s="436">
        <v>0</v>
      </c>
      <c r="AA265" s="437">
        <f t="shared" si="60"/>
        <v>0</v>
      </c>
      <c r="AB265" s="455">
        <f t="shared" si="59"/>
        <v>0</v>
      </c>
      <c r="AC265" s="456">
        <v>0</v>
      </c>
      <c r="AD265" s="480"/>
      <c r="AE265" s="480"/>
      <c r="AF265" s="481"/>
    </row>
    <row r="266" spans="2:32" hidden="1" x14ac:dyDescent="0.25">
      <c r="B266" s="387" t="s">
        <v>1644</v>
      </c>
      <c r="C266" s="387" t="s">
        <v>1368</v>
      </c>
      <c r="D266" s="387" t="s">
        <v>1224</v>
      </c>
      <c r="E266" s="387" t="s">
        <v>3270</v>
      </c>
      <c r="F266" s="387" t="s">
        <v>3201</v>
      </c>
      <c r="G266" s="387" t="s">
        <v>3391</v>
      </c>
      <c r="H266" s="387" t="s">
        <v>4110</v>
      </c>
      <c r="I266" s="387" t="s">
        <v>4410</v>
      </c>
      <c r="J266" s="387" t="s">
        <v>3886</v>
      </c>
      <c r="K266" s="387" t="s">
        <v>3619</v>
      </c>
      <c r="L266" s="387">
        <v>1</v>
      </c>
      <c r="M266" s="387">
        <v>0</v>
      </c>
      <c r="N266" s="387">
        <f t="shared" si="58"/>
        <v>1</v>
      </c>
      <c r="O266" s="387">
        <v>0</v>
      </c>
      <c r="P266" s="387" t="s">
        <v>1358</v>
      </c>
      <c r="Q266" s="387">
        <v>64.27</v>
      </c>
      <c r="R266" s="387"/>
      <c r="S266" s="2">
        <v>0</v>
      </c>
      <c r="T266" s="459">
        <f t="shared" si="55"/>
        <v>64.27</v>
      </c>
      <c r="U266" s="387"/>
      <c r="V266" s="411">
        <v>0</v>
      </c>
      <c r="W266" s="411">
        <v>0</v>
      </c>
      <c r="X266" s="436">
        <v>0</v>
      </c>
      <c r="Y266" s="411">
        <v>0</v>
      </c>
      <c r="Z266" s="436">
        <v>0</v>
      </c>
      <c r="AA266" s="437">
        <f t="shared" si="60"/>
        <v>0</v>
      </c>
      <c r="AB266" s="455">
        <f t="shared" si="59"/>
        <v>0</v>
      </c>
      <c r="AC266" s="456">
        <v>0</v>
      </c>
      <c r="AD266" s="480"/>
      <c r="AE266" s="480"/>
      <c r="AF266" s="481"/>
    </row>
    <row r="267" spans="2:32" hidden="1" x14ac:dyDescent="0.25">
      <c r="B267" s="387" t="s">
        <v>1645</v>
      </c>
      <c r="C267" s="387" t="s">
        <v>1368</v>
      </c>
      <c r="D267" s="387" t="s">
        <v>1224</v>
      </c>
      <c r="E267" s="387" t="s">
        <v>3281</v>
      </c>
      <c r="F267" s="387" t="s">
        <v>3201</v>
      </c>
      <c r="G267" s="387" t="s">
        <v>3401</v>
      </c>
      <c r="H267" s="387" t="s">
        <v>4110</v>
      </c>
      <c r="I267" s="387" t="s">
        <v>4411</v>
      </c>
      <c r="J267" s="387" t="s">
        <v>3897</v>
      </c>
      <c r="K267" s="387" t="s">
        <v>3620</v>
      </c>
      <c r="L267" s="387">
        <v>1</v>
      </c>
      <c r="M267" s="387">
        <v>0</v>
      </c>
      <c r="N267" s="387">
        <f t="shared" si="58"/>
        <v>1</v>
      </c>
      <c r="O267" s="387">
        <v>0</v>
      </c>
      <c r="P267" s="387" t="s">
        <v>1358</v>
      </c>
      <c r="Q267" s="387">
        <v>64.27</v>
      </c>
      <c r="R267" s="387"/>
      <c r="S267" s="2">
        <v>0</v>
      </c>
      <c r="T267" s="459">
        <f t="shared" ref="T267:T330" si="61">Q267+S267+R267</f>
        <v>64.27</v>
      </c>
      <c r="U267" s="387"/>
      <c r="V267" s="411">
        <v>0</v>
      </c>
      <c r="W267" s="411">
        <v>0</v>
      </c>
      <c r="X267" s="436">
        <v>0</v>
      </c>
      <c r="Y267" s="411">
        <v>0</v>
      </c>
      <c r="Z267" s="436">
        <v>0</v>
      </c>
      <c r="AA267" s="437">
        <f t="shared" si="60"/>
        <v>0</v>
      </c>
      <c r="AB267" s="455">
        <f t="shared" si="59"/>
        <v>0</v>
      </c>
      <c r="AC267" s="456">
        <v>0</v>
      </c>
      <c r="AD267" s="480"/>
      <c r="AE267" s="480"/>
      <c r="AF267" s="481"/>
    </row>
    <row r="268" spans="2:32" hidden="1" x14ac:dyDescent="0.25">
      <c r="B268" s="387" t="s">
        <v>1646</v>
      </c>
      <c r="C268" s="387" t="s">
        <v>1368</v>
      </c>
      <c r="D268" s="387" t="s">
        <v>1224</v>
      </c>
      <c r="E268" s="387" t="s">
        <v>3271</v>
      </c>
      <c r="F268" s="387" t="s">
        <v>3201</v>
      </c>
      <c r="G268" s="387" t="s">
        <v>3392</v>
      </c>
      <c r="H268" s="387" t="s">
        <v>4110</v>
      </c>
      <c r="I268" s="387" t="s">
        <v>4412</v>
      </c>
      <c r="J268" s="387" t="s">
        <v>3887</v>
      </c>
      <c r="K268" s="387" t="s">
        <v>3621</v>
      </c>
      <c r="L268" s="387">
        <v>1</v>
      </c>
      <c r="M268" s="387">
        <v>0</v>
      </c>
      <c r="N268" s="387">
        <f t="shared" si="58"/>
        <v>1</v>
      </c>
      <c r="O268" s="387">
        <v>0</v>
      </c>
      <c r="P268" s="387" t="s">
        <v>1358</v>
      </c>
      <c r="Q268" s="387">
        <v>64.27</v>
      </c>
      <c r="R268" s="387"/>
      <c r="S268" s="2">
        <v>0</v>
      </c>
      <c r="T268" s="459">
        <f t="shared" si="61"/>
        <v>64.27</v>
      </c>
      <c r="U268" s="387"/>
      <c r="V268" s="411">
        <v>0</v>
      </c>
      <c r="W268" s="411">
        <v>0</v>
      </c>
      <c r="X268" s="436">
        <v>0</v>
      </c>
      <c r="Y268" s="411">
        <v>0</v>
      </c>
      <c r="Z268" s="436">
        <v>0</v>
      </c>
      <c r="AA268" s="437">
        <f t="shared" si="60"/>
        <v>0</v>
      </c>
      <c r="AB268" s="455">
        <f t="shared" si="59"/>
        <v>0</v>
      </c>
      <c r="AC268" s="456">
        <v>0</v>
      </c>
      <c r="AD268" s="480"/>
      <c r="AE268" s="480"/>
      <c r="AF268" s="481"/>
    </row>
    <row r="269" spans="2:32" hidden="1" x14ac:dyDescent="0.25">
      <c r="B269" s="387" t="s">
        <v>1647</v>
      </c>
      <c r="C269" s="387" t="s">
        <v>1368</v>
      </c>
      <c r="D269" s="387" t="s">
        <v>1224</v>
      </c>
      <c r="E269" s="387" t="s">
        <v>3272</v>
      </c>
      <c r="F269" s="387" t="s">
        <v>3201</v>
      </c>
      <c r="G269" s="387" t="s">
        <v>3393</v>
      </c>
      <c r="H269" s="387" t="s">
        <v>4110</v>
      </c>
      <c r="I269" s="387" t="s">
        <v>4413</v>
      </c>
      <c r="J269" s="387" t="s">
        <v>3888</v>
      </c>
      <c r="K269" s="387" t="s">
        <v>3622</v>
      </c>
      <c r="L269" s="387">
        <v>1</v>
      </c>
      <c r="M269" s="387">
        <v>0</v>
      </c>
      <c r="N269" s="387">
        <f t="shared" si="58"/>
        <v>1</v>
      </c>
      <c r="O269" s="387">
        <v>0</v>
      </c>
      <c r="P269" s="387" t="s">
        <v>1358</v>
      </c>
      <c r="Q269" s="387">
        <v>64.27</v>
      </c>
      <c r="R269" s="387"/>
      <c r="S269" s="2">
        <v>0</v>
      </c>
      <c r="T269" s="459">
        <f t="shared" si="61"/>
        <v>64.27</v>
      </c>
      <c r="U269" s="387"/>
      <c r="V269" s="411">
        <v>0</v>
      </c>
      <c r="W269" s="411">
        <v>0</v>
      </c>
      <c r="X269" s="436">
        <v>0</v>
      </c>
      <c r="Y269" s="411">
        <v>0</v>
      </c>
      <c r="Z269" s="436">
        <v>0</v>
      </c>
      <c r="AA269" s="437">
        <f t="shared" si="60"/>
        <v>0</v>
      </c>
      <c r="AB269" s="455">
        <f t="shared" si="59"/>
        <v>0</v>
      </c>
      <c r="AC269" s="456">
        <v>0</v>
      </c>
      <c r="AD269" s="480"/>
      <c r="AE269" s="480"/>
      <c r="AF269" s="481"/>
    </row>
    <row r="270" spans="2:32" hidden="1" x14ac:dyDescent="0.25">
      <c r="B270" s="387" t="s">
        <v>1648</v>
      </c>
      <c r="C270" s="387" t="s">
        <v>1368</v>
      </c>
      <c r="D270" s="387" t="s">
        <v>1224</v>
      </c>
      <c r="E270" s="387" t="s">
        <v>3282</v>
      </c>
      <c r="F270" s="387" t="s">
        <v>3201</v>
      </c>
      <c r="G270" s="387" t="s">
        <v>3402</v>
      </c>
      <c r="H270" s="387" t="s">
        <v>4110</v>
      </c>
      <c r="I270" s="387" t="s">
        <v>4414</v>
      </c>
      <c r="J270" s="387" t="s">
        <v>3898</v>
      </c>
      <c r="K270" s="387" t="s">
        <v>3623</v>
      </c>
      <c r="L270" s="387">
        <v>1</v>
      </c>
      <c r="M270" s="387">
        <v>0</v>
      </c>
      <c r="N270" s="387">
        <f t="shared" si="58"/>
        <v>1</v>
      </c>
      <c r="O270" s="387">
        <v>0</v>
      </c>
      <c r="P270" s="387" t="s">
        <v>1358</v>
      </c>
      <c r="Q270" s="387">
        <v>64.27</v>
      </c>
      <c r="R270" s="387"/>
      <c r="S270" s="2">
        <v>0</v>
      </c>
      <c r="T270" s="459">
        <f t="shared" si="61"/>
        <v>64.27</v>
      </c>
      <c r="U270" s="387"/>
      <c r="V270" s="411">
        <v>0</v>
      </c>
      <c r="W270" s="411">
        <v>0</v>
      </c>
      <c r="X270" s="436">
        <v>0</v>
      </c>
      <c r="Y270" s="411">
        <v>0</v>
      </c>
      <c r="Z270" s="436">
        <v>0</v>
      </c>
      <c r="AA270" s="437">
        <f t="shared" si="60"/>
        <v>0</v>
      </c>
      <c r="AB270" s="455">
        <f t="shared" si="59"/>
        <v>0</v>
      </c>
      <c r="AC270" s="456">
        <v>0</v>
      </c>
      <c r="AD270" s="480"/>
      <c r="AE270" s="480"/>
      <c r="AF270" s="481"/>
    </row>
    <row r="271" spans="2:32" hidden="1" x14ac:dyDescent="0.25">
      <c r="B271" s="387" t="s">
        <v>1649</v>
      </c>
      <c r="C271" s="387" t="s">
        <v>1368</v>
      </c>
      <c r="D271" s="387" t="s">
        <v>1224</v>
      </c>
      <c r="E271" s="387" t="s">
        <v>3285</v>
      </c>
      <c r="F271" s="387" t="s">
        <v>3201</v>
      </c>
      <c r="G271" s="387" t="s">
        <v>3404</v>
      </c>
      <c r="H271" s="387" t="s">
        <v>4110</v>
      </c>
      <c r="I271" s="387" t="s">
        <v>4415</v>
      </c>
      <c r="J271" s="387" t="s">
        <v>3901</v>
      </c>
      <c r="K271" s="387" t="s">
        <v>3624</v>
      </c>
      <c r="L271" s="387">
        <v>1</v>
      </c>
      <c r="M271" s="387">
        <v>0</v>
      </c>
      <c r="N271" s="387">
        <f t="shared" si="58"/>
        <v>1</v>
      </c>
      <c r="O271" s="387">
        <v>0</v>
      </c>
      <c r="P271" s="387" t="s">
        <v>1358</v>
      </c>
      <c r="Q271" s="387">
        <v>64.27</v>
      </c>
      <c r="R271" s="387"/>
      <c r="S271" s="2">
        <v>0</v>
      </c>
      <c r="T271" s="459">
        <f t="shared" si="61"/>
        <v>64.27</v>
      </c>
      <c r="U271" s="387"/>
      <c r="V271" s="411">
        <v>0</v>
      </c>
      <c r="W271" s="411">
        <v>0</v>
      </c>
      <c r="X271" s="436">
        <v>0</v>
      </c>
      <c r="Y271" s="411">
        <v>0</v>
      </c>
      <c r="Z271" s="436">
        <v>0</v>
      </c>
      <c r="AA271" s="437">
        <f t="shared" si="60"/>
        <v>0</v>
      </c>
      <c r="AB271" s="455">
        <f t="shared" si="59"/>
        <v>0</v>
      </c>
      <c r="AC271" s="456">
        <v>0</v>
      </c>
      <c r="AD271" s="480"/>
      <c r="AE271" s="480"/>
      <c r="AF271" s="481"/>
    </row>
    <row r="272" spans="2:32" hidden="1" x14ac:dyDescent="0.25">
      <c r="B272" s="387" t="s">
        <v>1650</v>
      </c>
      <c r="C272" s="387" t="s">
        <v>1368</v>
      </c>
      <c r="D272" s="387" t="s">
        <v>1224</v>
      </c>
      <c r="E272" s="387" t="s">
        <v>3241</v>
      </c>
      <c r="F272" s="387" t="s">
        <v>3201</v>
      </c>
      <c r="G272" s="387" t="s">
        <v>3364</v>
      </c>
      <c r="H272" s="387" t="s">
        <v>4110</v>
      </c>
      <c r="I272" s="387" t="s">
        <v>4416</v>
      </c>
      <c r="J272" s="387" t="s">
        <v>3857</v>
      </c>
      <c r="K272" s="387" t="s">
        <v>3625</v>
      </c>
      <c r="L272" s="387">
        <v>1</v>
      </c>
      <c r="M272" s="387">
        <v>0</v>
      </c>
      <c r="N272" s="387">
        <f t="shared" si="58"/>
        <v>1</v>
      </c>
      <c r="O272" s="387">
        <v>0</v>
      </c>
      <c r="P272" s="387" t="s">
        <v>1358</v>
      </c>
      <c r="Q272" s="387">
        <v>64.27</v>
      </c>
      <c r="R272" s="387"/>
      <c r="S272" s="2">
        <v>0</v>
      </c>
      <c r="T272" s="459">
        <f t="shared" si="61"/>
        <v>64.27</v>
      </c>
      <c r="U272" s="387"/>
      <c r="V272" s="411">
        <v>0</v>
      </c>
      <c r="W272" s="411">
        <v>0</v>
      </c>
      <c r="X272" s="436">
        <v>0</v>
      </c>
      <c r="Y272" s="411">
        <v>0</v>
      </c>
      <c r="Z272" s="436">
        <v>0</v>
      </c>
      <c r="AA272" s="437">
        <f t="shared" si="60"/>
        <v>0</v>
      </c>
      <c r="AB272" s="455">
        <f t="shared" si="59"/>
        <v>0</v>
      </c>
      <c r="AC272" s="456">
        <v>0</v>
      </c>
      <c r="AD272" s="480"/>
      <c r="AE272" s="480"/>
      <c r="AF272" s="481"/>
    </row>
    <row r="273" spans="2:32" hidden="1" x14ac:dyDescent="0.25">
      <c r="B273" s="387" t="s">
        <v>1651</v>
      </c>
      <c r="C273" s="387" t="s">
        <v>1368</v>
      </c>
      <c r="D273" s="387" t="s">
        <v>1224</v>
      </c>
      <c r="E273" s="387" t="s">
        <v>3242</v>
      </c>
      <c r="F273" s="387" t="s">
        <v>3201</v>
      </c>
      <c r="G273" s="387" t="s">
        <v>3365</v>
      </c>
      <c r="H273" s="387" t="s">
        <v>4110</v>
      </c>
      <c r="I273" s="387" t="s">
        <v>4417</v>
      </c>
      <c r="J273" s="387" t="s">
        <v>3858</v>
      </c>
      <c r="K273" s="387" t="s">
        <v>3626</v>
      </c>
      <c r="L273" s="387">
        <v>1</v>
      </c>
      <c r="M273" s="387">
        <v>0</v>
      </c>
      <c r="N273" s="387">
        <f t="shared" si="58"/>
        <v>1</v>
      </c>
      <c r="O273" s="387">
        <v>0</v>
      </c>
      <c r="P273" s="387" t="s">
        <v>1358</v>
      </c>
      <c r="Q273" s="387">
        <v>64.27</v>
      </c>
      <c r="R273" s="387"/>
      <c r="S273" s="2">
        <v>0</v>
      </c>
      <c r="T273" s="459">
        <f t="shared" si="61"/>
        <v>64.27</v>
      </c>
      <c r="U273" s="387"/>
      <c r="V273" s="411">
        <v>0</v>
      </c>
      <c r="W273" s="411">
        <v>0</v>
      </c>
      <c r="X273" s="436">
        <v>0</v>
      </c>
      <c r="Y273" s="411">
        <v>0</v>
      </c>
      <c r="Z273" s="436">
        <v>0</v>
      </c>
      <c r="AA273" s="437">
        <f t="shared" si="60"/>
        <v>0</v>
      </c>
      <c r="AB273" s="455">
        <f t="shared" si="59"/>
        <v>0</v>
      </c>
      <c r="AC273" s="456">
        <v>0</v>
      </c>
      <c r="AD273" s="480"/>
      <c r="AE273" s="480"/>
      <c r="AF273" s="481"/>
    </row>
    <row r="274" spans="2:32" hidden="1" x14ac:dyDescent="0.25">
      <c r="B274" s="387" t="s">
        <v>1652</v>
      </c>
      <c r="C274" s="387" t="s">
        <v>1368</v>
      </c>
      <c r="D274" s="387" t="s">
        <v>1224</v>
      </c>
      <c r="E274" s="387" t="s">
        <v>3243</v>
      </c>
      <c r="F274" s="387" t="s">
        <v>3201</v>
      </c>
      <c r="G274" s="387" t="s">
        <v>3366</v>
      </c>
      <c r="H274" s="387" t="s">
        <v>4110</v>
      </c>
      <c r="I274" s="387" t="s">
        <v>4418</v>
      </c>
      <c r="J274" s="387" t="s">
        <v>3859</v>
      </c>
      <c r="K274" s="387" t="s">
        <v>3627</v>
      </c>
      <c r="L274" s="387">
        <v>1</v>
      </c>
      <c r="M274" s="387">
        <v>0</v>
      </c>
      <c r="N274" s="387">
        <f t="shared" si="58"/>
        <v>1</v>
      </c>
      <c r="O274" s="387">
        <v>0</v>
      </c>
      <c r="P274" s="387" t="s">
        <v>1358</v>
      </c>
      <c r="Q274" s="387">
        <v>64.27</v>
      </c>
      <c r="R274" s="387"/>
      <c r="S274" s="2">
        <v>0</v>
      </c>
      <c r="T274" s="459">
        <f t="shared" si="61"/>
        <v>64.27</v>
      </c>
      <c r="U274" s="387"/>
      <c r="V274" s="411">
        <v>0</v>
      </c>
      <c r="W274" s="411">
        <v>0</v>
      </c>
      <c r="X274" s="436">
        <v>0</v>
      </c>
      <c r="Y274" s="411">
        <v>0</v>
      </c>
      <c r="Z274" s="436">
        <v>0</v>
      </c>
      <c r="AA274" s="437">
        <f t="shared" si="60"/>
        <v>0</v>
      </c>
      <c r="AB274" s="455">
        <f t="shared" si="59"/>
        <v>0</v>
      </c>
      <c r="AC274" s="456">
        <v>0</v>
      </c>
      <c r="AD274" s="480"/>
      <c r="AE274" s="480"/>
      <c r="AF274" s="481"/>
    </row>
    <row r="275" spans="2:32" hidden="1" x14ac:dyDescent="0.25">
      <c r="B275" s="387" t="s">
        <v>1653</v>
      </c>
      <c r="C275" s="387" t="s">
        <v>1368</v>
      </c>
      <c r="D275" s="387" t="s">
        <v>1224</v>
      </c>
      <c r="E275" s="387" t="s">
        <v>3244</v>
      </c>
      <c r="F275" s="387" t="s">
        <v>3201</v>
      </c>
      <c r="G275" s="387" t="s">
        <v>3367</v>
      </c>
      <c r="H275" s="387" t="s">
        <v>4110</v>
      </c>
      <c r="I275" s="387" t="s">
        <v>4419</v>
      </c>
      <c r="J275" s="387" t="s">
        <v>3860</v>
      </c>
      <c r="K275" s="387" t="s">
        <v>3628</v>
      </c>
      <c r="L275" s="387">
        <v>1</v>
      </c>
      <c r="M275" s="387">
        <v>0</v>
      </c>
      <c r="N275" s="387">
        <f t="shared" si="58"/>
        <v>1</v>
      </c>
      <c r="O275" s="387">
        <v>0</v>
      </c>
      <c r="P275" s="387" t="s">
        <v>1358</v>
      </c>
      <c r="Q275" s="387">
        <v>64.27</v>
      </c>
      <c r="R275" s="387"/>
      <c r="S275" s="2">
        <v>0</v>
      </c>
      <c r="T275" s="459">
        <f t="shared" si="61"/>
        <v>64.27</v>
      </c>
      <c r="U275" s="387"/>
      <c r="V275" s="411">
        <v>0</v>
      </c>
      <c r="W275" s="411">
        <v>0</v>
      </c>
      <c r="X275" s="436">
        <v>0</v>
      </c>
      <c r="Y275" s="411">
        <v>0</v>
      </c>
      <c r="Z275" s="436">
        <v>0</v>
      </c>
      <c r="AA275" s="437">
        <f t="shared" si="60"/>
        <v>0</v>
      </c>
      <c r="AB275" s="455">
        <f t="shared" si="59"/>
        <v>0</v>
      </c>
      <c r="AC275" s="456">
        <v>0</v>
      </c>
      <c r="AD275" s="480"/>
      <c r="AE275" s="480"/>
      <c r="AF275" s="481"/>
    </row>
    <row r="276" spans="2:32" hidden="1" x14ac:dyDescent="0.25">
      <c r="B276" s="387" t="s">
        <v>1654</v>
      </c>
      <c r="C276" s="387" t="s">
        <v>1368</v>
      </c>
      <c r="D276" s="387" t="s">
        <v>1224</v>
      </c>
      <c r="E276" s="387" t="s">
        <v>3254</v>
      </c>
      <c r="F276" s="387" t="s">
        <v>3201</v>
      </c>
      <c r="G276" s="387" t="s">
        <v>3375</v>
      </c>
      <c r="H276" s="387" t="s">
        <v>4110</v>
      </c>
      <c r="I276" s="387" t="s">
        <v>4420</v>
      </c>
      <c r="J276" s="387" t="s">
        <v>3870</v>
      </c>
      <c r="K276" s="387" t="s">
        <v>3629</v>
      </c>
      <c r="L276" s="387">
        <v>1</v>
      </c>
      <c r="M276" s="387">
        <v>0</v>
      </c>
      <c r="N276" s="387">
        <f t="shared" si="58"/>
        <v>1</v>
      </c>
      <c r="O276" s="387">
        <v>0</v>
      </c>
      <c r="P276" s="387" t="s">
        <v>1358</v>
      </c>
      <c r="Q276" s="387">
        <v>64.27</v>
      </c>
      <c r="R276" s="387"/>
      <c r="S276" s="2">
        <v>0</v>
      </c>
      <c r="T276" s="459">
        <f t="shared" si="61"/>
        <v>64.27</v>
      </c>
      <c r="U276" s="387"/>
      <c r="V276" s="411">
        <v>0</v>
      </c>
      <c r="W276" s="411">
        <v>0</v>
      </c>
      <c r="X276" s="436">
        <v>0</v>
      </c>
      <c r="Y276" s="411">
        <v>0</v>
      </c>
      <c r="Z276" s="436">
        <v>0</v>
      </c>
      <c r="AA276" s="437">
        <f t="shared" si="60"/>
        <v>0</v>
      </c>
      <c r="AB276" s="455">
        <f t="shared" si="59"/>
        <v>0</v>
      </c>
      <c r="AC276" s="456">
        <v>0</v>
      </c>
      <c r="AD276" s="480"/>
      <c r="AE276" s="480"/>
      <c r="AF276" s="481"/>
    </row>
    <row r="277" spans="2:32" hidden="1" x14ac:dyDescent="0.25">
      <c r="B277" s="387" t="s">
        <v>1655</v>
      </c>
      <c r="C277" s="387" t="s">
        <v>1368</v>
      </c>
      <c r="D277" s="387" t="s">
        <v>1224</v>
      </c>
      <c r="E277" s="387" t="s">
        <v>1395</v>
      </c>
      <c r="F277" s="387" t="s">
        <v>3201</v>
      </c>
      <c r="G277" s="387" t="s">
        <v>3315</v>
      </c>
      <c r="H277" s="387" t="s">
        <v>4109</v>
      </c>
      <c r="I277" s="387" t="s">
        <v>4171</v>
      </c>
      <c r="J277" s="387" t="s">
        <v>3808</v>
      </c>
      <c r="K277" s="387" t="s">
        <v>3634</v>
      </c>
      <c r="L277" s="387">
        <v>1</v>
      </c>
      <c r="M277" s="387">
        <v>0</v>
      </c>
      <c r="N277" s="387">
        <f t="shared" si="58"/>
        <v>1</v>
      </c>
      <c r="O277" s="387">
        <v>0</v>
      </c>
      <c r="P277" s="387" t="s">
        <v>1358</v>
      </c>
      <c r="Q277" s="387">
        <v>85.69</v>
      </c>
      <c r="R277" s="387"/>
      <c r="S277" s="2">
        <v>0</v>
      </c>
      <c r="T277" s="459">
        <f t="shared" si="61"/>
        <v>85.69</v>
      </c>
      <c r="U277" s="387"/>
      <c r="V277" s="411">
        <v>1</v>
      </c>
      <c r="W277" s="411">
        <v>1</v>
      </c>
      <c r="X277" s="436">
        <v>0</v>
      </c>
      <c r="Y277" s="411">
        <v>1</v>
      </c>
      <c r="Z277" s="436">
        <v>0</v>
      </c>
      <c r="AA277" s="437">
        <f t="shared" si="60"/>
        <v>1</v>
      </c>
      <c r="AB277" s="455">
        <f t="shared" si="59"/>
        <v>85.69</v>
      </c>
      <c r="AC277" s="456">
        <v>0</v>
      </c>
      <c r="AD277" s="2"/>
      <c r="AE277" s="4"/>
      <c r="AF277" s="5"/>
    </row>
    <row r="278" spans="2:32" hidden="1" x14ac:dyDescent="0.25">
      <c r="B278" s="387" t="s">
        <v>1656</v>
      </c>
      <c r="C278" s="387" t="s">
        <v>1368</v>
      </c>
      <c r="D278" s="387" t="s">
        <v>1224</v>
      </c>
      <c r="E278" s="387" t="s">
        <v>1395</v>
      </c>
      <c r="F278" s="387" t="s">
        <v>3201</v>
      </c>
      <c r="G278" s="387" t="s">
        <v>3315</v>
      </c>
      <c r="H278" s="387" t="s">
        <v>4109</v>
      </c>
      <c r="I278" s="387" t="s">
        <v>4171</v>
      </c>
      <c r="J278" s="387" t="s">
        <v>3808</v>
      </c>
      <c r="K278" s="387" t="s">
        <v>3635</v>
      </c>
      <c r="L278" s="387">
        <v>1</v>
      </c>
      <c r="M278" s="387">
        <v>0</v>
      </c>
      <c r="N278" s="387">
        <f t="shared" si="58"/>
        <v>1</v>
      </c>
      <c r="O278" s="387">
        <v>0</v>
      </c>
      <c r="P278" s="387" t="s">
        <v>1358</v>
      </c>
      <c r="Q278" s="387">
        <v>85.69</v>
      </c>
      <c r="R278" s="387"/>
      <c r="S278" s="2">
        <v>0</v>
      </c>
      <c r="T278" s="459">
        <f t="shared" si="61"/>
        <v>85.69</v>
      </c>
      <c r="U278" s="387"/>
      <c r="V278" s="411">
        <v>1</v>
      </c>
      <c r="W278" s="411">
        <v>1</v>
      </c>
      <c r="X278" s="436">
        <v>0</v>
      </c>
      <c r="Y278" s="411">
        <v>1</v>
      </c>
      <c r="Z278" s="436">
        <v>0</v>
      </c>
      <c r="AA278" s="437">
        <f t="shared" si="60"/>
        <v>1</v>
      </c>
      <c r="AB278" s="455">
        <f t="shared" si="59"/>
        <v>85.69</v>
      </c>
      <c r="AC278" s="456">
        <v>0</v>
      </c>
      <c r="AD278" s="2"/>
      <c r="AE278" s="4"/>
      <c r="AF278" s="5"/>
    </row>
    <row r="279" spans="2:32" hidden="1" x14ac:dyDescent="0.25">
      <c r="B279" s="387" t="s">
        <v>1657</v>
      </c>
      <c r="C279" s="387" t="s">
        <v>1368</v>
      </c>
      <c r="D279" s="387" t="s">
        <v>1224</v>
      </c>
      <c r="E279" s="387" t="s">
        <v>1395</v>
      </c>
      <c r="F279" s="387" t="s">
        <v>3201</v>
      </c>
      <c r="G279" s="387" t="s">
        <v>3315</v>
      </c>
      <c r="H279" s="387" t="s">
        <v>4109</v>
      </c>
      <c r="I279" s="387" t="s">
        <v>4171</v>
      </c>
      <c r="J279" s="387" t="s">
        <v>3808</v>
      </c>
      <c r="K279" s="387" t="s">
        <v>3636</v>
      </c>
      <c r="L279" s="387">
        <v>1</v>
      </c>
      <c r="M279" s="387">
        <v>0</v>
      </c>
      <c r="N279" s="387">
        <f t="shared" si="58"/>
        <v>1</v>
      </c>
      <c r="O279" s="387">
        <v>0</v>
      </c>
      <c r="P279" s="387" t="s">
        <v>1358</v>
      </c>
      <c r="Q279" s="387">
        <v>85.69</v>
      </c>
      <c r="R279" s="387"/>
      <c r="S279" s="2">
        <v>0</v>
      </c>
      <c r="T279" s="459">
        <f t="shared" si="61"/>
        <v>85.69</v>
      </c>
      <c r="U279" s="387"/>
      <c r="V279" s="411">
        <v>1</v>
      </c>
      <c r="W279" s="411">
        <v>1</v>
      </c>
      <c r="X279" s="436">
        <v>0</v>
      </c>
      <c r="Y279" s="411">
        <v>1</v>
      </c>
      <c r="Z279" s="436">
        <v>0</v>
      </c>
      <c r="AA279" s="437">
        <f t="shared" si="60"/>
        <v>1</v>
      </c>
      <c r="AB279" s="455">
        <f t="shared" si="59"/>
        <v>85.69</v>
      </c>
      <c r="AC279" s="456">
        <v>0</v>
      </c>
      <c r="AD279" s="2"/>
      <c r="AE279" s="4"/>
      <c r="AF279" s="5"/>
    </row>
    <row r="280" spans="2:32" hidden="1" x14ac:dyDescent="0.25">
      <c r="B280" s="387" t="s">
        <v>1658</v>
      </c>
      <c r="C280" s="387" t="s">
        <v>1368</v>
      </c>
      <c r="D280" s="387" t="s">
        <v>1224</v>
      </c>
      <c r="E280" s="387" t="s">
        <v>1397</v>
      </c>
      <c r="F280" s="387" t="s">
        <v>3201</v>
      </c>
      <c r="G280" s="387" t="s">
        <v>3316</v>
      </c>
      <c r="H280" s="387" t="s">
        <v>4109</v>
      </c>
      <c r="I280" s="387" t="s">
        <v>4172</v>
      </c>
      <c r="J280" s="387" t="s">
        <v>3809</v>
      </c>
      <c r="K280" s="387" t="s">
        <v>3637</v>
      </c>
      <c r="L280" s="387">
        <v>1</v>
      </c>
      <c r="M280" s="387">
        <v>0</v>
      </c>
      <c r="N280" s="387">
        <f t="shared" si="58"/>
        <v>1</v>
      </c>
      <c r="O280" s="387">
        <v>0</v>
      </c>
      <c r="P280" s="387" t="s">
        <v>1358</v>
      </c>
      <c r="Q280" s="387">
        <v>85.69</v>
      </c>
      <c r="R280" s="387"/>
      <c r="S280" s="2">
        <v>0</v>
      </c>
      <c r="T280" s="459">
        <f t="shared" si="61"/>
        <v>85.69</v>
      </c>
      <c r="U280" s="387"/>
      <c r="V280" s="411">
        <v>1</v>
      </c>
      <c r="W280" s="411">
        <v>1</v>
      </c>
      <c r="X280" s="436">
        <v>0</v>
      </c>
      <c r="Y280" s="411">
        <v>1</v>
      </c>
      <c r="Z280" s="436">
        <v>0</v>
      </c>
      <c r="AA280" s="437">
        <f t="shared" si="60"/>
        <v>1</v>
      </c>
      <c r="AB280" s="455">
        <f t="shared" si="59"/>
        <v>85.69</v>
      </c>
      <c r="AC280" s="456">
        <v>0</v>
      </c>
      <c r="AD280" s="480"/>
      <c r="AE280" s="480"/>
      <c r="AF280" s="481"/>
    </row>
    <row r="281" spans="2:32" hidden="1" x14ac:dyDescent="0.25">
      <c r="B281" s="387" t="s">
        <v>1659</v>
      </c>
      <c r="C281" s="387" t="s">
        <v>1368</v>
      </c>
      <c r="D281" s="387" t="s">
        <v>1224</v>
      </c>
      <c r="E281" s="387" t="s">
        <v>1397</v>
      </c>
      <c r="F281" s="387" t="s">
        <v>3201</v>
      </c>
      <c r="G281" s="387" t="s">
        <v>3316</v>
      </c>
      <c r="H281" s="387" t="s">
        <v>4109</v>
      </c>
      <c r="I281" s="387" t="s">
        <v>4172</v>
      </c>
      <c r="J281" s="387" t="s">
        <v>3809</v>
      </c>
      <c r="K281" s="387" t="s">
        <v>3638</v>
      </c>
      <c r="L281" s="387">
        <v>1</v>
      </c>
      <c r="M281" s="387">
        <v>0</v>
      </c>
      <c r="N281" s="387">
        <f t="shared" si="58"/>
        <v>1</v>
      </c>
      <c r="O281" s="387">
        <v>0</v>
      </c>
      <c r="P281" s="387" t="s">
        <v>1358</v>
      </c>
      <c r="Q281" s="387">
        <v>85.69</v>
      </c>
      <c r="R281" s="387"/>
      <c r="S281" s="2">
        <v>0</v>
      </c>
      <c r="T281" s="459">
        <f t="shared" si="61"/>
        <v>85.69</v>
      </c>
      <c r="U281" s="387"/>
      <c r="V281" s="411">
        <v>1</v>
      </c>
      <c r="W281" s="411">
        <v>1</v>
      </c>
      <c r="X281" s="436">
        <v>0</v>
      </c>
      <c r="Y281" s="411">
        <v>1</v>
      </c>
      <c r="Z281" s="436">
        <v>0</v>
      </c>
      <c r="AA281" s="437">
        <f t="shared" si="60"/>
        <v>1</v>
      </c>
      <c r="AB281" s="455">
        <f t="shared" si="59"/>
        <v>85.69</v>
      </c>
      <c r="AC281" s="456">
        <v>0</v>
      </c>
      <c r="AD281" s="480"/>
      <c r="AE281" s="480"/>
      <c r="AF281" s="481"/>
    </row>
    <row r="282" spans="2:32" hidden="1" x14ac:dyDescent="0.25">
      <c r="B282" s="387" t="s">
        <v>1660</v>
      </c>
      <c r="C282" s="387" t="s">
        <v>1368</v>
      </c>
      <c r="D282" s="387" t="s">
        <v>1224</v>
      </c>
      <c r="E282" s="387" t="s">
        <v>1397</v>
      </c>
      <c r="F282" s="387" t="s">
        <v>3201</v>
      </c>
      <c r="G282" s="387" t="s">
        <v>3316</v>
      </c>
      <c r="H282" s="387" t="s">
        <v>4109</v>
      </c>
      <c r="I282" s="387" t="s">
        <v>4172</v>
      </c>
      <c r="J282" s="387" t="s">
        <v>3809</v>
      </c>
      <c r="K282" s="387" t="s">
        <v>3639</v>
      </c>
      <c r="L282" s="387">
        <v>1</v>
      </c>
      <c r="M282" s="387">
        <v>0</v>
      </c>
      <c r="N282" s="387">
        <f t="shared" si="58"/>
        <v>1</v>
      </c>
      <c r="O282" s="387">
        <v>0</v>
      </c>
      <c r="P282" s="387" t="s">
        <v>1358</v>
      </c>
      <c r="Q282" s="387">
        <v>85.69</v>
      </c>
      <c r="R282" s="387"/>
      <c r="S282" s="2">
        <v>0</v>
      </c>
      <c r="T282" s="459">
        <f t="shared" si="61"/>
        <v>85.69</v>
      </c>
      <c r="U282" s="387"/>
      <c r="V282" s="411">
        <v>1</v>
      </c>
      <c r="W282" s="411">
        <v>1</v>
      </c>
      <c r="X282" s="436">
        <v>0</v>
      </c>
      <c r="Y282" s="411">
        <v>1</v>
      </c>
      <c r="Z282" s="436">
        <v>0</v>
      </c>
      <c r="AA282" s="437">
        <f t="shared" si="60"/>
        <v>1</v>
      </c>
      <c r="AB282" s="455">
        <f t="shared" si="59"/>
        <v>85.69</v>
      </c>
      <c r="AC282" s="456">
        <v>0</v>
      </c>
      <c r="AD282" s="480"/>
      <c r="AE282" s="480"/>
      <c r="AF282" s="481"/>
    </row>
    <row r="283" spans="2:32" hidden="1" x14ac:dyDescent="0.25">
      <c r="B283" s="387" t="s">
        <v>1661</v>
      </c>
      <c r="C283" s="387" t="s">
        <v>1368</v>
      </c>
      <c r="D283" s="387" t="s">
        <v>1224</v>
      </c>
      <c r="E283" s="387" t="s">
        <v>1398</v>
      </c>
      <c r="F283" s="387" t="s">
        <v>3201</v>
      </c>
      <c r="G283" s="387" t="s">
        <v>3317</v>
      </c>
      <c r="H283" s="387" t="s">
        <v>4109</v>
      </c>
      <c r="I283" s="387" t="s">
        <v>4173</v>
      </c>
      <c r="J283" s="387" t="s">
        <v>3810</v>
      </c>
      <c r="K283" s="387" t="s">
        <v>3640</v>
      </c>
      <c r="L283" s="387">
        <v>1</v>
      </c>
      <c r="M283" s="387">
        <v>0</v>
      </c>
      <c r="N283" s="387">
        <f t="shared" si="58"/>
        <v>1</v>
      </c>
      <c r="O283" s="387">
        <v>0</v>
      </c>
      <c r="P283" s="387" t="s">
        <v>1358</v>
      </c>
      <c r="Q283" s="387">
        <v>85.69</v>
      </c>
      <c r="R283" s="387"/>
      <c r="S283" s="2">
        <v>0</v>
      </c>
      <c r="T283" s="459">
        <f t="shared" si="61"/>
        <v>85.69</v>
      </c>
      <c r="U283" s="387"/>
      <c r="V283" s="411">
        <v>1</v>
      </c>
      <c r="W283" s="411">
        <v>1</v>
      </c>
      <c r="X283" s="436">
        <v>0</v>
      </c>
      <c r="Y283" s="411">
        <v>1</v>
      </c>
      <c r="Z283" s="436">
        <v>0</v>
      </c>
      <c r="AA283" s="437">
        <f t="shared" si="60"/>
        <v>1</v>
      </c>
      <c r="AB283" s="455">
        <f t="shared" si="59"/>
        <v>85.69</v>
      </c>
      <c r="AC283" s="456">
        <v>0</v>
      </c>
      <c r="AD283" s="480"/>
      <c r="AE283" s="480"/>
      <c r="AF283" s="481"/>
    </row>
    <row r="284" spans="2:32" hidden="1" x14ac:dyDescent="0.25">
      <c r="B284" s="387" t="s">
        <v>1662</v>
      </c>
      <c r="C284" s="387" t="s">
        <v>1368</v>
      </c>
      <c r="D284" s="387" t="s">
        <v>1224</v>
      </c>
      <c r="E284" s="387" t="s">
        <v>1398</v>
      </c>
      <c r="F284" s="387" t="s">
        <v>3201</v>
      </c>
      <c r="G284" s="387" t="s">
        <v>3317</v>
      </c>
      <c r="H284" s="387" t="s">
        <v>4109</v>
      </c>
      <c r="I284" s="387" t="s">
        <v>4173</v>
      </c>
      <c r="J284" s="387" t="s">
        <v>3810</v>
      </c>
      <c r="K284" s="387" t="s">
        <v>3641</v>
      </c>
      <c r="L284" s="387">
        <v>1</v>
      </c>
      <c r="M284" s="387">
        <v>0</v>
      </c>
      <c r="N284" s="387">
        <f t="shared" si="58"/>
        <v>1</v>
      </c>
      <c r="O284" s="387">
        <v>0</v>
      </c>
      <c r="P284" s="387" t="s">
        <v>1358</v>
      </c>
      <c r="Q284" s="387">
        <v>85.69</v>
      </c>
      <c r="R284" s="387"/>
      <c r="S284" s="2">
        <v>0</v>
      </c>
      <c r="T284" s="459">
        <f t="shared" si="61"/>
        <v>85.69</v>
      </c>
      <c r="U284" s="387"/>
      <c r="V284" s="411">
        <v>1</v>
      </c>
      <c r="W284" s="411">
        <v>1</v>
      </c>
      <c r="X284" s="436">
        <v>0</v>
      </c>
      <c r="Y284" s="411">
        <v>1</v>
      </c>
      <c r="Z284" s="436">
        <v>0</v>
      </c>
      <c r="AA284" s="437">
        <f t="shared" si="60"/>
        <v>1</v>
      </c>
      <c r="AB284" s="455">
        <f t="shared" si="59"/>
        <v>85.69</v>
      </c>
      <c r="AC284" s="456">
        <v>0</v>
      </c>
      <c r="AD284" s="480"/>
      <c r="AE284" s="480"/>
      <c r="AF284" s="481"/>
    </row>
    <row r="285" spans="2:32" hidden="1" x14ac:dyDescent="0.25">
      <c r="B285" s="387" t="s">
        <v>1663</v>
      </c>
      <c r="C285" s="387" t="s">
        <v>1368</v>
      </c>
      <c r="D285" s="387" t="s">
        <v>1224</v>
      </c>
      <c r="E285" s="387" t="s">
        <v>1398</v>
      </c>
      <c r="F285" s="387" t="s">
        <v>3201</v>
      </c>
      <c r="G285" s="387" t="s">
        <v>3317</v>
      </c>
      <c r="H285" s="387" t="s">
        <v>4109</v>
      </c>
      <c r="I285" s="387" t="s">
        <v>4173</v>
      </c>
      <c r="J285" s="387" t="s">
        <v>3810</v>
      </c>
      <c r="K285" s="387" t="s">
        <v>3642</v>
      </c>
      <c r="L285" s="387">
        <v>1</v>
      </c>
      <c r="M285" s="387">
        <v>0</v>
      </c>
      <c r="N285" s="387">
        <f t="shared" si="58"/>
        <v>1</v>
      </c>
      <c r="O285" s="387">
        <v>0</v>
      </c>
      <c r="P285" s="387" t="s">
        <v>1358</v>
      </c>
      <c r="Q285" s="387">
        <v>85.69</v>
      </c>
      <c r="R285" s="387"/>
      <c r="S285" s="2">
        <v>0</v>
      </c>
      <c r="T285" s="459">
        <f t="shared" si="61"/>
        <v>85.69</v>
      </c>
      <c r="U285" s="387"/>
      <c r="V285" s="411">
        <v>1</v>
      </c>
      <c r="W285" s="411">
        <v>1</v>
      </c>
      <c r="X285" s="436">
        <v>0</v>
      </c>
      <c r="Y285" s="411">
        <v>1</v>
      </c>
      <c r="Z285" s="436">
        <v>0</v>
      </c>
      <c r="AA285" s="437">
        <f t="shared" si="60"/>
        <v>1</v>
      </c>
      <c r="AB285" s="455">
        <f t="shared" si="59"/>
        <v>85.69</v>
      </c>
      <c r="AC285" s="456">
        <v>0</v>
      </c>
      <c r="AD285" s="480"/>
      <c r="AE285" s="480"/>
      <c r="AF285" s="481"/>
    </row>
    <row r="286" spans="2:32" hidden="1" x14ac:dyDescent="0.25">
      <c r="B286" s="387" t="s">
        <v>1664</v>
      </c>
      <c r="C286" s="387" t="s">
        <v>1368</v>
      </c>
      <c r="D286" s="387" t="s">
        <v>1224</v>
      </c>
      <c r="E286" s="387" t="s">
        <v>1374</v>
      </c>
      <c r="F286" s="387" t="s">
        <v>3201</v>
      </c>
      <c r="G286" s="387" t="s">
        <v>3746</v>
      </c>
      <c r="H286" s="387" t="s">
        <v>4109</v>
      </c>
      <c r="I286" s="387" t="s">
        <v>4174</v>
      </c>
      <c r="J286" s="387" t="s">
        <v>3799</v>
      </c>
      <c r="K286" s="387" t="s">
        <v>3643</v>
      </c>
      <c r="L286" s="387">
        <v>1</v>
      </c>
      <c r="M286" s="387">
        <v>0</v>
      </c>
      <c r="N286" s="387">
        <f t="shared" si="58"/>
        <v>1</v>
      </c>
      <c r="O286" s="387">
        <v>0</v>
      </c>
      <c r="P286" s="387" t="s">
        <v>1358</v>
      </c>
      <c r="Q286" s="387">
        <v>85.69</v>
      </c>
      <c r="R286" s="387"/>
      <c r="S286" s="2">
        <v>0</v>
      </c>
      <c r="T286" s="459">
        <f t="shared" si="61"/>
        <v>85.69</v>
      </c>
      <c r="U286" s="387"/>
      <c r="V286" s="411">
        <v>1</v>
      </c>
      <c r="W286" s="411">
        <v>1</v>
      </c>
      <c r="X286" s="436">
        <v>0</v>
      </c>
      <c r="Y286" s="411">
        <v>1</v>
      </c>
      <c r="Z286" s="436">
        <v>0</v>
      </c>
      <c r="AA286" s="437">
        <f t="shared" si="60"/>
        <v>1</v>
      </c>
      <c r="AB286" s="455">
        <f t="shared" si="59"/>
        <v>85.69</v>
      </c>
      <c r="AC286" s="456">
        <v>0</v>
      </c>
      <c r="AD286" s="480"/>
      <c r="AE286" s="480"/>
      <c r="AF286" s="481"/>
    </row>
    <row r="287" spans="2:32" hidden="1" x14ac:dyDescent="0.25">
      <c r="B287" s="387" t="s">
        <v>1665</v>
      </c>
      <c r="C287" s="387" t="s">
        <v>1368</v>
      </c>
      <c r="D287" s="387" t="s">
        <v>1224</v>
      </c>
      <c r="E287" s="387" t="s">
        <v>1374</v>
      </c>
      <c r="F287" s="387" t="s">
        <v>3201</v>
      </c>
      <c r="G287" s="387" t="s">
        <v>3746</v>
      </c>
      <c r="H287" s="387" t="s">
        <v>4109</v>
      </c>
      <c r="I287" s="387" t="s">
        <v>4174</v>
      </c>
      <c r="J287" s="387" t="s">
        <v>3799</v>
      </c>
      <c r="K287" s="387" t="s">
        <v>3644</v>
      </c>
      <c r="L287" s="387">
        <v>1</v>
      </c>
      <c r="M287" s="387">
        <v>0</v>
      </c>
      <c r="N287" s="387">
        <f t="shared" si="58"/>
        <v>1</v>
      </c>
      <c r="O287" s="387">
        <v>0</v>
      </c>
      <c r="P287" s="387" t="s">
        <v>1358</v>
      </c>
      <c r="Q287" s="387">
        <v>85.69</v>
      </c>
      <c r="R287" s="387"/>
      <c r="S287" s="2">
        <v>0</v>
      </c>
      <c r="T287" s="459">
        <f t="shared" si="61"/>
        <v>85.69</v>
      </c>
      <c r="U287" s="387"/>
      <c r="V287" s="411">
        <v>1</v>
      </c>
      <c r="W287" s="411">
        <v>1</v>
      </c>
      <c r="X287" s="436">
        <v>0</v>
      </c>
      <c r="Y287" s="411">
        <v>1</v>
      </c>
      <c r="Z287" s="436">
        <v>0</v>
      </c>
      <c r="AA287" s="437">
        <f t="shared" si="60"/>
        <v>1</v>
      </c>
      <c r="AB287" s="455">
        <f t="shared" si="59"/>
        <v>85.69</v>
      </c>
      <c r="AC287" s="456">
        <v>0</v>
      </c>
      <c r="AD287" s="480"/>
      <c r="AE287" s="480"/>
      <c r="AF287" s="481"/>
    </row>
    <row r="288" spans="2:32" hidden="1" x14ac:dyDescent="0.25">
      <c r="B288" s="387" t="s">
        <v>1666</v>
      </c>
      <c r="C288" s="387" t="s">
        <v>1368</v>
      </c>
      <c r="D288" s="387" t="s">
        <v>1224</v>
      </c>
      <c r="E288" s="387" t="s">
        <v>1374</v>
      </c>
      <c r="F288" s="387" t="s">
        <v>3201</v>
      </c>
      <c r="G288" s="387" t="s">
        <v>3746</v>
      </c>
      <c r="H288" s="387" t="s">
        <v>4109</v>
      </c>
      <c r="I288" s="387" t="s">
        <v>4174</v>
      </c>
      <c r="J288" s="387" t="s">
        <v>3799</v>
      </c>
      <c r="K288" s="387" t="s">
        <v>3645</v>
      </c>
      <c r="L288" s="387">
        <v>1</v>
      </c>
      <c r="M288" s="387">
        <v>0</v>
      </c>
      <c r="N288" s="387">
        <f t="shared" si="58"/>
        <v>1</v>
      </c>
      <c r="O288" s="387">
        <v>0</v>
      </c>
      <c r="P288" s="387" t="s">
        <v>1358</v>
      </c>
      <c r="Q288" s="387">
        <v>85.69</v>
      </c>
      <c r="R288" s="387"/>
      <c r="S288" s="2">
        <v>0</v>
      </c>
      <c r="T288" s="459">
        <f t="shared" si="61"/>
        <v>85.69</v>
      </c>
      <c r="U288" s="387"/>
      <c r="V288" s="411">
        <v>1</v>
      </c>
      <c r="W288" s="411">
        <v>1</v>
      </c>
      <c r="X288" s="436">
        <v>0</v>
      </c>
      <c r="Y288" s="411">
        <v>1</v>
      </c>
      <c r="Z288" s="436">
        <v>0</v>
      </c>
      <c r="AA288" s="437">
        <f t="shared" si="60"/>
        <v>1</v>
      </c>
      <c r="AB288" s="455">
        <f t="shared" si="59"/>
        <v>85.69</v>
      </c>
      <c r="AC288" s="456">
        <v>0</v>
      </c>
      <c r="AD288" s="480"/>
      <c r="AE288" s="480"/>
      <c r="AF288" s="481"/>
    </row>
    <row r="289" spans="2:32" hidden="1" x14ac:dyDescent="0.25">
      <c r="B289" s="387" t="s">
        <v>1667</v>
      </c>
      <c r="C289" s="387" t="s">
        <v>1368</v>
      </c>
      <c r="D289" s="387" t="s">
        <v>1224</v>
      </c>
      <c r="E289" s="387" t="s">
        <v>1377</v>
      </c>
      <c r="F289" s="387" t="s">
        <v>3201</v>
      </c>
      <c r="G289" s="387" t="s">
        <v>3307</v>
      </c>
      <c r="H289" s="387" t="s">
        <v>4109</v>
      </c>
      <c r="I289" s="387" t="s">
        <v>4175</v>
      </c>
      <c r="J289" s="387" t="s">
        <v>3800</v>
      </c>
      <c r="K289" s="387" t="s">
        <v>3646</v>
      </c>
      <c r="L289" s="387">
        <v>1</v>
      </c>
      <c r="M289" s="387">
        <v>0</v>
      </c>
      <c r="N289" s="387">
        <f t="shared" si="58"/>
        <v>1</v>
      </c>
      <c r="O289" s="387">
        <v>0</v>
      </c>
      <c r="P289" s="387" t="s">
        <v>1358</v>
      </c>
      <c r="Q289" s="387">
        <v>200</v>
      </c>
      <c r="R289" s="387"/>
      <c r="S289" s="2">
        <v>0</v>
      </c>
      <c r="T289" s="459">
        <f t="shared" si="61"/>
        <v>200</v>
      </c>
      <c r="U289" s="387"/>
      <c r="V289" s="411">
        <v>1</v>
      </c>
      <c r="W289" s="411">
        <v>1</v>
      </c>
      <c r="X289" s="436">
        <v>0</v>
      </c>
      <c r="Y289" s="411">
        <v>1</v>
      </c>
      <c r="Z289" s="436">
        <v>0</v>
      </c>
      <c r="AA289" s="437">
        <f t="shared" si="60"/>
        <v>1</v>
      </c>
      <c r="AB289" s="455">
        <f t="shared" si="59"/>
        <v>200</v>
      </c>
      <c r="AC289" s="456">
        <v>0</v>
      </c>
      <c r="AD289" s="480"/>
      <c r="AE289" s="480"/>
      <c r="AF289" s="481"/>
    </row>
    <row r="290" spans="2:32" hidden="1" x14ac:dyDescent="0.25">
      <c r="B290" s="387" t="s">
        <v>1668</v>
      </c>
      <c r="C290" s="387" t="s">
        <v>1368</v>
      </c>
      <c r="D290" s="387" t="s">
        <v>1224</v>
      </c>
      <c r="E290" s="387" t="s">
        <v>1377</v>
      </c>
      <c r="F290" s="387" t="s">
        <v>3201</v>
      </c>
      <c r="G290" s="387" t="s">
        <v>3307</v>
      </c>
      <c r="H290" s="387" t="s">
        <v>4109</v>
      </c>
      <c r="I290" s="387" t="s">
        <v>4175</v>
      </c>
      <c r="J290" s="387" t="s">
        <v>3800</v>
      </c>
      <c r="K290" s="387" t="s">
        <v>3647</v>
      </c>
      <c r="L290" s="387">
        <v>1</v>
      </c>
      <c r="M290" s="387">
        <v>0</v>
      </c>
      <c r="N290" s="387">
        <f t="shared" si="58"/>
        <v>1</v>
      </c>
      <c r="O290" s="387">
        <v>0</v>
      </c>
      <c r="P290" s="387" t="s">
        <v>1358</v>
      </c>
      <c r="Q290" s="387">
        <v>200</v>
      </c>
      <c r="R290" s="387"/>
      <c r="S290" s="2">
        <v>0</v>
      </c>
      <c r="T290" s="459">
        <f t="shared" si="61"/>
        <v>200</v>
      </c>
      <c r="U290" s="387"/>
      <c r="V290" s="411">
        <v>1</v>
      </c>
      <c r="W290" s="411">
        <v>1</v>
      </c>
      <c r="X290" s="436">
        <v>0</v>
      </c>
      <c r="Y290" s="411">
        <v>1</v>
      </c>
      <c r="Z290" s="436">
        <v>0</v>
      </c>
      <c r="AA290" s="437">
        <f t="shared" si="60"/>
        <v>1</v>
      </c>
      <c r="AB290" s="455">
        <f t="shared" si="59"/>
        <v>200</v>
      </c>
      <c r="AC290" s="456">
        <v>0</v>
      </c>
      <c r="AD290" s="480"/>
      <c r="AE290" s="480"/>
      <c r="AF290" s="481"/>
    </row>
    <row r="291" spans="2:32" hidden="1" x14ac:dyDescent="0.25">
      <c r="B291" s="387" t="s">
        <v>1669</v>
      </c>
      <c r="C291" s="387" t="s">
        <v>1368</v>
      </c>
      <c r="D291" s="387" t="s">
        <v>1224</v>
      </c>
      <c r="E291" s="387" t="s">
        <v>1377</v>
      </c>
      <c r="F291" s="387" t="s">
        <v>3201</v>
      </c>
      <c r="G291" s="387" t="s">
        <v>3307</v>
      </c>
      <c r="H291" s="387" t="s">
        <v>4109</v>
      </c>
      <c r="I291" s="387" t="s">
        <v>4175</v>
      </c>
      <c r="J291" s="387" t="s">
        <v>3800</v>
      </c>
      <c r="K291" s="387" t="s">
        <v>3648</v>
      </c>
      <c r="L291" s="387">
        <v>1</v>
      </c>
      <c r="M291" s="387">
        <v>0</v>
      </c>
      <c r="N291" s="387">
        <f t="shared" si="58"/>
        <v>1</v>
      </c>
      <c r="O291" s="387">
        <v>0</v>
      </c>
      <c r="P291" s="387" t="s">
        <v>1358</v>
      </c>
      <c r="Q291" s="387">
        <v>200</v>
      </c>
      <c r="R291" s="387"/>
      <c r="S291" s="2">
        <v>0</v>
      </c>
      <c r="T291" s="459">
        <f t="shared" si="61"/>
        <v>200</v>
      </c>
      <c r="U291" s="387"/>
      <c r="V291" s="411">
        <v>1</v>
      </c>
      <c r="W291" s="411">
        <v>1</v>
      </c>
      <c r="X291" s="436">
        <v>0</v>
      </c>
      <c r="Y291" s="411">
        <v>1</v>
      </c>
      <c r="Z291" s="436">
        <v>0</v>
      </c>
      <c r="AA291" s="437">
        <f t="shared" si="60"/>
        <v>1</v>
      </c>
      <c r="AB291" s="455">
        <f t="shared" si="59"/>
        <v>200</v>
      </c>
      <c r="AC291" s="456">
        <v>0</v>
      </c>
      <c r="AD291" s="480"/>
      <c r="AE291" s="480"/>
      <c r="AF291" s="481"/>
    </row>
    <row r="292" spans="2:32" hidden="1" x14ac:dyDescent="0.25">
      <c r="B292" s="387" t="s">
        <v>1670</v>
      </c>
      <c r="C292" s="387" t="s">
        <v>1368</v>
      </c>
      <c r="D292" s="387" t="s">
        <v>1224</v>
      </c>
      <c r="E292" s="387" t="s">
        <v>1379</v>
      </c>
      <c r="F292" s="387" t="s">
        <v>3201</v>
      </c>
      <c r="G292" s="387" t="s">
        <v>3308</v>
      </c>
      <c r="H292" s="387" t="s">
        <v>4109</v>
      </c>
      <c r="I292" s="387" t="s">
        <v>4176</v>
      </c>
      <c r="J292" s="387" t="s">
        <v>3801</v>
      </c>
      <c r="K292" s="387" t="s">
        <v>3649</v>
      </c>
      <c r="L292" s="387">
        <v>1</v>
      </c>
      <c r="M292" s="387">
        <v>0</v>
      </c>
      <c r="N292" s="387">
        <f t="shared" si="58"/>
        <v>1</v>
      </c>
      <c r="O292" s="387">
        <v>0</v>
      </c>
      <c r="P292" s="387" t="s">
        <v>1358</v>
      </c>
      <c r="Q292" s="387">
        <v>200</v>
      </c>
      <c r="R292" s="387"/>
      <c r="S292" s="2">
        <v>0</v>
      </c>
      <c r="T292" s="459">
        <f t="shared" si="61"/>
        <v>200</v>
      </c>
      <c r="U292" s="387"/>
      <c r="V292" s="411">
        <v>1</v>
      </c>
      <c r="W292" s="411">
        <v>1</v>
      </c>
      <c r="X292" s="436">
        <v>0</v>
      </c>
      <c r="Y292" s="411">
        <v>1</v>
      </c>
      <c r="Z292" s="436">
        <v>0</v>
      </c>
      <c r="AA292" s="437">
        <f t="shared" si="60"/>
        <v>1</v>
      </c>
      <c r="AB292" s="455">
        <f t="shared" si="59"/>
        <v>200</v>
      </c>
      <c r="AC292" s="456">
        <v>0</v>
      </c>
      <c r="AD292" s="480"/>
      <c r="AE292" s="480"/>
      <c r="AF292" s="481"/>
    </row>
    <row r="293" spans="2:32" hidden="1" x14ac:dyDescent="0.25">
      <c r="B293" s="387" t="s">
        <v>1671</v>
      </c>
      <c r="C293" s="387" t="s">
        <v>1368</v>
      </c>
      <c r="D293" s="387" t="s">
        <v>1224</v>
      </c>
      <c r="E293" s="387" t="s">
        <v>1379</v>
      </c>
      <c r="F293" s="387" t="s">
        <v>3201</v>
      </c>
      <c r="G293" s="387" t="s">
        <v>3308</v>
      </c>
      <c r="H293" s="387" t="s">
        <v>4109</v>
      </c>
      <c r="I293" s="387" t="s">
        <v>4176</v>
      </c>
      <c r="J293" s="387" t="s">
        <v>3801</v>
      </c>
      <c r="K293" s="387" t="s">
        <v>3650</v>
      </c>
      <c r="L293" s="387">
        <v>1</v>
      </c>
      <c r="M293" s="387">
        <v>0</v>
      </c>
      <c r="N293" s="387">
        <f t="shared" si="58"/>
        <v>1</v>
      </c>
      <c r="O293" s="387">
        <v>0</v>
      </c>
      <c r="P293" s="387" t="s">
        <v>1358</v>
      </c>
      <c r="Q293" s="387">
        <v>200</v>
      </c>
      <c r="R293" s="387"/>
      <c r="S293" s="2">
        <v>0</v>
      </c>
      <c r="T293" s="459">
        <f t="shared" si="61"/>
        <v>200</v>
      </c>
      <c r="U293" s="387"/>
      <c r="V293" s="411">
        <v>1</v>
      </c>
      <c r="W293" s="411">
        <v>1</v>
      </c>
      <c r="X293" s="436">
        <v>0</v>
      </c>
      <c r="Y293" s="411">
        <v>1</v>
      </c>
      <c r="Z293" s="436">
        <v>0</v>
      </c>
      <c r="AA293" s="437">
        <f t="shared" si="60"/>
        <v>1</v>
      </c>
      <c r="AB293" s="455">
        <f t="shared" si="59"/>
        <v>200</v>
      </c>
      <c r="AC293" s="456">
        <v>0</v>
      </c>
      <c r="AD293" s="480"/>
      <c r="AE293" s="480"/>
      <c r="AF293" s="481"/>
    </row>
    <row r="294" spans="2:32" hidden="1" x14ac:dyDescent="0.25">
      <c r="B294" s="387" t="s">
        <v>1672</v>
      </c>
      <c r="C294" s="387" t="s">
        <v>1368</v>
      </c>
      <c r="D294" s="387" t="s">
        <v>1224</v>
      </c>
      <c r="E294" s="387" t="s">
        <v>1379</v>
      </c>
      <c r="F294" s="387" t="s">
        <v>3201</v>
      </c>
      <c r="G294" s="387" t="s">
        <v>3308</v>
      </c>
      <c r="H294" s="387" t="s">
        <v>4109</v>
      </c>
      <c r="I294" s="387" t="s">
        <v>4176</v>
      </c>
      <c r="J294" s="387" t="s">
        <v>3801</v>
      </c>
      <c r="K294" s="387" t="s">
        <v>3651</v>
      </c>
      <c r="L294" s="387">
        <v>1</v>
      </c>
      <c r="M294" s="387">
        <v>0</v>
      </c>
      <c r="N294" s="387">
        <f t="shared" si="58"/>
        <v>1</v>
      </c>
      <c r="O294" s="387">
        <v>0</v>
      </c>
      <c r="P294" s="387" t="s">
        <v>1358</v>
      </c>
      <c r="Q294" s="387">
        <v>200</v>
      </c>
      <c r="R294" s="387"/>
      <c r="S294" s="2">
        <v>0</v>
      </c>
      <c r="T294" s="459">
        <f t="shared" si="61"/>
        <v>200</v>
      </c>
      <c r="U294" s="387"/>
      <c r="V294" s="411">
        <v>1</v>
      </c>
      <c r="W294" s="411">
        <v>1</v>
      </c>
      <c r="X294" s="436">
        <v>0</v>
      </c>
      <c r="Y294" s="411">
        <v>1</v>
      </c>
      <c r="Z294" s="436">
        <v>0</v>
      </c>
      <c r="AA294" s="437">
        <f t="shared" si="60"/>
        <v>1</v>
      </c>
      <c r="AB294" s="455">
        <f t="shared" si="59"/>
        <v>200</v>
      </c>
      <c r="AC294" s="456">
        <v>0</v>
      </c>
      <c r="AD294" s="480"/>
      <c r="AE294" s="480"/>
      <c r="AF294" s="481"/>
    </row>
    <row r="295" spans="2:32" hidden="1" x14ac:dyDescent="0.25">
      <c r="B295" s="387" t="s">
        <v>1673</v>
      </c>
      <c r="C295" s="387" t="s">
        <v>1368</v>
      </c>
      <c r="D295" s="387" t="s">
        <v>1224</v>
      </c>
      <c r="E295" s="387" t="s">
        <v>1381</v>
      </c>
      <c r="F295" s="387" t="s">
        <v>3201</v>
      </c>
      <c r="G295" s="387" t="s">
        <v>3309</v>
      </c>
      <c r="H295" s="387" t="s">
        <v>4109</v>
      </c>
      <c r="I295" s="387" t="s">
        <v>4177</v>
      </c>
      <c r="J295" s="387" t="s">
        <v>3802</v>
      </c>
      <c r="K295" s="387" t="s">
        <v>3652</v>
      </c>
      <c r="L295" s="387">
        <v>1</v>
      </c>
      <c r="M295" s="387">
        <v>0</v>
      </c>
      <c r="N295" s="387">
        <f t="shared" si="58"/>
        <v>1</v>
      </c>
      <c r="O295" s="387">
        <v>0</v>
      </c>
      <c r="P295" s="387" t="s">
        <v>1358</v>
      </c>
      <c r="Q295" s="387">
        <v>200</v>
      </c>
      <c r="R295" s="387"/>
      <c r="S295" s="2">
        <v>0</v>
      </c>
      <c r="T295" s="459">
        <f t="shared" si="61"/>
        <v>200</v>
      </c>
      <c r="U295" s="387"/>
      <c r="V295" s="411">
        <v>1</v>
      </c>
      <c r="W295" s="411">
        <v>1</v>
      </c>
      <c r="X295" s="436">
        <v>0</v>
      </c>
      <c r="Y295" s="411">
        <v>1</v>
      </c>
      <c r="Z295" s="436">
        <v>0</v>
      </c>
      <c r="AA295" s="437">
        <f t="shared" si="60"/>
        <v>1</v>
      </c>
      <c r="AB295" s="455">
        <f t="shared" si="59"/>
        <v>200</v>
      </c>
      <c r="AC295" s="456">
        <v>0</v>
      </c>
      <c r="AD295" s="480"/>
      <c r="AE295" s="480"/>
      <c r="AF295" s="481"/>
    </row>
    <row r="296" spans="2:32" hidden="1" x14ac:dyDescent="0.25">
      <c r="B296" s="387" t="s">
        <v>1674</v>
      </c>
      <c r="C296" s="387" t="s">
        <v>1368</v>
      </c>
      <c r="D296" s="387" t="s">
        <v>1224</v>
      </c>
      <c r="E296" s="387" t="s">
        <v>1381</v>
      </c>
      <c r="F296" s="387" t="s">
        <v>3201</v>
      </c>
      <c r="G296" s="387" t="s">
        <v>3309</v>
      </c>
      <c r="H296" s="387" t="s">
        <v>4109</v>
      </c>
      <c r="I296" s="387" t="s">
        <v>4177</v>
      </c>
      <c r="J296" s="387" t="s">
        <v>3802</v>
      </c>
      <c r="K296" s="387" t="s">
        <v>3653</v>
      </c>
      <c r="L296" s="387">
        <v>1</v>
      </c>
      <c r="M296" s="387">
        <v>0</v>
      </c>
      <c r="N296" s="387">
        <f t="shared" si="58"/>
        <v>1</v>
      </c>
      <c r="O296" s="387">
        <v>0</v>
      </c>
      <c r="P296" s="387" t="s">
        <v>1358</v>
      </c>
      <c r="Q296" s="387">
        <v>200</v>
      </c>
      <c r="R296" s="387"/>
      <c r="S296" s="2">
        <v>0</v>
      </c>
      <c r="T296" s="459">
        <f t="shared" si="61"/>
        <v>200</v>
      </c>
      <c r="U296" s="387"/>
      <c r="V296" s="411">
        <v>1</v>
      </c>
      <c r="W296" s="411">
        <v>1</v>
      </c>
      <c r="X296" s="436">
        <v>0</v>
      </c>
      <c r="Y296" s="411">
        <v>1</v>
      </c>
      <c r="Z296" s="436">
        <v>0</v>
      </c>
      <c r="AA296" s="437">
        <f t="shared" si="60"/>
        <v>1</v>
      </c>
      <c r="AB296" s="455">
        <f t="shared" si="59"/>
        <v>200</v>
      </c>
      <c r="AC296" s="456">
        <v>0</v>
      </c>
      <c r="AD296" s="480"/>
      <c r="AE296" s="480"/>
      <c r="AF296" s="481"/>
    </row>
    <row r="297" spans="2:32" hidden="1" x14ac:dyDescent="0.25">
      <c r="B297" s="387" t="s">
        <v>1675</v>
      </c>
      <c r="C297" s="387" t="s">
        <v>1368</v>
      </c>
      <c r="D297" s="387" t="s">
        <v>1224</v>
      </c>
      <c r="E297" s="387" t="s">
        <v>1381</v>
      </c>
      <c r="F297" s="387" t="s">
        <v>3201</v>
      </c>
      <c r="G297" s="387" t="s">
        <v>3309</v>
      </c>
      <c r="H297" s="387" t="s">
        <v>4109</v>
      </c>
      <c r="I297" s="387" t="s">
        <v>4177</v>
      </c>
      <c r="J297" s="387" t="s">
        <v>3802</v>
      </c>
      <c r="K297" s="387" t="s">
        <v>3654</v>
      </c>
      <c r="L297" s="387">
        <v>1</v>
      </c>
      <c r="M297" s="387">
        <v>0</v>
      </c>
      <c r="N297" s="387">
        <f t="shared" si="58"/>
        <v>1</v>
      </c>
      <c r="O297" s="387">
        <v>0</v>
      </c>
      <c r="P297" s="387" t="s">
        <v>1358</v>
      </c>
      <c r="Q297" s="387">
        <v>200</v>
      </c>
      <c r="R297" s="387"/>
      <c r="S297" s="2">
        <v>0</v>
      </c>
      <c r="T297" s="459">
        <f t="shared" si="61"/>
        <v>200</v>
      </c>
      <c r="U297" s="387"/>
      <c r="V297" s="411">
        <v>1</v>
      </c>
      <c r="W297" s="411">
        <v>1</v>
      </c>
      <c r="X297" s="436">
        <v>0</v>
      </c>
      <c r="Y297" s="411">
        <v>1</v>
      </c>
      <c r="Z297" s="436">
        <v>0</v>
      </c>
      <c r="AA297" s="437">
        <f t="shared" si="60"/>
        <v>1</v>
      </c>
      <c r="AB297" s="455">
        <f t="shared" si="59"/>
        <v>200</v>
      </c>
      <c r="AC297" s="456">
        <v>0</v>
      </c>
      <c r="AD297" s="480"/>
      <c r="AE297" s="480"/>
      <c r="AF297" s="481"/>
    </row>
    <row r="298" spans="2:32" hidden="1" x14ac:dyDescent="0.25">
      <c r="B298" s="387" t="s">
        <v>1676</v>
      </c>
      <c r="C298" s="387" t="s">
        <v>1368</v>
      </c>
      <c r="D298" s="387" t="s">
        <v>1224</v>
      </c>
      <c r="E298" s="387" t="s">
        <v>1399</v>
      </c>
      <c r="F298" s="387" t="s">
        <v>3201</v>
      </c>
      <c r="G298" s="387" t="s">
        <v>3311</v>
      </c>
      <c r="H298" s="387" t="s">
        <v>4109</v>
      </c>
      <c r="I298" s="387" t="s">
        <v>4178</v>
      </c>
      <c r="J298" s="387" t="s">
        <v>3804</v>
      </c>
      <c r="K298" s="387" t="s">
        <v>3655</v>
      </c>
      <c r="L298" s="387">
        <v>1</v>
      </c>
      <c r="M298" s="387">
        <v>0</v>
      </c>
      <c r="N298" s="387">
        <f t="shared" si="58"/>
        <v>1</v>
      </c>
      <c r="O298" s="387">
        <v>0</v>
      </c>
      <c r="P298" s="387" t="s">
        <v>1358</v>
      </c>
      <c r="Q298" s="387">
        <v>85.69</v>
      </c>
      <c r="R298" s="387"/>
      <c r="S298" s="2">
        <v>0</v>
      </c>
      <c r="T298" s="459">
        <f t="shared" si="61"/>
        <v>85.69</v>
      </c>
      <c r="U298" s="387"/>
      <c r="V298" s="411">
        <v>1</v>
      </c>
      <c r="W298" s="411">
        <v>1</v>
      </c>
      <c r="X298" s="436">
        <v>0</v>
      </c>
      <c r="Y298" s="411">
        <v>1</v>
      </c>
      <c r="Z298" s="436">
        <v>0</v>
      </c>
      <c r="AA298" s="437">
        <f t="shared" si="60"/>
        <v>1</v>
      </c>
      <c r="AB298" s="455">
        <f t="shared" si="59"/>
        <v>85.69</v>
      </c>
      <c r="AC298" s="456">
        <v>0</v>
      </c>
      <c r="AD298" s="480"/>
      <c r="AE298" s="480"/>
      <c r="AF298" s="481"/>
    </row>
    <row r="299" spans="2:32" hidden="1" x14ac:dyDescent="0.25">
      <c r="B299" s="387" t="s">
        <v>1677</v>
      </c>
      <c r="C299" s="387" t="s">
        <v>1368</v>
      </c>
      <c r="D299" s="387" t="s">
        <v>1224</v>
      </c>
      <c r="E299" s="387" t="s">
        <v>1399</v>
      </c>
      <c r="F299" s="387" t="s">
        <v>3201</v>
      </c>
      <c r="G299" s="387" t="s">
        <v>3311</v>
      </c>
      <c r="H299" s="387" t="s">
        <v>4109</v>
      </c>
      <c r="I299" s="387" t="s">
        <v>4178</v>
      </c>
      <c r="J299" s="387" t="s">
        <v>3804</v>
      </c>
      <c r="K299" s="387" t="s">
        <v>3656</v>
      </c>
      <c r="L299" s="387">
        <v>1</v>
      </c>
      <c r="M299" s="387">
        <v>0</v>
      </c>
      <c r="N299" s="387">
        <f t="shared" si="58"/>
        <v>1</v>
      </c>
      <c r="O299" s="387">
        <v>0</v>
      </c>
      <c r="P299" s="387" t="s">
        <v>1358</v>
      </c>
      <c r="Q299" s="387">
        <v>85.69</v>
      </c>
      <c r="R299" s="387"/>
      <c r="S299" s="2">
        <v>0</v>
      </c>
      <c r="T299" s="459">
        <f t="shared" si="61"/>
        <v>85.69</v>
      </c>
      <c r="U299" s="387"/>
      <c r="V299" s="411">
        <v>1</v>
      </c>
      <c r="W299" s="411">
        <v>1</v>
      </c>
      <c r="X299" s="436">
        <v>0</v>
      </c>
      <c r="Y299" s="411">
        <v>1</v>
      </c>
      <c r="Z299" s="436">
        <v>0</v>
      </c>
      <c r="AA299" s="437">
        <f t="shared" si="60"/>
        <v>1</v>
      </c>
      <c r="AB299" s="455">
        <f t="shared" si="59"/>
        <v>85.69</v>
      </c>
      <c r="AC299" s="456">
        <v>0</v>
      </c>
      <c r="AD299" s="480"/>
      <c r="AE299" s="480"/>
      <c r="AF299" s="481"/>
    </row>
    <row r="300" spans="2:32" hidden="1" x14ac:dyDescent="0.25">
      <c r="B300" s="387" t="s">
        <v>1678</v>
      </c>
      <c r="C300" s="387" t="s">
        <v>1368</v>
      </c>
      <c r="D300" s="387" t="s">
        <v>1224</v>
      </c>
      <c r="E300" s="387" t="s">
        <v>1399</v>
      </c>
      <c r="F300" s="387" t="s">
        <v>3201</v>
      </c>
      <c r="G300" s="387" t="s">
        <v>3311</v>
      </c>
      <c r="H300" s="387" t="s">
        <v>4109</v>
      </c>
      <c r="I300" s="387" t="s">
        <v>4178</v>
      </c>
      <c r="J300" s="387" t="s">
        <v>3804</v>
      </c>
      <c r="K300" s="387" t="s">
        <v>3657</v>
      </c>
      <c r="L300" s="387">
        <v>1</v>
      </c>
      <c r="M300" s="387">
        <v>0</v>
      </c>
      <c r="N300" s="387">
        <f t="shared" si="58"/>
        <v>1</v>
      </c>
      <c r="O300" s="387">
        <v>0</v>
      </c>
      <c r="P300" s="387" t="s">
        <v>1358</v>
      </c>
      <c r="Q300" s="387">
        <v>85.69</v>
      </c>
      <c r="R300" s="387"/>
      <c r="S300" s="2">
        <v>0</v>
      </c>
      <c r="T300" s="459">
        <f t="shared" si="61"/>
        <v>85.69</v>
      </c>
      <c r="U300" s="387"/>
      <c r="V300" s="411">
        <v>1</v>
      </c>
      <c r="W300" s="411">
        <v>1</v>
      </c>
      <c r="X300" s="436">
        <v>0</v>
      </c>
      <c r="Y300" s="411">
        <v>1</v>
      </c>
      <c r="Z300" s="436">
        <v>0</v>
      </c>
      <c r="AA300" s="437">
        <f t="shared" si="60"/>
        <v>1</v>
      </c>
      <c r="AB300" s="455">
        <f t="shared" si="59"/>
        <v>85.69</v>
      </c>
      <c r="AC300" s="456">
        <v>0</v>
      </c>
      <c r="AD300" s="480"/>
      <c r="AE300" s="480"/>
      <c r="AF300" s="481"/>
    </row>
    <row r="301" spans="2:32" hidden="1" x14ac:dyDescent="0.25">
      <c r="B301" s="387" t="s">
        <v>1679</v>
      </c>
      <c r="C301" s="387" t="s">
        <v>1368</v>
      </c>
      <c r="D301" s="387" t="s">
        <v>1224</v>
      </c>
      <c r="E301" s="387" t="s">
        <v>1400</v>
      </c>
      <c r="F301" s="387" t="s">
        <v>3201</v>
      </c>
      <c r="G301" s="387" t="s">
        <v>3312</v>
      </c>
      <c r="H301" s="387" t="s">
        <v>4109</v>
      </c>
      <c r="I301" s="387" t="s">
        <v>4179</v>
      </c>
      <c r="J301" s="387" t="s">
        <v>3805</v>
      </c>
      <c r="K301" s="387" t="s">
        <v>3658</v>
      </c>
      <c r="L301" s="387">
        <v>1</v>
      </c>
      <c r="M301" s="387">
        <v>0</v>
      </c>
      <c r="N301" s="387">
        <f t="shared" si="58"/>
        <v>1</v>
      </c>
      <c r="O301" s="387">
        <v>0</v>
      </c>
      <c r="P301" s="387" t="s">
        <v>1358</v>
      </c>
      <c r="Q301" s="387">
        <v>85.69</v>
      </c>
      <c r="R301" s="387"/>
      <c r="S301" s="2">
        <v>0</v>
      </c>
      <c r="T301" s="459">
        <f t="shared" si="61"/>
        <v>85.69</v>
      </c>
      <c r="U301" s="387"/>
      <c r="V301" s="411">
        <v>1</v>
      </c>
      <c r="W301" s="411">
        <v>1</v>
      </c>
      <c r="X301" s="436">
        <v>0</v>
      </c>
      <c r="Y301" s="411">
        <v>1</v>
      </c>
      <c r="Z301" s="436">
        <v>0</v>
      </c>
      <c r="AA301" s="437">
        <f t="shared" si="60"/>
        <v>1</v>
      </c>
      <c r="AB301" s="455">
        <f t="shared" si="59"/>
        <v>85.69</v>
      </c>
      <c r="AC301" s="456">
        <v>0</v>
      </c>
      <c r="AD301" s="480"/>
      <c r="AE301" s="480"/>
      <c r="AF301" s="481"/>
    </row>
    <row r="302" spans="2:32" hidden="1" x14ac:dyDescent="0.25">
      <c r="B302" s="387" t="s">
        <v>1680</v>
      </c>
      <c r="C302" s="387" t="s">
        <v>1368</v>
      </c>
      <c r="D302" s="387" t="s">
        <v>1224</v>
      </c>
      <c r="E302" s="387" t="s">
        <v>1400</v>
      </c>
      <c r="F302" s="387" t="s">
        <v>3201</v>
      </c>
      <c r="G302" s="387" t="s">
        <v>3312</v>
      </c>
      <c r="H302" s="387" t="s">
        <v>4109</v>
      </c>
      <c r="I302" s="387" t="s">
        <v>4179</v>
      </c>
      <c r="J302" s="387" t="s">
        <v>3805</v>
      </c>
      <c r="K302" s="387" t="s">
        <v>3659</v>
      </c>
      <c r="L302" s="387">
        <v>1</v>
      </c>
      <c r="M302" s="387">
        <v>0</v>
      </c>
      <c r="N302" s="387">
        <f t="shared" si="58"/>
        <v>1</v>
      </c>
      <c r="O302" s="387">
        <v>0</v>
      </c>
      <c r="P302" s="387" t="s">
        <v>1358</v>
      </c>
      <c r="Q302" s="387">
        <v>85.69</v>
      </c>
      <c r="R302" s="387"/>
      <c r="S302" s="2">
        <v>0</v>
      </c>
      <c r="T302" s="459">
        <f t="shared" si="61"/>
        <v>85.69</v>
      </c>
      <c r="U302" s="387"/>
      <c r="V302" s="411">
        <v>1</v>
      </c>
      <c r="W302" s="411">
        <v>1</v>
      </c>
      <c r="X302" s="436">
        <v>0</v>
      </c>
      <c r="Y302" s="411">
        <v>1</v>
      </c>
      <c r="Z302" s="436">
        <v>0</v>
      </c>
      <c r="AA302" s="437">
        <f t="shared" si="60"/>
        <v>1</v>
      </c>
      <c r="AB302" s="455">
        <f t="shared" si="59"/>
        <v>85.69</v>
      </c>
      <c r="AC302" s="456">
        <v>0</v>
      </c>
      <c r="AD302" s="480"/>
      <c r="AE302" s="480"/>
      <c r="AF302" s="481"/>
    </row>
    <row r="303" spans="2:32" hidden="1" x14ac:dyDescent="0.25">
      <c r="B303" s="387" t="s">
        <v>1681</v>
      </c>
      <c r="C303" s="387" t="s">
        <v>1368</v>
      </c>
      <c r="D303" s="387" t="s">
        <v>1224</v>
      </c>
      <c r="E303" s="387" t="s">
        <v>1400</v>
      </c>
      <c r="F303" s="387" t="s">
        <v>3201</v>
      </c>
      <c r="G303" s="387" t="s">
        <v>3312</v>
      </c>
      <c r="H303" s="387" t="s">
        <v>4109</v>
      </c>
      <c r="I303" s="387" t="s">
        <v>4179</v>
      </c>
      <c r="J303" s="387" t="s">
        <v>3805</v>
      </c>
      <c r="K303" s="387" t="s">
        <v>3660</v>
      </c>
      <c r="L303" s="387">
        <v>1</v>
      </c>
      <c r="M303" s="387">
        <v>0</v>
      </c>
      <c r="N303" s="387">
        <f t="shared" si="58"/>
        <v>1</v>
      </c>
      <c r="O303" s="387">
        <v>0</v>
      </c>
      <c r="P303" s="387" t="s">
        <v>1358</v>
      </c>
      <c r="Q303" s="387">
        <v>85.69</v>
      </c>
      <c r="R303" s="387"/>
      <c r="S303" s="2">
        <v>0</v>
      </c>
      <c r="T303" s="459">
        <f t="shared" si="61"/>
        <v>85.69</v>
      </c>
      <c r="U303" s="387"/>
      <c r="V303" s="411">
        <v>1</v>
      </c>
      <c r="W303" s="411">
        <v>1</v>
      </c>
      <c r="X303" s="436">
        <v>0</v>
      </c>
      <c r="Y303" s="411">
        <v>1</v>
      </c>
      <c r="Z303" s="436">
        <v>0</v>
      </c>
      <c r="AA303" s="437">
        <f t="shared" si="60"/>
        <v>1</v>
      </c>
      <c r="AB303" s="455">
        <f t="shared" si="59"/>
        <v>85.69</v>
      </c>
      <c r="AC303" s="456">
        <v>0</v>
      </c>
      <c r="AD303" s="480"/>
      <c r="AE303" s="480"/>
      <c r="AF303" s="481"/>
    </row>
    <row r="304" spans="2:32" hidden="1" x14ac:dyDescent="0.25">
      <c r="B304" s="387" t="s">
        <v>1682</v>
      </c>
      <c r="C304" s="387" t="s">
        <v>1368</v>
      </c>
      <c r="D304" s="387" t="s">
        <v>1224</v>
      </c>
      <c r="E304" s="387" t="s">
        <v>1401</v>
      </c>
      <c r="F304" s="387" t="s">
        <v>3201</v>
      </c>
      <c r="G304" s="387" t="s">
        <v>3313</v>
      </c>
      <c r="H304" s="387" t="s">
        <v>4109</v>
      </c>
      <c r="I304" s="387" t="s">
        <v>4180</v>
      </c>
      <c r="J304" s="387" t="s">
        <v>3806</v>
      </c>
      <c r="K304" s="387" t="s">
        <v>3661</v>
      </c>
      <c r="L304" s="387">
        <v>1</v>
      </c>
      <c r="M304" s="387">
        <v>0</v>
      </c>
      <c r="N304" s="387">
        <f t="shared" si="58"/>
        <v>1</v>
      </c>
      <c r="O304" s="387">
        <v>0</v>
      </c>
      <c r="P304" s="387" t="s">
        <v>1358</v>
      </c>
      <c r="Q304" s="387">
        <v>85.69</v>
      </c>
      <c r="R304" s="387"/>
      <c r="S304" s="2">
        <v>0</v>
      </c>
      <c r="T304" s="459">
        <f t="shared" si="61"/>
        <v>85.69</v>
      </c>
      <c r="U304" s="387"/>
      <c r="V304" s="411">
        <v>1</v>
      </c>
      <c r="W304" s="411">
        <v>1</v>
      </c>
      <c r="X304" s="436">
        <v>0</v>
      </c>
      <c r="Y304" s="411">
        <v>1</v>
      </c>
      <c r="Z304" s="436">
        <v>0</v>
      </c>
      <c r="AA304" s="437">
        <f t="shared" si="60"/>
        <v>1</v>
      </c>
      <c r="AB304" s="455">
        <f t="shared" si="59"/>
        <v>85.69</v>
      </c>
      <c r="AC304" s="456">
        <v>0</v>
      </c>
      <c r="AD304" s="480"/>
      <c r="AE304" s="480"/>
      <c r="AF304" s="481"/>
    </row>
    <row r="305" spans="2:32" hidden="1" x14ac:dyDescent="0.25">
      <c r="B305" s="387" t="s">
        <v>1683</v>
      </c>
      <c r="C305" s="387" t="s">
        <v>1368</v>
      </c>
      <c r="D305" s="387" t="s">
        <v>1224</v>
      </c>
      <c r="E305" s="387" t="s">
        <v>1401</v>
      </c>
      <c r="F305" s="387" t="s">
        <v>3201</v>
      </c>
      <c r="G305" s="387" t="s">
        <v>3313</v>
      </c>
      <c r="H305" s="387" t="s">
        <v>4109</v>
      </c>
      <c r="I305" s="387" t="s">
        <v>4180</v>
      </c>
      <c r="J305" s="387" t="s">
        <v>3806</v>
      </c>
      <c r="K305" s="387" t="s">
        <v>3662</v>
      </c>
      <c r="L305" s="387">
        <v>1</v>
      </c>
      <c r="M305" s="387">
        <v>0</v>
      </c>
      <c r="N305" s="387">
        <f t="shared" si="58"/>
        <v>1</v>
      </c>
      <c r="O305" s="387">
        <v>0</v>
      </c>
      <c r="P305" s="387" t="s">
        <v>1358</v>
      </c>
      <c r="Q305" s="387">
        <v>85.69</v>
      </c>
      <c r="R305" s="387"/>
      <c r="S305" s="2">
        <v>0</v>
      </c>
      <c r="T305" s="459">
        <f t="shared" si="61"/>
        <v>85.69</v>
      </c>
      <c r="U305" s="387"/>
      <c r="V305" s="411">
        <v>1</v>
      </c>
      <c r="W305" s="411">
        <v>1</v>
      </c>
      <c r="X305" s="436">
        <v>0</v>
      </c>
      <c r="Y305" s="411">
        <v>1</v>
      </c>
      <c r="Z305" s="436">
        <v>0</v>
      </c>
      <c r="AA305" s="437">
        <f t="shared" si="60"/>
        <v>1</v>
      </c>
      <c r="AB305" s="455">
        <f t="shared" si="59"/>
        <v>85.69</v>
      </c>
      <c r="AC305" s="456">
        <v>0</v>
      </c>
      <c r="AD305" s="480"/>
      <c r="AE305" s="480"/>
      <c r="AF305" s="481"/>
    </row>
    <row r="306" spans="2:32" hidden="1" x14ac:dyDescent="0.25">
      <c r="B306" s="387" t="s">
        <v>1684</v>
      </c>
      <c r="C306" s="387" t="s">
        <v>1368</v>
      </c>
      <c r="D306" s="387" t="s">
        <v>1224</v>
      </c>
      <c r="E306" s="387" t="s">
        <v>1401</v>
      </c>
      <c r="F306" s="387" t="s">
        <v>3201</v>
      </c>
      <c r="G306" s="387" t="s">
        <v>3313</v>
      </c>
      <c r="H306" s="387" t="s">
        <v>4109</v>
      </c>
      <c r="I306" s="387" t="s">
        <v>4180</v>
      </c>
      <c r="J306" s="387" t="s">
        <v>3806</v>
      </c>
      <c r="K306" s="387" t="s">
        <v>3663</v>
      </c>
      <c r="L306" s="387">
        <v>1</v>
      </c>
      <c r="M306" s="387">
        <v>0</v>
      </c>
      <c r="N306" s="387">
        <f t="shared" si="58"/>
        <v>1</v>
      </c>
      <c r="O306" s="387">
        <v>0</v>
      </c>
      <c r="P306" s="387" t="s">
        <v>1358</v>
      </c>
      <c r="Q306" s="387">
        <v>85.69</v>
      </c>
      <c r="R306" s="387"/>
      <c r="S306" s="2">
        <v>0</v>
      </c>
      <c r="T306" s="459">
        <f t="shared" si="61"/>
        <v>85.69</v>
      </c>
      <c r="U306" s="387"/>
      <c r="V306" s="411">
        <v>1</v>
      </c>
      <c r="W306" s="411">
        <v>1</v>
      </c>
      <c r="X306" s="436">
        <v>0</v>
      </c>
      <c r="Y306" s="411">
        <v>1</v>
      </c>
      <c r="Z306" s="436">
        <v>0</v>
      </c>
      <c r="AA306" s="437">
        <f t="shared" si="60"/>
        <v>1</v>
      </c>
      <c r="AB306" s="455">
        <f t="shared" si="59"/>
        <v>85.69</v>
      </c>
      <c r="AC306" s="456">
        <v>0</v>
      </c>
      <c r="AD306" s="480"/>
      <c r="AE306" s="480"/>
      <c r="AF306" s="481"/>
    </row>
    <row r="307" spans="2:32" hidden="1" x14ac:dyDescent="0.25">
      <c r="B307" s="387" t="s">
        <v>1685</v>
      </c>
      <c r="C307" s="387" t="s">
        <v>1368</v>
      </c>
      <c r="D307" s="387" t="s">
        <v>1224</v>
      </c>
      <c r="E307" s="387" t="s">
        <v>1402</v>
      </c>
      <c r="F307" s="387" t="s">
        <v>3201</v>
      </c>
      <c r="G307" s="387" t="s">
        <v>3314</v>
      </c>
      <c r="H307" s="387" t="s">
        <v>4109</v>
      </c>
      <c r="I307" s="387" t="s">
        <v>4181</v>
      </c>
      <c r="J307" s="387" t="s">
        <v>3807</v>
      </c>
      <c r="K307" s="387" t="s">
        <v>3664</v>
      </c>
      <c r="L307" s="387">
        <v>1</v>
      </c>
      <c r="M307" s="387">
        <v>0</v>
      </c>
      <c r="N307" s="387">
        <f t="shared" si="58"/>
        <v>1</v>
      </c>
      <c r="O307" s="387">
        <v>0</v>
      </c>
      <c r="P307" s="387" t="s">
        <v>1358</v>
      </c>
      <c r="Q307" s="387">
        <v>85.69</v>
      </c>
      <c r="R307" s="387"/>
      <c r="S307" s="2">
        <v>0</v>
      </c>
      <c r="T307" s="459">
        <f t="shared" si="61"/>
        <v>85.69</v>
      </c>
      <c r="U307" s="387"/>
      <c r="V307" s="411">
        <v>0</v>
      </c>
      <c r="W307" s="411">
        <v>0</v>
      </c>
      <c r="X307" s="436">
        <v>0</v>
      </c>
      <c r="Y307" s="411">
        <v>0</v>
      </c>
      <c r="Z307" s="436">
        <v>0</v>
      </c>
      <c r="AA307" s="437">
        <f t="shared" si="60"/>
        <v>0</v>
      </c>
      <c r="AB307" s="455">
        <f t="shared" si="59"/>
        <v>0</v>
      </c>
      <c r="AC307" s="456">
        <v>0</v>
      </c>
      <c r="AD307" s="480"/>
      <c r="AE307" s="480"/>
      <c r="AF307" s="481"/>
    </row>
    <row r="308" spans="2:32" hidden="1" x14ac:dyDescent="0.25">
      <c r="B308" s="1" t="s">
        <v>1686</v>
      </c>
      <c r="C308" s="387" t="s">
        <v>1368</v>
      </c>
      <c r="D308" s="3" t="s">
        <v>1224</v>
      </c>
      <c r="E308" s="551" t="s">
        <v>1402</v>
      </c>
      <c r="F308" s="407" t="s">
        <v>3201</v>
      </c>
      <c r="G308" s="413" t="s">
        <v>3314</v>
      </c>
      <c r="H308" s="413" t="s">
        <v>4109</v>
      </c>
      <c r="I308" s="413" t="s">
        <v>4181</v>
      </c>
      <c r="J308" s="413" t="s">
        <v>3807</v>
      </c>
      <c r="K308" s="413" t="s">
        <v>3665</v>
      </c>
      <c r="L308" s="387">
        <v>1</v>
      </c>
      <c r="M308" s="387">
        <v>0</v>
      </c>
      <c r="N308" s="387">
        <f t="shared" si="58"/>
        <v>1</v>
      </c>
      <c r="O308" s="387">
        <v>0</v>
      </c>
      <c r="P308" s="387" t="s">
        <v>1358</v>
      </c>
      <c r="Q308" s="3">
        <v>85.69</v>
      </c>
      <c r="R308" s="480"/>
      <c r="S308" s="2">
        <v>0</v>
      </c>
      <c r="T308" s="459">
        <f t="shared" si="61"/>
        <v>85.69</v>
      </c>
      <c r="U308" s="480"/>
      <c r="V308" s="411">
        <v>0</v>
      </c>
      <c r="W308" s="411">
        <v>0</v>
      </c>
      <c r="X308" s="436">
        <v>0</v>
      </c>
      <c r="Y308" s="411">
        <v>0</v>
      </c>
      <c r="Z308" s="436">
        <v>0</v>
      </c>
      <c r="AA308" s="437">
        <f t="shared" si="60"/>
        <v>0</v>
      </c>
      <c r="AB308" s="455">
        <f t="shared" si="59"/>
        <v>0</v>
      </c>
      <c r="AC308" s="456">
        <v>0</v>
      </c>
      <c r="AD308" s="480"/>
      <c r="AE308" s="480"/>
      <c r="AF308" s="481"/>
    </row>
    <row r="309" spans="2:32" hidden="1" x14ac:dyDescent="0.25">
      <c r="B309" s="1" t="s">
        <v>1687</v>
      </c>
      <c r="C309" s="387" t="s">
        <v>1368</v>
      </c>
      <c r="D309" s="3" t="s">
        <v>1224</v>
      </c>
      <c r="E309" s="551" t="s">
        <v>1425</v>
      </c>
      <c r="F309" s="407" t="s">
        <v>3201</v>
      </c>
      <c r="G309" s="413" t="s">
        <v>3318</v>
      </c>
      <c r="H309" s="413" t="s">
        <v>4109</v>
      </c>
      <c r="I309" s="413" t="s">
        <v>4182</v>
      </c>
      <c r="J309" s="413" t="s">
        <v>3811</v>
      </c>
      <c r="K309" s="413" t="s">
        <v>3666</v>
      </c>
      <c r="L309" s="387">
        <v>1</v>
      </c>
      <c r="M309" s="387">
        <v>0</v>
      </c>
      <c r="N309" s="387">
        <f t="shared" si="58"/>
        <v>1</v>
      </c>
      <c r="O309" s="387">
        <v>0</v>
      </c>
      <c r="P309" s="387" t="s">
        <v>1358</v>
      </c>
      <c r="Q309" s="3">
        <v>85.69</v>
      </c>
      <c r="R309" s="480"/>
      <c r="S309" s="2">
        <v>0</v>
      </c>
      <c r="T309" s="459">
        <f t="shared" si="61"/>
        <v>85.69</v>
      </c>
      <c r="U309" s="480"/>
      <c r="V309" s="411">
        <v>1</v>
      </c>
      <c r="W309" s="411">
        <v>1</v>
      </c>
      <c r="X309" s="436">
        <v>0</v>
      </c>
      <c r="Y309" s="411">
        <v>1</v>
      </c>
      <c r="Z309" s="436">
        <v>0</v>
      </c>
      <c r="AA309" s="437">
        <f t="shared" si="60"/>
        <v>1</v>
      </c>
      <c r="AB309" s="455">
        <f t="shared" si="59"/>
        <v>85.69</v>
      </c>
      <c r="AC309" s="456">
        <v>0</v>
      </c>
      <c r="AD309" s="480"/>
      <c r="AE309" s="480"/>
      <c r="AF309" s="481"/>
    </row>
    <row r="310" spans="2:32" hidden="1" x14ac:dyDescent="0.25">
      <c r="B310" s="1" t="s">
        <v>1688</v>
      </c>
      <c r="C310" s="387" t="s">
        <v>1368</v>
      </c>
      <c r="D310" s="3" t="s">
        <v>1224</v>
      </c>
      <c r="E310" s="551" t="s">
        <v>1425</v>
      </c>
      <c r="F310" s="407" t="s">
        <v>3201</v>
      </c>
      <c r="G310" s="413" t="s">
        <v>3318</v>
      </c>
      <c r="H310" s="413" t="s">
        <v>4109</v>
      </c>
      <c r="I310" s="413" t="s">
        <v>4182</v>
      </c>
      <c r="J310" s="413" t="s">
        <v>3811</v>
      </c>
      <c r="K310" s="413" t="s">
        <v>3667</v>
      </c>
      <c r="L310" s="387">
        <v>1</v>
      </c>
      <c r="M310" s="387">
        <v>0</v>
      </c>
      <c r="N310" s="387">
        <f t="shared" si="58"/>
        <v>1</v>
      </c>
      <c r="O310" s="387">
        <v>0</v>
      </c>
      <c r="P310" s="387" t="s">
        <v>1358</v>
      </c>
      <c r="Q310" s="3">
        <v>85.69</v>
      </c>
      <c r="R310" s="480"/>
      <c r="S310" s="2">
        <v>0</v>
      </c>
      <c r="T310" s="459">
        <f t="shared" si="61"/>
        <v>85.69</v>
      </c>
      <c r="U310" s="480"/>
      <c r="V310" s="411">
        <v>1</v>
      </c>
      <c r="W310" s="411">
        <v>1</v>
      </c>
      <c r="X310" s="436">
        <v>0</v>
      </c>
      <c r="Y310" s="411">
        <v>1</v>
      </c>
      <c r="Z310" s="436">
        <v>0</v>
      </c>
      <c r="AA310" s="437">
        <f t="shared" si="60"/>
        <v>1</v>
      </c>
      <c r="AB310" s="455">
        <f t="shared" si="59"/>
        <v>85.69</v>
      </c>
      <c r="AC310" s="456">
        <v>0</v>
      </c>
      <c r="AD310" s="480"/>
      <c r="AE310" s="480"/>
      <c r="AF310" s="481"/>
    </row>
    <row r="311" spans="2:32" hidden="1" x14ac:dyDescent="0.25">
      <c r="B311" s="1" t="s">
        <v>1689</v>
      </c>
      <c r="C311" s="387" t="s">
        <v>1368</v>
      </c>
      <c r="D311" s="3" t="s">
        <v>1224</v>
      </c>
      <c r="E311" s="551" t="s">
        <v>1425</v>
      </c>
      <c r="F311" s="407" t="s">
        <v>3201</v>
      </c>
      <c r="G311" s="413" t="s">
        <v>3318</v>
      </c>
      <c r="H311" s="413" t="s">
        <v>4109</v>
      </c>
      <c r="I311" s="413" t="s">
        <v>4182</v>
      </c>
      <c r="J311" s="413" t="s">
        <v>3811</v>
      </c>
      <c r="K311" s="413" t="s">
        <v>3668</v>
      </c>
      <c r="L311" s="387">
        <v>1</v>
      </c>
      <c r="M311" s="387">
        <v>0</v>
      </c>
      <c r="N311" s="387">
        <f t="shared" si="58"/>
        <v>1</v>
      </c>
      <c r="O311" s="387">
        <v>0</v>
      </c>
      <c r="P311" s="387" t="s">
        <v>1358</v>
      </c>
      <c r="Q311" s="3">
        <v>85.69</v>
      </c>
      <c r="R311" s="480"/>
      <c r="S311" s="2">
        <v>0</v>
      </c>
      <c r="T311" s="459">
        <f t="shared" si="61"/>
        <v>85.69</v>
      </c>
      <c r="U311" s="480"/>
      <c r="V311" s="411">
        <v>1</v>
      </c>
      <c r="W311" s="411">
        <v>1</v>
      </c>
      <c r="X311" s="436">
        <v>0</v>
      </c>
      <c r="Y311" s="411">
        <v>1</v>
      </c>
      <c r="Z311" s="436">
        <v>0</v>
      </c>
      <c r="AA311" s="437">
        <f t="shared" si="60"/>
        <v>1</v>
      </c>
      <c r="AB311" s="455">
        <f t="shared" si="59"/>
        <v>85.69</v>
      </c>
      <c r="AC311" s="456">
        <v>0</v>
      </c>
      <c r="AD311" s="480"/>
      <c r="AE311" s="480"/>
      <c r="AF311" s="481"/>
    </row>
    <row r="312" spans="2:32" hidden="1" x14ac:dyDescent="0.25">
      <c r="B312" s="1" t="s">
        <v>1690</v>
      </c>
      <c r="C312" s="387" t="s">
        <v>1368</v>
      </c>
      <c r="D312" s="3" t="s">
        <v>1224</v>
      </c>
      <c r="E312" s="551" t="s">
        <v>1426</v>
      </c>
      <c r="F312" s="407" t="s">
        <v>3201</v>
      </c>
      <c r="G312" s="413" t="s">
        <v>3319</v>
      </c>
      <c r="H312" s="413" t="s">
        <v>4109</v>
      </c>
      <c r="I312" s="413" t="s">
        <v>4183</v>
      </c>
      <c r="J312" s="413" t="s">
        <v>3812</v>
      </c>
      <c r="K312" s="413" t="s">
        <v>3669</v>
      </c>
      <c r="L312" s="387">
        <v>1</v>
      </c>
      <c r="M312" s="387">
        <v>0</v>
      </c>
      <c r="N312" s="387">
        <f t="shared" ref="N312:N354" si="62">L312+M312</f>
        <v>1</v>
      </c>
      <c r="O312" s="387">
        <v>0</v>
      </c>
      <c r="P312" s="387" t="s">
        <v>1358</v>
      </c>
      <c r="Q312" s="3">
        <v>85.69</v>
      </c>
      <c r="R312" s="480"/>
      <c r="S312" s="2">
        <v>0</v>
      </c>
      <c r="T312" s="459">
        <v>100</v>
      </c>
      <c r="U312" s="480"/>
      <c r="V312" s="411">
        <v>1</v>
      </c>
      <c r="W312" s="411">
        <v>1</v>
      </c>
      <c r="X312" s="436">
        <v>0</v>
      </c>
      <c r="Y312" s="411">
        <v>1</v>
      </c>
      <c r="Z312" s="436">
        <v>0</v>
      </c>
      <c r="AA312" s="437">
        <f t="shared" si="60"/>
        <v>1</v>
      </c>
      <c r="AB312" s="455">
        <f t="shared" ref="AB312:AB354" si="63">(V312*V$177*T312)+(W312*W$177*T312)+(X312*X$177*T312)+(Y312*Y$177*T312)+(Z312*Z$177*T312)</f>
        <v>100</v>
      </c>
      <c r="AC312" s="456">
        <v>0</v>
      </c>
      <c r="AD312" s="480"/>
      <c r="AE312" s="480"/>
      <c r="AF312" s="481"/>
    </row>
    <row r="313" spans="2:32" hidden="1" x14ac:dyDescent="0.25">
      <c r="B313" s="1" t="s">
        <v>1691</v>
      </c>
      <c r="C313" s="387" t="s">
        <v>1368</v>
      </c>
      <c r="D313" s="3" t="s">
        <v>1224</v>
      </c>
      <c r="E313" s="551" t="s">
        <v>1426</v>
      </c>
      <c r="F313" s="407" t="s">
        <v>3201</v>
      </c>
      <c r="G313" s="413" t="s">
        <v>3319</v>
      </c>
      <c r="H313" s="413" t="s">
        <v>4109</v>
      </c>
      <c r="I313" s="413" t="s">
        <v>4183</v>
      </c>
      <c r="J313" s="413" t="s">
        <v>3812</v>
      </c>
      <c r="K313" s="413" t="s">
        <v>3670</v>
      </c>
      <c r="L313" s="387">
        <v>1</v>
      </c>
      <c r="M313" s="387">
        <v>0</v>
      </c>
      <c r="N313" s="387">
        <f t="shared" si="62"/>
        <v>1</v>
      </c>
      <c r="O313" s="387">
        <v>0</v>
      </c>
      <c r="P313" s="387" t="s">
        <v>1358</v>
      </c>
      <c r="Q313" s="3">
        <v>85.69</v>
      </c>
      <c r="R313" s="480"/>
      <c r="S313" s="2">
        <v>0</v>
      </c>
      <c r="T313" s="459">
        <v>100</v>
      </c>
      <c r="U313" s="480"/>
      <c r="V313" s="411">
        <v>1</v>
      </c>
      <c r="W313" s="411">
        <v>1</v>
      </c>
      <c r="X313" s="436">
        <v>0</v>
      </c>
      <c r="Y313" s="411">
        <v>1</v>
      </c>
      <c r="Z313" s="436">
        <v>0</v>
      </c>
      <c r="AA313" s="437">
        <f t="shared" si="60"/>
        <v>1</v>
      </c>
      <c r="AB313" s="455">
        <f t="shared" si="63"/>
        <v>100</v>
      </c>
      <c r="AC313" s="456">
        <v>0</v>
      </c>
      <c r="AD313" s="480"/>
      <c r="AE313" s="480"/>
      <c r="AF313" s="481"/>
    </row>
    <row r="314" spans="2:32" hidden="1" x14ac:dyDescent="0.25">
      <c r="B314" s="1" t="s">
        <v>1692</v>
      </c>
      <c r="C314" s="387" t="s">
        <v>1368</v>
      </c>
      <c r="D314" s="3" t="s">
        <v>1224</v>
      </c>
      <c r="E314" s="551" t="s">
        <v>1426</v>
      </c>
      <c r="F314" s="407" t="s">
        <v>3201</v>
      </c>
      <c r="G314" s="413" t="s">
        <v>3319</v>
      </c>
      <c r="H314" s="413" t="s">
        <v>4109</v>
      </c>
      <c r="I314" s="413" t="s">
        <v>4183</v>
      </c>
      <c r="J314" s="413" t="s">
        <v>3812</v>
      </c>
      <c r="K314" s="413" t="s">
        <v>3671</v>
      </c>
      <c r="L314" s="387">
        <v>1</v>
      </c>
      <c r="M314" s="387">
        <v>0</v>
      </c>
      <c r="N314" s="387">
        <f t="shared" si="62"/>
        <v>1</v>
      </c>
      <c r="O314" s="387">
        <v>0</v>
      </c>
      <c r="P314" s="387" t="s">
        <v>1358</v>
      </c>
      <c r="Q314" s="3">
        <v>85.69</v>
      </c>
      <c r="R314" s="480"/>
      <c r="S314" s="2">
        <v>0</v>
      </c>
      <c r="T314" s="459">
        <f t="shared" si="61"/>
        <v>85.69</v>
      </c>
      <c r="U314" s="480"/>
      <c r="V314" s="411">
        <v>1</v>
      </c>
      <c r="W314" s="411">
        <v>1</v>
      </c>
      <c r="X314" s="436">
        <v>0</v>
      </c>
      <c r="Y314" s="411">
        <v>1</v>
      </c>
      <c r="Z314" s="436">
        <v>0</v>
      </c>
      <c r="AA314" s="437">
        <f t="shared" si="60"/>
        <v>1</v>
      </c>
      <c r="AB314" s="455">
        <f t="shared" si="63"/>
        <v>85.69</v>
      </c>
      <c r="AC314" s="456">
        <v>0</v>
      </c>
      <c r="AD314" s="480"/>
      <c r="AE314" s="480"/>
      <c r="AF314" s="481"/>
    </row>
    <row r="315" spans="2:32" hidden="1" x14ac:dyDescent="0.25">
      <c r="B315" s="1" t="s">
        <v>1693</v>
      </c>
      <c r="C315" s="387" t="s">
        <v>1368</v>
      </c>
      <c r="D315" s="3" t="s">
        <v>1224</v>
      </c>
      <c r="E315" s="551" t="s">
        <v>1427</v>
      </c>
      <c r="F315" s="407" t="s">
        <v>3201</v>
      </c>
      <c r="G315" s="413" t="s">
        <v>3320</v>
      </c>
      <c r="H315" s="413" t="s">
        <v>4109</v>
      </c>
      <c r="I315" s="413" t="s">
        <v>4184</v>
      </c>
      <c r="J315" s="413" t="s">
        <v>3813</v>
      </c>
      <c r="K315" s="413" t="s">
        <v>3672</v>
      </c>
      <c r="L315" s="387">
        <v>1</v>
      </c>
      <c r="M315" s="387">
        <v>0</v>
      </c>
      <c r="N315" s="387">
        <f t="shared" si="62"/>
        <v>1</v>
      </c>
      <c r="O315" s="387">
        <v>0</v>
      </c>
      <c r="P315" s="387" t="s">
        <v>1358</v>
      </c>
      <c r="Q315" s="3">
        <v>85.69</v>
      </c>
      <c r="R315" s="480"/>
      <c r="S315" s="2">
        <v>0</v>
      </c>
      <c r="T315" s="459">
        <f t="shared" si="61"/>
        <v>85.69</v>
      </c>
      <c r="U315" s="480"/>
      <c r="V315" s="411">
        <v>1</v>
      </c>
      <c r="W315" s="411">
        <v>1</v>
      </c>
      <c r="X315" s="436">
        <v>0</v>
      </c>
      <c r="Y315" s="411">
        <v>1</v>
      </c>
      <c r="Z315" s="436">
        <v>0</v>
      </c>
      <c r="AA315" s="437">
        <f t="shared" si="60"/>
        <v>1</v>
      </c>
      <c r="AB315" s="455">
        <f t="shared" si="63"/>
        <v>85.69</v>
      </c>
      <c r="AC315" s="456">
        <v>0</v>
      </c>
      <c r="AD315" s="480"/>
      <c r="AE315" s="480"/>
      <c r="AF315" s="481"/>
    </row>
    <row r="316" spans="2:32" hidden="1" x14ac:dyDescent="0.25">
      <c r="B316" s="1" t="s">
        <v>1694</v>
      </c>
      <c r="C316" s="387" t="s">
        <v>1368</v>
      </c>
      <c r="D316" s="3" t="s">
        <v>1224</v>
      </c>
      <c r="E316" s="551" t="s">
        <v>1427</v>
      </c>
      <c r="F316" s="407" t="s">
        <v>3201</v>
      </c>
      <c r="G316" s="413" t="s">
        <v>3320</v>
      </c>
      <c r="H316" s="413" t="s">
        <v>4109</v>
      </c>
      <c r="I316" s="413" t="s">
        <v>4184</v>
      </c>
      <c r="J316" s="413" t="s">
        <v>3813</v>
      </c>
      <c r="K316" s="413" t="s">
        <v>3673</v>
      </c>
      <c r="L316" s="387">
        <v>1</v>
      </c>
      <c r="M316" s="387">
        <v>0</v>
      </c>
      <c r="N316" s="387">
        <f t="shared" si="62"/>
        <v>1</v>
      </c>
      <c r="O316" s="387">
        <v>0</v>
      </c>
      <c r="P316" s="387" t="s">
        <v>1358</v>
      </c>
      <c r="Q316" s="3">
        <v>85.69</v>
      </c>
      <c r="R316" s="480"/>
      <c r="S316" s="2">
        <v>0</v>
      </c>
      <c r="T316" s="459">
        <f t="shared" si="61"/>
        <v>85.69</v>
      </c>
      <c r="U316" s="480"/>
      <c r="V316" s="411">
        <v>1</v>
      </c>
      <c r="W316" s="411">
        <v>1</v>
      </c>
      <c r="X316" s="436">
        <v>0</v>
      </c>
      <c r="Y316" s="411">
        <v>1</v>
      </c>
      <c r="Z316" s="436">
        <v>0</v>
      </c>
      <c r="AA316" s="437">
        <f t="shared" si="60"/>
        <v>1</v>
      </c>
      <c r="AB316" s="455">
        <f t="shared" si="63"/>
        <v>85.69</v>
      </c>
      <c r="AC316" s="456">
        <v>0</v>
      </c>
      <c r="AD316" s="480"/>
      <c r="AE316" s="480"/>
      <c r="AF316" s="481"/>
    </row>
    <row r="317" spans="2:32" hidden="1" x14ac:dyDescent="0.25">
      <c r="B317" s="1" t="s">
        <v>1695</v>
      </c>
      <c r="C317" s="387" t="s">
        <v>1368</v>
      </c>
      <c r="D317" s="3" t="s">
        <v>1224</v>
      </c>
      <c r="E317" s="551" t="s">
        <v>1427</v>
      </c>
      <c r="F317" s="407" t="s">
        <v>3201</v>
      </c>
      <c r="G317" s="413" t="s">
        <v>3320</v>
      </c>
      <c r="H317" s="413" t="s">
        <v>4109</v>
      </c>
      <c r="I317" s="413" t="s">
        <v>4184</v>
      </c>
      <c r="J317" s="413" t="s">
        <v>3813</v>
      </c>
      <c r="K317" s="413" t="s">
        <v>3674</v>
      </c>
      <c r="L317" s="387">
        <v>1</v>
      </c>
      <c r="M317" s="387">
        <v>0</v>
      </c>
      <c r="N317" s="387">
        <f t="shared" si="62"/>
        <v>1</v>
      </c>
      <c r="O317" s="387">
        <v>0</v>
      </c>
      <c r="P317" s="387" t="s">
        <v>1358</v>
      </c>
      <c r="Q317" s="3">
        <v>85.69</v>
      </c>
      <c r="R317" s="480"/>
      <c r="S317" s="2">
        <v>0</v>
      </c>
      <c r="T317" s="459">
        <f t="shared" si="61"/>
        <v>85.69</v>
      </c>
      <c r="U317" s="480"/>
      <c r="V317" s="411">
        <v>1</v>
      </c>
      <c r="W317" s="411">
        <v>1</v>
      </c>
      <c r="X317" s="436">
        <v>0</v>
      </c>
      <c r="Y317" s="411">
        <v>1</v>
      </c>
      <c r="Z317" s="436">
        <v>0</v>
      </c>
      <c r="AA317" s="437">
        <f t="shared" si="60"/>
        <v>1</v>
      </c>
      <c r="AB317" s="455">
        <f t="shared" si="63"/>
        <v>85.69</v>
      </c>
      <c r="AC317" s="456">
        <v>0</v>
      </c>
      <c r="AD317" s="480"/>
      <c r="AE317" s="480"/>
      <c r="AF317" s="481"/>
    </row>
    <row r="318" spans="2:32" hidden="1" x14ac:dyDescent="0.25">
      <c r="B318" s="1" t="s">
        <v>1696</v>
      </c>
      <c r="C318" s="387" t="s">
        <v>1368</v>
      </c>
      <c r="D318" s="3" t="s">
        <v>1224</v>
      </c>
      <c r="E318" s="551" t="s">
        <v>1428</v>
      </c>
      <c r="F318" s="407" t="s">
        <v>3201</v>
      </c>
      <c r="G318" s="413" t="s">
        <v>3321</v>
      </c>
      <c r="H318" s="413" t="s">
        <v>4109</v>
      </c>
      <c r="I318" s="413" t="s">
        <v>4185</v>
      </c>
      <c r="J318" s="413" t="s">
        <v>3814</v>
      </c>
      <c r="K318" s="413" t="s">
        <v>3675</v>
      </c>
      <c r="L318" s="387">
        <v>1</v>
      </c>
      <c r="M318" s="387">
        <v>0</v>
      </c>
      <c r="N318" s="387">
        <f t="shared" si="62"/>
        <v>1</v>
      </c>
      <c r="O318" s="387">
        <v>0</v>
      </c>
      <c r="P318" s="387" t="s">
        <v>1358</v>
      </c>
      <c r="Q318" s="3">
        <v>85.69</v>
      </c>
      <c r="R318" s="480"/>
      <c r="S318" s="2">
        <v>0</v>
      </c>
      <c r="T318" s="459">
        <f t="shared" si="61"/>
        <v>85.69</v>
      </c>
      <c r="U318" s="480"/>
      <c r="V318" s="411">
        <v>1</v>
      </c>
      <c r="W318" s="411">
        <v>1</v>
      </c>
      <c r="X318" s="436">
        <v>0</v>
      </c>
      <c r="Y318" s="411">
        <v>1</v>
      </c>
      <c r="Z318" s="436">
        <v>0</v>
      </c>
      <c r="AA318" s="437">
        <f t="shared" si="60"/>
        <v>1</v>
      </c>
      <c r="AB318" s="455">
        <f t="shared" si="63"/>
        <v>85.69</v>
      </c>
      <c r="AC318" s="456">
        <v>0</v>
      </c>
      <c r="AD318" s="480"/>
      <c r="AE318" s="480"/>
      <c r="AF318" s="481"/>
    </row>
    <row r="319" spans="2:32" hidden="1" x14ac:dyDescent="0.25">
      <c r="B319" s="1" t="s">
        <v>1697</v>
      </c>
      <c r="C319" s="387" t="s">
        <v>1368</v>
      </c>
      <c r="D319" s="3" t="s">
        <v>1224</v>
      </c>
      <c r="E319" s="551" t="s">
        <v>1428</v>
      </c>
      <c r="F319" s="407" t="s">
        <v>3201</v>
      </c>
      <c r="G319" s="413" t="s">
        <v>3321</v>
      </c>
      <c r="H319" s="413" t="s">
        <v>4109</v>
      </c>
      <c r="I319" s="413" t="s">
        <v>4185</v>
      </c>
      <c r="J319" s="413" t="s">
        <v>3814</v>
      </c>
      <c r="K319" s="413" t="s">
        <v>3676</v>
      </c>
      <c r="L319" s="387">
        <v>1</v>
      </c>
      <c r="M319" s="387">
        <v>0</v>
      </c>
      <c r="N319" s="387">
        <f t="shared" si="62"/>
        <v>1</v>
      </c>
      <c r="O319" s="387">
        <v>0</v>
      </c>
      <c r="P319" s="387" t="s">
        <v>1358</v>
      </c>
      <c r="Q319" s="3">
        <v>85.69</v>
      </c>
      <c r="R319" s="480"/>
      <c r="S319" s="2">
        <v>0</v>
      </c>
      <c r="T319" s="459">
        <f t="shared" si="61"/>
        <v>85.69</v>
      </c>
      <c r="U319" s="480"/>
      <c r="V319" s="411">
        <v>1</v>
      </c>
      <c r="W319" s="411">
        <v>1</v>
      </c>
      <c r="X319" s="436">
        <v>0</v>
      </c>
      <c r="Y319" s="411">
        <v>1</v>
      </c>
      <c r="Z319" s="436">
        <v>0</v>
      </c>
      <c r="AA319" s="437">
        <f t="shared" si="60"/>
        <v>1</v>
      </c>
      <c r="AB319" s="455">
        <f t="shared" si="63"/>
        <v>85.69</v>
      </c>
      <c r="AC319" s="456">
        <v>0</v>
      </c>
      <c r="AD319" s="480"/>
      <c r="AE319" s="480"/>
      <c r="AF319" s="481"/>
    </row>
    <row r="320" spans="2:32" hidden="1" x14ac:dyDescent="0.25">
      <c r="B320" s="1" t="s">
        <v>1698</v>
      </c>
      <c r="C320" s="387" t="s">
        <v>1368</v>
      </c>
      <c r="D320" s="3" t="s">
        <v>1224</v>
      </c>
      <c r="E320" s="551" t="s">
        <v>1428</v>
      </c>
      <c r="F320" s="407" t="s">
        <v>3201</v>
      </c>
      <c r="G320" s="413" t="s">
        <v>3321</v>
      </c>
      <c r="H320" s="413" t="s">
        <v>4109</v>
      </c>
      <c r="I320" s="413" t="s">
        <v>4185</v>
      </c>
      <c r="J320" s="413" t="s">
        <v>3814</v>
      </c>
      <c r="K320" s="413" t="s">
        <v>3677</v>
      </c>
      <c r="L320" s="387">
        <v>1</v>
      </c>
      <c r="M320" s="387">
        <v>0</v>
      </c>
      <c r="N320" s="387">
        <f t="shared" si="62"/>
        <v>1</v>
      </c>
      <c r="O320" s="387">
        <v>0</v>
      </c>
      <c r="P320" s="387" t="s">
        <v>1358</v>
      </c>
      <c r="Q320" s="3">
        <v>85.69</v>
      </c>
      <c r="R320" s="480"/>
      <c r="S320" s="2">
        <v>0</v>
      </c>
      <c r="T320" s="459">
        <f t="shared" si="61"/>
        <v>85.69</v>
      </c>
      <c r="U320" s="480"/>
      <c r="V320" s="411">
        <v>1</v>
      </c>
      <c r="W320" s="411">
        <v>1</v>
      </c>
      <c r="X320" s="436">
        <v>0</v>
      </c>
      <c r="Y320" s="411">
        <v>1</v>
      </c>
      <c r="Z320" s="436">
        <v>0</v>
      </c>
      <c r="AA320" s="437">
        <f t="shared" si="60"/>
        <v>1</v>
      </c>
      <c r="AB320" s="455">
        <f t="shared" si="63"/>
        <v>85.69</v>
      </c>
      <c r="AC320" s="456">
        <v>0</v>
      </c>
      <c r="AD320" s="480"/>
      <c r="AE320" s="480"/>
      <c r="AF320" s="481"/>
    </row>
    <row r="321" spans="2:32" hidden="1" x14ac:dyDescent="0.25">
      <c r="B321" s="1" t="s">
        <v>1699</v>
      </c>
      <c r="C321" s="387" t="s">
        <v>1368</v>
      </c>
      <c r="D321" s="3" t="s">
        <v>1224</v>
      </c>
      <c r="E321" s="551" t="s">
        <v>1429</v>
      </c>
      <c r="F321" s="407" t="s">
        <v>3201</v>
      </c>
      <c r="G321" s="413" t="s">
        <v>3322</v>
      </c>
      <c r="H321" s="413" t="s">
        <v>4109</v>
      </c>
      <c r="I321" s="413" t="s">
        <v>4186</v>
      </c>
      <c r="J321" s="413" t="s">
        <v>3815</v>
      </c>
      <c r="K321" s="413" t="s">
        <v>3678</v>
      </c>
      <c r="L321" s="387">
        <v>1</v>
      </c>
      <c r="M321" s="387">
        <v>0</v>
      </c>
      <c r="N321" s="387">
        <f t="shared" si="62"/>
        <v>1</v>
      </c>
      <c r="O321" s="387">
        <v>0</v>
      </c>
      <c r="P321" s="387" t="s">
        <v>1358</v>
      </c>
      <c r="Q321" s="3">
        <v>85.69</v>
      </c>
      <c r="R321" s="480"/>
      <c r="S321" s="2">
        <v>0</v>
      </c>
      <c r="T321" s="459">
        <f t="shared" si="61"/>
        <v>85.69</v>
      </c>
      <c r="U321" s="480"/>
      <c r="V321" s="411">
        <v>0</v>
      </c>
      <c r="W321" s="411">
        <v>0</v>
      </c>
      <c r="X321" s="436">
        <v>0</v>
      </c>
      <c r="Y321" s="411">
        <v>0</v>
      </c>
      <c r="Z321" s="436">
        <v>0</v>
      </c>
      <c r="AA321" s="437">
        <f t="shared" si="60"/>
        <v>0</v>
      </c>
      <c r="AB321" s="455">
        <f t="shared" si="63"/>
        <v>0</v>
      </c>
      <c r="AC321" s="456">
        <v>0</v>
      </c>
      <c r="AD321" s="480"/>
      <c r="AE321" s="480"/>
      <c r="AF321" s="481"/>
    </row>
    <row r="322" spans="2:32" hidden="1" x14ac:dyDescent="0.25">
      <c r="B322" s="1" t="s">
        <v>1700</v>
      </c>
      <c r="C322" s="387" t="s">
        <v>1368</v>
      </c>
      <c r="D322" s="3" t="s">
        <v>1224</v>
      </c>
      <c r="E322" s="551" t="s">
        <v>1429</v>
      </c>
      <c r="F322" s="407" t="s">
        <v>3201</v>
      </c>
      <c r="G322" s="413" t="s">
        <v>3322</v>
      </c>
      <c r="H322" s="413" t="s">
        <v>4109</v>
      </c>
      <c r="I322" s="413" t="s">
        <v>4186</v>
      </c>
      <c r="J322" s="413" t="s">
        <v>3815</v>
      </c>
      <c r="K322" s="413" t="s">
        <v>3679</v>
      </c>
      <c r="L322" s="387">
        <v>1</v>
      </c>
      <c r="M322" s="387">
        <v>0</v>
      </c>
      <c r="N322" s="387">
        <f t="shared" si="62"/>
        <v>1</v>
      </c>
      <c r="O322" s="387">
        <v>0</v>
      </c>
      <c r="P322" s="387" t="s">
        <v>1358</v>
      </c>
      <c r="Q322" s="3">
        <v>85.69</v>
      </c>
      <c r="R322" s="480"/>
      <c r="S322" s="2">
        <v>0</v>
      </c>
      <c r="T322" s="459">
        <f t="shared" si="61"/>
        <v>85.69</v>
      </c>
      <c r="U322" s="480"/>
      <c r="V322" s="411">
        <v>0</v>
      </c>
      <c r="W322" s="411">
        <v>0</v>
      </c>
      <c r="X322" s="436">
        <v>0</v>
      </c>
      <c r="Y322" s="411">
        <v>0</v>
      </c>
      <c r="Z322" s="436">
        <v>0</v>
      </c>
      <c r="AA322" s="437">
        <f t="shared" si="60"/>
        <v>0</v>
      </c>
      <c r="AB322" s="455">
        <f t="shared" si="63"/>
        <v>0</v>
      </c>
      <c r="AC322" s="456">
        <v>0</v>
      </c>
      <c r="AD322" s="480"/>
      <c r="AE322" s="480"/>
      <c r="AF322" s="481"/>
    </row>
    <row r="323" spans="2:32" hidden="1" x14ac:dyDescent="0.25">
      <c r="B323" s="1" t="s">
        <v>1701</v>
      </c>
      <c r="C323" s="387" t="s">
        <v>1368</v>
      </c>
      <c r="D323" s="3" t="s">
        <v>1224</v>
      </c>
      <c r="E323" s="551" t="s">
        <v>1429</v>
      </c>
      <c r="F323" s="407" t="s">
        <v>3201</v>
      </c>
      <c r="G323" s="413" t="s">
        <v>3322</v>
      </c>
      <c r="H323" s="413" t="s">
        <v>4109</v>
      </c>
      <c r="I323" s="413" t="s">
        <v>4186</v>
      </c>
      <c r="J323" s="413" t="s">
        <v>3815</v>
      </c>
      <c r="K323" s="413" t="s">
        <v>3680</v>
      </c>
      <c r="L323" s="387">
        <v>1</v>
      </c>
      <c r="M323" s="387">
        <v>0</v>
      </c>
      <c r="N323" s="387">
        <f t="shared" si="62"/>
        <v>1</v>
      </c>
      <c r="O323" s="387">
        <v>0</v>
      </c>
      <c r="P323" s="387" t="s">
        <v>1358</v>
      </c>
      <c r="Q323" s="3">
        <v>85.69</v>
      </c>
      <c r="R323" s="480"/>
      <c r="S323" s="2">
        <v>0</v>
      </c>
      <c r="T323" s="459">
        <f t="shared" si="61"/>
        <v>85.69</v>
      </c>
      <c r="U323" s="480"/>
      <c r="V323" s="411">
        <v>0</v>
      </c>
      <c r="W323" s="411">
        <v>0</v>
      </c>
      <c r="X323" s="436">
        <v>0</v>
      </c>
      <c r="Y323" s="411">
        <v>0</v>
      </c>
      <c r="Z323" s="436">
        <v>0</v>
      </c>
      <c r="AA323" s="437">
        <f t="shared" si="60"/>
        <v>0</v>
      </c>
      <c r="AB323" s="455">
        <f t="shared" si="63"/>
        <v>0</v>
      </c>
      <c r="AC323" s="456">
        <v>0</v>
      </c>
      <c r="AD323" s="480"/>
      <c r="AE323" s="480"/>
      <c r="AF323" s="481"/>
    </row>
    <row r="324" spans="2:32" hidden="1" x14ac:dyDescent="0.25">
      <c r="B324" s="1" t="s">
        <v>1702</v>
      </c>
      <c r="C324" s="387" t="s">
        <v>1368</v>
      </c>
      <c r="D324" s="3" t="s">
        <v>1224</v>
      </c>
      <c r="E324" s="551" t="s">
        <v>1430</v>
      </c>
      <c r="F324" s="407" t="s">
        <v>3201</v>
      </c>
      <c r="G324" s="413" t="s">
        <v>3323</v>
      </c>
      <c r="H324" s="413" t="s">
        <v>4109</v>
      </c>
      <c r="I324" s="413" t="s">
        <v>4187</v>
      </c>
      <c r="J324" s="413" t="s">
        <v>3816</v>
      </c>
      <c r="K324" s="413" t="s">
        <v>3681</v>
      </c>
      <c r="L324" s="387">
        <v>1</v>
      </c>
      <c r="M324" s="387">
        <v>0</v>
      </c>
      <c r="N324" s="387">
        <f t="shared" si="62"/>
        <v>1</v>
      </c>
      <c r="O324" s="387">
        <v>0</v>
      </c>
      <c r="P324" s="387" t="s">
        <v>1358</v>
      </c>
      <c r="Q324" s="3">
        <v>85.69</v>
      </c>
      <c r="R324" s="480"/>
      <c r="S324" s="2">
        <v>0</v>
      </c>
      <c r="T324" s="459">
        <f t="shared" si="61"/>
        <v>85.69</v>
      </c>
      <c r="U324" s="480"/>
      <c r="V324" s="411">
        <v>1</v>
      </c>
      <c r="W324" s="411">
        <v>1</v>
      </c>
      <c r="X324" s="436">
        <v>0</v>
      </c>
      <c r="Y324" s="411">
        <v>1</v>
      </c>
      <c r="Z324" s="436">
        <v>0</v>
      </c>
      <c r="AA324" s="437">
        <f t="shared" si="60"/>
        <v>1</v>
      </c>
      <c r="AB324" s="455">
        <f t="shared" si="63"/>
        <v>85.69</v>
      </c>
      <c r="AC324" s="456">
        <v>0</v>
      </c>
      <c r="AD324" s="480"/>
      <c r="AE324" s="480"/>
      <c r="AF324" s="481"/>
    </row>
    <row r="325" spans="2:32" hidden="1" x14ac:dyDescent="0.25">
      <c r="B325" s="1" t="s">
        <v>1703</v>
      </c>
      <c r="C325" s="387" t="s">
        <v>1368</v>
      </c>
      <c r="D325" s="3" t="s">
        <v>1224</v>
      </c>
      <c r="E325" s="551" t="s">
        <v>1430</v>
      </c>
      <c r="F325" s="407" t="s">
        <v>3201</v>
      </c>
      <c r="G325" s="413" t="s">
        <v>3323</v>
      </c>
      <c r="H325" s="413" t="s">
        <v>4109</v>
      </c>
      <c r="I325" s="413" t="s">
        <v>4187</v>
      </c>
      <c r="J325" s="413" t="s">
        <v>3816</v>
      </c>
      <c r="K325" s="413" t="s">
        <v>3682</v>
      </c>
      <c r="L325" s="387">
        <v>1</v>
      </c>
      <c r="M325" s="387">
        <v>0</v>
      </c>
      <c r="N325" s="387">
        <f t="shared" si="62"/>
        <v>1</v>
      </c>
      <c r="O325" s="387">
        <v>0</v>
      </c>
      <c r="P325" s="387" t="s">
        <v>1358</v>
      </c>
      <c r="Q325" s="3">
        <v>85.69</v>
      </c>
      <c r="R325" s="480"/>
      <c r="S325" s="2">
        <v>0</v>
      </c>
      <c r="T325" s="459">
        <f t="shared" si="61"/>
        <v>85.69</v>
      </c>
      <c r="U325" s="480"/>
      <c r="V325" s="411">
        <v>1</v>
      </c>
      <c r="W325" s="411">
        <v>1</v>
      </c>
      <c r="X325" s="436">
        <v>0</v>
      </c>
      <c r="Y325" s="411">
        <v>1</v>
      </c>
      <c r="Z325" s="436">
        <v>0</v>
      </c>
      <c r="AA325" s="437">
        <f t="shared" ref="AA325:AA354" si="64">IF(T325,AB325/T325,0)</f>
        <v>1</v>
      </c>
      <c r="AB325" s="455">
        <f t="shared" si="63"/>
        <v>85.69</v>
      </c>
      <c r="AC325" s="456">
        <v>0</v>
      </c>
      <c r="AD325" s="480"/>
      <c r="AE325" s="480"/>
      <c r="AF325" s="481"/>
    </row>
    <row r="326" spans="2:32" hidden="1" x14ac:dyDescent="0.25">
      <c r="B326" s="1" t="s">
        <v>1704</v>
      </c>
      <c r="C326" s="387" t="s">
        <v>1368</v>
      </c>
      <c r="D326" s="3" t="s">
        <v>1224</v>
      </c>
      <c r="E326" s="551" t="s">
        <v>1430</v>
      </c>
      <c r="F326" s="407" t="s">
        <v>3201</v>
      </c>
      <c r="G326" s="413" t="s">
        <v>3323</v>
      </c>
      <c r="H326" s="413" t="s">
        <v>4109</v>
      </c>
      <c r="I326" s="413" t="s">
        <v>4187</v>
      </c>
      <c r="J326" s="413" t="s">
        <v>3816</v>
      </c>
      <c r="K326" s="413" t="s">
        <v>3683</v>
      </c>
      <c r="L326" s="387">
        <v>1</v>
      </c>
      <c r="M326" s="387">
        <v>0</v>
      </c>
      <c r="N326" s="387">
        <f t="shared" si="62"/>
        <v>1</v>
      </c>
      <c r="O326" s="387">
        <v>0</v>
      </c>
      <c r="P326" s="387" t="s">
        <v>1358</v>
      </c>
      <c r="Q326" s="3">
        <v>85.69</v>
      </c>
      <c r="R326" s="480"/>
      <c r="S326" s="2">
        <v>0</v>
      </c>
      <c r="T326" s="459">
        <f t="shared" si="61"/>
        <v>85.69</v>
      </c>
      <c r="U326" s="480"/>
      <c r="V326" s="411">
        <v>1</v>
      </c>
      <c r="W326" s="411">
        <v>1</v>
      </c>
      <c r="X326" s="436">
        <v>0</v>
      </c>
      <c r="Y326" s="411">
        <v>1</v>
      </c>
      <c r="Z326" s="436">
        <v>0</v>
      </c>
      <c r="AA326" s="437">
        <f t="shared" si="64"/>
        <v>1</v>
      </c>
      <c r="AB326" s="455">
        <f t="shared" si="63"/>
        <v>85.69</v>
      </c>
      <c r="AC326" s="456">
        <v>0</v>
      </c>
      <c r="AD326" s="480"/>
      <c r="AE326" s="480"/>
      <c r="AF326" s="481"/>
    </row>
    <row r="327" spans="2:32" hidden="1" x14ac:dyDescent="0.25">
      <c r="B327" s="1" t="s">
        <v>1705</v>
      </c>
      <c r="C327" s="387" t="s">
        <v>1368</v>
      </c>
      <c r="D327" s="3" t="s">
        <v>1224</v>
      </c>
      <c r="E327" s="551" t="s">
        <v>1431</v>
      </c>
      <c r="F327" s="407" t="s">
        <v>3201</v>
      </c>
      <c r="G327" s="413" t="s">
        <v>3324</v>
      </c>
      <c r="H327" s="413" t="s">
        <v>4109</v>
      </c>
      <c r="I327" s="413" t="s">
        <v>4188</v>
      </c>
      <c r="J327" s="413" t="s">
        <v>3817</v>
      </c>
      <c r="K327" s="413" t="s">
        <v>3684</v>
      </c>
      <c r="L327" s="387">
        <v>1</v>
      </c>
      <c r="M327" s="387">
        <v>0</v>
      </c>
      <c r="N327" s="387">
        <f t="shared" si="62"/>
        <v>1</v>
      </c>
      <c r="O327" s="387">
        <v>0</v>
      </c>
      <c r="P327" s="387" t="s">
        <v>1358</v>
      </c>
      <c r="Q327" s="3">
        <v>85.69</v>
      </c>
      <c r="R327" s="480"/>
      <c r="S327" s="2">
        <v>0</v>
      </c>
      <c r="T327" s="459">
        <f t="shared" si="61"/>
        <v>85.69</v>
      </c>
      <c r="U327" s="480"/>
      <c r="V327" s="411">
        <v>1</v>
      </c>
      <c r="W327" s="411">
        <v>1</v>
      </c>
      <c r="X327" s="436">
        <v>0</v>
      </c>
      <c r="Y327" s="411">
        <v>1</v>
      </c>
      <c r="Z327" s="436">
        <v>0</v>
      </c>
      <c r="AA327" s="437">
        <f t="shared" si="64"/>
        <v>1</v>
      </c>
      <c r="AB327" s="455">
        <f t="shared" si="63"/>
        <v>85.69</v>
      </c>
      <c r="AC327" s="456">
        <v>0</v>
      </c>
      <c r="AD327" s="480"/>
      <c r="AE327" s="480"/>
      <c r="AF327" s="481"/>
    </row>
    <row r="328" spans="2:32" hidden="1" x14ac:dyDescent="0.25">
      <c r="B328" s="1" t="s">
        <v>1706</v>
      </c>
      <c r="C328" s="387" t="s">
        <v>1368</v>
      </c>
      <c r="D328" s="3" t="s">
        <v>1224</v>
      </c>
      <c r="E328" s="551" t="s">
        <v>1431</v>
      </c>
      <c r="F328" s="407" t="s">
        <v>3201</v>
      </c>
      <c r="G328" s="413" t="s">
        <v>3324</v>
      </c>
      <c r="H328" s="413" t="s">
        <v>4109</v>
      </c>
      <c r="I328" s="413" t="s">
        <v>4188</v>
      </c>
      <c r="J328" s="413" t="s">
        <v>3817</v>
      </c>
      <c r="K328" s="413" t="s">
        <v>3685</v>
      </c>
      <c r="L328" s="387">
        <v>1</v>
      </c>
      <c r="M328" s="387">
        <v>0</v>
      </c>
      <c r="N328" s="387">
        <f t="shared" si="62"/>
        <v>1</v>
      </c>
      <c r="O328" s="387">
        <v>0</v>
      </c>
      <c r="P328" s="387" t="s">
        <v>1358</v>
      </c>
      <c r="Q328" s="3">
        <v>85.69</v>
      </c>
      <c r="R328" s="480"/>
      <c r="S328" s="2">
        <v>0</v>
      </c>
      <c r="T328" s="459">
        <f t="shared" si="61"/>
        <v>85.69</v>
      </c>
      <c r="U328" s="480"/>
      <c r="V328" s="411">
        <v>1</v>
      </c>
      <c r="W328" s="411">
        <v>1</v>
      </c>
      <c r="X328" s="436">
        <v>0</v>
      </c>
      <c r="Y328" s="411">
        <v>1</v>
      </c>
      <c r="Z328" s="436">
        <v>0</v>
      </c>
      <c r="AA328" s="437">
        <f t="shared" si="64"/>
        <v>1</v>
      </c>
      <c r="AB328" s="455">
        <f t="shared" si="63"/>
        <v>85.69</v>
      </c>
      <c r="AC328" s="456">
        <v>0</v>
      </c>
      <c r="AD328" s="480"/>
      <c r="AE328" s="480"/>
      <c r="AF328" s="481"/>
    </row>
    <row r="329" spans="2:32" hidden="1" x14ac:dyDescent="0.25">
      <c r="B329" s="1" t="s">
        <v>1707</v>
      </c>
      <c r="C329" s="387" t="s">
        <v>1368</v>
      </c>
      <c r="D329" s="3" t="s">
        <v>1224</v>
      </c>
      <c r="E329" s="551" t="s">
        <v>1431</v>
      </c>
      <c r="F329" s="407" t="s">
        <v>3201</v>
      </c>
      <c r="G329" s="413" t="s">
        <v>3324</v>
      </c>
      <c r="H329" s="413" t="s">
        <v>4109</v>
      </c>
      <c r="I329" s="413" t="s">
        <v>4188</v>
      </c>
      <c r="J329" s="413" t="s">
        <v>3817</v>
      </c>
      <c r="K329" s="413" t="s">
        <v>3686</v>
      </c>
      <c r="L329" s="387">
        <v>1</v>
      </c>
      <c r="M329" s="387">
        <v>0</v>
      </c>
      <c r="N329" s="387">
        <f t="shared" si="62"/>
        <v>1</v>
      </c>
      <c r="O329" s="387">
        <v>0</v>
      </c>
      <c r="P329" s="387" t="s">
        <v>1358</v>
      </c>
      <c r="Q329" s="3">
        <v>85.69</v>
      </c>
      <c r="R329" s="480"/>
      <c r="S329" s="2">
        <v>0</v>
      </c>
      <c r="T329" s="459">
        <f t="shared" si="61"/>
        <v>85.69</v>
      </c>
      <c r="U329" s="480"/>
      <c r="V329" s="411">
        <v>1</v>
      </c>
      <c r="W329" s="411">
        <v>1</v>
      </c>
      <c r="X329" s="436">
        <v>0</v>
      </c>
      <c r="Y329" s="411">
        <v>1</v>
      </c>
      <c r="Z329" s="436">
        <v>0</v>
      </c>
      <c r="AA329" s="437">
        <f t="shared" si="64"/>
        <v>1</v>
      </c>
      <c r="AB329" s="455">
        <f t="shared" si="63"/>
        <v>85.69</v>
      </c>
      <c r="AC329" s="456">
        <v>0</v>
      </c>
      <c r="AD329" s="480"/>
      <c r="AE329" s="480"/>
      <c r="AF329" s="481"/>
    </row>
    <row r="330" spans="2:32" hidden="1" x14ac:dyDescent="0.25">
      <c r="B330" s="1" t="s">
        <v>1708</v>
      </c>
      <c r="C330" s="387" t="s">
        <v>1368</v>
      </c>
      <c r="D330" s="3" t="s">
        <v>1224</v>
      </c>
      <c r="E330" s="551" t="s">
        <v>1432</v>
      </c>
      <c r="F330" s="407" t="s">
        <v>3201</v>
      </c>
      <c r="G330" s="413" t="s">
        <v>3325</v>
      </c>
      <c r="H330" s="413" t="s">
        <v>4109</v>
      </c>
      <c r="I330" s="413" t="s">
        <v>4189</v>
      </c>
      <c r="J330" s="413" t="s">
        <v>3818</v>
      </c>
      <c r="K330" s="413" t="s">
        <v>3687</v>
      </c>
      <c r="L330" s="387">
        <v>1</v>
      </c>
      <c r="M330" s="387">
        <v>0</v>
      </c>
      <c r="N330" s="387">
        <f t="shared" si="62"/>
        <v>1</v>
      </c>
      <c r="O330" s="387">
        <v>0</v>
      </c>
      <c r="P330" s="387" t="s">
        <v>1358</v>
      </c>
      <c r="Q330" s="3">
        <v>85.69</v>
      </c>
      <c r="R330" s="480"/>
      <c r="S330" s="2">
        <v>0</v>
      </c>
      <c r="T330" s="459">
        <f t="shared" si="61"/>
        <v>85.69</v>
      </c>
      <c r="U330" s="480"/>
      <c r="V330" s="411">
        <v>1</v>
      </c>
      <c r="W330" s="411">
        <v>1</v>
      </c>
      <c r="X330" s="436">
        <v>0</v>
      </c>
      <c r="Y330" s="411">
        <v>1</v>
      </c>
      <c r="Z330" s="436">
        <v>0</v>
      </c>
      <c r="AA330" s="437">
        <f t="shared" si="64"/>
        <v>1</v>
      </c>
      <c r="AB330" s="455">
        <f t="shared" si="63"/>
        <v>85.69</v>
      </c>
      <c r="AC330" s="456">
        <v>0</v>
      </c>
      <c r="AD330" s="480"/>
      <c r="AE330" s="480"/>
      <c r="AF330" s="481"/>
    </row>
    <row r="331" spans="2:32" hidden="1" x14ac:dyDescent="0.25">
      <c r="B331" s="1" t="s">
        <v>1709</v>
      </c>
      <c r="C331" s="387" t="s">
        <v>1368</v>
      </c>
      <c r="D331" s="3" t="s">
        <v>1224</v>
      </c>
      <c r="E331" s="551" t="s">
        <v>1432</v>
      </c>
      <c r="F331" s="407" t="s">
        <v>3201</v>
      </c>
      <c r="G331" s="413" t="s">
        <v>3325</v>
      </c>
      <c r="H331" s="413" t="s">
        <v>4109</v>
      </c>
      <c r="I331" s="413" t="s">
        <v>4189</v>
      </c>
      <c r="J331" s="413" t="s">
        <v>3818</v>
      </c>
      <c r="K331" s="413" t="s">
        <v>3688</v>
      </c>
      <c r="L331" s="387">
        <v>1</v>
      </c>
      <c r="M331" s="387">
        <v>0</v>
      </c>
      <c r="N331" s="387">
        <f t="shared" si="62"/>
        <v>1</v>
      </c>
      <c r="O331" s="387">
        <v>0</v>
      </c>
      <c r="P331" s="387" t="s">
        <v>1358</v>
      </c>
      <c r="Q331" s="3">
        <v>85.69</v>
      </c>
      <c r="R331" s="480"/>
      <c r="S331" s="2">
        <v>0</v>
      </c>
      <c r="T331" s="459">
        <f t="shared" ref="T331:T361" si="65">Q331+S331+R331</f>
        <v>85.69</v>
      </c>
      <c r="U331" s="480"/>
      <c r="V331" s="411">
        <v>1</v>
      </c>
      <c r="W331" s="411">
        <v>1</v>
      </c>
      <c r="X331" s="436">
        <v>0</v>
      </c>
      <c r="Y331" s="411">
        <v>1</v>
      </c>
      <c r="Z331" s="436">
        <v>0</v>
      </c>
      <c r="AA331" s="437">
        <f t="shared" si="64"/>
        <v>1</v>
      </c>
      <c r="AB331" s="455">
        <f t="shared" si="63"/>
        <v>85.69</v>
      </c>
      <c r="AC331" s="456">
        <v>0</v>
      </c>
      <c r="AD331" s="480"/>
      <c r="AE331" s="480"/>
      <c r="AF331" s="481"/>
    </row>
    <row r="332" spans="2:32" hidden="1" x14ac:dyDescent="0.25">
      <c r="B332" s="1" t="s">
        <v>1710</v>
      </c>
      <c r="C332" s="387" t="s">
        <v>1368</v>
      </c>
      <c r="D332" s="3" t="s">
        <v>1224</v>
      </c>
      <c r="E332" s="551" t="s">
        <v>1432</v>
      </c>
      <c r="F332" s="407" t="s">
        <v>3201</v>
      </c>
      <c r="G332" s="413" t="s">
        <v>3325</v>
      </c>
      <c r="H332" s="413" t="s">
        <v>4109</v>
      </c>
      <c r="I332" s="413" t="s">
        <v>4189</v>
      </c>
      <c r="J332" s="413" t="s">
        <v>3818</v>
      </c>
      <c r="K332" s="413" t="s">
        <v>3689</v>
      </c>
      <c r="L332" s="387">
        <v>1</v>
      </c>
      <c r="M332" s="387">
        <v>0</v>
      </c>
      <c r="N332" s="387">
        <f t="shared" si="62"/>
        <v>1</v>
      </c>
      <c r="O332" s="387">
        <v>0</v>
      </c>
      <c r="P332" s="387" t="s">
        <v>1358</v>
      </c>
      <c r="Q332" s="3">
        <v>85.69</v>
      </c>
      <c r="R332" s="480"/>
      <c r="S332" s="2">
        <v>0</v>
      </c>
      <c r="T332" s="459">
        <f t="shared" si="65"/>
        <v>85.69</v>
      </c>
      <c r="U332" s="480"/>
      <c r="V332" s="411">
        <v>0</v>
      </c>
      <c r="W332" s="411">
        <v>0</v>
      </c>
      <c r="X332" s="436">
        <v>0</v>
      </c>
      <c r="Y332" s="411">
        <v>0</v>
      </c>
      <c r="Z332" s="436">
        <v>0</v>
      </c>
      <c r="AA332" s="437">
        <f t="shared" si="64"/>
        <v>0</v>
      </c>
      <c r="AB332" s="455">
        <f t="shared" si="63"/>
        <v>0</v>
      </c>
      <c r="AC332" s="456">
        <v>0</v>
      </c>
      <c r="AD332" s="480"/>
      <c r="AE332" s="480"/>
      <c r="AF332" s="481"/>
    </row>
    <row r="333" spans="2:32" hidden="1" x14ac:dyDescent="0.25">
      <c r="B333" s="1" t="s">
        <v>1711</v>
      </c>
      <c r="C333" s="387" t="s">
        <v>1368</v>
      </c>
      <c r="D333" s="3" t="s">
        <v>1224</v>
      </c>
      <c r="E333" s="551" t="s">
        <v>1433</v>
      </c>
      <c r="F333" s="407" t="s">
        <v>3201</v>
      </c>
      <c r="G333" s="413" t="s">
        <v>3326</v>
      </c>
      <c r="H333" s="413" t="s">
        <v>4109</v>
      </c>
      <c r="I333" s="413" t="s">
        <v>4190</v>
      </c>
      <c r="J333" s="413" t="s">
        <v>3819</v>
      </c>
      <c r="K333" s="413" t="s">
        <v>3690</v>
      </c>
      <c r="L333" s="387">
        <v>1</v>
      </c>
      <c r="M333" s="387">
        <v>0</v>
      </c>
      <c r="N333" s="387">
        <f t="shared" si="62"/>
        <v>1</v>
      </c>
      <c r="O333" s="387">
        <v>0</v>
      </c>
      <c r="P333" s="387" t="s">
        <v>1358</v>
      </c>
      <c r="Q333" s="3">
        <v>85.69</v>
      </c>
      <c r="R333" s="480"/>
      <c r="S333" s="2">
        <v>0</v>
      </c>
      <c r="T333" s="459">
        <f t="shared" si="65"/>
        <v>85.69</v>
      </c>
      <c r="U333" s="480"/>
      <c r="V333" s="411">
        <v>0</v>
      </c>
      <c r="W333" s="411">
        <v>0</v>
      </c>
      <c r="X333" s="436">
        <v>0</v>
      </c>
      <c r="Y333" s="411">
        <v>0</v>
      </c>
      <c r="Z333" s="436">
        <v>0</v>
      </c>
      <c r="AA333" s="437">
        <f t="shared" si="64"/>
        <v>0</v>
      </c>
      <c r="AB333" s="455">
        <f t="shared" si="63"/>
        <v>0</v>
      </c>
      <c r="AC333" s="456">
        <v>0</v>
      </c>
      <c r="AD333" s="480"/>
      <c r="AE333" s="480"/>
      <c r="AF333" s="481"/>
    </row>
    <row r="334" spans="2:32" hidden="1" x14ac:dyDescent="0.25">
      <c r="B334" s="1" t="s">
        <v>1712</v>
      </c>
      <c r="C334" s="387" t="s">
        <v>1368</v>
      </c>
      <c r="D334" s="3" t="s">
        <v>1224</v>
      </c>
      <c r="E334" s="551" t="s">
        <v>1433</v>
      </c>
      <c r="F334" s="407" t="s">
        <v>3201</v>
      </c>
      <c r="G334" s="413" t="s">
        <v>3326</v>
      </c>
      <c r="H334" s="413" t="s">
        <v>4109</v>
      </c>
      <c r="I334" s="413" t="s">
        <v>4190</v>
      </c>
      <c r="J334" s="413" t="s">
        <v>3819</v>
      </c>
      <c r="K334" s="413" t="s">
        <v>3691</v>
      </c>
      <c r="L334" s="387">
        <v>1</v>
      </c>
      <c r="M334" s="387">
        <v>0</v>
      </c>
      <c r="N334" s="387">
        <f t="shared" si="62"/>
        <v>1</v>
      </c>
      <c r="O334" s="387">
        <v>0</v>
      </c>
      <c r="P334" s="387" t="s">
        <v>1358</v>
      </c>
      <c r="Q334" s="3">
        <v>85.69</v>
      </c>
      <c r="R334" s="480"/>
      <c r="S334" s="2">
        <v>0</v>
      </c>
      <c r="T334" s="459">
        <f t="shared" si="65"/>
        <v>85.69</v>
      </c>
      <c r="U334" s="480"/>
      <c r="V334" s="411">
        <v>0</v>
      </c>
      <c r="W334" s="411">
        <v>0</v>
      </c>
      <c r="X334" s="436">
        <v>0</v>
      </c>
      <c r="Y334" s="411">
        <v>0</v>
      </c>
      <c r="Z334" s="436">
        <v>0</v>
      </c>
      <c r="AA334" s="437">
        <f t="shared" si="64"/>
        <v>0</v>
      </c>
      <c r="AB334" s="455">
        <f t="shared" si="63"/>
        <v>0</v>
      </c>
      <c r="AC334" s="456">
        <v>0</v>
      </c>
      <c r="AD334" s="480"/>
      <c r="AE334" s="480"/>
      <c r="AF334" s="481"/>
    </row>
    <row r="335" spans="2:32" hidden="1" x14ac:dyDescent="0.25">
      <c r="B335" s="1" t="s">
        <v>1713</v>
      </c>
      <c r="C335" s="387" t="s">
        <v>1368</v>
      </c>
      <c r="D335" s="3" t="s">
        <v>1224</v>
      </c>
      <c r="E335" s="551" t="s">
        <v>1433</v>
      </c>
      <c r="F335" s="407" t="s">
        <v>3201</v>
      </c>
      <c r="G335" s="413" t="s">
        <v>3326</v>
      </c>
      <c r="H335" s="413" t="s">
        <v>4109</v>
      </c>
      <c r="I335" s="413" t="s">
        <v>4190</v>
      </c>
      <c r="J335" s="413" t="s">
        <v>3819</v>
      </c>
      <c r="K335" s="413" t="s">
        <v>3692</v>
      </c>
      <c r="L335" s="387">
        <v>1</v>
      </c>
      <c r="M335" s="387">
        <v>0</v>
      </c>
      <c r="N335" s="387">
        <f t="shared" si="62"/>
        <v>1</v>
      </c>
      <c r="O335" s="387">
        <v>0</v>
      </c>
      <c r="P335" s="387" t="s">
        <v>1358</v>
      </c>
      <c r="Q335" s="3">
        <v>85.69</v>
      </c>
      <c r="R335" s="480"/>
      <c r="S335" s="2">
        <v>0</v>
      </c>
      <c r="T335" s="459">
        <f t="shared" si="65"/>
        <v>85.69</v>
      </c>
      <c r="U335" s="480"/>
      <c r="V335" s="411">
        <v>0</v>
      </c>
      <c r="W335" s="411">
        <v>0</v>
      </c>
      <c r="X335" s="436">
        <v>0</v>
      </c>
      <c r="Y335" s="411">
        <v>0</v>
      </c>
      <c r="Z335" s="436">
        <v>0</v>
      </c>
      <c r="AA335" s="437">
        <f t="shared" si="64"/>
        <v>0</v>
      </c>
      <c r="AB335" s="455">
        <f t="shared" si="63"/>
        <v>0</v>
      </c>
      <c r="AC335" s="456">
        <v>0</v>
      </c>
      <c r="AD335" s="480"/>
      <c r="AE335" s="480"/>
      <c r="AF335" s="481"/>
    </row>
    <row r="336" spans="2:32" hidden="1" x14ac:dyDescent="0.25">
      <c r="B336" s="1" t="s">
        <v>1714</v>
      </c>
      <c r="C336" s="387" t="s">
        <v>1368</v>
      </c>
      <c r="D336" s="3" t="s">
        <v>1224</v>
      </c>
      <c r="E336" s="551" t="s">
        <v>3291</v>
      </c>
      <c r="F336" s="407" t="s">
        <v>3201</v>
      </c>
      <c r="G336" s="413" t="s">
        <v>3410</v>
      </c>
      <c r="H336" s="413" t="s">
        <v>4109</v>
      </c>
      <c r="I336" s="413" t="s">
        <v>4191</v>
      </c>
      <c r="J336" s="413" t="s">
        <v>3907</v>
      </c>
      <c r="K336" s="413" t="s">
        <v>3693</v>
      </c>
      <c r="L336" s="387">
        <v>1</v>
      </c>
      <c r="M336" s="387">
        <v>0</v>
      </c>
      <c r="N336" s="387">
        <f t="shared" si="62"/>
        <v>1</v>
      </c>
      <c r="O336" s="387">
        <v>0</v>
      </c>
      <c r="P336" s="387" t="s">
        <v>1358</v>
      </c>
      <c r="Q336" s="3">
        <v>96.4</v>
      </c>
      <c r="R336" s="480"/>
      <c r="S336" s="2">
        <v>0</v>
      </c>
      <c r="T336" s="459">
        <f t="shared" si="65"/>
        <v>96.4</v>
      </c>
      <c r="U336" s="480"/>
      <c r="V336" s="411">
        <v>1</v>
      </c>
      <c r="W336" s="411">
        <v>1</v>
      </c>
      <c r="X336" s="436">
        <v>0</v>
      </c>
      <c r="Y336" s="411">
        <v>1</v>
      </c>
      <c r="Z336" s="436">
        <v>0</v>
      </c>
      <c r="AA336" s="437">
        <f t="shared" si="64"/>
        <v>0.99999999999999989</v>
      </c>
      <c r="AB336" s="455">
        <f t="shared" si="63"/>
        <v>96.399999999999991</v>
      </c>
      <c r="AC336" s="456">
        <v>0</v>
      </c>
      <c r="AD336" s="480"/>
      <c r="AE336" s="480"/>
      <c r="AF336" s="481"/>
    </row>
    <row r="337" spans="2:32" hidden="1" x14ac:dyDescent="0.25">
      <c r="B337" s="1" t="s">
        <v>1715</v>
      </c>
      <c r="C337" s="387" t="s">
        <v>1368</v>
      </c>
      <c r="D337" s="3" t="s">
        <v>1224</v>
      </c>
      <c r="E337" s="551" t="s">
        <v>3291</v>
      </c>
      <c r="F337" s="407" t="s">
        <v>3201</v>
      </c>
      <c r="G337" s="413" t="s">
        <v>3410</v>
      </c>
      <c r="H337" s="413" t="s">
        <v>4109</v>
      </c>
      <c r="I337" s="413" t="s">
        <v>4191</v>
      </c>
      <c r="J337" s="413" t="s">
        <v>3907</v>
      </c>
      <c r="K337" s="413" t="s">
        <v>3694</v>
      </c>
      <c r="L337" s="387">
        <v>1</v>
      </c>
      <c r="M337" s="387">
        <v>0</v>
      </c>
      <c r="N337" s="387">
        <f t="shared" si="62"/>
        <v>1</v>
      </c>
      <c r="O337" s="387">
        <v>0</v>
      </c>
      <c r="P337" s="387" t="s">
        <v>1358</v>
      </c>
      <c r="Q337" s="3">
        <v>96.4</v>
      </c>
      <c r="R337" s="480"/>
      <c r="S337" s="2">
        <v>0</v>
      </c>
      <c r="T337" s="459">
        <f t="shared" si="65"/>
        <v>96.4</v>
      </c>
      <c r="U337" s="480"/>
      <c r="V337" s="411">
        <v>1</v>
      </c>
      <c r="W337" s="411">
        <v>1</v>
      </c>
      <c r="X337" s="436">
        <v>0</v>
      </c>
      <c r="Y337" s="411">
        <v>1</v>
      </c>
      <c r="Z337" s="436">
        <v>0</v>
      </c>
      <c r="AA337" s="437">
        <f t="shared" si="64"/>
        <v>0.99999999999999989</v>
      </c>
      <c r="AB337" s="455">
        <f t="shared" si="63"/>
        <v>96.399999999999991</v>
      </c>
      <c r="AC337" s="456">
        <v>0</v>
      </c>
      <c r="AD337" s="480"/>
      <c r="AE337" s="480"/>
      <c r="AF337" s="481"/>
    </row>
    <row r="338" spans="2:32" hidden="1" x14ac:dyDescent="0.25">
      <c r="B338" s="1" t="s">
        <v>1716</v>
      </c>
      <c r="C338" s="387" t="s">
        <v>1368</v>
      </c>
      <c r="D338" s="3" t="s">
        <v>1224</v>
      </c>
      <c r="E338" s="551" t="s">
        <v>3292</v>
      </c>
      <c r="F338" s="407" t="s">
        <v>3201</v>
      </c>
      <c r="G338" s="413" t="s">
        <v>3411</v>
      </c>
      <c r="H338" s="413" t="s">
        <v>4109</v>
      </c>
      <c r="I338" s="413" t="s">
        <v>4192</v>
      </c>
      <c r="J338" s="413" t="s">
        <v>3908</v>
      </c>
      <c r="K338" s="413" t="s">
        <v>3695</v>
      </c>
      <c r="L338" s="387">
        <v>1</v>
      </c>
      <c r="M338" s="387">
        <v>0</v>
      </c>
      <c r="N338" s="387">
        <f t="shared" si="62"/>
        <v>1</v>
      </c>
      <c r="O338" s="387">
        <v>0</v>
      </c>
      <c r="P338" s="387" t="s">
        <v>1358</v>
      </c>
      <c r="Q338" s="3">
        <v>96.4</v>
      </c>
      <c r="R338" s="480"/>
      <c r="S338" s="2">
        <v>0</v>
      </c>
      <c r="T338" s="459">
        <f t="shared" si="65"/>
        <v>96.4</v>
      </c>
      <c r="U338" s="480"/>
      <c r="V338" s="411">
        <v>1</v>
      </c>
      <c r="W338" s="411">
        <v>1</v>
      </c>
      <c r="X338" s="436">
        <v>0</v>
      </c>
      <c r="Y338" s="411">
        <v>1</v>
      </c>
      <c r="Z338" s="436">
        <v>0</v>
      </c>
      <c r="AA338" s="437">
        <f t="shared" si="64"/>
        <v>0.99999999999999989</v>
      </c>
      <c r="AB338" s="455">
        <f t="shared" si="63"/>
        <v>96.399999999999991</v>
      </c>
      <c r="AC338" s="456">
        <v>0</v>
      </c>
      <c r="AD338" s="480"/>
      <c r="AE338" s="480"/>
      <c r="AF338" s="481"/>
    </row>
    <row r="339" spans="2:32" hidden="1" x14ac:dyDescent="0.25">
      <c r="B339" s="1" t="s">
        <v>1717</v>
      </c>
      <c r="C339" s="387" t="s">
        <v>1368</v>
      </c>
      <c r="D339" s="3" t="s">
        <v>1224</v>
      </c>
      <c r="E339" s="551" t="s">
        <v>3292</v>
      </c>
      <c r="F339" s="407" t="s">
        <v>3201</v>
      </c>
      <c r="G339" s="413" t="s">
        <v>3411</v>
      </c>
      <c r="H339" s="413" t="s">
        <v>4109</v>
      </c>
      <c r="I339" s="413" t="s">
        <v>4192</v>
      </c>
      <c r="J339" s="413" t="s">
        <v>3908</v>
      </c>
      <c r="K339" s="413" t="s">
        <v>3696</v>
      </c>
      <c r="L339" s="387">
        <v>1</v>
      </c>
      <c r="M339" s="387">
        <v>0</v>
      </c>
      <c r="N339" s="387">
        <f t="shared" si="62"/>
        <v>1</v>
      </c>
      <c r="O339" s="387">
        <v>0</v>
      </c>
      <c r="P339" s="387" t="s">
        <v>1358</v>
      </c>
      <c r="Q339" s="3">
        <v>96.4</v>
      </c>
      <c r="R339" s="480"/>
      <c r="S339" s="2">
        <v>0</v>
      </c>
      <c r="T339" s="459">
        <f t="shared" si="65"/>
        <v>96.4</v>
      </c>
      <c r="U339" s="480"/>
      <c r="V339" s="411">
        <v>1</v>
      </c>
      <c r="W339" s="411">
        <v>1</v>
      </c>
      <c r="X339" s="436">
        <v>0</v>
      </c>
      <c r="Y339" s="411">
        <v>1</v>
      </c>
      <c r="Z339" s="436">
        <v>0</v>
      </c>
      <c r="AA339" s="437">
        <f t="shared" si="64"/>
        <v>0.99999999999999989</v>
      </c>
      <c r="AB339" s="455">
        <f t="shared" si="63"/>
        <v>96.399999999999991</v>
      </c>
      <c r="AC339" s="456">
        <v>0</v>
      </c>
      <c r="AD339" s="480"/>
      <c r="AE339" s="480"/>
      <c r="AF339" s="481"/>
    </row>
    <row r="340" spans="2:32" hidden="1" x14ac:dyDescent="0.25">
      <c r="B340" s="1" t="s">
        <v>1718</v>
      </c>
      <c r="C340" s="387" t="s">
        <v>1368</v>
      </c>
      <c r="D340" s="3" t="s">
        <v>1224</v>
      </c>
      <c r="E340" s="551" t="s">
        <v>3293</v>
      </c>
      <c r="F340" s="407" t="s">
        <v>3201</v>
      </c>
      <c r="G340" s="413" t="s">
        <v>3412</v>
      </c>
      <c r="H340" s="413" t="s">
        <v>4109</v>
      </c>
      <c r="I340" s="413" t="s">
        <v>4193</v>
      </c>
      <c r="J340" s="413" t="s">
        <v>3909</v>
      </c>
      <c r="K340" s="413" t="s">
        <v>3697</v>
      </c>
      <c r="L340" s="387">
        <v>1</v>
      </c>
      <c r="M340" s="387">
        <v>0</v>
      </c>
      <c r="N340" s="387">
        <f t="shared" si="62"/>
        <v>1</v>
      </c>
      <c r="O340" s="387">
        <v>0</v>
      </c>
      <c r="P340" s="387" t="s">
        <v>1358</v>
      </c>
      <c r="Q340" s="3">
        <v>96.4</v>
      </c>
      <c r="R340" s="480"/>
      <c r="S340" s="2">
        <v>0</v>
      </c>
      <c r="T340" s="459">
        <f t="shared" si="65"/>
        <v>96.4</v>
      </c>
      <c r="U340" s="480"/>
      <c r="V340" s="411">
        <v>1</v>
      </c>
      <c r="W340" s="411">
        <v>1</v>
      </c>
      <c r="X340" s="436">
        <v>0</v>
      </c>
      <c r="Y340" s="411">
        <v>1</v>
      </c>
      <c r="Z340" s="436">
        <v>0</v>
      </c>
      <c r="AA340" s="437">
        <f t="shared" si="64"/>
        <v>0.99999999999999989</v>
      </c>
      <c r="AB340" s="455">
        <f t="shared" si="63"/>
        <v>96.399999999999991</v>
      </c>
      <c r="AC340" s="456">
        <v>0</v>
      </c>
      <c r="AD340" s="480"/>
      <c r="AE340" s="480"/>
      <c r="AF340" s="481"/>
    </row>
    <row r="341" spans="2:32" hidden="1" x14ac:dyDescent="0.25">
      <c r="B341" s="1" t="s">
        <v>1719</v>
      </c>
      <c r="C341" s="387" t="s">
        <v>1368</v>
      </c>
      <c r="D341" s="3" t="s">
        <v>1224</v>
      </c>
      <c r="E341" s="551" t="s">
        <v>3293</v>
      </c>
      <c r="F341" s="407" t="s">
        <v>3201</v>
      </c>
      <c r="G341" s="413" t="s">
        <v>3412</v>
      </c>
      <c r="H341" s="413" t="s">
        <v>4109</v>
      </c>
      <c r="I341" s="413" t="s">
        <v>4193</v>
      </c>
      <c r="J341" s="413" t="s">
        <v>3909</v>
      </c>
      <c r="K341" s="413" t="s">
        <v>3698</v>
      </c>
      <c r="L341" s="387">
        <v>1</v>
      </c>
      <c r="M341" s="387">
        <v>0</v>
      </c>
      <c r="N341" s="387">
        <f t="shared" si="62"/>
        <v>1</v>
      </c>
      <c r="O341" s="387">
        <v>0</v>
      </c>
      <c r="P341" s="387" t="s">
        <v>1358</v>
      </c>
      <c r="Q341" s="3">
        <v>96.4</v>
      </c>
      <c r="R341" s="480"/>
      <c r="S341" s="2">
        <v>0</v>
      </c>
      <c r="T341" s="459">
        <f t="shared" si="65"/>
        <v>96.4</v>
      </c>
      <c r="U341" s="480"/>
      <c r="V341" s="411">
        <v>1</v>
      </c>
      <c r="W341" s="411">
        <v>1</v>
      </c>
      <c r="X341" s="436">
        <v>0</v>
      </c>
      <c r="Y341" s="411">
        <v>1</v>
      </c>
      <c r="Z341" s="436">
        <v>0</v>
      </c>
      <c r="AA341" s="437">
        <f t="shared" si="64"/>
        <v>0.99999999999999989</v>
      </c>
      <c r="AB341" s="455">
        <f t="shared" si="63"/>
        <v>96.399999999999991</v>
      </c>
      <c r="AC341" s="456">
        <v>0</v>
      </c>
      <c r="AD341" s="480"/>
      <c r="AE341" s="480"/>
      <c r="AF341" s="481"/>
    </row>
    <row r="342" spans="2:32" hidden="1" x14ac:dyDescent="0.25">
      <c r="B342" s="1" t="s">
        <v>1720</v>
      </c>
      <c r="C342" s="387" t="s">
        <v>1368</v>
      </c>
      <c r="D342" s="3" t="s">
        <v>1224</v>
      </c>
      <c r="E342" s="551" t="s">
        <v>3294</v>
      </c>
      <c r="F342" s="407" t="s">
        <v>3201</v>
      </c>
      <c r="G342" s="413" t="s">
        <v>3413</v>
      </c>
      <c r="H342" s="413" t="s">
        <v>4109</v>
      </c>
      <c r="I342" s="413" t="s">
        <v>4194</v>
      </c>
      <c r="J342" s="413" t="s">
        <v>3910</v>
      </c>
      <c r="K342" s="413" t="s">
        <v>3699</v>
      </c>
      <c r="L342" s="387">
        <v>1</v>
      </c>
      <c r="M342" s="387">
        <v>0</v>
      </c>
      <c r="N342" s="387">
        <f t="shared" si="62"/>
        <v>1</v>
      </c>
      <c r="O342" s="387">
        <v>0</v>
      </c>
      <c r="P342" s="387" t="s">
        <v>1358</v>
      </c>
      <c r="Q342" s="3">
        <v>96.4</v>
      </c>
      <c r="R342" s="480"/>
      <c r="S342" s="2">
        <v>0</v>
      </c>
      <c r="T342" s="459">
        <f t="shared" si="65"/>
        <v>96.4</v>
      </c>
      <c r="U342" s="480"/>
      <c r="V342" s="411">
        <v>1</v>
      </c>
      <c r="W342" s="411">
        <v>1</v>
      </c>
      <c r="X342" s="436">
        <v>0</v>
      </c>
      <c r="Y342" s="411">
        <v>1</v>
      </c>
      <c r="Z342" s="436">
        <v>0</v>
      </c>
      <c r="AA342" s="437">
        <f t="shared" si="64"/>
        <v>0.99999999999999989</v>
      </c>
      <c r="AB342" s="455">
        <f t="shared" si="63"/>
        <v>96.399999999999991</v>
      </c>
      <c r="AC342" s="456">
        <v>0</v>
      </c>
      <c r="AD342" s="480"/>
      <c r="AE342" s="480"/>
      <c r="AF342" s="481"/>
    </row>
    <row r="343" spans="2:32" hidden="1" x14ac:dyDescent="0.25">
      <c r="B343" s="1" t="s">
        <v>1721</v>
      </c>
      <c r="C343" s="387" t="s">
        <v>1368</v>
      </c>
      <c r="D343" s="3" t="s">
        <v>1224</v>
      </c>
      <c r="E343" s="551" t="s">
        <v>3294</v>
      </c>
      <c r="F343" s="407" t="s">
        <v>3201</v>
      </c>
      <c r="G343" s="413" t="s">
        <v>3413</v>
      </c>
      <c r="H343" s="413" t="s">
        <v>4109</v>
      </c>
      <c r="I343" s="413" t="s">
        <v>4194</v>
      </c>
      <c r="J343" s="413" t="s">
        <v>3910</v>
      </c>
      <c r="K343" s="413" t="s">
        <v>3700</v>
      </c>
      <c r="L343" s="387">
        <v>1</v>
      </c>
      <c r="M343" s="387">
        <v>0</v>
      </c>
      <c r="N343" s="387">
        <f t="shared" si="62"/>
        <v>1</v>
      </c>
      <c r="O343" s="387">
        <v>0</v>
      </c>
      <c r="P343" s="387" t="s">
        <v>1358</v>
      </c>
      <c r="Q343" s="3">
        <v>96.4</v>
      </c>
      <c r="R343" s="480"/>
      <c r="S343" s="2">
        <v>0</v>
      </c>
      <c r="T343" s="459">
        <f t="shared" si="65"/>
        <v>96.4</v>
      </c>
      <c r="U343" s="480"/>
      <c r="V343" s="411">
        <v>1</v>
      </c>
      <c r="W343" s="411">
        <v>1</v>
      </c>
      <c r="X343" s="436">
        <v>0</v>
      </c>
      <c r="Y343" s="411">
        <v>1</v>
      </c>
      <c r="Z343" s="436">
        <v>0</v>
      </c>
      <c r="AA343" s="437">
        <f t="shared" si="64"/>
        <v>0.99999999999999989</v>
      </c>
      <c r="AB343" s="455">
        <f t="shared" si="63"/>
        <v>96.399999999999991</v>
      </c>
      <c r="AC343" s="456">
        <v>0</v>
      </c>
      <c r="AD343" s="480"/>
      <c r="AE343" s="480"/>
      <c r="AF343" s="481"/>
    </row>
    <row r="344" spans="2:32" hidden="1" x14ac:dyDescent="0.25">
      <c r="B344" s="1" t="s">
        <v>1722</v>
      </c>
      <c r="C344" s="387" t="s">
        <v>1368</v>
      </c>
      <c r="D344" s="3" t="s">
        <v>1224</v>
      </c>
      <c r="E344" s="551" t="s">
        <v>3306</v>
      </c>
      <c r="F344" s="407" t="s">
        <v>3201</v>
      </c>
      <c r="G344" s="413" t="s">
        <v>3423</v>
      </c>
      <c r="H344" s="413" t="s">
        <v>4109</v>
      </c>
      <c r="I344" s="413" t="s">
        <v>4195</v>
      </c>
      <c r="J344" s="413" t="s">
        <v>3922</v>
      </c>
      <c r="K344" s="413" t="s">
        <v>3701</v>
      </c>
      <c r="L344" s="387">
        <v>1</v>
      </c>
      <c r="M344" s="387">
        <v>0</v>
      </c>
      <c r="N344" s="387">
        <f t="shared" si="62"/>
        <v>1</v>
      </c>
      <c r="O344" s="387">
        <v>0</v>
      </c>
      <c r="P344" s="387" t="s">
        <v>1358</v>
      </c>
      <c r="Q344" s="3">
        <v>96.4</v>
      </c>
      <c r="R344" s="480"/>
      <c r="S344" s="2">
        <v>0</v>
      </c>
      <c r="T344" s="459">
        <f t="shared" si="65"/>
        <v>96.4</v>
      </c>
      <c r="U344" s="480"/>
      <c r="V344" s="411">
        <v>0</v>
      </c>
      <c r="W344" s="411">
        <v>0</v>
      </c>
      <c r="X344" s="436">
        <v>0</v>
      </c>
      <c r="Y344" s="411">
        <v>0</v>
      </c>
      <c r="Z344" s="436">
        <v>0</v>
      </c>
      <c r="AA344" s="437">
        <f t="shared" si="64"/>
        <v>0</v>
      </c>
      <c r="AB344" s="455">
        <f t="shared" si="63"/>
        <v>0</v>
      </c>
      <c r="AC344" s="456">
        <v>0</v>
      </c>
      <c r="AD344" s="480"/>
      <c r="AE344" s="480"/>
      <c r="AF344" s="481"/>
    </row>
    <row r="345" spans="2:32" hidden="1" x14ac:dyDescent="0.25">
      <c r="B345" s="1" t="s">
        <v>1723</v>
      </c>
      <c r="C345" s="387" t="s">
        <v>1368</v>
      </c>
      <c r="D345" s="3" t="s">
        <v>1224</v>
      </c>
      <c r="E345" s="551" t="s">
        <v>3306</v>
      </c>
      <c r="F345" s="407" t="s">
        <v>3201</v>
      </c>
      <c r="G345" s="413" t="s">
        <v>3423</v>
      </c>
      <c r="H345" s="413" t="s">
        <v>4109</v>
      </c>
      <c r="I345" s="413" t="s">
        <v>4195</v>
      </c>
      <c r="J345" s="413" t="s">
        <v>3922</v>
      </c>
      <c r="K345" s="413" t="s">
        <v>3702</v>
      </c>
      <c r="L345" s="387">
        <v>1</v>
      </c>
      <c r="M345" s="387">
        <v>0</v>
      </c>
      <c r="N345" s="387">
        <f t="shared" si="62"/>
        <v>1</v>
      </c>
      <c r="O345" s="387">
        <v>0</v>
      </c>
      <c r="P345" s="387" t="s">
        <v>1358</v>
      </c>
      <c r="Q345" s="3">
        <v>96.4</v>
      </c>
      <c r="R345" s="480"/>
      <c r="S345" s="2">
        <v>0</v>
      </c>
      <c r="T345" s="459">
        <f t="shared" si="65"/>
        <v>96.4</v>
      </c>
      <c r="U345" s="480"/>
      <c r="V345" s="411">
        <v>0</v>
      </c>
      <c r="W345" s="411">
        <v>0</v>
      </c>
      <c r="X345" s="436">
        <v>0</v>
      </c>
      <c r="Y345" s="411">
        <v>0</v>
      </c>
      <c r="Z345" s="436">
        <v>0</v>
      </c>
      <c r="AA345" s="437">
        <f t="shared" si="64"/>
        <v>0</v>
      </c>
      <c r="AB345" s="455">
        <f t="shared" si="63"/>
        <v>0</v>
      </c>
      <c r="AC345" s="456">
        <v>0</v>
      </c>
      <c r="AD345" s="480"/>
      <c r="AE345" s="480"/>
      <c r="AF345" s="481"/>
    </row>
    <row r="346" spans="2:32" hidden="1" x14ac:dyDescent="0.25">
      <c r="B346" s="1" t="s">
        <v>1724</v>
      </c>
      <c r="C346" s="387" t="s">
        <v>1368</v>
      </c>
      <c r="D346" s="3" t="s">
        <v>1224</v>
      </c>
      <c r="E346" s="551" t="s">
        <v>3218</v>
      </c>
      <c r="F346" s="407" t="s">
        <v>3201</v>
      </c>
      <c r="G346" s="413" t="s">
        <v>3341</v>
      </c>
      <c r="H346" s="413" t="s">
        <v>4109</v>
      </c>
      <c r="I346" s="413" t="s">
        <v>4196</v>
      </c>
      <c r="J346" s="413" t="s">
        <v>3834</v>
      </c>
      <c r="K346" s="413" t="s">
        <v>3703</v>
      </c>
      <c r="L346" s="387">
        <v>1</v>
      </c>
      <c r="M346" s="387">
        <v>0</v>
      </c>
      <c r="N346" s="387">
        <f t="shared" si="62"/>
        <v>1</v>
      </c>
      <c r="O346" s="387">
        <v>0</v>
      </c>
      <c r="P346" s="387" t="s">
        <v>1358</v>
      </c>
      <c r="Q346" s="3">
        <v>192</v>
      </c>
      <c r="R346" s="480"/>
      <c r="S346" s="2">
        <v>0</v>
      </c>
      <c r="T346" s="459">
        <f t="shared" si="65"/>
        <v>192</v>
      </c>
      <c r="U346" s="480"/>
      <c r="V346" s="411">
        <v>0</v>
      </c>
      <c r="W346" s="411">
        <v>0</v>
      </c>
      <c r="X346" s="436">
        <v>0</v>
      </c>
      <c r="Y346" s="411">
        <v>0</v>
      </c>
      <c r="Z346" s="436">
        <v>0</v>
      </c>
      <c r="AA346" s="437">
        <f t="shared" si="64"/>
        <v>0</v>
      </c>
      <c r="AB346" s="455">
        <f t="shared" si="63"/>
        <v>0</v>
      </c>
      <c r="AC346" s="456">
        <v>0</v>
      </c>
      <c r="AD346" s="480"/>
      <c r="AE346" s="480"/>
      <c r="AF346" s="481"/>
    </row>
    <row r="347" spans="2:32" hidden="1" x14ac:dyDescent="0.25">
      <c r="B347" s="1" t="s">
        <v>1725</v>
      </c>
      <c r="C347" s="387" t="s">
        <v>1368</v>
      </c>
      <c r="D347" s="3" t="s">
        <v>1224</v>
      </c>
      <c r="E347" s="551" t="s">
        <v>3224</v>
      </c>
      <c r="F347" s="407" t="s">
        <v>3201</v>
      </c>
      <c r="G347" s="413" t="s">
        <v>3347</v>
      </c>
      <c r="H347" s="413" t="s">
        <v>4109</v>
      </c>
      <c r="I347" s="413" t="s">
        <v>4197</v>
      </c>
      <c r="J347" s="413" t="s">
        <v>3840</v>
      </c>
      <c r="K347" s="413" t="s">
        <v>3704</v>
      </c>
      <c r="L347" s="387">
        <v>1</v>
      </c>
      <c r="M347" s="387">
        <v>0</v>
      </c>
      <c r="N347" s="387">
        <f t="shared" si="62"/>
        <v>1</v>
      </c>
      <c r="O347" s="387">
        <v>0</v>
      </c>
      <c r="P347" s="387" t="s">
        <v>1358</v>
      </c>
      <c r="Q347" s="3">
        <v>128.54</v>
      </c>
      <c r="R347" s="480"/>
      <c r="S347" s="2">
        <v>0</v>
      </c>
      <c r="T347" s="459">
        <v>192</v>
      </c>
      <c r="U347" s="480"/>
      <c r="V347" s="411">
        <v>1</v>
      </c>
      <c r="W347" s="411">
        <v>1</v>
      </c>
      <c r="X347" s="436">
        <v>0</v>
      </c>
      <c r="Y347" s="411">
        <v>1</v>
      </c>
      <c r="Z347" s="436">
        <v>0</v>
      </c>
      <c r="AA347" s="437">
        <f t="shared" si="64"/>
        <v>1</v>
      </c>
      <c r="AB347" s="455">
        <f t="shared" si="63"/>
        <v>192</v>
      </c>
      <c r="AC347" s="456">
        <v>0</v>
      </c>
      <c r="AD347" s="480"/>
      <c r="AE347" s="480"/>
      <c r="AF347" s="481"/>
    </row>
    <row r="348" spans="2:32" hidden="1" x14ac:dyDescent="0.25">
      <c r="B348" s="1" t="s">
        <v>1726</v>
      </c>
      <c r="C348" s="387" t="s">
        <v>1368</v>
      </c>
      <c r="D348" s="3" t="s">
        <v>1224</v>
      </c>
      <c r="E348" s="551" t="s">
        <v>3546</v>
      </c>
      <c r="F348" s="407" t="s">
        <v>3201</v>
      </c>
      <c r="G348" s="413" t="s">
        <v>3745</v>
      </c>
      <c r="H348" s="413" t="s">
        <v>4109</v>
      </c>
      <c r="I348" s="413" t="s">
        <v>4198</v>
      </c>
      <c r="J348" s="413" t="s">
        <v>3924</v>
      </c>
      <c r="K348" s="413" t="s">
        <v>3705</v>
      </c>
      <c r="L348" s="387">
        <v>1</v>
      </c>
      <c r="M348" s="387">
        <v>0</v>
      </c>
      <c r="N348" s="387">
        <f t="shared" si="62"/>
        <v>1</v>
      </c>
      <c r="O348" s="387">
        <v>0</v>
      </c>
      <c r="P348" s="387" t="s">
        <v>1358</v>
      </c>
      <c r="Q348" s="3">
        <v>64.27</v>
      </c>
      <c r="R348" s="480"/>
      <c r="S348" s="2">
        <v>0</v>
      </c>
      <c r="T348" s="459">
        <f t="shared" si="65"/>
        <v>64.27</v>
      </c>
      <c r="U348" s="480"/>
      <c r="V348" s="411">
        <v>0</v>
      </c>
      <c r="W348" s="411">
        <v>0</v>
      </c>
      <c r="X348" s="436">
        <v>0</v>
      </c>
      <c r="Y348" s="411">
        <v>0</v>
      </c>
      <c r="Z348" s="436">
        <v>0</v>
      </c>
      <c r="AA348" s="437">
        <f t="shared" si="64"/>
        <v>0</v>
      </c>
      <c r="AB348" s="455">
        <f t="shared" si="63"/>
        <v>0</v>
      </c>
      <c r="AC348" s="456">
        <v>0</v>
      </c>
      <c r="AD348" s="480"/>
      <c r="AE348" s="480"/>
      <c r="AF348" s="481"/>
    </row>
    <row r="349" spans="2:32" hidden="1" x14ac:dyDescent="0.25">
      <c r="B349" s="1" t="s">
        <v>1727</v>
      </c>
      <c r="C349" s="387" t="s">
        <v>1368</v>
      </c>
      <c r="D349" s="3" t="s">
        <v>1224</v>
      </c>
      <c r="E349" s="551" t="s">
        <v>3546</v>
      </c>
      <c r="F349" s="407" t="s">
        <v>3201</v>
      </c>
      <c r="G349" s="413" t="s">
        <v>3745</v>
      </c>
      <c r="H349" s="413" t="s">
        <v>4109</v>
      </c>
      <c r="I349" s="413" t="s">
        <v>4198</v>
      </c>
      <c r="J349" s="413" t="s">
        <v>3924</v>
      </c>
      <c r="K349" s="413" t="s">
        <v>3706</v>
      </c>
      <c r="L349" s="387">
        <v>1</v>
      </c>
      <c r="M349" s="387">
        <v>0</v>
      </c>
      <c r="N349" s="387">
        <f t="shared" si="62"/>
        <v>1</v>
      </c>
      <c r="O349" s="387">
        <v>0</v>
      </c>
      <c r="P349" s="387" t="s">
        <v>1358</v>
      </c>
      <c r="Q349" s="3">
        <v>64.27</v>
      </c>
      <c r="R349" s="480"/>
      <c r="S349" s="2">
        <v>0</v>
      </c>
      <c r="T349" s="459">
        <f t="shared" si="65"/>
        <v>64.27</v>
      </c>
      <c r="U349" s="480"/>
      <c r="V349" s="411">
        <v>0</v>
      </c>
      <c r="W349" s="411">
        <v>0</v>
      </c>
      <c r="X349" s="436">
        <v>0</v>
      </c>
      <c r="Y349" s="411">
        <v>0</v>
      </c>
      <c r="Z349" s="436">
        <v>0</v>
      </c>
      <c r="AA349" s="437">
        <f t="shared" si="64"/>
        <v>0</v>
      </c>
      <c r="AB349" s="455">
        <f t="shared" si="63"/>
        <v>0</v>
      </c>
      <c r="AC349" s="456">
        <v>0</v>
      </c>
      <c r="AD349" s="480"/>
      <c r="AE349" s="480"/>
      <c r="AF349" s="481"/>
    </row>
    <row r="350" spans="2:32" hidden="1" x14ac:dyDescent="0.25">
      <c r="B350" s="1" t="s">
        <v>1728</v>
      </c>
      <c r="C350" s="387" t="s">
        <v>1368</v>
      </c>
      <c r="D350" s="3" t="s">
        <v>1224</v>
      </c>
      <c r="E350" s="551" t="s">
        <v>3547</v>
      </c>
      <c r="F350" s="407" t="s">
        <v>3201</v>
      </c>
      <c r="G350" s="413" t="s">
        <v>3747</v>
      </c>
      <c r="H350" s="413" t="s">
        <v>4109</v>
      </c>
      <c r="I350" s="413" t="s">
        <v>4199</v>
      </c>
      <c r="J350" s="413" t="s">
        <v>3925</v>
      </c>
      <c r="K350" s="413" t="s">
        <v>3707</v>
      </c>
      <c r="L350" s="387">
        <v>1</v>
      </c>
      <c r="M350" s="387">
        <v>0</v>
      </c>
      <c r="N350" s="387">
        <f t="shared" si="62"/>
        <v>1</v>
      </c>
      <c r="O350" s="387">
        <v>0</v>
      </c>
      <c r="P350" s="387" t="s">
        <v>1358</v>
      </c>
      <c r="Q350" s="3">
        <v>128.54</v>
      </c>
      <c r="R350" s="480"/>
      <c r="S350" s="2">
        <v>0</v>
      </c>
      <c r="T350" s="459">
        <f t="shared" si="65"/>
        <v>128.54</v>
      </c>
      <c r="U350" s="480"/>
      <c r="V350" s="411">
        <v>0</v>
      </c>
      <c r="W350" s="411">
        <v>0</v>
      </c>
      <c r="X350" s="436">
        <v>0</v>
      </c>
      <c r="Y350" s="411">
        <v>0</v>
      </c>
      <c r="Z350" s="436">
        <v>0</v>
      </c>
      <c r="AA350" s="437">
        <f t="shared" si="64"/>
        <v>0</v>
      </c>
      <c r="AB350" s="455">
        <f t="shared" si="63"/>
        <v>0</v>
      </c>
      <c r="AC350" s="456">
        <v>0</v>
      </c>
      <c r="AD350" s="480"/>
      <c r="AE350" s="480"/>
      <c r="AF350" s="481"/>
    </row>
    <row r="351" spans="2:32" hidden="1" x14ac:dyDescent="0.25">
      <c r="B351" s="1" t="s">
        <v>1729</v>
      </c>
      <c r="C351" s="387" t="s">
        <v>1368</v>
      </c>
      <c r="D351" s="3" t="s">
        <v>1224</v>
      </c>
      <c r="E351" s="551" t="s">
        <v>3236</v>
      </c>
      <c r="F351" s="407" t="s">
        <v>3201</v>
      </c>
      <c r="G351" s="413" t="s">
        <v>3359</v>
      </c>
      <c r="H351" s="413" t="s">
        <v>4109</v>
      </c>
      <c r="I351" s="413" t="s">
        <v>4200</v>
      </c>
      <c r="J351" s="413" t="s">
        <v>3852</v>
      </c>
      <c r="K351" s="413" t="s">
        <v>3708</v>
      </c>
      <c r="L351" s="387">
        <v>1</v>
      </c>
      <c r="M351" s="387">
        <v>0</v>
      </c>
      <c r="N351" s="387">
        <f t="shared" si="62"/>
        <v>1</v>
      </c>
      <c r="O351" s="387">
        <v>0</v>
      </c>
      <c r="P351" s="387" t="s">
        <v>1358</v>
      </c>
      <c r="Q351" s="3">
        <v>96.4</v>
      </c>
      <c r="R351" s="480"/>
      <c r="S351" s="2">
        <v>0</v>
      </c>
      <c r="T351" s="459">
        <f t="shared" si="65"/>
        <v>96.4</v>
      </c>
      <c r="U351" s="480"/>
      <c r="V351" s="411">
        <v>1</v>
      </c>
      <c r="W351" s="411">
        <v>1</v>
      </c>
      <c r="X351" s="436">
        <v>0</v>
      </c>
      <c r="Y351" s="411">
        <v>1</v>
      </c>
      <c r="Z351" s="436">
        <v>0</v>
      </c>
      <c r="AA351" s="437">
        <f t="shared" si="64"/>
        <v>0.99999999999999989</v>
      </c>
      <c r="AB351" s="455">
        <f t="shared" si="63"/>
        <v>96.399999999999991</v>
      </c>
      <c r="AC351" s="456">
        <v>0</v>
      </c>
      <c r="AD351" s="480"/>
      <c r="AE351" s="480"/>
      <c r="AF351" s="481"/>
    </row>
    <row r="352" spans="2:32" hidden="1" x14ac:dyDescent="0.25">
      <c r="B352" s="1" t="s">
        <v>1730</v>
      </c>
      <c r="C352" s="387" t="s">
        <v>1368</v>
      </c>
      <c r="D352" s="3" t="s">
        <v>1224</v>
      </c>
      <c r="E352" s="551" t="s">
        <v>3236</v>
      </c>
      <c r="F352" s="407" t="s">
        <v>3201</v>
      </c>
      <c r="G352" s="413" t="s">
        <v>3359</v>
      </c>
      <c r="H352" s="413" t="s">
        <v>4109</v>
      </c>
      <c r="I352" s="413" t="s">
        <v>4200</v>
      </c>
      <c r="J352" s="413" t="s">
        <v>3852</v>
      </c>
      <c r="K352" s="413" t="s">
        <v>3709</v>
      </c>
      <c r="L352" s="387">
        <v>1</v>
      </c>
      <c r="M352" s="387">
        <v>0</v>
      </c>
      <c r="N352" s="387">
        <f t="shared" si="62"/>
        <v>1</v>
      </c>
      <c r="O352" s="387">
        <v>0</v>
      </c>
      <c r="P352" s="387" t="s">
        <v>1358</v>
      </c>
      <c r="Q352" s="3">
        <v>96.4</v>
      </c>
      <c r="R352" s="480"/>
      <c r="S352" s="2">
        <v>0</v>
      </c>
      <c r="T352" s="459">
        <f t="shared" si="65"/>
        <v>96.4</v>
      </c>
      <c r="U352" s="480"/>
      <c r="V352" s="411">
        <v>1</v>
      </c>
      <c r="W352" s="411">
        <v>1</v>
      </c>
      <c r="X352" s="436">
        <v>0</v>
      </c>
      <c r="Y352" s="411">
        <v>1</v>
      </c>
      <c r="Z352" s="436">
        <v>0</v>
      </c>
      <c r="AA352" s="437">
        <f t="shared" si="64"/>
        <v>0.99999999999999989</v>
      </c>
      <c r="AB352" s="455">
        <f t="shared" si="63"/>
        <v>96.399999999999991</v>
      </c>
      <c r="AC352" s="456">
        <v>0</v>
      </c>
      <c r="AD352" s="480"/>
      <c r="AE352" s="480"/>
      <c r="AF352" s="481"/>
    </row>
    <row r="353" spans="2:32" hidden="1" x14ac:dyDescent="0.25">
      <c r="B353" s="1" t="s">
        <v>1731</v>
      </c>
      <c r="C353" s="387" t="s">
        <v>1368</v>
      </c>
      <c r="D353" s="3" t="s">
        <v>1224</v>
      </c>
      <c r="E353" s="551" t="s">
        <v>3233</v>
      </c>
      <c r="F353" s="407" t="s">
        <v>3201</v>
      </c>
      <c r="G353" s="413" t="s">
        <v>3356</v>
      </c>
      <c r="H353" s="413" t="s">
        <v>4109</v>
      </c>
      <c r="I353" s="413" t="s">
        <v>4201</v>
      </c>
      <c r="J353" s="413" t="s">
        <v>3849</v>
      </c>
      <c r="K353" s="413" t="s">
        <v>3710</v>
      </c>
      <c r="L353" s="387">
        <v>1</v>
      </c>
      <c r="M353" s="387">
        <v>0</v>
      </c>
      <c r="N353" s="387">
        <f t="shared" si="62"/>
        <v>1</v>
      </c>
      <c r="O353" s="387">
        <v>0</v>
      </c>
      <c r="P353" s="387" t="s">
        <v>1358</v>
      </c>
      <c r="Q353" s="3">
        <v>128.54</v>
      </c>
      <c r="R353" s="480"/>
      <c r="S353" s="2">
        <v>0</v>
      </c>
      <c r="T353" s="459">
        <f t="shared" si="65"/>
        <v>128.54</v>
      </c>
      <c r="U353" s="480"/>
      <c r="V353" s="411">
        <v>1</v>
      </c>
      <c r="W353" s="411">
        <v>1</v>
      </c>
      <c r="X353" s="436">
        <v>0</v>
      </c>
      <c r="Y353" s="411">
        <v>1</v>
      </c>
      <c r="Z353" s="436">
        <v>0</v>
      </c>
      <c r="AA353" s="437">
        <f t="shared" si="64"/>
        <v>0.99999999999999978</v>
      </c>
      <c r="AB353" s="455">
        <f t="shared" si="63"/>
        <v>128.53999999999996</v>
      </c>
      <c r="AC353" s="456">
        <v>0</v>
      </c>
      <c r="AD353" s="480"/>
      <c r="AE353" s="480"/>
      <c r="AF353" s="481"/>
    </row>
    <row r="354" spans="2:32" hidden="1" x14ac:dyDescent="0.25">
      <c r="B354" s="1" t="s">
        <v>1732</v>
      </c>
      <c r="C354" s="387" t="s">
        <v>1368</v>
      </c>
      <c r="D354" s="3" t="s">
        <v>1224</v>
      </c>
      <c r="E354" s="551" t="s">
        <v>3234</v>
      </c>
      <c r="F354" s="407" t="s">
        <v>3201</v>
      </c>
      <c r="G354" s="413" t="s">
        <v>3357</v>
      </c>
      <c r="H354" s="413" t="s">
        <v>4109</v>
      </c>
      <c r="I354" s="413" t="s">
        <v>4202</v>
      </c>
      <c r="J354" s="413" t="s">
        <v>3850</v>
      </c>
      <c r="K354" s="413" t="s">
        <v>3711</v>
      </c>
      <c r="L354" s="387">
        <v>1</v>
      </c>
      <c r="M354" s="387">
        <v>0</v>
      </c>
      <c r="N354" s="387">
        <f t="shared" si="62"/>
        <v>1</v>
      </c>
      <c r="O354" s="387">
        <v>0</v>
      </c>
      <c r="P354" s="387" t="s">
        <v>1358</v>
      </c>
      <c r="Q354" s="3">
        <v>128.54</v>
      </c>
      <c r="R354" s="480"/>
      <c r="S354" s="2">
        <v>0</v>
      </c>
      <c r="T354" s="459">
        <f t="shared" si="65"/>
        <v>128.54</v>
      </c>
      <c r="U354" s="480"/>
      <c r="V354" s="411">
        <v>1</v>
      </c>
      <c r="W354" s="411">
        <v>1</v>
      </c>
      <c r="X354" s="436">
        <v>0</v>
      </c>
      <c r="Y354" s="411">
        <v>1</v>
      </c>
      <c r="Z354" s="436">
        <v>0</v>
      </c>
      <c r="AA354" s="437">
        <f t="shared" si="64"/>
        <v>0.99999999999999978</v>
      </c>
      <c r="AB354" s="455">
        <f t="shared" si="63"/>
        <v>128.53999999999996</v>
      </c>
      <c r="AC354" s="456">
        <v>0</v>
      </c>
      <c r="AD354" s="480"/>
      <c r="AE354" s="480"/>
      <c r="AF354" s="481"/>
    </row>
    <row r="355" spans="2:32" hidden="1" x14ac:dyDescent="0.25">
      <c r="B355" s="1" t="s">
        <v>1776</v>
      </c>
      <c r="C355" s="387" t="s">
        <v>1368</v>
      </c>
      <c r="D355" s="3" t="s">
        <v>1224</v>
      </c>
      <c r="E355" s="387" t="s">
        <v>3220</v>
      </c>
      <c r="F355" s="440" t="s">
        <v>3201</v>
      </c>
      <c r="G355" s="413" t="s">
        <v>3343</v>
      </c>
      <c r="H355" s="413" t="s">
        <v>4110</v>
      </c>
      <c r="I355" s="413" t="s">
        <v>4421</v>
      </c>
      <c r="J355" s="413" t="s">
        <v>3836</v>
      </c>
      <c r="K355" s="413" t="s">
        <v>4122</v>
      </c>
      <c r="L355" s="387">
        <v>1</v>
      </c>
      <c r="M355" s="387">
        <v>0</v>
      </c>
      <c r="N355" s="387">
        <f>L355+M355</f>
        <v>1</v>
      </c>
      <c r="O355" s="387">
        <v>0</v>
      </c>
      <c r="P355" s="387" t="s">
        <v>1358</v>
      </c>
      <c r="Q355" s="3">
        <v>90</v>
      </c>
      <c r="R355" s="480"/>
      <c r="S355" s="2">
        <v>0</v>
      </c>
      <c r="T355" s="459">
        <f t="shared" si="65"/>
        <v>90</v>
      </c>
      <c r="U355" s="480"/>
      <c r="V355" s="411">
        <v>1</v>
      </c>
      <c r="W355" s="411">
        <v>1</v>
      </c>
      <c r="X355" s="436">
        <v>0</v>
      </c>
      <c r="Y355" s="411">
        <v>1</v>
      </c>
      <c r="Z355" s="436">
        <v>0</v>
      </c>
      <c r="AA355" s="437">
        <f t="shared" ref="AA355:AA361" si="66">IF(T355,AB355/T355,0)</f>
        <v>1</v>
      </c>
      <c r="AB355" s="455">
        <f t="shared" ref="AB355:AB361" si="67">(V355*V$177*T355)+(W355*W$177*T355)+(X355*X$177*T355)+(Y355*Y$177*T355)+(Z355*Z$177*T355)</f>
        <v>90</v>
      </c>
      <c r="AC355" s="456">
        <v>0</v>
      </c>
      <c r="AD355" s="480"/>
      <c r="AE355" s="480"/>
      <c r="AF355" s="481"/>
    </row>
    <row r="356" spans="2:32" hidden="1" x14ac:dyDescent="0.25">
      <c r="B356" s="1" t="s">
        <v>2455</v>
      </c>
      <c r="C356" s="442" t="s">
        <v>1368</v>
      </c>
      <c r="D356" s="518" t="s">
        <v>1224</v>
      </c>
      <c r="E356" s="442" t="s">
        <v>4125</v>
      </c>
      <c r="F356" s="440" t="s">
        <v>3201</v>
      </c>
      <c r="G356" s="413" t="s">
        <v>4126</v>
      </c>
      <c r="H356" s="413" t="s">
        <v>4111</v>
      </c>
      <c r="I356" s="413" t="s">
        <v>4624</v>
      </c>
      <c r="J356" s="413" t="s">
        <v>4124</v>
      </c>
      <c r="K356" s="413" t="s">
        <v>4123</v>
      </c>
      <c r="L356" s="442">
        <v>1</v>
      </c>
      <c r="M356" s="387">
        <v>1</v>
      </c>
      <c r="N356" s="387">
        <v>1</v>
      </c>
      <c r="O356" s="387">
        <v>1</v>
      </c>
      <c r="P356" s="387" t="s">
        <v>1358</v>
      </c>
      <c r="Q356" s="518">
        <v>250</v>
      </c>
      <c r="R356" s="480"/>
      <c r="S356" s="2">
        <v>0</v>
      </c>
      <c r="T356" s="459">
        <f t="shared" si="65"/>
        <v>250</v>
      </c>
      <c r="U356" s="480"/>
      <c r="V356" s="411">
        <v>1</v>
      </c>
      <c r="W356" s="411">
        <v>1</v>
      </c>
      <c r="X356" s="436">
        <v>0</v>
      </c>
      <c r="Y356" s="411">
        <v>1</v>
      </c>
      <c r="Z356" s="436">
        <v>0</v>
      </c>
      <c r="AA356" s="437">
        <f t="shared" si="66"/>
        <v>1</v>
      </c>
      <c r="AB356" s="455">
        <f t="shared" si="67"/>
        <v>250</v>
      </c>
      <c r="AC356" s="456">
        <v>0</v>
      </c>
      <c r="AD356" s="519"/>
      <c r="AE356" s="519"/>
      <c r="AF356" s="520"/>
    </row>
    <row r="357" spans="2:32" hidden="1" x14ac:dyDescent="0.25">
      <c r="B357" s="1" t="s">
        <v>3158</v>
      </c>
      <c r="C357" s="442" t="s">
        <v>1368</v>
      </c>
      <c r="D357" s="518" t="s">
        <v>1224</v>
      </c>
      <c r="E357" s="442" t="s">
        <v>3721</v>
      </c>
      <c r="F357" s="440" t="s">
        <v>3201</v>
      </c>
      <c r="G357" s="413" t="s">
        <v>4015</v>
      </c>
      <c r="H357" s="413" t="s">
        <v>4111</v>
      </c>
      <c r="I357" s="413" t="s">
        <v>4625</v>
      </c>
      <c r="J357" s="413" t="s">
        <v>4020</v>
      </c>
      <c r="K357" s="413" t="s">
        <v>3548</v>
      </c>
      <c r="L357" s="442">
        <v>1</v>
      </c>
      <c r="M357" s="442">
        <v>0</v>
      </c>
      <c r="N357" s="442">
        <v>0</v>
      </c>
      <c r="O357" s="442">
        <v>1</v>
      </c>
      <c r="P357" s="387" t="s">
        <v>1358</v>
      </c>
      <c r="Q357" s="518">
        <v>250</v>
      </c>
      <c r="R357" s="519"/>
      <c r="S357" s="2">
        <v>0</v>
      </c>
      <c r="T357" s="459">
        <f t="shared" si="65"/>
        <v>250</v>
      </c>
      <c r="U357" s="519"/>
      <c r="V357" s="436">
        <v>1</v>
      </c>
      <c r="W357" s="436">
        <v>1</v>
      </c>
      <c r="X357" s="436">
        <v>0</v>
      </c>
      <c r="Y357" s="411">
        <v>1</v>
      </c>
      <c r="Z357" s="436">
        <v>0</v>
      </c>
      <c r="AA357" s="437">
        <f t="shared" si="66"/>
        <v>1</v>
      </c>
      <c r="AB357" s="455">
        <f t="shared" si="67"/>
        <v>250</v>
      </c>
      <c r="AC357" s="456">
        <v>0</v>
      </c>
      <c r="AD357" s="519"/>
      <c r="AE357" s="519"/>
      <c r="AF357" s="520"/>
    </row>
    <row r="358" spans="2:32" hidden="1" x14ac:dyDescent="0.25">
      <c r="B358" s="1" t="s">
        <v>3159</v>
      </c>
      <c r="C358" s="442" t="s">
        <v>1368</v>
      </c>
      <c r="D358" s="518" t="s">
        <v>1224</v>
      </c>
      <c r="E358" s="442" t="s">
        <v>3722</v>
      </c>
      <c r="F358" s="440" t="s">
        <v>3201</v>
      </c>
      <c r="G358" s="413" t="s">
        <v>4016</v>
      </c>
      <c r="H358" s="413" t="s">
        <v>4111</v>
      </c>
      <c r="I358" s="413" t="s">
        <v>4626</v>
      </c>
      <c r="J358" s="413" t="s">
        <v>4021</v>
      </c>
      <c r="K358" s="413" t="s">
        <v>3549</v>
      </c>
      <c r="L358" s="442">
        <v>1</v>
      </c>
      <c r="M358" s="442">
        <v>0</v>
      </c>
      <c r="N358" s="442">
        <v>0</v>
      </c>
      <c r="O358" s="442">
        <v>1</v>
      </c>
      <c r="P358" s="387" t="s">
        <v>1358</v>
      </c>
      <c r="Q358" s="518">
        <v>250</v>
      </c>
      <c r="R358" s="519"/>
      <c r="S358" s="2">
        <v>0</v>
      </c>
      <c r="T358" s="459">
        <f t="shared" si="65"/>
        <v>250</v>
      </c>
      <c r="U358" s="519"/>
      <c r="V358" s="436">
        <v>1</v>
      </c>
      <c r="W358" s="436">
        <v>1</v>
      </c>
      <c r="X358" s="436">
        <v>0</v>
      </c>
      <c r="Y358" s="411">
        <v>1</v>
      </c>
      <c r="Z358" s="436">
        <v>0</v>
      </c>
      <c r="AA358" s="437">
        <f t="shared" si="66"/>
        <v>1</v>
      </c>
      <c r="AB358" s="455">
        <f t="shared" si="67"/>
        <v>250</v>
      </c>
      <c r="AC358" s="456">
        <v>0</v>
      </c>
      <c r="AD358" s="519"/>
      <c r="AE358" s="519"/>
      <c r="AF358" s="520"/>
    </row>
    <row r="359" spans="2:32" hidden="1" x14ac:dyDescent="0.25">
      <c r="B359" s="1" t="s">
        <v>3160</v>
      </c>
      <c r="C359" s="442" t="s">
        <v>1368</v>
      </c>
      <c r="D359" s="518" t="s">
        <v>1224</v>
      </c>
      <c r="E359" s="442" t="s">
        <v>3723</v>
      </c>
      <c r="F359" s="440" t="s">
        <v>3201</v>
      </c>
      <c r="G359" s="413" t="s">
        <v>4017</v>
      </c>
      <c r="H359" s="413" t="s">
        <v>4111</v>
      </c>
      <c r="I359" s="413" t="s">
        <v>4627</v>
      </c>
      <c r="J359" s="413" t="s">
        <v>4022</v>
      </c>
      <c r="K359" s="413" t="s">
        <v>3550</v>
      </c>
      <c r="L359" s="442">
        <v>1</v>
      </c>
      <c r="M359" s="442">
        <v>0</v>
      </c>
      <c r="N359" s="442">
        <v>0</v>
      </c>
      <c r="O359" s="442">
        <v>1</v>
      </c>
      <c r="P359" s="387" t="s">
        <v>1358</v>
      </c>
      <c r="Q359" s="518">
        <v>250</v>
      </c>
      <c r="R359" s="519"/>
      <c r="S359" s="2">
        <v>0</v>
      </c>
      <c r="T359" s="459">
        <f t="shared" si="65"/>
        <v>250</v>
      </c>
      <c r="U359" s="519"/>
      <c r="V359" s="436">
        <v>1</v>
      </c>
      <c r="W359" s="436">
        <v>1</v>
      </c>
      <c r="X359" s="436">
        <v>0</v>
      </c>
      <c r="Y359" s="411">
        <v>1</v>
      </c>
      <c r="Z359" s="436">
        <v>0</v>
      </c>
      <c r="AA359" s="437">
        <f t="shared" si="66"/>
        <v>1</v>
      </c>
      <c r="AB359" s="455">
        <f t="shared" si="67"/>
        <v>250</v>
      </c>
      <c r="AC359" s="456">
        <v>0</v>
      </c>
      <c r="AD359" s="519"/>
      <c r="AE359" s="519"/>
      <c r="AF359" s="520"/>
    </row>
    <row r="360" spans="2:32" hidden="1" x14ac:dyDescent="0.25">
      <c r="B360" s="1" t="s">
        <v>3161</v>
      </c>
      <c r="C360" s="442" t="s">
        <v>1368</v>
      </c>
      <c r="D360" s="518" t="s">
        <v>1224</v>
      </c>
      <c r="E360" s="442" t="s">
        <v>3724</v>
      </c>
      <c r="F360" s="440" t="s">
        <v>3201</v>
      </c>
      <c r="G360" s="413" t="s">
        <v>4018</v>
      </c>
      <c r="H360" s="413" t="s">
        <v>4111</v>
      </c>
      <c r="I360" s="413" t="s">
        <v>4628</v>
      </c>
      <c r="J360" s="413" t="s">
        <v>4023</v>
      </c>
      <c r="K360" s="413" t="s">
        <v>3551</v>
      </c>
      <c r="L360" s="442">
        <v>1</v>
      </c>
      <c r="M360" s="442">
        <v>0</v>
      </c>
      <c r="N360" s="442">
        <v>0</v>
      </c>
      <c r="O360" s="442">
        <v>1</v>
      </c>
      <c r="P360" s="387" t="s">
        <v>1358</v>
      </c>
      <c r="Q360" s="518">
        <v>250</v>
      </c>
      <c r="R360" s="519"/>
      <c r="S360" s="2">
        <v>0</v>
      </c>
      <c r="T360" s="459">
        <f t="shared" si="65"/>
        <v>250</v>
      </c>
      <c r="U360" s="519"/>
      <c r="V360" s="436">
        <v>1</v>
      </c>
      <c r="W360" s="436">
        <v>1</v>
      </c>
      <c r="X360" s="436">
        <v>0</v>
      </c>
      <c r="Y360" s="411">
        <v>1</v>
      </c>
      <c r="Z360" s="436">
        <v>0</v>
      </c>
      <c r="AA360" s="437">
        <f t="shared" si="66"/>
        <v>1</v>
      </c>
      <c r="AB360" s="455">
        <f t="shared" si="67"/>
        <v>250</v>
      </c>
      <c r="AC360" s="456">
        <v>0</v>
      </c>
      <c r="AD360" s="519"/>
      <c r="AE360" s="519"/>
      <c r="AF360" s="520"/>
    </row>
    <row r="361" spans="2:32" hidden="1" x14ac:dyDescent="0.25">
      <c r="B361" s="1" t="s">
        <v>3162</v>
      </c>
      <c r="C361" s="442" t="s">
        <v>1368</v>
      </c>
      <c r="D361" s="518" t="s">
        <v>1224</v>
      </c>
      <c r="E361" s="442" t="s">
        <v>3725</v>
      </c>
      <c r="F361" s="440" t="s">
        <v>3201</v>
      </c>
      <c r="G361" s="413" t="s">
        <v>4019</v>
      </c>
      <c r="H361" s="413" t="s">
        <v>4111</v>
      </c>
      <c r="I361" s="413" t="s">
        <v>4629</v>
      </c>
      <c r="J361" s="413" t="s">
        <v>4024</v>
      </c>
      <c r="K361" s="413" t="s">
        <v>3552</v>
      </c>
      <c r="L361" s="442">
        <v>1</v>
      </c>
      <c r="M361" s="442">
        <v>0</v>
      </c>
      <c r="N361" s="442">
        <v>0</v>
      </c>
      <c r="O361" s="442">
        <v>1</v>
      </c>
      <c r="P361" s="387" t="s">
        <v>1358</v>
      </c>
      <c r="Q361" s="518">
        <v>250</v>
      </c>
      <c r="R361" s="519"/>
      <c r="S361" s="2">
        <v>0</v>
      </c>
      <c r="T361" s="459">
        <f t="shared" si="65"/>
        <v>250</v>
      </c>
      <c r="U361" s="519"/>
      <c r="V361" s="436">
        <v>1</v>
      </c>
      <c r="W361" s="436">
        <v>1</v>
      </c>
      <c r="X361" s="436">
        <v>0</v>
      </c>
      <c r="Y361" s="411">
        <v>1</v>
      </c>
      <c r="Z361" s="436">
        <v>0</v>
      </c>
      <c r="AA361" s="437">
        <f t="shared" si="66"/>
        <v>1</v>
      </c>
      <c r="AB361" s="455">
        <f t="shared" si="67"/>
        <v>250</v>
      </c>
      <c r="AC361" s="456">
        <v>0</v>
      </c>
      <c r="AD361" s="519"/>
      <c r="AE361" s="519"/>
      <c r="AF361" s="520"/>
    </row>
    <row r="362" spans="2:32" hidden="1" x14ac:dyDescent="0.25">
      <c r="B362" s="478"/>
      <c r="C362" s="479"/>
      <c r="D362" s="479"/>
      <c r="E362" s="471"/>
      <c r="F362" s="479"/>
      <c r="G362" s="479"/>
      <c r="H362" s="479"/>
      <c r="I362" s="479"/>
      <c r="J362" s="479"/>
      <c r="K362" s="471"/>
      <c r="L362" s="471"/>
      <c r="M362" s="471"/>
      <c r="N362" s="471"/>
      <c r="O362" s="471"/>
      <c r="P362" s="471"/>
      <c r="Q362" s="471"/>
      <c r="R362" s="472"/>
      <c r="S362" s="472"/>
      <c r="T362" s="473"/>
      <c r="U362" s="474"/>
      <c r="V362" s="474"/>
      <c r="W362" s="474"/>
      <c r="X362" s="474"/>
      <c r="Y362" s="474"/>
      <c r="Z362" s="474"/>
    </row>
    <row r="363" spans="2:32" hidden="1" x14ac:dyDescent="0.25">
      <c r="B363" s="478"/>
      <c r="C363" s="479"/>
      <c r="D363" s="479"/>
      <c r="E363" s="471"/>
      <c r="F363" s="479"/>
      <c r="G363" s="479"/>
      <c r="H363" s="479"/>
      <c r="I363" s="479"/>
      <c r="J363" s="479"/>
      <c r="K363" s="471"/>
      <c r="L363" s="471"/>
      <c r="M363" s="471"/>
      <c r="N363" s="471"/>
      <c r="O363" s="471"/>
      <c r="P363" s="471"/>
      <c r="Q363" s="471"/>
      <c r="R363" s="472"/>
      <c r="S363" s="472"/>
      <c r="T363" s="473"/>
      <c r="U363" s="474"/>
      <c r="V363" s="474"/>
      <c r="W363" s="474"/>
      <c r="X363" s="474"/>
      <c r="Y363" s="474"/>
      <c r="Z363" s="474"/>
    </row>
    <row r="364" spans="2:32" ht="15.75" hidden="1" thickBot="1" x14ac:dyDescent="0.3">
      <c r="B364" s="478"/>
      <c r="C364" s="479"/>
      <c r="D364" s="479"/>
      <c r="E364" s="471"/>
      <c r="F364" s="479"/>
      <c r="G364" s="479"/>
      <c r="H364" s="479"/>
      <c r="I364" s="479"/>
      <c r="J364" s="479"/>
      <c r="K364" s="471"/>
      <c r="L364" s="471"/>
      <c r="M364" s="471"/>
      <c r="N364" s="471"/>
      <c r="O364" s="471"/>
      <c r="P364" s="471"/>
      <c r="Q364" s="471"/>
      <c r="R364" s="472"/>
      <c r="S364" s="472"/>
      <c r="T364" s="473"/>
      <c r="U364" s="474"/>
      <c r="V364" s="474"/>
      <c r="W364" s="474"/>
      <c r="X364" s="474"/>
      <c r="Y364" s="474"/>
      <c r="Z364" s="474"/>
    </row>
    <row r="365" spans="2:32" ht="27" hidden="1" thickBot="1" x14ac:dyDescent="0.3">
      <c r="B365" s="489"/>
      <c r="C365" s="490"/>
      <c r="D365" s="490"/>
      <c r="E365" s="490"/>
      <c r="F365" s="490"/>
      <c r="G365" s="490"/>
      <c r="H365" s="490"/>
      <c r="I365" s="490"/>
      <c r="J365" s="490"/>
      <c r="K365" s="490"/>
      <c r="L365" s="491" t="s">
        <v>548</v>
      </c>
      <c r="M365" s="491" t="s">
        <v>0</v>
      </c>
      <c r="N365" s="490" t="s">
        <v>549</v>
      </c>
      <c r="O365" s="490" t="s">
        <v>553</v>
      </c>
      <c r="P365" s="490" t="s">
        <v>550</v>
      </c>
      <c r="Q365" s="491" t="s">
        <v>552</v>
      </c>
      <c r="R365" s="491" t="s">
        <v>1469</v>
      </c>
      <c r="S365" s="491" t="s">
        <v>0</v>
      </c>
      <c r="T365" s="491" t="s">
        <v>551</v>
      </c>
      <c r="U365" s="608" t="s">
        <v>1364</v>
      </c>
      <c r="V365" s="608"/>
      <c r="W365" s="608"/>
      <c r="X365" s="608"/>
      <c r="Y365" s="608"/>
      <c r="Z365" s="608"/>
      <c r="AA365" s="490" t="s">
        <v>1</v>
      </c>
      <c r="AB365" s="490" t="s">
        <v>2</v>
      </c>
      <c r="AC365" s="490" t="s">
        <v>1365</v>
      </c>
      <c r="AD365" s="490"/>
      <c r="AE365" s="490"/>
      <c r="AF365" s="492" t="s">
        <v>5</v>
      </c>
    </row>
    <row r="366" spans="2:32" hidden="1" x14ac:dyDescent="0.25">
      <c r="B366" s="388"/>
      <c r="C366" s="389"/>
      <c r="D366" s="389"/>
      <c r="E366" s="389"/>
      <c r="F366" s="389"/>
      <c r="G366" s="389"/>
      <c r="H366" s="389"/>
      <c r="I366" s="389"/>
      <c r="J366" s="389"/>
      <c r="K366" s="390"/>
      <c r="L366" s="390"/>
      <c r="M366" s="390"/>
      <c r="N366" s="390"/>
      <c r="O366" s="390"/>
      <c r="P366" s="390"/>
      <c r="Q366" s="391"/>
      <c r="R366" s="391"/>
      <c r="S366" s="391"/>
      <c r="T366" s="391"/>
      <c r="U366" s="391"/>
      <c r="V366" s="391" t="s">
        <v>9</v>
      </c>
      <c r="W366" s="391" t="s">
        <v>10</v>
      </c>
      <c r="X366" s="391" t="s">
        <v>11</v>
      </c>
      <c r="Y366" s="391" t="s">
        <v>12</v>
      </c>
      <c r="Z366" s="391" t="s">
        <v>13</v>
      </c>
      <c r="AA366" s="389"/>
      <c r="AB366" s="391"/>
      <c r="AC366" s="391"/>
      <c r="AD366" s="391"/>
      <c r="AE366" s="391"/>
      <c r="AF366" s="392"/>
    </row>
    <row r="367" spans="2:32" hidden="1" x14ac:dyDescent="0.25">
      <c r="B367" s="484"/>
      <c r="C367" s="485"/>
      <c r="D367" s="485"/>
      <c r="E367" s="485"/>
      <c r="F367" s="485"/>
      <c r="G367" s="485"/>
      <c r="H367" s="485"/>
      <c r="I367" s="485"/>
      <c r="J367" s="485"/>
      <c r="K367" s="486"/>
      <c r="L367" s="486"/>
      <c r="M367" s="486"/>
      <c r="N367" s="486"/>
      <c r="O367" s="486"/>
      <c r="P367" s="486"/>
      <c r="Q367" s="487"/>
      <c r="R367" s="487"/>
      <c r="S367" s="487"/>
      <c r="T367" s="487"/>
      <c r="U367" s="487"/>
      <c r="V367" s="487"/>
      <c r="W367" s="487"/>
      <c r="X367" s="487"/>
      <c r="Y367" s="487"/>
      <c r="Z367" s="487"/>
      <c r="AA367" s="485"/>
      <c r="AB367" s="487"/>
      <c r="AC367" s="487"/>
      <c r="AD367" s="487"/>
      <c r="AE367" s="487"/>
      <c r="AF367" s="488"/>
    </row>
    <row r="368" spans="2:32" ht="26.25" hidden="1" x14ac:dyDescent="0.25">
      <c r="B368" s="393" t="s">
        <v>6</v>
      </c>
      <c r="C368" s="394" t="s">
        <v>7</v>
      </c>
      <c r="D368" s="394" t="s">
        <v>18</v>
      </c>
      <c r="E368" s="394" t="s">
        <v>1354</v>
      </c>
      <c r="F368" s="537" t="s">
        <v>3199</v>
      </c>
      <c r="G368" s="537" t="s">
        <v>3200</v>
      </c>
      <c r="H368" s="537" t="s">
        <v>3202</v>
      </c>
      <c r="I368" s="537" t="s">
        <v>1353</v>
      </c>
      <c r="J368" s="537" t="s">
        <v>3425</v>
      </c>
      <c r="K368" s="394" t="s">
        <v>1356</v>
      </c>
      <c r="L368" s="475"/>
      <c r="M368" s="475"/>
      <c r="N368" s="475"/>
      <c r="O368" s="475"/>
      <c r="P368" s="475"/>
      <c r="Q368" s="457" t="e">
        <f>Q374+Q513+#REF!</f>
        <v>#REF!</v>
      </c>
      <c r="R368" s="457"/>
      <c r="S368" s="457">
        <f>S374+S513</f>
        <v>0</v>
      </c>
      <c r="T368" s="522"/>
      <c r="U368" s="397"/>
      <c r="V368" s="397" t="s">
        <v>155</v>
      </c>
      <c r="W368" s="397" t="s">
        <v>156</v>
      </c>
      <c r="X368" s="397" t="s">
        <v>223</v>
      </c>
      <c r="Y368" s="397"/>
      <c r="Z368" s="397"/>
      <c r="AA368" s="398">
        <f>AB368/T369</f>
        <v>0.59088016036538682</v>
      </c>
      <c r="AB368" s="552">
        <f>SUM(AB370:AB1277)</f>
        <v>28335.649817999951</v>
      </c>
      <c r="AC368" s="552">
        <f>5894.25+1739.25+1726+1517.5+1829.5+1687+1418+1626.5+2158</f>
        <v>19596</v>
      </c>
      <c r="AD368" s="395"/>
      <c r="AE368" s="399"/>
      <c r="AF368" s="400"/>
    </row>
    <row r="369" spans="2:33" hidden="1" x14ac:dyDescent="0.25">
      <c r="B369" s="401"/>
      <c r="C369" s="402"/>
      <c r="D369" s="402"/>
      <c r="E369" s="403"/>
      <c r="F369" s="402"/>
      <c r="G369" s="402"/>
      <c r="H369" s="402"/>
      <c r="I369" s="402"/>
      <c r="J369" s="402"/>
      <c r="K369" s="517" t="s">
        <v>2454</v>
      </c>
      <c r="L369" s="404">
        <f>SUM(L370:L1270)</f>
        <v>8850.5789999999997</v>
      </c>
      <c r="M369" s="404">
        <f>SUM(M370:M1182)</f>
        <v>9</v>
      </c>
      <c r="N369" s="404">
        <f>SUM(N370:N1270)</f>
        <v>8421.3249999999989</v>
      </c>
      <c r="O369" s="404" t="e">
        <f>SUM(O370:O1272)</f>
        <v>#DIV/0!</v>
      </c>
      <c r="P369" s="402"/>
      <c r="Q369" s="404"/>
      <c r="R369" s="404"/>
      <c r="S369" s="521">
        <f>SUM(S370:S1182)</f>
        <v>0</v>
      </c>
      <c r="T369" s="521">
        <f>SUM(T370:T1270)</f>
        <v>47954.986000000121</v>
      </c>
      <c r="U369" s="402"/>
      <c r="V369" s="405">
        <v>0.1</v>
      </c>
      <c r="W369" s="405">
        <v>0.8</v>
      </c>
      <c r="X369" s="405">
        <v>0.1</v>
      </c>
      <c r="Y369" s="405" t="s">
        <v>1474</v>
      </c>
      <c r="Z369" s="405" t="s">
        <v>1474</v>
      </c>
      <c r="AA369" s="402"/>
      <c r="AB369" s="445"/>
      <c r="AC369" s="445"/>
      <c r="AD369" s="402"/>
      <c r="AE369" s="402"/>
      <c r="AF369" s="406"/>
    </row>
    <row r="370" spans="2:33" hidden="1" x14ac:dyDescent="0.25">
      <c r="B370" s="1" t="s">
        <v>2456</v>
      </c>
      <c r="C370" s="3" t="s">
        <v>1368</v>
      </c>
      <c r="D370" s="3" t="s">
        <v>1247</v>
      </c>
      <c r="E370" s="407" t="s">
        <v>3291</v>
      </c>
      <c r="F370" s="3" t="s">
        <v>3771</v>
      </c>
      <c r="G370" s="407" t="s">
        <v>4476</v>
      </c>
      <c r="H370" s="440" t="s">
        <v>4109</v>
      </c>
      <c r="I370" s="407" t="s">
        <v>4297</v>
      </c>
      <c r="J370" s="407" t="s">
        <v>3753</v>
      </c>
      <c r="K370" s="387" t="s">
        <v>3770</v>
      </c>
      <c r="L370" s="387">
        <v>4</v>
      </c>
      <c r="M370" s="387">
        <v>0</v>
      </c>
      <c r="N370" s="387">
        <f>L370+M370</f>
        <v>4</v>
      </c>
      <c r="O370" s="442">
        <f>L370*AA370</f>
        <v>0</v>
      </c>
      <c r="P370" s="387" t="s">
        <v>1358</v>
      </c>
      <c r="Q370" s="459">
        <v>0</v>
      </c>
      <c r="R370" s="459"/>
      <c r="S370" s="456">
        <v>0</v>
      </c>
      <c r="T370" s="456">
        <v>23.6</v>
      </c>
      <c r="U370" s="410"/>
      <c r="V370" s="411">
        <v>0</v>
      </c>
      <c r="W370" s="411">
        <v>0</v>
      </c>
      <c r="X370" s="411">
        <v>0</v>
      </c>
      <c r="Y370" s="411"/>
      <c r="Z370" s="411"/>
      <c r="AA370" s="412">
        <f>AB370/T370</f>
        <v>0</v>
      </c>
      <c r="AB370" s="456">
        <f>(V370*V$369*T370)+(W370*W$369*T370)+(X370*X$369*T370)</f>
        <v>0</v>
      </c>
      <c r="AC370" s="456">
        <v>0</v>
      </c>
      <c r="AD370" s="2"/>
      <c r="AE370" s="4"/>
      <c r="AF370" s="5"/>
      <c r="AG370" s="428"/>
    </row>
    <row r="371" spans="2:33" hidden="1" x14ac:dyDescent="0.25">
      <c r="B371" s="1" t="s">
        <v>2457</v>
      </c>
      <c r="C371" s="3" t="s">
        <v>1368</v>
      </c>
      <c r="D371" s="3" t="s">
        <v>1247</v>
      </c>
      <c r="E371" s="407" t="s">
        <v>3291</v>
      </c>
      <c r="F371" s="3" t="s">
        <v>3772</v>
      </c>
      <c r="G371" s="407" t="s">
        <v>4476</v>
      </c>
      <c r="H371" s="440" t="s">
        <v>4109</v>
      </c>
      <c r="I371" s="407" t="s">
        <v>4297</v>
      </c>
      <c r="J371" s="407" t="s">
        <v>3753</v>
      </c>
      <c r="K371" s="387" t="s">
        <v>4936</v>
      </c>
      <c r="L371" s="387">
        <v>1</v>
      </c>
      <c r="M371" s="387">
        <v>0</v>
      </c>
      <c r="N371" s="387">
        <f t="shared" ref="N371:N435" si="68">L371+M371</f>
        <v>1</v>
      </c>
      <c r="O371" s="442">
        <f t="shared" ref="O371:O435" si="69">L371*AA371</f>
        <v>1</v>
      </c>
      <c r="P371" s="387" t="s">
        <v>1358</v>
      </c>
      <c r="Q371" s="459">
        <v>0</v>
      </c>
      <c r="R371" s="459"/>
      <c r="S371" s="456">
        <v>0</v>
      </c>
      <c r="T371" s="456">
        <v>63.454000000000001</v>
      </c>
      <c r="U371" s="410"/>
      <c r="V371" s="411">
        <v>1</v>
      </c>
      <c r="W371" s="411">
        <v>1</v>
      </c>
      <c r="X371" s="411">
        <v>1</v>
      </c>
      <c r="Y371" s="411"/>
      <c r="Z371" s="411"/>
      <c r="AA371" s="412">
        <f t="shared" ref="AA371:AA435" si="70">AB371/T371</f>
        <v>1</v>
      </c>
      <c r="AB371" s="456">
        <f t="shared" ref="AB371:AB435" si="71">(V371*V$369*T371)+(W371*W$369*T371)+(X371*X$369*T371)</f>
        <v>63.454000000000001</v>
      </c>
      <c r="AC371" s="456">
        <v>0</v>
      </c>
      <c r="AD371" s="2"/>
      <c r="AE371" s="4"/>
      <c r="AF371" s="5"/>
      <c r="AG371" s="428"/>
    </row>
    <row r="372" spans="2:33" hidden="1" x14ac:dyDescent="0.25">
      <c r="B372" s="1" t="s">
        <v>2458</v>
      </c>
      <c r="C372" s="3" t="s">
        <v>1368</v>
      </c>
      <c r="D372" s="3" t="s">
        <v>1247</v>
      </c>
      <c r="E372" s="407" t="s">
        <v>1400</v>
      </c>
      <c r="F372" s="3" t="s">
        <v>3773</v>
      </c>
      <c r="G372" s="407" t="s">
        <v>4477</v>
      </c>
      <c r="H372" s="440" t="s">
        <v>4109</v>
      </c>
      <c r="I372" s="407" t="s">
        <v>4298</v>
      </c>
      <c r="J372" s="407" t="s">
        <v>3779</v>
      </c>
      <c r="K372" s="387" t="s">
        <v>3770</v>
      </c>
      <c r="L372" s="387">
        <v>1</v>
      </c>
      <c r="M372" s="387">
        <v>0</v>
      </c>
      <c r="N372" s="387">
        <f t="shared" si="68"/>
        <v>1</v>
      </c>
      <c r="O372" s="442">
        <f t="shared" si="69"/>
        <v>0</v>
      </c>
      <c r="P372" s="387" t="s">
        <v>1358</v>
      </c>
      <c r="Q372" s="459">
        <v>0</v>
      </c>
      <c r="R372" s="459"/>
      <c r="S372" s="456">
        <v>0</v>
      </c>
      <c r="T372" s="456">
        <v>18.753</v>
      </c>
      <c r="U372" s="410"/>
      <c r="V372" s="411">
        <v>0</v>
      </c>
      <c r="W372" s="411">
        <v>0</v>
      </c>
      <c r="X372" s="411">
        <v>0</v>
      </c>
      <c r="Y372" s="411"/>
      <c r="Z372" s="411"/>
      <c r="AA372" s="412">
        <f t="shared" si="70"/>
        <v>0</v>
      </c>
      <c r="AB372" s="456">
        <f t="shared" si="71"/>
        <v>0</v>
      </c>
      <c r="AC372" s="456">
        <v>0</v>
      </c>
      <c r="AD372" s="2"/>
      <c r="AE372" s="4"/>
      <c r="AF372" s="5"/>
      <c r="AG372" s="428"/>
    </row>
    <row r="373" spans="2:33" hidden="1" x14ac:dyDescent="0.25">
      <c r="B373" s="1" t="s">
        <v>2459</v>
      </c>
      <c r="C373" s="3" t="s">
        <v>1368</v>
      </c>
      <c r="D373" s="3" t="s">
        <v>1247</v>
      </c>
      <c r="E373" s="407" t="s">
        <v>1401</v>
      </c>
      <c r="F373" s="3" t="s">
        <v>3774</v>
      </c>
      <c r="G373" s="407" t="s">
        <v>4478</v>
      </c>
      <c r="H373" s="440" t="s">
        <v>4109</v>
      </c>
      <c r="I373" s="407" t="s">
        <v>4299</v>
      </c>
      <c r="J373" s="407" t="s">
        <v>3780</v>
      </c>
      <c r="K373" s="387" t="s">
        <v>3770</v>
      </c>
      <c r="L373" s="387">
        <v>1</v>
      </c>
      <c r="M373" s="387">
        <v>0</v>
      </c>
      <c r="N373" s="387">
        <f t="shared" si="68"/>
        <v>1</v>
      </c>
      <c r="O373" s="442">
        <f t="shared" si="69"/>
        <v>0</v>
      </c>
      <c r="P373" s="387" t="s">
        <v>1358</v>
      </c>
      <c r="Q373" s="459">
        <v>0</v>
      </c>
      <c r="R373" s="459"/>
      <c r="S373" s="456">
        <v>0</v>
      </c>
      <c r="T373" s="456">
        <v>18.753</v>
      </c>
      <c r="U373" s="410"/>
      <c r="V373" s="411">
        <v>0</v>
      </c>
      <c r="W373" s="411">
        <v>0</v>
      </c>
      <c r="X373" s="411">
        <v>0</v>
      </c>
      <c r="Y373" s="411"/>
      <c r="Z373" s="411"/>
      <c r="AA373" s="412">
        <f t="shared" si="70"/>
        <v>0</v>
      </c>
      <c r="AB373" s="456">
        <f t="shared" si="71"/>
        <v>0</v>
      </c>
      <c r="AC373" s="456">
        <v>0</v>
      </c>
      <c r="AD373" s="2"/>
      <c r="AE373" s="4"/>
      <c r="AF373" s="5"/>
      <c r="AG373" s="428"/>
    </row>
    <row r="374" spans="2:33" hidden="1" x14ac:dyDescent="0.25">
      <c r="B374" s="1" t="s">
        <v>2460</v>
      </c>
      <c r="C374" s="3" t="s">
        <v>1368</v>
      </c>
      <c r="D374" s="3" t="s">
        <v>1247</v>
      </c>
      <c r="E374" s="407" t="s">
        <v>1425</v>
      </c>
      <c r="F374" s="3" t="s">
        <v>3775</v>
      </c>
      <c r="G374" s="407" t="s">
        <v>4479</v>
      </c>
      <c r="H374" s="440" t="s">
        <v>4109</v>
      </c>
      <c r="I374" s="407" t="s">
        <v>4300</v>
      </c>
      <c r="J374" s="407" t="s">
        <v>3781</v>
      </c>
      <c r="K374" s="387" t="s">
        <v>4643</v>
      </c>
      <c r="L374" s="387">
        <v>1</v>
      </c>
      <c r="M374" s="387">
        <v>0</v>
      </c>
      <c r="N374" s="387">
        <f t="shared" si="68"/>
        <v>1</v>
      </c>
      <c r="O374" s="442">
        <f t="shared" si="69"/>
        <v>1</v>
      </c>
      <c r="P374" s="387" t="s">
        <v>1358</v>
      </c>
      <c r="Q374" s="459">
        <v>0</v>
      </c>
      <c r="R374" s="459"/>
      <c r="S374" s="456">
        <v>0</v>
      </c>
      <c r="T374" s="456">
        <v>18.768000000000001</v>
      </c>
      <c r="U374" s="410"/>
      <c r="V374" s="411">
        <v>1</v>
      </c>
      <c r="W374" s="411">
        <v>1</v>
      </c>
      <c r="X374" s="411">
        <v>1</v>
      </c>
      <c r="Y374" s="411"/>
      <c r="Z374" s="411"/>
      <c r="AA374" s="412">
        <f t="shared" si="70"/>
        <v>1</v>
      </c>
      <c r="AB374" s="456">
        <f t="shared" si="71"/>
        <v>18.768000000000001</v>
      </c>
      <c r="AC374" s="456">
        <v>0</v>
      </c>
      <c r="AD374" s="2"/>
      <c r="AE374" s="4"/>
      <c r="AF374" s="5"/>
      <c r="AG374" s="428"/>
    </row>
    <row r="375" spans="2:33" hidden="1" x14ac:dyDescent="0.25">
      <c r="B375" s="1" t="s">
        <v>2461</v>
      </c>
      <c r="C375" s="3" t="s">
        <v>1368</v>
      </c>
      <c r="D375" s="3" t="s">
        <v>1247</v>
      </c>
      <c r="E375" s="407" t="s">
        <v>1426</v>
      </c>
      <c r="F375" s="3" t="s">
        <v>3776</v>
      </c>
      <c r="G375" s="407" t="s">
        <v>4480</v>
      </c>
      <c r="H375" s="440" t="s">
        <v>4109</v>
      </c>
      <c r="I375" s="407" t="s">
        <v>4301</v>
      </c>
      <c r="J375" s="407" t="s">
        <v>3782</v>
      </c>
      <c r="K375" s="387" t="s">
        <v>3770</v>
      </c>
      <c r="L375" s="387">
        <v>1</v>
      </c>
      <c r="M375" s="387">
        <v>0</v>
      </c>
      <c r="N375" s="387">
        <f t="shared" si="68"/>
        <v>1</v>
      </c>
      <c r="O375" s="442">
        <f t="shared" si="69"/>
        <v>0</v>
      </c>
      <c r="P375" s="387" t="s">
        <v>1358</v>
      </c>
      <c r="Q375" s="459">
        <v>0</v>
      </c>
      <c r="R375" s="459"/>
      <c r="S375" s="456">
        <v>0</v>
      </c>
      <c r="T375" s="456">
        <v>18.768000000000001</v>
      </c>
      <c r="U375" s="410"/>
      <c r="V375" s="411">
        <v>0</v>
      </c>
      <c r="W375" s="411">
        <v>0</v>
      </c>
      <c r="X375" s="411">
        <v>0</v>
      </c>
      <c r="Y375" s="411"/>
      <c r="Z375" s="411"/>
      <c r="AA375" s="412">
        <f t="shared" si="70"/>
        <v>0</v>
      </c>
      <c r="AB375" s="456">
        <f t="shared" si="71"/>
        <v>0</v>
      </c>
      <c r="AC375" s="456">
        <v>0</v>
      </c>
      <c r="AD375" s="2"/>
      <c r="AE375" s="4"/>
      <c r="AF375" s="5"/>
      <c r="AG375" s="428"/>
    </row>
    <row r="376" spans="2:33" hidden="1" x14ac:dyDescent="0.25">
      <c r="B376" s="1" t="s">
        <v>2462</v>
      </c>
      <c r="C376" s="3" t="s">
        <v>1368</v>
      </c>
      <c r="D376" s="3" t="s">
        <v>1247</v>
      </c>
      <c r="E376" s="407" t="s">
        <v>1402</v>
      </c>
      <c r="F376" s="3" t="s">
        <v>3777</v>
      </c>
      <c r="G376" s="407" t="s">
        <v>4481</v>
      </c>
      <c r="H376" s="440" t="s">
        <v>4109</v>
      </c>
      <c r="I376" s="407" t="s">
        <v>4302</v>
      </c>
      <c r="J376" s="407" t="s">
        <v>3783</v>
      </c>
      <c r="K376" s="387" t="s">
        <v>3770</v>
      </c>
      <c r="L376" s="387">
        <v>1</v>
      </c>
      <c r="M376" s="387">
        <v>0</v>
      </c>
      <c r="N376" s="387">
        <f t="shared" si="68"/>
        <v>1</v>
      </c>
      <c r="O376" s="442">
        <f t="shared" si="69"/>
        <v>0</v>
      </c>
      <c r="P376" s="387" t="s">
        <v>1358</v>
      </c>
      <c r="Q376" s="459">
        <v>0</v>
      </c>
      <c r="R376" s="459"/>
      <c r="S376" s="456">
        <v>0</v>
      </c>
      <c r="T376" s="456">
        <v>19.329000000000001</v>
      </c>
      <c r="U376" s="410"/>
      <c r="V376" s="411">
        <v>0</v>
      </c>
      <c r="W376" s="411">
        <v>0</v>
      </c>
      <c r="X376" s="411">
        <v>0</v>
      </c>
      <c r="Y376" s="411"/>
      <c r="Z376" s="411"/>
      <c r="AA376" s="412">
        <f t="shared" si="70"/>
        <v>0</v>
      </c>
      <c r="AB376" s="456">
        <f t="shared" si="71"/>
        <v>0</v>
      </c>
      <c r="AC376" s="456">
        <v>0</v>
      </c>
      <c r="AD376" s="2"/>
      <c r="AE376" s="4"/>
      <c r="AF376" s="5"/>
      <c r="AG376" s="428"/>
    </row>
    <row r="377" spans="2:33" hidden="1" x14ac:dyDescent="0.25">
      <c r="B377" s="1" t="s">
        <v>2463</v>
      </c>
      <c r="C377" s="3" t="s">
        <v>1368</v>
      </c>
      <c r="D377" s="3" t="s">
        <v>1247</v>
      </c>
      <c r="E377" s="407" t="s">
        <v>3546</v>
      </c>
      <c r="F377" s="3" t="s">
        <v>3778</v>
      </c>
      <c r="G377" s="407" t="s">
        <v>4482</v>
      </c>
      <c r="H377" s="440" t="s">
        <v>4109</v>
      </c>
      <c r="I377" s="407" t="s">
        <v>4303</v>
      </c>
      <c r="J377" s="407" t="s">
        <v>3784</v>
      </c>
      <c r="K377" s="387" t="s">
        <v>3770</v>
      </c>
      <c r="L377" s="387">
        <v>1</v>
      </c>
      <c r="M377" s="387">
        <v>0</v>
      </c>
      <c r="N377" s="387">
        <f t="shared" si="68"/>
        <v>1</v>
      </c>
      <c r="O377" s="442">
        <f t="shared" si="69"/>
        <v>0</v>
      </c>
      <c r="P377" s="387" t="s">
        <v>1358</v>
      </c>
      <c r="Q377" s="459">
        <v>0</v>
      </c>
      <c r="R377" s="459"/>
      <c r="S377" s="456">
        <v>0</v>
      </c>
      <c r="T377" s="456">
        <v>19.329000000000001</v>
      </c>
      <c r="U377" s="410"/>
      <c r="V377" s="411">
        <v>0</v>
      </c>
      <c r="W377" s="411">
        <v>0</v>
      </c>
      <c r="X377" s="411">
        <v>0</v>
      </c>
      <c r="Y377" s="411"/>
      <c r="Z377" s="411"/>
      <c r="AA377" s="412">
        <f t="shared" si="70"/>
        <v>0</v>
      </c>
      <c r="AB377" s="456">
        <f t="shared" si="71"/>
        <v>0</v>
      </c>
      <c r="AC377" s="456">
        <v>0</v>
      </c>
      <c r="AD377" s="2"/>
      <c r="AE377" s="4"/>
      <c r="AF377" s="5"/>
      <c r="AG377" s="428"/>
    </row>
    <row r="378" spans="2:33" hidden="1" x14ac:dyDescent="0.25">
      <c r="B378" s="1" t="s">
        <v>2464</v>
      </c>
      <c r="C378" s="3" t="s">
        <v>1368</v>
      </c>
      <c r="D378" s="3" t="s">
        <v>1247</v>
      </c>
      <c r="E378" s="407" t="s">
        <v>1432</v>
      </c>
      <c r="F378" s="3" t="s">
        <v>1777</v>
      </c>
      <c r="G378" s="407" t="s">
        <v>4483</v>
      </c>
      <c r="H378" s="440" t="s">
        <v>4109</v>
      </c>
      <c r="I378" s="407" t="s">
        <v>4304</v>
      </c>
      <c r="J378" s="407" t="s">
        <v>3785</v>
      </c>
      <c r="K378" s="387" t="s">
        <v>4635</v>
      </c>
      <c r="L378" s="387">
        <v>1</v>
      </c>
      <c r="M378" s="387">
        <v>0</v>
      </c>
      <c r="N378" s="387">
        <f t="shared" si="68"/>
        <v>1</v>
      </c>
      <c r="O378" s="442">
        <f t="shared" si="69"/>
        <v>0</v>
      </c>
      <c r="P378" s="387" t="s">
        <v>1358</v>
      </c>
      <c r="Q378" s="459">
        <v>0</v>
      </c>
      <c r="R378" s="459"/>
      <c r="S378" s="456">
        <v>0</v>
      </c>
      <c r="T378" s="456">
        <v>26.664000000000001</v>
      </c>
      <c r="U378" s="410"/>
      <c r="V378" s="411">
        <v>0</v>
      </c>
      <c r="W378" s="411">
        <v>0</v>
      </c>
      <c r="X378" s="411">
        <v>0</v>
      </c>
      <c r="Y378" s="411"/>
      <c r="Z378" s="411"/>
      <c r="AA378" s="412">
        <f t="shared" si="70"/>
        <v>0</v>
      </c>
      <c r="AB378" s="456">
        <f t="shared" si="71"/>
        <v>0</v>
      </c>
      <c r="AC378" s="456">
        <v>0</v>
      </c>
      <c r="AD378" s="2"/>
      <c r="AE378" s="4"/>
      <c r="AF378" s="5"/>
      <c r="AG378" s="428"/>
    </row>
    <row r="379" spans="2:33" hidden="1" x14ac:dyDescent="0.25">
      <c r="B379" s="1" t="s">
        <v>2465</v>
      </c>
      <c r="C379" s="3" t="s">
        <v>1368</v>
      </c>
      <c r="D379" s="3" t="s">
        <v>1247</v>
      </c>
      <c r="E379" s="407" t="s">
        <v>3306</v>
      </c>
      <c r="F379" s="3" t="s">
        <v>1778</v>
      </c>
      <c r="G379" s="407" t="s">
        <v>4484</v>
      </c>
      <c r="H379" s="440" t="s">
        <v>4109</v>
      </c>
      <c r="I379" s="407" t="s">
        <v>4305</v>
      </c>
      <c r="J379" s="407" t="s">
        <v>3786</v>
      </c>
      <c r="K379" s="387" t="s">
        <v>4636</v>
      </c>
      <c r="L379" s="387">
        <v>1</v>
      </c>
      <c r="M379" s="387">
        <v>0</v>
      </c>
      <c r="N379" s="387">
        <f t="shared" si="68"/>
        <v>1</v>
      </c>
      <c r="O379" s="442">
        <f t="shared" si="69"/>
        <v>0</v>
      </c>
      <c r="P379" s="387" t="s">
        <v>1358</v>
      </c>
      <c r="Q379" s="459">
        <v>0</v>
      </c>
      <c r="R379" s="459"/>
      <c r="S379" s="456">
        <v>0</v>
      </c>
      <c r="T379" s="456">
        <v>21.344999999999999</v>
      </c>
      <c r="U379" s="410"/>
      <c r="V379" s="411">
        <v>0</v>
      </c>
      <c r="W379" s="411">
        <v>0</v>
      </c>
      <c r="X379" s="411">
        <v>0</v>
      </c>
      <c r="Y379" s="411"/>
      <c r="Z379" s="411"/>
      <c r="AA379" s="412">
        <f t="shared" si="70"/>
        <v>0</v>
      </c>
      <c r="AB379" s="456">
        <f t="shared" si="71"/>
        <v>0</v>
      </c>
      <c r="AC379" s="456">
        <v>0</v>
      </c>
      <c r="AD379" s="2"/>
      <c r="AE379" s="4"/>
      <c r="AF379" s="5"/>
      <c r="AG379" s="428"/>
    </row>
    <row r="380" spans="2:33" hidden="1" x14ac:dyDescent="0.25">
      <c r="B380" s="1" t="s">
        <v>2466</v>
      </c>
      <c r="C380" s="3" t="s">
        <v>1368</v>
      </c>
      <c r="D380" s="3" t="s">
        <v>1247</v>
      </c>
      <c r="E380" s="407" t="s">
        <v>1426</v>
      </c>
      <c r="F380" s="3" t="s">
        <v>1779</v>
      </c>
      <c r="G380" s="407" t="s">
        <v>4480</v>
      </c>
      <c r="H380" s="440" t="s">
        <v>4109</v>
      </c>
      <c r="I380" s="407" t="s">
        <v>4301</v>
      </c>
      <c r="J380" s="407" t="s">
        <v>3782</v>
      </c>
      <c r="K380" s="387" t="s">
        <v>4637</v>
      </c>
      <c r="L380" s="387">
        <v>1</v>
      </c>
      <c r="M380" s="387">
        <v>0</v>
      </c>
      <c r="N380" s="387">
        <f t="shared" si="68"/>
        <v>1</v>
      </c>
      <c r="O380" s="442">
        <f t="shared" si="69"/>
        <v>0</v>
      </c>
      <c r="P380" s="387" t="s">
        <v>1358</v>
      </c>
      <c r="Q380" s="459">
        <v>0</v>
      </c>
      <c r="R380" s="459"/>
      <c r="S380" s="456">
        <v>0</v>
      </c>
      <c r="T380" s="456">
        <v>26.664000000000001</v>
      </c>
      <c r="U380" s="410"/>
      <c r="V380" s="411">
        <v>0</v>
      </c>
      <c r="W380" s="411">
        <v>0</v>
      </c>
      <c r="X380" s="411">
        <v>0</v>
      </c>
      <c r="Y380" s="411"/>
      <c r="Z380" s="411"/>
      <c r="AA380" s="412">
        <f t="shared" si="70"/>
        <v>0</v>
      </c>
      <c r="AB380" s="456">
        <f t="shared" si="71"/>
        <v>0</v>
      </c>
      <c r="AC380" s="456">
        <v>0</v>
      </c>
      <c r="AD380" s="2"/>
      <c r="AE380" s="4"/>
      <c r="AF380" s="5"/>
      <c r="AG380" s="428"/>
    </row>
    <row r="381" spans="2:33" hidden="1" x14ac:dyDescent="0.25">
      <c r="B381" s="1" t="s">
        <v>2467</v>
      </c>
      <c r="C381" s="3" t="s">
        <v>1368</v>
      </c>
      <c r="D381" s="3" t="s">
        <v>1247</v>
      </c>
      <c r="E381" s="407" t="s">
        <v>1427</v>
      </c>
      <c r="F381" s="3" t="s">
        <v>1780</v>
      </c>
      <c r="G381" s="407" t="s">
        <v>4485</v>
      </c>
      <c r="H381" s="440" t="s">
        <v>4109</v>
      </c>
      <c r="I381" s="407" t="s">
        <v>4306</v>
      </c>
      <c r="J381" s="407" t="s">
        <v>3787</v>
      </c>
      <c r="K381" s="387" t="s">
        <v>4638</v>
      </c>
      <c r="L381" s="387">
        <v>1</v>
      </c>
      <c r="M381" s="387">
        <v>0</v>
      </c>
      <c r="N381" s="387">
        <f t="shared" si="68"/>
        <v>1</v>
      </c>
      <c r="O381" s="442">
        <f t="shared" si="69"/>
        <v>0</v>
      </c>
      <c r="P381" s="387" t="s">
        <v>1358</v>
      </c>
      <c r="Q381" s="459">
        <v>0</v>
      </c>
      <c r="R381" s="459"/>
      <c r="S381" s="456">
        <v>0</v>
      </c>
      <c r="T381" s="456">
        <v>26.664000000000001</v>
      </c>
      <c r="U381" s="410"/>
      <c r="V381" s="411">
        <v>0</v>
      </c>
      <c r="W381" s="411">
        <v>0</v>
      </c>
      <c r="X381" s="411">
        <v>0</v>
      </c>
      <c r="Y381" s="411"/>
      <c r="Z381" s="411"/>
      <c r="AA381" s="412">
        <f t="shared" si="70"/>
        <v>0</v>
      </c>
      <c r="AB381" s="456">
        <f t="shared" si="71"/>
        <v>0</v>
      </c>
      <c r="AC381" s="456">
        <v>0</v>
      </c>
      <c r="AD381" s="2"/>
      <c r="AE381" s="4"/>
      <c r="AF381" s="5"/>
      <c r="AG381" s="428"/>
    </row>
    <row r="382" spans="2:33" hidden="1" x14ac:dyDescent="0.25">
      <c r="B382" s="1" t="s">
        <v>2468</v>
      </c>
      <c r="C382" s="3" t="s">
        <v>1368</v>
      </c>
      <c r="D382" s="3" t="s">
        <v>1247</v>
      </c>
      <c r="E382" s="407" t="s">
        <v>1428</v>
      </c>
      <c r="F382" s="3" t="s">
        <v>1781</v>
      </c>
      <c r="G382" s="407" t="s">
        <v>4486</v>
      </c>
      <c r="H382" s="440" t="s">
        <v>4109</v>
      </c>
      <c r="I382" s="407" t="s">
        <v>4307</v>
      </c>
      <c r="J382" s="407" t="s">
        <v>3788</v>
      </c>
      <c r="K382" s="387" t="s">
        <v>4639</v>
      </c>
      <c r="L382" s="387">
        <v>1</v>
      </c>
      <c r="M382" s="387">
        <v>0</v>
      </c>
      <c r="N382" s="387">
        <f t="shared" si="68"/>
        <v>1</v>
      </c>
      <c r="O382" s="442">
        <f t="shared" si="69"/>
        <v>0</v>
      </c>
      <c r="P382" s="387" t="s">
        <v>1358</v>
      </c>
      <c r="Q382" s="459">
        <v>0</v>
      </c>
      <c r="R382" s="459"/>
      <c r="S382" s="456">
        <v>0</v>
      </c>
      <c r="T382" s="456">
        <v>26.664000000000001</v>
      </c>
      <c r="U382" s="410"/>
      <c r="V382" s="411">
        <v>0</v>
      </c>
      <c r="W382" s="411">
        <v>0</v>
      </c>
      <c r="X382" s="411">
        <v>0</v>
      </c>
      <c r="Y382" s="411"/>
      <c r="Z382" s="411"/>
      <c r="AA382" s="412">
        <f t="shared" si="70"/>
        <v>0</v>
      </c>
      <c r="AB382" s="456">
        <f t="shared" si="71"/>
        <v>0</v>
      </c>
      <c r="AC382" s="456">
        <v>0</v>
      </c>
      <c r="AD382" s="2"/>
      <c r="AE382" s="4"/>
      <c r="AF382" s="5"/>
      <c r="AG382" s="428"/>
    </row>
    <row r="383" spans="2:33" hidden="1" x14ac:dyDescent="0.25">
      <c r="B383" s="1" t="s">
        <v>2469</v>
      </c>
      <c r="C383" s="3" t="s">
        <v>1368</v>
      </c>
      <c r="D383" s="3" t="s">
        <v>1247</v>
      </c>
      <c r="E383" s="407" t="s">
        <v>1429</v>
      </c>
      <c r="F383" s="3" t="s">
        <v>1782</v>
      </c>
      <c r="G383" s="407" t="s">
        <v>4487</v>
      </c>
      <c r="H383" s="440" t="s">
        <v>4109</v>
      </c>
      <c r="I383" s="407" t="s">
        <v>4308</v>
      </c>
      <c r="J383" s="407" t="s">
        <v>3789</v>
      </c>
      <c r="K383" s="387" t="s">
        <v>4640</v>
      </c>
      <c r="L383" s="387">
        <v>1</v>
      </c>
      <c r="M383" s="387">
        <v>0</v>
      </c>
      <c r="N383" s="387">
        <f t="shared" si="68"/>
        <v>1</v>
      </c>
      <c r="O383" s="442">
        <f t="shared" si="69"/>
        <v>0</v>
      </c>
      <c r="P383" s="387" t="s">
        <v>1358</v>
      </c>
      <c r="Q383" s="459">
        <v>0</v>
      </c>
      <c r="R383" s="459"/>
      <c r="S383" s="456">
        <v>0</v>
      </c>
      <c r="T383" s="456">
        <v>26.664000000000001</v>
      </c>
      <c r="U383" s="410"/>
      <c r="V383" s="411">
        <v>0</v>
      </c>
      <c r="W383" s="411">
        <v>0</v>
      </c>
      <c r="X383" s="411">
        <v>0</v>
      </c>
      <c r="Y383" s="411"/>
      <c r="Z383" s="411"/>
      <c r="AA383" s="412">
        <f t="shared" si="70"/>
        <v>0</v>
      </c>
      <c r="AB383" s="456">
        <f t="shared" si="71"/>
        <v>0</v>
      </c>
      <c r="AC383" s="456">
        <v>0</v>
      </c>
      <c r="AD383" s="2"/>
      <c r="AE383" s="4"/>
      <c r="AF383" s="5"/>
      <c r="AG383" s="428"/>
    </row>
    <row r="384" spans="2:33" hidden="1" x14ac:dyDescent="0.25">
      <c r="B384" s="1" t="s">
        <v>2470</v>
      </c>
      <c r="C384" s="3" t="s">
        <v>1368</v>
      </c>
      <c r="D384" s="3" t="s">
        <v>1247</v>
      </c>
      <c r="E384" s="407" t="s">
        <v>1430</v>
      </c>
      <c r="F384" s="3" t="s">
        <v>1783</v>
      </c>
      <c r="G384" s="407" t="s">
        <v>4488</v>
      </c>
      <c r="H384" s="440" t="s">
        <v>4109</v>
      </c>
      <c r="I384" s="407" t="s">
        <v>4309</v>
      </c>
      <c r="J384" s="407" t="s">
        <v>3790</v>
      </c>
      <c r="K384" s="387" t="s">
        <v>4641</v>
      </c>
      <c r="L384" s="387">
        <v>1</v>
      </c>
      <c r="M384" s="387">
        <v>0</v>
      </c>
      <c r="N384" s="387">
        <f t="shared" si="68"/>
        <v>1</v>
      </c>
      <c r="O384" s="442">
        <f t="shared" si="69"/>
        <v>0</v>
      </c>
      <c r="P384" s="387" t="s">
        <v>1358</v>
      </c>
      <c r="Q384" s="459">
        <v>0</v>
      </c>
      <c r="R384" s="459"/>
      <c r="S384" s="456">
        <v>0</v>
      </c>
      <c r="T384" s="456">
        <v>26.664000000000001</v>
      </c>
      <c r="U384" s="410"/>
      <c r="V384" s="411">
        <v>0</v>
      </c>
      <c r="W384" s="411">
        <v>0</v>
      </c>
      <c r="X384" s="411">
        <v>0</v>
      </c>
      <c r="Y384" s="411"/>
      <c r="Z384" s="411"/>
      <c r="AA384" s="412">
        <f t="shared" si="70"/>
        <v>0</v>
      </c>
      <c r="AB384" s="456">
        <f t="shared" si="71"/>
        <v>0</v>
      </c>
      <c r="AC384" s="456">
        <v>0</v>
      </c>
      <c r="AD384" s="2"/>
      <c r="AE384" s="4"/>
      <c r="AF384" s="5"/>
      <c r="AG384" s="428"/>
    </row>
    <row r="385" spans="2:33" hidden="1" x14ac:dyDescent="0.25">
      <c r="B385" s="1" t="s">
        <v>2471</v>
      </c>
      <c r="C385" s="3" t="s">
        <v>1368</v>
      </c>
      <c r="D385" s="3" t="s">
        <v>1247</v>
      </c>
      <c r="E385" s="407" t="s">
        <v>1431</v>
      </c>
      <c r="F385" s="3" t="s">
        <v>1784</v>
      </c>
      <c r="G385" s="407" t="s">
        <v>4489</v>
      </c>
      <c r="H385" s="440" t="s">
        <v>4109</v>
      </c>
      <c r="I385" s="407" t="s">
        <v>4310</v>
      </c>
      <c r="J385" s="407" t="s">
        <v>3791</v>
      </c>
      <c r="K385" s="387" t="s">
        <v>4642</v>
      </c>
      <c r="L385" s="387">
        <v>1</v>
      </c>
      <c r="M385" s="387">
        <v>0</v>
      </c>
      <c r="N385" s="387">
        <f t="shared" si="68"/>
        <v>1</v>
      </c>
      <c r="O385" s="442">
        <f t="shared" si="69"/>
        <v>0</v>
      </c>
      <c r="P385" s="387" t="s">
        <v>1358</v>
      </c>
      <c r="Q385" s="459">
        <v>0</v>
      </c>
      <c r="R385" s="459"/>
      <c r="S385" s="456">
        <v>0</v>
      </c>
      <c r="T385" s="456">
        <v>26.664000000000001</v>
      </c>
      <c r="U385" s="410"/>
      <c r="V385" s="411">
        <v>0</v>
      </c>
      <c r="W385" s="411">
        <v>0</v>
      </c>
      <c r="X385" s="411">
        <v>0</v>
      </c>
      <c r="Y385" s="411"/>
      <c r="Z385" s="411"/>
      <c r="AA385" s="412">
        <f t="shared" si="70"/>
        <v>0</v>
      </c>
      <c r="AB385" s="456">
        <f t="shared" si="71"/>
        <v>0</v>
      </c>
      <c r="AC385" s="456">
        <v>0</v>
      </c>
      <c r="AD385" s="2"/>
      <c r="AE385" s="4"/>
      <c r="AF385" s="5"/>
      <c r="AG385" s="428"/>
    </row>
    <row r="386" spans="2:33" hidden="1" x14ac:dyDescent="0.25">
      <c r="B386" s="1" t="s">
        <v>2472</v>
      </c>
      <c r="C386" s="3" t="s">
        <v>1368</v>
      </c>
      <c r="D386" s="3" t="s">
        <v>1247</v>
      </c>
      <c r="E386" s="407" t="s">
        <v>1425</v>
      </c>
      <c r="F386" s="3" t="s">
        <v>1785</v>
      </c>
      <c r="G386" s="407" t="s">
        <v>4479</v>
      </c>
      <c r="H386" s="440" t="s">
        <v>4109</v>
      </c>
      <c r="I386" s="407" t="s">
        <v>4300</v>
      </c>
      <c r="J386" s="407" t="s">
        <v>3781</v>
      </c>
      <c r="K386" s="387" t="s">
        <v>4643</v>
      </c>
      <c r="L386" s="387">
        <v>1</v>
      </c>
      <c r="M386" s="387">
        <v>0</v>
      </c>
      <c r="N386" s="387">
        <f t="shared" si="68"/>
        <v>1</v>
      </c>
      <c r="O386" s="442">
        <f t="shared" si="69"/>
        <v>1.0000000000000002</v>
      </c>
      <c r="P386" s="387" t="s">
        <v>1358</v>
      </c>
      <c r="Q386" s="459">
        <v>0</v>
      </c>
      <c r="R386" s="459"/>
      <c r="S386" s="456">
        <v>0</v>
      </c>
      <c r="T386" s="456">
        <v>43.453000000000003</v>
      </c>
      <c r="U386" s="410"/>
      <c r="V386" s="411">
        <v>1</v>
      </c>
      <c r="W386" s="411">
        <v>1</v>
      </c>
      <c r="X386" s="411">
        <v>1</v>
      </c>
      <c r="Y386" s="411"/>
      <c r="Z386" s="411"/>
      <c r="AA386" s="412">
        <f t="shared" si="70"/>
        <v>1.0000000000000002</v>
      </c>
      <c r="AB386" s="456">
        <f t="shared" si="71"/>
        <v>43.45300000000001</v>
      </c>
      <c r="AC386" s="456">
        <v>0</v>
      </c>
      <c r="AD386" s="2"/>
      <c r="AE386" s="4"/>
      <c r="AF386" s="5"/>
      <c r="AG386" s="428"/>
    </row>
    <row r="387" spans="2:33" hidden="1" x14ac:dyDescent="0.25">
      <c r="B387" s="1" t="s">
        <v>2473</v>
      </c>
      <c r="C387" s="3" t="s">
        <v>1368</v>
      </c>
      <c r="D387" s="3" t="s">
        <v>1247</v>
      </c>
      <c r="E387" s="407" t="s">
        <v>1433</v>
      </c>
      <c r="F387" s="3" t="s">
        <v>1786</v>
      </c>
      <c r="G387" s="407" t="s">
        <v>4490</v>
      </c>
      <c r="H387" s="440" t="s">
        <v>4109</v>
      </c>
      <c r="I387" s="407" t="s">
        <v>4311</v>
      </c>
      <c r="J387" s="407" t="s">
        <v>3792</v>
      </c>
      <c r="K387" s="387" t="s">
        <v>4644</v>
      </c>
      <c r="L387" s="387">
        <v>2</v>
      </c>
      <c r="M387" s="387">
        <v>0</v>
      </c>
      <c r="N387" s="387">
        <f t="shared" si="68"/>
        <v>2</v>
      </c>
      <c r="O387" s="442">
        <f t="shared" si="69"/>
        <v>0</v>
      </c>
      <c r="P387" s="387" t="s">
        <v>1358</v>
      </c>
      <c r="Q387" s="459">
        <v>0</v>
      </c>
      <c r="R387" s="459"/>
      <c r="S387" s="456">
        <v>0</v>
      </c>
      <c r="T387" s="456">
        <v>39.878</v>
      </c>
      <c r="U387" s="410"/>
      <c r="V387" s="411">
        <v>0</v>
      </c>
      <c r="W387" s="411">
        <v>0</v>
      </c>
      <c r="X387" s="411">
        <v>0</v>
      </c>
      <c r="Y387" s="411"/>
      <c r="Z387" s="411"/>
      <c r="AA387" s="412">
        <f t="shared" si="70"/>
        <v>0</v>
      </c>
      <c r="AB387" s="456">
        <f t="shared" si="71"/>
        <v>0</v>
      </c>
      <c r="AC387" s="456">
        <v>0</v>
      </c>
      <c r="AD387" s="2"/>
      <c r="AE387" s="4"/>
      <c r="AF387" s="5"/>
      <c r="AG387" s="428"/>
    </row>
    <row r="388" spans="2:33" hidden="1" x14ac:dyDescent="0.25">
      <c r="B388" s="1" t="s">
        <v>2474</v>
      </c>
      <c r="C388" s="3" t="s">
        <v>1368</v>
      </c>
      <c r="D388" s="3" t="s">
        <v>1247</v>
      </c>
      <c r="E388" s="407" t="s">
        <v>3236</v>
      </c>
      <c r="F388" s="3" t="s">
        <v>1787</v>
      </c>
      <c r="G388" s="407" t="s">
        <v>4491</v>
      </c>
      <c r="H388" s="440" t="s">
        <v>4109</v>
      </c>
      <c r="I388" s="407" t="s">
        <v>4312</v>
      </c>
      <c r="J388" s="407" t="s">
        <v>3793</v>
      </c>
      <c r="K388" s="387" t="s">
        <v>4645</v>
      </c>
      <c r="L388" s="387">
        <v>1</v>
      </c>
      <c r="M388" s="387">
        <v>0</v>
      </c>
      <c r="N388" s="387">
        <f t="shared" si="68"/>
        <v>1</v>
      </c>
      <c r="O388" s="442">
        <f t="shared" si="69"/>
        <v>0</v>
      </c>
      <c r="P388" s="387" t="s">
        <v>1358</v>
      </c>
      <c r="Q388" s="459">
        <v>0</v>
      </c>
      <c r="R388" s="459"/>
      <c r="S388" s="456">
        <v>0</v>
      </c>
      <c r="T388" s="456">
        <v>2.3170000000000002</v>
      </c>
      <c r="U388" s="410"/>
      <c r="V388" s="411">
        <v>0</v>
      </c>
      <c r="W388" s="411">
        <v>0</v>
      </c>
      <c r="X388" s="411">
        <v>0</v>
      </c>
      <c r="Y388" s="411"/>
      <c r="Z388" s="411"/>
      <c r="AA388" s="412">
        <f t="shared" si="70"/>
        <v>0</v>
      </c>
      <c r="AB388" s="456">
        <f t="shared" si="71"/>
        <v>0</v>
      </c>
      <c r="AC388" s="456">
        <v>0</v>
      </c>
      <c r="AD388" s="2"/>
      <c r="AE388" s="4"/>
      <c r="AF388" s="5"/>
      <c r="AG388" s="428"/>
    </row>
    <row r="389" spans="2:33" hidden="1" x14ac:dyDescent="0.25">
      <c r="B389" s="1" t="s">
        <v>2475</v>
      </c>
      <c r="C389" s="3" t="s">
        <v>1368</v>
      </c>
      <c r="D389" s="3" t="s">
        <v>1247</v>
      </c>
      <c r="E389" s="407" t="s">
        <v>3234</v>
      </c>
      <c r="F389" s="3" t="s">
        <v>1788</v>
      </c>
      <c r="G389" s="407" t="s">
        <v>4492</v>
      </c>
      <c r="H389" s="440" t="s">
        <v>4109</v>
      </c>
      <c r="I389" s="407" t="s">
        <v>4313</v>
      </c>
      <c r="J389" s="407" t="s">
        <v>3794</v>
      </c>
      <c r="K389" s="387" t="s">
        <v>4646</v>
      </c>
      <c r="L389" s="387">
        <v>1</v>
      </c>
      <c r="M389" s="387">
        <v>0</v>
      </c>
      <c r="N389" s="387">
        <f t="shared" si="68"/>
        <v>1</v>
      </c>
      <c r="O389" s="442">
        <f t="shared" si="69"/>
        <v>0</v>
      </c>
      <c r="P389" s="387" t="s">
        <v>1358</v>
      </c>
      <c r="Q389" s="459">
        <v>0</v>
      </c>
      <c r="R389" s="459"/>
      <c r="S389" s="456">
        <v>0</v>
      </c>
      <c r="T389" s="456">
        <v>25.16</v>
      </c>
      <c r="U389" s="410"/>
      <c r="V389" s="411">
        <v>0</v>
      </c>
      <c r="W389" s="411">
        <v>0</v>
      </c>
      <c r="X389" s="411">
        <v>0</v>
      </c>
      <c r="Y389" s="411"/>
      <c r="Z389" s="411"/>
      <c r="AA389" s="412">
        <f t="shared" si="70"/>
        <v>0</v>
      </c>
      <c r="AB389" s="456">
        <f t="shared" si="71"/>
        <v>0</v>
      </c>
      <c r="AC389" s="456">
        <v>0</v>
      </c>
      <c r="AD389" s="2"/>
      <c r="AE389" s="4"/>
      <c r="AF389" s="5"/>
      <c r="AG389" s="428"/>
    </row>
    <row r="390" spans="2:33" hidden="1" x14ac:dyDescent="0.25">
      <c r="B390" s="1" t="s">
        <v>2476</v>
      </c>
      <c r="C390" s="3" t="s">
        <v>1368</v>
      </c>
      <c r="D390" s="3" t="s">
        <v>1247</v>
      </c>
      <c r="E390" s="407" t="s">
        <v>1432</v>
      </c>
      <c r="F390" s="3" t="s">
        <v>1789</v>
      </c>
      <c r="G390" s="407" t="s">
        <v>4483</v>
      </c>
      <c r="H390" s="440" t="s">
        <v>4109</v>
      </c>
      <c r="I390" s="407" t="s">
        <v>4304</v>
      </c>
      <c r="J390" s="407" t="s">
        <v>3785</v>
      </c>
      <c r="K390" s="387" t="s">
        <v>4635</v>
      </c>
      <c r="L390" s="387">
        <v>1</v>
      </c>
      <c r="M390" s="387">
        <v>0</v>
      </c>
      <c r="N390" s="387">
        <f t="shared" si="68"/>
        <v>1</v>
      </c>
      <c r="O390" s="442">
        <f t="shared" si="69"/>
        <v>0</v>
      </c>
      <c r="P390" s="387" t="s">
        <v>1358</v>
      </c>
      <c r="Q390" s="459">
        <v>0</v>
      </c>
      <c r="R390" s="459"/>
      <c r="S390" s="456">
        <v>0</v>
      </c>
      <c r="T390" s="456">
        <v>19.939</v>
      </c>
      <c r="U390" s="410"/>
      <c r="V390" s="411">
        <v>0</v>
      </c>
      <c r="W390" s="411">
        <v>0</v>
      </c>
      <c r="X390" s="411">
        <v>0</v>
      </c>
      <c r="Y390" s="411"/>
      <c r="Z390" s="411"/>
      <c r="AA390" s="412">
        <f t="shared" si="70"/>
        <v>0</v>
      </c>
      <c r="AB390" s="456">
        <f t="shared" si="71"/>
        <v>0</v>
      </c>
      <c r="AC390" s="456">
        <v>0</v>
      </c>
      <c r="AD390" s="2"/>
      <c r="AE390" s="4"/>
      <c r="AF390" s="5"/>
      <c r="AG390" s="428"/>
    </row>
    <row r="391" spans="2:33" hidden="1" x14ac:dyDescent="0.25">
      <c r="B391" s="1" t="s">
        <v>2477</v>
      </c>
      <c r="C391" s="3" t="s">
        <v>1368</v>
      </c>
      <c r="D391" s="3" t="s">
        <v>1247</v>
      </c>
      <c r="E391" s="407" t="s">
        <v>1425</v>
      </c>
      <c r="F391" s="3" t="s">
        <v>1790</v>
      </c>
      <c r="G391" s="407" t="s">
        <v>4479</v>
      </c>
      <c r="H391" s="440" t="s">
        <v>4109</v>
      </c>
      <c r="I391" s="407" t="s">
        <v>4300</v>
      </c>
      <c r="J391" s="407" t="s">
        <v>3781</v>
      </c>
      <c r="K391" s="387" t="s">
        <v>4643</v>
      </c>
      <c r="L391" s="387">
        <v>1</v>
      </c>
      <c r="M391" s="387">
        <v>0</v>
      </c>
      <c r="N391" s="387">
        <f t="shared" si="68"/>
        <v>1</v>
      </c>
      <c r="O391" s="442">
        <f t="shared" si="69"/>
        <v>1</v>
      </c>
      <c r="P391" s="387" t="s">
        <v>1358</v>
      </c>
      <c r="Q391" s="459">
        <v>0</v>
      </c>
      <c r="R391" s="459"/>
      <c r="S391" s="456">
        <v>0</v>
      </c>
      <c r="T391" s="456">
        <v>19.939</v>
      </c>
      <c r="U391" s="410"/>
      <c r="V391" s="411">
        <v>1</v>
      </c>
      <c r="W391" s="411">
        <v>1</v>
      </c>
      <c r="X391" s="411">
        <v>1</v>
      </c>
      <c r="Y391" s="411"/>
      <c r="Z391" s="411"/>
      <c r="AA391" s="412">
        <f t="shared" si="70"/>
        <v>1</v>
      </c>
      <c r="AB391" s="456">
        <f t="shared" si="71"/>
        <v>19.939</v>
      </c>
      <c r="AC391" s="456">
        <v>0</v>
      </c>
      <c r="AD391" s="2"/>
      <c r="AE391" s="4"/>
      <c r="AF391" s="5"/>
      <c r="AG391" s="428"/>
    </row>
    <row r="392" spans="2:33" hidden="1" x14ac:dyDescent="0.25">
      <c r="B392" s="1" t="s">
        <v>2478</v>
      </c>
      <c r="C392" s="3" t="s">
        <v>1368</v>
      </c>
      <c r="D392" s="3" t="s">
        <v>1247</v>
      </c>
      <c r="E392" s="407" t="s">
        <v>1426</v>
      </c>
      <c r="F392" s="3" t="s">
        <v>1791</v>
      </c>
      <c r="G392" s="407" t="s">
        <v>4480</v>
      </c>
      <c r="H392" s="440" t="s">
        <v>4109</v>
      </c>
      <c r="I392" s="407" t="s">
        <v>4301</v>
      </c>
      <c r="J392" s="407" t="s">
        <v>3782</v>
      </c>
      <c r="K392" s="387" t="s">
        <v>4637</v>
      </c>
      <c r="L392" s="387">
        <v>1</v>
      </c>
      <c r="M392" s="387">
        <v>0</v>
      </c>
      <c r="N392" s="387">
        <f t="shared" si="68"/>
        <v>1</v>
      </c>
      <c r="O392" s="442">
        <f t="shared" si="69"/>
        <v>0</v>
      </c>
      <c r="P392" s="387" t="s">
        <v>1358</v>
      </c>
      <c r="Q392" s="459">
        <v>0</v>
      </c>
      <c r="R392" s="459"/>
      <c r="S392" s="456">
        <v>0</v>
      </c>
      <c r="T392" s="456">
        <v>19.939</v>
      </c>
      <c r="U392" s="410"/>
      <c r="V392" s="411">
        <v>0</v>
      </c>
      <c r="W392" s="411">
        <v>0</v>
      </c>
      <c r="X392" s="411">
        <v>0</v>
      </c>
      <c r="Y392" s="411"/>
      <c r="Z392" s="411"/>
      <c r="AA392" s="412">
        <f t="shared" si="70"/>
        <v>0</v>
      </c>
      <c r="AB392" s="456">
        <f t="shared" si="71"/>
        <v>0</v>
      </c>
      <c r="AC392" s="456">
        <v>0</v>
      </c>
      <c r="AD392" s="2"/>
      <c r="AE392" s="4"/>
      <c r="AF392" s="5"/>
      <c r="AG392" s="428"/>
    </row>
    <row r="393" spans="2:33" hidden="1" x14ac:dyDescent="0.25">
      <c r="B393" s="1" t="s">
        <v>2479</v>
      </c>
      <c r="C393" s="3" t="s">
        <v>1368</v>
      </c>
      <c r="D393" s="3" t="s">
        <v>1247</v>
      </c>
      <c r="E393" s="407" t="s">
        <v>1427</v>
      </c>
      <c r="F393" s="3" t="s">
        <v>1792</v>
      </c>
      <c r="G393" s="407" t="s">
        <v>4485</v>
      </c>
      <c r="H393" s="440" t="s">
        <v>4109</v>
      </c>
      <c r="I393" s="407" t="s">
        <v>4306</v>
      </c>
      <c r="J393" s="407" t="s">
        <v>3787</v>
      </c>
      <c r="K393" s="387" t="s">
        <v>4638</v>
      </c>
      <c r="L393" s="387">
        <v>1</v>
      </c>
      <c r="M393" s="387">
        <v>0</v>
      </c>
      <c r="N393" s="387">
        <f t="shared" si="68"/>
        <v>1</v>
      </c>
      <c r="O393" s="442">
        <f t="shared" si="69"/>
        <v>0</v>
      </c>
      <c r="P393" s="387" t="s">
        <v>1358</v>
      </c>
      <c r="Q393" s="459">
        <v>0</v>
      </c>
      <c r="R393" s="459"/>
      <c r="S393" s="456">
        <v>0</v>
      </c>
      <c r="T393" s="456">
        <v>19.939</v>
      </c>
      <c r="U393" s="410"/>
      <c r="V393" s="411">
        <v>0</v>
      </c>
      <c r="W393" s="411">
        <v>0</v>
      </c>
      <c r="X393" s="411">
        <v>0</v>
      </c>
      <c r="Y393" s="411"/>
      <c r="Z393" s="411"/>
      <c r="AA393" s="412">
        <f t="shared" si="70"/>
        <v>0</v>
      </c>
      <c r="AB393" s="456">
        <f t="shared" si="71"/>
        <v>0</v>
      </c>
      <c r="AC393" s="456">
        <v>0</v>
      </c>
      <c r="AD393" s="2"/>
      <c r="AE393" s="4"/>
      <c r="AF393" s="5"/>
      <c r="AG393" s="428"/>
    </row>
    <row r="394" spans="2:33" hidden="1" x14ac:dyDescent="0.25">
      <c r="B394" s="1" t="s">
        <v>2480</v>
      </c>
      <c r="C394" s="3" t="s">
        <v>1368</v>
      </c>
      <c r="D394" s="3" t="s">
        <v>1247</v>
      </c>
      <c r="E394" s="407" t="s">
        <v>1430</v>
      </c>
      <c r="F394" s="3" t="s">
        <v>1793</v>
      </c>
      <c r="G394" s="407" t="s">
        <v>4488</v>
      </c>
      <c r="H394" s="440" t="s">
        <v>4109</v>
      </c>
      <c r="I394" s="407" t="s">
        <v>4309</v>
      </c>
      <c r="J394" s="407" t="s">
        <v>3790</v>
      </c>
      <c r="K394" s="387" t="s">
        <v>4641</v>
      </c>
      <c r="L394" s="387">
        <v>1</v>
      </c>
      <c r="M394" s="387">
        <v>0</v>
      </c>
      <c r="N394" s="387">
        <f t="shared" si="68"/>
        <v>1</v>
      </c>
      <c r="O394" s="442">
        <f t="shared" si="69"/>
        <v>0</v>
      </c>
      <c r="P394" s="387" t="s">
        <v>1358</v>
      </c>
      <c r="Q394" s="459">
        <v>0</v>
      </c>
      <c r="R394" s="459"/>
      <c r="S394" s="456">
        <v>0</v>
      </c>
      <c r="T394" s="456">
        <v>19.939</v>
      </c>
      <c r="U394" s="410"/>
      <c r="V394" s="411">
        <v>0</v>
      </c>
      <c r="W394" s="411">
        <v>0</v>
      </c>
      <c r="X394" s="411">
        <v>0</v>
      </c>
      <c r="Y394" s="411"/>
      <c r="Z394" s="411"/>
      <c r="AA394" s="412">
        <f t="shared" si="70"/>
        <v>0</v>
      </c>
      <c r="AB394" s="456">
        <f t="shared" si="71"/>
        <v>0</v>
      </c>
      <c r="AC394" s="456">
        <v>0</v>
      </c>
      <c r="AD394" s="2"/>
      <c r="AE394" s="4"/>
      <c r="AF394" s="5"/>
      <c r="AG394" s="428"/>
    </row>
    <row r="395" spans="2:33" hidden="1" x14ac:dyDescent="0.25">
      <c r="B395" s="1" t="s">
        <v>2481</v>
      </c>
      <c r="C395" s="3" t="s">
        <v>1368</v>
      </c>
      <c r="D395" s="3" t="s">
        <v>1247</v>
      </c>
      <c r="E395" s="407" t="s">
        <v>1431</v>
      </c>
      <c r="F395" s="3" t="s">
        <v>1794</v>
      </c>
      <c r="G395" s="407" t="s">
        <v>4489</v>
      </c>
      <c r="H395" s="440" t="s">
        <v>4109</v>
      </c>
      <c r="I395" s="407" t="s">
        <v>4310</v>
      </c>
      <c r="J395" s="407" t="s">
        <v>3791</v>
      </c>
      <c r="K395" s="387" t="s">
        <v>4642</v>
      </c>
      <c r="L395" s="387">
        <v>1</v>
      </c>
      <c r="M395" s="387">
        <v>0</v>
      </c>
      <c r="N395" s="387">
        <f t="shared" si="68"/>
        <v>1</v>
      </c>
      <c r="O395" s="442">
        <f t="shared" si="69"/>
        <v>0</v>
      </c>
      <c r="P395" s="387" t="s">
        <v>1358</v>
      </c>
      <c r="Q395" s="459">
        <v>0</v>
      </c>
      <c r="R395" s="459"/>
      <c r="S395" s="456">
        <v>0</v>
      </c>
      <c r="T395" s="456">
        <v>19.939</v>
      </c>
      <c r="U395" s="410"/>
      <c r="V395" s="411">
        <v>0</v>
      </c>
      <c r="W395" s="411">
        <v>0</v>
      </c>
      <c r="X395" s="411">
        <v>0</v>
      </c>
      <c r="Y395" s="411"/>
      <c r="Z395" s="411"/>
      <c r="AA395" s="412">
        <f t="shared" si="70"/>
        <v>0</v>
      </c>
      <c r="AB395" s="456">
        <f t="shared" si="71"/>
        <v>0</v>
      </c>
      <c r="AC395" s="456">
        <v>0</v>
      </c>
      <c r="AD395" s="2"/>
      <c r="AE395" s="4"/>
      <c r="AF395" s="5"/>
      <c r="AG395" s="428"/>
    </row>
    <row r="396" spans="2:33" hidden="1" x14ac:dyDescent="0.25">
      <c r="B396" s="1" t="s">
        <v>2482</v>
      </c>
      <c r="C396" s="3" t="s">
        <v>1368</v>
      </c>
      <c r="D396" s="3" t="s">
        <v>1247</v>
      </c>
      <c r="E396" s="407" t="s">
        <v>1428</v>
      </c>
      <c r="F396" s="3" t="s">
        <v>1795</v>
      </c>
      <c r="G396" s="407" t="s">
        <v>4486</v>
      </c>
      <c r="H396" s="440" t="s">
        <v>4109</v>
      </c>
      <c r="I396" s="407" t="s">
        <v>4307</v>
      </c>
      <c r="J396" s="407" t="s">
        <v>3788</v>
      </c>
      <c r="K396" s="387" t="s">
        <v>4639</v>
      </c>
      <c r="L396" s="387">
        <v>1</v>
      </c>
      <c r="M396" s="387">
        <v>0</v>
      </c>
      <c r="N396" s="387">
        <f t="shared" si="68"/>
        <v>1</v>
      </c>
      <c r="O396" s="442">
        <f t="shared" si="69"/>
        <v>0</v>
      </c>
      <c r="P396" s="387" t="s">
        <v>1358</v>
      </c>
      <c r="Q396" s="459">
        <v>0</v>
      </c>
      <c r="R396" s="459"/>
      <c r="S396" s="456">
        <v>0</v>
      </c>
      <c r="T396" s="456">
        <v>19.939</v>
      </c>
      <c r="U396" s="410"/>
      <c r="V396" s="411">
        <v>0</v>
      </c>
      <c r="W396" s="411">
        <v>0</v>
      </c>
      <c r="X396" s="411">
        <v>0</v>
      </c>
      <c r="Y396" s="411"/>
      <c r="Z396" s="411"/>
      <c r="AA396" s="412">
        <f t="shared" si="70"/>
        <v>0</v>
      </c>
      <c r="AB396" s="456">
        <f t="shared" si="71"/>
        <v>0</v>
      </c>
      <c r="AC396" s="456">
        <v>0</v>
      </c>
      <c r="AD396" s="2"/>
      <c r="AE396" s="4"/>
      <c r="AF396" s="5"/>
      <c r="AG396" s="428"/>
    </row>
    <row r="397" spans="2:33" hidden="1" x14ac:dyDescent="0.25">
      <c r="B397" s="1" t="s">
        <v>2483</v>
      </c>
      <c r="C397" s="3" t="s">
        <v>1368</v>
      </c>
      <c r="D397" s="3" t="s">
        <v>1247</v>
      </c>
      <c r="E397" s="407" t="s">
        <v>1429</v>
      </c>
      <c r="F397" s="3" t="s">
        <v>1796</v>
      </c>
      <c r="G397" s="407" t="s">
        <v>4487</v>
      </c>
      <c r="H397" s="440" t="s">
        <v>4109</v>
      </c>
      <c r="I397" s="407" t="s">
        <v>4308</v>
      </c>
      <c r="J397" s="407" t="s">
        <v>3789</v>
      </c>
      <c r="K397" s="387" t="s">
        <v>4640</v>
      </c>
      <c r="L397" s="387">
        <v>1</v>
      </c>
      <c r="M397" s="387">
        <v>0</v>
      </c>
      <c r="N397" s="387">
        <f t="shared" si="68"/>
        <v>1</v>
      </c>
      <c r="O397" s="442">
        <f t="shared" si="69"/>
        <v>0</v>
      </c>
      <c r="P397" s="387" t="s">
        <v>1358</v>
      </c>
      <c r="Q397" s="459">
        <v>0</v>
      </c>
      <c r="R397" s="459"/>
      <c r="S397" s="456">
        <v>0</v>
      </c>
      <c r="T397" s="456">
        <v>19.939</v>
      </c>
      <c r="U397" s="410"/>
      <c r="V397" s="411">
        <v>0</v>
      </c>
      <c r="W397" s="411">
        <v>0</v>
      </c>
      <c r="X397" s="411">
        <v>0</v>
      </c>
      <c r="Y397" s="411"/>
      <c r="Z397" s="411"/>
      <c r="AA397" s="412">
        <f t="shared" si="70"/>
        <v>0</v>
      </c>
      <c r="AB397" s="456">
        <f t="shared" si="71"/>
        <v>0</v>
      </c>
      <c r="AC397" s="456">
        <v>0</v>
      </c>
      <c r="AD397" s="2"/>
      <c r="AE397" s="4"/>
      <c r="AF397" s="5"/>
      <c r="AG397" s="428"/>
    </row>
    <row r="398" spans="2:33" hidden="1" x14ac:dyDescent="0.25">
      <c r="B398" s="1" t="s">
        <v>2484</v>
      </c>
      <c r="C398" s="3" t="s">
        <v>1368</v>
      </c>
      <c r="D398" s="3" t="s">
        <v>1247</v>
      </c>
      <c r="E398" s="407" t="s">
        <v>1397</v>
      </c>
      <c r="F398" s="3" t="s">
        <v>1797</v>
      </c>
      <c r="G398" s="407" t="s">
        <v>4493</v>
      </c>
      <c r="H398" s="440" t="s">
        <v>4109</v>
      </c>
      <c r="I398" s="407" t="s">
        <v>4314</v>
      </c>
      <c r="J398" s="407" t="s">
        <v>3795</v>
      </c>
      <c r="K398" s="387" t="s">
        <v>4647</v>
      </c>
      <c r="L398" s="387">
        <v>1</v>
      </c>
      <c r="M398" s="387">
        <v>0</v>
      </c>
      <c r="N398" s="387">
        <f t="shared" si="68"/>
        <v>1</v>
      </c>
      <c r="O398" s="442">
        <f t="shared" si="69"/>
        <v>0.99999999999999989</v>
      </c>
      <c r="P398" s="387" t="s">
        <v>1358</v>
      </c>
      <c r="Q398" s="459">
        <v>0</v>
      </c>
      <c r="R398" s="459"/>
      <c r="S398" s="456">
        <v>0</v>
      </c>
      <c r="T398" s="456">
        <v>58.475000000000001</v>
      </c>
      <c r="U398" s="410"/>
      <c r="V398" s="411">
        <v>1</v>
      </c>
      <c r="W398" s="411">
        <v>1</v>
      </c>
      <c r="X398" s="411">
        <v>1</v>
      </c>
      <c r="Y398" s="411"/>
      <c r="Z398" s="411"/>
      <c r="AA398" s="412">
        <f t="shared" si="70"/>
        <v>0.99999999999999989</v>
      </c>
      <c r="AB398" s="456">
        <f t="shared" si="71"/>
        <v>58.474999999999994</v>
      </c>
      <c r="AC398" s="456">
        <v>0</v>
      </c>
      <c r="AD398" s="2"/>
      <c r="AE398" s="4"/>
      <c r="AF398" s="5"/>
      <c r="AG398" s="428"/>
    </row>
    <row r="399" spans="2:33" hidden="1" x14ac:dyDescent="0.25">
      <c r="B399" s="1" t="s">
        <v>2485</v>
      </c>
      <c r="C399" s="3" t="s">
        <v>1368</v>
      </c>
      <c r="D399" s="3" t="s">
        <v>1247</v>
      </c>
      <c r="E399" s="407" t="s">
        <v>1377</v>
      </c>
      <c r="F399" s="3" t="s">
        <v>1798</v>
      </c>
      <c r="G399" s="407" t="s">
        <v>4494</v>
      </c>
      <c r="H399" s="440" t="s">
        <v>4109</v>
      </c>
      <c r="I399" s="407" t="s">
        <v>4315</v>
      </c>
      <c r="J399" s="407" t="s">
        <v>3749</v>
      </c>
      <c r="K399" s="387" t="s">
        <v>4648</v>
      </c>
      <c r="L399" s="387">
        <v>1</v>
      </c>
      <c r="M399" s="387">
        <v>0</v>
      </c>
      <c r="N399" s="387">
        <f t="shared" si="68"/>
        <v>1</v>
      </c>
      <c r="O399" s="442">
        <f t="shared" si="69"/>
        <v>1</v>
      </c>
      <c r="P399" s="387" t="s">
        <v>1358</v>
      </c>
      <c r="Q399" s="459">
        <v>0</v>
      </c>
      <c r="R399" s="459"/>
      <c r="S399" s="456">
        <v>0</v>
      </c>
      <c r="T399" s="456">
        <v>18.753</v>
      </c>
      <c r="U399" s="410"/>
      <c r="V399" s="411">
        <v>1</v>
      </c>
      <c r="W399" s="411">
        <v>1</v>
      </c>
      <c r="X399" s="411">
        <v>1</v>
      </c>
      <c r="Y399" s="411"/>
      <c r="Z399" s="411"/>
      <c r="AA399" s="412">
        <f t="shared" si="70"/>
        <v>1</v>
      </c>
      <c r="AB399" s="456">
        <f t="shared" si="71"/>
        <v>18.753</v>
      </c>
      <c r="AC399" s="456">
        <v>0</v>
      </c>
      <c r="AD399" s="2"/>
      <c r="AE399" s="4"/>
      <c r="AF399" s="5"/>
      <c r="AG399" s="428"/>
    </row>
    <row r="400" spans="2:33" hidden="1" x14ac:dyDescent="0.25">
      <c r="B400" s="1" t="s">
        <v>2486</v>
      </c>
      <c r="C400" s="3" t="s">
        <v>1368</v>
      </c>
      <c r="D400" s="3" t="s">
        <v>1247</v>
      </c>
      <c r="E400" s="407" t="s">
        <v>1374</v>
      </c>
      <c r="F400" s="3" t="s">
        <v>1799</v>
      </c>
      <c r="G400" s="407" t="s">
        <v>4495</v>
      </c>
      <c r="H400" s="440" t="s">
        <v>4109</v>
      </c>
      <c r="I400" s="407" t="s">
        <v>4316</v>
      </c>
      <c r="J400" s="407" t="s">
        <v>3757</v>
      </c>
      <c r="K400" s="387" t="s">
        <v>4649</v>
      </c>
      <c r="L400" s="387">
        <v>1</v>
      </c>
      <c r="M400" s="387">
        <v>0</v>
      </c>
      <c r="N400" s="387">
        <f t="shared" si="68"/>
        <v>1</v>
      </c>
      <c r="O400" s="442">
        <f t="shared" si="69"/>
        <v>1</v>
      </c>
      <c r="P400" s="387" t="s">
        <v>1358</v>
      </c>
      <c r="Q400" s="459">
        <v>0</v>
      </c>
      <c r="R400" s="459"/>
      <c r="S400" s="456">
        <v>0</v>
      </c>
      <c r="T400" s="456">
        <v>18.753</v>
      </c>
      <c r="U400" s="410"/>
      <c r="V400" s="411">
        <v>1</v>
      </c>
      <c r="W400" s="411">
        <v>1</v>
      </c>
      <c r="X400" s="411">
        <v>1</v>
      </c>
      <c r="Y400" s="411"/>
      <c r="Z400" s="411"/>
      <c r="AA400" s="412">
        <f t="shared" si="70"/>
        <v>1</v>
      </c>
      <c r="AB400" s="456">
        <f t="shared" si="71"/>
        <v>18.753</v>
      </c>
      <c r="AC400" s="456">
        <v>0</v>
      </c>
      <c r="AD400" s="2"/>
      <c r="AE400" s="4"/>
      <c r="AF400" s="5"/>
      <c r="AG400" s="428"/>
    </row>
    <row r="401" spans="2:33" hidden="1" x14ac:dyDescent="0.25">
      <c r="B401" s="1" t="s">
        <v>2487</v>
      </c>
      <c r="C401" s="3" t="s">
        <v>1368</v>
      </c>
      <c r="D401" s="3" t="s">
        <v>1247</v>
      </c>
      <c r="E401" s="407" t="s">
        <v>1398</v>
      </c>
      <c r="F401" s="3" t="s">
        <v>1800</v>
      </c>
      <c r="G401" s="407" t="s">
        <v>4496</v>
      </c>
      <c r="H401" s="440" t="s">
        <v>4109</v>
      </c>
      <c r="I401" s="407" t="s">
        <v>4317</v>
      </c>
      <c r="J401" s="407" t="s">
        <v>3796</v>
      </c>
      <c r="K401" s="387" t="s">
        <v>4650</v>
      </c>
      <c r="L401" s="387">
        <v>2</v>
      </c>
      <c r="M401" s="387">
        <v>0</v>
      </c>
      <c r="N401" s="387">
        <f t="shared" si="68"/>
        <v>2</v>
      </c>
      <c r="O401" s="442">
        <f t="shared" si="69"/>
        <v>2</v>
      </c>
      <c r="P401" s="387" t="s">
        <v>1358</v>
      </c>
      <c r="Q401" s="459">
        <v>0</v>
      </c>
      <c r="R401" s="459"/>
      <c r="S401" s="456">
        <v>0</v>
      </c>
      <c r="T401" s="456">
        <v>37.5</v>
      </c>
      <c r="U401" s="410"/>
      <c r="V401" s="411">
        <v>1</v>
      </c>
      <c r="W401" s="411">
        <v>1</v>
      </c>
      <c r="X401" s="411">
        <v>1</v>
      </c>
      <c r="Y401" s="411"/>
      <c r="Z401" s="411"/>
      <c r="AA401" s="412">
        <f t="shared" si="70"/>
        <v>1</v>
      </c>
      <c r="AB401" s="456">
        <f t="shared" si="71"/>
        <v>37.5</v>
      </c>
      <c r="AC401" s="456">
        <v>0</v>
      </c>
      <c r="AD401" s="2"/>
      <c r="AE401" s="4"/>
      <c r="AF401" s="5"/>
      <c r="AG401" s="428"/>
    </row>
    <row r="402" spans="2:33" hidden="1" x14ac:dyDescent="0.25">
      <c r="B402" s="1" t="s">
        <v>2488</v>
      </c>
      <c r="C402" s="3" t="s">
        <v>1368</v>
      </c>
      <c r="D402" s="3" t="s">
        <v>1247</v>
      </c>
      <c r="E402" s="407" t="s">
        <v>1397</v>
      </c>
      <c r="F402" s="3" t="s">
        <v>1801</v>
      </c>
      <c r="G402" s="407" t="s">
        <v>4493</v>
      </c>
      <c r="H402" s="440" t="s">
        <v>4109</v>
      </c>
      <c r="I402" s="407" t="s">
        <v>4314</v>
      </c>
      <c r="J402" s="407" t="s">
        <v>3795</v>
      </c>
      <c r="K402" s="387" t="s">
        <v>4647</v>
      </c>
      <c r="L402" s="387">
        <v>1</v>
      </c>
      <c r="M402" s="387">
        <v>0</v>
      </c>
      <c r="N402" s="387">
        <f t="shared" si="68"/>
        <v>1</v>
      </c>
      <c r="O402" s="442">
        <f t="shared" si="69"/>
        <v>1</v>
      </c>
      <c r="P402" s="387" t="s">
        <v>1358</v>
      </c>
      <c r="Q402" s="459">
        <v>0</v>
      </c>
      <c r="R402" s="459"/>
      <c r="S402" s="456">
        <v>0</v>
      </c>
      <c r="T402" s="456">
        <v>18.753</v>
      </c>
      <c r="U402" s="410"/>
      <c r="V402" s="411">
        <v>1</v>
      </c>
      <c r="W402" s="411">
        <v>1</v>
      </c>
      <c r="X402" s="411">
        <v>1</v>
      </c>
      <c r="Y402" s="411"/>
      <c r="Z402" s="411"/>
      <c r="AA402" s="412">
        <f t="shared" si="70"/>
        <v>1</v>
      </c>
      <c r="AB402" s="456">
        <f t="shared" si="71"/>
        <v>18.753</v>
      </c>
      <c r="AC402" s="456">
        <v>0</v>
      </c>
      <c r="AD402" s="2"/>
      <c r="AE402" s="4"/>
      <c r="AF402" s="5"/>
      <c r="AG402" s="428"/>
    </row>
    <row r="403" spans="2:33" hidden="1" x14ac:dyDescent="0.25">
      <c r="B403" s="1" t="s">
        <v>2489</v>
      </c>
      <c r="C403" s="3" t="s">
        <v>1368</v>
      </c>
      <c r="D403" s="3" t="s">
        <v>1247</v>
      </c>
      <c r="E403" s="407" t="s">
        <v>1397</v>
      </c>
      <c r="F403" s="3" t="s">
        <v>1802</v>
      </c>
      <c r="G403" s="407" t="s">
        <v>4493</v>
      </c>
      <c r="H403" s="440" t="s">
        <v>4109</v>
      </c>
      <c r="I403" s="407" t="s">
        <v>4314</v>
      </c>
      <c r="J403" s="407" t="s">
        <v>3795</v>
      </c>
      <c r="K403" s="387" t="s">
        <v>4647</v>
      </c>
      <c r="L403" s="387">
        <v>1</v>
      </c>
      <c r="M403" s="387">
        <v>0</v>
      </c>
      <c r="N403" s="387">
        <f t="shared" si="68"/>
        <v>1</v>
      </c>
      <c r="O403" s="442">
        <f t="shared" si="69"/>
        <v>0</v>
      </c>
      <c r="P403" s="387" t="s">
        <v>1358</v>
      </c>
      <c r="Q403" s="459">
        <v>0</v>
      </c>
      <c r="R403" s="459"/>
      <c r="S403" s="456">
        <v>0</v>
      </c>
      <c r="T403" s="456">
        <v>44.719000000000001</v>
      </c>
      <c r="U403" s="410"/>
      <c r="V403" s="411">
        <v>0</v>
      </c>
      <c r="W403" s="411">
        <v>0</v>
      </c>
      <c r="X403" s="411">
        <v>0</v>
      </c>
      <c r="Y403" s="411"/>
      <c r="Z403" s="411"/>
      <c r="AA403" s="412">
        <f t="shared" si="70"/>
        <v>0</v>
      </c>
      <c r="AB403" s="456">
        <f t="shared" si="71"/>
        <v>0</v>
      </c>
      <c r="AC403" s="456">
        <v>0</v>
      </c>
      <c r="AD403" s="2"/>
      <c r="AE403" s="4"/>
      <c r="AF403" s="5"/>
      <c r="AG403" s="428"/>
    </row>
    <row r="404" spans="2:33" hidden="1" x14ac:dyDescent="0.25">
      <c r="B404" s="1" t="s">
        <v>2490</v>
      </c>
      <c r="C404" s="3" t="s">
        <v>1368</v>
      </c>
      <c r="D404" s="3" t="s">
        <v>1247</v>
      </c>
      <c r="E404" s="407" t="s">
        <v>1398</v>
      </c>
      <c r="F404" s="3" t="s">
        <v>1803</v>
      </c>
      <c r="G404" s="407" t="s">
        <v>4496</v>
      </c>
      <c r="H404" s="440" t="s">
        <v>4109</v>
      </c>
      <c r="I404" s="407" t="s">
        <v>4317</v>
      </c>
      <c r="J404" s="407" t="s">
        <v>3796</v>
      </c>
      <c r="K404" s="387" t="s">
        <v>4650</v>
      </c>
      <c r="L404" s="387">
        <v>1</v>
      </c>
      <c r="M404" s="387">
        <v>0</v>
      </c>
      <c r="N404" s="387">
        <f t="shared" si="68"/>
        <v>1</v>
      </c>
      <c r="O404" s="442">
        <f t="shared" si="69"/>
        <v>1</v>
      </c>
      <c r="P404" s="387" t="s">
        <v>1358</v>
      </c>
      <c r="Q404" s="459">
        <v>0</v>
      </c>
      <c r="R404" s="459"/>
      <c r="S404" s="456">
        <v>0</v>
      </c>
      <c r="T404" s="456">
        <v>44.719000000000001</v>
      </c>
      <c r="U404" s="410"/>
      <c r="V404" s="411">
        <v>1</v>
      </c>
      <c r="W404" s="411">
        <v>1</v>
      </c>
      <c r="X404" s="411">
        <v>1</v>
      </c>
      <c r="Y404" s="411"/>
      <c r="Z404" s="411"/>
      <c r="AA404" s="412">
        <f t="shared" si="70"/>
        <v>1</v>
      </c>
      <c r="AB404" s="456">
        <f t="shared" si="71"/>
        <v>44.719000000000001</v>
      </c>
      <c r="AC404" s="456">
        <v>0</v>
      </c>
      <c r="AD404" s="2"/>
      <c r="AE404" s="4"/>
      <c r="AF404" s="5"/>
      <c r="AG404" s="428"/>
    </row>
    <row r="405" spans="2:33" hidden="1" x14ac:dyDescent="0.25">
      <c r="B405" s="1" t="s">
        <v>2491</v>
      </c>
      <c r="C405" s="3" t="s">
        <v>1368</v>
      </c>
      <c r="D405" s="3" t="s">
        <v>1247</v>
      </c>
      <c r="E405" s="407" t="s">
        <v>1374</v>
      </c>
      <c r="F405" s="3" t="s">
        <v>1804</v>
      </c>
      <c r="G405" s="407" t="s">
        <v>4495</v>
      </c>
      <c r="H405" s="440" t="s">
        <v>4109</v>
      </c>
      <c r="I405" s="407" t="s">
        <v>4316</v>
      </c>
      <c r="J405" s="407" t="s">
        <v>3757</v>
      </c>
      <c r="K405" s="387" t="s">
        <v>4649</v>
      </c>
      <c r="L405" s="387">
        <v>2</v>
      </c>
      <c r="M405" s="387">
        <v>0</v>
      </c>
      <c r="N405" s="387">
        <f t="shared" si="68"/>
        <v>2</v>
      </c>
      <c r="O405" s="442">
        <f t="shared" si="69"/>
        <v>2</v>
      </c>
      <c r="P405" s="387" t="s">
        <v>1358</v>
      </c>
      <c r="Q405" s="459">
        <v>0</v>
      </c>
      <c r="R405" s="459"/>
      <c r="S405" s="456">
        <v>0</v>
      </c>
      <c r="T405" s="456">
        <v>89.4</v>
      </c>
      <c r="U405" s="410"/>
      <c r="V405" s="411">
        <v>1</v>
      </c>
      <c r="W405" s="411">
        <v>1</v>
      </c>
      <c r="X405" s="411">
        <v>1</v>
      </c>
      <c r="Y405" s="411"/>
      <c r="Z405" s="411"/>
      <c r="AA405" s="412">
        <f t="shared" si="70"/>
        <v>1</v>
      </c>
      <c r="AB405" s="456">
        <f>(V405*V$369*T405)+(W405*W$369*T405)+(X405*X$369*T405)</f>
        <v>89.4</v>
      </c>
      <c r="AC405" s="456">
        <v>0</v>
      </c>
      <c r="AD405" s="2"/>
      <c r="AE405" s="4"/>
      <c r="AF405" s="5"/>
      <c r="AG405" s="428"/>
    </row>
    <row r="406" spans="2:33" hidden="1" x14ac:dyDescent="0.25">
      <c r="B406" s="1" t="s">
        <v>2492</v>
      </c>
      <c r="C406" s="3" t="s">
        <v>1368</v>
      </c>
      <c r="D406" s="3" t="s">
        <v>1247</v>
      </c>
      <c r="E406" s="407" t="s">
        <v>3291</v>
      </c>
      <c r="F406" s="3" t="s">
        <v>1805</v>
      </c>
      <c r="G406" s="407" t="s">
        <v>4476</v>
      </c>
      <c r="H406" s="440" t="s">
        <v>4109</v>
      </c>
      <c r="I406" s="407" t="s">
        <v>4297</v>
      </c>
      <c r="J406" s="407" t="s">
        <v>3753</v>
      </c>
      <c r="K406" s="387" t="s">
        <v>4651</v>
      </c>
      <c r="L406" s="387">
        <v>1</v>
      </c>
      <c r="M406" s="387">
        <v>0</v>
      </c>
      <c r="N406" s="387">
        <f t="shared" si="68"/>
        <v>1</v>
      </c>
      <c r="O406" s="442">
        <f t="shared" si="69"/>
        <v>1</v>
      </c>
      <c r="P406" s="387" t="s">
        <v>1358</v>
      </c>
      <c r="Q406" s="459">
        <v>0</v>
      </c>
      <c r="R406" s="459"/>
      <c r="S406" s="456">
        <v>0</v>
      </c>
      <c r="T406" s="456">
        <v>45.944000000000003</v>
      </c>
      <c r="U406" s="410"/>
      <c r="V406" s="411">
        <v>1</v>
      </c>
      <c r="W406" s="411">
        <v>1</v>
      </c>
      <c r="X406" s="411">
        <v>1</v>
      </c>
      <c r="Y406" s="411"/>
      <c r="Z406" s="411"/>
      <c r="AA406" s="412">
        <f t="shared" si="70"/>
        <v>1</v>
      </c>
      <c r="AB406" s="456">
        <f t="shared" si="71"/>
        <v>45.944000000000003</v>
      </c>
      <c r="AC406" s="456">
        <v>0</v>
      </c>
      <c r="AD406" s="2"/>
      <c r="AE406" s="4"/>
      <c r="AF406" s="5"/>
      <c r="AG406" s="428"/>
    </row>
    <row r="407" spans="2:33" hidden="1" x14ac:dyDescent="0.25">
      <c r="B407" s="1" t="s">
        <v>2493</v>
      </c>
      <c r="C407" s="3" t="s">
        <v>1368</v>
      </c>
      <c r="D407" s="3" t="s">
        <v>1247</v>
      </c>
      <c r="E407" s="407" t="s">
        <v>1381</v>
      </c>
      <c r="F407" s="3" t="s">
        <v>1806</v>
      </c>
      <c r="G407" s="407" t="s">
        <v>4497</v>
      </c>
      <c r="H407" s="440" t="s">
        <v>4109</v>
      </c>
      <c r="I407" s="407" t="s">
        <v>4318</v>
      </c>
      <c r="J407" s="407" t="s">
        <v>3751</v>
      </c>
      <c r="K407" s="387" t="s">
        <v>4631</v>
      </c>
      <c r="L407" s="387">
        <v>4</v>
      </c>
      <c r="M407" s="387">
        <v>0</v>
      </c>
      <c r="N407" s="387">
        <f t="shared" si="68"/>
        <v>4</v>
      </c>
      <c r="O407" s="442">
        <f t="shared" si="69"/>
        <v>0</v>
      </c>
      <c r="P407" s="387" t="s">
        <v>1358</v>
      </c>
      <c r="Q407" s="459">
        <v>0</v>
      </c>
      <c r="R407" s="459"/>
      <c r="S407" s="456">
        <v>0</v>
      </c>
      <c r="T407" s="456">
        <v>75.012</v>
      </c>
      <c r="U407" s="410"/>
      <c r="V407" s="411">
        <v>0</v>
      </c>
      <c r="W407" s="411">
        <v>0</v>
      </c>
      <c r="X407" s="411">
        <v>0</v>
      </c>
      <c r="Y407" s="411"/>
      <c r="Z407" s="411"/>
      <c r="AA407" s="412">
        <f t="shared" si="70"/>
        <v>0</v>
      </c>
      <c r="AB407" s="456">
        <f t="shared" si="71"/>
        <v>0</v>
      </c>
      <c r="AC407" s="456">
        <v>0</v>
      </c>
      <c r="AD407" s="2"/>
      <c r="AE407" s="4"/>
      <c r="AF407" s="5"/>
      <c r="AG407" s="428"/>
    </row>
    <row r="408" spans="2:33" hidden="1" x14ac:dyDescent="0.25">
      <c r="B408" s="1" t="s">
        <v>2494</v>
      </c>
      <c r="C408" s="3" t="s">
        <v>1368</v>
      </c>
      <c r="D408" s="3" t="s">
        <v>1247</v>
      </c>
      <c r="E408" s="407" t="s">
        <v>1396</v>
      </c>
      <c r="F408" s="3" t="s">
        <v>1807</v>
      </c>
      <c r="G408" s="407" t="s">
        <v>4498</v>
      </c>
      <c r="H408" s="440" t="s">
        <v>4109</v>
      </c>
      <c r="I408" s="407" t="s">
        <v>4319</v>
      </c>
      <c r="J408" s="407" t="s">
        <v>3752</v>
      </c>
      <c r="K408" s="387" t="s">
        <v>4652</v>
      </c>
      <c r="L408" s="387">
        <v>4</v>
      </c>
      <c r="M408" s="387">
        <v>0</v>
      </c>
      <c r="N408" s="387">
        <f t="shared" si="68"/>
        <v>4</v>
      </c>
      <c r="O408" s="442">
        <f t="shared" si="69"/>
        <v>4</v>
      </c>
      <c r="P408" s="387" t="s">
        <v>1358</v>
      </c>
      <c r="Q408" s="459">
        <v>0</v>
      </c>
      <c r="R408" s="459"/>
      <c r="S408" s="456">
        <v>0</v>
      </c>
      <c r="T408" s="456">
        <v>75.012</v>
      </c>
      <c r="U408" s="410"/>
      <c r="V408" s="411">
        <v>1</v>
      </c>
      <c r="W408" s="411">
        <v>1</v>
      </c>
      <c r="X408" s="411">
        <v>1</v>
      </c>
      <c r="Y408" s="411"/>
      <c r="Z408" s="411"/>
      <c r="AA408" s="412">
        <f t="shared" si="70"/>
        <v>1</v>
      </c>
      <c r="AB408" s="456">
        <f t="shared" si="71"/>
        <v>75.012</v>
      </c>
      <c r="AC408" s="456">
        <v>0</v>
      </c>
      <c r="AD408" s="2"/>
      <c r="AE408" s="4"/>
      <c r="AF408" s="5"/>
      <c r="AG408" s="428"/>
    </row>
    <row r="409" spans="2:33" hidden="1" x14ac:dyDescent="0.25">
      <c r="B409" s="1" t="s">
        <v>2495</v>
      </c>
      <c r="C409" s="3" t="s">
        <v>1368</v>
      </c>
      <c r="D409" s="3" t="s">
        <v>1247</v>
      </c>
      <c r="E409" s="407" t="s">
        <v>1399</v>
      </c>
      <c r="F409" s="3" t="s">
        <v>1808</v>
      </c>
      <c r="G409" s="407" t="s">
        <v>4499</v>
      </c>
      <c r="H409" s="440" t="s">
        <v>4109</v>
      </c>
      <c r="I409" s="407" t="s">
        <v>4320</v>
      </c>
      <c r="J409" s="407" t="s">
        <v>3758</v>
      </c>
      <c r="K409" s="387" t="s">
        <v>4653</v>
      </c>
      <c r="L409" s="387">
        <v>3</v>
      </c>
      <c r="M409" s="387">
        <v>0</v>
      </c>
      <c r="N409" s="387">
        <f t="shared" si="68"/>
        <v>3</v>
      </c>
      <c r="O409" s="442">
        <f t="shared" si="69"/>
        <v>0</v>
      </c>
      <c r="P409" s="387" t="s">
        <v>1358</v>
      </c>
      <c r="Q409" s="459">
        <v>0</v>
      </c>
      <c r="R409" s="459"/>
      <c r="S409" s="456">
        <v>0</v>
      </c>
      <c r="T409" s="456">
        <v>56.259</v>
      </c>
      <c r="U409" s="410"/>
      <c r="V409" s="411">
        <v>0</v>
      </c>
      <c r="W409" s="411">
        <v>0</v>
      </c>
      <c r="X409" s="411">
        <v>0</v>
      </c>
      <c r="Y409" s="411"/>
      <c r="Z409" s="411"/>
      <c r="AA409" s="412">
        <f t="shared" si="70"/>
        <v>0</v>
      </c>
      <c r="AB409" s="456">
        <f t="shared" si="71"/>
        <v>0</v>
      </c>
      <c r="AC409" s="456">
        <v>0</v>
      </c>
      <c r="AD409" s="2"/>
      <c r="AE409" s="4"/>
      <c r="AF409" s="5"/>
      <c r="AG409" s="428"/>
    </row>
    <row r="410" spans="2:33" hidden="1" x14ac:dyDescent="0.25">
      <c r="B410" s="1" t="s">
        <v>2496</v>
      </c>
      <c r="C410" s="3" t="s">
        <v>1368</v>
      </c>
      <c r="D410" s="3" t="s">
        <v>1247</v>
      </c>
      <c r="E410" s="407" t="s">
        <v>3294</v>
      </c>
      <c r="F410" s="3" t="s">
        <v>1809</v>
      </c>
      <c r="G410" s="407" t="s">
        <v>4500</v>
      </c>
      <c r="H410" s="440" t="s">
        <v>4109</v>
      </c>
      <c r="I410" s="407" t="s">
        <v>4321</v>
      </c>
      <c r="J410" s="407" t="s">
        <v>3755</v>
      </c>
      <c r="K410" s="387" t="s">
        <v>4654</v>
      </c>
      <c r="L410" s="387">
        <v>1</v>
      </c>
      <c r="M410" s="387">
        <v>0</v>
      </c>
      <c r="N410" s="387">
        <f t="shared" si="68"/>
        <v>1</v>
      </c>
      <c r="O410" s="442">
        <f t="shared" si="69"/>
        <v>1</v>
      </c>
      <c r="P410" s="387" t="s">
        <v>1358</v>
      </c>
      <c r="Q410" s="459">
        <v>0</v>
      </c>
      <c r="R410" s="459"/>
      <c r="S410" s="456">
        <v>0</v>
      </c>
      <c r="T410" s="456">
        <v>2.085</v>
      </c>
      <c r="U410" s="410"/>
      <c r="V410" s="411">
        <v>1</v>
      </c>
      <c r="W410" s="411">
        <v>1</v>
      </c>
      <c r="X410" s="411">
        <v>1</v>
      </c>
      <c r="Y410" s="411"/>
      <c r="Z410" s="411"/>
      <c r="AA410" s="412">
        <f t="shared" si="70"/>
        <v>1</v>
      </c>
      <c r="AB410" s="456">
        <f t="shared" si="71"/>
        <v>2.085</v>
      </c>
      <c r="AC410" s="456">
        <v>0</v>
      </c>
      <c r="AD410" s="2"/>
      <c r="AE410" s="4"/>
      <c r="AF410" s="5"/>
      <c r="AG410" s="428"/>
    </row>
    <row r="411" spans="2:33" hidden="1" x14ac:dyDescent="0.25">
      <c r="B411" s="1" t="s">
        <v>2497</v>
      </c>
      <c r="C411" s="3" t="s">
        <v>1368</v>
      </c>
      <c r="D411" s="3" t="s">
        <v>1247</v>
      </c>
      <c r="E411" s="407" t="s">
        <v>1374</v>
      </c>
      <c r="F411" s="3" t="s">
        <v>1810</v>
      </c>
      <c r="G411" s="407" t="s">
        <v>4495</v>
      </c>
      <c r="H411" s="440" t="s">
        <v>4109</v>
      </c>
      <c r="I411" s="407" t="s">
        <v>4316</v>
      </c>
      <c r="J411" s="407" t="s">
        <v>3757</v>
      </c>
      <c r="K411" s="387" t="s">
        <v>4649</v>
      </c>
      <c r="L411" s="387">
        <v>1</v>
      </c>
      <c r="M411" s="387">
        <v>0</v>
      </c>
      <c r="N411" s="387">
        <f t="shared" si="68"/>
        <v>1</v>
      </c>
      <c r="O411" s="442">
        <f t="shared" si="69"/>
        <v>1</v>
      </c>
      <c r="P411" s="387" t="s">
        <v>1358</v>
      </c>
      <c r="Q411" s="459">
        <v>0</v>
      </c>
      <c r="R411" s="459"/>
      <c r="S411" s="456">
        <v>0</v>
      </c>
      <c r="T411" s="456">
        <v>18.753</v>
      </c>
      <c r="U411" s="410"/>
      <c r="V411" s="411">
        <v>1</v>
      </c>
      <c r="W411" s="411">
        <v>1</v>
      </c>
      <c r="X411" s="411">
        <v>1</v>
      </c>
      <c r="Y411" s="411"/>
      <c r="Z411" s="411"/>
      <c r="AA411" s="412">
        <f t="shared" si="70"/>
        <v>1</v>
      </c>
      <c r="AB411" s="456">
        <f t="shared" si="71"/>
        <v>18.753</v>
      </c>
      <c r="AC411" s="456">
        <v>0</v>
      </c>
      <c r="AD411" s="2"/>
      <c r="AE411" s="4"/>
      <c r="AF411" s="5"/>
      <c r="AG411" s="428"/>
    </row>
    <row r="412" spans="2:33" hidden="1" x14ac:dyDescent="0.25">
      <c r="B412" s="1" t="s">
        <v>2498</v>
      </c>
      <c r="C412" s="3" t="s">
        <v>1368</v>
      </c>
      <c r="D412" s="3" t="s">
        <v>1247</v>
      </c>
      <c r="E412" s="407" t="s">
        <v>3547</v>
      </c>
      <c r="F412" s="3" t="s">
        <v>1811</v>
      </c>
      <c r="G412" s="407" t="s">
        <v>4501</v>
      </c>
      <c r="H412" s="440" t="s">
        <v>4109</v>
      </c>
      <c r="I412" s="407" t="s">
        <v>4322</v>
      </c>
      <c r="J412" s="407" t="s">
        <v>3797</v>
      </c>
      <c r="K412" s="387" t="s">
        <v>4655</v>
      </c>
      <c r="L412" s="387">
        <v>1</v>
      </c>
      <c r="M412" s="387">
        <v>0</v>
      </c>
      <c r="N412" s="387">
        <f t="shared" si="68"/>
        <v>1</v>
      </c>
      <c r="O412" s="442">
        <f t="shared" si="69"/>
        <v>0</v>
      </c>
      <c r="P412" s="387" t="s">
        <v>1358</v>
      </c>
      <c r="Q412" s="459">
        <v>0</v>
      </c>
      <c r="R412" s="459"/>
      <c r="S412" s="456">
        <v>0</v>
      </c>
      <c r="T412" s="456">
        <v>19.329000000000001</v>
      </c>
      <c r="U412" s="410"/>
      <c r="V412" s="411">
        <v>0</v>
      </c>
      <c r="W412" s="411">
        <v>0</v>
      </c>
      <c r="X412" s="411">
        <v>0</v>
      </c>
      <c r="Y412" s="411"/>
      <c r="Z412" s="411"/>
      <c r="AA412" s="412">
        <f t="shared" si="70"/>
        <v>0</v>
      </c>
      <c r="AB412" s="456">
        <f t="shared" si="71"/>
        <v>0</v>
      </c>
      <c r="AC412" s="456">
        <v>0</v>
      </c>
      <c r="AD412" s="2"/>
      <c r="AE412" s="4"/>
      <c r="AF412" s="5"/>
      <c r="AG412" s="428"/>
    </row>
    <row r="413" spans="2:33" hidden="1" x14ac:dyDescent="0.25">
      <c r="B413" s="1" t="s">
        <v>2499</v>
      </c>
      <c r="C413" s="3" t="s">
        <v>1368</v>
      </c>
      <c r="D413" s="3" t="s">
        <v>1247</v>
      </c>
      <c r="E413" s="407" t="s">
        <v>1432</v>
      </c>
      <c r="F413" s="3" t="s">
        <v>1812</v>
      </c>
      <c r="G413" s="407" t="s">
        <v>4483</v>
      </c>
      <c r="H413" s="440" t="s">
        <v>4109</v>
      </c>
      <c r="I413" s="407" t="s">
        <v>4304</v>
      </c>
      <c r="J413" s="407" t="s">
        <v>3785</v>
      </c>
      <c r="K413" s="387" t="s">
        <v>4635</v>
      </c>
      <c r="L413" s="387">
        <v>1</v>
      </c>
      <c r="M413" s="387">
        <v>0</v>
      </c>
      <c r="N413" s="387">
        <f t="shared" si="68"/>
        <v>1</v>
      </c>
      <c r="O413" s="442">
        <f t="shared" si="69"/>
        <v>0</v>
      </c>
      <c r="P413" s="387" t="s">
        <v>1358</v>
      </c>
      <c r="Q413" s="459">
        <v>0</v>
      </c>
      <c r="R413" s="459"/>
      <c r="S413" s="456">
        <v>0</v>
      </c>
      <c r="T413" s="456">
        <v>18.766999999999999</v>
      </c>
      <c r="U413" s="410"/>
      <c r="V413" s="411">
        <v>0</v>
      </c>
      <c r="W413" s="411">
        <v>0</v>
      </c>
      <c r="X413" s="411">
        <v>0</v>
      </c>
      <c r="Y413" s="411"/>
      <c r="Z413" s="411"/>
      <c r="AA413" s="412">
        <f t="shared" si="70"/>
        <v>0</v>
      </c>
      <c r="AB413" s="456">
        <f t="shared" si="71"/>
        <v>0</v>
      </c>
      <c r="AC413" s="456">
        <v>0</v>
      </c>
      <c r="AD413" s="2"/>
      <c r="AE413" s="4"/>
      <c r="AF413" s="5"/>
      <c r="AG413" s="428"/>
    </row>
    <row r="414" spans="2:33" hidden="1" x14ac:dyDescent="0.25">
      <c r="B414" s="1" t="s">
        <v>2500</v>
      </c>
      <c r="C414" s="3" t="s">
        <v>1368</v>
      </c>
      <c r="D414" s="3" t="s">
        <v>1247</v>
      </c>
      <c r="E414" s="407" t="s">
        <v>1433</v>
      </c>
      <c r="F414" s="3" t="s">
        <v>1813</v>
      </c>
      <c r="G414" s="407" t="s">
        <v>4490</v>
      </c>
      <c r="H414" s="440" t="s">
        <v>4109</v>
      </c>
      <c r="I414" s="407" t="s">
        <v>4311</v>
      </c>
      <c r="J414" s="407" t="s">
        <v>3792</v>
      </c>
      <c r="K414" s="387" t="s">
        <v>4644</v>
      </c>
      <c r="L414" s="387">
        <v>1</v>
      </c>
      <c r="M414" s="387">
        <v>0</v>
      </c>
      <c r="N414" s="387">
        <f t="shared" si="68"/>
        <v>1</v>
      </c>
      <c r="O414" s="442">
        <f t="shared" si="69"/>
        <v>0</v>
      </c>
      <c r="P414" s="387" t="s">
        <v>1358</v>
      </c>
      <c r="Q414" s="459">
        <v>0</v>
      </c>
      <c r="R414" s="459"/>
      <c r="S414" s="456">
        <v>0</v>
      </c>
      <c r="T414" s="456">
        <v>18.766999999999999</v>
      </c>
      <c r="U414" s="410"/>
      <c r="V414" s="411">
        <v>0</v>
      </c>
      <c r="W414" s="411">
        <v>0</v>
      </c>
      <c r="X414" s="411">
        <v>0</v>
      </c>
      <c r="Y414" s="411"/>
      <c r="Z414" s="411"/>
      <c r="AA414" s="412">
        <f t="shared" si="70"/>
        <v>0</v>
      </c>
      <c r="AB414" s="456">
        <f t="shared" si="71"/>
        <v>0</v>
      </c>
      <c r="AC414" s="456">
        <v>0</v>
      </c>
      <c r="AD414" s="2"/>
      <c r="AE414" s="4"/>
      <c r="AF414" s="5"/>
      <c r="AG414" s="428"/>
    </row>
    <row r="415" spans="2:33" hidden="1" x14ac:dyDescent="0.25">
      <c r="B415" s="1" t="s">
        <v>2501</v>
      </c>
      <c r="C415" s="3" t="s">
        <v>1368</v>
      </c>
      <c r="D415" s="3" t="s">
        <v>1247</v>
      </c>
      <c r="E415" s="407" t="s">
        <v>1427</v>
      </c>
      <c r="F415" s="3" t="s">
        <v>1814</v>
      </c>
      <c r="G415" s="407" t="s">
        <v>4485</v>
      </c>
      <c r="H415" s="440" t="s">
        <v>4109</v>
      </c>
      <c r="I415" s="407" t="s">
        <v>4306</v>
      </c>
      <c r="J415" s="407" t="s">
        <v>3787</v>
      </c>
      <c r="K415" s="387" t="s">
        <v>4638</v>
      </c>
      <c r="L415" s="387">
        <v>1</v>
      </c>
      <c r="M415" s="387">
        <v>0</v>
      </c>
      <c r="N415" s="387">
        <f t="shared" si="68"/>
        <v>1</v>
      </c>
      <c r="O415" s="442">
        <f t="shared" si="69"/>
        <v>0</v>
      </c>
      <c r="P415" s="387" t="s">
        <v>1358</v>
      </c>
      <c r="Q415" s="459">
        <v>0</v>
      </c>
      <c r="R415" s="459"/>
      <c r="S415" s="456">
        <v>0</v>
      </c>
      <c r="T415" s="456">
        <v>18.766999999999999</v>
      </c>
      <c r="U415" s="410"/>
      <c r="V415" s="411">
        <v>0</v>
      </c>
      <c r="W415" s="411">
        <v>0</v>
      </c>
      <c r="X415" s="411">
        <v>0</v>
      </c>
      <c r="Y415" s="411"/>
      <c r="Z415" s="411"/>
      <c r="AA415" s="412">
        <f t="shared" si="70"/>
        <v>0</v>
      </c>
      <c r="AB415" s="456">
        <f t="shared" si="71"/>
        <v>0</v>
      </c>
      <c r="AC415" s="456">
        <v>0</v>
      </c>
      <c r="AD415" s="2"/>
      <c r="AE415" s="4"/>
      <c r="AF415" s="5"/>
      <c r="AG415" s="428"/>
    </row>
    <row r="416" spans="2:33" hidden="1" x14ac:dyDescent="0.25">
      <c r="B416" s="1" t="s">
        <v>2502</v>
      </c>
      <c r="C416" s="3" t="s">
        <v>1368</v>
      </c>
      <c r="D416" s="3" t="s">
        <v>1247</v>
      </c>
      <c r="E416" s="407" t="s">
        <v>1428</v>
      </c>
      <c r="F416" s="3" t="s">
        <v>1815</v>
      </c>
      <c r="G416" s="407" t="s">
        <v>4486</v>
      </c>
      <c r="H416" s="440" t="s">
        <v>4109</v>
      </c>
      <c r="I416" s="407" t="s">
        <v>4307</v>
      </c>
      <c r="J416" s="407" t="s">
        <v>3788</v>
      </c>
      <c r="K416" s="387" t="s">
        <v>4639</v>
      </c>
      <c r="L416" s="387">
        <v>1</v>
      </c>
      <c r="M416" s="387">
        <v>0</v>
      </c>
      <c r="N416" s="387">
        <f t="shared" si="68"/>
        <v>1</v>
      </c>
      <c r="O416" s="442">
        <f t="shared" si="69"/>
        <v>0</v>
      </c>
      <c r="P416" s="387" t="s">
        <v>1358</v>
      </c>
      <c r="Q416" s="459">
        <v>0</v>
      </c>
      <c r="R416" s="459"/>
      <c r="S416" s="456">
        <v>0</v>
      </c>
      <c r="T416" s="456">
        <v>18.766999999999999</v>
      </c>
      <c r="U416" s="410"/>
      <c r="V416" s="411">
        <v>0</v>
      </c>
      <c r="W416" s="411">
        <v>0</v>
      </c>
      <c r="X416" s="411">
        <v>0</v>
      </c>
      <c r="Y416" s="411"/>
      <c r="Z416" s="411"/>
      <c r="AA416" s="412">
        <f t="shared" si="70"/>
        <v>0</v>
      </c>
      <c r="AB416" s="456">
        <f t="shared" si="71"/>
        <v>0</v>
      </c>
      <c r="AC416" s="456">
        <v>0</v>
      </c>
      <c r="AD416" s="2"/>
      <c r="AE416" s="4"/>
      <c r="AF416" s="5"/>
      <c r="AG416" s="428"/>
    </row>
    <row r="417" spans="2:33" hidden="1" x14ac:dyDescent="0.25">
      <c r="B417" s="1" t="s">
        <v>2503</v>
      </c>
      <c r="C417" s="3" t="s">
        <v>1368</v>
      </c>
      <c r="D417" s="3" t="s">
        <v>1247</v>
      </c>
      <c r="E417" s="407" t="s">
        <v>1429</v>
      </c>
      <c r="F417" s="3" t="s">
        <v>1816</v>
      </c>
      <c r="G417" s="407" t="s">
        <v>4487</v>
      </c>
      <c r="H417" s="440" t="s">
        <v>4109</v>
      </c>
      <c r="I417" s="407" t="s">
        <v>4308</v>
      </c>
      <c r="J417" s="407" t="s">
        <v>3789</v>
      </c>
      <c r="K417" s="387" t="s">
        <v>4640</v>
      </c>
      <c r="L417" s="387">
        <v>1</v>
      </c>
      <c r="M417" s="387">
        <v>0</v>
      </c>
      <c r="N417" s="387">
        <f t="shared" si="68"/>
        <v>1</v>
      </c>
      <c r="O417" s="442">
        <f t="shared" si="69"/>
        <v>0</v>
      </c>
      <c r="P417" s="387" t="s">
        <v>1358</v>
      </c>
      <c r="Q417" s="459">
        <v>0</v>
      </c>
      <c r="R417" s="459"/>
      <c r="S417" s="456">
        <v>0</v>
      </c>
      <c r="T417" s="456">
        <v>18.766999999999999</v>
      </c>
      <c r="U417" s="410"/>
      <c r="V417" s="411">
        <v>0</v>
      </c>
      <c r="W417" s="411">
        <v>0</v>
      </c>
      <c r="X417" s="411">
        <v>0</v>
      </c>
      <c r="Y417" s="411"/>
      <c r="Z417" s="411"/>
      <c r="AA417" s="412">
        <f t="shared" si="70"/>
        <v>0</v>
      </c>
      <c r="AB417" s="456">
        <f t="shared" si="71"/>
        <v>0</v>
      </c>
      <c r="AC417" s="456">
        <v>0</v>
      </c>
      <c r="AD417" s="2"/>
      <c r="AE417" s="4"/>
      <c r="AF417" s="5"/>
      <c r="AG417" s="428"/>
    </row>
    <row r="418" spans="2:33" hidden="1" x14ac:dyDescent="0.25">
      <c r="B418" s="1" t="s">
        <v>2504</v>
      </c>
      <c r="C418" s="3" t="s">
        <v>1368</v>
      </c>
      <c r="D418" s="3" t="s">
        <v>1247</v>
      </c>
      <c r="E418" s="407" t="s">
        <v>1430</v>
      </c>
      <c r="F418" s="3" t="s">
        <v>1817</v>
      </c>
      <c r="G418" s="407" t="s">
        <v>4488</v>
      </c>
      <c r="H418" s="440" t="s">
        <v>4109</v>
      </c>
      <c r="I418" s="407" t="s">
        <v>4309</v>
      </c>
      <c r="J418" s="407" t="s">
        <v>3790</v>
      </c>
      <c r="K418" s="387" t="s">
        <v>4641</v>
      </c>
      <c r="L418" s="387">
        <v>1</v>
      </c>
      <c r="M418" s="387">
        <v>0</v>
      </c>
      <c r="N418" s="387">
        <f t="shared" si="68"/>
        <v>1</v>
      </c>
      <c r="O418" s="442">
        <f t="shared" si="69"/>
        <v>0</v>
      </c>
      <c r="P418" s="387" t="s">
        <v>1358</v>
      </c>
      <c r="Q418" s="459">
        <v>0</v>
      </c>
      <c r="R418" s="459"/>
      <c r="S418" s="456">
        <v>0</v>
      </c>
      <c r="T418" s="456">
        <v>18.766999999999999</v>
      </c>
      <c r="U418" s="410"/>
      <c r="V418" s="411">
        <v>0</v>
      </c>
      <c r="W418" s="411">
        <v>0</v>
      </c>
      <c r="X418" s="411">
        <v>0</v>
      </c>
      <c r="Y418" s="411"/>
      <c r="Z418" s="411"/>
      <c r="AA418" s="412">
        <f t="shared" si="70"/>
        <v>0</v>
      </c>
      <c r="AB418" s="456">
        <f t="shared" si="71"/>
        <v>0</v>
      </c>
      <c r="AC418" s="456">
        <v>0</v>
      </c>
      <c r="AD418" s="2"/>
      <c r="AE418" s="4"/>
      <c r="AF418" s="5"/>
      <c r="AG418" s="428"/>
    </row>
    <row r="419" spans="2:33" hidden="1" x14ac:dyDescent="0.25">
      <c r="B419" s="1" t="s">
        <v>2505</v>
      </c>
      <c r="C419" s="3" t="s">
        <v>1368</v>
      </c>
      <c r="D419" s="3" t="s">
        <v>1247</v>
      </c>
      <c r="E419" s="407" t="s">
        <v>1431</v>
      </c>
      <c r="F419" s="3" t="s">
        <v>1818</v>
      </c>
      <c r="G419" s="407" t="s">
        <v>4489</v>
      </c>
      <c r="H419" s="440" t="s">
        <v>4109</v>
      </c>
      <c r="I419" s="407" t="s">
        <v>4310</v>
      </c>
      <c r="J419" s="407" t="s">
        <v>3791</v>
      </c>
      <c r="K419" s="387" t="s">
        <v>4642</v>
      </c>
      <c r="L419" s="387">
        <v>1</v>
      </c>
      <c r="M419" s="387">
        <v>0</v>
      </c>
      <c r="N419" s="387">
        <f t="shared" si="68"/>
        <v>1</v>
      </c>
      <c r="O419" s="442">
        <f t="shared" si="69"/>
        <v>0</v>
      </c>
      <c r="P419" s="387" t="s">
        <v>1358</v>
      </c>
      <c r="Q419" s="459">
        <v>0</v>
      </c>
      <c r="R419" s="459"/>
      <c r="S419" s="456">
        <v>0</v>
      </c>
      <c r="T419" s="456">
        <v>18.766999999999999</v>
      </c>
      <c r="U419" s="410"/>
      <c r="V419" s="411">
        <v>0</v>
      </c>
      <c r="W419" s="411">
        <v>0</v>
      </c>
      <c r="X419" s="411">
        <v>0</v>
      </c>
      <c r="Y419" s="411"/>
      <c r="Z419" s="411"/>
      <c r="AA419" s="412">
        <f t="shared" si="70"/>
        <v>0</v>
      </c>
      <c r="AB419" s="456">
        <f t="shared" si="71"/>
        <v>0</v>
      </c>
      <c r="AC419" s="456">
        <v>0</v>
      </c>
      <c r="AD419" s="2"/>
      <c r="AE419" s="4"/>
      <c r="AF419" s="5"/>
      <c r="AG419" s="428"/>
    </row>
    <row r="420" spans="2:33" hidden="1" x14ac:dyDescent="0.25">
      <c r="B420" s="1" t="s">
        <v>2506</v>
      </c>
      <c r="C420" s="3" t="s">
        <v>1368</v>
      </c>
      <c r="D420" s="3" t="s">
        <v>1247</v>
      </c>
      <c r="E420" s="407" t="s">
        <v>3306</v>
      </c>
      <c r="F420" s="3" t="s">
        <v>1819</v>
      </c>
      <c r="G420" s="407" t="s">
        <v>4484</v>
      </c>
      <c r="H420" s="440" t="s">
        <v>4109</v>
      </c>
      <c r="I420" s="407" t="s">
        <v>4305</v>
      </c>
      <c r="J420" s="407" t="s">
        <v>3786</v>
      </c>
      <c r="K420" s="387" t="s">
        <v>4636</v>
      </c>
      <c r="L420" s="387">
        <v>1</v>
      </c>
      <c r="M420" s="387">
        <v>0</v>
      </c>
      <c r="N420" s="387">
        <f t="shared" si="68"/>
        <v>1</v>
      </c>
      <c r="O420" s="442">
        <f t="shared" si="69"/>
        <v>0</v>
      </c>
      <c r="P420" s="387" t="s">
        <v>1358</v>
      </c>
      <c r="Q420" s="459">
        <v>0</v>
      </c>
      <c r="R420" s="459"/>
      <c r="S420" s="456">
        <v>0</v>
      </c>
      <c r="T420" s="456">
        <v>32.073999999999998</v>
      </c>
      <c r="U420" s="410"/>
      <c r="V420" s="411">
        <v>0</v>
      </c>
      <c r="W420" s="411">
        <v>0</v>
      </c>
      <c r="X420" s="411">
        <v>0</v>
      </c>
      <c r="Y420" s="411"/>
      <c r="Z420" s="411"/>
      <c r="AA420" s="412">
        <f t="shared" si="70"/>
        <v>0</v>
      </c>
      <c r="AB420" s="456">
        <f t="shared" si="71"/>
        <v>0</v>
      </c>
      <c r="AC420" s="456">
        <v>0</v>
      </c>
      <c r="AD420" s="2"/>
      <c r="AE420" s="4"/>
      <c r="AF420" s="5"/>
      <c r="AG420" s="428"/>
    </row>
    <row r="421" spans="2:33" hidden="1" x14ac:dyDescent="0.25">
      <c r="B421" s="1" t="s">
        <v>2507</v>
      </c>
      <c r="C421" s="3" t="s">
        <v>1368</v>
      </c>
      <c r="D421" s="3" t="s">
        <v>1247</v>
      </c>
      <c r="E421" s="407" t="s">
        <v>1432</v>
      </c>
      <c r="F421" s="3" t="s">
        <v>1820</v>
      </c>
      <c r="G421" s="407" t="s">
        <v>4483</v>
      </c>
      <c r="H421" s="440" t="s">
        <v>4109</v>
      </c>
      <c r="I421" s="407" t="s">
        <v>4304</v>
      </c>
      <c r="J421" s="407" t="s">
        <v>3785</v>
      </c>
      <c r="K421" s="387" t="s">
        <v>4635</v>
      </c>
      <c r="L421" s="387">
        <v>1</v>
      </c>
      <c r="M421" s="387">
        <v>0</v>
      </c>
      <c r="N421" s="387">
        <f t="shared" si="68"/>
        <v>1</v>
      </c>
      <c r="O421" s="442">
        <f t="shared" si="69"/>
        <v>0</v>
      </c>
      <c r="P421" s="387" t="s">
        <v>1358</v>
      </c>
      <c r="Q421" s="459">
        <v>0</v>
      </c>
      <c r="R421" s="459"/>
      <c r="S421" s="456">
        <v>0</v>
      </c>
      <c r="T421" s="456">
        <v>40.941000000000003</v>
      </c>
      <c r="U421" s="410"/>
      <c r="V421" s="411">
        <v>0</v>
      </c>
      <c r="W421" s="411">
        <v>0</v>
      </c>
      <c r="X421" s="411">
        <v>0</v>
      </c>
      <c r="Y421" s="411"/>
      <c r="Z421" s="411"/>
      <c r="AA421" s="412">
        <f t="shared" si="70"/>
        <v>0</v>
      </c>
      <c r="AB421" s="456">
        <f t="shared" si="71"/>
        <v>0</v>
      </c>
      <c r="AC421" s="456">
        <v>0</v>
      </c>
      <c r="AD421" s="2"/>
      <c r="AE421" s="4"/>
      <c r="AF421" s="5"/>
      <c r="AG421" s="428"/>
    </row>
    <row r="422" spans="2:33" hidden="1" x14ac:dyDescent="0.25">
      <c r="B422" s="1" t="s">
        <v>2508</v>
      </c>
      <c r="C422" s="3" t="s">
        <v>1368</v>
      </c>
      <c r="D422" s="3" t="s">
        <v>1247</v>
      </c>
      <c r="E422" s="407" t="s">
        <v>3236</v>
      </c>
      <c r="F422" s="3" t="s">
        <v>1821</v>
      </c>
      <c r="G422" s="407" t="s">
        <v>4491</v>
      </c>
      <c r="H422" s="440" t="s">
        <v>4109</v>
      </c>
      <c r="I422" s="407" t="s">
        <v>4312</v>
      </c>
      <c r="J422" s="407" t="s">
        <v>3793</v>
      </c>
      <c r="K422" s="387" t="s">
        <v>4645</v>
      </c>
      <c r="L422" s="387">
        <v>1</v>
      </c>
      <c r="M422" s="387">
        <v>0</v>
      </c>
      <c r="N422" s="387">
        <f t="shared" si="68"/>
        <v>1</v>
      </c>
      <c r="O422" s="442">
        <f t="shared" si="69"/>
        <v>0</v>
      </c>
      <c r="P422" s="387" t="s">
        <v>1358</v>
      </c>
      <c r="Q422" s="459">
        <v>0</v>
      </c>
      <c r="R422" s="459"/>
      <c r="S422" s="456">
        <v>0</v>
      </c>
      <c r="T422" s="456">
        <v>44.618000000000002</v>
      </c>
      <c r="U422" s="410"/>
      <c r="V422" s="411">
        <v>0</v>
      </c>
      <c r="W422" s="411">
        <v>0</v>
      </c>
      <c r="X422" s="411">
        <v>0</v>
      </c>
      <c r="Y422" s="411"/>
      <c r="Z422" s="411"/>
      <c r="AA422" s="412">
        <f t="shared" si="70"/>
        <v>0</v>
      </c>
      <c r="AB422" s="456">
        <f t="shared" si="71"/>
        <v>0</v>
      </c>
      <c r="AC422" s="456">
        <v>0</v>
      </c>
      <c r="AD422" s="2"/>
      <c r="AE422" s="4"/>
      <c r="AF422" s="5"/>
      <c r="AG422" s="428"/>
    </row>
    <row r="423" spans="2:33" hidden="1" x14ac:dyDescent="0.25">
      <c r="B423" s="1" t="s">
        <v>2509</v>
      </c>
      <c r="C423" s="3" t="s">
        <v>1368</v>
      </c>
      <c r="D423" s="3" t="s">
        <v>1247</v>
      </c>
      <c r="E423" s="407" t="s">
        <v>1426</v>
      </c>
      <c r="F423" s="3" t="s">
        <v>1822</v>
      </c>
      <c r="G423" s="407" t="s">
        <v>4480</v>
      </c>
      <c r="H423" s="440" t="s">
        <v>4109</v>
      </c>
      <c r="I423" s="407" t="s">
        <v>4301</v>
      </c>
      <c r="J423" s="407" t="s">
        <v>3782</v>
      </c>
      <c r="K423" s="387" t="s">
        <v>4637</v>
      </c>
      <c r="L423" s="387">
        <v>1</v>
      </c>
      <c r="M423" s="387">
        <v>0</v>
      </c>
      <c r="N423" s="387">
        <f t="shared" si="68"/>
        <v>1</v>
      </c>
      <c r="O423" s="442">
        <f t="shared" si="69"/>
        <v>0</v>
      </c>
      <c r="P423" s="387" t="s">
        <v>1358</v>
      </c>
      <c r="Q423" s="459">
        <v>0</v>
      </c>
      <c r="R423" s="459"/>
      <c r="S423" s="456">
        <v>0</v>
      </c>
      <c r="T423" s="456">
        <v>40.941000000000003</v>
      </c>
      <c r="U423" s="410"/>
      <c r="V423" s="411">
        <v>0</v>
      </c>
      <c r="W423" s="411">
        <v>0</v>
      </c>
      <c r="X423" s="411">
        <v>0</v>
      </c>
      <c r="Y423" s="411"/>
      <c r="Z423" s="411"/>
      <c r="AA423" s="412">
        <f t="shared" si="70"/>
        <v>0</v>
      </c>
      <c r="AB423" s="456">
        <f t="shared" si="71"/>
        <v>0</v>
      </c>
      <c r="AC423" s="456">
        <v>0</v>
      </c>
      <c r="AD423" s="2"/>
      <c r="AE423" s="4"/>
      <c r="AF423" s="5"/>
      <c r="AG423" s="428"/>
    </row>
    <row r="424" spans="2:33" hidden="1" x14ac:dyDescent="0.25">
      <c r="B424" s="1" t="s">
        <v>2510</v>
      </c>
      <c r="C424" s="3" t="s">
        <v>1368</v>
      </c>
      <c r="D424" s="3" t="s">
        <v>1247</v>
      </c>
      <c r="E424" s="407" t="s">
        <v>1427</v>
      </c>
      <c r="F424" s="3" t="s">
        <v>1823</v>
      </c>
      <c r="G424" s="407" t="s">
        <v>4485</v>
      </c>
      <c r="H424" s="440" t="s">
        <v>4109</v>
      </c>
      <c r="I424" s="407" t="s">
        <v>4306</v>
      </c>
      <c r="J424" s="407" t="s">
        <v>3787</v>
      </c>
      <c r="K424" s="387" t="s">
        <v>4638</v>
      </c>
      <c r="L424" s="387">
        <v>1</v>
      </c>
      <c r="M424" s="387">
        <v>0</v>
      </c>
      <c r="N424" s="387">
        <f t="shared" si="68"/>
        <v>1</v>
      </c>
      <c r="O424" s="442">
        <f t="shared" si="69"/>
        <v>0</v>
      </c>
      <c r="P424" s="387" t="s">
        <v>1358</v>
      </c>
      <c r="Q424" s="459">
        <v>0</v>
      </c>
      <c r="R424" s="459"/>
      <c r="S424" s="456">
        <v>0</v>
      </c>
      <c r="T424" s="456">
        <v>40.941000000000003</v>
      </c>
      <c r="U424" s="410"/>
      <c r="V424" s="411">
        <v>0</v>
      </c>
      <c r="W424" s="411">
        <v>0</v>
      </c>
      <c r="X424" s="411">
        <v>0</v>
      </c>
      <c r="Y424" s="411"/>
      <c r="Z424" s="411"/>
      <c r="AA424" s="412">
        <f t="shared" si="70"/>
        <v>0</v>
      </c>
      <c r="AB424" s="456">
        <f t="shared" si="71"/>
        <v>0</v>
      </c>
      <c r="AC424" s="456">
        <v>0</v>
      </c>
      <c r="AD424" s="2"/>
      <c r="AE424" s="4"/>
      <c r="AF424" s="5"/>
      <c r="AG424" s="428"/>
    </row>
    <row r="425" spans="2:33" hidden="1" x14ac:dyDescent="0.25">
      <c r="B425" s="1" t="s">
        <v>2511</v>
      </c>
      <c r="C425" s="3" t="s">
        <v>1368</v>
      </c>
      <c r="D425" s="3" t="s">
        <v>1247</v>
      </c>
      <c r="E425" s="407" t="s">
        <v>1428</v>
      </c>
      <c r="F425" s="3" t="s">
        <v>1824</v>
      </c>
      <c r="G425" s="407" t="s">
        <v>4486</v>
      </c>
      <c r="H425" s="440" t="s">
        <v>4109</v>
      </c>
      <c r="I425" s="407" t="s">
        <v>4307</v>
      </c>
      <c r="J425" s="407" t="s">
        <v>3788</v>
      </c>
      <c r="K425" s="387" t="s">
        <v>4639</v>
      </c>
      <c r="L425" s="387">
        <v>1</v>
      </c>
      <c r="M425" s="387">
        <v>0</v>
      </c>
      <c r="N425" s="387">
        <f t="shared" si="68"/>
        <v>1</v>
      </c>
      <c r="O425" s="442">
        <f t="shared" si="69"/>
        <v>0</v>
      </c>
      <c r="P425" s="387" t="s">
        <v>1358</v>
      </c>
      <c r="Q425" s="459">
        <v>0</v>
      </c>
      <c r="R425" s="459"/>
      <c r="S425" s="456">
        <v>0</v>
      </c>
      <c r="T425" s="456">
        <v>40.941000000000003</v>
      </c>
      <c r="U425" s="410"/>
      <c r="V425" s="411">
        <v>0</v>
      </c>
      <c r="W425" s="411">
        <v>0</v>
      </c>
      <c r="X425" s="411">
        <v>0</v>
      </c>
      <c r="Y425" s="411"/>
      <c r="Z425" s="411"/>
      <c r="AA425" s="412">
        <f t="shared" si="70"/>
        <v>0</v>
      </c>
      <c r="AB425" s="456">
        <f t="shared" si="71"/>
        <v>0</v>
      </c>
      <c r="AC425" s="456">
        <v>0</v>
      </c>
      <c r="AD425" s="2"/>
      <c r="AE425" s="4"/>
      <c r="AF425" s="5"/>
      <c r="AG425" s="428"/>
    </row>
    <row r="426" spans="2:33" hidden="1" x14ac:dyDescent="0.25">
      <c r="B426" s="1" t="s">
        <v>2512</v>
      </c>
      <c r="C426" s="3" t="s">
        <v>1368</v>
      </c>
      <c r="D426" s="3" t="s">
        <v>1247</v>
      </c>
      <c r="E426" s="407" t="s">
        <v>1429</v>
      </c>
      <c r="F426" s="3" t="s">
        <v>1825</v>
      </c>
      <c r="G426" s="407" t="s">
        <v>4487</v>
      </c>
      <c r="H426" s="440" t="s">
        <v>4109</v>
      </c>
      <c r="I426" s="407" t="s">
        <v>4308</v>
      </c>
      <c r="J426" s="407" t="s">
        <v>3789</v>
      </c>
      <c r="K426" s="387" t="s">
        <v>4640</v>
      </c>
      <c r="L426" s="387">
        <v>1</v>
      </c>
      <c r="M426" s="387">
        <v>0</v>
      </c>
      <c r="N426" s="387">
        <f t="shared" si="68"/>
        <v>1</v>
      </c>
      <c r="O426" s="442">
        <f t="shared" si="69"/>
        <v>0</v>
      </c>
      <c r="P426" s="387" t="s">
        <v>1358</v>
      </c>
      <c r="Q426" s="459">
        <v>0</v>
      </c>
      <c r="R426" s="459"/>
      <c r="S426" s="456">
        <v>0</v>
      </c>
      <c r="T426" s="456">
        <v>40.941000000000003</v>
      </c>
      <c r="U426" s="410"/>
      <c r="V426" s="411">
        <v>0</v>
      </c>
      <c r="W426" s="411">
        <v>0</v>
      </c>
      <c r="X426" s="411">
        <v>0</v>
      </c>
      <c r="Y426" s="411"/>
      <c r="Z426" s="411"/>
      <c r="AA426" s="412">
        <f t="shared" si="70"/>
        <v>0</v>
      </c>
      <c r="AB426" s="456">
        <f t="shared" si="71"/>
        <v>0</v>
      </c>
      <c r="AC426" s="456">
        <v>0</v>
      </c>
      <c r="AD426" s="2"/>
      <c r="AE426" s="4"/>
      <c r="AF426" s="5"/>
      <c r="AG426" s="428"/>
    </row>
    <row r="427" spans="2:33" hidden="1" x14ac:dyDescent="0.25">
      <c r="B427" s="1" t="s">
        <v>2513</v>
      </c>
      <c r="C427" s="3" t="s">
        <v>1368</v>
      </c>
      <c r="D427" s="3" t="s">
        <v>1247</v>
      </c>
      <c r="E427" s="407" t="s">
        <v>1430</v>
      </c>
      <c r="F427" s="3" t="s">
        <v>1826</v>
      </c>
      <c r="G427" s="407" t="s">
        <v>4488</v>
      </c>
      <c r="H427" s="440" t="s">
        <v>4109</v>
      </c>
      <c r="I427" s="407" t="s">
        <v>4309</v>
      </c>
      <c r="J427" s="407" t="s">
        <v>3790</v>
      </c>
      <c r="K427" s="387" t="s">
        <v>4641</v>
      </c>
      <c r="L427" s="387">
        <v>1</v>
      </c>
      <c r="M427" s="387">
        <v>0</v>
      </c>
      <c r="N427" s="387">
        <f t="shared" si="68"/>
        <v>1</v>
      </c>
      <c r="O427" s="442">
        <f t="shared" si="69"/>
        <v>0</v>
      </c>
      <c r="P427" s="387" t="s">
        <v>1358</v>
      </c>
      <c r="Q427" s="459">
        <v>0</v>
      </c>
      <c r="R427" s="459"/>
      <c r="S427" s="456">
        <v>0</v>
      </c>
      <c r="T427" s="456">
        <v>40.941000000000003</v>
      </c>
      <c r="U427" s="410"/>
      <c r="V427" s="411">
        <v>0</v>
      </c>
      <c r="W427" s="411">
        <v>0</v>
      </c>
      <c r="X427" s="411">
        <v>0</v>
      </c>
      <c r="Y427" s="411"/>
      <c r="Z427" s="411"/>
      <c r="AA427" s="412">
        <f t="shared" si="70"/>
        <v>0</v>
      </c>
      <c r="AB427" s="456">
        <f t="shared" si="71"/>
        <v>0</v>
      </c>
      <c r="AC427" s="456">
        <v>0</v>
      </c>
      <c r="AD427" s="2"/>
      <c r="AE427" s="4"/>
      <c r="AF427" s="5"/>
      <c r="AG427" s="428"/>
    </row>
    <row r="428" spans="2:33" hidden="1" x14ac:dyDescent="0.25">
      <c r="B428" s="1" t="s">
        <v>2514</v>
      </c>
      <c r="C428" s="3" t="s">
        <v>1368</v>
      </c>
      <c r="D428" s="3" t="s">
        <v>1247</v>
      </c>
      <c r="E428" s="407" t="s">
        <v>1431</v>
      </c>
      <c r="F428" s="3" t="s">
        <v>1827</v>
      </c>
      <c r="G428" s="407" t="s">
        <v>4489</v>
      </c>
      <c r="H428" s="440" t="s">
        <v>4109</v>
      </c>
      <c r="I428" s="407" t="s">
        <v>4310</v>
      </c>
      <c r="J428" s="407" t="s">
        <v>3791</v>
      </c>
      <c r="K428" s="387" t="s">
        <v>4642</v>
      </c>
      <c r="L428" s="387">
        <v>1</v>
      </c>
      <c r="M428" s="387">
        <v>0</v>
      </c>
      <c r="N428" s="387">
        <f t="shared" si="68"/>
        <v>1</v>
      </c>
      <c r="O428" s="442">
        <f t="shared" si="69"/>
        <v>0</v>
      </c>
      <c r="P428" s="387" t="s">
        <v>1358</v>
      </c>
      <c r="Q428" s="459">
        <v>0</v>
      </c>
      <c r="R428" s="459"/>
      <c r="S428" s="456">
        <v>0</v>
      </c>
      <c r="T428" s="456">
        <v>40.941000000000003</v>
      </c>
      <c r="U428" s="410"/>
      <c r="V428" s="411">
        <v>0</v>
      </c>
      <c r="W428" s="411">
        <v>0</v>
      </c>
      <c r="X428" s="411">
        <v>0</v>
      </c>
      <c r="Y428" s="411"/>
      <c r="Z428" s="411"/>
      <c r="AA428" s="412">
        <f t="shared" si="70"/>
        <v>0</v>
      </c>
      <c r="AB428" s="456">
        <f t="shared" si="71"/>
        <v>0</v>
      </c>
      <c r="AC428" s="456">
        <v>0</v>
      </c>
      <c r="AD428" s="2"/>
      <c r="AE428" s="4"/>
      <c r="AF428" s="5"/>
      <c r="AG428" s="428"/>
    </row>
    <row r="429" spans="2:33" hidden="1" x14ac:dyDescent="0.25">
      <c r="B429" s="1" t="s">
        <v>2515</v>
      </c>
      <c r="C429" s="3" t="s">
        <v>1368</v>
      </c>
      <c r="D429" s="3" t="s">
        <v>1247</v>
      </c>
      <c r="E429" s="407" t="s">
        <v>3234</v>
      </c>
      <c r="F429" s="3" t="s">
        <v>1828</v>
      </c>
      <c r="G429" s="407" t="s">
        <v>4492</v>
      </c>
      <c r="H429" s="440" t="s">
        <v>4109</v>
      </c>
      <c r="I429" s="407" t="s">
        <v>4313</v>
      </c>
      <c r="J429" s="407" t="s">
        <v>3794</v>
      </c>
      <c r="K429" s="387" t="s">
        <v>4646</v>
      </c>
      <c r="L429" s="387">
        <v>1</v>
      </c>
      <c r="M429" s="387">
        <v>0</v>
      </c>
      <c r="N429" s="387">
        <f t="shared" si="68"/>
        <v>1</v>
      </c>
      <c r="O429" s="442">
        <f t="shared" si="69"/>
        <v>1</v>
      </c>
      <c r="P429" s="387" t="s">
        <v>1358</v>
      </c>
      <c r="Q429" s="459">
        <v>0</v>
      </c>
      <c r="R429" s="459"/>
      <c r="S429" s="456">
        <v>0</v>
      </c>
      <c r="T429" s="456">
        <v>25.097999999999999</v>
      </c>
      <c r="U429" s="410"/>
      <c r="V429" s="411">
        <v>1</v>
      </c>
      <c r="W429" s="411">
        <v>1</v>
      </c>
      <c r="X429" s="411">
        <v>1</v>
      </c>
      <c r="Y429" s="411"/>
      <c r="Z429" s="411"/>
      <c r="AA429" s="412">
        <f t="shared" si="70"/>
        <v>1</v>
      </c>
      <c r="AB429" s="456">
        <f t="shared" si="71"/>
        <v>25.097999999999999</v>
      </c>
      <c r="AC429" s="456">
        <v>0</v>
      </c>
      <c r="AD429" s="2"/>
      <c r="AE429" s="4"/>
      <c r="AF429" s="5"/>
      <c r="AG429" s="428"/>
    </row>
    <row r="430" spans="2:33" hidden="1" x14ac:dyDescent="0.25">
      <c r="B430" s="1" t="s">
        <v>2516</v>
      </c>
      <c r="C430" s="3" t="s">
        <v>1368</v>
      </c>
      <c r="D430" s="3" t="s">
        <v>1247</v>
      </c>
      <c r="E430" s="407" t="s">
        <v>1379</v>
      </c>
      <c r="F430" s="3" t="s">
        <v>1829</v>
      </c>
      <c r="G430" s="407" t="s">
        <v>4502</v>
      </c>
      <c r="H430" s="440" t="s">
        <v>4109</v>
      </c>
      <c r="I430" s="407" t="s">
        <v>4323</v>
      </c>
      <c r="J430" s="407" t="s">
        <v>3750</v>
      </c>
      <c r="K430" s="387" t="s">
        <v>4632</v>
      </c>
      <c r="L430" s="387">
        <v>1</v>
      </c>
      <c r="M430" s="387">
        <v>0</v>
      </c>
      <c r="N430" s="387">
        <f t="shared" si="68"/>
        <v>1</v>
      </c>
      <c r="O430" s="442">
        <f t="shared" si="69"/>
        <v>0.99999999999999978</v>
      </c>
      <c r="P430" s="387" t="s">
        <v>1358</v>
      </c>
      <c r="Q430" s="459">
        <v>0</v>
      </c>
      <c r="R430" s="459"/>
      <c r="S430" s="456">
        <v>0</v>
      </c>
      <c r="T430" s="456">
        <v>40.854999999999997</v>
      </c>
      <c r="U430" s="410"/>
      <c r="V430" s="411">
        <v>1</v>
      </c>
      <c r="W430" s="411">
        <v>1</v>
      </c>
      <c r="X430" s="411">
        <v>1</v>
      </c>
      <c r="Y430" s="411"/>
      <c r="Z430" s="411"/>
      <c r="AA430" s="412">
        <f t="shared" si="70"/>
        <v>0.99999999999999978</v>
      </c>
      <c r="AB430" s="456">
        <f t="shared" si="71"/>
        <v>40.85499999999999</v>
      </c>
      <c r="AC430" s="456">
        <v>0</v>
      </c>
      <c r="AD430" s="2"/>
      <c r="AE430" s="4"/>
      <c r="AF430" s="5"/>
      <c r="AG430" s="428"/>
    </row>
    <row r="431" spans="2:33" hidden="1" x14ac:dyDescent="0.25">
      <c r="B431" s="1" t="s">
        <v>2517</v>
      </c>
      <c r="C431" s="3" t="s">
        <v>1368</v>
      </c>
      <c r="D431" s="3" t="s">
        <v>1247</v>
      </c>
      <c r="E431" s="407" t="s">
        <v>1377</v>
      </c>
      <c r="F431" s="3" t="s">
        <v>1830</v>
      </c>
      <c r="G431" s="407" t="s">
        <v>4494</v>
      </c>
      <c r="H431" s="440" t="s">
        <v>4109</v>
      </c>
      <c r="I431" s="407" t="s">
        <v>4315</v>
      </c>
      <c r="J431" s="407" t="s">
        <v>3749</v>
      </c>
      <c r="K431" s="387" t="s">
        <v>4648</v>
      </c>
      <c r="L431" s="387">
        <v>1</v>
      </c>
      <c r="M431" s="387">
        <v>0</v>
      </c>
      <c r="N431" s="387">
        <f t="shared" si="68"/>
        <v>1</v>
      </c>
      <c r="O431" s="442">
        <f t="shared" si="69"/>
        <v>0.99999999999999978</v>
      </c>
      <c r="P431" s="387" t="s">
        <v>1358</v>
      </c>
      <c r="Q431" s="459">
        <v>0</v>
      </c>
      <c r="R431" s="459"/>
      <c r="S431" s="456">
        <v>0</v>
      </c>
      <c r="T431" s="456">
        <v>40.854999999999997</v>
      </c>
      <c r="U431" s="410"/>
      <c r="V431" s="411">
        <v>1</v>
      </c>
      <c r="W431" s="411">
        <v>1</v>
      </c>
      <c r="X431" s="411">
        <v>1</v>
      </c>
      <c r="Y431" s="411"/>
      <c r="Z431" s="411"/>
      <c r="AA431" s="412">
        <f t="shared" si="70"/>
        <v>0.99999999999999978</v>
      </c>
      <c r="AB431" s="456">
        <f t="shared" si="71"/>
        <v>40.85499999999999</v>
      </c>
      <c r="AC431" s="456">
        <v>0</v>
      </c>
      <c r="AD431" s="2"/>
      <c r="AE431" s="4"/>
      <c r="AF431" s="5"/>
      <c r="AG431" s="428"/>
    </row>
    <row r="432" spans="2:33" hidden="1" x14ac:dyDescent="0.25">
      <c r="B432" s="1" t="s">
        <v>2518</v>
      </c>
      <c r="C432" s="3" t="s">
        <v>1368</v>
      </c>
      <c r="D432" s="3" t="s">
        <v>1247</v>
      </c>
      <c r="E432" s="407" t="s">
        <v>1374</v>
      </c>
      <c r="F432" s="3" t="s">
        <v>1831</v>
      </c>
      <c r="G432" s="407" t="s">
        <v>4495</v>
      </c>
      <c r="H432" s="440" t="s">
        <v>4109</v>
      </c>
      <c r="I432" s="407" t="s">
        <v>4316</v>
      </c>
      <c r="J432" s="407" t="s">
        <v>3757</v>
      </c>
      <c r="K432" s="387" t="s">
        <v>4649</v>
      </c>
      <c r="L432" s="387">
        <v>1</v>
      </c>
      <c r="M432" s="387">
        <v>0</v>
      </c>
      <c r="N432" s="387">
        <f t="shared" si="68"/>
        <v>1</v>
      </c>
      <c r="O432" s="442">
        <f t="shared" si="69"/>
        <v>0.99999999999999978</v>
      </c>
      <c r="P432" s="387" t="s">
        <v>1358</v>
      </c>
      <c r="Q432" s="459">
        <v>0</v>
      </c>
      <c r="R432" s="459"/>
      <c r="S432" s="456">
        <v>0</v>
      </c>
      <c r="T432" s="456">
        <v>40.854999999999997</v>
      </c>
      <c r="U432" s="410"/>
      <c r="V432" s="411">
        <v>1</v>
      </c>
      <c r="W432" s="411">
        <v>1</v>
      </c>
      <c r="X432" s="411">
        <v>1</v>
      </c>
      <c r="Y432" s="411"/>
      <c r="Z432" s="411"/>
      <c r="AA432" s="412">
        <f t="shared" si="70"/>
        <v>0.99999999999999978</v>
      </c>
      <c r="AB432" s="456">
        <f t="shared" si="71"/>
        <v>40.85499999999999</v>
      </c>
      <c r="AC432" s="456">
        <v>0</v>
      </c>
      <c r="AD432" s="2"/>
      <c r="AE432" s="4"/>
      <c r="AF432" s="5"/>
      <c r="AG432" s="428"/>
    </row>
    <row r="433" spans="2:33" hidden="1" x14ac:dyDescent="0.25">
      <c r="B433" s="1" t="s">
        <v>2519</v>
      </c>
      <c r="C433" s="3" t="s">
        <v>1368</v>
      </c>
      <c r="D433" s="3" t="s">
        <v>1247</v>
      </c>
      <c r="E433" s="407" t="s">
        <v>1398</v>
      </c>
      <c r="F433" s="3" t="s">
        <v>1832</v>
      </c>
      <c r="G433" s="407" t="s">
        <v>4496</v>
      </c>
      <c r="H433" s="440" t="s">
        <v>4109</v>
      </c>
      <c r="I433" s="407" t="s">
        <v>4317</v>
      </c>
      <c r="J433" s="407" t="s">
        <v>3796</v>
      </c>
      <c r="K433" s="387" t="s">
        <v>4784</v>
      </c>
      <c r="L433" s="387">
        <v>2</v>
      </c>
      <c r="M433" s="387"/>
      <c r="N433" s="387">
        <f t="shared" si="68"/>
        <v>2</v>
      </c>
      <c r="O433" s="442">
        <f t="shared" si="69"/>
        <v>1.9999999999999996</v>
      </c>
      <c r="P433" s="387" t="s">
        <v>1358</v>
      </c>
      <c r="Q433" s="459">
        <v>0</v>
      </c>
      <c r="R433" s="459"/>
      <c r="S433" s="456">
        <v>0</v>
      </c>
      <c r="T433" s="456">
        <v>81.709999999999994</v>
      </c>
      <c r="U433" s="410"/>
      <c r="V433" s="411">
        <v>1</v>
      </c>
      <c r="W433" s="411">
        <v>1</v>
      </c>
      <c r="X433" s="411">
        <v>1</v>
      </c>
      <c r="Y433" s="411"/>
      <c r="Z433" s="411"/>
      <c r="AA433" s="412">
        <f t="shared" si="70"/>
        <v>0.99999999999999978</v>
      </c>
      <c r="AB433" s="456">
        <f t="shared" si="71"/>
        <v>81.70999999999998</v>
      </c>
      <c r="AC433" s="456">
        <v>0</v>
      </c>
      <c r="AD433" s="2"/>
      <c r="AE433" s="4"/>
      <c r="AF433" s="5"/>
      <c r="AG433" s="428"/>
    </row>
    <row r="434" spans="2:33" hidden="1" x14ac:dyDescent="0.25">
      <c r="B434" s="430" t="s">
        <v>5120</v>
      </c>
      <c r="C434" s="3" t="s">
        <v>1368</v>
      </c>
      <c r="D434" s="3" t="s">
        <v>1247</v>
      </c>
      <c r="E434" s="407" t="s">
        <v>1395</v>
      </c>
      <c r="F434" s="3" t="s">
        <v>5034</v>
      </c>
      <c r="G434" s="407" t="s">
        <v>4496</v>
      </c>
      <c r="H434" s="440" t="s">
        <v>4109</v>
      </c>
      <c r="I434" s="407" t="s">
        <v>4317</v>
      </c>
      <c r="J434" s="407" t="s">
        <v>3796</v>
      </c>
      <c r="K434" s="387" t="s">
        <v>5035</v>
      </c>
      <c r="L434" s="387">
        <v>1</v>
      </c>
      <c r="M434" s="387">
        <v>0</v>
      </c>
      <c r="N434" s="387">
        <f t="shared" si="68"/>
        <v>1</v>
      </c>
      <c r="O434" s="442">
        <f t="shared" ref="O434" si="72">L434*AA434</f>
        <v>1</v>
      </c>
      <c r="P434" s="387" t="s">
        <v>1358</v>
      </c>
      <c r="Q434" s="459">
        <v>0</v>
      </c>
      <c r="R434" s="459"/>
      <c r="S434" s="456"/>
      <c r="T434" s="456">
        <v>44.7</v>
      </c>
      <c r="U434" s="410"/>
      <c r="V434" s="411">
        <v>1</v>
      </c>
      <c r="W434" s="411">
        <v>1</v>
      </c>
      <c r="X434" s="411">
        <v>1</v>
      </c>
      <c r="Y434" s="411"/>
      <c r="Z434" s="411"/>
      <c r="AA434" s="412">
        <f t="shared" si="70"/>
        <v>1</v>
      </c>
      <c r="AB434" s="456">
        <f t="shared" si="71"/>
        <v>44.7</v>
      </c>
      <c r="AC434" s="456">
        <v>0</v>
      </c>
      <c r="AD434" s="2"/>
      <c r="AE434" s="4"/>
      <c r="AF434" s="5"/>
      <c r="AG434" s="428"/>
    </row>
    <row r="435" spans="2:33" hidden="1" x14ac:dyDescent="0.25">
      <c r="B435" s="1" t="s">
        <v>2520</v>
      </c>
      <c r="C435" s="3" t="s">
        <v>1368</v>
      </c>
      <c r="D435" s="3" t="s">
        <v>1247</v>
      </c>
      <c r="E435" s="407" t="s">
        <v>1397</v>
      </c>
      <c r="F435" s="3" t="s">
        <v>1833</v>
      </c>
      <c r="G435" s="407" t="s">
        <v>4493</v>
      </c>
      <c r="H435" s="440" t="s">
        <v>4109</v>
      </c>
      <c r="I435" s="407" t="s">
        <v>4314</v>
      </c>
      <c r="J435" s="407" t="s">
        <v>3795</v>
      </c>
      <c r="K435" s="387" t="s">
        <v>4647</v>
      </c>
      <c r="L435" s="387">
        <v>1</v>
      </c>
      <c r="M435" s="387">
        <v>0</v>
      </c>
      <c r="N435" s="387">
        <f t="shared" si="68"/>
        <v>1</v>
      </c>
      <c r="O435" s="442">
        <f t="shared" si="69"/>
        <v>1</v>
      </c>
      <c r="P435" s="387" t="s">
        <v>1358</v>
      </c>
      <c r="Q435" s="459">
        <v>0</v>
      </c>
      <c r="R435" s="459"/>
      <c r="S435" s="456">
        <v>0</v>
      </c>
      <c r="T435" s="456">
        <v>18.753</v>
      </c>
      <c r="U435" s="410"/>
      <c r="V435" s="411">
        <v>1</v>
      </c>
      <c r="W435" s="411">
        <v>1</v>
      </c>
      <c r="X435" s="411">
        <v>1</v>
      </c>
      <c r="Y435" s="411"/>
      <c r="Z435" s="411"/>
      <c r="AA435" s="412">
        <f t="shared" si="70"/>
        <v>1</v>
      </c>
      <c r="AB435" s="456">
        <f t="shared" si="71"/>
        <v>18.753</v>
      </c>
      <c r="AC435" s="456">
        <v>0</v>
      </c>
      <c r="AD435" s="2"/>
      <c r="AE435" s="4"/>
      <c r="AF435" s="5"/>
      <c r="AG435" s="428"/>
    </row>
    <row r="436" spans="2:33" hidden="1" x14ac:dyDescent="0.25">
      <c r="B436" s="1" t="s">
        <v>2521</v>
      </c>
      <c r="C436" s="3" t="s">
        <v>1368</v>
      </c>
      <c r="D436" s="3" t="s">
        <v>1247</v>
      </c>
      <c r="E436" s="407" t="s">
        <v>1398</v>
      </c>
      <c r="F436" s="3" t="s">
        <v>1834</v>
      </c>
      <c r="G436" s="407" t="s">
        <v>4496</v>
      </c>
      <c r="H436" s="440" t="s">
        <v>4109</v>
      </c>
      <c r="I436" s="407" t="s">
        <v>4317</v>
      </c>
      <c r="J436" s="407" t="s">
        <v>3796</v>
      </c>
      <c r="K436" s="387" t="s">
        <v>4650</v>
      </c>
      <c r="L436" s="387">
        <v>1</v>
      </c>
      <c r="M436" s="387">
        <v>0</v>
      </c>
      <c r="N436" s="387">
        <f t="shared" ref="N436:N501" si="73">L436+M436</f>
        <v>1</v>
      </c>
      <c r="O436" s="442">
        <f t="shared" ref="O436:O501" si="74">L436*AA436</f>
        <v>1</v>
      </c>
      <c r="P436" s="387" t="s">
        <v>1358</v>
      </c>
      <c r="Q436" s="459">
        <v>0</v>
      </c>
      <c r="R436" s="459"/>
      <c r="S436" s="456">
        <v>0</v>
      </c>
      <c r="T436" s="456">
        <v>18.753</v>
      </c>
      <c r="U436" s="410"/>
      <c r="V436" s="411">
        <v>1</v>
      </c>
      <c r="W436" s="411">
        <v>1</v>
      </c>
      <c r="X436" s="411">
        <v>1</v>
      </c>
      <c r="Y436" s="411"/>
      <c r="Z436" s="411"/>
      <c r="AA436" s="412">
        <f t="shared" ref="AA436:AA501" si="75">AB436/T436</f>
        <v>1</v>
      </c>
      <c r="AB436" s="456">
        <f t="shared" ref="AB436:AB501" si="76">(V436*V$369*T436)+(W436*W$369*T436)+(X436*X$369*T436)</f>
        <v>18.753</v>
      </c>
      <c r="AC436" s="456">
        <v>0</v>
      </c>
      <c r="AD436" s="2"/>
      <c r="AE436" s="4"/>
      <c r="AF436" s="5"/>
      <c r="AG436" s="428"/>
    </row>
    <row r="437" spans="2:33" hidden="1" x14ac:dyDescent="0.25">
      <c r="B437" s="1" t="s">
        <v>2522</v>
      </c>
      <c r="C437" s="3" t="s">
        <v>1368</v>
      </c>
      <c r="D437" s="3" t="s">
        <v>1247</v>
      </c>
      <c r="E437" s="407" t="s">
        <v>1374</v>
      </c>
      <c r="F437" s="3" t="s">
        <v>1835</v>
      </c>
      <c r="G437" s="407" t="s">
        <v>4495</v>
      </c>
      <c r="H437" s="440" t="s">
        <v>4109</v>
      </c>
      <c r="I437" s="407" t="s">
        <v>4316</v>
      </c>
      <c r="J437" s="407" t="s">
        <v>3757</v>
      </c>
      <c r="K437" s="387" t="s">
        <v>4649</v>
      </c>
      <c r="L437" s="387">
        <v>1</v>
      </c>
      <c r="M437" s="387">
        <v>0</v>
      </c>
      <c r="N437" s="387">
        <f t="shared" si="73"/>
        <v>1</v>
      </c>
      <c r="O437" s="442">
        <f t="shared" si="74"/>
        <v>1</v>
      </c>
      <c r="P437" s="387" t="s">
        <v>1358</v>
      </c>
      <c r="Q437" s="459">
        <v>0</v>
      </c>
      <c r="R437" s="459"/>
      <c r="S437" s="456">
        <v>0</v>
      </c>
      <c r="T437" s="456">
        <v>18.753</v>
      </c>
      <c r="U437" s="410"/>
      <c r="V437" s="411">
        <v>1</v>
      </c>
      <c r="W437" s="411">
        <v>1</v>
      </c>
      <c r="X437" s="411">
        <v>1</v>
      </c>
      <c r="Y437" s="411"/>
      <c r="Z437" s="411"/>
      <c r="AA437" s="412">
        <f t="shared" si="75"/>
        <v>1</v>
      </c>
      <c r="AB437" s="456">
        <f t="shared" si="76"/>
        <v>18.753</v>
      </c>
      <c r="AC437" s="456">
        <v>0</v>
      </c>
      <c r="AD437" s="2"/>
      <c r="AE437" s="4"/>
      <c r="AF437" s="5"/>
      <c r="AG437" s="428"/>
    </row>
    <row r="438" spans="2:33" hidden="1" x14ac:dyDescent="0.25">
      <c r="B438" s="1" t="s">
        <v>2523</v>
      </c>
      <c r="C438" s="3" t="s">
        <v>1368</v>
      </c>
      <c r="D438" s="3" t="s">
        <v>1247</v>
      </c>
      <c r="E438" s="407" t="s">
        <v>1377</v>
      </c>
      <c r="F438" s="3" t="s">
        <v>1836</v>
      </c>
      <c r="G438" s="407" t="s">
        <v>4494</v>
      </c>
      <c r="H438" s="440" t="s">
        <v>4109</v>
      </c>
      <c r="I438" s="407" t="s">
        <v>4315</v>
      </c>
      <c r="J438" s="407" t="s">
        <v>3749</v>
      </c>
      <c r="K438" s="387" t="s">
        <v>4648</v>
      </c>
      <c r="L438" s="387">
        <v>1</v>
      </c>
      <c r="M438" s="387">
        <v>0</v>
      </c>
      <c r="N438" s="387">
        <f t="shared" si="73"/>
        <v>1</v>
      </c>
      <c r="O438" s="442">
        <f t="shared" si="74"/>
        <v>1</v>
      </c>
      <c r="P438" s="387" t="s">
        <v>1358</v>
      </c>
      <c r="Q438" s="459">
        <v>0</v>
      </c>
      <c r="R438" s="459"/>
      <c r="S438" s="456">
        <v>0</v>
      </c>
      <c r="T438" s="456">
        <v>18.753</v>
      </c>
      <c r="U438" s="410"/>
      <c r="V438" s="411">
        <v>1</v>
      </c>
      <c r="W438" s="411">
        <v>1</v>
      </c>
      <c r="X438" s="411">
        <v>1</v>
      </c>
      <c r="Y438" s="411"/>
      <c r="Z438" s="411"/>
      <c r="AA438" s="412">
        <f t="shared" si="75"/>
        <v>1</v>
      </c>
      <c r="AB438" s="456">
        <f t="shared" si="76"/>
        <v>18.753</v>
      </c>
      <c r="AC438" s="456">
        <v>0</v>
      </c>
      <c r="AD438" s="2"/>
      <c r="AE438" s="4"/>
      <c r="AF438" s="5"/>
      <c r="AG438" s="428"/>
    </row>
    <row r="439" spans="2:33" hidden="1" x14ac:dyDescent="0.25">
      <c r="B439" s="1" t="s">
        <v>2524</v>
      </c>
      <c r="C439" s="3" t="s">
        <v>1368</v>
      </c>
      <c r="D439" s="3" t="s">
        <v>1247</v>
      </c>
      <c r="E439" s="407" t="s">
        <v>1379</v>
      </c>
      <c r="F439" s="3" t="s">
        <v>1837</v>
      </c>
      <c r="G439" s="407" t="s">
        <v>4502</v>
      </c>
      <c r="H439" s="440" t="s">
        <v>4109</v>
      </c>
      <c r="I439" s="407" t="s">
        <v>4323</v>
      </c>
      <c r="J439" s="407" t="s">
        <v>3750</v>
      </c>
      <c r="K439" s="387" t="s">
        <v>4632</v>
      </c>
      <c r="L439" s="387">
        <v>2</v>
      </c>
      <c r="M439" s="387">
        <v>0</v>
      </c>
      <c r="N439" s="387">
        <f t="shared" si="73"/>
        <v>2</v>
      </c>
      <c r="O439" s="442">
        <f t="shared" si="74"/>
        <v>2</v>
      </c>
      <c r="P439" s="387" t="s">
        <v>1358</v>
      </c>
      <c r="Q439" s="459">
        <v>0</v>
      </c>
      <c r="R439" s="459"/>
      <c r="S439" s="456">
        <v>0</v>
      </c>
      <c r="T439" s="456">
        <v>37.506</v>
      </c>
      <c r="U439" s="410"/>
      <c r="V439" s="411">
        <v>1</v>
      </c>
      <c r="W439" s="411">
        <v>1</v>
      </c>
      <c r="X439" s="411">
        <v>1</v>
      </c>
      <c r="Y439" s="411"/>
      <c r="Z439" s="411"/>
      <c r="AA439" s="412">
        <f t="shared" si="75"/>
        <v>1</v>
      </c>
      <c r="AB439" s="456">
        <f t="shared" si="76"/>
        <v>37.506</v>
      </c>
      <c r="AC439" s="456">
        <v>0</v>
      </c>
      <c r="AD439" s="2"/>
      <c r="AE439" s="4"/>
      <c r="AF439" s="5"/>
      <c r="AG439" s="428"/>
    </row>
    <row r="440" spans="2:33" hidden="1" x14ac:dyDescent="0.25">
      <c r="B440" s="571" t="s">
        <v>5215</v>
      </c>
      <c r="C440" s="3" t="s">
        <v>1368</v>
      </c>
      <c r="D440" s="3" t="s">
        <v>1247</v>
      </c>
      <c r="E440" s="407" t="s">
        <v>1396</v>
      </c>
      <c r="F440" s="3" t="s">
        <v>5158</v>
      </c>
      <c r="G440" s="407"/>
      <c r="H440" s="440"/>
      <c r="I440" s="407"/>
      <c r="J440" s="407"/>
      <c r="K440" s="387" t="s">
        <v>4653</v>
      </c>
      <c r="L440" s="387">
        <v>1</v>
      </c>
      <c r="M440" s="387">
        <v>0</v>
      </c>
      <c r="N440" s="387">
        <f t="shared" si="73"/>
        <v>1</v>
      </c>
      <c r="O440" s="442">
        <f>L440*AA440</f>
        <v>1</v>
      </c>
      <c r="P440" s="387" t="s">
        <v>1358</v>
      </c>
      <c r="Q440" s="459">
        <v>0</v>
      </c>
      <c r="R440" s="459"/>
      <c r="S440" s="456">
        <v>0</v>
      </c>
      <c r="T440" s="456">
        <v>18.753</v>
      </c>
      <c r="U440" s="410"/>
      <c r="V440" s="411">
        <v>1</v>
      </c>
      <c r="W440" s="411">
        <v>1</v>
      </c>
      <c r="X440" s="411">
        <v>1</v>
      </c>
      <c r="Y440" s="411"/>
      <c r="Z440" s="411"/>
      <c r="AA440" s="412">
        <f t="shared" si="75"/>
        <v>1</v>
      </c>
      <c r="AB440" s="456">
        <f t="shared" si="76"/>
        <v>18.753</v>
      </c>
      <c r="AC440" s="456"/>
      <c r="AD440" s="2"/>
      <c r="AE440" s="4"/>
      <c r="AF440" s="5"/>
      <c r="AG440" s="428"/>
    </row>
    <row r="441" spans="2:33" hidden="1" x14ac:dyDescent="0.25">
      <c r="B441" s="1" t="s">
        <v>2525</v>
      </c>
      <c r="C441" s="3" t="s">
        <v>1368</v>
      </c>
      <c r="D441" s="3" t="s">
        <v>1247</v>
      </c>
      <c r="E441" s="407" t="s">
        <v>1400</v>
      </c>
      <c r="F441" s="3" t="s">
        <v>1838</v>
      </c>
      <c r="G441" s="407" t="s">
        <v>4477</v>
      </c>
      <c r="H441" s="440" t="s">
        <v>4109</v>
      </c>
      <c r="I441" s="407" t="s">
        <v>4298</v>
      </c>
      <c r="J441" s="407" t="s">
        <v>3779</v>
      </c>
      <c r="K441" s="387" t="s">
        <v>4656</v>
      </c>
      <c r="L441" s="387">
        <v>3</v>
      </c>
      <c r="M441" s="387">
        <v>0</v>
      </c>
      <c r="N441" s="387">
        <f t="shared" si="73"/>
        <v>3</v>
      </c>
      <c r="O441" s="442">
        <f t="shared" si="74"/>
        <v>0</v>
      </c>
      <c r="P441" s="387" t="s">
        <v>1358</v>
      </c>
      <c r="Q441" s="459">
        <v>0</v>
      </c>
      <c r="R441" s="459"/>
      <c r="S441" s="456">
        <v>0</v>
      </c>
      <c r="T441" s="456">
        <v>56.259</v>
      </c>
      <c r="U441" s="410"/>
      <c r="V441" s="411">
        <v>0</v>
      </c>
      <c r="W441" s="411">
        <v>0</v>
      </c>
      <c r="X441" s="411">
        <v>0</v>
      </c>
      <c r="Y441" s="411"/>
      <c r="Z441" s="411"/>
      <c r="AA441" s="412">
        <f t="shared" si="75"/>
        <v>0</v>
      </c>
      <c r="AB441" s="456">
        <f t="shared" si="76"/>
        <v>0</v>
      </c>
      <c r="AC441" s="456">
        <v>0</v>
      </c>
      <c r="AD441" s="2"/>
      <c r="AE441" s="4"/>
      <c r="AF441" s="5"/>
      <c r="AG441" s="428"/>
    </row>
    <row r="442" spans="2:33" hidden="1" x14ac:dyDescent="0.25">
      <c r="B442" s="1" t="s">
        <v>2526</v>
      </c>
      <c r="C442" s="3" t="s">
        <v>1368</v>
      </c>
      <c r="D442" s="3" t="s">
        <v>1247</v>
      </c>
      <c r="E442" s="407" t="s">
        <v>1401</v>
      </c>
      <c r="F442" s="3" t="s">
        <v>1839</v>
      </c>
      <c r="G442" s="407" t="s">
        <v>4478</v>
      </c>
      <c r="H442" s="440" t="s">
        <v>4109</v>
      </c>
      <c r="I442" s="407" t="s">
        <v>4299</v>
      </c>
      <c r="J442" s="407" t="s">
        <v>3780</v>
      </c>
      <c r="K442" s="387" t="s">
        <v>4657</v>
      </c>
      <c r="L442" s="387">
        <v>3</v>
      </c>
      <c r="M442" s="387">
        <v>0</v>
      </c>
      <c r="N442" s="387">
        <f t="shared" si="73"/>
        <v>3</v>
      </c>
      <c r="O442" s="442">
        <f t="shared" si="74"/>
        <v>0</v>
      </c>
      <c r="P442" s="387" t="s">
        <v>1358</v>
      </c>
      <c r="Q442" s="459">
        <v>0</v>
      </c>
      <c r="R442" s="459"/>
      <c r="S442" s="456">
        <v>0</v>
      </c>
      <c r="T442" s="456">
        <v>56.259</v>
      </c>
      <c r="U442" s="410"/>
      <c r="V442" s="411">
        <v>0</v>
      </c>
      <c r="W442" s="411">
        <v>0</v>
      </c>
      <c r="X442" s="411">
        <v>0</v>
      </c>
      <c r="Y442" s="411"/>
      <c r="Z442" s="411"/>
      <c r="AA442" s="412">
        <f t="shared" si="75"/>
        <v>0</v>
      </c>
      <c r="AB442" s="456">
        <f t="shared" si="76"/>
        <v>0</v>
      </c>
      <c r="AC442" s="456">
        <v>0</v>
      </c>
      <c r="AD442" s="2"/>
      <c r="AE442" s="4"/>
      <c r="AF442" s="5"/>
      <c r="AG442" s="428"/>
    </row>
    <row r="443" spans="2:33" hidden="1" x14ac:dyDescent="0.25">
      <c r="B443" s="1" t="s">
        <v>2527</v>
      </c>
      <c r="C443" s="3" t="s">
        <v>1368</v>
      </c>
      <c r="D443" s="3" t="s">
        <v>1247</v>
      </c>
      <c r="E443" s="407" t="s">
        <v>3293</v>
      </c>
      <c r="F443" s="3" t="s">
        <v>1840</v>
      </c>
      <c r="G443" s="407" t="s">
        <v>4503</v>
      </c>
      <c r="H443" s="440" t="s">
        <v>4109</v>
      </c>
      <c r="I443" s="407" t="s">
        <v>4324</v>
      </c>
      <c r="J443" s="407" t="s">
        <v>3798</v>
      </c>
      <c r="K443" s="387" t="s">
        <v>4658</v>
      </c>
      <c r="L443" s="387">
        <v>1</v>
      </c>
      <c r="M443" s="387">
        <v>0</v>
      </c>
      <c r="N443" s="387">
        <f t="shared" si="73"/>
        <v>1</v>
      </c>
      <c r="O443" s="442">
        <f t="shared" si="74"/>
        <v>1</v>
      </c>
      <c r="P443" s="387" t="s">
        <v>1358</v>
      </c>
      <c r="Q443" s="459">
        <v>0</v>
      </c>
      <c r="R443" s="459"/>
      <c r="S443" s="456">
        <v>0</v>
      </c>
      <c r="T443" s="456">
        <v>4.2050000000000001</v>
      </c>
      <c r="U443" s="410"/>
      <c r="V443" s="411">
        <v>1</v>
      </c>
      <c r="W443" s="411">
        <v>1</v>
      </c>
      <c r="X443" s="411">
        <v>1</v>
      </c>
      <c r="Y443" s="411"/>
      <c r="Z443" s="411"/>
      <c r="AA443" s="412">
        <f t="shared" si="75"/>
        <v>1</v>
      </c>
      <c r="AB443" s="456">
        <f t="shared" si="76"/>
        <v>4.2050000000000001</v>
      </c>
      <c r="AC443" s="456">
        <v>0</v>
      </c>
      <c r="AD443" s="2"/>
      <c r="AE443" s="4"/>
      <c r="AF443" s="5"/>
      <c r="AG443" s="428"/>
    </row>
    <row r="444" spans="2:33" hidden="1" x14ac:dyDescent="0.25">
      <c r="B444" s="1" t="s">
        <v>2528</v>
      </c>
      <c r="C444" s="3" t="s">
        <v>1368</v>
      </c>
      <c r="D444" s="3" t="s">
        <v>1247</v>
      </c>
      <c r="E444" s="407" t="s">
        <v>3294</v>
      </c>
      <c r="F444" s="3" t="s">
        <v>1841</v>
      </c>
      <c r="G444" s="407" t="s">
        <v>4500</v>
      </c>
      <c r="H444" s="440" t="s">
        <v>4109</v>
      </c>
      <c r="I444" s="407" t="s">
        <v>4321</v>
      </c>
      <c r="J444" s="407" t="s">
        <v>3755</v>
      </c>
      <c r="K444" s="387" t="s">
        <v>4654</v>
      </c>
      <c r="L444" s="387">
        <v>1</v>
      </c>
      <c r="M444" s="387">
        <v>0</v>
      </c>
      <c r="N444" s="387">
        <f t="shared" si="73"/>
        <v>1</v>
      </c>
      <c r="O444" s="442">
        <f t="shared" si="74"/>
        <v>1</v>
      </c>
      <c r="P444" s="387" t="s">
        <v>1358</v>
      </c>
      <c r="Q444" s="459">
        <v>0</v>
      </c>
      <c r="R444" s="459"/>
      <c r="S444" s="456">
        <v>0</v>
      </c>
      <c r="T444" s="456">
        <v>25.097999999999999</v>
      </c>
      <c r="U444" s="410"/>
      <c r="V444" s="411">
        <v>1</v>
      </c>
      <c r="W444" s="411">
        <v>1</v>
      </c>
      <c r="X444" s="411">
        <v>1</v>
      </c>
      <c r="Y444" s="411"/>
      <c r="Z444" s="411"/>
      <c r="AA444" s="412">
        <f t="shared" si="75"/>
        <v>1</v>
      </c>
      <c r="AB444" s="456">
        <f t="shared" si="76"/>
        <v>25.097999999999999</v>
      </c>
      <c r="AC444" s="456">
        <v>0</v>
      </c>
      <c r="AD444" s="2"/>
      <c r="AE444" s="4"/>
      <c r="AF444" s="5"/>
      <c r="AG444" s="428"/>
    </row>
    <row r="445" spans="2:33" hidden="1" x14ac:dyDescent="0.25">
      <c r="B445" s="1" t="s">
        <v>2529</v>
      </c>
      <c r="C445" s="3" t="s">
        <v>1368</v>
      </c>
      <c r="D445" s="3" t="s">
        <v>1247</v>
      </c>
      <c r="E445" s="407" t="s">
        <v>1374</v>
      </c>
      <c r="F445" s="3" t="s">
        <v>1842</v>
      </c>
      <c r="G445" s="407" t="s">
        <v>4495</v>
      </c>
      <c r="H445" s="440" t="s">
        <v>4109</v>
      </c>
      <c r="I445" s="407" t="s">
        <v>4316</v>
      </c>
      <c r="J445" s="407" t="s">
        <v>3757</v>
      </c>
      <c r="K445" s="387" t="s">
        <v>4665</v>
      </c>
      <c r="L445" s="387">
        <v>2</v>
      </c>
      <c r="M445" s="387">
        <v>0</v>
      </c>
      <c r="N445" s="387">
        <f t="shared" si="73"/>
        <v>2</v>
      </c>
      <c r="O445" s="442">
        <f t="shared" si="74"/>
        <v>2.0000000000000004</v>
      </c>
      <c r="P445" s="387" t="s">
        <v>1358</v>
      </c>
      <c r="Q445" s="459">
        <v>52</v>
      </c>
      <c r="R445" s="459"/>
      <c r="S445" s="456">
        <v>0</v>
      </c>
      <c r="T445" s="456">
        <v>52</v>
      </c>
      <c r="U445" s="410"/>
      <c r="V445" s="411">
        <v>1</v>
      </c>
      <c r="W445" s="411">
        <v>1</v>
      </c>
      <c r="X445" s="411">
        <v>1</v>
      </c>
      <c r="Y445" s="411"/>
      <c r="Z445" s="411"/>
      <c r="AA445" s="412">
        <f t="shared" si="75"/>
        <v>1.0000000000000002</v>
      </c>
      <c r="AB445" s="456">
        <f t="shared" si="76"/>
        <v>52.000000000000007</v>
      </c>
      <c r="AC445" s="456">
        <v>0</v>
      </c>
      <c r="AD445" s="2"/>
      <c r="AE445" s="4"/>
      <c r="AF445" s="5"/>
      <c r="AG445" s="428"/>
    </row>
    <row r="446" spans="2:33" hidden="1" x14ac:dyDescent="0.25">
      <c r="B446" s="1" t="s">
        <v>2530</v>
      </c>
      <c r="C446" s="3" t="s">
        <v>1368</v>
      </c>
      <c r="D446" s="3" t="s">
        <v>1247</v>
      </c>
      <c r="E446" s="407" t="s">
        <v>1377</v>
      </c>
      <c r="F446" s="3" t="s">
        <v>1843</v>
      </c>
      <c r="G446" s="407" t="s">
        <v>4494</v>
      </c>
      <c r="H446" s="440" t="s">
        <v>4109</v>
      </c>
      <c r="I446" s="407" t="s">
        <v>4315</v>
      </c>
      <c r="J446" s="407" t="s">
        <v>3749</v>
      </c>
      <c r="K446" s="387" t="s">
        <v>4648</v>
      </c>
      <c r="L446" s="387">
        <v>1</v>
      </c>
      <c r="M446" s="387">
        <v>0</v>
      </c>
      <c r="N446" s="387">
        <f t="shared" si="73"/>
        <v>1</v>
      </c>
      <c r="O446" s="442">
        <f t="shared" si="74"/>
        <v>1.0000000000000002</v>
      </c>
      <c r="P446" s="387" t="s">
        <v>1358</v>
      </c>
      <c r="Q446" s="459">
        <v>0</v>
      </c>
      <c r="R446" s="459"/>
      <c r="S446" s="456">
        <v>0</v>
      </c>
      <c r="T446" s="456">
        <v>25.07</v>
      </c>
      <c r="U446" s="410"/>
      <c r="V446" s="411">
        <v>1</v>
      </c>
      <c r="W446" s="411">
        <v>1</v>
      </c>
      <c r="X446" s="411">
        <v>1</v>
      </c>
      <c r="Y446" s="411"/>
      <c r="Z446" s="411"/>
      <c r="AA446" s="412">
        <f t="shared" si="75"/>
        <v>1.0000000000000002</v>
      </c>
      <c r="AB446" s="456">
        <f t="shared" si="76"/>
        <v>25.070000000000004</v>
      </c>
      <c r="AC446" s="456">
        <v>0</v>
      </c>
      <c r="AD446" s="2"/>
      <c r="AE446" s="4"/>
      <c r="AF446" s="5"/>
      <c r="AG446" s="428"/>
    </row>
    <row r="447" spans="2:33" hidden="1" x14ac:dyDescent="0.25">
      <c r="B447" s="1" t="s">
        <v>2531</v>
      </c>
      <c r="C447" s="3" t="s">
        <v>1368</v>
      </c>
      <c r="D447" s="3" t="s">
        <v>1247</v>
      </c>
      <c r="E447" s="407" t="s">
        <v>1379</v>
      </c>
      <c r="F447" s="3" t="s">
        <v>1844</v>
      </c>
      <c r="G447" s="407" t="s">
        <v>4502</v>
      </c>
      <c r="H447" s="440" t="s">
        <v>4109</v>
      </c>
      <c r="I447" s="407" t="s">
        <v>4323</v>
      </c>
      <c r="J447" s="407" t="s">
        <v>3750</v>
      </c>
      <c r="K447" s="387" t="s">
        <v>4632</v>
      </c>
      <c r="L447" s="387">
        <v>2</v>
      </c>
      <c r="M447" s="387">
        <v>0</v>
      </c>
      <c r="N447" s="387">
        <f t="shared" si="73"/>
        <v>2</v>
      </c>
      <c r="O447" s="442">
        <f t="shared" si="74"/>
        <v>2.0000000000000004</v>
      </c>
      <c r="P447" s="387" t="s">
        <v>1358</v>
      </c>
      <c r="Q447" s="459">
        <v>0</v>
      </c>
      <c r="R447" s="459"/>
      <c r="S447" s="456">
        <v>0</v>
      </c>
      <c r="T447" s="456">
        <v>50.14</v>
      </c>
      <c r="U447" s="410"/>
      <c r="V447" s="411">
        <v>1</v>
      </c>
      <c r="W447" s="411">
        <v>1</v>
      </c>
      <c r="X447" s="411">
        <v>1</v>
      </c>
      <c r="Y447" s="411"/>
      <c r="Z447" s="411"/>
      <c r="AA447" s="412">
        <f t="shared" si="75"/>
        <v>1.0000000000000002</v>
      </c>
      <c r="AB447" s="456">
        <f t="shared" si="76"/>
        <v>50.140000000000008</v>
      </c>
      <c r="AC447" s="456">
        <v>0</v>
      </c>
      <c r="AD447" s="2"/>
      <c r="AE447" s="4"/>
      <c r="AF447" s="5"/>
      <c r="AG447" s="428"/>
    </row>
    <row r="448" spans="2:33" hidden="1" x14ac:dyDescent="0.25">
      <c r="B448" s="1" t="s">
        <v>2532</v>
      </c>
      <c r="C448" s="3" t="s">
        <v>1368</v>
      </c>
      <c r="D448" s="3" t="s">
        <v>1247</v>
      </c>
      <c r="E448" s="407" t="s">
        <v>1381</v>
      </c>
      <c r="F448" s="3" t="s">
        <v>1845</v>
      </c>
      <c r="G448" s="407" t="s">
        <v>4497</v>
      </c>
      <c r="H448" s="440" t="s">
        <v>4109</v>
      </c>
      <c r="I448" s="407" t="s">
        <v>4318</v>
      </c>
      <c r="J448" s="407" t="s">
        <v>3751</v>
      </c>
      <c r="K448" s="387" t="s">
        <v>4631</v>
      </c>
      <c r="L448" s="387">
        <v>2</v>
      </c>
      <c r="M448" s="387">
        <v>0</v>
      </c>
      <c r="N448" s="387">
        <f t="shared" si="73"/>
        <v>2</v>
      </c>
      <c r="O448" s="442">
        <f t="shared" si="74"/>
        <v>2.0000000000000004</v>
      </c>
      <c r="P448" s="387" t="s">
        <v>1358</v>
      </c>
      <c r="Q448" s="459">
        <v>0</v>
      </c>
      <c r="R448" s="459"/>
      <c r="S448" s="456">
        <v>0</v>
      </c>
      <c r="T448" s="456">
        <v>50.14</v>
      </c>
      <c r="U448" s="410"/>
      <c r="V448" s="411">
        <v>1</v>
      </c>
      <c r="W448" s="411">
        <v>1</v>
      </c>
      <c r="X448" s="411">
        <v>1</v>
      </c>
      <c r="Y448" s="411"/>
      <c r="Z448" s="411"/>
      <c r="AA448" s="412">
        <f t="shared" si="75"/>
        <v>1.0000000000000002</v>
      </c>
      <c r="AB448" s="456">
        <f t="shared" si="76"/>
        <v>50.140000000000008</v>
      </c>
      <c r="AC448" s="456">
        <v>0</v>
      </c>
      <c r="AD448" s="2"/>
      <c r="AE448" s="4"/>
      <c r="AF448" s="5"/>
      <c r="AG448" s="428"/>
    </row>
    <row r="449" spans="2:33" hidden="1" x14ac:dyDescent="0.25">
      <c r="B449" s="1" t="s">
        <v>2533</v>
      </c>
      <c r="C449" s="3" t="s">
        <v>1368</v>
      </c>
      <c r="D449" s="3" t="s">
        <v>1247</v>
      </c>
      <c r="E449" s="407" t="s">
        <v>1396</v>
      </c>
      <c r="F449" s="3" t="s">
        <v>1846</v>
      </c>
      <c r="G449" s="407" t="s">
        <v>4498</v>
      </c>
      <c r="H449" s="440" t="s">
        <v>4109</v>
      </c>
      <c r="I449" s="407" t="s">
        <v>4319</v>
      </c>
      <c r="J449" s="407" t="s">
        <v>3752</v>
      </c>
      <c r="K449" s="387" t="s">
        <v>4652</v>
      </c>
      <c r="L449" s="387">
        <v>2</v>
      </c>
      <c r="M449" s="387">
        <v>0</v>
      </c>
      <c r="N449" s="387">
        <f t="shared" si="73"/>
        <v>2</v>
      </c>
      <c r="O449" s="442">
        <f t="shared" si="74"/>
        <v>2.0000000000000004</v>
      </c>
      <c r="P449" s="387" t="s">
        <v>1358</v>
      </c>
      <c r="Q449" s="459">
        <v>0</v>
      </c>
      <c r="R449" s="459"/>
      <c r="S449" s="456">
        <v>0</v>
      </c>
      <c r="T449" s="456">
        <v>50.14</v>
      </c>
      <c r="U449" s="410"/>
      <c r="V449" s="411">
        <v>1</v>
      </c>
      <c r="W449" s="411">
        <v>1</v>
      </c>
      <c r="X449" s="411">
        <v>1</v>
      </c>
      <c r="Y449" s="411"/>
      <c r="Z449" s="411"/>
      <c r="AA449" s="412">
        <f t="shared" si="75"/>
        <v>1.0000000000000002</v>
      </c>
      <c r="AB449" s="456">
        <f t="shared" si="76"/>
        <v>50.140000000000008</v>
      </c>
      <c r="AC449" s="456">
        <v>0</v>
      </c>
      <c r="AD449" s="2"/>
      <c r="AE449" s="4"/>
      <c r="AF449" s="5"/>
      <c r="AG449" s="428"/>
    </row>
    <row r="450" spans="2:33" hidden="1" x14ac:dyDescent="0.25">
      <c r="B450" s="1" t="s">
        <v>2534</v>
      </c>
      <c r="C450" s="3" t="s">
        <v>1368</v>
      </c>
      <c r="D450" s="3" t="s">
        <v>1247</v>
      </c>
      <c r="E450" s="407" t="s">
        <v>1399</v>
      </c>
      <c r="F450" s="3" t="s">
        <v>1847</v>
      </c>
      <c r="G450" s="407" t="s">
        <v>4499</v>
      </c>
      <c r="H450" s="440" t="s">
        <v>4109</v>
      </c>
      <c r="I450" s="407" t="s">
        <v>4320</v>
      </c>
      <c r="J450" s="407" t="s">
        <v>3758</v>
      </c>
      <c r="K450" s="387" t="s">
        <v>4653</v>
      </c>
      <c r="L450" s="387">
        <v>2</v>
      </c>
      <c r="M450" s="387">
        <v>0</v>
      </c>
      <c r="N450" s="387">
        <f t="shared" si="73"/>
        <v>2</v>
      </c>
      <c r="O450" s="442">
        <f t="shared" si="74"/>
        <v>2.0000000000000004</v>
      </c>
      <c r="P450" s="387" t="s">
        <v>1358</v>
      </c>
      <c r="Q450" s="459">
        <v>0</v>
      </c>
      <c r="R450" s="459"/>
      <c r="S450" s="456">
        <v>0</v>
      </c>
      <c r="T450" s="456">
        <v>50.14</v>
      </c>
      <c r="U450" s="410"/>
      <c r="V450" s="411">
        <v>1</v>
      </c>
      <c r="W450" s="411">
        <v>1</v>
      </c>
      <c r="X450" s="411">
        <v>1</v>
      </c>
      <c r="Y450" s="411"/>
      <c r="Z450" s="411"/>
      <c r="AA450" s="412">
        <f t="shared" si="75"/>
        <v>1.0000000000000002</v>
      </c>
      <c r="AB450" s="456">
        <f t="shared" si="76"/>
        <v>50.140000000000008</v>
      </c>
      <c r="AC450" s="456">
        <v>0</v>
      </c>
      <c r="AD450" s="2"/>
      <c r="AE450" s="4"/>
      <c r="AF450" s="5"/>
      <c r="AG450" s="428"/>
    </row>
    <row r="451" spans="2:33" hidden="1" x14ac:dyDescent="0.25">
      <c r="B451" s="1" t="s">
        <v>2535</v>
      </c>
      <c r="C451" s="3" t="s">
        <v>1368</v>
      </c>
      <c r="D451" s="3" t="s">
        <v>1247</v>
      </c>
      <c r="E451" s="407" t="s">
        <v>1400</v>
      </c>
      <c r="F451" s="3" t="s">
        <v>1848</v>
      </c>
      <c r="G451" s="407" t="s">
        <v>4477</v>
      </c>
      <c r="H451" s="440" t="s">
        <v>4109</v>
      </c>
      <c r="I451" s="407" t="s">
        <v>4298</v>
      </c>
      <c r="J451" s="407" t="s">
        <v>3779</v>
      </c>
      <c r="K451" s="387" t="s">
        <v>4656</v>
      </c>
      <c r="L451" s="387">
        <v>2</v>
      </c>
      <c r="M451" s="387">
        <v>0</v>
      </c>
      <c r="N451" s="387">
        <f t="shared" si="73"/>
        <v>2</v>
      </c>
      <c r="O451" s="442">
        <f t="shared" si="74"/>
        <v>0</v>
      </c>
      <c r="P451" s="387" t="s">
        <v>1358</v>
      </c>
      <c r="Q451" s="459">
        <v>0</v>
      </c>
      <c r="R451" s="459"/>
      <c r="S451" s="456">
        <v>0</v>
      </c>
      <c r="T451" s="456">
        <v>50.14</v>
      </c>
      <c r="U451" s="410"/>
      <c r="V451" s="411">
        <v>0</v>
      </c>
      <c r="W451" s="411">
        <v>0</v>
      </c>
      <c r="X451" s="411">
        <v>0</v>
      </c>
      <c r="Y451" s="411"/>
      <c r="Z451" s="411"/>
      <c r="AA451" s="412">
        <f t="shared" si="75"/>
        <v>0</v>
      </c>
      <c r="AB451" s="456">
        <f t="shared" si="76"/>
        <v>0</v>
      </c>
      <c r="AC451" s="456">
        <v>0</v>
      </c>
      <c r="AD451" s="2"/>
      <c r="AE451" s="4"/>
      <c r="AF451" s="5"/>
      <c r="AG451" s="428"/>
    </row>
    <row r="452" spans="2:33" hidden="1" x14ac:dyDescent="0.25">
      <c r="B452" s="1" t="s">
        <v>2536</v>
      </c>
      <c r="C452" s="3" t="s">
        <v>1368</v>
      </c>
      <c r="D452" s="3" t="s">
        <v>1247</v>
      </c>
      <c r="E452" s="407" t="s">
        <v>3294</v>
      </c>
      <c r="F452" s="3" t="s">
        <v>1849</v>
      </c>
      <c r="G452" s="407" t="s">
        <v>4500</v>
      </c>
      <c r="H452" s="440" t="s">
        <v>4109</v>
      </c>
      <c r="I452" s="407" t="s">
        <v>4321</v>
      </c>
      <c r="J452" s="407" t="s">
        <v>3755</v>
      </c>
      <c r="K452" s="387" t="s">
        <v>4654</v>
      </c>
      <c r="L452" s="387">
        <v>1</v>
      </c>
      <c r="M452" s="387">
        <v>0</v>
      </c>
      <c r="N452" s="387">
        <f t="shared" si="73"/>
        <v>1</v>
      </c>
      <c r="O452" s="442">
        <f t="shared" si="74"/>
        <v>1</v>
      </c>
      <c r="P452" s="387" t="s">
        <v>1358</v>
      </c>
      <c r="Q452" s="459">
        <v>0</v>
      </c>
      <c r="R452" s="459"/>
      <c r="S452" s="456">
        <v>0</v>
      </c>
      <c r="T452" s="456">
        <v>26.602</v>
      </c>
      <c r="U452" s="410"/>
      <c r="V452" s="411">
        <v>1</v>
      </c>
      <c r="W452" s="411">
        <v>1</v>
      </c>
      <c r="X452" s="411">
        <v>1</v>
      </c>
      <c r="Y452" s="411"/>
      <c r="Z452" s="411"/>
      <c r="AA452" s="412">
        <f t="shared" si="75"/>
        <v>1</v>
      </c>
      <c r="AB452" s="456">
        <f t="shared" si="76"/>
        <v>26.602</v>
      </c>
      <c r="AC452" s="456">
        <v>0</v>
      </c>
      <c r="AD452" s="2"/>
      <c r="AE452" s="4"/>
      <c r="AF452" s="5"/>
      <c r="AG452" s="428"/>
    </row>
    <row r="453" spans="2:33" hidden="1" x14ac:dyDescent="0.25">
      <c r="B453" s="1" t="s">
        <v>2537</v>
      </c>
      <c r="C453" s="3" t="s">
        <v>1368</v>
      </c>
      <c r="D453" s="3" t="s">
        <v>1247</v>
      </c>
      <c r="E453" s="407" t="s">
        <v>1374</v>
      </c>
      <c r="F453" s="3" t="s">
        <v>1850</v>
      </c>
      <c r="G453" s="407" t="s">
        <v>4495</v>
      </c>
      <c r="H453" s="440" t="s">
        <v>4109</v>
      </c>
      <c r="I453" s="407" t="s">
        <v>4316</v>
      </c>
      <c r="J453" s="407" t="s">
        <v>3757</v>
      </c>
      <c r="K453" s="387" t="s">
        <v>4665</v>
      </c>
      <c r="L453" s="387">
        <v>2</v>
      </c>
      <c r="M453" s="387">
        <v>0</v>
      </c>
      <c r="N453" s="387">
        <f t="shared" si="73"/>
        <v>2</v>
      </c>
      <c r="O453" s="442">
        <f t="shared" si="74"/>
        <v>2</v>
      </c>
      <c r="P453" s="387" t="s">
        <v>1358</v>
      </c>
      <c r="Q453" s="459">
        <v>0</v>
      </c>
      <c r="R453" s="459"/>
      <c r="S453" s="456">
        <v>0</v>
      </c>
      <c r="T453" s="456">
        <v>50.14</v>
      </c>
      <c r="U453" s="410"/>
      <c r="V453" s="411">
        <v>1</v>
      </c>
      <c r="W453" s="411">
        <v>0.1</v>
      </c>
      <c r="X453" s="411">
        <v>1</v>
      </c>
      <c r="Y453" s="411"/>
      <c r="Z453" s="411"/>
      <c r="AA453" s="412">
        <f t="shared" si="75"/>
        <v>1</v>
      </c>
      <c r="AB453" s="456">
        <v>50.14</v>
      </c>
      <c r="AC453" s="456">
        <v>0</v>
      </c>
      <c r="AD453" s="2"/>
      <c r="AE453" s="4"/>
      <c r="AF453" s="5"/>
      <c r="AG453" s="428"/>
    </row>
    <row r="454" spans="2:33" hidden="1" x14ac:dyDescent="0.25">
      <c r="B454" s="1" t="s">
        <v>2538</v>
      </c>
      <c r="C454" s="3" t="s">
        <v>1368</v>
      </c>
      <c r="D454" s="3" t="s">
        <v>1247</v>
      </c>
      <c r="E454" s="407" t="s">
        <v>1377</v>
      </c>
      <c r="F454" s="3" t="s">
        <v>1851</v>
      </c>
      <c r="G454" s="407" t="s">
        <v>4494</v>
      </c>
      <c r="H454" s="440" t="s">
        <v>4109</v>
      </c>
      <c r="I454" s="407" t="s">
        <v>4315</v>
      </c>
      <c r="J454" s="407" t="s">
        <v>3749</v>
      </c>
      <c r="K454" s="387" t="s">
        <v>4648</v>
      </c>
      <c r="L454" s="387">
        <v>1</v>
      </c>
      <c r="M454" s="387">
        <v>0</v>
      </c>
      <c r="N454" s="387">
        <f t="shared" si="73"/>
        <v>1</v>
      </c>
      <c r="O454" s="442">
        <f t="shared" si="74"/>
        <v>1.0000000000000002</v>
      </c>
      <c r="P454" s="387" t="s">
        <v>1358</v>
      </c>
      <c r="Q454" s="459">
        <v>0</v>
      </c>
      <c r="R454" s="459"/>
      <c r="S454" s="456">
        <v>0</v>
      </c>
      <c r="T454" s="456">
        <v>25.85</v>
      </c>
      <c r="U454" s="410"/>
      <c r="V454" s="411">
        <v>1</v>
      </c>
      <c r="W454" s="411">
        <v>1</v>
      </c>
      <c r="X454" s="411">
        <v>1</v>
      </c>
      <c r="Y454" s="411"/>
      <c r="Z454" s="411"/>
      <c r="AA454" s="412">
        <f t="shared" si="75"/>
        <v>1.0000000000000002</v>
      </c>
      <c r="AB454" s="456">
        <f t="shared" si="76"/>
        <v>25.850000000000005</v>
      </c>
      <c r="AC454" s="456">
        <v>0</v>
      </c>
      <c r="AD454" s="2"/>
      <c r="AE454" s="4"/>
      <c r="AF454" s="5"/>
      <c r="AG454" s="428"/>
    </row>
    <row r="455" spans="2:33" hidden="1" x14ac:dyDescent="0.25">
      <c r="B455" s="1" t="s">
        <v>2539</v>
      </c>
      <c r="C455" s="3" t="s">
        <v>1368</v>
      </c>
      <c r="D455" s="3" t="s">
        <v>1247</v>
      </c>
      <c r="E455" s="407" t="s">
        <v>1402</v>
      </c>
      <c r="F455" s="3" t="s">
        <v>1852</v>
      </c>
      <c r="G455" s="407" t="s">
        <v>4481</v>
      </c>
      <c r="H455" s="440" t="s">
        <v>4109</v>
      </c>
      <c r="I455" s="407" t="s">
        <v>4302</v>
      </c>
      <c r="J455" s="407" t="s">
        <v>3783</v>
      </c>
      <c r="K455" s="387" t="s">
        <v>4659</v>
      </c>
      <c r="L455" s="387">
        <v>1</v>
      </c>
      <c r="M455" s="387">
        <v>0</v>
      </c>
      <c r="N455" s="387">
        <f t="shared" si="73"/>
        <v>1</v>
      </c>
      <c r="O455" s="442">
        <f t="shared" si="74"/>
        <v>0</v>
      </c>
      <c r="P455" s="387" t="s">
        <v>1358</v>
      </c>
      <c r="Q455" s="459">
        <v>0</v>
      </c>
      <c r="R455" s="459"/>
      <c r="S455" s="456">
        <v>0</v>
      </c>
      <c r="T455" s="456">
        <v>25.85</v>
      </c>
      <c r="U455" s="410"/>
      <c r="V455" s="411">
        <v>0</v>
      </c>
      <c r="W455" s="411">
        <v>0</v>
      </c>
      <c r="X455" s="411">
        <v>0</v>
      </c>
      <c r="Y455" s="411"/>
      <c r="Z455" s="411"/>
      <c r="AA455" s="412">
        <f t="shared" si="75"/>
        <v>0</v>
      </c>
      <c r="AB455" s="456">
        <f t="shared" si="76"/>
        <v>0</v>
      </c>
      <c r="AC455" s="456">
        <v>0</v>
      </c>
      <c r="AD455" s="2"/>
      <c r="AE455" s="4"/>
      <c r="AF455" s="5"/>
      <c r="AG455" s="428"/>
    </row>
    <row r="456" spans="2:33" hidden="1" x14ac:dyDescent="0.25">
      <c r="B456" s="1" t="s">
        <v>2540</v>
      </c>
      <c r="C456" s="3" t="s">
        <v>1368</v>
      </c>
      <c r="D456" s="3" t="s">
        <v>1247</v>
      </c>
      <c r="E456" s="407" t="s">
        <v>3546</v>
      </c>
      <c r="F456" s="3" t="s">
        <v>1853</v>
      </c>
      <c r="G456" s="407" t="s">
        <v>4482</v>
      </c>
      <c r="H456" s="440" t="s">
        <v>4109</v>
      </c>
      <c r="I456" s="407" t="s">
        <v>4303</v>
      </c>
      <c r="J456" s="407" t="s">
        <v>3784</v>
      </c>
      <c r="K456" s="387" t="s">
        <v>4660</v>
      </c>
      <c r="L456" s="387">
        <v>1</v>
      </c>
      <c r="M456" s="387">
        <v>0</v>
      </c>
      <c r="N456" s="387">
        <f t="shared" si="73"/>
        <v>1</v>
      </c>
      <c r="O456" s="442">
        <f t="shared" si="74"/>
        <v>0</v>
      </c>
      <c r="P456" s="387" t="s">
        <v>1358</v>
      </c>
      <c r="Q456" s="459">
        <v>0</v>
      </c>
      <c r="R456" s="459"/>
      <c r="S456" s="456">
        <v>0</v>
      </c>
      <c r="T456" s="456">
        <v>25.85</v>
      </c>
      <c r="U456" s="410"/>
      <c r="V456" s="411">
        <v>0</v>
      </c>
      <c r="W456" s="411">
        <v>0</v>
      </c>
      <c r="X456" s="411">
        <v>0</v>
      </c>
      <c r="Y456" s="411"/>
      <c r="Z456" s="411"/>
      <c r="AA456" s="412">
        <f t="shared" si="75"/>
        <v>0</v>
      </c>
      <c r="AB456" s="456">
        <f t="shared" si="76"/>
        <v>0</v>
      </c>
      <c r="AC456" s="456">
        <v>0</v>
      </c>
      <c r="AD456" s="2"/>
      <c r="AE456" s="4"/>
      <c r="AF456" s="5"/>
      <c r="AG456" s="428"/>
    </row>
    <row r="457" spans="2:33" hidden="1" x14ac:dyDescent="0.25">
      <c r="B457" s="1" t="s">
        <v>2541</v>
      </c>
      <c r="C457" s="3" t="s">
        <v>1368</v>
      </c>
      <c r="D457" s="3" t="s">
        <v>1247</v>
      </c>
      <c r="E457" s="407" t="s">
        <v>3547</v>
      </c>
      <c r="F457" s="3" t="s">
        <v>1854</v>
      </c>
      <c r="G457" s="407" t="s">
        <v>4501</v>
      </c>
      <c r="H457" s="440" t="s">
        <v>4109</v>
      </c>
      <c r="I457" s="407" t="s">
        <v>4322</v>
      </c>
      <c r="J457" s="407" t="s">
        <v>3797</v>
      </c>
      <c r="K457" s="387" t="s">
        <v>4655</v>
      </c>
      <c r="L457" s="387">
        <v>1</v>
      </c>
      <c r="M457" s="387">
        <v>0</v>
      </c>
      <c r="N457" s="387">
        <f t="shared" si="73"/>
        <v>1</v>
      </c>
      <c r="O457" s="442">
        <f t="shared" si="74"/>
        <v>0</v>
      </c>
      <c r="P457" s="387" t="s">
        <v>1358</v>
      </c>
      <c r="Q457" s="459">
        <v>0</v>
      </c>
      <c r="R457" s="459"/>
      <c r="S457" s="456">
        <v>0</v>
      </c>
      <c r="T457" s="456">
        <v>25.85</v>
      </c>
      <c r="U457" s="410"/>
      <c r="V457" s="411">
        <v>0</v>
      </c>
      <c r="W457" s="411">
        <v>0</v>
      </c>
      <c r="X457" s="411">
        <v>0</v>
      </c>
      <c r="Y457" s="411"/>
      <c r="Z457" s="411"/>
      <c r="AA457" s="412">
        <f t="shared" si="75"/>
        <v>0</v>
      </c>
      <c r="AB457" s="456">
        <f t="shared" si="76"/>
        <v>0</v>
      </c>
      <c r="AC457" s="456">
        <v>0</v>
      </c>
      <c r="AD457" s="2"/>
      <c r="AE457" s="4"/>
      <c r="AF457" s="5"/>
      <c r="AG457" s="428"/>
    </row>
    <row r="458" spans="2:33" hidden="1" x14ac:dyDescent="0.25">
      <c r="B458" s="1" t="s">
        <v>2542</v>
      </c>
      <c r="C458" s="3" t="s">
        <v>1368</v>
      </c>
      <c r="D458" s="3" t="s">
        <v>1247</v>
      </c>
      <c r="E458" s="407" t="s">
        <v>1401</v>
      </c>
      <c r="F458" s="3" t="s">
        <v>1855</v>
      </c>
      <c r="G458" s="407" t="s">
        <v>4478</v>
      </c>
      <c r="H458" s="440" t="s">
        <v>4109</v>
      </c>
      <c r="I458" s="407" t="s">
        <v>4299</v>
      </c>
      <c r="J458" s="407" t="s">
        <v>3780</v>
      </c>
      <c r="K458" s="387" t="s">
        <v>4657</v>
      </c>
      <c r="L458" s="387">
        <v>1</v>
      </c>
      <c r="M458" s="387">
        <v>0</v>
      </c>
      <c r="N458" s="387">
        <f t="shared" si="73"/>
        <v>1</v>
      </c>
      <c r="O458" s="442">
        <f t="shared" si="74"/>
        <v>0</v>
      </c>
      <c r="P458" s="387" t="s">
        <v>1358</v>
      </c>
      <c r="Q458" s="459">
        <v>0</v>
      </c>
      <c r="R458" s="459"/>
      <c r="S458" s="456">
        <v>0</v>
      </c>
      <c r="T458" s="456">
        <v>25.07</v>
      </c>
      <c r="U458" s="410"/>
      <c r="V458" s="411">
        <v>0</v>
      </c>
      <c r="W458" s="411">
        <v>0</v>
      </c>
      <c r="X458" s="411">
        <v>0</v>
      </c>
      <c r="Y458" s="411"/>
      <c r="Z458" s="411"/>
      <c r="AA458" s="412">
        <f t="shared" si="75"/>
        <v>0</v>
      </c>
      <c r="AB458" s="456">
        <f t="shared" si="76"/>
        <v>0</v>
      </c>
      <c r="AC458" s="456">
        <v>0</v>
      </c>
      <c r="AD458" s="2"/>
      <c r="AE458" s="4"/>
      <c r="AF458" s="5"/>
      <c r="AG458" s="428"/>
    </row>
    <row r="459" spans="2:33" hidden="1" x14ac:dyDescent="0.25">
      <c r="B459" s="1" t="s">
        <v>2543</v>
      </c>
      <c r="C459" s="3" t="s">
        <v>1368</v>
      </c>
      <c r="D459" s="3" t="s">
        <v>1247</v>
      </c>
      <c r="E459" s="407" t="s">
        <v>1381</v>
      </c>
      <c r="F459" s="3" t="s">
        <v>1856</v>
      </c>
      <c r="G459" s="407" t="s">
        <v>4497</v>
      </c>
      <c r="H459" s="440" t="s">
        <v>4109</v>
      </c>
      <c r="I459" s="407" t="s">
        <v>4318</v>
      </c>
      <c r="J459" s="407" t="s">
        <v>3751</v>
      </c>
      <c r="K459" s="387" t="s">
        <v>4631</v>
      </c>
      <c r="L459" s="387">
        <v>1</v>
      </c>
      <c r="M459" s="387">
        <v>0</v>
      </c>
      <c r="N459" s="387">
        <f t="shared" si="73"/>
        <v>1</v>
      </c>
      <c r="O459" s="442">
        <f t="shared" si="74"/>
        <v>0.99999999999999978</v>
      </c>
      <c r="P459" s="387" t="s">
        <v>1358</v>
      </c>
      <c r="Q459" s="459">
        <v>0</v>
      </c>
      <c r="R459" s="459"/>
      <c r="S459" s="456">
        <v>0</v>
      </c>
      <c r="T459" s="456">
        <v>19.382999999999999</v>
      </c>
      <c r="U459" s="410"/>
      <c r="V459" s="411">
        <v>1</v>
      </c>
      <c r="W459" s="411">
        <v>1</v>
      </c>
      <c r="X459" s="411">
        <v>1</v>
      </c>
      <c r="Y459" s="411"/>
      <c r="Z459" s="411"/>
      <c r="AA459" s="412">
        <f t="shared" si="75"/>
        <v>0.99999999999999978</v>
      </c>
      <c r="AB459" s="456">
        <f t="shared" si="76"/>
        <v>19.382999999999996</v>
      </c>
      <c r="AC459" s="456">
        <v>0</v>
      </c>
      <c r="AD459" s="2"/>
      <c r="AE459" s="4"/>
      <c r="AF459" s="5"/>
      <c r="AG459" s="428"/>
    </row>
    <row r="460" spans="2:33" hidden="1" x14ac:dyDescent="0.25">
      <c r="B460" s="1" t="s">
        <v>2544</v>
      </c>
      <c r="C460" s="3" t="s">
        <v>1368</v>
      </c>
      <c r="D460" s="3" t="s">
        <v>1247</v>
      </c>
      <c r="E460" s="407" t="s">
        <v>1396</v>
      </c>
      <c r="F460" s="3" t="s">
        <v>1857</v>
      </c>
      <c r="G460" s="407" t="s">
        <v>4498</v>
      </c>
      <c r="H460" s="440" t="s">
        <v>4109</v>
      </c>
      <c r="I460" s="407" t="s">
        <v>4319</v>
      </c>
      <c r="J460" s="407" t="s">
        <v>3752</v>
      </c>
      <c r="K460" s="387" t="s">
        <v>4652</v>
      </c>
      <c r="L460" s="387">
        <v>1</v>
      </c>
      <c r="M460" s="387">
        <v>0</v>
      </c>
      <c r="N460" s="387">
        <f t="shared" si="73"/>
        <v>1</v>
      </c>
      <c r="O460" s="442">
        <f t="shared" si="74"/>
        <v>1</v>
      </c>
      <c r="P460" s="387" t="s">
        <v>1358</v>
      </c>
      <c r="Q460" s="459">
        <v>0</v>
      </c>
      <c r="R460" s="459"/>
      <c r="S460" s="456">
        <v>0</v>
      </c>
      <c r="T460" s="456">
        <v>18.782</v>
      </c>
      <c r="U460" s="410"/>
      <c r="V460" s="411">
        <v>1</v>
      </c>
      <c r="W460" s="411">
        <v>1</v>
      </c>
      <c r="X460" s="411">
        <v>1</v>
      </c>
      <c r="Y460" s="411"/>
      <c r="Z460" s="411"/>
      <c r="AA460" s="412">
        <f t="shared" si="75"/>
        <v>1</v>
      </c>
      <c r="AB460" s="456">
        <f t="shared" si="76"/>
        <v>18.782</v>
      </c>
      <c r="AC460" s="456">
        <v>0</v>
      </c>
      <c r="AD460" s="2"/>
      <c r="AE460" s="4"/>
      <c r="AF460" s="5"/>
      <c r="AG460" s="428"/>
    </row>
    <row r="461" spans="2:33" hidden="1" x14ac:dyDescent="0.25">
      <c r="B461" s="1" t="s">
        <v>2545</v>
      </c>
      <c r="C461" s="3" t="s">
        <v>1368</v>
      </c>
      <c r="D461" s="3" t="s">
        <v>1247</v>
      </c>
      <c r="E461" s="407" t="s">
        <v>3294</v>
      </c>
      <c r="F461" s="3" t="s">
        <v>1858</v>
      </c>
      <c r="G461" s="407" t="s">
        <v>4500</v>
      </c>
      <c r="H461" s="440" t="s">
        <v>4109</v>
      </c>
      <c r="I461" s="407" t="s">
        <v>4321</v>
      </c>
      <c r="J461" s="407" t="s">
        <v>3755</v>
      </c>
      <c r="K461" s="387" t="s">
        <v>4870</v>
      </c>
      <c r="L461" s="387">
        <v>2</v>
      </c>
      <c r="M461" s="387">
        <v>0</v>
      </c>
      <c r="N461" s="387">
        <f t="shared" si="73"/>
        <v>2</v>
      </c>
      <c r="O461" s="442">
        <f t="shared" si="74"/>
        <v>2</v>
      </c>
      <c r="P461" s="387" t="s">
        <v>1358</v>
      </c>
      <c r="Q461" s="459">
        <v>0</v>
      </c>
      <c r="R461" s="459"/>
      <c r="S461" s="456">
        <v>0</v>
      </c>
      <c r="T461" s="456">
        <v>37.6</v>
      </c>
      <c r="U461" s="410"/>
      <c r="V461" s="411">
        <v>1</v>
      </c>
      <c r="W461" s="411">
        <v>1</v>
      </c>
      <c r="X461" s="411">
        <v>1</v>
      </c>
      <c r="Y461" s="411"/>
      <c r="Z461" s="411"/>
      <c r="AA461" s="412">
        <f t="shared" si="75"/>
        <v>1</v>
      </c>
      <c r="AB461" s="456">
        <f t="shared" si="76"/>
        <v>37.6</v>
      </c>
      <c r="AC461" s="456">
        <v>0</v>
      </c>
      <c r="AD461" s="2"/>
      <c r="AE461" s="4"/>
      <c r="AF461" s="5"/>
      <c r="AG461" s="428"/>
    </row>
    <row r="462" spans="2:33" hidden="1" x14ac:dyDescent="0.25">
      <c r="B462" s="1" t="s">
        <v>2546</v>
      </c>
      <c r="C462" s="3" t="s">
        <v>1368</v>
      </c>
      <c r="D462" s="3" t="s">
        <v>1247</v>
      </c>
      <c r="E462" s="407" t="s">
        <v>1374</v>
      </c>
      <c r="F462" s="3" t="s">
        <v>1859</v>
      </c>
      <c r="G462" s="407" t="s">
        <v>4495</v>
      </c>
      <c r="H462" s="440" t="s">
        <v>4109</v>
      </c>
      <c r="I462" s="407" t="s">
        <v>4316</v>
      </c>
      <c r="J462" s="407" t="s">
        <v>3757</v>
      </c>
      <c r="K462" s="387" t="s">
        <v>4665</v>
      </c>
      <c r="L462" s="387">
        <v>2</v>
      </c>
      <c r="M462" s="387">
        <v>0</v>
      </c>
      <c r="N462" s="387">
        <f t="shared" si="73"/>
        <v>2</v>
      </c>
      <c r="O462" s="442">
        <f t="shared" si="74"/>
        <v>2</v>
      </c>
      <c r="P462" s="387" t="s">
        <v>1358</v>
      </c>
      <c r="Q462" s="459">
        <v>0</v>
      </c>
      <c r="R462" s="459"/>
      <c r="S462" s="456">
        <v>0</v>
      </c>
      <c r="T462" s="456">
        <v>38.752000000000002</v>
      </c>
      <c r="U462" s="410"/>
      <c r="V462" s="411">
        <v>1</v>
      </c>
      <c r="W462" s="411">
        <v>1</v>
      </c>
      <c r="X462" s="411">
        <v>1</v>
      </c>
      <c r="Y462" s="411"/>
      <c r="Z462" s="411"/>
      <c r="AA462" s="412">
        <f t="shared" si="75"/>
        <v>1</v>
      </c>
      <c r="AB462" s="456">
        <f t="shared" si="76"/>
        <v>38.752000000000002</v>
      </c>
      <c r="AC462" s="456">
        <v>0</v>
      </c>
      <c r="AD462" s="2"/>
      <c r="AE462" s="4"/>
      <c r="AF462" s="5"/>
      <c r="AG462" s="428"/>
    </row>
    <row r="463" spans="2:33" hidden="1" x14ac:dyDescent="0.25">
      <c r="B463" s="1" t="s">
        <v>2547</v>
      </c>
      <c r="C463" s="3" t="s">
        <v>1368</v>
      </c>
      <c r="D463" s="3" t="s">
        <v>1247</v>
      </c>
      <c r="E463" s="407" t="s">
        <v>1377</v>
      </c>
      <c r="F463" s="3" t="s">
        <v>1860</v>
      </c>
      <c r="G463" s="407" t="s">
        <v>4494</v>
      </c>
      <c r="H463" s="440" t="s">
        <v>4109</v>
      </c>
      <c r="I463" s="407" t="s">
        <v>4315</v>
      </c>
      <c r="J463" s="407" t="s">
        <v>3749</v>
      </c>
      <c r="K463" s="387" t="s">
        <v>4648</v>
      </c>
      <c r="L463" s="387">
        <v>1</v>
      </c>
      <c r="M463" s="387">
        <v>0</v>
      </c>
      <c r="N463" s="387">
        <f t="shared" si="73"/>
        <v>1</v>
      </c>
      <c r="O463" s="442">
        <f t="shared" si="74"/>
        <v>1</v>
      </c>
      <c r="P463" s="387" t="s">
        <v>1358</v>
      </c>
      <c r="Q463" s="459">
        <v>0</v>
      </c>
      <c r="R463" s="459"/>
      <c r="S463" s="456">
        <v>0</v>
      </c>
      <c r="T463" s="456">
        <v>19.376000000000001</v>
      </c>
      <c r="U463" s="410"/>
      <c r="V463" s="411">
        <v>1</v>
      </c>
      <c r="W463" s="411">
        <v>1</v>
      </c>
      <c r="X463" s="411">
        <v>1</v>
      </c>
      <c r="Y463" s="411"/>
      <c r="Z463" s="411"/>
      <c r="AA463" s="412">
        <f t="shared" si="75"/>
        <v>1</v>
      </c>
      <c r="AB463" s="456">
        <f t="shared" si="76"/>
        <v>19.376000000000001</v>
      </c>
      <c r="AC463" s="456">
        <v>0</v>
      </c>
      <c r="AD463" s="2"/>
      <c r="AE463" s="4"/>
      <c r="AF463" s="5"/>
      <c r="AG463" s="428"/>
    </row>
    <row r="464" spans="2:33" hidden="1" x14ac:dyDescent="0.25">
      <c r="B464" s="1" t="s">
        <v>2548</v>
      </c>
      <c r="C464" s="3" t="s">
        <v>1368</v>
      </c>
      <c r="D464" s="3" t="s">
        <v>1247</v>
      </c>
      <c r="E464" s="407" t="s">
        <v>1379</v>
      </c>
      <c r="F464" s="3" t="s">
        <v>1861</v>
      </c>
      <c r="G464" s="407" t="s">
        <v>4502</v>
      </c>
      <c r="H464" s="440" t="s">
        <v>4109</v>
      </c>
      <c r="I464" s="407" t="s">
        <v>4323</v>
      </c>
      <c r="J464" s="407" t="s">
        <v>3750</v>
      </c>
      <c r="K464" s="387" t="s">
        <v>4632</v>
      </c>
      <c r="L464" s="387">
        <v>2</v>
      </c>
      <c r="M464" s="387">
        <v>0</v>
      </c>
      <c r="N464" s="387">
        <f t="shared" si="73"/>
        <v>2</v>
      </c>
      <c r="O464" s="442">
        <f t="shared" si="74"/>
        <v>2</v>
      </c>
      <c r="P464" s="387" t="s">
        <v>1358</v>
      </c>
      <c r="Q464" s="459">
        <v>0</v>
      </c>
      <c r="R464" s="459"/>
      <c r="S464" s="456">
        <v>0</v>
      </c>
      <c r="T464" s="456">
        <v>38.752000000000002</v>
      </c>
      <c r="U464" s="410"/>
      <c r="V464" s="411">
        <v>1</v>
      </c>
      <c r="W464" s="411">
        <v>1</v>
      </c>
      <c r="X464" s="411">
        <v>1</v>
      </c>
      <c r="Y464" s="411"/>
      <c r="Z464" s="411"/>
      <c r="AA464" s="412">
        <f t="shared" si="75"/>
        <v>1</v>
      </c>
      <c r="AB464" s="456">
        <f t="shared" si="76"/>
        <v>38.752000000000002</v>
      </c>
      <c r="AC464" s="456">
        <v>0</v>
      </c>
      <c r="AD464" s="2"/>
      <c r="AE464" s="4"/>
      <c r="AF464" s="5"/>
      <c r="AG464" s="428"/>
    </row>
    <row r="465" spans="2:33" hidden="1" x14ac:dyDescent="0.25">
      <c r="B465" s="1" t="s">
        <v>2549</v>
      </c>
      <c r="C465" s="3" t="s">
        <v>1368</v>
      </c>
      <c r="D465" s="3" t="s">
        <v>1247</v>
      </c>
      <c r="E465" s="407" t="s">
        <v>1381</v>
      </c>
      <c r="F465" s="3" t="s">
        <v>1862</v>
      </c>
      <c r="G465" s="407" t="s">
        <v>4497</v>
      </c>
      <c r="H465" s="440" t="s">
        <v>4109</v>
      </c>
      <c r="I465" s="407" t="s">
        <v>4318</v>
      </c>
      <c r="J465" s="407" t="s">
        <v>3751</v>
      </c>
      <c r="K465" s="387" t="s">
        <v>4631</v>
      </c>
      <c r="L465" s="387">
        <v>2</v>
      </c>
      <c r="M465" s="387">
        <v>0</v>
      </c>
      <c r="N465" s="387">
        <f t="shared" si="73"/>
        <v>2</v>
      </c>
      <c r="O465" s="442">
        <f t="shared" si="74"/>
        <v>2</v>
      </c>
      <c r="P465" s="387" t="s">
        <v>1358</v>
      </c>
      <c r="Q465" s="459">
        <v>0</v>
      </c>
      <c r="R465" s="459"/>
      <c r="S465" s="456">
        <v>0</v>
      </c>
      <c r="T465" s="456">
        <v>38.752000000000002</v>
      </c>
      <c r="U465" s="410"/>
      <c r="V465" s="411">
        <v>1</v>
      </c>
      <c r="W465" s="411">
        <v>1</v>
      </c>
      <c r="X465" s="411">
        <v>1</v>
      </c>
      <c r="Y465" s="411"/>
      <c r="Z465" s="411"/>
      <c r="AA465" s="412">
        <f t="shared" si="75"/>
        <v>1</v>
      </c>
      <c r="AB465" s="456">
        <f t="shared" si="76"/>
        <v>38.752000000000002</v>
      </c>
      <c r="AC465" s="456">
        <v>0</v>
      </c>
      <c r="AD465" s="2"/>
      <c r="AE465" s="4"/>
      <c r="AF465" s="5"/>
      <c r="AG465" s="428"/>
    </row>
    <row r="466" spans="2:33" hidden="1" x14ac:dyDescent="0.25">
      <c r="B466" s="1" t="s">
        <v>2550</v>
      </c>
      <c r="C466" s="3" t="s">
        <v>1368</v>
      </c>
      <c r="D466" s="3" t="s">
        <v>1247</v>
      </c>
      <c r="E466" s="407" t="s">
        <v>1396</v>
      </c>
      <c r="F466" s="3" t="s">
        <v>1863</v>
      </c>
      <c r="G466" s="407" t="s">
        <v>4498</v>
      </c>
      <c r="H466" s="440" t="s">
        <v>4109</v>
      </c>
      <c r="I466" s="407" t="s">
        <v>4319</v>
      </c>
      <c r="J466" s="407" t="s">
        <v>3752</v>
      </c>
      <c r="K466" s="387" t="s">
        <v>4652</v>
      </c>
      <c r="L466" s="387">
        <v>2</v>
      </c>
      <c r="M466" s="387">
        <v>0</v>
      </c>
      <c r="N466" s="387">
        <f t="shared" si="73"/>
        <v>2</v>
      </c>
      <c r="O466" s="442">
        <f t="shared" si="74"/>
        <v>1.9999999999999996</v>
      </c>
      <c r="P466" s="387" t="s">
        <v>1358</v>
      </c>
      <c r="Q466" s="459">
        <v>0</v>
      </c>
      <c r="R466" s="459"/>
      <c r="S466" s="456">
        <v>0</v>
      </c>
      <c r="T466" s="456">
        <v>38.765999999999998</v>
      </c>
      <c r="U466" s="410"/>
      <c r="V466" s="411">
        <v>1</v>
      </c>
      <c r="W466" s="411">
        <v>1</v>
      </c>
      <c r="X466" s="411">
        <v>1</v>
      </c>
      <c r="Y466" s="411"/>
      <c r="Z466" s="411"/>
      <c r="AA466" s="412">
        <f t="shared" si="75"/>
        <v>0.99999999999999978</v>
      </c>
      <c r="AB466" s="456">
        <f t="shared" si="76"/>
        <v>38.765999999999991</v>
      </c>
      <c r="AC466" s="456">
        <v>0</v>
      </c>
      <c r="AD466" s="2"/>
      <c r="AE466" s="4"/>
      <c r="AF466" s="5"/>
      <c r="AG466" s="428"/>
    </row>
    <row r="467" spans="2:33" hidden="1" x14ac:dyDescent="0.25">
      <c r="B467" s="1" t="s">
        <v>2551</v>
      </c>
      <c r="C467" s="3" t="s">
        <v>1368</v>
      </c>
      <c r="D467" s="3" t="s">
        <v>1247</v>
      </c>
      <c r="E467" s="407" t="s">
        <v>1399</v>
      </c>
      <c r="F467" s="3" t="s">
        <v>1864</v>
      </c>
      <c r="G467" s="407" t="s">
        <v>4499</v>
      </c>
      <c r="H467" s="440" t="s">
        <v>4109</v>
      </c>
      <c r="I467" s="407" t="s">
        <v>4320</v>
      </c>
      <c r="J467" s="407" t="s">
        <v>3758</v>
      </c>
      <c r="K467" s="387" t="s">
        <v>4653</v>
      </c>
      <c r="L467" s="387">
        <v>2</v>
      </c>
      <c r="M467" s="387">
        <v>-1</v>
      </c>
      <c r="N467" s="387">
        <f t="shared" si="73"/>
        <v>1</v>
      </c>
      <c r="O467" s="442">
        <f t="shared" si="74"/>
        <v>2.0000000000000004</v>
      </c>
      <c r="P467" s="387" t="s">
        <v>1358</v>
      </c>
      <c r="Q467" s="459">
        <v>0</v>
      </c>
      <c r="R467" s="459"/>
      <c r="S467" s="456">
        <v>0</v>
      </c>
      <c r="T467" s="456">
        <v>25.911999999999999</v>
      </c>
      <c r="U467" s="410"/>
      <c r="V467" s="411">
        <v>1</v>
      </c>
      <c r="W467" s="411">
        <v>1</v>
      </c>
      <c r="X467" s="411">
        <v>1</v>
      </c>
      <c r="Y467" s="411"/>
      <c r="Z467" s="411"/>
      <c r="AA467" s="412">
        <f t="shared" si="75"/>
        <v>1.0000000000000002</v>
      </c>
      <c r="AB467" s="456">
        <f t="shared" si="76"/>
        <v>25.912000000000003</v>
      </c>
      <c r="AC467" s="456">
        <v>0</v>
      </c>
      <c r="AD467" s="2"/>
      <c r="AE467" s="4"/>
      <c r="AF467" s="5" t="s">
        <v>5157</v>
      </c>
      <c r="AG467" s="428"/>
    </row>
    <row r="468" spans="2:33" hidden="1" x14ac:dyDescent="0.25">
      <c r="B468" s="1" t="s">
        <v>2552</v>
      </c>
      <c r="C468" s="3" t="s">
        <v>1368</v>
      </c>
      <c r="D468" s="3" t="s">
        <v>1247</v>
      </c>
      <c r="E468" s="407" t="s">
        <v>3294</v>
      </c>
      <c r="F468" s="3" t="s">
        <v>1865</v>
      </c>
      <c r="G468" s="407" t="s">
        <v>4500</v>
      </c>
      <c r="H468" s="440" t="s">
        <v>4109</v>
      </c>
      <c r="I468" s="407" t="s">
        <v>4321</v>
      </c>
      <c r="J468" s="407" t="s">
        <v>3755</v>
      </c>
      <c r="K468" s="387" t="s">
        <v>4654</v>
      </c>
      <c r="L468" s="387">
        <v>1</v>
      </c>
      <c r="M468" s="387">
        <v>0</v>
      </c>
      <c r="N468" s="387">
        <f t="shared" si="73"/>
        <v>1</v>
      </c>
      <c r="O468" s="442">
        <f t="shared" si="74"/>
        <v>1</v>
      </c>
      <c r="P468" s="387" t="s">
        <v>1358</v>
      </c>
      <c r="Q468" s="459">
        <v>0</v>
      </c>
      <c r="R468" s="459"/>
      <c r="S468" s="456">
        <v>0</v>
      </c>
      <c r="T468" s="456">
        <v>18.812999999999999</v>
      </c>
      <c r="U468" s="410"/>
      <c r="V468" s="411">
        <v>1</v>
      </c>
      <c r="W468" s="411">
        <v>1</v>
      </c>
      <c r="X468" s="411">
        <v>1</v>
      </c>
      <c r="Y468" s="411"/>
      <c r="Z468" s="411"/>
      <c r="AA468" s="412">
        <f t="shared" si="75"/>
        <v>1</v>
      </c>
      <c r="AB468" s="456">
        <f t="shared" si="76"/>
        <v>18.812999999999999</v>
      </c>
      <c r="AC468" s="456">
        <v>0</v>
      </c>
      <c r="AD468" s="2"/>
      <c r="AE468" s="4"/>
      <c r="AF468" s="5"/>
      <c r="AG468" s="428"/>
    </row>
    <row r="469" spans="2:33" hidden="1" x14ac:dyDescent="0.25">
      <c r="B469" s="1" t="s">
        <v>2553</v>
      </c>
      <c r="C469" s="3" t="s">
        <v>1368</v>
      </c>
      <c r="D469" s="3" t="s">
        <v>1247</v>
      </c>
      <c r="E469" s="407" t="s">
        <v>1374</v>
      </c>
      <c r="F469" s="3" t="s">
        <v>1866</v>
      </c>
      <c r="G469" s="407" t="s">
        <v>4495</v>
      </c>
      <c r="H469" s="440" t="s">
        <v>4109</v>
      </c>
      <c r="I469" s="407" t="s">
        <v>4316</v>
      </c>
      <c r="J469" s="407" t="s">
        <v>3757</v>
      </c>
      <c r="K469" s="387" t="s">
        <v>4665</v>
      </c>
      <c r="L469" s="387">
        <v>2</v>
      </c>
      <c r="M469" s="387">
        <v>0</v>
      </c>
      <c r="N469" s="387">
        <f t="shared" si="73"/>
        <v>2</v>
      </c>
      <c r="O469" s="442">
        <f t="shared" si="74"/>
        <v>2</v>
      </c>
      <c r="P469" s="387" t="s">
        <v>1358</v>
      </c>
      <c r="Q469" s="459">
        <v>0</v>
      </c>
      <c r="R469" s="459"/>
      <c r="S469" s="456">
        <v>0</v>
      </c>
      <c r="T469" s="456">
        <v>38.752000000000002</v>
      </c>
      <c r="U469" s="410"/>
      <c r="V469" s="411">
        <v>1</v>
      </c>
      <c r="W469" s="411">
        <v>1</v>
      </c>
      <c r="X469" s="411">
        <v>1</v>
      </c>
      <c r="Y469" s="411"/>
      <c r="Z469" s="411"/>
      <c r="AA469" s="412">
        <f t="shared" si="75"/>
        <v>1</v>
      </c>
      <c r="AB469" s="456">
        <f t="shared" si="76"/>
        <v>38.752000000000002</v>
      </c>
      <c r="AC469" s="456">
        <v>0</v>
      </c>
      <c r="AD469" s="2"/>
      <c r="AE469" s="4"/>
      <c r="AF469" s="5"/>
      <c r="AG469" s="428"/>
    </row>
    <row r="470" spans="2:33" hidden="1" x14ac:dyDescent="0.25">
      <c r="B470" s="1" t="s">
        <v>2554</v>
      </c>
      <c r="C470" s="3" t="s">
        <v>1368</v>
      </c>
      <c r="D470" s="3" t="s">
        <v>1247</v>
      </c>
      <c r="E470" s="407" t="s">
        <v>1377</v>
      </c>
      <c r="F470" s="3" t="s">
        <v>1867</v>
      </c>
      <c r="G470" s="407" t="s">
        <v>4494</v>
      </c>
      <c r="H470" s="440" t="s">
        <v>4109</v>
      </c>
      <c r="I470" s="407" t="s">
        <v>4315</v>
      </c>
      <c r="J470" s="407" t="s">
        <v>3749</v>
      </c>
      <c r="K470" s="387" t="s">
        <v>4648</v>
      </c>
      <c r="L470" s="387">
        <v>1</v>
      </c>
      <c r="M470" s="387">
        <v>0</v>
      </c>
      <c r="N470" s="387">
        <f t="shared" si="73"/>
        <v>1</v>
      </c>
      <c r="O470" s="442">
        <f t="shared" si="74"/>
        <v>1</v>
      </c>
      <c r="P470" s="387" t="s">
        <v>1358</v>
      </c>
      <c r="Q470" s="459">
        <v>0</v>
      </c>
      <c r="R470" s="459"/>
      <c r="S470" s="456">
        <v>0</v>
      </c>
      <c r="T470" s="456">
        <v>19.376000000000001</v>
      </c>
      <c r="U470" s="410"/>
      <c r="V470" s="411">
        <v>1</v>
      </c>
      <c r="W470" s="411">
        <v>1</v>
      </c>
      <c r="X470" s="411">
        <v>1</v>
      </c>
      <c r="Y470" s="411"/>
      <c r="Z470" s="411"/>
      <c r="AA470" s="412">
        <f t="shared" si="75"/>
        <v>1</v>
      </c>
      <c r="AB470" s="456">
        <f t="shared" si="76"/>
        <v>19.376000000000001</v>
      </c>
      <c r="AC470" s="456">
        <v>0</v>
      </c>
      <c r="AD470" s="2"/>
      <c r="AE470" s="4"/>
      <c r="AF470" s="5"/>
      <c r="AG470" s="428"/>
    </row>
    <row r="471" spans="2:33" hidden="1" x14ac:dyDescent="0.25">
      <c r="B471" s="1" t="s">
        <v>2555</v>
      </c>
      <c r="C471" s="3" t="s">
        <v>1368</v>
      </c>
      <c r="D471" s="3" t="s">
        <v>1247</v>
      </c>
      <c r="E471" s="407" t="s">
        <v>1400</v>
      </c>
      <c r="F471" s="3" t="s">
        <v>1868</v>
      </c>
      <c r="G471" s="407" t="s">
        <v>4477</v>
      </c>
      <c r="H471" s="440" t="s">
        <v>4109</v>
      </c>
      <c r="I471" s="407" t="s">
        <v>4298</v>
      </c>
      <c r="J471" s="407" t="s">
        <v>3779</v>
      </c>
      <c r="K471" s="387" t="s">
        <v>4656</v>
      </c>
      <c r="L471" s="387">
        <v>2</v>
      </c>
      <c r="M471" s="387">
        <v>0</v>
      </c>
      <c r="N471" s="387">
        <f t="shared" si="73"/>
        <v>2</v>
      </c>
      <c r="O471" s="442">
        <f t="shared" si="74"/>
        <v>0</v>
      </c>
      <c r="P471" s="387" t="s">
        <v>1358</v>
      </c>
      <c r="Q471" s="459">
        <v>0</v>
      </c>
      <c r="R471" s="459"/>
      <c r="S471" s="456">
        <v>0</v>
      </c>
      <c r="T471" s="456">
        <v>51.823999999999998</v>
      </c>
      <c r="U471" s="410"/>
      <c r="V471" s="411">
        <v>0</v>
      </c>
      <c r="W471" s="411">
        <v>0</v>
      </c>
      <c r="X471" s="411">
        <v>0</v>
      </c>
      <c r="Y471" s="411"/>
      <c r="Z471" s="411"/>
      <c r="AA471" s="412">
        <f t="shared" si="75"/>
        <v>0</v>
      </c>
      <c r="AB471" s="456">
        <f t="shared" si="76"/>
        <v>0</v>
      </c>
      <c r="AC471" s="456">
        <v>0</v>
      </c>
      <c r="AD471" s="2"/>
      <c r="AE471" s="4"/>
      <c r="AF471" s="5"/>
      <c r="AG471" s="428"/>
    </row>
    <row r="472" spans="2:33" hidden="1" x14ac:dyDescent="0.25">
      <c r="B472" s="430" t="s">
        <v>5121</v>
      </c>
      <c r="C472" s="3" t="s">
        <v>1368</v>
      </c>
      <c r="D472" s="3" t="s">
        <v>1247</v>
      </c>
      <c r="E472" s="407" t="s">
        <v>1395</v>
      </c>
      <c r="F472" s="3" t="s">
        <v>5036</v>
      </c>
      <c r="G472" s="407"/>
      <c r="H472" s="440"/>
      <c r="I472" s="407"/>
      <c r="J472" s="407"/>
      <c r="K472" s="387" t="s">
        <v>4647</v>
      </c>
      <c r="L472" s="387">
        <v>1</v>
      </c>
      <c r="M472" s="387">
        <v>0</v>
      </c>
      <c r="N472" s="387">
        <f t="shared" si="73"/>
        <v>1</v>
      </c>
      <c r="O472" s="442">
        <f t="shared" ref="O472" si="77">L472*AA472</f>
        <v>1</v>
      </c>
      <c r="P472" s="387" t="s">
        <v>1358</v>
      </c>
      <c r="Q472" s="459">
        <v>0</v>
      </c>
      <c r="R472" s="459"/>
      <c r="S472" s="456">
        <v>0</v>
      </c>
      <c r="T472" s="456">
        <v>18.753</v>
      </c>
      <c r="U472" s="410"/>
      <c r="V472" s="411">
        <v>1</v>
      </c>
      <c r="W472" s="411">
        <v>1</v>
      </c>
      <c r="X472" s="411">
        <v>1</v>
      </c>
      <c r="Y472" s="411"/>
      <c r="Z472" s="411"/>
      <c r="AA472" s="412">
        <f t="shared" si="75"/>
        <v>1</v>
      </c>
      <c r="AB472" s="456">
        <f t="shared" si="76"/>
        <v>18.753</v>
      </c>
      <c r="AC472" s="456">
        <v>0</v>
      </c>
      <c r="AD472" s="2"/>
      <c r="AE472" s="4"/>
      <c r="AF472" s="5"/>
      <c r="AG472" s="428"/>
    </row>
    <row r="473" spans="2:33" hidden="1" x14ac:dyDescent="0.25">
      <c r="B473" s="1" t="s">
        <v>2556</v>
      </c>
      <c r="C473" s="3" t="s">
        <v>1368</v>
      </c>
      <c r="D473" s="3" t="s">
        <v>1247</v>
      </c>
      <c r="E473" s="407" t="s">
        <v>1374</v>
      </c>
      <c r="F473" s="3" t="s">
        <v>1869</v>
      </c>
      <c r="G473" s="407" t="s">
        <v>4495</v>
      </c>
      <c r="H473" s="440" t="s">
        <v>4109</v>
      </c>
      <c r="I473" s="407" t="s">
        <v>4316</v>
      </c>
      <c r="J473" s="407" t="s">
        <v>3757</v>
      </c>
      <c r="K473" s="387" t="s">
        <v>4649</v>
      </c>
      <c r="L473" s="387">
        <v>1</v>
      </c>
      <c r="M473" s="387">
        <v>0</v>
      </c>
      <c r="N473" s="387">
        <f t="shared" si="73"/>
        <v>1</v>
      </c>
      <c r="O473" s="442">
        <f t="shared" si="74"/>
        <v>1.0000000000000002</v>
      </c>
      <c r="P473" s="387" t="s">
        <v>1358</v>
      </c>
      <c r="Q473" s="459">
        <v>0</v>
      </c>
      <c r="R473" s="459"/>
      <c r="S473" s="456">
        <v>0</v>
      </c>
      <c r="T473" s="456">
        <v>25.07</v>
      </c>
      <c r="U473" s="410"/>
      <c r="V473" s="411">
        <v>1</v>
      </c>
      <c r="W473" s="411">
        <v>1</v>
      </c>
      <c r="X473" s="411">
        <v>1</v>
      </c>
      <c r="Y473" s="411"/>
      <c r="Z473" s="411"/>
      <c r="AA473" s="412">
        <f t="shared" si="75"/>
        <v>1.0000000000000002</v>
      </c>
      <c r="AB473" s="456">
        <f t="shared" si="76"/>
        <v>25.070000000000004</v>
      </c>
      <c r="AC473" s="456">
        <v>0</v>
      </c>
      <c r="AD473" s="2"/>
      <c r="AE473" s="4"/>
      <c r="AF473" s="5"/>
      <c r="AG473" s="428"/>
    </row>
    <row r="474" spans="2:33" hidden="1" x14ac:dyDescent="0.25">
      <c r="B474" s="1" t="s">
        <v>2557</v>
      </c>
      <c r="C474" s="3" t="s">
        <v>1368</v>
      </c>
      <c r="D474" s="3" t="s">
        <v>1247</v>
      </c>
      <c r="E474" s="407" t="s">
        <v>1377</v>
      </c>
      <c r="F474" s="3" t="s">
        <v>1870</v>
      </c>
      <c r="G474" s="407" t="s">
        <v>4494</v>
      </c>
      <c r="H474" s="440" t="s">
        <v>4109</v>
      </c>
      <c r="I474" s="407" t="s">
        <v>4315</v>
      </c>
      <c r="J474" s="407" t="s">
        <v>3749</v>
      </c>
      <c r="K474" s="387" t="s">
        <v>4648</v>
      </c>
      <c r="L474" s="387">
        <v>1</v>
      </c>
      <c r="M474" s="387">
        <v>0</v>
      </c>
      <c r="N474" s="387">
        <f t="shared" si="73"/>
        <v>1</v>
      </c>
      <c r="O474" s="442">
        <f t="shared" si="74"/>
        <v>1.0000000000000002</v>
      </c>
      <c r="P474" s="387" t="s">
        <v>1358</v>
      </c>
      <c r="Q474" s="459">
        <v>0</v>
      </c>
      <c r="R474" s="459"/>
      <c r="S474" s="456">
        <v>0</v>
      </c>
      <c r="T474" s="456">
        <v>25.07</v>
      </c>
      <c r="U474" s="410"/>
      <c r="V474" s="411">
        <v>1</v>
      </c>
      <c r="W474" s="411">
        <v>1</v>
      </c>
      <c r="X474" s="411">
        <v>1</v>
      </c>
      <c r="Y474" s="411"/>
      <c r="Z474" s="411"/>
      <c r="AA474" s="412">
        <f t="shared" si="75"/>
        <v>1.0000000000000002</v>
      </c>
      <c r="AB474" s="456">
        <f t="shared" si="76"/>
        <v>25.070000000000004</v>
      </c>
      <c r="AC474" s="456">
        <v>0</v>
      </c>
      <c r="AD474" s="2"/>
      <c r="AE474" s="4"/>
      <c r="AF474" s="5"/>
      <c r="AG474" s="428"/>
    </row>
    <row r="475" spans="2:33" hidden="1" x14ac:dyDescent="0.25">
      <c r="B475" s="1" t="s">
        <v>2558</v>
      </c>
      <c r="C475" s="3" t="s">
        <v>1368</v>
      </c>
      <c r="D475" s="3" t="s">
        <v>1247</v>
      </c>
      <c r="E475" s="407" t="s">
        <v>1379</v>
      </c>
      <c r="F475" s="3" t="s">
        <v>1871</v>
      </c>
      <c r="G475" s="407" t="s">
        <v>4502</v>
      </c>
      <c r="H475" s="440" t="s">
        <v>4109</v>
      </c>
      <c r="I475" s="407" t="s">
        <v>4323</v>
      </c>
      <c r="J475" s="407" t="s">
        <v>3750</v>
      </c>
      <c r="K475" s="387" t="s">
        <v>4632</v>
      </c>
      <c r="L475" s="387">
        <v>1</v>
      </c>
      <c r="M475" s="387">
        <v>0</v>
      </c>
      <c r="N475" s="387">
        <f t="shared" si="73"/>
        <v>1</v>
      </c>
      <c r="O475" s="442">
        <f t="shared" si="74"/>
        <v>1.0000000000000002</v>
      </c>
      <c r="P475" s="387" t="s">
        <v>1358</v>
      </c>
      <c r="Q475" s="459">
        <v>0</v>
      </c>
      <c r="R475" s="459"/>
      <c r="S475" s="456">
        <v>0</v>
      </c>
      <c r="T475" s="456">
        <v>25.07</v>
      </c>
      <c r="U475" s="410"/>
      <c r="V475" s="411">
        <v>1</v>
      </c>
      <c r="W475" s="411">
        <v>1</v>
      </c>
      <c r="X475" s="411">
        <v>1</v>
      </c>
      <c r="Y475" s="411"/>
      <c r="Z475" s="411"/>
      <c r="AA475" s="412">
        <f t="shared" si="75"/>
        <v>1.0000000000000002</v>
      </c>
      <c r="AB475" s="456">
        <f t="shared" si="76"/>
        <v>25.070000000000004</v>
      </c>
      <c r="AC475" s="456">
        <v>0</v>
      </c>
      <c r="AD475" s="2"/>
      <c r="AE475" s="4"/>
      <c r="AF475" s="5"/>
      <c r="AG475" s="428"/>
    </row>
    <row r="476" spans="2:33" hidden="1" x14ac:dyDescent="0.25">
      <c r="B476" s="1" t="s">
        <v>2559</v>
      </c>
      <c r="C476" s="3" t="s">
        <v>1368</v>
      </c>
      <c r="D476" s="3" t="s">
        <v>1247</v>
      </c>
      <c r="E476" s="407" t="s">
        <v>1381</v>
      </c>
      <c r="F476" s="3" t="s">
        <v>1872</v>
      </c>
      <c r="G476" s="407" t="s">
        <v>4497</v>
      </c>
      <c r="H476" s="440" t="s">
        <v>4109</v>
      </c>
      <c r="I476" s="407" t="s">
        <v>4318</v>
      </c>
      <c r="J476" s="407" t="s">
        <v>3751</v>
      </c>
      <c r="K476" s="387" t="s">
        <v>4631</v>
      </c>
      <c r="L476" s="387">
        <v>1</v>
      </c>
      <c r="M476" s="387">
        <v>0</v>
      </c>
      <c r="N476" s="387">
        <f t="shared" si="73"/>
        <v>1</v>
      </c>
      <c r="O476" s="442">
        <f t="shared" si="74"/>
        <v>1.0000000000000002</v>
      </c>
      <c r="P476" s="387" t="s">
        <v>1358</v>
      </c>
      <c r="Q476" s="459">
        <v>0</v>
      </c>
      <c r="R476" s="459"/>
      <c r="S476" s="456">
        <v>0</v>
      </c>
      <c r="T476" s="456">
        <v>25.07</v>
      </c>
      <c r="U476" s="410"/>
      <c r="V476" s="411">
        <v>1</v>
      </c>
      <c r="W476" s="411">
        <v>1</v>
      </c>
      <c r="X476" s="411">
        <v>1</v>
      </c>
      <c r="Y476" s="411"/>
      <c r="Z476" s="411"/>
      <c r="AA476" s="412">
        <f t="shared" si="75"/>
        <v>1.0000000000000002</v>
      </c>
      <c r="AB476" s="456">
        <f t="shared" si="76"/>
        <v>25.070000000000004</v>
      </c>
      <c r="AC476" s="456">
        <v>0</v>
      </c>
      <c r="AD476" s="2"/>
      <c r="AE476" s="4"/>
      <c r="AF476" s="5"/>
      <c r="AG476" s="428"/>
    </row>
    <row r="477" spans="2:33" hidden="1" x14ac:dyDescent="0.25">
      <c r="B477" s="1" t="s">
        <v>2560</v>
      </c>
      <c r="C477" s="3" t="s">
        <v>1368</v>
      </c>
      <c r="D477" s="3" t="s">
        <v>1247</v>
      </c>
      <c r="E477" s="407" t="s">
        <v>1396</v>
      </c>
      <c r="F477" s="3" t="s">
        <v>1873</v>
      </c>
      <c r="G477" s="407" t="s">
        <v>4498</v>
      </c>
      <c r="H477" s="440" t="s">
        <v>4109</v>
      </c>
      <c r="I477" s="407" t="s">
        <v>4319</v>
      </c>
      <c r="J477" s="407" t="s">
        <v>3752</v>
      </c>
      <c r="K477" s="387" t="s">
        <v>4652</v>
      </c>
      <c r="L477" s="387">
        <v>1</v>
      </c>
      <c r="M477" s="387">
        <v>0</v>
      </c>
      <c r="N477" s="387">
        <f t="shared" si="73"/>
        <v>1</v>
      </c>
      <c r="O477" s="442">
        <f t="shared" si="74"/>
        <v>1.0000000000000002</v>
      </c>
      <c r="P477" s="387" t="s">
        <v>1358</v>
      </c>
      <c r="Q477" s="459">
        <v>0</v>
      </c>
      <c r="R477" s="459"/>
      <c r="S477" s="456">
        <v>0</v>
      </c>
      <c r="T477" s="456">
        <v>25.07</v>
      </c>
      <c r="U477" s="410"/>
      <c r="V477" s="411">
        <v>1</v>
      </c>
      <c r="W477" s="411">
        <v>1</v>
      </c>
      <c r="X477" s="411">
        <v>1</v>
      </c>
      <c r="Y477" s="411"/>
      <c r="Z477" s="411"/>
      <c r="AA477" s="412">
        <f t="shared" si="75"/>
        <v>1.0000000000000002</v>
      </c>
      <c r="AB477" s="456">
        <f t="shared" si="76"/>
        <v>25.070000000000004</v>
      </c>
      <c r="AC477" s="456">
        <v>0</v>
      </c>
      <c r="AD477" s="2"/>
      <c r="AE477" s="4"/>
      <c r="AF477" s="5"/>
      <c r="AG477" s="428"/>
    </row>
    <row r="478" spans="2:33" hidden="1" x14ac:dyDescent="0.25">
      <c r="B478" s="1" t="s">
        <v>2561</v>
      </c>
      <c r="C478" s="3" t="s">
        <v>1368</v>
      </c>
      <c r="D478" s="3" t="s">
        <v>1247</v>
      </c>
      <c r="E478" s="407" t="s">
        <v>1399</v>
      </c>
      <c r="F478" s="3" t="s">
        <v>1874</v>
      </c>
      <c r="G478" s="407" t="s">
        <v>4499</v>
      </c>
      <c r="H478" s="440" t="s">
        <v>4109</v>
      </c>
      <c r="I478" s="407" t="s">
        <v>4320</v>
      </c>
      <c r="J478" s="407" t="s">
        <v>3758</v>
      </c>
      <c r="K478" s="387" t="s">
        <v>4653</v>
      </c>
      <c r="L478" s="387">
        <v>1</v>
      </c>
      <c r="M478" s="387">
        <v>0</v>
      </c>
      <c r="N478" s="387">
        <f t="shared" si="73"/>
        <v>1</v>
      </c>
      <c r="O478" s="442">
        <f t="shared" si="74"/>
        <v>1.0000000000000002</v>
      </c>
      <c r="P478" s="387" t="s">
        <v>1358</v>
      </c>
      <c r="Q478" s="459">
        <v>0</v>
      </c>
      <c r="R478" s="459"/>
      <c r="S478" s="456">
        <v>0</v>
      </c>
      <c r="T478" s="456">
        <v>25.07</v>
      </c>
      <c r="U478" s="410"/>
      <c r="V478" s="411">
        <v>1</v>
      </c>
      <c r="W478" s="411">
        <v>1</v>
      </c>
      <c r="X478" s="411">
        <v>1</v>
      </c>
      <c r="Y478" s="411"/>
      <c r="Z478" s="411"/>
      <c r="AA478" s="412">
        <f t="shared" si="75"/>
        <v>1.0000000000000002</v>
      </c>
      <c r="AB478" s="456">
        <f t="shared" si="76"/>
        <v>25.070000000000004</v>
      </c>
      <c r="AC478" s="456">
        <v>0</v>
      </c>
      <c r="AD478" s="2"/>
      <c r="AE478" s="4"/>
      <c r="AF478" s="5"/>
      <c r="AG478" s="428"/>
    </row>
    <row r="479" spans="2:33" hidden="1" x14ac:dyDescent="0.25">
      <c r="B479" s="1" t="s">
        <v>2562</v>
      </c>
      <c r="C479" s="3" t="s">
        <v>1368</v>
      </c>
      <c r="D479" s="3" t="s">
        <v>1247</v>
      </c>
      <c r="E479" s="407" t="s">
        <v>1400</v>
      </c>
      <c r="F479" s="3" t="s">
        <v>1875</v>
      </c>
      <c r="G479" s="407" t="s">
        <v>4477</v>
      </c>
      <c r="H479" s="440" t="s">
        <v>4109</v>
      </c>
      <c r="I479" s="407" t="s">
        <v>4298</v>
      </c>
      <c r="J479" s="407" t="s">
        <v>3779</v>
      </c>
      <c r="K479" s="387" t="s">
        <v>4656</v>
      </c>
      <c r="L479" s="387">
        <v>1</v>
      </c>
      <c r="M479" s="387">
        <v>0</v>
      </c>
      <c r="N479" s="387">
        <f t="shared" si="73"/>
        <v>1</v>
      </c>
      <c r="O479" s="442">
        <f t="shared" si="74"/>
        <v>1.0000000000000002</v>
      </c>
      <c r="P479" s="387" t="s">
        <v>1358</v>
      </c>
      <c r="Q479" s="459">
        <v>0</v>
      </c>
      <c r="R479" s="459"/>
      <c r="S479" s="456">
        <v>0</v>
      </c>
      <c r="T479" s="456">
        <v>25.07</v>
      </c>
      <c r="U479" s="410"/>
      <c r="V479" s="411">
        <v>1</v>
      </c>
      <c r="W479" s="411">
        <v>1</v>
      </c>
      <c r="X479" s="411">
        <v>1</v>
      </c>
      <c r="Y479" s="411"/>
      <c r="Z479" s="411"/>
      <c r="AA479" s="412">
        <f t="shared" si="75"/>
        <v>1.0000000000000002</v>
      </c>
      <c r="AB479" s="456">
        <f t="shared" si="76"/>
        <v>25.070000000000004</v>
      </c>
      <c r="AC479" s="456">
        <v>0</v>
      </c>
      <c r="AD479" s="2"/>
      <c r="AE479" s="4"/>
      <c r="AF479" s="5"/>
      <c r="AG479" s="428"/>
    </row>
    <row r="480" spans="2:33" hidden="1" x14ac:dyDescent="0.25">
      <c r="B480" s="1" t="s">
        <v>2563</v>
      </c>
      <c r="C480" s="3" t="s">
        <v>1368</v>
      </c>
      <c r="D480" s="3" t="s">
        <v>1247</v>
      </c>
      <c r="E480" s="407" t="s">
        <v>1401</v>
      </c>
      <c r="F480" s="3" t="s">
        <v>1876</v>
      </c>
      <c r="G480" s="407" t="s">
        <v>4478</v>
      </c>
      <c r="H480" s="440" t="s">
        <v>4109</v>
      </c>
      <c r="I480" s="407" t="s">
        <v>4299</v>
      </c>
      <c r="J480" s="407" t="s">
        <v>3780</v>
      </c>
      <c r="K480" s="387" t="s">
        <v>4657</v>
      </c>
      <c r="L480" s="387">
        <v>1</v>
      </c>
      <c r="M480" s="387">
        <v>0</v>
      </c>
      <c r="N480" s="387">
        <f t="shared" si="73"/>
        <v>1</v>
      </c>
      <c r="O480" s="442">
        <f t="shared" si="74"/>
        <v>0</v>
      </c>
      <c r="P480" s="387" t="s">
        <v>1358</v>
      </c>
      <c r="Q480" s="459">
        <v>0</v>
      </c>
      <c r="R480" s="459"/>
      <c r="S480" s="456">
        <v>0</v>
      </c>
      <c r="T480" s="456">
        <v>25.07</v>
      </c>
      <c r="U480" s="410"/>
      <c r="V480" s="411">
        <v>0</v>
      </c>
      <c r="W480" s="411">
        <v>0</v>
      </c>
      <c r="X480" s="411">
        <v>0</v>
      </c>
      <c r="Y480" s="411"/>
      <c r="Z480" s="411"/>
      <c r="AA480" s="412">
        <f t="shared" si="75"/>
        <v>0</v>
      </c>
      <c r="AB480" s="456">
        <f t="shared" si="76"/>
        <v>0</v>
      </c>
      <c r="AC480" s="456">
        <v>0</v>
      </c>
      <c r="AD480" s="2"/>
      <c r="AE480" s="4"/>
      <c r="AF480" s="5"/>
      <c r="AG480" s="428"/>
    </row>
    <row r="481" spans="2:33" hidden="1" x14ac:dyDescent="0.25">
      <c r="B481" s="1" t="s">
        <v>2564</v>
      </c>
      <c r="C481" s="3" t="s">
        <v>1368</v>
      </c>
      <c r="D481" s="3" t="s">
        <v>1247</v>
      </c>
      <c r="E481" s="407" t="s">
        <v>1402</v>
      </c>
      <c r="F481" s="3" t="s">
        <v>1877</v>
      </c>
      <c r="G481" s="407" t="s">
        <v>4481</v>
      </c>
      <c r="H481" s="440" t="s">
        <v>4109</v>
      </c>
      <c r="I481" s="407" t="s">
        <v>4302</v>
      </c>
      <c r="J481" s="407" t="s">
        <v>3783</v>
      </c>
      <c r="K481" s="387" t="s">
        <v>4659</v>
      </c>
      <c r="L481" s="387">
        <v>1</v>
      </c>
      <c r="M481" s="387">
        <v>0</v>
      </c>
      <c r="N481" s="387">
        <f t="shared" si="73"/>
        <v>1</v>
      </c>
      <c r="O481" s="442">
        <f t="shared" si="74"/>
        <v>0</v>
      </c>
      <c r="P481" s="387" t="s">
        <v>1358</v>
      </c>
      <c r="Q481" s="459">
        <v>0</v>
      </c>
      <c r="R481" s="459"/>
      <c r="S481" s="456">
        <v>0</v>
      </c>
      <c r="T481" s="456">
        <v>19.329999999999998</v>
      </c>
      <c r="U481" s="410"/>
      <c r="V481" s="411">
        <v>0</v>
      </c>
      <c r="W481" s="411">
        <v>0</v>
      </c>
      <c r="X481" s="411">
        <v>0</v>
      </c>
      <c r="Y481" s="411"/>
      <c r="Z481" s="411"/>
      <c r="AA481" s="412">
        <f t="shared" si="75"/>
        <v>0</v>
      </c>
      <c r="AB481" s="456">
        <f t="shared" si="76"/>
        <v>0</v>
      </c>
      <c r="AC481" s="456">
        <v>0</v>
      </c>
      <c r="AD481" s="2"/>
      <c r="AE481" s="4"/>
      <c r="AF481" s="5"/>
      <c r="AG481" s="428"/>
    </row>
    <row r="482" spans="2:33" hidden="1" x14ac:dyDescent="0.25">
      <c r="B482" s="1" t="s">
        <v>2565</v>
      </c>
      <c r="C482" s="3" t="s">
        <v>1368</v>
      </c>
      <c r="D482" s="3" t="s">
        <v>1247</v>
      </c>
      <c r="E482" s="407" t="s">
        <v>3546</v>
      </c>
      <c r="F482" s="3" t="s">
        <v>1878</v>
      </c>
      <c r="G482" s="407" t="s">
        <v>4482</v>
      </c>
      <c r="H482" s="440" t="s">
        <v>4109</v>
      </c>
      <c r="I482" s="407" t="s">
        <v>4303</v>
      </c>
      <c r="J482" s="407" t="s">
        <v>3784</v>
      </c>
      <c r="K482" s="387" t="s">
        <v>4660</v>
      </c>
      <c r="L482" s="387">
        <v>1</v>
      </c>
      <c r="M482" s="387">
        <v>0</v>
      </c>
      <c r="N482" s="387">
        <f t="shared" si="73"/>
        <v>1</v>
      </c>
      <c r="O482" s="442">
        <f t="shared" si="74"/>
        <v>0</v>
      </c>
      <c r="P482" s="387" t="s">
        <v>1358</v>
      </c>
      <c r="Q482" s="459">
        <v>0</v>
      </c>
      <c r="R482" s="459"/>
      <c r="S482" s="456">
        <v>0</v>
      </c>
      <c r="T482" s="456">
        <v>19.329999999999998</v>
      </c>
      <c r="U482" s="410"/>
      <c r="V482" s="411">
        <v>0</v>
      </c>
      <c r="W482" s="411">
        <v>0</v>
      </c>
      <c r="X482" s="411">
        <v>0</v>
      </c>
      <c r="Y482" s="411"/>
      <c r="Z482" s="411"/>
      <c r="AA482" s="412">
        <f t="shared" si="75"/>
        <v>0</v>
      </c>
      <c r="AB482" s="456">
        <f t="shared" si="76"/>
        <v>0</v>
      </c>
      <c r="AC482" s="456">
        <v>0</v>
      </c>
      <c r="AD482" s="2"/>
      <c r="AE482" s="4"/>
      <c r="AF482" s="5"/>
      <c r="AG482" s="428"/>
    </row>
    <row r="483" spans="2:33" hidden="1" x14ac:dyDescent="0.25">
      <c r="B483" s="1" t="s">
        <v>2566</v>
      </c>
      <c r="C483" s="3" t="s">
        <v>1368</v>
      </c>
      <c r="D483" s="3" t="s">
        <v>1247</v>
      </c>
      <c r="E483" s="407" t="s">
        <v>1425</v>
      </c>
      <c r="F483" s="3" t="s">
        <v>1879</v>
      </c>
      <c r="G483" s="407" t="s">
        <v>4479</v>
      </c>
      <c r="H483" s="440" t="s">
        <v>4109</v>
      </c>
      <c r="I483" s="407" t="s">
        <v>4300</v>
      </c>
      <c r="J483" s="407" t="s">
        <v>3781</v>
      </c>
      <c r="K483" s="387" t="s">
        <v>4643</v>
      </c>
      <c r="L483" s="387">
        <v>1</v>
      </c>
      <c r="M483" s="387">
        <v>0</v>
      </c>
      <c r="N483" s="387">
        <f t="shared" si="73"/>
        <v>1</v>
      </c>
      <c r="O483" s="442">
        <f t="shared" si="74"/>
        <v>1</v>
      </c>
      <c r="P483" s="387" t="s">
        <v>1358</v>
      </c>
      <c r="Q483" s="459">
        <v>0</v>
      </c>
      <c r="R483" s="459"/>
      <c r="S483" s="456">
        <v>0</v>
      </c>
      <c r="T483" s="456">
        <v>18.768000000000001</v>
      </c>
      <c r="U483" s="410"/>
      <c r="V483" s="411">
        <v>1</v>
      </c>
      <c r="W483" s="411">
        <v>1</v>
      </c>
      <c r="X483" s="411">
        <v>1</v>
      </c>
      <c r="Y483" s="411"/>
      <c r="Z483" s="411"/>
      <c r="AA483" s="412">
        <f t="shared" si="75"/>
        <v>1</v>
      </c>
      <c r="AB483" s="456">
        <f t="shared" si="76"/>
        <v>18.768000000000001</v>
      </c>
      <c r="AC483" s="456">
        <v>0</v>
      </c>
      <c r="AD483" s="2"/>
      <c r="AE483" s="4"/>
      <c r="AF483" s="5"/>
      <c r="AG483" s="428"/>
    </row>
    <row r="484" spans="2:33" hidden="1" x14ac:dyDescent="0.25">
      <c r="B484" s="1" t="s">
        <v>2567</v>
      </c>
      <c r="C484" s="3" t="s">
        <v>1368</v>
      </c>
      <c r="D484" s="3" t="s">
        <v>1247</v>
      </c>
      <c r="E484" s="407" t="s">
        <v>1426</v>
      </c>
      <c r="F484" s="3" t="s">
        <v>1880</v>
      </c>
      <c r="G484" s="407" t="s">
        <v>4480</v>
      </c>
      <c r="H484" s="440" t="s">
        <v>4109</v>
      </c>
      <c r="I484" s="407" t="s">
        <v>4301</v>
      </c>
      <c r="J484" s="407" t="s">
        <v>3782</v>
      </c>
      <c r="K484" s="387" t="s">
        <v>4637</v>
      </c>
      <c r="L484" s="387">
        <v>1</v>
      </c>
      <c r="M484" s="387">
        <v>0</v>
      </c>
      <c r="N484" s="387">
        <f t="shared" si="73"/>
        <v>1</v>
      </c>
      <c r="O484" s="442">
        <f t="shared" si="74"/>
        <v>0</v>
      </c>
      <c r="P484" s="387" t="s">
        <v>1358</v>
      </c>
      <c r="Q484" s="459">
        <v>0</v>
      </c>
      <c r="R484" s="459"/>
      <c r="S484" s="456">
        <v>0</v>
      </c>
      <c r="T484" s="456">
        <v>18.768000000000001</v>
      </c>
      <c r="U484" s="410"/>
      <c r="V484" s="411">
        <v>0</v>
      </c>
      <c r="W484" s="411">
        <v>0</v>
      </c>
      <c r="X484" s="411">
        <v>0</v>
      </c>
      <c r="Y484" s="411"/>
      <c r="Z484" s="411"/>
      <c r="AA484" s="412">
        <f t="shared" si="75"/>
        <v>0</v>
      </c>
      <c r="AB484" s="456">
        <f t="shared" si="76"/>
        <v>0</v>
      </c>
      <c r="AC484" s="456">
        <v>0</v>
      </c>
      <c r="AD484" s="2"/>
      <c r="AE484" s="4"/>
      <c r="AF484" s="5"/>
      <c r="AG484" s="428"/>
    </row>
    <row r="485" spans="2:33" hidden="1" x14ac:dyDescent="0.25">
      <c r="B485" s="1" t="s">
        <v>2568</v>
      </c>
      <c r="C485" s="3" t="s">
        <v>1368</v>
      </c>
      <c r="D485" s="3" t="s">
        <v>1247</v>
      </c>
      <c r="E485" s="407" t="s">
        <v>3547</v>
      </c>
      <c r="F485" s="3" t="s">
        <v>1881</v>
      </c>
      <c r="G485" s="407" t="s">
        <v>4501</v>
      </c>
      <c r="H485" s="440" t="s">
        <v>4109</v>
      </c>
      <c r="I485" s="407" t="s">
        <v>4322</v>
      </c>
      <c r="J485" s="407" t="s">
        <v>3797</v>
      </c>
      <c r="K485" s="387" t="s">
        <v>4655</v>
      </c>
      <c r="L485" s="387">
        <v>1</v>
      </c>
      <c r="M485" s="387">
        <v>0</v>
      </c>
      <c r="N485" s="387">
        <f t="shared" si="73"/>
        <v>1</v>
      </c>
      <c r="O485" s="442">
        <f t="shared" si="74"/>
        <v>0</v>
      </c>
      <c r="P485" s="387" t="s">
        <v>1358</v>
      </c>
      <c r="Q485" s="459">
        <v>0</v>
      </c>
      <c r="R485" s="459"/>
      <c r="S485" s="456">
        <v>0</v>
      </c>
      <c r="T485" s="456">
        <v>19.329999999999998</v>
      </c>
      <c r="U485" s="410"/>
      <c r="V485" s="411">
        <v>0</v>
      </c>
      <c r="W485" s="411">
        <v>0</v>
      </c>
      <c r="X485" s="411">
        <v>0</v>
      </c>
      <c r="Y485" s="411"/>
      <c r="Z485" s="411"/>
      <c r="AA485" s="412">
        <f t="shared" si="75"/>
        <v>0</v>
      </c>
      <c r="AB485" s="456">
        <f t="shared" si="76"/>
        <v>0</v>
      </c>
      <c r="AC485" s="456">
        <v>0</v>
      </c>
      <c r="AD485" s="2"/>
      <c r="AE485" s="4"/>
      <c r="AF485" s="5"/>
      <c r="AG485" s="428"/>
    </row>
    <row r="486" spans="2:33" hidden="1" x14ac:dyDescent="0.25">
      <c r="B486" s="1" t="s">
        <v>2569</v>
      </c>
      <c r="C486" s="3" t="s">
        <v>1368</v>
      </c>
      <c r="D486" s="3" t="s">
        <v>1247</v>
      </c>
      <c r="E486" s="407" t="s">
        <v>1432</v>
      </c>
      <c r="F486" s="3" t="s">
        <v>1882</v>
      </c>
      <c r="G486" s="407" t="s">
        <v>4483</v>
      </c>
      <c r="H486" s="440" t="s">
        <v>4109</v>
      </c>
      <c r="I486" s="407" t="s">
        <v>4304</v>
      </c>
      <c r="J486" s="407" t="s">
        <v>3785</v>
      </c>
      <c r="K486" s="387" t="s">
        <v>4635</v>
      </c>
      <c r="L486" s="387">
        <v>1</v>
      </c>
      <c r="M486" s="387">
        <v>0</v>
      </c>
      <c r="N486" s="387">
        <f t="shared" si="73"/>
        <v>1</v>
      </c>
      <c r="O486" s="442">
        <f t="shared" si="74"/>
        <v>0</v>
      </c>
      <c r="P486" s="387" t="s">
        <v>1358</v>
      </c>
      <c r="Q486" s="459">
        <v>0</v>
      </c>
      <c r="R486" s="459"/>
      <c r="S486" s="456">
        <v>0</v>
      </c>
      <c r="T486" s="456">
        <v>25.099</v>
      </c>
      <c r="U486" s="410"/>
      <c r="V486" s="411">
        <v>0</v>
      </c>
      <c r="W486" s="411">
        <v>0</v>
      </c>
      <c r="X486" s="411">
        <v>0</v>
      </c>
      <c r="Y486" s="411"/>
      <c r="Z486" s="411"/>
      <c r="AA486" s="412">
        <f t="shared" si="75"/>
        <v>0</v>
      </c>
      <c r="AB486" s="456">
        <f t="shared" si="76"/>
        <v>0</v>
      </c>
      <c r="AC486" s="456">
        <v>0</v>
      </c>
      <c r="AD486" s="2"/>
      <c r="AE486" s="4"/>
      <c r="AF486" s="5"/>
      <c r="AG486" s="428"/>
    </row>
    <row r="487" spans="2:33" hidden="1" x14ac:dyDescent="0.25">
      <c r="B487" s="1" t="s">
        <v>2570</v>
      </c>
      <c r="C487" s="3" t="s">
        <v>1368</v>
      </c>
      <c r="D487" s="3" t="s">
        <v>1247</v>
      </c>
      <c r="E487" s="407" t="s">
        <v>1433</v>
      </c>
      <c r="F487" s="3" t="s">
        <v>1883</v>
      </c>
      <c r="G487" s="407" t="s">
        <v>4490</v>
      </c>
      <c r="H487" s="440" t="s">
        <v>4109</v>
      </c>
      <c r="I487" s="407" t="s">
        <v>4311</v>
      </c>
      <c r="J487" s="407" t="s">
        <v>3792</v>
      </c>
      <c r="K487" s="387" t="s">
        <v>4644</v>
      </c>
      <c r="L487" s="387">
        <v>1</v>
      </c>
      <c r="M487" s="387">
        <v>0</v>
      </c>
      <c r="N487" s="387">
        <f t="shared" si="73"/>
        <v>1</v>
      </c>
      <c r="O487" s="442">
        <f t="shared" si="74"/>
        <v>0</v>
      </c>
      <c r="P487" s="387" t="s">
        <v>1358</v>
      </c>
      <c r="Q487" s="459">
        <v>0</v>
      </c>
      <c r="R487" s="459"/>
      <c r="S487" s="456">
        <v>0</v>
      </c>
      <c r="T487" s="456">
        <v>25.099</v>
      </c>
      <c r="U487" s="410"/>
      <c r="V487" s="411">
        <v>0</v>
      </c>
      <c r="W487" s="411">
        <v>0</v>
      </c>
      <c r="X487" s="411">
        <v>0</v>
      </c>
      <c r="Y487" s="411"/>
      <c r="Z487" s="411"/>
      <c r="AA487" s="412">
        <f t="shared" si="75"/>
        <v>0</v>
      </c>
      <c r="AB487" s="456">
        <f t="shared" si="76"/>
        <v>0</v>
      </c>
      <c r="AC487" s="456">
        <v>0</v>
      </c>
      <c r="AD487" s="2"/>
      <c r="AE487" s="4"/>
      <c r="AF487" s="5"/>
      <c r="AG487" s="428"/>
    </row>
    <row r="488" spans="2:33" hidden="1" x14ac:dyDescent="0.25">
      <c r="B488" s="1" t="s">
        <v>2571</v>
      </c>
      <c r="C488" s="3" t="s">
        <v>1368</v>
      </c>
      <c r="D488" s="3" t="s">
        <v>1247</v>
      </c>
      <c r="E488" s="407" t="s">
        <v>1427</v>
      </c>
      <c r="F488" s="3" t="s">
        <v>1884</v>
      </c>
      <c r="G488" s="407" t="s">
        <v>4485</v>
      </c>
      <c r="H488" s="440" t="s">
        <v>4109</v>
      </c>
      <c r="I488" s="407" t="s">
        <v>4306</v>
      </c>
      <c r="J488" s="407" t="s">
        <v>3787</v>
      </c>
      <c r="K488" s="387" t="s">
        <v>4638</v>
      </c>
      <c r="L488" s="387">
        <v>1</v>
      </c>
      <c r="M488" s="387">
        <v>0</v>
      </c>
      <c r="N488" s="387">
        <f t="shared" si="73"/>
        <v>1</v>
      </c>
      <c r="O488" s="442">
        <f t="shared" si="74"/>
        <v>0</v>
      </c>
      <c r="P488" s="387" t="s">
        <v>1358</v>
      </c>
      <c r="Q488" s="459">
        <v>0</v>
      </c>
      <c r="R488" s="459"/>
      <c r="S488" s="456">
        <v>0</v>
      </c>
      <c r="T488" s="456">
        <v>25.099</v>
      </c>
      <c r="U488" s="410"/>
      <c r="V488" s="411">
        <v>0</v>
      </c>
      <c r="W488" s="411">
        <v>0</v>
      </c>
      <c r="X488" s="411">
        <v>0</v>
      </c>
      <c r="Y488" s="411"/>
      <c r="Z488" s="411"/>
      <c r="AA488" s="412">
        <f t="shared" si="75"/>
        <v>0</v>
      </c>
      <c r="AB488" s="456">
        <f t="shared" si="76"/>
        <v>0</v>
      </c>
      <c r="AC488" s="456">
        <v>0</v>
      </c>
      <c r="AD488" s="2"/>
      <c r="AE488" s="4"/>
      <c r="AF488" s="5"/>
      <c r="AG488" s="428"/>
    </row>
    <row r="489" spans="2:33" hidden="1" x14ac:dyDescent="0.25">
      <c r="B489" s="1" t="s">
        <v>2572</v>
      </c>
      <c r="C489" s="3" t="s">
        <v>1368</v>
      </c>
      <c r="D489" s="3" t="s">
        <v>1247</v>
      </c>
      <c r="E489" s="407" t="s">
        <v>1428</v>
      </c>
      <c r="F489" s="3" t="s">
        <v>1885</v>
      </c>
      <c r="G489" s="407" t="s">
        <v>4486</v>
      </c>
      <c r="H489" s="440" t="s">
        <v>4109</v>
      </c>
      <c r="I489" s="407" t="s">
        <v>4307</v>
      </c>
      <c r="J489" s="407" t="s">
        <v>3788</v>
      </c>
      <c r="K489" s="387" t="s">
        <v>4639</v>
      </c>
      <c r="L489" s="387">
        <v>1</v>
      </c>
      <c r="M489" s="387">
        <v>0</v>
      </c>
      <c r="N489" s="387">
        <f t="shared" si="73"/>
        <v>1</v>
      </c>
      <c r="O489" s="442">
        <f t="shared" si="74"/>
        <v>0</v>
      </c>
      <c r="P489" s="387" t="s">
        <v>1358</v>
      </c>
      <c r="Q489" s="459">
        <v>0</v>
      </c>
      <c r="R489" s="459"/>
      <c r="S489" s="456">
        <v>0</v>
      </c>
      <c r="T489" s="456">
        <v>25.099</v>
      </c>
      <c r="U489" s="410"/>
      <c r="V489" s="411">
        <v>0</v>
      </c>
      <c r="W489" s="411">
        <v>0</v>
      </c>
      <c r="X489" s="411">
        <v>0</v>
      </c>
      <c r="Y489" s="411"/>
      <c r="Z489" s="411"/>
      <c r="AA489" s="412">
        <f t="shared" si="75"/>
        <v>0</v>
      </c>
      <c r="AB489" s="456">
        <f t="shared" si="76"/>
        <v>0</v>
      </c>
      <c r="AC489" s="456">
        <v>0</v>
      </c>
      <c r="AD489" s="2"/>
      <c r="AE489" s="4"/>
      <c r="AF489" s="5"/>
      <c r="AG489" s="428"/>
    </row>
    <row r="490" spans="2:33" hidden="1" x14ac:dyDescent="0.25">
      <c r="B490" s="1" t="s">
        <v>2573</v>
      </c>
      <c r="C490" s="3" t="s">
        <v>1368</v>
      </c>
      <c r="D490" s="3" t="s">
        <v>1247</v>
      </c>
      <c r="E490" s="407" t="s">
        <v>1429</v>
      </c>
      <c r="F490" s="3" t="s">
        <v>1886</v>
      </c>
      <c r="G490" s="407" t="s">
        <v>4487</v>
      </c>
      <c r="H490" s="440" t="s">
        <v>4109</v>
      </c>
      <c r="I490" s="407" t="s">
        <v>4308</v>
      </c>
      <c r="J490" s="407" t="s">
        <v>3789</v>
      </c>
      <c r="K490" s="387" t="s">
        <v>4640</v>
      </c>
      <c r="L490" s="387">
        <v>1</v>
      </c>
      <c r="M490" s="387">
        <v>0</v>
      </c>
      <c r="N490" s="387">
        <f t="shared" si="73"/>
        <v>1</v>
      </c>
      <c r="O490" s="442">
        <f t="shared" si="74"/>
        <v>0</v>
      </c>
      <c r="P490" s="387" t="s">
        <v>1358</v>
      </c>
      <c r="Q490" s="459">
        <v>0</v>
      </c>
      <c r="R490" s="459"/>
      <c r="S490" s="456">
        <v>0</v>
      </c>
      <c r="T490" s="456">
        <v>25.099</v>
      </c>
      <c r="U490" s="410"/>
      <c r="V490" s="411">
        <v>0</v>
      </c>
      <c r="W490" s="411">
        <v>0</v>
      </c>
      <c r="X490" s="411">
        <v>0</v>
      </c>
      <c r="Y490" s="411"/>
      <c r="Z490" s="411"/>
      <c r="AA490" s="412">
        <f t="shared" si="75"/>
        <v>0</v>
      </c>
      <c r="AB490" s="456">
        <f t="shared" si="76"/>
        <v>0</v>
      </c>
      <c r="AC490" s="456">
        <v>0</v>
      </c>
      <c r="AD490" s="2"/>
      <c r="AE490" s="4"/>
      <c r="AF490" s="5"/>
      <c r="AG490" s="428"/>
    </row>
    <row r="491" spans="2:33" hidden="1" x14ac:dyDescent="0.25">
      <c r="B491" s="1" t="s">
        <v>2574</v>
      </c>
      <c r="C491" s="3" t="s">
        <v>1368</v>
      </c>
      <c r="D491" s="3" t="s">
        <v>1247</v>
      </c>
      <c r="E491" s="407" t="s">
        <v>1430</v>
      </c>
      <c r="F491" s="3" t="s">
        <v>1887</v>
      </c>
      <c r="G491" s="407" t="s">
        <v>4488</v>
      </c>
      <c r="H491" s="440" t="s">
        <v>4109</v>
      </c>
      <c r="I491" s="407" t="s">
        <v>4309</v>
      </c>
      <c r="J491" s="407" t="s">
        <v>3790</v>
      </c>
      <c r="K491" s="387" t="s">
        <v>4641</v>
      </c>
      <c r="L491" s="387">
        <v>1</v>
      </c>
      <c r="M491" s="387">
        <v>0</v>
      </c>
      <c r="N491" s="387">
        <f t="shared" si="73"/>
        <v>1</v>
      </c>
      <c r="O491" s="442">
        <f t="shared" si="74"/>
        <v>0</v>
      </c>
      <c r="P491" s="387" t="s">
        <v>1358</v>
      </c>
      <c r="Q491" s="459">
        <v>0</v>
      </c>
      <c r="R491" s="459"/>
      <c r="S491" s="456">
        <v>0</v>
      </c>
      <c r="T491" s="456">
        <v>25.099</v>
      </c>
      <c r="U491" s="410"/>
      <c r="V491" s="411">
        <v>0</v>
      </c>
      <c r="W491" s="411">
        <v>0</v>
      </c>
      <c r="X491" s="411">
        <v>0</v>
      </c>
      <c r="Y491" s="411"/>
      <c r="Z491" s="411"/>
      <c r="AA491" s="412">
        <f t="shared" si="75"/>
        <v>0</v>
      </c>
      <c r="AB491" s="456">
        <f t="shared" si="76"/>
        <v>0</v>
      </c>
      <c r="AC491" s="456">
        <v>0</v>
      </c>
      <c r="AD491" s="2"/>
      <c r="AE491" s="4"/>
      <c r="AF491" s="5"/>
      <c r="AG491" s="428"/>
    </row>
    <row r="492" spans="2:33" hidden="1" x14ac:dyDescent="0.25">
      <c r="B492" s="1" t="s">
        <v>2575</v>
      </c>
      <c r="C492" s="3" t="s">
        <v>1368</v>
      </c>
      <c r="D492" s="3" t="s">
        <v>1247</v>
      </c>
      <c r="E492" s="407" t="s">
        <v>1431</v>
      </c>
      <c r="F492" s="3" t="s">
        <v>1888</v>
      </c>
      <c r="G492" s="407" t="s">
        <v>4489</v>
      </c>
      <c r="H492" s="440" t="s">
        <v>4109</v>
      </c>
      <c r="I492" s="407" t="s">
        <v>4310</v>
      </c>
      <c r="J492" s="407" t="s">
        <v>3791</v>
      </c>
      <c r="K492" s="387" t="s">
        <v>4642</v>
      </c>
      <c r="L492" s="387">
        <v>1</v>
      </c>
      <c r="M492" s="387">
        <v>0</v>
      </c>
      <c r="N492" s="387">
        <f t="shared" si="73"/>
        <v>1</v>
      </c>
      <c r="O492" s="442">
        <f t="shared" si="74"/>
        <v>0</v>
      </c>
      <c r="P492" s="387" t="s">
        <v>1358</v>
      </c>
      <c r="Q492" s="459">
        <v>0</v>
      </c>
      <c r="R492" s="459"/>
      <c r="S492" s="456">
        <v>0</v>
      </c>
      <c r="T492" s="456">
        <v>25.099</v>
      </c>
      <c r="U492" s="410"/>
      <c r="V492" s="411">
        <v>0</v>
      </c>
      <c r="W492" s="411">
        <v>0</v>
      </c>
      <c r="X492" s="411">
        <v>0</v>
      </c>
      <c r="Y492" s="411"/>
      <c r="Z492" s="411"/>
      <c r="AA492" s="412">
        <f t="shared" si="75"/>
        <v>0</v>
      </c>
      <c r="AB492" s="456">
        <f t="shared" si="76"/>
        <v>0</v>
      </c>
      <c r="AC492" s="456">
        <v>0</v>
      </c>
      <c r="AD492" s="2"/>
      <c r="AE492" s="4"/>
      <c r="AF492" s="5"/>
      <c r="AG492" s="428"/>
    </row>
    <row r="493" spans="2:33" hidden="1" x14ac:dyDescent="0.25">
      <c r="B493" s="1" t="s">
        <v>2576</v>
      </c>
      <c r="C493" s="3" t="s">
        <v>1368</v>
      </c>
      <c r="D493" s="3" t="s">
        <v>1247</v>
      </c>
      <c r="E493" s="407" t="s">
        <v>3291</v>
      </c>
      <c r="F493" s="3" t="s">
        <v>1889</v>
      </c>
      <c r="G493" s="407" t="s">
        <v>4476</v>
      </c>
      <c r="H493" s="440" t="s">
        <v>4109</v>
      </c>
      <c r="I493" s="407" t="s">
        <v>4297</v>
      </c>
      <c r="J493" s="407" t="s">
        <v>3753</v>
      </c>
      <c r="K493" s="387" t="s">
        <v>4651</v>
      </c>
      <c r="L493" s="387">
        <v>1</v>
      </c>
      <c r="M493" s="387">
        <v>0</v>
      </c>
      <c r="N493" s="387">
        <f t="shared" si="73"/>
        <v>1</v>
      </c>
      <c r="O493" s="442">
        <f t="shared" si="74"/>
        <v>1.0000000000000002</v>
      </c>
      <c r="P493" s="387" t="s">
        <v>1358</v>
      </c>
      <c r="Q493" s="459">
        <v>0</v>
      </c>
      <c r="R493" s="459"/>
      <c r="S493" s="456">
        <v>0</v>
      </c>
      <c r="T493" s="456">
        <v>45.844000000000001</v>
      </c>
      <c r="U493" s="410"/>
      <c r="V493" s="411">
        <v>1</v>
      </c>
      <c r="W493" s="411">
        <v>1</v>
      </c>
      <c r="X493" s="411">
        <v>1</v>
      </c>
      <c r="Y493" s="411"/>
      <c r="Z493" s="411"/>
      <c r="AA493" s="412">
        <f t="shared" si="75"/>
        <v>1.0000000000000002</v>
      </c>
      <c r="AB493" s="456">
        <f t="shared" si="76"/>
        <v>45.844000000000008</v>
      </c>
      <c r="AC493" s="456">
        <v>0</v>
      </c>
      <c r="AD493" s="2"/>
      <c r="AE493" s="4"/>
      <c r="AF493" s="5"/>
      <c r="AG493" s="428"/>
    </row>
    <row r="494" spans="2:33" hidden="1" x14ac:dyDescent="0.25">
      <c r="B494" s="1" t="s">
        <v>2577</v>
      </c>
      <c r="C494" s="3" t="s">
        <v>1368</v>
      </c>
      <c r="D494" s="3" t="s">
        <v>1247</v>
      </c>
      <c r="E494" s="407" t="s">
        <v>3294</v>
      </c>
      <c r="F494" s="3" t="s">
        <v>1890</v>
      </c>
      <c r="G494" s="407" t="s">
        <v>4500</v>
      </c>
      <c r="H494" s="440" t="s">
        <v>4109</v>
      </c>
      <c r="I494" s="407" t="s">
        <v>4321</v>
      </c>
      <c r="J494" s="407" t="s">
        <v>3755</v>
      </c>
      <c r="K494" s="387" t="s">
        <v>4654</v>
      </c>
      <c r="L494" s="387">
        <v>1</v>
      </c>
      <c r="M494" s="387">
        <v>0</v>
      </c>
      <c r="N494" s="387">
        <f t="shared" si="73"/>
        <v>1</v>
      </c>
      <c r="O494" s="442">
        <f t="shared" si="74"/>
        <v>1</v>
      </c>
      <c r="P494" s="387" t="s">
        <v>1358</v>
      </c>
      <c r="Q494" s="459">
        <v>0</v>
      </c>
      <c r="R494" s="459"/>
      <c r="S494" s="456">
        <v>0</v>
      </c>
      <c r="T494" s="456">
        <v>33.006</v>
      </c>
      <c r="U494" s="410"/>
      <c r="V494" s="411">
        <v>1</v>
      </c>
      <c r="W494" s="411">
        <v>1</v>
      </c>
      <c r="X494" s="411">
        <v>1</v>
      </c>
      <c r="Y494" s="411"/>
      <c r="Z494" s="411"/>
      <c r="AA494" s="412">
        <f t="shared" si="75"/>
        <v>1</v>
      </c>
      <c r="AB494" s="456">
        <f t="shared" si="76"/>
        <v>33.006</v>
      </c>
      <c r="AC494" s="456">
        <v>0</v>
      </c>
      <c r="AD494" s="2"/>
      <c r="AE494" s="4"/>
      <c r="AF494" s="5"/>
      <c r="AG494" s="428"/>
    </row>
    <row r="495" spans="2:33" hidden="1" x14ac:dyDescent="0.25">
      <c r="B495" s="1" t="s">
        <v>2578</v>
      </c>
      <c r="C495" s="3" t="s">
        <v>1368</v>
      </c>
      <c r="D495" s="3" t="s">
        <v>1247</v>
      </c>
      <c r="E495" s="407" t="s">
        <v>1374</v>
      </c>
      <c r="F495" s="3" t="s">
        <v>1891</v>
      </c>
      <c r="G495" s="407" t="s">
        <v>4495</v>
      </c>
      <c r="H495" s="440" t="s">
        <v>4109</v>
      </c>
      <c r="I495" s="407" t="s">
        <v>4316</v>
      </c>
      <c r="J495" s="407" t="s">
        <v>3757</v>
      </c>
      <c r="K495" s="387" t="s">
        <v>4649</v>
      </c>
      <c r="L495" s="387">
        <v>1</v>
      </c>
      <c r="M495" s="387">
        <v>0</v>
      </c>
      <c r="N495" s="387">
        <f t="shared" si="73"/>
        <v>1</v>
      </c>
      <c r="O495" s="442">
        <f t="shared" si="74"/>
        <v>1</v>
      </c>
      <c r="P495" s="387" t="s">
        <v>1358</v>
      </c>
      <c r="Q495" s="459">
        <v>0</v>
      </c>
      <c r="R495" s="459"/>
      <c r="S495" s="456">
        <v>0</v>
      </c>
      <c r="T495" s="456">
        <v>33.96</v>
      </c>
      <c r="U495" s="410"/>
      <c r="V495" s="411">
        <v>1</v>
      </c>
      <c r="W495" s="411">
        <v>1</v>
      </c>
      <c r="X495" s="411">
        <v>1</v>
      </c>
      <c r="Y495" s="411"/>
      <c r="Z495" s="411"/>
      <c r="AA495" s="412">
        <f t="shared" si="75"/>
        <v>1</v>
      </c>
      <c r="AB495" s="456">
        <f t="shared" si="76"/>
        <v>33.96</v>
      </c>
      <c r="AC495" s="456">
        <v>0</v>
      </c>
      <c r="AD495" s="2"/>
      <c r="AE495" s="4"/>
      <c r="AF495" s="5"/>
      <c r="AG495" s="428"/>
    </row>
    <row r="496" spans="2:33" hidden="1" x14ac:dyDescent="0.25">
      <c r="B496" s="1" t="s">
        <v>2579</v>
      </c>
      <c r="C496" s="3" t="s">
        <v>1368</v>
      </c>
      <c r="D496" s="3" t="s">
        <v>1247</v>
      </c>
      <c r="E496" s="407" t="s">
        <v>1377</v>
      </c>
      <c r="F496" s="3" t="s">
        <v>1892</v>
      </c>
      <c r="G496" s="407" t="s">
        <v>4494</v>
      </c>
      <c r="H496" s="440" t="s">
        <v>4109</v>
      </c>
      <c r="I496" s="407" t="s">
        <v>4315</v>
      </c>
      <c r="J496" s="407" t="s">
        <v>3749</v>
      </c>
      <c r="K496" s="387" t="s">
        <v>4648</v>
      </c>
      <c r="L496" s="387">
        <v>1</v>
      </c>
      <c r="M496" s="387">
        <v>0</v>
      </c>
      <c r="N496" s="387">
        <f t="shared" si="73"/>
        <v>1</v>
      </c>
      <c r="O496" s="442">
        <f t="shared" si="74"/>
        <v>0</v>
      </c>
      <c r="P496" s="387" t="s">
        <v>1358</v>
      </c>
      <c r="Q496" s="459">
        <v>0</v>
      </c>
      <c r="R496" s="459"/>
      <c r="S496" s="456">
        <v>0</v>
      </c>
      <c r="T496" s="456">
        <v>44.59</v>
      </c>
      <c r="U496" s="410"/>
      <c r="V496" s="411">
        <v>0</v>
      </c>
      <c r="W496" s="411">
        <v>0</v>
      </c>
      <c r="X496" s="411">
        <v>0</v>
      </c>
      <c r="Y496" s="411"/>
      <c r="Z496" s="411"/>
      <c r="AA496" s="412">
        <f t="shared" si="75"/>
        <v>0</v>
      </c>
      <c r="AB496" s="456">
        <f t="shared" si="76"/>
        <v>0</v>
      </c>
      <c r="AC496" s="456">
        <v>0</v>
      </c>
      <c r="AD496" s="2"/>
      <c r="AE496" s="4"/>
      <c r="AF496" s="5"/>
      <c r="AG496" s="428"/>
    </row>
    <row r="497" spans="2:33" hidden="1" x14ac:dyDescent="0.25">
      <c r="B497" s="1" t="s">
        <v>2580</v>
      </c>
      <c r="C497" s="3" t="s">
        <v>1368</v>
      </c>
      <c r="D497" s="3" t="s">
        <v>1247</v>
      </c>
      <c r="E497" s="407" t="s">
        <v>1379</v>
      </c>
      <c r="F497" s="3" t="s">
        <v>1893</v>
      </c>
      <c r="G497" s="407" t="s">
        <v>4502</v>
      </c>
      <c r="H497" s="440" t="s">
        <v>4109</v>
      </c>
      <c r="I497" s="407" t="s">
        <v>4323</v>
      </c>
      <c r="J497" s="407" t="s">
        <v>3750</v>
      </c>
      <c r="K497" s="387" t="s">
        <v>4632</v>
      </c>
      <c r="L497" s="387">
        <v>1</v>
      </c>
      <c r="M497" s="387">
        <v>0</v>
      </c>
      <c r="N497" s="387">
        <f t="shared" si="73"/>
        <v>1</v>
      </c>
      <c r="O497" s="442">
        <f t="shared" si="74"/>
        <v>1.0000000000000002</v>
      </c>
      <c r="P497" s="387" t="s">
        <v>1358</v>
      </c>
      <c r="Q497" s="459">
        <v>0</v>
      </c>
      <c r="R497" s="459"/>
      <c r="S497" s="456">
        <v>0</v>
      </c>
      <c r="T497" s="456">
        <v>44.59</v>
      </c>
      <c r="U497" s="410"/>
      <c r="V497" s="411">
        <v>1</v>
      </c>
      <c r="W497" s="411">
        <v>1</v>
      </c>
      <c r="X497" s="411">
        <v>1</v>
      </c>
      <c r="Y497" s="411"/>
      <c r="Z497" s="411"/>
      <c r="AA497" s="412">
        <f t="shared" si="75"/>
        <v>1.0000000000000002</v>
      </c>
      <c r="AB497" s="456">
        <f t="shared" si="76"/>
        <v>44.590000000000011</v>
      </c>
      <c r="AC497" s="456">
        <v>0</v>
      </c>
      <c r="AD497" s="2"/>
      <c r="AE497" s="4"/>
      <c r="AF497" s="5"/>
      <c r="AG497" s="428"/>
    </row>
    <row r="498" spans="2:33" hidden="1" x14ac:dyDescent="0.25">
      <c r="B498" s="1" t="s">
        <v>2581</v>
      </c>
      <c r="C498" s="3" t="s">
        <v>1368</v>
      </c>
      <c r="D498" s="3" t="s">
        <v>1247</v>
      </c>
      <c r="E498" s="407" t="s">
        <v>1381</v>
      </c>
      <c r="F498" s="3" t="s">
        <v>1894</v>
      </c>
      <c r="G498" s="407" t="s">
        <v>4497</v>
      </c>
      <c r="H498" s="440" t="s">
        <v>4109</v>
      </c>
      <c r="I498" s="407" t="s">
        <v>4318</v>
      </c>
      <c r="J498" s="407" t="s">
        <v>3751</v>
      </c>
      <c r="K498" s="387" t="s">
        <v>4631</v>
      </c>
      <c r="L498" s="387">
        <v>1</v>
      </c>
      <c r="M498" s="387">
        <v>0</v>
      </c>
      <c r="N498" s="387">
        <f t="shared" si="73"/>
        <v>1</v>
      </c>
      <c r="O498" s="442">
        <f t="shared" si="74"/>
        <v>1</v>
      </c>
      <c r="P498" s="387" t="s">
        <v>1358</v>
      </c>
      <c r="Q498" s="459">
        <v>0</v>
      </c>
      <c r="R498" s="459"/>
      <c r="S498" s="456">
        <v>0</v>
      </c>
      <c r="T498" s="456">
        <v>33.96</v>
      </c>
      <c r="U498" s="410"/>
      <c r="V498" s="411">
        <v>1</v>
      </c>
      <c r="W498" s="411">
        <v>1</v>
      </c>
      <c r="X498" s="411">
        <v>1</v>
      </c>
      <c r="Y498" s="411"/>
      <c r="Z498" s="411"/>
      <c r="AA498" s="412">
        <f t="shared" si="75"/>
        <v>1</v>
      </c>
      <c r="AB498" s="456">
        <f t="shared" si="76"/>
        <v>33.96</v>
      </c>
      <c r="AC498" s="456">
        <v>0</v>
      </c>
      <c r="AD498" s="2"/>
      <c r="AE498" s="4"/>
      <c r="AF498" s="5"/>
      <c r="AG498" s="428"/>
    </row>
    <row r="499" spans="2:33" hidden="1" x14ac:dyDescent="0.25">
      <c r="B499" s="1" t="s">
        <v>2582</v>
      </c>
      <c r="C499" s="3" t="s">
        <v>1368</v>
      </c>
      <c r="D499" s="3" t="s">
        <v>1247</v>
      </c>
      <c r="E499" s="407" t="s">
        <v>1396</v>
      </c>
      <c r="F499" s="3" t="s">
        <v>1895</v>
      </c>
      <c r="G499" s="407" t="s">
        <v>4498</v>
      </c>
      <c r="H499" s="440" t="s">
        <v>4109</v>
      </c>
      <c r="I499" s="407" t="s">
        <v>4319</v>
      </c>
      <c r="J499" s="407" t="s">
        <v>3752</v>
      </c>
      <c r="K499" s="387" t="s">
        <v>4652</v>
      </c>
      <c r="L499" s="387">
        <v>1</v>
      </c>
      <c r="M499" s="387">
        <v>0</v>
      </c>
      <c r="N499" s="387">
        <f t="shared" si="73"/>
        <v>1</v>
      </c>
      <c r="O499" s="442">
        <f t="shared" si="74"/>
        <v>1.0000000000000002</v>
      </c>
      <c r="P499" s="387" t="s">
        <v>1358</v>
      </c>
      <c r="Q499" s="459">
        <v>0</v>
      </c>
      <c r="R499" s="459"/>
      <c r="S499" s="456">
        <v>0</v>
      </c>
      <c r="T499" s="456">
        <v>33.939</v>
      </c>
      <c r="U499" s="410"/>
      <c r="V499" s="411">
        <v>1</v>
      </c>
      <c r="W499" s="411">
        <v>1</v>
      </c>
      <c r="X499" s="411">
        <v>1</v>
      </c>
      <c r="Y499" s="411"/>
      <c r="Z499" s="411"/>
      <c r="AA499" s="412">
        <f t="shared" si="75"/>
        <v>1.0000000000000002</v>
      </c>
      <c r="AB499" s="456">
        <f t="shared" si="76"/>
        <v>33.939000000000007</v>
      </c>
      <c r="AC499" s="456">
        <v>0</v>
      </c>
      <c r="AD499" s="2"/>
      <c r="AE499" s="4"/>
      <c r="AF499" s="5"/>
      <c r="AG499" s="428"/>
    </row>
    <row r="500" spans="2:33" hidden="1" x14ac:dyDescent="0.25">
      <c r="B500" s="1" t="s">
        <v>2583</v>
      </c>
      <c r="C500" s="3" t="s">
        <v>1368</v>
      </c>
      <c r="D500" s="3" t="s">
        <v>1247</v>
      </c>
      <c r="E500" s="407" t="s">
        <v>1397</v>
      </c>
      <c r="F500" s="3" t="s">
        <v>1896</v>
      </c>
      <c r="G500" s="407" t="s">
        <v>4493</v>
      </c>
      <c r="H500" s="440" t="s">
        <v>4109</v>
      </c>
      <c r="I500" s="407" t="s">
        <v>4314</v>
      </c>
      <c r="J500" s="407" t="s">
        <v>3795</v>
      </c>
      <c r="K500" s="387" t="s">
        <v>4647</v>
      </c>
      <c r="L500" s="387">
        <v>1</v>
      </c>
      <c r="M500" s="387">
        <v>0</v>
      </c>
      <c r="N500" s="387">
        <f t="shared" si="73"/>
        <v>1</v>
      </c>
      <c r="O500" s="442">
        <f t="shared" si="74"/>
        <v>1</v>
      </c>
      <c r="P500" s="387" t="s">
        <v>1358</v>
      </c>
      <c r="Q500" s="459">
        <v>0</v>
      </c>
      <c r="R500" s="459"/>
      <c r="S500" s="456">
        <v>0</v>
      </c>
      <c r="T500" s="456">
        <v>18.753</v>
      </c>
      <c r="U500" s="410"/>
      <c r="V500" s="411">
        <v>1</v>
      </c>
      <c r="W500" s="411">
        <v>1</v>
      </c>
      <c r="X500" s="411">
        <v>1</v>
      </c>
      <c r="Y500" s="411"/>
      <c r="Z500" s="411"/>
      <c r="AA500" s="412">
        <f t="shared" si="75"/>
        <v>1</v>
      </c>
      <c r="AB500" s="456">
        <f t="shared" si="76"/>
        <v>18.753</v>
      </c>
      <c r="AC500" s="456">
        <v>0</v>
      </c>
      <c r="AD500" s="2"/>
      <c r="AE500" s="4"/>
      <c r="AF500" s="5"/>
      <c r="AG500" s="428"/>
    </row>
    <row r="501" spans="2:33" hidden="1" x14ac:dyDescent="0.25">
      <c r="B501" s="1" t="s">
        <v>2584</v>
      </c>
      <c r="C501" s="3" t="s">
        <v>1368</v>
      </c>
      <c r="D501" s="3" t="s">
        <v>1247</v>
      </c>
      <c r="E501" s="407" t="s">
        <v>1398</v>
      </c>
      <c r="F501" s="3" t="s">
        <v>1897</v>
      </c>
      <c r="G501" s="407" t="s">
        <v>4496</v>
      </c>
      <c r="H501" s="440" t="s">
        <v>4109</v>
      </c>
      <c r="I501" s="407" t="s">
        <v>4317</v>
      </c>
      <c r="J501" s="407" t="s">
        <v>3796</v>
      </c>
      <c r="K501" s="387" t="s">
        <v>4784</v>
      </c>
      <c r="L501" s="387">
        <v>2</v>
      </c>
      <c r="M501" s="387">
        <v>0</v>
      </c>
      <c r="N501" s="387">
        <f t="shared" si="73"/>
        <v>2</v>
      </c>
      <c r="O501" s="442">
        <f t="shared" si="74"/>
        <v>2</v>
      </c>
      <c r="P501" s="387" t="s">
        <v>1358</v>
      </c>
      <c r="Q501" s="459">
        <v>0</v>
      </c>
      <c r="R501" s="459"/>
      <c r="S501" s="456">
        <v>0</v>
      </c>
      <c r="T501" s="456">
        <v>38</v>
      </c>
      <c r="U501" s="410"/>
      <c r="V501" s="411">
        <v>1</v>
      </c>
      <c r="W501" s="411">
        <v>1</v>
      </c>
      <c r="X501" s="411">
        <v>1</v>
      </c>
      <c r="Y501" s="411"/>
      <c r="Z501" s="411"/>
      <c r="AA501" s="412">
        <f t="shared" si="75"/>
        <v>1</v>
      </c>
      <c r="AB501" s="456">
        <f t="shared" si="76"/>
        <v>38</v>
      </c>
      <c r="AC501" s="456">
        <v>0</v>
      </c>
      <c r="AD501" s="2"/>
      <c r="AE501" s="4"/>
      <c r="AF501" s="5"/>
      <c r="AG501" s="428"/>
    </row>
    <row r="502" spans="2:33" hidden="1" x14ac:dyDescent="0.25">
      <c r="B502" s="1" t="s">
        <v>2585</v>
      </c>
      <c r="C502" s="3" t="s">
        <v>1368</v>
      </c>
      <c r="D502" s="3" t="s">
        <v>1247</v>
      </c>
      <c r="E502" s="407" t="s">
        <v>1377</v>
      </c>
      <c r="F502" s="3" t="s">
        <v>1898</v>
      </c>
      <c r="G502" s="407" t="s">
        <v>4494</v>
      </c>
      <c r="H502" s="440" t="s">
        <v>4109</v>
      </c>
      <c r="I502" s="407" t="s">
        <v>4315</v>
      </c>
      <c r="J502" s="407" t="s">
        <v>3749</v>
      </c>
      <c r="K502" s="387" t="s">
        <v>4648</v>
      </c>
      <c r="L502" s="387">
        <v>1</v>
      </c>
      <c r="M502" s="387">
        <v>0</v>
      </c>
      <c r="N502" s="387">
        <f t="shared" ref="N502:N565" si="78">L502+M502</f>
        <v>1</v>
      </c>
      <c r="O502" s="442">
        <f t="shared" ref="O502:O565" si="79">L502*AA502</f>
        <v>1</v>
      </c>
      <c r="P502" s="387" t="s">
        <v>1358</v>
      </c>
      <c r="Q502" s="459">
        <v>0</v>
      </c>
      <c r="R502" s="459"/>
      <c r="S502" s="456">
        <v>0</v>
      </c>
      <c r="T502" s="456">
        <v>18.753</v>
      </c>
      <c r="U502" s="410"/>
      <c r="V502" s="411">
        <v>1</v>
      </c>
      <c r="W502" s="411">
        <v>1</v>
      </c>
      <c r="X502" s="411">
        <v>1</v>
      </c>
      <c r="Y502" s="411"/>
      <c r="Z502" s="411"/>
      <c r="AA502" s="412">
        <f t="shared" ref="AA502:AA565" si="80">AB502/T502</f>
        <v>1</v>
      </c>
      <c r="AB502" s="456">
        <f t="shared" ref="AB502:AB565" si="81">(V502*V$369*T502)+(W502*W$369*T502)+(X502*X$369*T502)</f>
        <v>18.753</v>
      </c>
      <c r="AC502" s="456">
        <v>0</v>
      </c>
      <c r="AD502" s="2"/>
      <c r="AE502" s="4"/>
      <c r="AF502" s="5"/>
      <c r="AG502" s="428"/>
    </row>
    <row r="503" spans="2:33" hidden="1" x14ac:dyDescent="0.25">
      <c r="B503" s="1" t="s">
        <v>2586</v>
      </c>
      <c r="C503" s="3" t="s">
        <v>1368</v>
      </c>
      <c r="D503" s="3" t="s">
        <v>1247</v>
      </c>
      <c r="E503" s="407" t="s">
        <v>1379</v>
      </c>
      <c r="F503" s="3" t="s">
        <v>1899</v>
      </c>
      <c r="G503" s="407" t="s">
        <v>4502</v>
      </c>
      <c r="H503" s="440" t="s">
        <v>4109</v>
      </c>
      <c r="I503" s="407" t="s">
        <v>4323</v>
      </c>
      <c r="J503" s="407" t="s">
        <v>3750</v>
      </c>
      <c r="K503" s="387" t="s">
        <v>4632</v>
      </c>
      <c r="L503" s="387">
        <v>1</v>
      </c>
      <c r="M503" s="387">
        <v>0</v>
      </c>
      <c r="N503" s="387">
        <f t="shared" si="78"/>
        <v>1</v>
      </c>
      <c r="O503" s="442">
        <f t="shared" si="79"/>
        <v>1</v>
      </c>
      <c r="P503" s="387" t="s">
        <v>1358</v>
      </c>
      <c r="Q503" s="459">
        <v>0</v>
      </c>
      <c r="R503" s="459"/>
      <c r="S503" s="456">
        <v>0</v>
      </c>
      <c r="T503" s="456">
        <v>18.753</v>
      </c>
      <c r="U503" s="410"/>
      <c r="V503" s="411">
        <v>1</v>
      </c>
      <c r="W503" s="411">
        <v>1</v>
      </c>
      <c r="X503" s="411">
        <v>1</v>
      </c>
      <c r="Y503" s="411"/>
      <c r="Z503" s="411"/>
      <c r="AA503" s="412">
        <f t="shared" si="80"/>
        <v>1</v>
      </c>
      <c r="AB503" s="456">
        <f t="shared" si="81"/>
        <v>18.753</v>
      </c>
      <c r="AC503" s="456">
        <v>0</v>
      </c>
      <c r="AD503" s="2"/>
      <c r="AE503" s="4"/>
      <c r="AF503" s="5"/>
      <c r="AG503" s="428"/>
    </row>
    <row r="504" spans="2:33" hidden="1" x14ac:dyDescent="0.25">
      <c r="B504" s="1" t="s">
        <v>2587</v>
      </c>
      <c r="C504" s="3" t="s">
        <v>1368</v>
      </c>
      <c r="D504" s="3" t="s">
        <v>1247</v>
      </c>
      <c r="E504" s="407" t="s">
        <v>1381</v>
      </c>
      <c r="F504" s="3" t="s">
        <v>1900</v>
      </c>
      <c r="G504" s="407" t="s">
        <v>4497</v>
      </c>
      <c r="H504" s="440" t="s">
        <v>4109</v>
      </c>
      <c r="I504" s="407" t="s">
        <v>4318</v>
      </c>
      <c r="J504" s="407" t="s">
        <v>3751</v>
      </c>
      <c r="K504" s="387" t="s">
        <v>4631</v>
      </c>
      <c r="L504" s="387">
        <v>1</v>
      </c>
      <c r="M504" s="387">
        <v>0</v>
      </c>
      <c r="N504" s="387">
        <f t="shared" si="78"/>
        <v>1</v>
      </c>
      <c r="O504" s="442">
        <f t="shared" si="79"/>
        <v>1</v>
      </c>
      <c r="P504" s="387" t="s">
        <v>1358</v>
      </c>
      <c r="Q504" s="459">
        <v>0</v>
      </c>
      <c r="R504" s="459"/>
      <c r="S504" s="456">
        <v>0</v>
      </c>
      <c r="T504" s="456">
        <v>18.753</v>
      </c>
      <c r="U504" s="410"/>
      <c r="V504" s="411">
        <v>1</v>
      </c>
      <c r="W504" s="411">
        <v>1</v>
      </c>
      <c r="X504" s="411">
        <v>1</v>
      </c>
      <c r="Y504" s="411"/>
      <c r="Z504" s="411"/>
      <c r="AA504" s="412">
        <f t="shared" si="80"/>
        <v>1</v>
      </c>
      <c r="AB504" s="456">
        <f t="shared" si="81"/>
        <v>18.753</v>
      </c>
      <c r="AC504" s="456">
        <v>0</v>
      </c>
      <c r="AD504" s="2"/>
      <c r="AE504" s="4"/>
      <c r="AF504" s="5"/>
      <c r="AG504" s="428"/>
    </row>
    <row r="505" spans="2:33" hidden="1" x14ac:dyDescent="0.25">
      <c r="B505" s="1" t="s">
        <v>2588</v>
      </c>
      <c r="C505" s="3" t="s">
        <v>1368</v>
      </c>
      <c r="D505" s="3" t="s">
        <v>1247</v>
      </c>
      <c r="E505" s="407" t="s">
        <v>1396</v>
      </c>
      <c r="F505" s="3" t="s">
        <v>1901</v>
      </c>
      <c r="G505" s="407" t="s">
        <v>4498</v>
      </c>
      <c r="H505" s="440" t="s">
        <v>4109</v>
      </c>
      <c r="I505" s="407" t="s">
        <v>4319</v>
      </c>
      <c r="J505" s="407" t="s">
        <v>3752</v>
      </c>
      <c r="K505" s="387" t="s">
        <v>4652</v>
      </c>
      <c r="L505" s="387">
        <v>1</v>
      </c>
      <c r="M505" s="387">
        <v>0</v>
      </c>
      <c r="N505" s="387">
        <f t="shared" si="78"/>
        <v>1</v>
      </c>
      <c r="O505" s="442">
        <f t="shared" si="79"/>
        <v>1</v>
      </c>
      <c r="P505" s="387" t="s">
        <v>1358</v>
      </c>
      <c r="Q505" s="459">
        <v>0</v>
      </c>
      <c r="R505" s="459"/>
      <c r="S505" s="456">
        <v>0</v>
      </c>
      <c r="T505" s="456">
        <v>18.753</v>
      </c>
      <c r="U505" s="410"/>
      <c r="V505" s="411">
        <v>1</v>
      </c>
      <c r="W505" s="411">
        <v>1</v>
      </c>
      <c r="X505" s="411">
        <v>1</v>
      </c>
      <c r="Y505" s="411"/>
      <c r="Z505" s="411"/>
      <c r="AA505" s="412">
        <f t="shared" si="80"/>
        <v>1</v>
      </c>
      <c r="AB505" s="456">
        <f t="shared" si="81"/>
        <v>18.753</v>
      </c>
      <c r="AC505" s="456">
        <v>0</v>
      </c>
      <c r="AD505" s="2"/>
      <c r="AE505" s="4"/>
      <c r="AF505" s="5"/>
      <c r="AG505" s="428"/>
    </row>
    <row r="506" spans="2:33" hidden="1" x14ac:dyDescent="0.25">
      <c r="B506" s="1" t="s">
        <v>2589</v>
      </c>
      <c r="C506" s="3" t="s">
        <v>1368</v>
      </c>
      <c r="D506" s="3" t="s">
        <v>1247</v>
      </c>
      <c r="E506" s="407" t="s">
        <v>1399</v>
      </c>
      <c r="F506" s="3" t="s">
        <v>1902</v>
      </c>
      <c r="G506" s="407" t="s">
        <v>4499</v>
      </c>
      <c r="H506" s="440" t="s">
        <v>4109</v>
      </c>
      <c r="I506" s="407" t="s">
        <v>4320</v>
      </c>
      <c r="J506" s="407" t="s">
        <v>3758</v>
      </c>
      <c r="K506" s="387" t="s">
        <v>5156</v>
      </c>
      <c r="L506" s="387">
        <v>1</v>
      </c>
      <c r="M506" s="387">
        <v>1</v>
      </c>
      <c r="N506" s="387">
        <f t="shared" si="78"/>
        <v>2</v>
      </c>
      <c r="O506" s="442">
        <f>L506*AA506</f>
        <v>1</v>
      </c>
      <c r="P506" s="387" t="s">
        <v>1358</v>
      </c>
      <c r="Q506" s="459">
        <v>0</v>
      </c>
      <c r="R506" s="459"/>
      <c r="S506" s="456">
        <v>0</v>
      </c>
      <c r="T506" s="456">
        <v>37.506</v>
      </c>
      <c r="U506" s="410"/>
      <c r="V506" s="411">
        <v>1</v>
      </c>
      <c r="W506" s="411">
        <v>1</v>
      </c>
      <c r="X506" s="411">
        <v>1</v>
      </c>
      <c r="Y506" s="411"/>
      <c r="Z506" s="411"/>
      <c r="AA506" s="412">
        <f t="shared" si="80"/>
        <v>1</v>
      </c>
      <c r="AB506" s="456">
        <f t="shared" si="81"/>
        <v>37.506</v>
      </c>
      <c r="AC506" s="456">
        <v>0</v>
      </c>
      <c r="AD506" s="2"/>
      <c r="AE506" s="4"/>
      <c r="AF506" s="5"/>
      <c r="AG506" s="428"/>
    </row>
    <row r="507" spans="2:33" hidden="1" x14ac:dyDescent="0.25">
      <c r="B507" s="1" t="s">
        <v>2590</v>
      </c>
      <c r="C507" s="3" t="s">
        <v>1368</v>
      </c>
      <c r="D507" s="3" t="s">
        <v>1247</v>
      </c>
      <c r="E507" s="407" t="s">
        <v>1397</v>
      </c>
      <c r="F507" s="3" t="s">
        <v>1903</v>
      </c>
      <c r="G507" s="407" t="s">
        <v>4493</v>
      </c>
      <c r="H507" s="440" t="s">
        <v>4109</v>
      </c>
      <c r="I507" s="407" t="s">
        <v>4314</v>
      </c>
      <c r="J507" s="407" t="s">
        <v>3795</v>
      </c>
      <c r="K507" s="387" t="s">
        <v>4647</v>
      </c>
      <c r="L507" s="387">
        <v>1</v>
      </c>
      <c r="M507" s="387">
        <v>0</v>
      </c>
      <c r="N507" s="387">
        <f t="shared" si="78"/>
        <v>1</v>
      </c>
      <c r="O507" s="442">
        <f t="shared" si="79"/>
        <v>0</v>
      </c>
      <c r="P507" s="387" t="s">
        <v>1358</v>
      </c>
      <c r="Q507" s="459">
        <v>0</v>
      </c>
      <c r="R507" s="459"/>
      <c r="S507" s="456">
        <v>0</v>
      </c>
      <c r="T507" s="456">
        <v>2.0790000000000002</v>
      </c>
      <c r="U507" s="410"/>
      <c r="V507" s="411">
        <v>0</v>
      </c>
      <c r="W507" s="411">
        <v>0</v>
      </c>
      <c r="X507" s="411">
        <v>0</v>
      </c>
      <c r="Y507" s="411"/>
      <c r="Z507" s="411"/>
      <c r="AA507" s="412">
        <f t="shared" si="80"/>
        <v>0</v>
      </c>
      <c r="AB507" s="456">
        <f t="shared" si="81"/>
        <v>0</v>
      </c>
      <c r="AC507" s="456">
        <v>0</v>
      </c>
      <c r="AD507" s="2"/>
      <c r="AE507" s="4"/>
      <c r="AF507" s="5"/>
      <c r="AG507" s="428"/>
    </row>
    <row r="508" spans="2:33" hidden="1" x14ac:dyDescent="0.25">
      <c r="B508" s="1" t="s">
        <v>2591</v>
      </c>
      <c r="C508" s="3" t="s">
        <v>1368</v>
      </c>
      <c r="D508" s="3" t="s">
        <v>1247</v>
      </c>
      <c r="E508" s="407" t="s">
        <v>1398</v>
      </c>
      <c r="F508" s="3" t="s">
        <v>1904</v>
      </c>
      <c r="G508" s="407" t="s">
        <v>4496</v>
      </c>
      <c r="H508" s="440" t="s">
        <v>4109</v>
      </c>
      <c r="I508" s="407" t="s">
        <v>4317</v>
      </c>
      <c r="J508" s="407" t="s">
        <v>3796</v>
      </c>
      <c r="K508" s="387" t="s">
        <v>4650</v>
      </c>
      <c r="L508" s="387">
        <v>1</v>
      </c>
      <c r="M508" s="387">
        <v>0</v>
      </c>
      <c r="N508" s="387">
        <f t="shared" si="78"/>
        <v>1</v>
      </c>
      <c r="O508" s="442">
        <f t="shared" si="79"/>
        <v>0</v>
      </c>
      <c r="P508" s="387" t="s">
        <v>1358</v>
      </c>
      <c r="Q508" s="459">
        <v>0</v>
      </c>
      <c r="R508" s="459"/>
      <c r="S508" s="456">
        <v>0</v>
      </c>
      <c r="T508" s="456">
        <v>2.0790000000000002</v>
      </c>
      <c r="U508" s="410"/>
      <c r="V508" s="411">
        <v>0</v>
      </c>
      <c r="W508" s="411">
        <v>0</v>
      </c>
      <c r="X508" s="411">
        <v>0</v>
      </c>
      <c r="Y508" s="411"/>
      <c r="Z508" s="411"/>
      <c r="AA508" s="412">
        <f t="shared" si="80"/>
        <v>0</v>
      </c>
      <c r="AB508" s="456">
        <f t="shared" si="81"/>
        <v>0</v>
      </c>
      <c r="AC508" s="456">
        <v>0</v>
      </c>
      <c r="AD508" s="2"/>
      <c r="AE508" s="4"/>
      <c r="AF508" s="5"/>
      <c r="AG508" s="428"/>
    </row>
    <row r="509" spans="2:33" hidden="1" x14ac:dyDescent="0.25">
      <c r="B509" s="1" t="s">
        <v>2592</v>
      </c>
      <c r="C509" s="3" t="s">
        <v>1368</v>
      </c>
      <c r="D509" s="3" t="s">
        <v>1247</v>
      </c>
      <c r="E509" s="407" t="s">
        <v>1374</v>
      </c>
      <c r="F509" s="3" t="s">
        <v>1905</v>
      </c>
      <c r="G509" s="407" t="s">
        <v>4495</v>
      </c>
      <c r="H509" s="440" t="s">
        <v>4109</v>
      </c>
      <c r="I509" s="407" t="s">
        <v>4316</v>
      </c>
      <c r="J509" s="407" t="s">
        <v>3757</v>
      </c>
      <c r="K509" s="387" t="s">
        <v>4649</v>
      </c>
      <c r="L509" s="387">
        <v>1</v>
      </c>
      <c r="M509" s="387">
        <v>0</v>
      </c>
      <c r="N509" s="387">
        <f t="shared" si="78"/>
        <v>1</v>
      </c>
      <c r="O509" s="442">
        <f t="shared" si="79"/>
        <v>1</v>
      </c>
      <c r="P509" s="387" t="s">
        <v>1358</v>
      </c>
      <c r="Q509" s="459">
        <v>0</v>
      </c>
      <c r="R509" s="459"/>
      <c r="S509" s="456">
        <v>0</v>
      </c>
      <c r="T509" s="456">
        <v>2.0790000000000002</v>
      </c>
      <c r="U509" s="410"/>
      <c r="V509" s="411">
        <v>1</v>
      </c>
      <c r="W509" s="411">
        <v>1</v>
      </c>
      <c r="X509" s="411">
        <v>1</v>
      </c>
      <c r="Y509" s="411"/>
      <c r="Z509" s="411"/>
      <c r="AA509" s="412">
        <f t="shared" si="80"/>
        <v>1</v>
      </c>
      <c r="AB509" s="456">
        <f t="shared" si="81"/>
        <v>2.0790000000000002</v>
      </c>
      <c r="AC509" s="456">
        <v>0</v>
      </c>
      <c r="AD509" s="2"/>
      <c r="AE509" s="4"/>
      <c r="AF509" s="5"/>
      <c r="AG509" s="428"/>
    </row>
    <row r="510" spans="2:33" hidden="1" x14ac:dyDescent="0.25">
      <c r="B510" s="1" t="s">
        <v>2593</v>
      </c>
      <c r="C510" s="3" t="s">
        <v>1368</v>
      </c>
      <c r="D510" s="3" t="s">
        <v>1247</v>
      </c>
      <c r="E510" s="407" t="s">
        <v>1377</v>
      </c>
      <c r="F510" s="3" t="s">
        <v>1906</v>
      </c>
      <c r="G510" s="407" t="s">
        <v>4494</v>
      </c>
      <c r="H510" s="440" t="s">
        <v>4109</v>
      </c>
      <c r="I510" s="407" t="s">
        <v>4315</v>
      </c>
      <c r="J510" s="407" t="s">
        <v>3749</v>
      </c>
      <c r="K510" s="387" t="s">
        <v>4648</v>
      </c>
      <c r="L510" s="387">
        <v>1</v>
      </c>
      <c r="M510" s="387">
        <v>0</v>
      </c>
      <c r="N510" s="387">
        <f t="shared" si="78"/>
        <v>1</v>
      </c>
      <c r="O510" s="442">
        <f t="shared" si="79"/>
        <v>0</v>
      </c>
      <c r="P510" s="387" t="s">
        <v>1358</v>
      </c>
      <c r="Q510" s="459">
        <v>0</v>
      </c>
      <c r="R510" s="459"/>
      <c r="S510" s="456">
        <v>0</v>
      </c>
      <c r="T510" s="456">
        <v>2.0790000000000002</v>
      </c>
      <c r="U510" s="410"/>
      <c r="V510" s="411">
        <v>0</v>
      </c>
      <c r="W510" s="411">
        <v>0</v>
      </c>
      <c r="X510" s="411">
        <v>0</v>
      </c>
      <c r="Y510" s="411"/>
      <c r="Z510" s="411"/>
      <c r="AA510" s="412">
        <f t="shared" si="80"/>
        <v>0</v>
      </c>
      <c r="AB510" s="456">
        <f t="shared" si="81"/>
        <v>0</v>
      </c>
      <c r="AC510" s="456">
        <v>0</v>
      </c>
      <c r="AD510" s="2"/>
      <c r="AE510" s="4"/>
      <c r="AF510" s="5"/>
      <c r="AG510" s="428"/>
    </row>
    <row r="511" spans="2:33" hidden="1" x14ac:dyDescent="0.25">
      <c r="B511" s="1" t="s">
        <v>2594</v>
      </c>
      <c r="C511" s="3" t="s">
        <v>1368</v>
      </c>
      <c r="D511" s="3" t="s">
        <v>1247</v>
      </c>
      <c r="E511" s="407" t="s">
        <v>1379</v>
      </c>
      <c r="F511" s="3" t="s">
        <v>1907</v>
      </c>
      <c r="G511" s="407" t="s">
        <v>4502</v>
      </c>
      <c r="H511" s="440" t="s">
        <v>4109</v>
      </c>
      <c r="I511" s="407" t="s">
        <v>4323</v>
      </c>
      <c r="J511" s="407" t="s">
        <v>3750</v>
      </c>
      <c r="K511" s="387" t="s">
        <v>4632</v>
      </c>
      <c r="L511" s="387">
        <v>1</v>
      </c>
      <c r="M511" s="387">
        <v>0</v>
      </c>
      <c r="N511" s="387">
        <f t="shared" si="78"/>
        <v>1</v>
      </c>
      <c r="O511" s="442">
        <f t="shared" si="79"/>
        <v>1</v>
      </c>
      <c r="P511" s="387" t="s">
        <v>1358</v>
      </c>
      <c r="Q511" s="459">
        <v>0</v>
      </c>
      <c r="R511" s="459"/>
      <c r="S511" s="456">
        <v>0</v>
      </c>
      <c r="T511" s="456">
        <v>2.0790000000000002</v>
      </c>
      <c r="U511" s="410"/>
      <c r="V511" s="411">
        <v>1</v>
      </c>
      <c r="W511" s="411">
        <v>1</v>
      </c>
      <c r="X511" s="411">
        <v>1</v>
      </c>
      <c r="Y511" s="411"/>
      <c r="Z511" s="411"/>
      <c r="AA511" s="412">
        <f t="shared" si="80"/>
        <v>1</v>
      </c>
      <c r="AB511" s="456">
        <f t="shared" si="81"/>
        <v>2.0790000000000002</v>
      </c>
      <c r="AC511" s="456">
        <v>0</v>
      </c>
      <c r="AD511" s="2"/>
      <c r="AE511" s="4"/>
      <c r="AF511" s="5"/>
      <c r="AG511" s="428"/>
    </row>
    <row r="512" spans="2:33" hidden="1" x14ac:dyDescent="0.25">
      <c r="B512" s="1" t="s">
        <v>2595</v>
      </c>
      <c r="C512" s="3" t="s">
        <v>1368</v>
      </c>
      <c r="D512" s="3" t="s">
        <v>1247</v>
      </c>
      <c r="E512" s="407" t="s">
        <v>1425</v>
      </c>
      <c r="F512" s="3" t="s">
        <v>1908</v>
      </c>
      <c r="G512" s="407" t="s">
        <v>4479</v>
      </c>
      <c r="H512" s="440" t="s">
        <v>4109</v>
      </c>
      <c r="I512" s="407" t="s">
        <v>4300</v>
      </c>
      <c r="J512" s="407" t="s">
        <v>3781</v>
      </c>
      <c r="K512" s="387" t="s">
        <v>4643</v>
      </c>
      <c r="L512" s="387">
        <v>1</v>
      </c>
      <c r="M512" s="387">
        <v>0</v>
      </c>
      <c r="N512" s="387">
        <f t="shared" si="78"/>
        <v>1</v>
      </c>
      <c r="O512" s="442">
        <f t="shared" si="79"/>
        <v>1.0000000000000002</v>
      </c>
      <c r="P512" s="387" t="s">
        <v>1358</v>
      </c>
      <c r="Q512" s="459">
        <v>0</v>
      </c>
      <c r="R512" s="459"/>
      <c r="S512" s="456">
        <v>0</v>
      </c>
      <c r="T512" s="456">
        <v>2.0859999999999999</v>
      </c>
      <c r="U512" s="410"/>
      <c r="V512" s="411">
        <v>1</v>
      </c>
      <c r="W512" s="411">
        <v>1</v>
      </c>
      <c r="X512" s="411">
        <v>1</v>
      </c>
      <c r="Y512" s="411"/>
      <c r="Z512" s="411"/>
      <c r="AA512" s="412">
        <f t="shared" si="80"/>
        <v>1.0000000000000002</v>
      </c>
      <c r="AB512" s="456">
        <f t="shared" si="81"/>
        <v>2.0860000000000003</v>
      </c>
      <c r="AC512" s="456">
        <v>0</v>
      </c>
      <c r="AD512" s="2"/>
      <c r="AE512" s="4"/>
      <c r="AF512" s="5"/>
      <c r="AG512" s="428"/>
    </row>
    <row r="513" spans="2:33" hidden="1" x14ac:dyDescent="0.25">
      <c r="B513" s="1" t="s">
        <v>2596</v>
      </c>
      <c r="C513" s="3" t="s">
        <v>1368</v>
      </c>
      <c r="D513" s="3" t="s">
        <v>1247</v>
      </c>
      <c r="E513" s="407" t="s">
        <v>1426</v>
      </c>
      <c r="F513" s="3" t="s">
        <v>1909</v>
      </c>
      <c r="G513" s="407" t="s">
        <v>4480</v>
      </c>
      <c r="H513" s="440" t="s">
        <v>4109</v>
      </c>
      <c r="I513" s="407" t="s">
        <v>4301</v>
      </c>
      <c r="J513" s="407" t="s">
        <v>3782</v>
      </c>
      <c r="K513" s="387" t="s">
        <v>4637</v>
      </c>
      <c r="L513" s="387">
        <v>1</v>
      </c>
      <c r="M513" s="387">
        <v>0</v>
      </c>
      <c r="N513" s="387">
        <f t="shared" si="78"/>
        <v>1</v>
      </c>
      <c r="O513" s="442">
        <f t="shared" si="79"/>
        <v>0</v>
      </c>
      <c r="P513" s="387" t="s">
        <v>1358</v>
      </c>
      <c r="Q513" s="459">
        <v>0</v>
      </c>
      <c r="R513" s="459"/>
      <c r="S513" s="456">
        <v>0</v>
      </c>
      <c r="T513" s="456">
        <v>2.0859999999999999</v>
      </c>
      <c r="U513" s="410"/>
      <c r="V513" s="411">
        <v>0</v>
      </c>
      <c r="W513" s="411">
        <v>0</v>
      </c>
      <c r="X513" s="411">
        <v>0</v>
      </c>
      <c r="Y513" s="411"/>
      <c r="Z513" s="411"/>
      <c r="AA513" s="412">
        <f t="shared" si="80"/>
        <v>0</v>
      </c>
      <c r="AB513" s="456">
        <f t="shared" si="81"/>
        <v>0</v>
      </c>
      <c r="AC513" s="456">
        <v>0</v>
      </c>
      <c r="AD513" s="2"/>
      <c r="AE513" s="4"/>
      <c r="AF513" s="5"/>
      <c r="AG513" s="428"/>
    </row>
    <row r="514" spans="2:33" hidden="1" x14ac:dyDescent="0.25">
      <c r="B514" s="1" t="s">
        <v>2597</v>
      </c>
      <c r="C514" s="3" t="s">
        <v>1368</v>
      </c>
      <c r="D514" s="3" t="s">
        <v>1247</v>
      </c>
      <c r="E514" s="407" t="s">
        <v>3291</v>
      </c>
      <c r="F514" s="3" t="s">
        <v>1910</v>
      </c>
      <c r="G514" s="407" t="s">
        <v>4476</v>
      </c>
      <c r="H514" s="440" t="s">
        <v>4109</v>
      </c>
      <c r="I514" s="407" t="s">
        <v>4297</v>
      </c>
      <c r="J514" s="407" t="s">
        <v>3753</v>
      </c>
      <c r="K514" s="387" t="s">
        <v>4651</v>
      </c>
      <c r="L514" s="387">
        <v>1</v>
      </c>
      <c r="M514" s="387">
        <v>0</v>
      </c>
      <c r="N514" s="387">
        <f t="shared" si="78"/>
        <v>1</v>
      </c>
      <c r="O514" s="442">
        <f t="shared" si="79"/>
        <v>1</v>
      </c>
      <c r="P514" s="387" t="s">
        <v>1358</v>
      </c>
      <c r="Q514" s="459">
        <v>0</v>
      </c>
      <c r="R514" s="459"/>
      <c r="S514" s="456">
        <v>0</v>
      </c>
      <c r="T514" s="456">
        <v>79.427000000000007</v>
      </c>
      <c r="U514" s="410"/>
      <c r="V514" s="411">
        <v>1</v>
      </c>
      <c r="W514" s="411">
        <v>1</v>
      </c>
      <c r="X514" s="411">
        <v>1</v>
      </c>
      <c r="Y514" s="411"/>
      <c r="Z514" s="411"/>
      <c r="AA514" s="412">
        <f t="shared" si="80"/>
        <v>1</v>
      </c>
      <c r="AB514" s="456">
        <f t="shared" si="81"/>
        <v>79.427000000000007</v>
      </c>
      <c r="AC514" s="456">
        <v>0</v>
      </c>
      <c r="AD514" s="2"/>
      <c r="AE514" s="4"/>
      <c r="AF514" s="5"/>
      <c r="AG514" s="428"/>
    </row>
    <row r="515" spans="2:33" hidden="1" x14ac:dyDescent="0.25">
      <c r="B515" s="1" t="s">
        <v>2598</v>
      </c>
      <c r="C515" s="3" t="s">
        <v>1368</v>
      </c>
      <c r="D515" s="3" t="s">
        <v>1247</v>
      </c>
      <c r="E515" s="407" t="s">
        <v>3293</v>
      </c>
      <c r="F515" s="3" t="s">
        <v>1911</v>
      </c>
      <c r="G515" s="407" t="s">
        <v>4503</v>
      </c>
      <c r="H515" s="440" t="s">
        <v>4109</v>
      </c>
      <c r="I515" s="407" t="s">
        <v>4324</v>
      </c>
      <c r="J515" s="407" t="s">
        <v>3798</v>
      </c>
      <c r="K515" s="387" t="s">
        <v>4658</v>
      </c>
      <c r="L515" s="387">
        <v>1</v>
      </c>
      <c r="M515" s="387">
        <v>0</v>
      </c>
      <c r="N515" s="387">
        <f t="shared" si="78"/>
        <v>1</v>
      </c>
      <c r="O515" s="442">
        <f t="shared" si="79"/>
        <v>1</v>
      </c>
      <c r="P515" s="387" t="s">
        <v>1358</v>
      </c>
      <c r="Q515" s="459">
        <v>0</v>
      </c>
      <c r="R515" s="459"/>
      <c r="S515" s="456">
        <v>0</v>
      </c>
      <c r="T515" s="456">
        <v>63.454000000000001</v>
      </c>
      <c r="U515" s="410"/>
      <c r="V515" s="411">
        <v>1</v>
      </c>
      <c r="W515" s="411">
        <v>1</v>
      </c>
      <c r="X515" s="411">
        <v>1</v>
      </c>
      <c r="Y515" s="411"/>
      <c r="Z515" s="411"/>
      <c r="AA515" s="412">
        <f t="shared" si="80"/>
        <v>1</v>
      </c>
      <c r="AB515" s="456">
        <f t="shared" si="81"/>
        <v>63.454000000000001</v>
      </c>
      <c r="AC515" s="456">
        <v>0</v>
      </c>
      <c r="AD515" s="2"/>
      <c r="AE515" s="4"/>
      <c r="AF515" s="5"/>
      <c r="AG515" s="428"/>
    </row>
    <row r="516" spans="2:33" hidden="1" x14ac:dyDescent="0.25">
      <c r="B516" s="1" t="s">
        <v>2599</v>
      </c>
      <c r="C516" s="3" t="s">
        <v>1368</v>
      </c>
      <c r="D516" s="3" t="s">
        <v>1247</v>
      </c>
      <c r="E516" s="407" t="s">
        <v>1398</v>
      </c>
      <c r="F516" s="3" t="s">
        <v>1912</v>
      </c>
      <c r="G516" s="407" t="s">
        <v>4496</v>
      </c>
      <c r="H516" s="440" t="s">
        <v>4109</v>
      </c>
      <c r="I516" s="407" t="s">
        <v>4317</v>
      </c>
      <c r="J516" s="407" t="s">
        <v>3796</v>
      </c>
      <c r="K516" s="387" t="s">
        <v>4650</v>
      </c>
      <c r="L516" s="387">
        <v>1</v>
      </c>
      <c r="M516" s="387">
        <v>0</v>
      </c>
      <c r="N516" s="387">
        <f t="shared" si="78"/>
        <v>1</v>
      </c>
      <c r="O516" s="442">
        <f t="shared" si="79"/>
        <v>1</v>
      </c>
      <c r="P516" s="387" t="s">
        <v>1358</v>
      </c>
      <c r="Q516" s="459">
        <v>0</v>
      </c>
      <c r="R516" s="459"/>
      <c r="S516" s="456">
        <v>0</v>
      </c>
      <c r="T516" s="456">
        <v>65.141999999999996</v>
      </c>
      <c r="U516" s="410"/>
      <c r="V516" s="411">
        <v>1</v>
      </c>
      <c r="W516" s="411">
        <v>1</v>
      </c>
      <c r="X516" s="411">
        <v>1</v>
      </c>
      <c r="Y516" s="411"/>
      <c r="Z516" s="411"/>
      <c r="AA516" s="412">
        <f t="shared" si="80"/>
        <v>1</v>
      </c>
      <c r="AB516" s="456">
        <f t="shared" si="81"/>
        <v>65.141999999999996</v>
      </c>
      <c r="AC516" s="456">
        <v>0</v>
      </c>
      <c r="AD516" s="2"/>
      <c r="AE516" s="4"/>
      <c r="AF516" s="5"/>
      <c r="AG516" s="428"/>
    </row>
    <row r="517" spans="2:33" hidden="1" x14ac:dyDescent="0.25">
      <c r="B517" s="1" t="s">
        <v>2600</v>
      </c>
      <c r="C517" s="3" t="s">
        <v>1368</v>
      </c>
      <c r="D517" s="3" t="s">
        <v>1247</v>
      </c>
      <c r="E517" s="407" t="s">
        <v>1374</v>
      </c>
      <c r="F517" s="3" t="s">
        <v>1913</v>
      </c>
      <c r="G517" s="407" t="s">
        <v>4495</v>
      </c>
      <c r="H517" s="440" t="s">
        <v>4109</v>
      </c>
      <c r="I517" s="407" t="s">
        <v>4316</v>
      </c>
      <c r="J517" s="407" t="s">
        <v>3757</v>
      </c>
      <c r="K517" s="387" t="s">
        <v>4649</v>
      </c>
      <c r="L517" s="387">
        <v>1</v>
      </c>
      <c r="M517" s="387">
        <v>0</v>
      </c>
      <c r="N517" s="387">
        <f t="shared" si="78"/>
        <v>1</v>
      </c>
      <c r="O517" s="442">
        <f t="shared" si="79"/>
        <v>1</v>
      </c>
      <c r="P517" s="387" t="s">
        <v>1358</v>
      </c>
      <c r="Q517" s="459">
        <v>0</v>
      </c>
      <c r="R517" s="459"/>
      <c r="S517" s="456">
        <v>0</v>
      </c>
      <c r="T517" s="456">
        <v>65.141999999999996</v>
      </c>
      <c r="U517" s="410"/>
      <c r="V517" s="411">
        <v>1</v>
      </c>
      <c r="W517" s="411">
        <v>1</v>
      </c>
      <c r="X517" s="411">
        <v>1</v>
      </c>
      <c r="Y517" s="411"/>
      <c r="Z517" s="411"/>
      <c r="AA517" s="412">
        <f t="shared" si="80"/>
        <v>1</v>
      </c>
      <c r="AB517" s="456">
        <f t="shared" si="81"/>
        <v>65.141999999999996</v>
      </c>
      <c r="AC517" s="456">
        <v>0</v>
      </c>
      <c r="AD517" s="2"/>
      <c r="AE517" s="4"/>
      <c r="AF517" s="5"/>
      <c r="AG517" s="428"/>
    </row>
    <row r="518" spans="2:33" hidden="1" x14ac:dyDescent="0.25">
      <c r="B518" s="1" t="s">
        <v>2601</v>
      </c>
      <c r="C518" s="3" t="s">
        <v>1368</v>
      </c>
      <c r="D518" s="3" t="s">
        <v>1247</v>
      </c>
      <c r="E518" s="407" t="s">
        <v>1377</v>
      </c>
      <c r="F518" s="3" t="s">
        <v>1914</v>
      </c>
      <c r="G518" s="407" t="s">
        <v>4494</v>
      </c>
      <c r="H518" s="440" t="s">
        <v>4109</v>
      </c>
      <c r="I518" s="407" t="s">
        <v>4315</v>
      </c>
      <c r="J518" s="407" t="s">
        <v>3749</v>
      </c>
      <c r="K518" s="387" t="s">
        <v>4648</v>
      </c>
      <c r="L518" s="387">
        <v>1</v>
      </c>
      <c r="M518" s="387">
        <v>0</v>
      </c>
      <c r="N518" s="387">
        <f t="shared" si="78"/>
        <v>1</v>
      </c>
      <c r="O518" s="442">
        <f t="shared" si="79"/>
        <v>0</v>
      </c>
      <c r="P518" s="387" t="s">
        <v>1358</v>
      </c>
      <c r="Q518" s="459">
        <v>0</v>
      </c>
      <c r="R518" s="459"/>
      <c r="S518" s="456">
        <v>0</v>
      </c>
      <c r="T518" s="456">
        <v>65.141999999999996</v>
      </c>
      <c r="U518" s="410"/>
      <c r="V518" s="411">
        <v>0</v>
      </c>
      <c r="W518" s="411">
        <v>0</v>
      </c>
      <c r="X518" s="411">
        <v>0</v>
      </c>
      <c r="Y518" s="411"/>
      <c r="Z518" s="411"/>
      <c r="AA518" s="412">
        <f t="shared" si="80"/>
        <v>0</v>
      </c>
      <c r="AB518" s="456">
        <f t="shared" si="81"/>
        <v>0</v>
      </c>
      <c r="AC518" s="456">
        <v>0</v>
      </c>
      <c r="AD518" s="2"/>
      <c r="AE518" s="4"/>
      <c r="AF518" s="5"/>
      <c r="AG518" s="428"/>
    </row>
    <row r="519" spans="2:33" hidden="1" x14ac:dyDescent="0.25">
      <c r="B519" s="1" t="s">
        <v>2602</v>
      </c>
      <c r="C519" s="3" t="s">
        <v>1368</v>
      </c>
      <c r="D519" s="3" t="s">
        <v>1247</v>
      </c>
      <c r="E519" s="407" t="s">
        <v>1379</v>
      </c>
      <c r="F519" s="3" t="s">
        <v>1915</v>
      </c>
      <c r="G519" s="407" t="s">
        <v>4502</v>
      </c>
      <c r="H519" s="440" t="s">
        <v>4109</v>
      </c>
      <c r="I519" s="407" t="s">
        <v>4323</v>
      </c>
      <c r="J519" s="407" t="s">
        <v>3750</v>
      </c>
      <c r="K519" s="387" t="s">
        <v>4666</v>
      </c>
      <c r="L519" s="387">
        <v>2</v>
      </c>
      <c r="M519" s="387">
        <v>0</v>
      </c>
      <c r="N519" s="387">
        <f t="shared" si="78"/>
        <v>2</v>
      </c>
      <c r="O519" s="442">
        <f t="shared" si="79"/>
        <v>2</v>
      </c>
      <c r="P519" s="387" t="s">
        <v>1358</v>
      </c>
      <c r="Q519" s="459">
        <v>0</v>
      </c>
      <c r="R519" s="459"/>
      <c r="S519" s="456">
        <v>0</v>
      </c>
      <c r="T519" s="456">
        <v>130.28399999999999</v>
      </c>
      <c r="U519" s="410"/>
      <c r="V519" s="411">
        <v>1</v>
      </c>
      <c r="W519" s="411">
        <v>1</v>
      </c>
      <c r="X519" s="411">
        <v>1</v>
      </c>
      <c r="Y519" s="411"/>
      <c r="Z519" s="411"/>
      <c r="AA519" s="412">
        <f t="shared" si="80"/>
        <v>1</v>
      </c>
      <c r="AB519" s="456">
        <f t="shared" si="81"/>
        <v>130.28399999999999</v>
      </c>
      <c r="AC519" s="456">
        <v>0</v>
      </c>
      <c r="AD519" s="2"/>
      <c r="AE519" s="4"/>
      <c r="AF519" s="5"/>
      <c r="AG519" s="428"/>
    </row>
    <row r="520" spans="2:33" hidden="1" x14ac:dyDescent="0.25">
      <c r="B520" s="1" t="s">
        <v>2603</v>
      </c>
      <c r="C520" s="3" t="s">
        <v>1368</v>
      </c>
      <c r="D520" s="3" t="s">
        <v>1247</v>
      </c>
      <c r="E520" s="407" t="s">
        <v>1381</v>
      </c>
      <c r="F520" s="3" t="s">
        <v>1916</v>
      </c>
      <c r="G520" s="407" t="s">
        <v>4497</v>
      </c>
      <c r="H520" s="440" t="s">
        <v>4109</v>
      </c>
      <c r="I520" s="407" t="s">
        <v>4318</v>
      </c>
      <c r="J520" s="407" t="s">
        <v>3751</v>
      </c>
      <c r="K520" s="387" t="s">
        <v>4631</v>
      </c>
      <c r="L520" s="387">
        <v>1</v>
      </c>
      <c r="M520" s="387">
        <v>0</v>
      </c>
      <c r="N520" s="387">
        <f t="shared" si="78"/>
        <v>1</v>
      </c>
      <c r="O520" s="442">
        <f t="shared" si="79"/>
        <v>1</v>
      </c>
      <c r="P520" s="387" t="s">
        <v>1358</v>
      </c>
      <c r="Q520" s="459">
        <v>0</v>
      </c>
      <c r="R520" s="459"/>
      <c r="S520" s="456">
        <v>0</v>
      </c>
      <c r="T520" s="456">
        <v>65.141999999999996</v>
      </c>
      <c r="U520" s="410"/>
      <c r="V520" s="411">
        <v>1</v>
      </c>
      <c r="W520" s="411">
        <v>1</v>
      </c>
      <c r="X520" s="411">
        <v>1</v>
      </c>
      <c r="Y520" s="411"/>
      <c r="Z520" s="411"/>
      <c r="AA520" s="412">
        <f t="shared" si="80"/>
        <v>1</v>
      </c>
      <c r="AB520" s="456">
        <f t="shared" si="81"/>
        <v>65.141999999999996</v>
      </c>
      <c r="AC520" s="456">
        <v>0</v>
      </c>
      <c r="AD520" s="2"/>
      <c r="AE520" s="4"/>
      <c r="AF520" s="5"/>
      <c r="AG520" s="428"/>
    </row>
    <row r="521" spans="2:33" hidden="1" x14ac:dyDescent="0.25">
      <c r="B521" s="1" t="s">
        <v>2604</v>
      </c>
      <c r="C521" s="3" t="s">
        <v>1368</v>
      </c>
      <c r="D521" s="3" t="s">
        <v>1247</v>
      </c>
      <c r="E521" s="407" t="s">
        <v>1396</v>
      </c>
      <c r="F521" s="3" t="s">
        <v>1917</v>
      </c>
      <c r="G521" s="407" t="s">
        <v>4498</v>
      </c>
      <c r="H521" s="440" t="s">
        <v>4109</v>
      </c>
      <c r="I521" s="407" t="s">
        <v>4319</v>
      </c>
      <c r="J521" s="407" t="s">
        <v>3752</v>
      </c>
      <c r="K521" s="387" t="s">
        <v>4652</v>
      </c>
      <c r="L521" s="387">
        <v>1</v>
      </c>
      <c r="M521" s="387">
        <v>0</v>
      </c>
      <c r="N521" s="387">
        <f t="shared" si="78"/>
        <v>1</v>
      </c>
      <c r="O521" s="442">
        <f t="shared" si="79"/>
        <v>1</v>
      </c>
      <c r="P521" s="387" t="s">
        <v>1358</v>
      </c>
      <c r="Q521" s="459">
        <v>0</v>
      </c>
      <c r="R521" s="459"/>
      <c r="S521" s="456">
        <v>0</v>
      </c>
      <c r="T521" s="456">
        <v>10.792</v>
      </c>
      <c r="U521" s="410"/>
      <c r="V521" s="411">
        <v>1</v>
      </c>
      <c r="W521" s="411">
        <v>1</v>
      </c>
      <c r="X521" s="411">
        <v>1</v>
      </c>
      <c r="Y521" s="411"/>
      <c r="Z521" s="411"/>
      <c r="AA521" s="412">
        <f t="shared" si="80"/>
        <v>1</v>
      </c>
      <c r="AB521" s="456">
        <f t="shared" si="81"/>
        <v>10.792</v>
      </c>
      <c r="AC521" s="456">
        <v>0</v>
      </c>
      <c r="AD521" s="2"/>
      <c r="AE521" s="4"/>
      <c r="AF521" s="5"/>
      <c r="AG521" s="428"/>
    </row>
    <row r="522" spans="2:33" hidden="1" x14ac:dyDescent="0.25">
      <c r="B522" s="1" t="s">
        <v>2605</v>
      </c>
      <c r="C522" s="3" t="s">
        <v>1368</v>
      </c>
      <c r="D522" s="3" t="s">
        <v>1247</v>
      </c>
      <c r="E522" s="407" t="s">
        <v>1399</v>
      </c>
      <c r="F522" s="3" t="s">
        <v>1918</v>
      </c>
      <c r="G522" s="407" t="s">
        <v>4499</v>
      </c>
      <c r="H522" s="440" t="s">
        <v>4109</v>
      </c>
      <c r="I522" s="407" t="s">
        <v>4320</v>
      </c>
      <c r="J522" s="407" t="s">
        <v>3758</v>
      </c>
      <c r="K522" s="387" t="s">
        <v>4653</v>
      </c>
      <c r="L522" s="387">
        <v>1</v>
      </c>
      <c r="M522" s="387">
        <v>0</v>
      </c>
      <c r="N522" s="387">
        <f t="shared" si="78"/>
        <v>1</v>
      </c>
      <c r="O522" s="442">
        <f t="shared" si="79"/>
        <v>1</v>
      </c>
      <c r="P522" s="387" t="s">
        <v>1358</v>
      </c>
      <c r="Q522" s="459">
        <v>0</v>
      </c>
      <c r="R522" s="459"/>
      <c r="S522" s="456">
        <v>0</v>
      </c>
      <c r="T522" s="456">
        <v>10.792</v>
      </c>
      <c r="U522" s="410"/>
      <c r="V522" s="411">
        <v>1</v>
      </c>
      <c r="W522" s="411">
        <v>1</v>
      </c>
      <c r="X522" s="411">
        <v>1</v>
      </c>
      <c r="Y522" s="411"/>
      <c r="Z522" s="411"/>
      <c r="AA522" s="412">
        <f t="shared" si="80"/>
        <v>1</v>
      </c>
      <c r="AB522" s="456">
        <f t="shared" si="81"/>
        <v>10.792</v>
      </c>
      <c r="AC522" s="456">
        <v>0</v>
      </c>
      <c r="AD522" s="2"/>
      <c r="AE522" s="4"/>
      <c r="AF522" s="5"/>
      <c r="AG522" s="428"/>
    </row>
    <row r="523" spans="2:33" hidden="1" x14ac:dyDescent="0.25">
      <c r="B523" s="1" t="s">
        <v>2606</v>
      </c>
      <c r="C523" s="3" t="s">
        <v>1368</v>
      </c>
      <c r="D523" s="3" t="s">
        <v>1247</v>
      </c>
      <c r="E523" s="407" t="s">
        <v>1400</v>
      </c>
      <c r="F523" s="3" t="s">
        <v>1919</v>
      </c>
      <c r="G523" s="407" t="s">
        <v>4477</v>
      </c>
      <c r="H523" s="440" t="s">
        <v>4109</v>
      </c>
      <c r="I523" s="407" t="s">
        <v>4298</v>
      </c>
      <c r="J523" s="407" t="s">
        <v>3779</v>
      </c>
      <c r="K523" s="387" t="s">
        <v>4656</v>
      </c>
      <c r="L523" s="387">
        <v>1</v>
      </c>
      <c r="M523" s="387">
        <v>0</v>
      </c>
      <c r="N523" s="387">
        <f t="shared" si="78"/>
        <v>1</v>
      </c>
      <c r="O523" s="442">
        <f t="shared" si="79"/>
        <v>1</v>
      </c>
      <c r="P523" s="387" t="s">
        <v>1358</v>
      </c>
      <c r="Q523" s="459">
        <v>0</v>
      </c>
      <c r="R523" s="459"/>
      <c r="S523" s="456">
        <v>0</v>
      </c>
      <c r="T523" s="456">
        <v>10.792</v>
      </c>
      <c r="U523" s="410"/>
      <c r="V523" s="411">
        <v>1</v>
      </c>
      <c r="W523" s="411">
        <v>1</v>
      </c>
      <c r="X523" s="411">
        <v>1</v>
      </c>
      <c r="Y523" s="411"/>
      <c r="Z523" s="411"/>
      <c r="AA523" s="412">
        <f t="shared" si="80"/>
        <v>1</v>
      </c>
      <c r="AB523" s="456">
        <f t="shared" si="81"/>
        <v>10.792</v>
      </c>
      <c r="AC523" s="456">
        <v>0</v>
      </c>
      <c r="AD523" s="2"/>
      <c r="AE523" s="4"/>
      <c r="AF523" s="5"/>
      <c r="AG523" s="428"/>
    </row>
    <row r="524" spans="2:33" hidden="1" x14ac:dyDescent="0.25">
      <c r="B524" s="1" t="s">
        <v>2607</v>
      </c>
      <c r="C524" s="3" t="s">
        <v>1368</v>
      </c>
      <c r="D524" s="3" t="s">
        <v>1247</v>
      </c>
      <c r="E524" s="407" t="s">
        <v>3234</v>
      </c>
      <c r="F524" s="3" t="s">
        <v>1920</v>
      </c>
      <c r="G524" s="407" t="s">
        <v>4492</v>
      </c>
      <c r="H524" s="440" t="s">
        <v>4109</v>
      </c>
      <c r="I524" s="407" t="s">
        <v>4313</v>
      </c>
      <c r="J524" s="407" t="s">
        <v>3794</v>
      </c>
      <c r="K524" s="387" t="s">
        <v>4646</v>
      </c>
      <c r="L524" s="387">
        <v>1</v>
      </c>
      <c r="M524" s="387">
        <v>0</v>
      </c>
      <c r="N524" s="387">
        <f t="shared" si="78"/>
        <v>1</v>
      </c>
      <c r="O524" s="442">
        <f t="shared" si="79"/>
        <v>1</v>
      </c>
      <c r="P524" s="387" t="s">
        <v>1358</v>
      </c>
      <c r="Q524" s="459">
        <v>0</v>
      </c>
      <c r="R524" s="459"/>
      <c r="S524" s="456">
        <v>0</v>
      </c>
      <c r="T524" s="456">
        <v>42.463000000000001</v>
      </c>
      <c r="U524" s="410"/>
      <c r="V524" s="411">
        <v>1</v>
      </c>
      <c r="W524" s="411">
        <v>1</v>
      </c>
      <c r="X524" s="411">
        <v>1</v>
      </c>
      <c r="Y524" s="411"/>
      <c r="Z524" s="411"/>
      <c r="AA524" s="412">
        <f t="shared" si="80"/>
        <v>1</v>
      </c>
      <c r="AB524" s="456">
        <f t="shared" si="81"/>
        <v>42.463000000000001</v>
      </c>
      <c r="AC524" s="456">
        <v>0</v>
      </c>
      <c r="AD524" s="2"/>
      <c r="AE524" s="4"/>
      <c r="AF524" s="5"/>
      <c r="AG524" s="428"/>
    </row>
    <row r="525" spans="2:33" hidden="1" x14ac:dyDescent="0.25">
      <c r="B525" s="1" t="s">
        <v>2608</v>
      </c>
      <c r="C525" s="3" t="s">
        <v>1368</v>
      </c>
      <c r="D525" s="3" t="s">
        <v>1247</v>
      </c>
      <c r="E525" s="407" t="s">
        <v>1432</v>
      </c>
      <c r="F525" s="3" t="s">
        <v>1921</v>
      </c>
      <c r="G525" s="407" t="s">
        <v>4483</v>
      </c>
      <c r="H525" s="440" t="s">
        <v>4109</v>
      </c>
      <c r="I525" s="407" t="s">
        <v>4304</v>
      </c>
      <c r="J525" s="407" t="s">
        <v>3785</v>
      </c>
      <c r="K525" s="387" t="s">
        <v>4635</v>
      </c>
      <c r="L525" s="387">
        <v>1</v>
      </c>
      <c r="M525" s="387">
        <v>0</v>
      </c>
      <c r="N525" s="387">
        <f t="shared" si="78"/>
        <v>1</v>
      </c>
      <c r="O525" s="442">
        <f t="shared" si="79"/>
        <v>0</v>
      </c>
      <c r="P525" s="387" t="s">
        <v>1358</v>
      </c>
      <c r="Q525" s="459">
        <v>0</v>
      </c>
      <c r="R525" s="459"/>
      <c r="S525" s="456">
        <v>0</v>
      </c>
      <c r="T525" s="456">
        <v>67.596000000000004</v>
      </c>
      <c r="U525" s="410"/>
      <c r="V525" s="411">
        <v>0</v>
      </c>
      <c r="W525" s="411">
        <v>0</v>
      </c>
      <c r="X525" s="411">
        <v>0</v>
      </c>
      <c r="Y525" s="411"/>
      <c r="Z525" s="411"/>
      <c r="AA525" s="412">
        <f t="shared" si="80"/>
        <v>0</v>
      </c>
      <c r="AB525" s="456">
        <f t="shared" si="81"/>
        <v>0</v>
      </c>
      <c r="AC525" s="456">
        <v>0</v>
      </c>
      <c r="AD525" s="2"/>
      <c r="AE525" s="4"/>
      <c r="AF525" s="5"/>
      <c r="AG525" s="428"/>
    </row>
    <row r="526" spans="2:33" hidden="1" x14ac:dyDescent="0.25">
      <c r="B526" s="1" t="s">
        <v>2609</v>
      </c>
      <c r="C526" s="3" t="s">
        <v>1368</v>
      </c>
      <c r="D526" s="3" t="s">
        <v>1247</v>
      </c>
      <c r="E526" s="407" t="s">
        <v>3236</v>
      </c>
      <c r="F526" s="3" t="s">
        <v>1922</v>
      </c>
      <c r="G526" s="407" t="s">
        <v>4491</v>
      </c>
      <c r="H526" s="440" t="s">
        <v>4109</v>
      </c>
      <c r="I526" s="407" t="s">
        <v>4312</v>
      </c>
      <c r="J526" s="407" t="s">
        <v>3793</v>
      </c>
      <c r="K526" s="387" t="s">
        <v>4645</v>
      </c>
      <c r="L526" s="387">
        <v>1</v>
      </c>
      <c r="M526" s="387">
        <v>0</v>
      </c>
      <c r="N526" s="387">
        <f t="shared" si="78"/>
        <v>1</v>
      </c>
      <c r="O526" s="442">
        <f t="shared" si="79"/>
        <v>0</v>
      </c>
      <c r="P526" s="387" t="s">
        <v>1358</v>
      </c>
      <c r="Q526" s="459">
        <v>0</v>
      </c>
      <c r="R526" s="459"/>
      <c r="S526" s="456">
        <v>0</v>
      </c>
      <c r="T526" s="456">
        <v>65.697000000000003</v>
      </c>
      <c r="U526" s="410"/>
      <c r="V526" s="411">
        <v>0</v>
      </c>
      <c r="W526" s="411">
        <v>0</v>
      </c>
      <c r="X526" s="411">
        <v>0</v>
      </c>
      <c r="Y526" s="411"/>
      <c r="Z526" s="411"/>
      <c r="AA526" s="412">
        <f t="shared" si="80"/>
        <v>0</v>
      </c>
      <c r="AB526" s="456">
        <f t="shared" si="81"/>
        <v>0</v>
      </c>
      <c r="AC526" s="456">
        <v>0</v>
      </c>
      <c r="AD526" s="2"/>
      <c r="AE526" s="4"/>
      <c r="AF526" s="5"/>
      <c r="AG526" s="428"/>
    </row>
    <row r="527" spans="2:33" hidden="1" x14ac:dyDescent="0.25">
      <c r="B527" s="1" t="s">
        <v>2610</v>
      </c>
      <c r="C527" s="3" t="s">
        <v>1368</v>
      </c>
      <c r="D527" s="3" t="s">
        <v>1247</v>
      </c>
      <c r="E527" s="407" t="s">
        <v>1426</v>
      </c>
      <c r="F527" s="3" t="s">
        <v>1923</v>
      </c>
      <c r="G527" s="407" t="s">
        <v>4480</v>
      </c>
      <c r="H527" s="440" t="s">
        <v>4109</v>
      </c>
      <c r="I527" s="407" t="s">
        <v>4301</v>
      </c>
      <c r="J527" s="407" t="s">
        <v>3782</v>
      </c>
      <c r="K527" s="387" t="s">
        <v>4637</v>
      </c>
      <c r="L527" s="387">
        <v>1</v>
      </c>
      <c r="M527" s="387">
        <v>0</v>
      </c>
      <c r="N527" s="387">
        <f t="shared" si="78"/>
        <v>1</v>
      </c>
      <c r="O527" s="442">
        <f t="shared" si="79"/>
        <v>1</v>
      </c>
      <c r="P527" s="387" t="s">
        <v>1358</v>
      </c>
      <c r="Q527" s="459">
        <v>0</v>
      </c>
      <c r="R527" s="459"/>
      <c r="S527" s="456">
        <v>0</v>
      </c>
      <c r="T527" s="456">
        <v>67.596000000000004</v>
      </c>
      <c r="U527" s="410"/>
      <c r="V527" s="411">
        <v>1</v>
      </c>
      <c r="W527" s="411">
        <v>1</v>
      </c>
      <c r="X527" s="411">
        <v>1</v>
      </c>
      <c r="Y527" s="411"/>
      <c r="Z527" s="411"/>
      <c r="AA527" s="412">
        <f t="shared" si="80"/>
        <v>1</v>
      </c>
      <c r="AB527" s="456">
        <f t="shared" si="81"/>
        <v>67.596000000000004</v>
      </c>
      <c r="AC527" s="456">
        <v>0</v>
      </c>
      <c r="AD527" s="2"/>
      <c r="AE527" s="4"/>
      <c r="AF527" s="5"/>
      <c r="AG527" s="428"/>
    </row>
    <row r="528" spans="2:33" hidden="1" x14ac:dyDescent="0.25">
      <c r="B528" s="1" t="s">
        <v>2611</v>
      </c>
      <c r="C528" s="3" t="s">
        <v>1368</v>
      </c>
      <c r="D528" s="3" t="s">
        <v>1247</v>
      </c>
      <c r="E528" s="407" t="s">
        <v>1427</v>
      </c>
      <c r="F528" s="3" t="s">
        <v>1924</v>
      </c>
      <c r="G528" s="407" t="s">
        <v>4485</v>
      </c>
      <c r="H528" s="440" t="s">
        <v>4109</v>
      </c>
      <c r="I528" s="407" t="s">
        <v>4306</v>
      </c>
      <c r="J528" s="407" t="s">
        <v>3787</v>
      </c>
      <c r="K528" s="387" t="s">
        <v>4638</v>
      </c>
      <c r="L528" s="387">
        <v>1</v>
      </c>
      <c r="M528" s="387">
        <v>0</v>
      </c>
      <c r="N528" s="387">
        <f t="shared" si="78"/>
        <v>1</v>
      </c>
      <c r="O528" s="442">
        <f t="shared" si="79"/>
        <v>0</v>
      </c>
      <c r="P528" s="387" t="s">
        <v>1358</v>
      </c>
      <c r="Q528" s="459">
        <v>0</v>
      </c>
      <c r="R528" s="459"/>
      <c r="S528" s="456">
        <v>0</v>
      </c>
      <c r="T528" s="456">
        <v>67.596000000000004</v>
      </c>
      <c r="U528" s="410"/>
      <c r="V528" s="411">
        <v>0</v>
      </c>
      <c r="W528" s="411">
        <v>0</v>
      </c>
      <c r="X528" s="411">
        <v>0</v>
      </c>
      <c r="Y528" s="411"/>
      <c r="Z528" s="411"/>
      <c r="AA528" s="412">
        <f t="shared" si="80"/>
        <v>0</v>
      </c>
      <c r="AB528" s="456">
        <f t="shared" si="81"/>
        <v>0</v>
      </c>
      <c r="AC528" s="456">
        <v>0</v>
      </c>
      <c r="AD528" s="2"/>
      <c r="AE528" s="4"/>
      <c r="AF528" s="5"/>
      <c r="AG528" s="428"/>
    </row>
    <row r="529" spans="2:33" hidden="1" x14ac:dyDescent="0.25">
      <c r="B529" s="1" t="s">
        <v>2612</v>
      </c>
      <c r="C529" s="3" t="s">
        <v>1368</v>
      </c>
      <c r="D529" s="3" t="s">
        <v>1247</v>
      </c>
      <c r="E529" s="407" t="s">
        <v>1428</v>
      </c>
      <c r="F529" s="3" t="s">
        <v>1925</v>
      </c>
      <c r="G529" s="407" t="s">
        <v>4486</v>
      </c>
      <c r="H529" s="440" t="s">
        <v>4109</v>
      </c>
      <c r="I529" s="407" t="s">
        <v>4307</v>
      </c>
      <c r="J529" s="407" t="s">
        <v>3788</v>
      </c>
      <c r="K529" s="387" t="s">
        <v>4639</v>
      </c>
      <c r="L529" s="387">
        <v>1</v>
      </c>
      <c r="M529" s="387">
        <v>0</v>
      </c>
      <c r="N529" s="387">
        <f t="shared" si="78"/>
        <v>1</v>
      </c>
      <c r="O529" s="442">
        <f t="shared" si="79"/>
        <v>0</v>
      </c>
      <c r="P529" s="387" t="s">
        <v>1358</v>
      </c>
      <c r="Q529" s="459">
        <v>0</v>
      </c>
      <c r="R529" s="459"/>
      <c r="S529" s="456">
        <v>0</v>
      </c>
      <c r="T529" s="456">
        <v>67.596000000000004</v>
      </c>
      <c r="U529" s="410"/>
      <c r="V529" s="411">
        <v>0</v>
      </c>
      <c r="W529" s="411">
        <v>0</v>
      </c>
      <c r="X529" s="411">
        <v>0</v>
      </c>
      <c r="Y529" s="411"/>
      <c r="Z529" s="411"/>
      <c r="AA529" s="412">
        <f t="shared" si="80"/>
        <v>0</v>
      </c>
      <c r="AB529" s="456">
        <f t="shared" si="81"/>
        <v>0</v>
      </c>
      <c r="AC529" s="456">
        <v>0</v>
      </c>
      <c r="AD529" s="2"/>
      <c r="AE529" s="4"/>
      <c r="AF529" s="5"/>
      <c r="AG529" s="428"/>
    </row>
    <row r="530" spans="2:33" hidden="1" x14ac:dyDescent="0.25">
      <c r="B530" s="1" t="s">
        <v>2613</v>
      </c>
      <c r="C530" s="3" t="s">
        <v>1368</v>
      </c>
      <c r="D530" s="3" t="s">
        <v>1247</v>
      </c>
      <c r="E530" s="407" t="s">
        <v>1429</v>
      </c>
      <c r="F530" s="3" t="s">
        <v>1926</v>
      </c>
      <c r="G530" s="407" t="s">
        <v>4487</v>
      </c>
      <c r="H530" s="440" t="s">
        <v>4109</v>
      </c>
      <c r="I530" s="407" t="s">
        <v>4308</v>
      </c>
      <c r="J530" s="407" t="s">
        <v>3789</v>
      </c>
      <c r="K530" s="387" t="s">
        <v>4640</v>
      </c>
      <c r="L530" s="387">
        <v>1</v>
      </c>
      <c r="M530" s="387">
        <v>0</v>
      </c>
      <c r="N530" s="387">
        <f t="shared" si="78"/>
        <v>1</v>
      </c>
      <c r="O530" s="442">
        <f t="shared" si="79"/>
        <v>0</v>
      </c>
      <c r="P530" s="387" t="s">
        <v>1358</v>
      </c>
      <c r="Q530" s="459">
        <v>0</v>
      </c>
      <c r="R530" s="459"/>
      <c r="S530" s="456">
        <v>0</v>
      </c>
      <c r="T530" s="456">
        <v>67.596000000000004</v>
      </c>
      <c r="U530" s="410"/>
      <c r="V530" s="411">
        <v>0</v>
      </c>
      <c r="W530" s="411">
        <v>0</v>
      </c>
      <c r="X530" s="411">
        <v>0</v>
      </c>
      <c r="Y530" s="411"/>
      <c r="Z530" s="411"/>
      <c r="AA530" s="412">
        <f t="shared" si="80"/>
        <v>0</v>
      </c>
      <c r="AB530" s="456">
        <f t="shared" si="81"/>
        <v>0</v>
      </c>
      <c r="AC530" s="456">
        <v>0</v>
      </c>
      <c r="AD530" s="2"/>
      <c r="AE530" s="4"/>
      <c r="AF530" s="5"/>
      <c r="AG530" s="428"/>
    </row>
    <row r="531" spans="2:33" hidden="1" x14ac:dyDescent="0.25">
      <c r="B531" s="1" t="s">
        <v>2614</v>
      </c>
      <c r="C531" s="3" t="s">
        <v>1368</v>
      </c>
      <c r="D531" s="3" t="s">
        <v>1247</v>
      </c>
      <c r="E531" s="407" t="s">
        <v>1430</v>
      </c>
      <c r="F531" s="3" t="s">
        <v>1927</v>
      </c>
      <c r="G531" s="407" t="s">
        <v>4488</v>
      </c>
      <c r="H531" s="440" t="s">
        <v>4109</v>
      </c>
      <c r="I531" s="407" t="s">
        <v>4309</v>
      </c>
      <c r="J531" s="407" t="s">
        <v>3790</v>
      </c>
      <c r="K531" s="387" t="s">
        <v>4641</v>
      </c>
      <c r="L531" s="387">
        <v>1</v>
      </c>
      <c r="M531" s="387">
        <v>0</v>
      </c>
      <c r="N531" s="387">
        <f t="shared" si="78"/>
        <v>1</v>
      </c>
      <c r="O531" s="442">
        <f t="shared" si="79"/>
        <v>0</v>
      </c>
      <c r="P531" s="387" t="s">
        <v>1358</v>
      </c>
      <c r="Q531" s="459">
        <v>0</v>
      </c>
      <c r="R531" s="459"/>
      <c r="S531" s="456">
        <v>0</v>
      </c>
      <c r="T531" s="456">
        <v>90.286000000000001</v>
      </c>
      <c r="U531" s="410"/>
      <c r="V531" s="411">
        <v>0</v>
      </c>
      <c r="W531" s="411">
        <v>0</v>
      </c>
      <c r="X531" s="411">
        <v>0</v>
      </c>
      <c r="Y531" s="411"/>
      <c r="Z531" s="411"/>
      <c r="AA531" s="412">
        <f t="shared" si="80"/>
        <v>0</v>
      </c>
      <c r="AB531" s="456">
        <f t="shared" si="81"/>
        <v>0</v>
      </c>
      <c r="AC531" s="456">
        <v>0</v>
      </c>
      <c r="AD531" s="2"/>
      <c r="AE531" s="4"/>
      <c r="AF531" s="5"/>
      <c r="AG531" s="428"/>
    </row>
    <row r="532" spans="2:33" hidden="1" x14ac:dyDescent="0.25">
      <c r="B532" s="1" t="s">
        <v>2615</v>
      </c>
      <c r="C532" s="3" t="s">
        <v>1368</v>
      </c>
      <c r="D532" s="3" t="s">
        <v>1247</v>
      </c>
      <c r="E532" s="407" t="s">
        <v>1431</v>
      </c>
      <c r="F532" s="3" t="s">
        <v>1928</v>
      </c>
      <c r="G532" s="407" t="s">
        <v>4489</v>
      </c>
      <c r="H532" s="440" t="s">
        <v>4109</v>
      </c>
      <c r="I532" s="407" t="s">
        <v>4310</v>
      </c>
      <c r="J532" s="407" t="s">
        <v>3791</v>
      </c>
      <c r="K532" s="387" t="s">
        <v>4642</v>
      </c>
      <c r="L532" s="387">
        <v>1</v>
      </c>
      <c r="M532" s="387">
        <v>0</v>
      </c>
      <c r="N532" s="387">
        <f t="shared" si="78"/>
        <v>1</v>
      </c>
      <c r="O532" s="442">
        <f t="shared" si="79"/>
        <v>0</v>
      </c>
      <c r="P532" s="387" t="s">
        <v>1358</v>
      </c>
      <c r="Q532" s="459">
        <v>0</v>
      </c>
      <c r="R532" s="459"/>
      <c r="S532" s="456">
        <v>0</v>
      </c>
      <c r="T532" s="456">
        <v>67.596000000000004</v>
      </c>
      <c r="U532" s="410"/>
      <c r="V532" s="411">
        <v>0</v>
      </c>
      <c r="W532" s="411">
        <v>0</v>
      </c>
      <c r="X532" s="411">
        <v>0</v>
      </c>
      <c r="Y532" s="411"/>
      <c r="Z532" s="411"/>
      <c r="AA532" s="412">
        <f t="shared" si="80"/>
        <v>0</v>
      </c>
      <c r="AB532" s="456">
        <f t="shared" si="81"/>
        <v>0</v>
      </c>
      <c r="AC532" s="456">
        <v>0</v>
      </c>
      <c r="AD532" s="2"/>
      <c r="AE532" s="4"/>
      <c r="AF532" s="5"/>
      <c r="AG532" s="428"/>
    </row>
    <row r="533" spans="2:33" hidden="1" x14ac:dyDescent="0.25">
      <c r="B533" s="1" t="s">
        <v>2616</v>
      </c>
      <c r="C533" s="3" t="s">
        <v>1368</v>
      </c>
      <c r="D533" s="3" t="s">
        <v>1247</v>
      </c>
      <c r="E533" s="407" t="s">
        <v>3306</v>
      </c>
      <c r="F533" s="3" t="s">
        <v>1929</v>
      </c>
      <c r="G533" s="407" t="s">
        <v>4484</v>
      </c>
      <c r="H533" s="440" t="s">
        <v>4109</v>
      </c>
      <c r="I533" s="407" t="s">
        <v>4305</v>
      </c>
      <c r="J533" s="407" t="s">
        <v>3786</v>
      </c>
      <c r="K533" s="387" t="s">
        <v>4636</v>
      </c>
      <c r="L533" s="387">
        <v>1</v>
      </c>
      <c r="M533" s="387">
        <v>0</v>
      </c>
      <c r="N533" s="387">
        <f t="shared" si="78"/>
        <v>1</v>
      </c>
      <c r="O533" s="442">
        <f t="shared" si="79"/>
        <v>0</v>
      </c>
      <c r="P533" s="387" t="s">
        <v>1358</v>
      </c>
      <c r="Q533" s="459">
        <v>0</v>
      </c>
      <c r="R533" s="459"/>
      <c r="S533" s="456">
        <v>0</v>
      </c>
      <c r="T533" s="456">
        <v>59.232999999999997</v>
      </c>
      <c r="U533" s="410"/>
      <c r="V533" s="411">
        <v>0</v>
      </c>
      <c r="W533" s="411">
        <v>0</v>
      </c>
      <c r="X533" s="411">
        <v>0</v>
      </c>
      <c r="Y533" s="411"/>
      <c r="Z533" s="411"/>
      <c r="AA533" s="412">
        <f t="shared" si="80"/>
        <v>0</v>
      </c>
      <c r="AB533" s="456">
        <f t="shared" si="81"/>
        <v>0</v>
      </c>
      <c r="AC533" s="456">
        <v>0</v>
      </c>
      <c r="AD533" s="2"/>
      <c r="AE533" s="4"/>
      <c r="AF533" s="5"/>
      <c r="AG533" s="428"/>
    </row>
    <row r="534" spans="2:33" hidden="1" x14ac:dyDescent="0.25">
      <c r="B534" s="1" t="s">
        <v>2617</v>
      </c>
      <c r="C534" s="3" t="s">
        <v>1368</v>
      </c>
      <c r="D534" s="3" t="s">
        <v>1247</v>
      </c>
      <c r="E534" s="407" t="s">
        <v>1431</v>
      </c>
      <c r="F534" s="3" t="s">
        <v>1930</v>
      </c>
      <c r="G534" s="407" t="s">
        <v>4489</v>
      </c>
      <c r="H534" s="440" t="s">
        <v>4109</v>
      </c>
      <c r="I534" s="407" t="s">
        <v>4310</v>
      </c>
      <c r="J534" s="407" t="s">
        <v>3791</v>
      </c>
      <c r="K534" s="387" t="s">
        <v>4642</v>
      </c>
      <c r="L534" s="387">
        <v>1</v>
      </c>
      <c r="M534" s="387">
        <v>0</v>
      </c>
      <c r="N534" s="387">
        <f t="shared" si="78"/>
        <v>1</v>
      </c>
      <c r="O534" s="442">
        <f t="shared" si="79"/>
        <v>0</v>
      </c>
      <c r="P534" s="387" t="s">
        <v>1358</v>
      </c>
      <c r="Q534" s="459">
        <v>0</v>
      </c>
      <c r="R534" s="459"/>
      <c r="S534" s="456">
        <v>0</v>
      </c>
      <c r="T534" s="456">
        <v>79.427000000000007</v>
      </c>
      <c r="U534" s="410"/>
      <c r="V534" s="411">
        <v>0</v>
      </c>
      <c r="W534" s="411">
        <v>0</v>
      </c>
      <c r="X534" s="411">
        <v>0</v>
      </c>
      <c r="Y534" s="411"/>
      <c r="Z534" s="411"/>
      <c r="AA534" s="412">
        <f t="shared" si="80"/>
        <v>0</v>
      </c>
      <c r="AB534" s="456">
        <f t="shared" si="81"/>
        <v>0</v>
      </c>
      <c r="AC534" s="456">
        <v>0</v>
      </c>
      <c r="AD534" s="2"/>
      <c r="AE534" s="4"/>
      <c r="AF534" s="5"/>
      <c r="AG534" s="428"/>
    </row>
    <row r="535" spans="2:33" hidden="1" x14ac:dyDescent="0.25">
      <c r="B535" s="1" t="s">
        <v>2618</v>
      </c>
      <c r="C535" s="3" t="s">
        <v>1368</v>
      </c>
      <c r="D535" s="3" t="s">
        <v>1247</v>
      </c>
      <c r="E535" s="407" t="s">
        <v>1432</v>
      </c>
      <c r="F535" s="3" t="s">
        <v>1931</v>
      </c>
      <c r="G535" s="407" t="s">
        <v>4483</v>
      </c>
      <c r="H535" s="440" t="s">
        <v>4109</v>
      </c>
      <c r="I535" s="407" t="s">
        <v>4304</v>
      </c>
      <c r="J535" s="407" t="s">
        <v>3785</v>
      </c>
      <c r="K535" s="387" t="s">
        <v>4635</v>
      </c>
      <c r="L535" s="387">
        <v>1</v>
      </c>
      <c r="M535" s="387">
        <v>0</v>
      </c>
      <c r="N535" s="387">
        <f t="shared" si="78"/>
        <v>1</v>
      </c>
      <c r="O535" s="442">
        <f t="shared" si="79"/>
        <v>0</v>
      </c>
      <c r="P535" s="387" t="s">
        <v>1358</v>
      </c>
      <c r="Q535" s="459">
        <v>0</v>
      </c>
      <c r="R535" s="459"/>
      <c r="S535" s="456">
        <v>0</v>
      </c>
      <c r="T535" s="456">
        <v>79.427000000000007</v>
      </c>
      <c r="U535" s="410"/>
      <c r="V535" s="411">
        <v>0</v>
      </c>
      <c r="W535" s="411">
        <v>0</v>
      </c>
      <c r="X535" s="411">
        <v>0</v>
      </c>
      <c r="Y535" s="411"/>
      <c r="Z535" s="411"/>
      <c r="AA535" s="412">
        <f t="shared" si="80"/>
        <v>0</v>
      </c>
      <c r="AB535" s="456">
        <f t="shared" si="81"/>
        <v>0</v>
      </c>
      <c r="AC535" s="456">
        <v>0</v>
      </c>
      <c r="AD535" s="2"/>
      <c r="AE535" s="4"/>
      <c r="AF535" s="5"/>
      <c r="AG535" s="428"/>
    </row>
    <row r="536" spans="2:33" hidden="1" x14ac:dyDescent="0.25">
      <c r="B536" s="1" t="s">
        <v>2619</v>
      </c>
      <c r="C536" s="3" t="s">
        <v>1368</v>
      </c>
      <c r="D536" s="3" t="s">
        <v>1247</v>
      </c>
      <c r="E536" s="407" t="s">
        <v>1433</v>
      </c>
      <c r="F536" s="3" t="s">
        <v>1932</v>
      </c>
      <c r="G536" s="407" t="s">
        <v>4490</v>
      </c>
      <c r="H536" s="440" t="s">
        <v>4109</v>
      </c>
      <c r="I536" s="407" t="s">
        <v>4311</v>
      </c>
      <c r="J536" s="407" t="s">
        <v>3792</v>
      </c>
      <c r="K536" s="387" t="s">
        <v>4644</v>
      </c>
      <c r="L536" s="387">
        <v>1</v>
      </c>
      <c r="M536" s="387">
        <v>0</v>
      </c>
      <c r="N536" s="387">
        <f t="shared" si="78"/>
        <v>1</v>
      </c>
      <c r="O536" s="442">
        <f t="shared" si="79"/>
        <v>0</v>
      </c>
      <c r="P536" s="387" t="s">
        <v>1358</v>
      </c>
      <c r="Q536" s="459">
        <v>0</v>
      </c>
      <c r="R536" s="459"/>
      <c r="S536" s="456">
        <v>0</v>
      </c>
      <c r="T536" s="456">
        <v>79.427000000000007</v>
      </c>
      <c r="U536" s="410"/>
      <c r="V536" s="411">
        <v>0</v>
      </c>
      <c r="W536" s="411">
        <v>0</v>
      </c>
      <c r="X536" s="411">
        <v>0</v>
      </c>
      <c r="Y536" s="411"/>
      <c r="Z536" s="411"/>
      <c r="AA536" s="412">
        <f t="shared" si="80"/>
        <v>0</v>
      </c>
      <c r="AB536" s="456">
        <f t="shared" si="81"/>
        <v>0</v>
      </c>
      <c r="AC536" s="456">
        <v>0</v>
      </c>
      <c r="AD536" s="2"/>
      <c r="AE536" s="4"/>
      <c r="AF536" s="5"/>
      <c r="AG536" s="428"/>
    </row>
    <row r="537" spans="2:33" hidden="1" x14ac:dyDescent="0.25">
      <c r="B537" s="1" t="s">
        <v>2620</v>
      </c>
      <c r="C537" s="3" t="s">
        <v>1368</v>
      </c>
      <c r="D537" s="3" t="s">
        <v>1247</v>
      </c>
      <c r="E537" s="407" t="s">
        <v>3293</v>
      </c>
      <c r="F537" s="3" t="s">
        <v>1933</v>
      </c>
      <c r="G537" s="407" t="s">
        <v>4503</v>
      </c>
      <c r="H537" s="440" t="s">
        <v>4109</v>
      </c>
      <c r="I537" s="407" t="s">
        <v>4324</v>
      </c>
      <c r="J537" s="407" t="s">
        <v>3798</v>
      </c>
      <c r="K537" s="387" t="s">
        <v>4658</v>
      </c>
      <c r="L537" s="387">
        <v>1</v>
      </c>
      <c r="M537" s="387">
        <v>0</v>
      </c>
      <c r="N537" s="387">
        <f t="shared" si="78"/>
        <v>1</v>
      </c>
      <c r="O537" s="442">
        <f t="shared" si="79"/>
        <v>1</v>
      </c>
      <c r="P537" s="387" t="s">
        <v>1358</v>
      </c>
      <c r="Q537" s="459">
        <v>0</v>
      </c>
      <c r="R537" s="459"/>
      <c r="S537" s="456">
        <v>0</v>
      </c>
      <c r="T537" s="456">
        <v>63.454000000000001</v>
      </c>
      <c r="U537" s="410"/>
      <c r="V537" s="411">
        <v>1</v>
      </c>
      <c r="W537" s="411">
        <v>1</v>
      </c>
      <c r="X537" s="411">
        <v>1</v>
      </c>
      <c r="Y537" s="411"/>
      <c r="Z537" s="411"/>
      <c r="AA537" s="412">
        <f t="shared" si="80"/>
        <v>1</v>
      </c>
      <c r="AB537" s="456">
        <f t="shared" si="81"/>
        <v>63.454000000000001</v>
      </c>
      <c r="AC537" s="456">
        <v>0</v>
      </c>
      <c r="AD537" s="2"/>
      <c r="AE537" s="4"/>
      <c r="AF537" s="5"/>
      <c r="AG537" s="428"/>
    </row>
    <row r="538" spans="2:33" hidden="1" x14ac:dyDescent="0.25">
      <c r="B538" s="1" t="s">
        <v>2621</v>
      </c>
      <c r="C538" s="3" t="s">
        <v>1368</v>
      </c>
      <c r="D538" s="3" t="s">
        <v>1247</v>
      </c>
      <c r="E538" s="407" t="s">
        <v>1398</v>
      </c>
      <c r="F538" s="3" t="s">
        <v>1934</v>
      </c>
      <c r="G538" s="407" t="s">
        <v>4496</v>
      </c>
      <c r="H538" s="440" t="s">
        <v>4109</v>
      </c>
      <c r="I538" s="407" t="s">
        <v>4317</v>
      </c>
      <c r="J538" s="407" t="s">
        <v>3796</v>
      </c>
      <c r="K538" s="387" t="s">
        <v>4650</v>
      </c>
      <c r="L538" s="387">
        <v>1</v>
      </c>
      <c r="M538" s="387">
        <v>0</v>
      </c>
      <c r="N538" s="387">
        <f t="shared" si="78"/>
        <v>1</v>
      </c>
      <c r="O538" s="442">
        <f t="shared" si="79"/>
        <v>1</v>
      </c>
      <c r="P538" s="387" t="s">
        <v>1358</v>
      </c>
      <c r="Q538" s="459">
        <v>0</v>
      </c>
      <c r="R538" s="459"/>
      <c r="S538" s="456">
        <v>0</v>
      </c>
      <c r="T538" s="456">
        <v>65.141999999999996</v>
      </c>
      <c r="U538" s="410"/>
      <c r="V538" s="411">
        <v>1</v>
      </c>
      <c r="W538" s="411">
        <v>1</v>
      </c>
      <c r="X538" s="411">
        <v>1</v>
      </c>
      <c r="Y538" s="411"/>
      <c r="Z538" s="411"/>
      <c r="AA538" s="412">
        <f t="shared" si="80"/>
        <v>1</v>
      </c>
      <c r="AB538" s="456">
        <f t="shared" si="81"/>
        <v>65.141999999999996</v>
      </c>
      <c r="AC538" s="456">
        <v>0</v>
      </c>
      <c r="AD538" s="2"/>
      <c r="AE538" s="4"/>
      <c r="AF538" s="5"/>
      <c r="AG538" s="428"/>
    </row>
    <row r="539" spans="2:33" hidden="1" x14ac:dyDescent="0.25">
      <c r="B539" s="1" t="s">
        <v>2622</v>
      </c>
      <c r="C539" s="3" t="s">
        <v>1368</v>
      </c>
      <c r="D539" s="3" t="s">
        <v>1247</v>
      </c>
      <c r="E539" s="407" t="s">
        <v>1374</v>
      </c>
      <c r="F539" s="3" t="s">
        <v>1935</v>
      </c>
      <c r="G539" s="407" t="s">
        <v>4495</v>
      </c>
      <c r="H539" s="440" t="s">
        <v>4109</v>
      </c>
      <c r="I539" s="407" t="s">
        <v>4316</v>
      </c>
      <c r="J539" s="407" t="s">
        <v>3757</v>
      </c>
      <c r="K539" s="387" t="s">
        <v>4649</v>
      </c>
      <c r="L539" s="387">
        <v>1</v>
      </c>
      <c r="M539" s="387">
        <v>0</v>
      </c>
      <c r="N539" s="387">
        <f t="shared" si="78"/>
        <v>1</v>
      </c>
      <c r="O539" s="442">
        <f t="shared" si="79"/>
        <v>1.0000000000000002</v>
      </c>
      <c r="P539" s="387" t="s">
        <v>1358</v>
      </c>
      <c r="Q539" s="459">
        <v>0</v>
      </c>
      <c r="R539" s="459"/>
      <c r="S539" s="456">
        <v>0</v>
      </c>
      <c r="T539" s="456">
        <v>63.524000000000001</v>
      </c>
      <c r="U539" s="410"/>
      <c r="V539" s="411">
        <v>1</v>
      </c>
      <c r="W539" s="411">
        <v>1</v>
      </c>
      <c r="X539" s="411">
        <v>1</v>
      </c>
      <c r="Y539" s="411"/>
      <c r="Z539" s="411"/>
      <c r="AA539" s="412">
        <f t="shared" si="80"/>
        <v>1.0000000000000002</v>
      </c>
      <c r="AB539" s="456">
        <f t="shared" si="81"/>
        <v>63.524000000000008</v>
      </c>
      <c r="AC539" s="456">
        <v>0</v>
      </c>
      <c r="AD539" s="2"/>
      <c r="AE539" s="4"/>
      <c r="AF539" s="5"/>
      <c r="AG539" s="428"/>
    </row>
    <row r="540" spans="2:33" hidden="1" x14ac:dyDescent="0.25">
      <c r="B540" s="1" t="s">
        <v>2623</v>
      </c>
      <c r="C540" s="3" t="s">
        <v>1368</v>
      </c>
      <c r="D540" s="3" t="s">
        <v>1247</v>
      </c>
      <c r="E540" s="407" t="s">
        <v>1377</v>
      </c>
      <c r="F540" s="3" t="s">
        <v>1936</v>
      </c>
      <c r="G540" s="407" t="s">
        <v>4494</v>
      </c>
      <c r="H540" s="440" t="s">
        <v>4109</v>
      </c>
      <c r="I540" s="407" t="s">
        <v>4315</v>
      </c>
      <c r="J540" s="407" t="s">
        <v>3749</v>
      </c>
      <c r="K540" s="387" t="s">
        <v>4648</v>
      </c>
      <c r="L540" s="387">
        <v>1</v>
      </c>
      <c r="M540" s="387">
        <v>0</v>
      </c>
      <c r="N540" s="387">
        <f t="shared" si="78"/>
        <v>1</v>
      </c>
      <c r="O540" s="442">
        <f t="shared" si="79"/>
        <v>0</v>
      </c>
      <c r="P540" s="387" t="s">
        <v>1358</v>
      </c>
      <c r="Q540" s="459">
        <v>0</v>
      </c>
      <c r="R540" s="459"/>
      <c r="S540" s="456">
        <v>0</v>
      </c>
      <c r="T540" s="456">
        <v>65.141999999999996</v>
      </c>
      <c r="U540" s="410"/>
      <c r="V540" s="411">
        <v>0</v>
      </c>
      <c r="W540" s="411">
        <v>0</v>
      </c>
      <c r="X540" s="411">
        <v>0</v>
      </c>
      <c r="Y540" s="411"/>
      <c r="Z540" s="411"/>
      <c r="AA540" s="412">
        <f t="shared" si="80"/>
        <v>0</v>
      </c>
      <c r="AB540" s="456">
        <f t="shared" si="81"/>
        <v>0</v>
      </c>
      <c r="AC540" s="456">
        <v>0</v>
      </c>
      <c r="AD540" s="2"/>
      <c r="AE540" s="4"/>
      <c r="AF540" s="5"/>
      <c r="AG540" s="428"/>
    </row>
    <row r="541" spans="2:33" hidden="1" x14ac:dyDescent="0.25">
      <c r="B541" s="1" t="s">
        <v>2624</v>
      </c>
      <c r="C541" s="3" t="s">
        <v>1368</v>
      </c>
      <c r="D541" s="3" t="s">
        <v>1247</v>
      </c>
      <c r="E541" s="407" t="s">
        <v>1379</v>
      </c>
      <c r="F541" s="3" t="s">
        <v>1937</v>
      </c>
      <c r="G541" s="407" t="s">
        <v>4502</v>
      </c>
      <c r="H541" s="440" t="s">
        <v>4109</v>
      </c>
      <c r="I541" s="407" t="s">
        <v>4323</v>
      </c>
      <c r="J541" s="407" t="s">
        <v>3750</v>
      </c>
      <c r="K541" s="387" t="s">
        <v>4632</v>
      </c>
      <c r="L541" s="387">
        <v>1</v>
      </c>
      <c r="M541" s="387">
        <v>0</v>
      </c>
      <c r="N541" s="387">
        <f t="shared" si="78"/>
        <v>1</v>
      </c>
      <c r="O541" s="442">
        <f t="shared" si="79"/>
        <v>1</v>
      </c>
      <c r="P541" s="387" t="s">
        <v>1358</v>
      </c>
      <c r="Q541" s="459">
        <v>0</v>
      </c>
      <c r="R541" s="459"/>
      <c r="S541" s="456">
        <v>0</v>
      </c>
      <c r="T541" s="456">
        <v>65.141999999999996</v>
      </c>
      <c r="U541" s="410"/>
      <c r="V541" s="411">
        <v>1</v>
      </c>
      <c r="W541" s="411">
        <v>1</v>
      </c>
      <c r="X541" s="411">
        <v>1</v>
      </c>
      <c r="Y541" s="411"/>
      <c r="Z541" s="411"/>
      <c r="AA541" s="412">
        <f t="shared" si="80"/>
        <v>1</v>
      </c>
      <c r="AB541" s="456">
        <f t="shared" si="81"/>
        <v>65.141999999999996</v>
      </c>
      <c r="AC541" s="456">
        <v>0</v>
      </c>
      <c r="AD541" s="2"/>
      <c r="AE541" s="4"/>
      <c r="AF541" s="5"/>
      <c r="AG541" s="428"/>
    </row>
    <row r="542" spans="2:33" hidden="1" x14ac:dyDescent="0.25">
      <c r="B542" s="1" t="s">
        <v>2625</v>
      </c>
      <c r="C542" s="3" t="s">
        <v>1368</v>
      </c>
      <c r="D542" s="3" t="s">
        <v>1247</v>
      </c>
      <c r="E542" s="407" t="s">
        <v>1381</v>
      </c>
      <c r="F542" s="3" t="s">
        <v>1938</v>
      </c>
      <c r="G542" s="407" t="s">
        <v>4497</v>
      </c>
      <c r="H542" s="440" t="s">
        <v>4109</v>
      </c>
      <c r="I542" s="407" t="s">
        <v>4318</v>
      </c>
      <c r="J542" s="407" t="s">
        <v>3751</v>
      </c>
      <c r="K542" s="387" t="s">
        <v>4631</v>
      </c>
      <c r="L542" s="387">
        <v>1</v>
      </c>
      <c r="M542" s="387">
        <v>0</v>
      </c>
      <c r="N542" s="387">
        <f t="shared" si="78"/>
        <v>1</v>
      </c>
      <c r="O542" s="442">
        <f t="shared" si="79"/>
        <v>1</v>
      </c>
      <c r="P542" s="387" t="s">
        <v>1358</v>
      </c>
      <c r="Q542" s="459">
        <v>0</v>
      </c>
      <c r="R542" s="459"/>
      <c r="S542" s="456">
        <v>0</v>
      </c>
      <c r="T542" s="456">
        <v>65.141999999999996</v>
      </c>
      <c r="U542" s="410"/>
      <c r="V542" s="411">
        <v>1</v>
      </c>
      <c r="W542" s="411">
        <v>1</v>
      </c>
      <c r="X542" s="411">
        <v>1</v>
      </c>
      <c r="Y542" s="411"/>
      <c r="Z542" s="411"/>
      <c r="AA542" s="412">
        <f t="shared" si="80"/>
        <v>1</v>
      </c>
      <c r="AB542" s="456">
        <f t="shared" si="81"/>
        <v>65.141999999999996</v>
      </c>
      <c r="AC542" s="456">
        <v>0</v>
      </c>
      <c r="AD542" s="2"/>
      <c r="AE542" s="4"/>
      <c r="AF542" s="5"/>
      <c r="AG542" s="428"/>
    </row>
    <row r="543" spans="2:33" hidden="1" x14ac:dyDescent="0.25">
      <c r="B543" s="1" t="s">
        <v>2626</v>
      </c>
      <c r="C543" s="3" t="s">
        <v>1368</v>
      </c>
      <c r="D543" s="3" t="s">
        <v>1247</v>
      </c>
      <c r="E543" s="407" t="s">
        <v>1396</v>
      </c>
      <c r="F543" s="3" t="s">
        <v>1939</v>
      </c>
      <c r="G543" s="407" t="s">
        <v>4498</v>
      </c>
      <c r="H543" s="440" t="s">
        <v>4109</v>
      </c>
      <c r="I543" s="407" t="s">
        <v>4319</v>
      </c>
      <c r="J543" s="407" t="s">
        <v>3752</v>
      </c>
      <c r="K543" s="387" t="s">
        <v>4652</v>
      </c>
      <c r="L543" s="387">
        <v>1</v>
      </c>
      <c r="M543" s="387">
        <v>0</v>
      </c>
      <c r="N543" s="387">
        <f t="shared" si="78"/>
        <v>1</v>
      </c>
      <c r="O543" s="442">
        <f t="shared" si="79"/>
        <v>1</v>
      </c>
      <c r="P543" s="387" t="s">
        <v>1358</v>
      </c>
      <c r="Q543" s="459">
        <v>0</v>
      </c>
      <c r="R543" s="459"/>
      <c r="S543" s="456">
        <v>0</v>
      </c>
      <c r="T543" s="456">
        <v>10.792</v>
      </c>
      <c r="U543" s="410"/>
      <c r="V543" s="411">
        <v>1</v>
      </c>
      <c r="W543" s="411">
        <v>1</v>
      </c>
      <c r="X543" s="411">
        <v>1</v>
      </c>
      <c r="Y543" s="411"/>
      <c r="Z543" s="411"/>
      <c r="AA543" s="412">
        <f t="shared" si="80"/>
        <v>1</v>
      </c>
      <c r="AB543" s="456">
        <f t="shared" si="81"/>
        <v>10.792</v>
      </c>
      <c r="AC543" s="456">
        <v>0</v>
      </c>
      <c r="AD543" s="2"/>
      <c r="AE543" s="4"/>
      <c r="AF543" s="5"/>
      <c r="AG543" s="428"/>
    </row>
    <row r="544" spans="2:33" hidden="1" x14ac:dyDescent="0.25">
      <c r="B544" s="1" t="s">
        <v>2627</v>
      </c>
      <c r="C544" s="3" t="s">
        <v>1368</v>
      </c>
      <c r="D544" s="3" t="s">
        <v>1247</v>
      </c>
      <c r="E544" s="407" t="s">
        <v>1399</v>
      </c>
      <c r="F544" s="3" t="s">
        <v>1940</v>
      </c>
      <c r="G544" s="407" t="s">
        <v>4499</v>
      </c>
      <c r="H544" s="440" t="s">
        <v>4109</v>
      </c>
      <c r="I544" s="407" t="s">
        <v>4320</v>
      </c>
      <c r="J544" s="407" t="s">
        <v>3758</v>
      </c>
      <c r="K544" s="387" t="s">
        <v>4653</v>
      </c>
      <c r="L544" s="387">
        <v>1</v>
      </c>
      <c r="M544" s="387">
        <v>0</v>
      </c>
      <c r="N544" s="387">
        <f t="shared" si="78"/>
        <v>1</v>
      </c>
      <c r="O544" s="442">
        <f t="shared" si="79"/>
        <v>1</v>
      </c>
      <c r="P544" s="387" t="s">
        <v>1358</v>
      </c>
      <c r="Q544" s="459">
        <v>0</v>
      </c>
      <c r="R544" s="459"/>
      <c r="S544" s="456">
        <v>0</v>
      </c>
      <c r="T544" s="456">
        <v>10.792</v>
      </c>
      <c r="U544" s="410"/>
      <c r="V544" s="411">
        <v>1</v>
      </c>
      <c r="W544" s="411">
        <v>1</v>
      </c>
      <c r="X544" s="411">
        <v>1</v>
      </c>
      <c r="Y544" s="411"/>
      <c r="Z544" s="411"/>
      <c r="AA544" s="412">
        <f t="shared" si="80"/>
        <v>1</v>
      </c>
      <c r="AB544" s="456">
        <f t="shared" si="81"/>
        <v>10.792</v>
      </c>
      <c r="AC544" s="456">
        <v>0</v>
      </c>
      <c r="AD544" s="2"/>
      <c r="AE544" s="4"/>
      <c r="AF544" s="5"/>
      <c r="AG544" s="428"/>
    </row>
    <row r="545" spans="2:33" hidden="1" x14ac:dyDescent="0.25">
      <c r="B545" s="1" t="s">
        <v>2628</v>
      </c>
      <c r="C545" s="3" t="s">
        <v>1368</v>
      </c>
      <c r="D545" s="3" t="s">
        <v>1247</v>
      </c>
      <c r="E545" s="407" t="s">
        <v>1400</v>
      </c>
      <c r="F545" s="3" t="s">
        <v>1941</v>
      </c>
      <c r="G545" s="407" t="s">
        <v>4477</v>
      </c>
      <c r="H545" s="440" t="s">
        <v>4109</v>
      </c>
      <c r="I545" s="407" t="s">
        <v>4298</v>
      </c>
      <c r="J545" s="407" t="s">
        <v>3779</v>
      </c>
      <c r="K545" s="387" t="s">
        <v>4656</v>
      </c>
      <c r="L545" s="387">
        <v>1</v>
      </c>
      <c r="M545" s="387">
        <v>0</v>
      </c>
      <c r="N545" s="387">
        <f t="shared" si="78"/>
        <v>1</v>
      </c>
      <c r="O545" s="442">
        <f t="shared" si="79"/>
        <v>1</v>
      </c>
      <c r="P545" s="387" t="s">
        <v>1358</v>
      </c>
      <c r="Q545" s="459">
        <v>0</v>
      </c>
      <c r="R545" s="459"/>
      <c r="S545" s="456">
        <v>0</v>
      </c>
      <c r="T545" s="456">
        <v>10.792</v>
      </c>
      <c r="U545" s="410"/>
      <c r="V545" s="411">
        <v>1</v>
      </c>
      <c r="W545" s="411">
        <v>1</v>
      </c>
      <c r="X545" s="411">
        <v>1</v>
      </c>
      <c r="Y545" s="411"/>
      <c r="Z545" s="411"/>
      <c r="AA545" s="412">
        <f t="shared" si="80"/>
        <v>1</v>
      </c>
      <c r="AB545" s="456">
        <f t="shared" si="81"/>
        <v>10.792</v>
      </c>
      <c r="AC545" s="456">
        <v>0</v>
      </c>
      <c r="AD545" s="2"/>
      <c r="AE545" s="4"/>
      <c r="AF545" s="5"/>
      <c r="AG545" s="428"/>
    </row>
    <row r="546" spans="2:33" hidden="1" x14ac:dyDescent="0.25">
      <c r="B546" s="1" t="s">
        <v>2629</v>
      </c>
      <c r="C546" s="3" t="s">
        <v>1368</v>
      </c>
      <c r="D546" s="3" t="s">
        <v>1247</v>
      </c>
      <c r="E546" s="407" t="s">
        <v>3291</v>
      </c>
      <c r="F546" s="3" t="s">
        <v>1942</v>
      </c>
      <c r="G546" s="407" t="s">
        <v>4476</v>
      </c>
      <c r="H546" s="440" t="s">
        <v>4109</v>
      </c>
      <c r="I546" s="407" t="s">
        <v>4297</v>
      </c>
      <c r="J546" s="407" t="s">
        <v>3753</v>
      </c>
      <c r="K546" s="387" t="s">
        <v>4651</v>
      </c>
      <c r="L546" s="387">
        <v>1</v>
      </c>
      <c r="M546" s="387">
        <v>0</v>
      </c>
      <c r="N546" s="387">
        <f t="shared" si="78"/>
        <v>1</v>
      </c>
      <c r="O546" s="442">
        <f t="shared" si="79"/>
        <v>1</v>
      </c>
      <c r="P546" s="387" t="s">
        <v>1358</v>
      </c>
      <c r="Q546" s="459">
        <v>0</v>
      </c>
      <c r="R546" s="459"/>
      <c r="S546" s="456">
        <v>0</v>
      </c>
      <c r="T546" s="456">
        <v>79.427000000000007</v>
      </c>
      <c r="U546" s="410"/>
      <c r="V546" s="411">
        <v>1</v>
      </c>
      <c r="W546" s="411">
        <v>1</v>
      </c>
      <c r="X546" s="411">
        <v>1</v>
      </c>
      <c r="Y546" s="411"/>
      <c r="Z546" s="411"/>
      <c r="AA546" s="412">
        <f t="shared" si="80"/>
        <v>1</v>
      </c>
      <c r="AB546" s="456">
        <f t="shared" si="81"/>
        <v>79.427000000000007</v>
      </c>
      <c r="AC546" s="456">
        <v>0</v>
      </c>
      <c r="AD546" s="2"/>
      <c r="AE546" s="4"/>
      <c r="AF546" s="5"/>
      <c r="AG546" s="428"/>
    </row>
    <row r="547" spans="2:33" hidden="1" x14ac:dyDescent="0.25">
      <c r="B547" s="1" t="s">
        <v>2630</v>
      </c>
      <c r="C547" s="3" t="s">
        <v>1368</v>
      </c>
      <c r="D547" s="3" t="s">
        <v>1247</v>
      </c>
      <c r="E547" s="407" t="s">
        <v>3306</v>
      </c>
      <c r="F547" s="3" t="s">
        <v>1943</v>
      </c>
      <c r="G547" s="407" t="s">
        <v>4484</v>
      </c>
      <c r="H547" s="440" t="s">
        <v>4109</v>
      </c>
      <c r="I547" s="407" t="s">
        <v>4305</v>
      </c>
      <c r="J547" s="407" t="s">
        <v>3786</v>
      </c>
      <c r="K547" s="387" t="s">
        <v>4636</v>
      </c>
      <c r="L547" s="387">
        <v>1</v>
      </c>
      <c r="M547" s="387">
        <v>0</v>
      </c>
      <c r="N547" s="387">
        <f t="shared" si="78"/>
        <v>1</v>
      </c>
      <c r="O547" s="442">
        <f t="shared" si="79"/>
        <v>0</v>
      </c>
      <c r="P547" s="387" t="s">
        <v>1358</v>
      </c>
      <c r="Q547" s="459">
        <v>0</v>
      </c>
      <c r="R547" s="459"/>
      <c r="S547" s="456">
        <v>0</v>
      </c>
      <c r="T547" s="456">
        <v>59.232999999999997</v>
      </c>
      <c r="U547" s="410"/>
      <c r="V547" s="411">
        <v>0</v>
      </c>
      <c r="W547" s="411">
        <v>0</v>
      </c>
      <c r="X547" s="411">
        <v>0</v>
      </c>
      <c r="Y547" s="411"/>
      <c r="Z547" s="411"/>
      <c r="AA547" s="412">
        <f t="shared" si="80"/>
        <v>0</v>
      </c>
      <c r="AB547" s="456">
        <f t="shared" si="81"/>
        <v>0</v>
      </c>
      <c r="AC547" s="456">
        <v>0</v>
      </c>
      <c r="AD547" s="2"/>
      <c r="AE547" s="4"/>
      <c r="AF547" s="5"/>
      <c r="AG547" s="428"/>
    </row>
    <row r="548" spans="2:33" hidden="1" x14ac:dyDescent="0.25">
      <c r="B548" s="1" t="s">
        <v>2631</v>
      </c>
      <c r="C548" s="3" t="s">
        <v>1368</v>
      </c>
      <c r="D548" s="3" t="s">
        <v>1247</v>
      </c>
      <c r="E548" s="407" t="s">
        <v>1432</v>
      </c>
      <c r="F548" s="3" t="s">
        <v>1944</v>
      </c>
      <c r="G548" s="407" t="s">
        <v>4483</v>
      </c>
      <c r="H548" s="440" t="s">
        <v>4109</v>
      </c>
      <c r="I548" s="407" t="s">
        <v>4304</v>
      </c>
      <c r="J548" s="407" t="s">
        <v>3785</v>
      </c>
      <c r="K548" s="387" t="s">
        <v>4635</v>
      </c>
      <c r="L548" s="387">
        <v>1</v>
      </c>
      <c r="M548" s="387">
        <v>0</v>
      </c>
      <c r="N548" s="387">
        <f t="shared" si="78"/>
        <v>1</v>
      </c>
      <c r="O548" s="442">
        <f t="shared" si="79"/>
        <v>0</v>
      </c>
      <c r="P548" s="387" t="s">
        <v>1358</v>
      </c>
      <c r="Q548" s="459">
        <v>0</v>
      </c>
      <c r="R548" s="459"/>
      <c r="S548" s="456">
        <v>0</v>
      </c>
      <c r="T548" s="456">
        <v>67.596000000000004</v>
      </c>
      <c r="U548" s="410"/>
      <c r="V548" s="411">
        <v>0</v>
      </c>
      <c r="W548" s="411">
        <v>0</v>
      </c>
      <c r="X548" s="411">
        <v>0</v>
      </c>
      <c r="Y548" s="411"/>
      <c r="Z548" s="411"/>
      <c r="AA548" s="412">
        <f t="shared" si="80"/>
        <v>0</v>
      </c>
      <c r="AB548" s="456">
        <f t="shared" si="81"/>
        <v>0</v>
      </c>
      <c r="AC548" s="456">
        <v>0</v>
      </c>
      <c r="AD548" s="2"/>
      <c r="AE548" s="4"/>
      <c r="AF548" s="5"/>
      <c r="AG548" s="428"/>
    </row>
    <row r="549" spans="2:33" hidden="1" x14ac:dyDescent="0.25">
      <c r="B549" s="1" t="s">
        <v>2632</v>
      </c>
      <c r="C549" s="3" t="s">
        <v>1368</v>
      </c>
      <c r="D549" s="3" t="s">
        <v>1247</v>
      </c>
      <c r="E549" s="407" t="s">
        <v>3236</v>
      </c>
      <c r="F549" s="3" t="s">
        <v>1945</v>
      </c>
      <c r="G549" s="407" t="s">
        <v>4491</v>
      </c>
      <c r="H549" s="440" t="s">
        <v>4109</v>
      </c>
      <c r="I549" s="407" t="s">
        <v>4312</v>
      </c>
      <c r="J549" s="407" t="s">
        <v>3793</v>
      </c>
      <c r="K549" s="387" t="s">
        <v>4645</v>
      </c>
      <c r="L549" s="387">
        <v>1</v>
      </c>
      <c r="M549" s="387">
        <v>0</v>
      </c>
      <c r="N549" s="387">
        <f t="shared" si="78"/>
        <v>1</v>
      </c>
      <c r="O549" s="442">
        <f t="shared" si="79"/>
        <v>1</v>
      </c>
      <c r="P549" s="387" t="s">
        <v>1358</v>
      </c>
      <c r="Q549" s="459">
        <v>0</v>
      </c>
      <c r="R549" s="459"/>
      <c r="S549" s="456">
        <v>0</v>
      </c>
      <c r="T549" s="456">
        <v>65.697000000000003</v>
      </c>
      <c r="U549" s="410"/>
      <c r="V549" s="411">
        <v>1</v>
      </c>
      <c r="W549" s="411">
        <v>1</v>
      </c>
      <c r="X549" s="411">
        <v>1</v>
      </c>
      <c r="Y549" s="411"/>
      <c r="Z549" s="411"/>
      <c r="AA549" s="412">
        <f t="shared" si="80"/>
        <v>1</v>
      </c>
      <c r="AB549" s="456">
        <f t="shared" si="81"/>
        <v>65.697000000000003</v>
      </c>
      <c r="AC549" s="456">
        <v>0</v>
      </c>
      <c r="AD549" s="2"/>
      <c r="AE549" s="4"/>
      <c r="AF549" s="5"/>
      <c r="AG549" s="428"/>
    </row>
    <row r="550" spans="2:33" hidden="1" x14ac:dyDescent="0.25">
      <c r="B550" s="1" t="s">
        <v>2633</v>
      </c>
      <c r="C550" s="3" t="s">
        <v>1368</v>
      </c>
      <c r="D550" s="3" t="s">
        <v>1247</v>
      </c>
      <c r="E550" s="407" t="s">
        <v>1426</v>
      </c>
      <c r="F550" s="3" t="s">
        <v>1946</v>
      </c>
      <c r="G550" s="407" t="s">
        <v>4480</v>
      </c>
      <c r="H550" s="440" t="s">
        <v>4109</v>
      </c>
      <c r="I550" s="407" t="s">
        <v>4301</v>
      </c>
      <c r="J550" s="407" t="s">
        <v>3782</v>
      </c>
      <c r="K550" s="387" t="s">
        <v>4637</v>
      </c>
      <c r="L550" s="387">
        <v>1</v>
      </c>
      <c r="M550" s="387">
        <v>0</v>
      </c>
      <c r="N550" s="387">
        <f t="shared" si="78"/>
        <v>1</v>
      </c>
      <c r="O550" s="442">
        <f t="shared" si="79"/>
        <v>1</v>
      </c>
      <c r="P550" s="387" t="s">
        <v>1358</v>
      </c>
      <c r="Q550" s="459">
        <v>0</v>
      </c>
      <c r="R550" s="459"/>
      <c r="S550" s="456">
        <v>0</v>
      </c>
      <c r="T550" s="456">
        <v>67.596000000000004</v>
      </c>
      <c r="U550" s="410"/>
      <c r="V550" s="411">
        <v>1</v>
      </c>
      <c r="W550" s="411">
        <v>1</v>
      </c>
      <c r="X550" s="411">
        <v>1</v>
      </c>
      <c r="Y550" s="411"/>
      <c r="Z550" s="411"/>
      <c r="AA550" s="412">
        <f t="shared" si="80"/>
        <v>1</v>
      </c>
      <c r="AB550" s="456">
        <f t="shared" si="81"/>
        <v>67.596000000000004</v>
      </c>
      <c r="AC550" s="456">
        <v>0</v>
      </c>
      <c r="AD550" s="2"/>
      <c r="AE550" s="4"/>
      <c r="AF550" s="5"/>
      <c r="AG550" s="428"/>
    </row>
    <row r="551" spans="2:33" hidden="1" x14ac:dyDescent="0.25">
      <c r="B551" s="1" t="s">
        <v>2634</v>
      </c>
      <c r="C551" s="3" t="s">
        <v>1368</v>
      </c>
      <c r="D551" s="3" t="s">
        <v>1247</v>
      </c>
      <c r="E551" s="407" t="s">
        <v>1427</v>
      </c>
      <c r="F551" s="3" t="s">
        <v>1947</v>
      </c>
      <c r="G551" s="407" t="s">
        <v>4485</v>
      </c>
      <c r="H551" s="440" t="s">
        <v>4109</v>
      </c>
      <c r="I551" s="407" t="s">
        <v>4306</v>
      </c>
      <c r="J551" s="407" t="s">
        <v>3787</v>
      </c>
      <c r="K551" s="387" t="s">
        <v>4638</v>
      </c>
      <c r="L551" s="387">
        <v>1</v>
      </c>
      <c r="M551" s="387">
        <v>0</v>
      </c>
      <c r="N551" s="387">
        <f t="shared" si="78"/>
        <v>1</v>
      </c>
      <c r="O551" s="442">
        <f t="shared" si="79"/>
        <v>0</v>
      </c>
      <c r="P551" s="387" t="s">
        <v>1358</v>
      </c>
      <c r="Q551" s="459">
        <v>0</v>
      </c>
      <c r="R551" s="459"/>
      <c r="S551" s="456">
        <v>0</v>
      </c>
      <c r="T551" s="456">
        <v>67.596000000000004</v>
      </c>
      <c r="U551" s="410"/>
      <c r="V551" s="411">
        <v>0</v>
      </c>
      <c r="W551" s="411">
        <v>0</v>
      </c>
      <c r="X551" s="411">
        <v>0</v>
      </c>
      <c r="Y551" s="411"/>
      <c r="Z551" s="411"/>
      <c r="AA551" s="412">
        <f t="shared" si="80"/>
        <v>0</v>
      </c>
      <c r="AB551" s="456">
        <f t="shared" si="81"/>
        <v>0</v>
      </c>
      <c r="AC551" s="456">
        <v>0</v>
      </c>
      <c r="AD551" s="2"/>
      <c r="AE551" s="4"/>
      <c r="AF551" s="5"/>
      <c r="AG551" s="428"/>
    </row>
    <row r="552" spans="2:33" hidden="1" x14ac:dyDescent="0.25">
      <c r="B552" s="1" t="s">
        <v>2635</v>
      </c>
      <c r="C552" s="3" t="s">
        <v>1368</v>
      </c>
      <c r="D552" s="3" t="s">
        <v>1247</v>
      </c>
      <c r="E552" s="407" t="s">
        <v>1428</v>
      </c>
      <c r="F552" s="3" t="s">
        <v>1948</v>
      </c>
      <c r="G552" s="407" t="s">
        <v>4486</v>
      </c>
      <c r="H552" s="440" t="s">
        <v>4109</v>
      </c>
      <c r="I552" s="407" t="s">
        <v>4307</v>
      </c>
      <c r="J552" s="407" t="s">
        <v>3788</v>
      </c>
      <c r="K552" s="387" t="s">
        <v>4639</v>
      </c>
      <c r="L552" s="387">
        <v>1</v>
      </c>
      <c r="M552" s="387">
        <v>0</v>
      </c>
      <c r="N552" s="387">
        <f t="shared" si="78"/>
        <v>1</v>
      </c>
      <c r="O552" s="442">
        <f t="shared" si="79"/>
        <v>0</v>
      </c>
      <c r="P552" s="387" t="s">
        <v>1358</v>
      </c>
      <c r="Q552" s="459">
        <v>0</v>
      </c>
      <c r="R552" s="459"/>
      <c r="S552" s="456">
        <v>0</v>
      </c>
      <c r="T552" s="456">
        <v>67.596000000000004</v>
      </c>
      <c r="U552" s="410"/>
      <c r="V552" s="411">
        <v>0</v>
      </c>
      <c r="W552" s="411">
        <v>0</v>
      </c>
      <c r="X552" s="411">
        <v>0</v>
      </c>
      <c r="Y552" s="411"/>
      <c r="Z552" s="411"/>
      <c r="AA552" s="412">
        <f t="shared" si="80"/>
        <v>0</v>
      </c>
      <c r="AB552" s="456">
        <f t="shared" si="81"/>
        <v>0</v>
      </c>
      <c r="AC552" s="456">
        <v>0</v>
      </c>
      <c r="AD552" s="2"/>
      <c r="AE552" s="4"/>
      <c r="AF552" s="5"/>
      <c r="AG552" s="428"/>
    </row>
    <row r="553" spans="2:33" hidden="1" x14ac:dyDescent="0.25">
      <c r="B553" s="1" t="s">
        <v>2636</v>
      </c>
      <c r="C553" s="3" t="s">
        <v>1368</v>
      </c>
      <c r="D553" s="3" t="s">
        <v>1247</v>
      </c>
      <c r="E553" s="407" t="s">
        <v>1429</v>
      </c>
      <c r="F553" s="3" t="s">
        <v>1949</v>
      </c>
      <c r="G553" s="407" t="s">
        <v>4487</v>
      </c>
      <c r="H553" s="440" t="s">
        <v>4109</v>
      </c>
      <c r="I553" s="407" t="s">
        <v>4308</v>
      </c>
      <c r="J553" s="407" t="s">
        <v>3789</v>
      </c>
      <c r="K553" s="387" t="s">
        <v>4640</v>
      </c>
      <c r="L553" s="387">
        <v>1</v>
      </c>
      <c r="M553" s="387">
        <v>0</v>
      </c>
      <c r="N553" s="387">
        <f t="shared" si="78"/>
        <v>1</v>
      </c>
      <c r="O553" s="442">
        <f t="shared" si="79"/>
        <v>0</v>
      </c>
      <c r="P553" s="387" t="s">
        <v>1358</v>
      </c>
      <c r="Q553" s="459">
        <v>0</v>
      </c>
      <c r="R553" s="459"/>
      <c r="S553" s="456">
        <v>0</v>
      </c>
      <c r="T553" s="456">
        <v>67.596000000000004</v>
      </c>
      <c r="U553" s="410"/>
      <c r="V553" s="411">
        <v>0</v>
      </c>
      <c r="W553" s="411">
        <v>0</v>
      </c>
      <c r="X553" s="411">
        <v>0</v>
      </c>
      <c r="Y553" s="411"/>
      <c r="Z553" s="411"/>
      <c r="AA553" s="412">
        <f t="shared" si="80"/>
        <v>0</v>
      </c>
      <c r="AB553" s="456">
        <f t="shared" si="81"/>
        <v>0</v>
      </c>
      <c r="AC553" s="456">
        <v>0</v>
      </c>
      <c r="AD553" s="2"/>
      <c r="AE553" s="4"/>
      <c r="AF553" s="5"/>
      <c r="AG553" s="428"/>
    </row>
    <row r="554" spans="2:33" hidden="1" x14ac:dyDescent="0.25">
      <c r="B554" s="1" t="s">
        <v>2637</v>
      </c>
      <c r="C554" s="3" t="s">
        <v>1368</v>
      </c>
      <c r="D554" s="3" t="s">
        <v>1247</v>
      </c>
      <c r="E554" s="407" t="s">
        <v>1430</v>
      </c>
      <c r="F554" s="3" t="s">
        <v>1950</v>
      </c>
      <c r="G554" s="407" t="s">
        <v>4488</v>
      </c>
      <c r="H554" s="440" t="s">
        <v>4109</v>
      </c>
      <c r="I554" s="407" t="s">
        <v>4309</v>
      </c>
      <c r="J554" s="407" t="s">
        <v>3790</v>
      </c>
      <c r="K554" s="387" t="s">
        <v>4641</v>
      </c>
      <c r="L554" s="387">
        <v>1</v>
      </c>
      <c r="M554" s="387">
        <v>0</v>
      </c>
      <c r="N554" s="387">
        <f t="shared" si="78"/>
        <v>1</v>
      </c>
      <c r="O554" s="442">
        <f t="shared" si="79"/>
        <v>0</v>
      </c>
      <c r="P554" s="387" t="s">
        <v>1358</v>
      </c>
      <c r="Q554" s="459">
        <v>0</v>
      </c>
      <c r="R554" s="459"/>
      <c r="S554" s="456">
        <v>0</v>
      </c>
      <c r="T554" s="456">
        <v>90.286000000000001</v>
      </c>
      <c r="U554" s="410"/>
      <c r="V554" s="411">
        <v>0</v>
      </c>
      <c r="W554" s="411">
        <v>0</v>
      </c>
      <c r="X554" s="411">
        <v>0</v>
      </c>
      <c r="Y554" s="411"/>
      <c r="Z554" s="411"/>
      <c r="AA554" s="412">
        <f t="shared" si="80"/>
        <v>0</v>
      </c>
      <c r="AB554" s="456">
        <f t="shared" si="81"/>
        <v>0</v>
      </c>
      <c r="AC554" s="456">
        <v>0</v>
      </c>
      <c r="AD554" s="2"/>
      <c r="AE554" s="4"/>
      <c r="AF554" s="5"/>
      <c r="AG554" s="428"/>
    </row>
    <row r="555" spans="2:33" hidden="1" x14ac:dyDescent="0.25">
      <c r="B555" s="1" t="s">
        <v>2638</v>
      </c>
      <c r="C555" s="3" t="s">
        <v>1368</v>
      </c>
      <c r="D555" s="3" t="s">
        <v>1247</v>
      </c>
      <c r="E555" s="407" t="s">
        <v>1431</v>
      </c>
      <c r="F555" s="3" t="s">
        <v>1951</v>
      </c>
      <c r="G555" s="407" t="s">
        <v>4489</v>
      </c>
      <c r="H555" s="440" t="s">
        <v>4109</v>
      </c>
      <c r="I555" s="407" t="s">
        <v>4310</v>
      </c>
      <c r="J555" s="407" t="s">
        <v>3791</v>
      </c>
      <c r="K555" s="387" t="s">
        <v>4642</v>
      </c>
      <c r="L555" s="387">
        <v>1</v>
      </c>
      <c r="M555" s="387">
        <v>0</v>
      </c>
      <c r="N555" s="387">
        <f t="shared" si="78"/>
        <v>1</v>
      </c>
      <c r="O555" s="442">
        <f t="shared" si="79"/>
        <v>0</v>
      </c>
      <c r="P555" s="387" t="s">
        <v>1358</v>
      </c>
      <c r="Q555" s="459">
        <v>0</v>
      </c>
      <c r="R555" s="459"/>
      <c r="S555" s="456">
        <v>0</v>
      </c>
      <c r="T555" s="456">
        <v>67.596000000000004</v>
      </c>
      <c r="U555" s="410"/>
      <c r="V555" s="411">
        <v>0</v>
      </c>
      <c r="W555" s="411">
        <v>0</v>
      </c>
      <c r="X555" s="411">
        <v>0</v>
      </c>
      <c r="Y555" s="411"/>
      <c r="Z555" s="411"/>
      <c r="AA555" s="412">
        <f t="shared" si="80"/>
        <v>0</v>
      </c>
      <c r="AB555" s="456">
        <f t="shared" si="81"/>
        <v>0</v>
      </c>
      <c r="AC555" s="456">
        <v>0</v>
      </c>
      <c r="AD555" s="2"/>
      <c r="AE555" s="4"/>
      <c r="AF555" s="5"/>
      <c r="AG555" s="428"/>
    </row>
    <row r="556" spans="2:33" hidden="1" x14ac:dyDescent="0.25">
      <c r="B556" s="1" t="s">
        <v>2639</v>
      </c>
      <c r="C556" s="3" t="s">
        <v>1368</v>
      </c>
      <c r="D556" s="3" t="s">
        <v>1247</v>
      </c>
      <c r="E556" s="407" t="s">
        <v>3234</v>
      </c>
      <c r="F556" s="3" t="s">
        <v>1952</v>
      </c>
      <c r="G556" s="407" t="s">
        <v>4492</v>
      </c>
      <c r="H556" s="440" t="s">
        <v>4109</v>
      </c>
      <c r="I556" s="407" t="s">
        <v>4313</v>
      </c>
      <c r="J556" s="407" t="s">
        <v>3794</v>
      </c>
      <c r="K556" s="387" t="s">
        <v>4646</v>
      </c>
      <c r="L556" s="387">
        <v>1</v>
      </c>
      <c r="M556" s="387">
        <v>0</v>
      </c>
      <c r="N556" s="387">
        <f t="shared" si="78"/>
        <v>1</v>
      </c>
      <c r="O556" s="442">
        <f t="shared" si="79"/>
        <v>1</v>
      </c>
      <c r="P556" s="387" t="s">
        <v>1358</v>
      </c>
      <c r="Q556" s="459">
        <v>0</v>
      </c>
      <c r="R556" s="459"/>
      <c r="S556" s="456">
        <v>0</v>
      </c>
      <c r="T556" s="456">
        <v>42.463000000000001</v>
      </c>
      <c r="U556" s="410"/>
      <c r="V556" s="411">
        <v>1</v>
      </c>
      <c r="W556" s="411">
        <v>1</v>
      </c>
      <c r="X556" s="411">
        <v>1</v>
      </c>
      <c r="Y556" s="411"/>
      <c r="Z556" s="411"/>
      <c r="AA556" s="412">
        <f t="shared" si="80"/>
        <v>1</v>
      </c>
      <c r="AB556" s="456">
        <f t="shared" si="81"/>
        <v>42.463000000000001</v>
      </c>
      <c r="AC556" s="456">
        <v>0</v>
      </c>
      <c r="AD556" s="2"/>
      <c r="AE556" s="4"/>
      <c r="AF556" s="5"/>
      <c r="AG556" s="428"/>
    </row>
    <row r="557" spans="2:33" hidden="1" x14ac:dyDescent="0.25">
      <c r="B557" s="1" t="s">
        <v>2640</v>
      </c>
      <c r="C557" s="3" t="s">
        <v>1368</v>
      </c>
      <c r="D557" s="3" t="s">
        <v>1247</v>
      </c>
      <c r="E557" s="407" t="s">
        <v>1431</v>
      </c>
      <c r="F557" s="3" t="s">
        <v>1953</v>
      </c>
      <c r="G557" s="407" t="s">
        <v>4489</v>
      </c>
      <c r="H557" s="440" t="s">
        <v>4109</v>
      </c>
      <c r="I557" s="407" t="s">
        <v>4310</v>
      </c>
      <c r="J557" s="407" t="s">
        <v>3791</v>
      </c>
      <c r="K557" s="387" t="s">
        <v>4642</v>
      </c>
      <c r="L557" s="387">
        <v>1</v>
      </c>
      <c r="M557" s="387">
        <v>0</v>
      </c>
      <c r="N557" s="387">
        <f t="shared" si="78"/>
        <v>1</v>
      </c>
      <c r="O557" s="442">
        <f t="shared" si="79"/>
        <v>0</v>
      </c>
      <c r="P557" s="387" t="s">
        <v>1358</v>
      </c>
      <c r="Q557" s="459">
        <v>0</v>
      </c>
      <c r="R557" s="459"/>
      <c r="S557" s="456">
        <v>0</v>
      </c>
      <c r="T557" s="456">
        <v>79.427000000000007</v>
      </c>
      <c r="U557" s="410"/>
      <c r="V557" s="411">
        <v>0</v>
      </c>
      <c r="W557" s="411">
        <v>0</v>
      </c>
      <c r="X557" s="411">
        <v>0</v>
      </c>
      <c r="Y557" s="411"/>
      <c r="Z557" s="411"/>
      <c r="AA557" s="412">
        <f t="shared" si="80"/>
        <v>0</v>
      </c>
      <c r="AB557" s="456">
        <f t="shared" si="81"/>
        <v>0</v>
      </c>
      <c r="AC557" s="456">
        <v>0</v>
      </c>
      <c r="AD557" s="2"/>
      <c r="AE557" s="4"/>
      <c r="AF557" s="5"/>
      <c r="AG557" s="428"/>
    </row>
    <row r="558" spans="2:33" hidden="1" x14ac:dyDescent="0.25">
      <c r="B558" s="1" t="s">
        <v>2641</v>
      </c>
      <c r="C558" s="3" t="s">
        <v>1368</v>
      </c>
      <c r="D558" s="3" t="s">
        <v>1247</v>
      </c>
      <c r="E558" s="407" t="s">
        <v>1432</v>
      </c>
      <c r="F558" s="3" t="s">
        <v>1954</v>
      </c>
      <c r="G558" s="407" t="s">
        <v>4483</v>
      </c>
      <c r="H558" s="440" t="s">
        <v>4109</v>
      </c>
      <c r="I558" s="407" t="s">
        <v>4304</v>
      </c>
      <c r="J558" s="407" t="s">
        <v>3785</v>
      </c>
      <c r="K558" s="387" t="s">
        <v>4635</v>
      </c>
      <c r="L558" s="387">
        <v>1</v>
      </c>
      <c r="M558" s="387">
        <v>0</v>
      </c>
      <c r="N558" s="387">
        <f t="shared" si="78"/>
        <v>1</v>
      </c>
      <c r="O558" s="442">
        <f t="shared" si="79"/>
        <v>0</v>
      </c>
      <c r="P558" s="387" t="s">
        <v>1358</v>
      </c>
      <c r="Q558" s="459">
        <v>0</v>
      </c>
      <c r="R558" s="459"/>
      <c r="S558" s="456">
        <v>0</v>
      </c>
      <c r="T558" s="456">
        <v>79.427000000000007</v>
      </c>
      <c r="U558" s="410"/>
      <c r="V558" s="411">
        <v>0</v>
      </c>
      <c r="W558" s="411">
        <v>0</v>
      </c>
      <c r="X558" s="411">
        <v>0</v>
      </c>
      <c r="Y558" s="411"/>
      <c r="Z558" s="411"/>
      <c r="AA558" s="412">
        <f t="shared" si="80"/>
        <v>0</v>
      </c>
      <c r="AB558" s="456">
        <f t="shared" si="81"/>
        <v>0</v>
      </c>
      <c r="AC558" s="456">
        <v>0</v>
      </c>
      <c r="AD558" s="2"/>
      <c r="AE558" s="4"/>
      <c r="AF558" s="5"/>
      <c r="AG558" s="428"/>
    </row>
    <row r="559" spans="2:33" hidden="1" x14ac:dyDescent="0.25">
      <c r="B559" s="1" t="s">
        <v>2642</v>
      </c>
      <c r="C559" s="3" t="s">
        <v>1368</v>
      </c>
      <c r="D559" s="3" t="s">
        <v>1247</v>
      </c>
      <c r="E559" s="407" t="s">
        <v>1433</v>
      </c>
      <c r="F559" s="3" t="s">
        <v>1955</v>
      </c>
      <c r="G559" s="407" t="s">
        <v>4490</v>
      </c>
      <c r="H559" s="440" t="s">
        <v>4109</v>
      </c>
      <c r="I559" s="407" t="s">
        <v>4311</v>
      </c>
      <c r="J559" s="407" t="s">
        <v>3792</v>
      </c>
      <c r="K559" s="387" t="s">
        <v>4644</v>
      </c>
      <c r="L559" s="387">
        <v>1</v>
      </c>
      <c r="M559" s="387">
        <v>0</v>
      </c>
      <c r="N559" s="387">
        <f t="shared" si="78"/>
        <v>1</v>
      </c>
      <c r="O559" s="442">
        <f t="shared" si="79"/>
        <v>0</v>
      </c>
      <c r="P559" s="387" t="s">
        <v>1358</v>
      </c>
      <c r="Q559" s="459">
        <v>0</v>
      </c>
      <c r="R559" s="459"/>
      <c r="S559" s="456">
        <v>0</v>
      </c>
      <c r="T559" s="456">
        <v>79.427000000000007</v>
      </c>
      <c r="U559" s="410"/>
      <c r="V559" s="411">
        <v>0</v>
      </c>
      <c r="W559" s="411">
        <v>0</v>
      </c>
      <c r="X559" s="411">
        <v>0</v>
      </c>
      <c r="Y559" s="411"/>
      <c r="Z559" s="411"/>
      <c r="AA559" s="412">
        <f t="shared" si="80"/>
        <v>0</v>
      </c>
      <c r="AB559" s="456">
        <f t="shared" si="81"/>
        <v>0</v>
      </c>
      <c r="AC559" s="456">
        <v>0</v>
      </c>
      <c r="AD559" s="2"/>
      <c r="AE559" s="4"/>
      <c r="AF559" s="5"/>
      <c r="AG559" s="428"/>
    </row>
    <row r="560" spans="2:33" hidden="1" x14ac:dyDescent="0.25">
      <c r="B560" s="1" t="s">
        <v>2643</v>
      </c>
      <c r="C560" s="3" t="s">
        <v>1368</v>
      </c>
      <c r="D560" s="3" t="s">
        <v>1247</v>
      </c>
      <c r="E560" s="407" t="s">
        <v>3294</v>
      </c>
      <c r="F560" s="3" t="s">
        <v>1956</v>
      </c>
      <c r="G560" s="407" t="s">
        <v>4500</v>
      </c>
      <c r="H560" s="440" t="s">
        <v>4109</v>
      </c>
      <c r="I560" s="407" t="s">
        <v>4321</v>
      </c>
      <c r="J560" s="407" t="s">
        <v>3755</v>
      </c>
      <c r="K560" s="387" t="s">
        <v>4654</v>
      </c>
      <c r="L560" s="387">
        <v>1</v>
      </c>
      <c r="M560" s="387">
        <v>0</v>
      </c>
      <c r="N560" s="387">
        <f t="shared" si="78"/>
        <v>1</v>
      </c>
      <c r="O560" s="442">
        <f t="shared" si="79"/>
        <v>1</v>
      </c>
      <c r="P560" s="387" t="s">
        <v>1358</v>
      </c>
      <c r="Q560" s="459">
        <v>0</v>
      </c>
      <c r="R560" s="459"/>
      <c r="S560" s="456">
        <v>0</v>
      </c>
      <c r="T560" s="456">
        <v>19.939</v>
      </c>
      <c r="U560" s="410"/>
      <c r="V560" s="411">
        <v>1</v>
      </c>
      <c r="W560" s="411">
        <v>1</v>
      </c>
      <c r="X560" s="411">
        <v>1</v>
      </c>
      <c r="Y560" s="411"/>
      <c r="Z560" s="411"/>
      <c r="AA560" s="412">
        <f t="shared" si="80"/>
        <v>1</v>
      </c>
      <c r="AB560" s="456">
        <f t="shared" si="81"/>
        <v>19.939</v>
      </c>
      <c r="AC560" s="456">
        <v>0</v>
      </c>
      <c r="AD560" s="2"/>
      <c r="AE560" s="4"/>
      <c r="AF560" s="5"/>
      <c r="AG560" s="428"/>
    </row>
    <row r="561" spans="2:33" hidden="1" x14ac:dyDescent="0.25">
      <c r="B561" s="1" t="s">
        <v>2644</v>
      </c>
      <c r="C561" s="3" t="s">
        <v>1368</v>
      </c>
      <c r="D561" s="3" t="s">
        <v>1247</v>
      </c>
      <c r="E561" s="407" t="s">
        <v>1374</v>
      </c>
      <c r="F561" s="3" t="s">
        <v>1957</v>
      </c>
      <c r="G561" s="407" t="s">
        <v>4495</v>
      </c>
      <c r="H561" s="440" t="s">
        <v>4109</v>
      </c>
      <c r="I561" s="407" t="s">
        <v>4316</v>
      </c>
      <c r="J561" s="407" t="s">
        <v>3757</v>
      </c>
      <c r="K561" s="387" t="s">
        <v>4665</v>
      </c>
      <c r="L561" s="387">
        <v>2</v>
      </c>
      <c r="M561" s="387">
        <v>0</v>
      </c>
      <c r="N561" s="387">
        <f t="shared" si="78"/>
        <v>2</v>
      </c>
      <c r="O561" s="442">
        <f t="shared" si="79"/>
        <v>2</v>
      </c>
      <c r="P561" s="387" t="s">
        <v>1358</v>
      </c>
      <c r="Q561" s="459">
        <v>0</v>
      </c>
      <c r="R561" s="459"/>
      <c r="S561" s="456">
        <v>0</v>
      </c>
      <c r="T561" s="456">
        <v>38.75</v>
      </c>
      <c r="U561" s="410"/>
      <c r="V561" s="411">
        <v>1</v>
      </c>
      <c r="W561" s="411">
        <v>1</v>
      </c>
      <c r="X561" s="411">
        <v>1</v>
      </c>
      <c r="Y561" s="411"/>
      <c r="Z561" s="411"/>
      <c r="AA561" s="412">
        <f t="shared" si="80"/>
        <v>1</v>
      </c>
      <c r="AB561" s="456">
        <f t="shared" si="81"/>
        <v>38.75</v>
      </c>
      <c r="AC561" s="456">
        <v>0</v>
      </c>
      <c r="AD561" s="2"/>
      <c r="AE561" s="4"/>
      <c r="AF561" s="5"/>
      <c r="AG561" s="428"/>
    </row>
    <row r="562" spans="2:33" hidden="1" x14ac:dyDescent="0.25">
      <c r="B562" s="1" t="s">
        <v>2645</v>
      </c>
      <c r="C562" s="3" t="s">
        <v>1368</v>
      </c>
      <c r="D562" s="3" t="s">
        <v>1247</v>
      </c>
      <c r="E562" s="407" t="s">
        <v>1377</v>
      </c>
      <c r="F562" s="3" t="s">
        <v>1958</v>
      </c>
      <c r="G562" s="407" t="s">
        <v>4494</v>
      </c>
      <c r="H562" s="440" t="s">
        <v>4109</v>
      </c>
      <c r="I562" s="407" t="s">
        <v>4315</v>
      </c>
      <c r="J562" s="407" t="s">
        <v>3749</v>
      </c>
      <c r="K562" s="387" t="s">
        <v>4648</v>
      </c>
      <c r="L562" s="387">
        <v>1</v>
      </c>
      <c r="M562" s="387">
        <v>0</v>
      </c>
      <c r="N562" s="387">
        <f t="shared" si="78"/>
        <v>1</v>
      </c>
      <c r="O562" s="442">
        <f t="shared" si="79"/>
        <v>1</v>
      </c>
      <c r="P562" s="387" t="s">
        <v>1358</v>
      </c>
      <c r="Q562" s="459">
        <v>0</v>
      </c>
      <c r="R562" s="459"/>
      <c r="S562" s="456">
        <v>0</v>
      </c>
      <c r="T562" s="456">
        <v>19.376000000000001</v>
      </c>
      <c r="U562" s="410"/>
      <c r="V562" s="411">
        <v>1</v>
      </c>
      <c r="W562" s="411">
        <v>1</v>
      </c>
      <c r="X562" s="411">
        <v>1</v>
      </c>
      <c r="Y562" s="411"/>
      <c r="Z562" s="411"/>
      <c r="AA562" s="412">
        <f t="shared" si="80"/>
        <v>1</v>
      </c>
      <c r="AB562" s="456">
        <f t="shared" si="81"/>
        <v>19.376000000000001</v>
      </c>
      <c r="AC562" s="456">
        <v>0</v>
      </c>
      <c r="AD562" s="2"/>
      <c r="AE562" s="4"/>
      <c r="AF562" s="5"/>
      <c r="AG562" s="428"/>
    </row>
    <row r="563" spans="2:33" hidden="1" x14ac:dyDescent="0.25">
      <c r="B563" s="1" t="s">
        <v>2646</v>
      </c>
      <c r="C563" s="3" t="s">
        <v>1368</v>
      </c>
      <c r="D563" s="3" t="s">
        <v>1247</v>
      </c>
      <c r="E563" s="407" t="s">
        <v>1379</v>
      </c>
      <c r="F563" s="3" t="s">
        <v>1959</v>
      </c>
      <c r="G563" s="407" t="s">
        <v>4502</v>
      </c>
      <c r="H563" s="440" t="s">
        <v>4109</v>
      </c>
      <c r="I563" s="407" t="s">
        <v>4323</v>
      </c>
      <c r="J563" s="407" t="s">
        <v>3750</v>
      </c>
      <c r="K563" s="387" t="s">
        <v>4632</v>
      </c>
      <c r="L563" s="387">
        <v>1</v>
      </c>
      <c r="M563" s="387">
        <v>0</v>
      </c>
      <c r="N563" s="387">
        <f t="shared" si="78"/>
        <v>1</v>
      </c>
      <c r="O563" s="442">
        <f t="shared" si="79"/>
        <v>1</v>
      </c>
      <c r="P563" s="387" t="s">
        <v>1358</v>
      </c>
      <c r="Q563" s="459">
        <v>0</v>
      </c>
      <c r="R563" s="459"/>
      <c r="S563" s="456">
        <v>0</v>
      </c>
      <c r="T563" s="456">
        <v>19.376000000000001</v>
      </c>
      <c r="U563" s="410"/>
      <c r="V563" s="411">
        <v>1</v>
      </c>
      <c r="W563" s="411">
        <v>1</v>
      </c>
      <c r="X563" s="411">
        <v>1</v>
      </c>
      <c r="Y563" s="411"/>
      <c r="Z563" s="411"/>
      <c r="AA563" s="412">
        <f t="shared" si="80"/>
        <v>1</v>
      </c>
      <c r="AB563" s="456">
        <f t="shared" si="81"/>
        <v>19.376000000000001</v>
      </c>
      <c r="AC563" s="456">
        <v>0</v>
      </c>
      <c r="AD563" s="2"/>
      <c r="AE563" s="4"/>
      <c r="AF563" s="5"/>
      <c r="AG563" s="428"/>
    </row>
    <row r="564" spans="2:33" hidden="1" x14ac:dyDescent="0.25">
      <c r="B564" s="1" t="s">
        <v>2647</v>
      </c>
      <c r="C564" s="3" t="s">
        <v>1368</v>
      </c>
      <c r="D564" s="3" t="s">
        <v>1247</v>
      </c>
      <c r="E564" s="407" t="s">
        <v>1381</v>
      </c>
      <c r="F564" s="3" t="s">
        <v>1960</v>
      </c>
      <c r="G564" s="407" t="s">
        <v>4497</v>
      </c>
      <c r="H564" s="440" t="s">
        <v>4109</v>
      </c>
      <c r="I564" s="407" t="s">
        <v>4318</v>
      </c>
      <c r="J564" s="407" t="s">
        <v>3751</v>
      </c>
      <c r="K564" s="387" t="s">
        <v>4631</v>
      </c>
      <c r="L564" s="387">
        <v>1</v>
      </c>
      <c r="M564" s="387">
        <v>0</v>
      </c>
      <c r="N564" s="387">
        <f t="shared" si="78"/>
        <v>1</v>
      </c>
      <c r="O564" s="442">
        <f t="shared" si="79"/>
        <v>1</v>
      </c>
      <c r="P564" s="387" t="s">
        <v>1358</v>
      </c>
      <c r="Q564" s="459">
        <v>0</v>
      </c>
      <c r="R564" s="459"/>
      <c r="S564" s="456">
        <v>0</v>
      </c>
      <c r="T564" s="456">
        <v>19.376000000000001</v>
      </c>
      <c r="U564" s="410"/>
      <c r="V564" s="411">
        <v>1</v>
      </c>
      <c r="W564" s="411">
        <v>1</v>
      </c>
      <c r="X564" s="411">
        <v>1</v>
      </c>
      <c r="Y564" s="411"/>
      <c r="Z564" s="411"/>
      <c r="AA564" s="412">
        <f t="shared" si="80"/>
        <v>1</v>
      </c>
      <c r="AB564" s="456">
        <f t="shared" si="81"/>
        <v>19.376000000000001</v>
      </c>
      <c r="AC564" s="456">
        <v>0</v>
      </c>
      <c r="AD564" s="2"/>
      <c r="AE564" s="4"/>
      <c r="AF564" s="5"/>
      <c r="AG564" s="428"/>
    </row>
    <row r="565" spans="2:33" hidden="1" x14ac:dyDescent="0.25">
      <c r="B565" s="1" t="s">
        <v>2648</v>
      </c>
      <c r="C565" s="3" t="s">
        <v>1368</v>
      </c>
      <c r="D565" s="3" t="s">
        <v>1247</v>
      </c>
      <c r="E565" s="407" t="s">
        <v>1396</v>
      </c>
      <c r="F565" s="3" t="s">
        <v>1961</v>
      </c>
      <c r="G565" s="407" t="s">
        <v>4498</v>
      </c>
      <c r="H565" s="440" t="s">
        <v>4109</v>
      </c>
      <c r="I565" s="407" t="s">
        <v>4319</v>
      </c>
      <c r="J565" s="407" t="s">
        <v>3752</v>
      </c>
      <c r="K565" s="387" t="s">
        <v>4652</v>
      </c>
      <c r="L565" s="387">
        <v>1</v>
      </c>
      <c r="M565" s="387">
        <v>0</v>
      </c>
      <c r="N565" s="387">
        <f t="shared" si="78"/>
        <v>1</v>
      </c>
      <c r="O565" s="442">
        <f t="shared" si="79"/>
        <v>1</v>
      </c>
      <c r="P565" s="387" t="s">
        <v>1358</v>
      </c>
      <c r="Q565" s="459">
        <v>0</v>
      </c>
      <c r="R565" s="459"/>
      <c r="S565" s="456">
        <v>0</v>
      </c>
      <c r="T565" s="456">
        <v>19.376000000000001</v>
      </c>
      <c r="U565" s="410"/>
      <c r="V565" s="411">
        <v>1</v>
      </c>
      <c r="W565" s="411">
        <v>1</v>
      </c>
      <c r="X565" s="411">
        <v>1</v>
      </c>
      <c r="Y565" s="411"/>
      <c r="Z565" s="411"/>
      <c r="AA565" s="412">
        <f t="shared" si="80"/>
        <v>1</v>
      </c>
      <c r="AB565" s="456">
        <f t="shared" si="81"/>
        <v>19.376000000000001</v>
      </c>
      <c r="AC565" s="456">
        <v>0</v>
      </c>
      <c r="AD565" s="2"/>
      <c r="AE565" s="4"/>
      <c r="AF565" s="5"/>
      <c r="AG565" s="428"/>
    </row>
    <row r="566" spans="2:33" hidden="1" x14ac:dyDescent="0.25">
      <c r="B566" s="1" t="s">
        <v>2649</v>
      </c>
      <c r="C566" s="3" t="s">
        <v>1368</v>
      </c>
      <c r="D566" s="3" t="s">
        <v>1247</v>
      </c>
      <c r="E566" s="407" t="s">
        <v>1399</v>
      </c>
      <c r="F566" s="3" t="s">
        <v>1962</v>
      </c>
      <c r="G566" s="407" t="s">
        <v>4499</v>
      </c>
      <c r="H566" s="440" t="s">
        <v>4109</v>
      </c>
      <c r="I566" s="407" t="s">
        <v>4320</v>
      </c>
      <c r="J566" s="407" t="s">
        <v>3758</v>
      </c>
      <c r="K566" s="387" t="s">
        <v>4653</v>
      </c>
      <c r="L566" s="387">
        <v>1</v>
      </c>
      <c r="M566" s="387">
        <v>0</v>
      </c>
      <c r="N566" s="387">
        <f t="shared" ref="N566:N631" si="82">L566+M566</f>
        <v>1</v>
      </c>
      <c r="O566" s="442">
        <f t="shared" ref="O566:O631" si="83">L566*AA566</f>
        <v>1</v>
      </c>
      <c r="P566" s="387" t="s">
        <v>1358</v>
      </c>
      <c r="Q566" s="459">
        <v>0</v>
      </c>
      <c r="R566" s="459"/>
      <c r="S566" s="456">
        <v>0</v>
      </c>
      <c r="T566" s="456">
        <v>19.376000000000001</v>
      </c>
      <c r="U566" s="410"/>
      <c r="V566" s="411">
        <v>1</v>
      </c>
      <c r="W566" s="411">
        <v>1</v>
      </c>
      <c r="X566" s="411">
        <v>1</v>
      </c>
      <c r="Y566" s="411"/>
      <c r="Z566" s="411"/>
      <c r="AA566" s="412">
        <f t="shared" ref="AA566:AA631" si="84">AB566/T566</f>
        <v>1</v>
      </c>
      <c r="AB566" s="456">
        <f t="shared" ref="AB566:AB631" si="85">(V566*V$369*T566)+(W566*W$369*T566)+(X566*X$369*T566)</f>
        <v>19.376000000000001</v>
      </c>
      <c r="AC566" s="456">
        <v>0</v>
      </c>
      <c r="AD566" s="2"/>
      <c r="AE566" s="4"/>
      <c r="AF566" s="5"/>
      <c r="AG566" s="428"/>
    </row>
    <row r="567" spans="2:33" hidden="1" x14ac:dyDescent="0.25">
      <c r="B567" s="1" t="s">
        <v>2650</v>
      </c>
      <c r="C567" s="3" t="s">
        <v>1368</v>
      </c>
      <c r="D567" s="3" t="s">
        <v>1247</v>
      </c>
      <c r="E567" s="407" t="s">
        <v>1400</v>
      </c>
      <c r="F567" s="3" t="s">
        <v>1963</v>
      </c>
      <c r="G567" s="407" t="s">
        <v>4477</v>
      </c>
      <c r="H567" s="440" t="s">
        <v>4109</v>
      </c>
      <c r="I567" s="407" t="s">
        <v>4298</v>
      </c>
      <c r="J567" s="407" t="s">
        <v>3779</v>
      </c>
      <c r="K567" s="387" t="s">
        <v>4656</v>
      </c>
      <c r="L567" s="387">
        <v>1</v>
      </c>
      <c r="M567" s="387">
        <v>0</v>
      </c>
      <c r="N567" s="387">
        <f t="shared" si="82"/>
        <v>1</v>
      </c>
      <c r="O567" s="442">
        <f t="shared" si="83"/>
        <v>1</v>
      </c>
      <c r="P567" s="387" t="s">
        <v>1358</v>
      </c>
      <c r="Q567" s="459">
        <v>0</v>
      </c>
      <c r="R567" s="459"/>
      <c r="S567" s="456">
        <v>0</v>
      </c>
      <c r="T567" s="456">
        <v>19.376000000000001</v>
      </c>
      <c r="U567" s="410"/>
      <c r="V567" s="411">
        <v>1</v>
      </c>
      <c r="W567" s="411">
        <v>1</v>
      </c>
      <c r="X567" s="411">
        <v>1</v>
      </c>
      <c r="Y567" s="411"/>
      <c r="Z567" s="411"/>
      <c r="AA567" s="412">
        <f t="shared" si="84"/>
        <v>1</v>
      </c>
      <c r="AB567" s="456">
        <f t="shared" si="85"/>
        <v>19.376000000000001</v>
      </c>
      <c r="AC567" s="456">
        <v>0</v>
      </c>
      <c r="AD567" s="2"/>
      <c r="AE567" s="4"/>
      <c r="AF567" s="5"/>
      <c r="AG567" s="428"/>
    </row>
    <row r="568" spans="2:33" hidden="1" x14ac:dyDescent="0.25">
      <c r="B568" s="1" t="s">
        <v>2651</v>
      </c>
      <c r="C568" s="3" t="s">
        <v>1368</v>
      </c>
      <c r="D568" s="3" t="s">
        <v>1247</v>
      </c>
      <c r="E568" s="407" t="s">
        <v>1401</v>
      </c>
      <c r="F568" s="3" t="s">
        <v>1964</v>
      </c>
      <c r="G568" s="407" t="s">
        <v>4478</v>
      </c>
      <c r="H568" s="440" t="s">
        <v>4109</v>
      </c>
      <c r="I568" s="407" t="s">
        <v>4299</v>
      </c>
      <c r="J568" s="407" t="s">
        <v>3780</v>
      </c>
      <c r="K568" s="387" t="s">
        <v>4657</v>
      </c>
      <c r="L568" s="387">
        <v>1</v>
      </c>
      <c r="M568" s="387">
        <v>0</v>
      </c>
      <c r="N568" s="387">
        <f t="shared" si="82"/>
        <v>1</v>
      </c>
      <c r="O568" s="442">
        <f t="shared" si="83"/>
        <v>0</v>
      </c>
      <c r="P568" s="387" t="s">
        <v>1358</v>
      </c>
      <c r="Q568" s="459">
        <v>0</v>
      </c>
      <c r="R568" s="459"/>
      <c r="S568" s="456">
        <v>0</v>
      </c>
      <c r="T568" s="456">
        <v>18.753</v>
      </c>
      <c r="U568" s="410"/>
      <c r="V568" s="411">
        <v>0</v>
      </c>
      <c r="W568" s="411">
        <v>0</v>
      </c>
      <c r="X568" s="411">
        <v>0</v>
      </c>
      <c r="Y568" s="411"/>
      <c r="Z568" s="411"/>
      <c r="AA568" s="412">
        <f t="shared" si="84"/>
        <v>0</v>
      </c>
      <c r="AB568" s="456">
        <f t="shared" si="85"/>
        <v>0</v>
      </c>
      <c r="AC568" s="456">
        <v>0</v>
      </c>
      <c r="AD568" s="2"/>
      <c r="AE568" s="4"/>
      <c r="AF568" s="5"/>
      <c r="AG568" s="428"/>
    </row>
    <row r="569" spans="2:33" hidden="1" x14ac:dyDescent="0.25">
      <c r="B569" s="1" t="s">
        <v>2652</v>
      </c>
      <c r="C569" s="3" t="s">
        <v>1368</v>
      </c>
      <c r="D569" s="3" t="s">
        <v>1247</v>
      </c>
      <c r="E569" s="407" t="s">
        <v>3294</v>
      </c>
      <c r="F569" s="3" t="s">
        <v>1965</v>
      </c>
      <c r="G569" s="407" t="s">
        <v>4500</v>
      </c>
      <c r="H569" s="440" t="s">
        <v>4109</v>
      </c>
      <c r="I569" s="407" t="s">
        <v>4321</v>
      </c>
      <c r="J569" s="407" t="s">
        <v>3755</v>
      </c>
      <c r="K569" s="387" t="s">
        <v>4654</v>
      </c>
      <c r="L569" s="387">
        <v>1</v>
      </c>
      <c r="M569" s="387">
        <v>0</v>
      </c>
      <c r="N569" s="387">
        <f t="shared" si="82"/>
        <v>1</v>
      </c>
      <c r="O569" s="442">
        <f t="shared" si="83"/>
        <v>1</v>
      </c>
      <c r="P569" s="387" t="s">
        <v>1358</v>
      </c>
      <c r="Q569" s="459">
        <v>0</v>
      </c>
      <c r="R569" s="459"/>
      <c r="S569" s="456">
        <v>0</v>
      </c>
      <c r="T569" s="456">
        <v>25.097999999999999</v>
      </c>
      <c r="U569" s="410"/>
      <c r="V569" s="411">
        <v>1</v>
      </c>
      <c r="W569" s="411">
        <v>1</v>
      </c>
      <c r="X569" s="411">
        <v>1</v>
      </c>
      <c r="Y569" s="411"/>
      <c r="Z569" s="411"/>
      <c r="AA569" s="412">
        <f t="shared" si="84"/>
        <v>1</v>
      </c>
      <c r="AB569" s="456">
        <f t="shared" si="85"/>
        <v>25.097999999999999</v>
      </c>
      <c r="AC569" s="456">
        <v>0</v>
      </c>
      <c r="AD569" s="2"/>
      <c r="AE569" s="4"/>
      <c r="AF569" s="5"/>
      <c r="AG569" s="428"/>
    </row>
    <row r="570" spans="2:33" hidden="1" x14ac:dyDescent="0.25">
      <c r="B570" s="1" t="s">
        <v>2653</v>
      </c>
      <c r="C570" s="3" t="s">
        <v>1368</v>
      </c>
      <c r="D570" s="3" t="s">
        <v>1247</v>
      </c>
      <c r="E570" s="407" t="s">
        <v>1374</v>
      </c>
      <c r="F570" s="3" t="s">
        <v>1966</v>
      </c>
      <c r="G570" s="407" t="s">
        <v>4495</v>
      </c>
      <c r="H570" s="440" t="s">
        <v>4109</v>
      </c>
      <c r="I570" s="407" t="s">
        <v>4316</v>
      </c>
      <c r="J570" s="407" t="s">
        <v>3757</v>
      </c>
      <c r="K570" s="387" t="s">
        <v>4649</v>
      </c>
      <c r="L570" s="387">
        <v>1</v>
      </c>
      <c r="M570" s="387">
        <v>0</v>
      </c>
      <c r="N570" s="387">
        <f t="shared" si="82"/>
        <v>1</v>
      </c>
      <c r="O570" s="442">
        <f t="shared" si="83"/>
        <v>1.0000000000000002</v>
      </c>
      <c r="P570" s="387" t="s">
        <v>1358</v>
      </c>
      <c r="Q570" s="459">
        <v>0</v>
      </c>
      <c r="R570" s="459"/>
      <c r="S570" s="456">
        <v>0</v>
      </c>
      <c r="T570" s="456">
        <v>25.07</v>
      </c>
      <c r="U570" s="410"/>
      <c r="V570" s="411">
        <v>1</v>
      </c>
      <c r="W570" s="411">
        <v>1</v>
      </c>
      <c r="X570" s="411">
        <v>1</v>
      </c>
      <c r="Y570" s="411"/>
      <c r="Z570" s="411"/>
      <c r="AA570" s="412">
        <f t="shared" si="84"/>
        <v>1.0000000000000002</v>
      </c>
      <c r="AB570" s="456">
        <f t="shared" si="85"/>
        <v>25.070000000000004</v>
      </c>
      <c r="AC570" s="456">
        <v>0</v>
      </c>
      <c r="AD570" s="2"/>
      <c r="AE570" s="4"/>
      <c r="AF570" s="5"/>
      <c r="AG570" s="428"/>
    </row>
    <row r="571" spans="2:33" hidden="1" x14ac:dyDescent="0.25">
      <c r="B571" s="1" t="s">
        <v>2654</v>
      </c>
      <c r="C571" s="3" t="s">
        <v>1368</v>
      </c>
      <c r="D571" s="3" t="s">
        <v>1247</v>
      </c>
      <c r="E571" s="407" t="s">
        <v>1377</v>
      </c>
      <c r="F571" s="3" t="s">
        <v>1967</v>
      </c>
      <c r="G571" s="407" t="s">
        <v>4494</v>
      </c>
      <c r="H571" s="440" t="s">
        <v>4109</v>
      </c>
      <c r="I571" s="407" t="s">
        <v>4315</v>
      </c>
      <c r="J571" s="407" t="s">
        <v>3749</v>
      </c>
      <c r="K571" s="387" t="s">
        <v>4648</v>
      </c>
      <c r="L571" s="387">
        <v>1</v>
      </c>
      <c r="M571" s="387">
        <v>0</v>
      </c>
      <c r="N571" s="387">
        <f t="shared" si="82"/>
        <v>1</v>
      </c>
      <c r="O571" s="442">
        <f t="shared" si="83"/>
        <v>1.0000000000000002</v>
      </c>
      <c r="P571" s="387" t="s">
        <v>1358</v>
      </c>
      <c r="Q571" s="459">
        <v>0</v>
      </c>
      <c r="R571" s="459"/>
      <c r="S571" s="456">
        <v>0</v>
      </c>
      <c r="T571" s="456">
        <v>25.07</v>
      </c>
      <c r="U571" s="410"/>
      <c r="V571" s="411">
        <v>1</v>
      </c>
      <c r="W571" s="411">
        <v>1</v>
      </c>
      <c r="X571" s="411">
        <v>1</v>
      </c>
      <c r="Y571" s="411"/>
      <c r="Z571" s="411"/>
      <c r="AA571" s="412">
        <f t="shared" si="84"/>
        <v>1.0000000000000002</v>
      </c>
      <c r="AB571" s="456">
        <f t="shared" si="85"/>
        <v>25.070000000000004</v>
      </c>
      <c r="AC571" s="456">
        <v>0</v>
      </c>
      <c r="AD571" s="2"/>
      <c r="AE571" s="4"/>
      <c r="AF571" s="5"/>
      <c r="AG571" s="428"/>
    </row>
    <row r="572" spans="2:33" hidden="1" x14ac:dyDescent="0.25">
      <c r="B572" s="1" t="s">
        <v>2655</v>
      </c>
      <c r="C572" s="3" t="s">
        <v>1368</v>
      </c>
      <c r="D572" s="3" t="s">
        <v>1247</v>
      </c>
      <c r="E572" s="407" t="s">
        <v>1377</v>
      </c>
      <c r="F572" s="3" t="s">
        <v>1968</v>
      </c>
      <c r="G572" s="407" t="s">
        <v>4494</v>
      </c>
      <c r="H572" s="440" t="s">
        <v>4109</v>
      </c>
      <c r="I572" s="407" t="s">
        <v>4315</v>
      </c>
      <c r="J572" s="407" t="s">
        <v>3749</v>
      </c>
      <c r="K572" s="387" t="s">
        <v>4648</v>
      </c>
      <c r="L572" s="387">
        <v>1</v>
      </c>
      <c r="M572" s="387">
        <v>0</v>
      </c>
      <c r="N572" s="387">
        <f t="shared" si="82"/>
        <v>1</v>
      </c>
      <c r="O572" s="442">
        <f t="shared" si="83"/>
        <v>1</v>
      </c>
      <c r="P572" s="387" t="s">
        <v>1358</v>
      </c>
      <c r="Q572" s="459">
        <v>0</v>
      </c>
      <c r="R572" s="459"/>
      <c r="S572" s="456">
        <v>0</v>
      </c>
      <c r="T572" s="456">
        <v>27.353999999999999</v>
      </c>
      <c r="U572" s="410"/>
      <c r="V572" s="411">
        <v>1</v>
      </c>
      <c r="W572" s="411">
        <v>1</v>
      </c>
      <c r="X572" s="411">
        <v>1</v>
      </c>
      <c r="Y572" s="411"/>
      <c r="Z572" s="411"/>
      <c r="AA572" s="412">
        <f t="shared" si="84"/>
        <v>1</v>
      </c>
      <c r="AB572" s="456">
        <f t="shared" si="85"/>
        <v>27.353999999999999</v>
      </c>
      <c r="AC572" s="456">
        <v>0</v>
      </c>
      <c r="AD572" s="2"/>
      <c r="AE572" s="4"/>
      <c r="AF572" s="5"/>
      <c r="AG572" s="428"/>
    </row>
    <row r="573" spans="2:33" hidden="1" x14ac:dyDescent="0.25">
      <c r="B573" s="1" t="s">
        <v>2656</v>
      </c>
      <c r="C573" s="3" t="s">
        <v>1368</v>
      </c>
      <c r="D573" s="3" t="s">
        <v>1247</v>
      </c>
      <c r="E573" s="407" t="s">
        <v>1379</v>
      </c>
      <c r="F573" s="3" t="s">
        <v>1969</v>
      </c>
      <c r="G573" s="407" t="s">
        <v>4502</v>
      </c>
      <c r="H573" s="440" t="s">
        <v>4109</v>
      </c>
      <c r="I573" s="407" t="s">
        <v>4323</v>
      </c>
      <c r="J573" s="407" t="s">
        <v>3750</v>
      </c>
      <c r="K573" s="387" t="s">
        <v>4632</v>
      </c>
      <c r="L573" s="387">
        <v>2</v>
      </c>
      <c r="M573" s="387">
        <v>0</v>
      </c>
      <c r="N573" s="387">
        <f t="shared" si="82"/>
        <v>2</v>
      </c>
      <c r="O573" s="442">
        <f t="shared" si="83"/>
        <v>2</v>
      </c>
      <c r="P573" s="387" t="s">
        <v>1358</v>
      </c>
      <c r="Q573" s="459">
        <v>0</v>
      </c>
      <c r="R573" s="459"/>
      <c r="S573" s="456">
        <v>0</v>
      </c>
      <c r="T573" s="456">
        <v>54.707999999999998</v>
      </c>
      <c r="U573" s="410"/>
      <c r="V573" s="411">
        <v>1</v>
      </c>
      <c r="W573" s="411">
        <v>1</v>
      </c>
      <c r="X573" s="411">
        <v>1</v>
      </c>
      <c r="Y573" s="411"/>
      <c r="Z573" s="411"/>
      <c r="AA573" s="412">
        <f t="shared" si="84"/>
        <v>1</v>
      </c>
      <c r="AB573" s="456">
        <f t="shared" si="85"/>
        <v>54.707999999999998</v>
      </c>
      <c r="AC573" s="456">
        <v>0</v>
      </c>
      <c r="AD573" s="2"/>
      <c r="AE573" s="4"/>
      <c r="AF573" s="5"/>
      <c r="AG573" s="428"/>
    </row>
    <row r="574" spans="2:33" hidden="1" x14ac:dyDescent="0.25">
      <c r="B574" s="1" t="s">
        <v>2657</v>
      </c>
      <c r="C574" s="3" t="s">
        <v>1368</v>
      </c>
      <c r="D574" s="3" t="s">
        <v>1247</v>
      </c>
      <c r="E574" s="407" t="s">
        <v>1381</v>
      </c>
      <c r="F574" s="3" t="s">
        <v>1970</v>
      </c>
      <c r="G574" s="407" t="s">
        <v>4497</v>
      </c>
      <c r="H574" s="440" t="s">
        <v>4109</v>
      </c>
      <c r="I574" s="407" t="s">
        <v>4318</v>
      </c>
      <c r="J574" s="407" t="s">
        <v>3751</v>
      </c>
      <c r="K574" s="387" t="s">
        <v>4631</v>
      </c>
      <c r="L574" s="387">
        <v>2</v>
      </c>
      <c r="M574" s="387">
        <v>0</v>
      </c>
      <c r="N574" s="387">
        <f t="shared" si="82"/>
        <v>2</v>
      </c>
      <c r="O574" s="442">
        <f t="shared" si="83"/>
        <v>2.0000000000000004</v>
      </c>
      <c r="P574" s="387" t="s">
        <v>1358</v>
      </c>
      <c r="Q574" s="459">
        <v>0</v>
      </c>
      <c r="R574" s="459"/>
      <c r="S574" s="456">
        <v>0</v>
      </c>
      <c r="T574" s="456">
        <v>54.692</v>
      </c>
      <c r="U574" s="410"/>
      <c r="V574" s="411">
        <v>1</v>
      </c>
      <c r="W574" s="411">
        <v>1</v>
      </c>
      <c r="X574" s="411">
        <v>1</v>
      </c>
      <c r="Y574" s="411"/>
      <c r="Z574" s="411"/>
      <c r="AA574" s="412">
        <f t="shared" si="84"/>
        <v>1.0000000000000002</v>
      </c>
      <c r="AB574" s="456">
        <f t="shared" si="85"/>
        <v>54.692000000000007</v>
      </c>
      <c r="AC574" s="456">
        <v>0</v>
      </c>
      <c r="AD574" s="2"/>
      <c r="AE574" s="4"/>
      <c r="AF574" s="5"/>
      <c r="AG574" s="428"/>
    </row>
    <row r="575" spans="2:33" hidden="1" x14ac:dyDescent="0.25">
      <c r="B575" s="1" t="s">
        <v>2658</v>
      </c>
      <c r="C575" s="3" t="s">
        <v>1368</v>
      </c>
      <c r="D575" s="3" t="s">
        <v>1247</v>
      </c>
      <c r="E575" s="407" t="s">
        <v>1396</v>
      </c>
      <c r="F575" s="3" t="s">
        <v>1971</v>
      </c>
      <c r="G575" s="407" t="s">
        <v>4498</v>
      </c>
      <c r="H575" s="440" t="s">
        <v>4109</v>
      </c>
      <c r="I575" s="407" t="s">
        <v>4319</v>
      </c>
      <c r="J575" s="407" t="s">
        <v>3752</v>
      </c>
      <c r="K575" s="387" t="s">
        <v>4652</v>
      </c>
      <c r="L575" s="387">
        <v>2</v>
      </c>
      <c r="M575" s="387">
        <v>0</v>
      </c>
      <c r="N575" s="387">
        <f t="shared" si="82"/>
        <v>2</v>
      </c>
      <c r="O575" s="442">
        <f t="shared" si="83"/>
        <v>2</v>
      </c>
      <c r="P575" s="387" t="s">
        <v>1358</v>
      </c>
      <c r="Q575" s="459">
        <v>0</v>
      </c>
      <c r="R575" s="459"/>
      <c r="S575" s="456">
        <v>0</v>
      </c>
      <c r="T575" s="456">
        <v>54.707999999999998</v>
      </c>
      <c r="U575" s="410"/>
      <c r="V575" s="411">
        <v>1</v>
      </c>
      <c r="W575" s="411">
        <v>1</v>
      </c>
      <c r="X575" s="411">
        <v>1</v>
      </c>
      <c r="Y575" s="411"/>
      <c r="Z575" s="411"/>
      <c r="AA575" s="412">
        <f t="shared" si="84"/>
        <v>1</v>
      </c>
      <c r="AB575" s="456">
        <f t="shared" si="85"/>
        <v>54.707999999999998</v>
      </c>
      <c r="AC575" s="456">
        <v>0</v>
      </c>
      <c r="AD575" s="2"/>
      <c r="AE575" s="4"/>
      <c r="AF575" s="5"/>
      <c r="AG575" s="428"/>
    </row>
    <row r="576" spans="2:33" hidden="1" x14ac:dyDescent="0.25">
      <c r="B576" s="1" t="s">
        <v>2659</v>
      </c>
      <c r="C576" s="3" t="s">
        <v>1368</v>
      </c>
      <c r="D576" s="3" t="s">
        <v>1247</v>
      </c>
      <c r="E576" s="407" t="s">
        <v>1399</v>
      </c>
      <c r="F576" s="3" t="s">
        <v>5237</v>
      </c>
      <c r="G576" s="407" t="s">
        <v>4499</v>
      </c>
      <c r="H576" s="440" t="s">
        <v>4109</v>
      </c>
      <c r="I576" s="407" t="s">
        <v>4320</v>
      </c>
      <c r="J576" s="407" t="s">
        <v>3758</v>
      </c>
      <c r="K576" s="387" t="s">
        <v>4653</v>
      </c>
      <c r="L576" s="387">
        <v>1</v>
      </c>
      <c r="M576" s="387">
        <v>-1</v>
      </c>
      <c r="N576" s="387">
        <f t="shared" si="82"/>
        <v>0</v>
      </c>
      <c r="O576" s="442" t="e">
        <f t="shared" si="83"/>
        <v>#DIV/0!</v>
      </c>
      <c r="P576" s="387" t="s">
        <v>1358</v>
      </c>
      <c r="Q576" s="459">
        <v>0</v>
      </c>
      <c r="R576" s="459"/>
      <c r="S576" s="456">
        <v>0</v>
      </c>
      <c r="T576" s="456">
        <v>0</v>
      </c>
      <c r="U576" s="410"/>
      <c r="V576" s="411">
        <v>0</v>
      </c>
      <c r="W576" s="411">
        <v>0</v>
      </c>
      <c r="X576" s="411">
        <v>0</v>
      </c>
      <c r="Y576" s="411"/>
      <c r="Z576" s="411"/>
      <c r="AA576" s="412" t="e">
        <f t="shared" si="84"/>
        <v>#DIV/0!</v>
      </c>
      <c r="AB576" s="456">
        <f t="shared" si="85"/>
        <v>0</v>
      </c>
      <c r="AC576" s="456">
        <v>0</v>
      </c>
      <c r="AD576" s="2"/>
      <c r="AE576" s="4"/>
      <c r="AF576" s="5" t="s">
        <v>5238</v>
      </c>
      <c r="AG576" s="428"/>
    </row>
    <row r="577" spans="2:33" hidden="1" x14ac:dyDescent="0.25">
      <c r="B577" s="571" t="s">
        <v>5216</v>
      </c>
      <c r="C577" s="3" t="s">
        <v>1368</v>
      </c>
      <c r="D577" s="3" t="s">
        <v>1247</v>
      </c>
      <c r="E577" s="407" t="s">
        <v>1396</v>
      </c>
      <c r="F577" s="3" t="s">
        <v>5208</v>
      </c>
      <c r="G577" s="407" t="s">
        <v>4499</v>
      </c>
      <c r="H577" s="440" t="s">
        <v>4109</v>
      </c>
      <c r="I577" s="407" t="s">
        <v>4320</v>
      </c>
      <c r="J577" s="407" t="s">
        <v>3758</v>
      </c>
      <c r="K577" s="387" t="s">
        <v>4653</v>
      </c>
      <c r="L577" s="387">
        <v>1</v>
      </c>
      <c r="M577" s="387">
        <v>0</v>
      </c>
      <c r="N577" s="387">
        <f t="shared" ref="N577" si="86">L577+M577</f>
        <v>1</v>
      </c>
      <c r="O577" s="442">
        <f t="shared" ref="O577" si="87">L577*AA577</f>
        <v>1</v>
      </c>
      <c r="P577" s="387" t="s">
        <v>1358</v>
      </c>
      <c r="Q577" s="459">
        <v>0</v>
      </c>
      <c r="R577" s="459"/>
      <c r="S577" s="456">
        <v>0</v>
      </c>
      <c r="T577" s="456">
        <v>27.353999999999999</v>
      </c>
      <c r="U577" s="410"/>
      <c r="V577" s="411">
        <v>1</v>
      </c>
      <c r="W577" s="411">
        <v>1</v>
      </c>
      <c r="X577" s="411">
        <v>1</v>
      </c>
      <c r="Y577" s="411"/>
      <c r="Z577" s="411"/>
      <c r="AA577" s="412">
        <f t="shared" si="84"/>
        <v>1</v>
      </c>
      <c r="AB577" s="456">
        <f t="shared" si="85"/>
        <v>27.353999999999999</v>
      </c>
      <c r="AC577" s="456"/>
      <c r="AD577" s="2"/>
      <c r="AE577" s="4"/>
      <c r="AF577" s="5"/>
      <c r="AG577" s="428"/>
    </row>
    <row r="578" spans="2:33" hidden="1" x14ac:dyDescent="0.25">
      <c r="B578" s="1" t="s">
        <v>2660</v>
      </c>
      <c r="C578" s="3" t="s">
        <v>1368</v>
      </c>
      <c r="D578" s="3" t="s">
        <v>1247</v>
      </c>
      <c r="E578" s="407" t="s">
        <v>1400</v>
      </c>
      <c r="F578" s="3" t="s">
        <v>5208</v>
      </c>
      <c r="G578" s="407" t="s">
        <v>4477</v>
      </c>
      <c r="H578" s="440" t="s">
        <v>4109</v>
      </c>
      <c r="I578" s="407" t="s">
        <v>4298</v>
      </c>
      <c r="J578" s="407" t="s">
        <v>3779</v>
      </c>
      <c r="K578" s="387" t="s">
        <v>4656</v>
      </c>
      <c r="L578" s="387">
        <v>1</v>
      </c>
      <c r="M578" s="387">
        <v>0</v>
      </c>
      <c r="N578" s="387">
        <f t="shared" si="82"/>
        <v>1</v>
      </c>
      <c r="O578" s="442">
        <f t="shared" si="83"/>
        <v>1</v>
      </c>
      <c r="P578" s="387" t="s">
        <v>1358</v>
      </c>
      <c r="Q578" s="459">
        <v>0</v>
      </c>
      <c r="R578" s="459"/>
      <c r="S578" s="456">
        <v>0</v>
      </c>
      <c r="T578" s="456">
        <v>27.353999999999999</v>
      </c>
      <c r="U578" s="410"/>
      <c r="V578" s="411">
        <v>1</v>
      </c>
      <c r="W578" s="411">
        <v>1</v>
      </c>
      <c r="X578" s="411">
        <v>1</v>
      </c>
      <c r="Y578" s="411"/>
      <c r="Z578" s="411"/>
      <c r="AA578" s="412">
        <f t="shared" si="84"/>
        <v>1</v>
      </c>
      <c r="AB578" s="456">
        <f t="shared" si="85"/>
        <v>27.353999999999999</v>
      </c>
      <c r="AC578" s="456">
        <v>0</v>
      </c>
      <c r="AD578" s="2"/>
      <c r="AE578" s="4"/>
      <c r="AF578" s="5"/>
      <c r="AG578" s="428"/>
    </row>
    <row r="579" spans="2:33" hidden="1" x14ac:dyDescent="0.25">
      <c r="B579" s="1" t="s">
        <v>2661</v>
      </c>
      <c r="C579" s="3" t="s">
        <v>1368</v>
      </c>
      <c r="D579" s="3" t="s">
        <v>1247</v>
      </c>
      <c r="E579" s="407" t="s">
        <v>1401</v>
      </c>
      <c r="F579" s="3" t="s">
        <v>1972</v>
      </c>
      <c r="G579" s="407" t="s">
        <v>4478</v>
      </c>
      <c r="H579" s="440" t="s">
        <v>4109</v>
      </c>
      <c r="I579" s="407" t="s">
        <v>4299</v>
      </c>
      <c r="J579" s="407" t="s">
        <v>3780</v>
      </c>
      <c r="K579" s="387" t="s">
        <v>4657</v>
      </c>
      <c r="L579" s="387">
        <v>1</v>
      </c>
      <c r="M579" s="387">
        <v>0</v>
      </c>
      <c r="N579" s="387">
        <f t="shared" si="82"/>
        <v>1</v>
      </c>
      <c r="O579" s="442">
        <f t="shared" si="83"/>
        <v>0</v>
      </c>
      <c r="P579" s="387" t="s">
        <v>1358</v>
      </c>
      <c r="Q579" s="459">
        <v>0</v>
      </c>
      <c r="R579" s="459"/>
      <c r="S579" s="456">
        <v>0</v>
      </c>
      <c r="T579" s="456">
        <v>27.353999999999999</v>
      </c>
      <c r="U579" s="410"/>
      <c r="V579" s="411">
        <v>0</v>
      </c>
      <c r="W579" s="411">
        <v>0</v>
      </c>
      <c r="X579" s="411">
        <v>0</v>
      </c>
      <c r="Y579" s="411"/>
      <c r="Z579" s="411"/>
      <c r="AA579" s="412">
        <f t="shared" si="84"/>
        <v>0</v>
      </c>
      <c r="AB579" s="456">
        <f t="shared" si="85"/>
        <v>0</v>
      </c>
      <c r="AC579" s="456">
        <v>0</v>
      </c>
      <c r="AD579" s="2"/>
      <c r="AE579" s="4"/>
      <c r="AF579" s="5"/>
      <c r="AG579" s="428"/>
    </row>
    <row r="580" spans="2:33" hidden="1" x14ac:dyDescent="0.25">
      <c r="B580" s="1" t="s">
        <v>2662</v>
      </c>
      <c r="C580" s="3" t="s">
        <v>1368</v>
      </c>
      <c r="D580" s="3" t="s">
        <v>1247</v>
      </c>
      <c r="E580" s="407" t="s">
        <v>1402</v>
      </c>
      <c r="F580" s="3" t="s">
        <v>1973</v>
      </c>
      <c r="G580" s="407" t="s">
        <v>4481</v>
      </c>
      <c r="H580" s="440" t="s">
        <v>4109</v>
      </c>
      <c r="I580" s="407" t="s">
        <v>4302</v>
      </c>
      <c r="J580" s="407" t="s">
        <v>3783</v>
      </c>
      <c r="K580" s="387" t="s">
        <v>4659</v>
      </c>
      <c r="L580" s="387">
        <v>1</v>
      </c>
      <c r="M580" s="387">
        <v>0</v>
      </c>
      <c r="N580" s="387">
        <f t="shared" si="82"/>
        <v>1</v>
      </c>
      <c r="O580" s="442">
        <f t="shared" si="83"/>
        <v>0</v>
      </c>
      <c r="P580" s="387" t="s">
        <v>1358</v>
      </c>
      <c r="Q580" s="459">
        <v>0</v>
      </c>
      <c r="R580" s="459"/>
      <c r="S580" s="456">
        <v>0</v>
      </c>
      <c r="T580" s="456">
        <v>27.353999999999999</v>
      </c>
      <c r="U580" s="410"/>
      <c r="V580" s="411">
        <v>0</v>
      </c>
      <c r="W580" s="411">
        <v>0</v>
      </c>
      <c r="X580" s="411">
        <v>0</v>
      </c>
      <c r="Y580" s="411"/>
      <c r="Z580" s="411"/>
      <c r="AA580" s="412">
        <f t="shared" si="84"/>
        <v>0</v>
      </c>
      <c r="AB580" s="456">
        <f t="shared" si="85"/>
        <v>0</v>
      </c>
      <c r="AC580" s="456">
        <v>0</v>
      </c>
      <c r="AD580" s="2"/>
      <c r="AE580" s="4"/>
      <c r="AF580" s="5"/>
      <c r="AG580" s="428"/>
    </row>
    <row r="581" spans="2:33" hidden="1" x14ac:dyDescent="0.25">
      <c r="B581" s="1" t="s">
        <v>2663</v>
      </c>
      <c r="C581" s="3" t="s">
        <v>1368</v>
      </c>
      <c r="D581" s="3" t="s">
        <v>1247</v>
      </c>
      <c r="E581" s="407" t="s">
        <v>3546</v>
      </c>
      <c r="F581" s="3" t="s">
        <v>1974</v>
      </c>
      <c r="G581" s="407" t="s">
        <v>4482</v>
      </c>
      <c r="H581" s="440" t="s">
        <v>4109</v>
      </c>
      <c r="I581" s="407" t="s">
        <v>4303</v>
      </c>
      <c r="J581" s="407" t="s">
        <v>3784</v>
      </c>
      <c r="K581" s="387" t="s">
        <v>4660</v>
      </c>
      <c r="L581" s="387">
        <v>1</v>
      </c>
      <c r="M581" s="387">
        <v>0</v>
      </c>
      <c r="N581" s="387">
        <f t="shared" si="82"/>
        <v>1</v>
      </c>
      <c r="O581" s="442">
        <f t="shared" si="83"/>
        <v>0</v>
      </c>
      <c r="P581" s="387" t="s">
        <v>1358</v>
      </c>
      <c r="Q581" s="459">
        <v>0</v>
      </c>
      <c r="R581" s="459"/>
      <c r="S581" s="456">
        <v>0</v>
      </c>
      <c r="T581" s="456">
        <v>26.602</v>
      </c>
      <c r="U581" s="410"/>
      <c r="V581" s="411">
        <v>0</v>
      </c>
      <c r="W581" s="411">
        <v>0</v>
      </c>
      <c r="X581" s="411">
        <v>0</v>
      </c>
      <c r="Y581" s="411"/>
      <c r="Z581" s="411"/>
      <c r="AA581" s="412">
        <f t="shared" si="84"/>
        <v>0</v>
      </c>
      <c r="AB581" s="456">
        <f t="shared" si="85"/>
        <v>0</v>
      </c>
      <c r="AC581" s="456">
        <v>0</v>
      </c>
      <c r="AD581" s="2"/>
      <c r="AE581" s="4"/>
      <c r="AF581" s="5"/>
      <c r="AG581" s="428"/>
    </row>
    <row r="582" spans="2:33" hidden="1" x14ac:dyDescent="0.25">
      <c r="B582" s="1" t="s">
        <v>2664</v>
      </c>
      <c r="C582" s="3" t="s">
        <v>1368</v>
      </c>
      <c r="D582" s="3" t="s">
        <v>1247</v>
      </c>
      <c r="E582" s="407" t="s">
        <v>3547</v>
      </c>
      <c r="F582" s="3" t="s">
        <v>1975</v>
      </c>
      <c r="G582" s="407" t="s">
        <v>4501</v>
      </c>
      <c r="H582" s="440" t="s">
        <v>4109</v>
      </c>
      <c r="I582" s="407" t="s">
        <v>4322</v>
      </c>
      <c r="J582" s="407" t="s">
        <v>3797</v>
      </c>
      <c r="K582" s="387" t="s">
        <v>4655</v>
      </c>
      <c r="L582" s="387">
        <v>1</v>
      </c>
      <c r="M582" s="387">
        <v>0</v>
      </c>
      <c r="N582" s="387">
        <f t="shared" si="82"/>
        <v>1</v>
      </c>
      <c r="O582" s="442">
        <f t="shared" si="83"/>
        <v>0</v>
      </c>
      <c r="P582" s="387" t="s">
        <v>1358</v>
      </c>
      <c r="Q582" s="459">
        <v>0</v>
      </c>
      <c r="R582" s="459"/>
      <c r="S582" s="456">
        <v>0</v>
      </c>
      <c r="T582" s="456">
        <v>26.602</v>
      </c>
      <c r="U582" s="410"/>
      <c r="V582" s="411">
        <v>0</v>
      </c>
      <c r="W582" s="411">
        <v>0</v>
      </c>
      <c r="X582" s="411">
        <v>0</v>
      </c>
      <c r="Y582" s="411"/>
      <c r="Z582" s="411"/>
      <c r="AA582" s="412">
        <f t="shared" si="84"/>
        <v>0</v>
      </c>
      <c r="AB582" s="456">
        <f t="shared" si="85"/>
        <v>0</v>
      </c>
      <c r="AC582" s="456">
        <v>0</v>
      </c>
      <c r="AD582" s="2"/>
      <c r="AE582" s="4"/>
      <c r="AF582" s="5"/>
      <c r="AG582" s="428"/>
    </row>
    <row r="583" spans="2:33" hidden="1" x14ac:dyDescent="0.25">
      <c r="B583" s="1" t="s">
        <v>2665</v>
      </c>
      <c r="C583" s="3" t="s">
        <v>1368</v>
      </c>
      <c r="D583" s="3" t="s">
        <v>1247</v>
      </c>
      <c r="E583" s="407" t="s">
        <v>3294</v>
      </c>
      <c r="F583" s="3" t="s">
        <v>1976</v>
      </c>
      <c r="G583" s="407" t="s">
        <v>4500</v>
      </c>
      <c r="H583" s="440" t="s">
        <v>4109</v>
      </c>
      <c r="I583" s="407" t="s">
        <v>4321</v>
      </c>
      <c r="J583" s="407" t="s">
        <v>3755</v>
      </c>
      <c r="K583" s="387" t="s">
        <v>4654</v>
      </c>
      <c r="L583" s="387">
        <v>1</v>
      </c>
      <c r="M583" s="387">
        <v>0</v>
      </c>
      <c r="N583" s="387">
        <f t="shared" si="82"/>
        <v>1</v>
      </c>
      <c r="O583" s="442">
        <f t="shared" si="83"/>
        <v>1</v>
      </c>
      <c r="P583" s="387" t="s">
        <v>1358</v>
      </c>
      <c r="Q583" s="459">
        <v>0</v>
      </c>
      <c r="R583" s="459"/>
      <c r="S583" s="456">
        <v>0</v>
      </c>
      <c r="T583" s="456">
        <v>19.939</v>
      </c>
      <c r="U583" s="410"/>
      <c r="V583" s="411">
        <v>1</v>
      </c>
      <c r="W583" s="411">
        <v>1</v>
      </c>
      <c r="X583" s="411">
        <v>1</v>
      </c>
      <c r="Y583" s="411"/>
      <c r="Z583" s="411"/>
      <c r="AA583" s="412">
        <f t="shared" si="84"/>
        <v>1</v>
      </c>
      <c r="AB583" s="456">
        <f t="shared" si="85"/>
        <v>19.939</v>
      </c>
      <c r="AC583" s="456">
        <v>0</v>
      </c>
      <c r="AD583" s="2"/>
      <c r="AE583" s="4"/>
      <c r="AF583" s="5"/>
      <c r="AG583" s="428"/>
    </row>
    <row r="584" spans="2:33" hidden="1" x14ac:dyDescent="0.25">
      <c r="B584" s="1" t="s">
        <v>2666</v>
      </c>
      <c r="C584" s="3" t="s">
        <v>1368</v>
      </c>
      <c r="D584" s="3" t="s">
        <v>1247</v>
      </c>
      <c r="E584" s="407" t="s">
        <v>1374</v>
      </c>
      <c r="F584" s="3" t="s">
        <v>1977</v>
      </c>
      <c r="G584" s="407" t="s">
        <v>4495</v>
      </c>
      <c r="H584" s="440" t="s">
        <v>4109</v>
      </c>
      <c r="I584" s="407" t="s">
        <v>4316</v>
      </c>
      <c r="J584" s="407" t="s">
        <v>3757</v>
      </c>
      <c r="K584" s="387" t="s">
        <v>4665</v>
      </c>
      <c r="L584" s="387">
        <v>2</v>
      </c>
      <c r="M584" s="387">
        <v>0</v>
      </c>
      <c r="N584" s="387">
        <f t="shared" si="82"/>
        <v>2</v>
      </c>
      <c r="O584" s="442">
        <f t="shared" si="83"/>
        <v>2</v>
      </c>
      <c r="P584" s="387" t="s">
        <v>1358</v>
      </c>
      <c r="Q584" s="459">
        <v>0</v>
      </c>
      <c r="R584" s="459"/>
      <c r="S584" s="456">
        <v>0</v>
      </c>
      <c r="T584" s="456">
        <v>38.75</v>
      </c>
      <c r="U584" s="410"/>
      <c r="V584" s="411">
        <v>1</v>
      </c>
      <c r="W584" s="411">
        <v>1</v>
      </c>
      <c r="X584" s="411">
        <v>1</v>
      </c>
      <c r="Y584" s="411"/>
      <c r="Z584" s="411"/>
      <c r="AA584" s="412">
        <f t="shared" si="84"/>
        <v>1</v>
      </c>
      <c r="AB584" s="456">
        <f t="shared" si="85"/>
        <v>38.75</v>
      </c>
      <c r="AC584" s="456">
        <v>0</v>
      </c>
      <c r="AD584" s="2"/>
      <c r="AE584" s="4"/>
      <c r="AF584" s="5"/>
      <c r="AG584" s="428"/>
    </row>
    <row r="585" spans="2:33" hidden="1" x14ac:dyDescent="0.25">
      <c r="B585" s="1" t="s">
        <v>2667</v>
      </c>
      <c r="C585" s="3" t="s">
        <v>1368</v>
      </c>
      <c r="D585" s="3" t="s">
        <v>1247</v>
      </c>
      <c r="E585" s="407" t="s">
        <v>1377</v>
      </c>
      <c r="F585" s="3" t="s">
        <v>1978</v>
      </c>
      <c r="G585" s="407" t="s">
        <v>4494</v>
      </c>
      <c r="H585" s="440" t="s">
        <v>4109</v>
      </c>
      <c r="I585" s="407" t="s">
        <v>4315</v>
      </c>
      <c r="J585" s="407" t="s">
        <v>3749</v>
      </c>
      <c r="K585" s="387" t="s">
        <v>4648</v>
      </c>
      <c r="L585" s="387">
        <v>1</v>
      </c>
      <c r="M585" s="387">
        <v>0</v>
      </c>
      <c r="N585" s="387">
        <f t="shared" si="82"/>
        <v>1</v>
      </c>
      <c r="O585" s="442">
        <f t="shared" si="83"/>
        <v>1</v>
      </c>
      <c r="P585" s="387" t="s">
        <v>1358</v>
      </c>
      <c r="Q585" s="459">
        <v>0</v>
      </c>
      <c r="R585" s="459"/>
      <c r="S585" s="456">
        <v>0</v>
      </c>
      <c r="T585" s="456">
        <v>19.376000000000001</v>
      </c>
      <c r="U585" s="410"/>
      <c r="V585" s="411">
        <v>1</v>
      </c>
      <c r="W585" s="411">
        <v>1</v>
      </c>
      <c r="X585" s="411">
        <v>1</v>
      </c>
      <c r="Y585" s="411"/>
      <c r="Z585" s="411"/>
      <c r="AA585" s="412">
        <f t="shared" si="84"/>
        <v>1</v>
      </c>
      <c r="AB585" s="456">
        <f t="shared" si="85"/>
        <v>19.376000000000001</v>
      </c>
      <c r="AC585" s="456">
        <v>0</v>
      </c>
      <c r="AD585" s="2"/>
      <c r="AE585" s="4"/>
      <c r="AF585" s="5"/>
      <c r="AG585" s="428"/>
    </row>
    <row r="586" spans="2:33" hidden="1" x14ac:dyDescent="0.25">
      <c r="B586" s="1" t="s">
        <v>2668</v>
      </c>
      <c r="C586" s="3" t="s">
        <v>1368</v>
      </c>
      <c r="D586" s="3" t="s">
        <v>1247</v>
      </c>
      <c r="E586" s="407" t="s">
        <v>1381</v>
      </c>
      <c r="F586" s="3" t="s">
        <v>1979</v>
      </c>
      <c r="G586" s="407" t="s">
        <v>4497</v>
      </c>
      <c r="H586" s="440" t="s">
        <v>4109</v>
      </c>
      <c r="I586" s="407" t="s">
        <v>4318</v>
      </c>
      <c r="J586" s="407" t="s">
        <v>3751</v>
      </c>
      <c r="K586" s="387" t="s">
        <v>4631</v>
      </c>
      <c r="L586" s="387">
        <v>2</v>
      </c>
      <c r="M586" s="387">
        <v>0</v>
      </c>
      <c r="N586" s="387">
        <f t="shared" si="82"/>
        <v>2</v>
      </c>
      <c r="O586" s="442">
        <f t="shared" si="83"/>
        <v>2</v>
      </c>
      <c r="P586" s="387" t="s">
        <v>1358</v>
      </c>
      <c r="Q586" s="459">
        <v>0</v>
      </c>
      <c r="R586" s="459"/>
      <c r="S586" s="456">
        <v>0</v>
      </c>
      <c r="T586" s="456">
        <v>38.752000000000002</v>
      </c>
      <c r="U586" s="410"/>
      <c r="V586" s="411">
        <v>1</v>
      </c>
      <c r="W586" s="411">
        <v>1</v>
      </c>
      <c r="X586" s="411">
        <v>1</v>
      </c>
      <c r="Y586" s="411"/>
      <c r="Z586" s="411"/>
      <c r="AA586" s="412">
        <f t="shared" si="84"/>
        <v>1</v>
      </c>
      <c r="AB586" s="456">
        <f t="shared" si="85"/>
        <v>38.752000000000002</v>
      </c>
      <c r="AC586" s="456">
        <v>0</v>
      </c>
      <c r="AD586" s="2"/>
      <c r="AE586" s="4"/>
      <c r="AF586" s="5"/>
      <c r="AG586" s="428"/>
    </row>
    <row r="587" spans="2:33" hidden="1" x14ac:dyDescent="0.25">
      <c r="B587" s="571" t="s">
        <v>5217</v>
      </c>
      <c r="C587" s="3" t="s">
        <v>1368</v>
      </c>
      <c r="D587" s="3" t="s">
        <v>1247</v>
      </c>
      <c r="E587" s="407" t="s">
        <v>1396</v>
      </c>
      <c r="F587" s="3" t="s">
        <v>5159</v>
      </c>
      <c r="G587" s="407"/>
      <c r="H587" s="440"/>
      <c r="I587" s="407"/>
      <c r="J587" s="407"/>
      <c r="K587" s="387" t="s">
        <v>4653</v>
      </c>
      <c r="L587" s="387">
        <v>1</v>
      </c>
      <c r="M587" s="387">
        <v>0</v>
      </c>
      <c r="N587" s="387">
        <f t="shared" si="82"/>
        <v>1</v>
      </c>
      <c r="O587" s="442">
        <f>L587*AA587</f>
        <v>1</v>
      </c>
      <c r="P587" s="387" t="s">
        <v>1358</v>
      </c>
      <c r="Q587" s="459">
        <v>0</v>
      </c>
      <c r="R587" s="459"/>
      <c r="S587" s="456">
        <v>0</v>
      </c>
      <c r="T587" s="456">
        <v>25.92</v>
      </c>
      <c r="U587" s="410"/>
      <c r="V587" s="411">
        <v>1</v>
      </c>
      <c r="W587" s="411">
        <v>1</v>
      </c>
      <c r="X587" s="411">
        <v>1</v>
      </c>
      <c r="Y587" s="411"/>
      <c r="Z587" s="411"/>
      <c r="AA587" s="412">
        <f t="shared" si="84"/>
        <v>1</v>
      </c>
      <c r="AB587" s="456">
        <f t="shared" si="85"/>
        <v>25.92</v>
      </c>
      <c r="AC587" s="456"/>
      <c r="AD587" s="2"/>
      <c r="AE587" s="4"/>
      <c r="AF587" s="5"/>
      <c r="AG587" s="428"/>
    </row>
    <row r="588" spans="2:33" hidden="1" x14ac:dyDescent="0.25">
      <c r="B588" s="1" t="s">
        <v>2669</v>
      </c>
      <c r="C588" s="3" t="s">
        <v>1368</v>
      </c>
      <c r="D588" s="3" t="s">
        <v>1247</v>
      </c>
      <c r="E588" s="407" t="s">
        <v>1400</v>
      </c>
      <c r="F588" s="3" t="s">
        <v>5422</v>
      </c>
      <c r="G588" s="407" t="s">
        <v>4477</v>
      </c>
      <c r="H588" s="440" t="s">
        <v>4109</v>
      </c>
      <c r="I588" s="407" t="s">
        <v>4298</v>
      </c>
      <c r="J588" s="407" t="s">
        <v>3779</v>
      </c>
      <c r="K588" s="387" t="s">
        <v>4656</v>
      </c>
      <c r="L588" s="387">
        <v>1</v>
      </c>
      <c r="M588" s="387">
        <v>0</v>
      </c>
      <c r="N588" s="387">
        <f t="shared" si="82"/>
        <v>1</v>
      </c>
      <c r="O588" s="442">
        <f t="shared" si="83"/>
        <v>1.0000000000000002</v>
      </c>
      <c r="P588" s="387" t="s">
        <v>1358</v>
      </c>
      <c r="Q588" s="459">
        <v>0</v>
      </c>
      <c r="R588" s="459"/>
      <c r="S588" s="456">
        <v>0</v>
      </c>
      <c r="T588" s="456">
        <v>26</v>
      </c>
      <c r="U588" s="410"/>
      <c r="V588" s="411">
        <v>1</v>
      </c>
      <c r="W588" s="411">
        <v>1</v>
      </c>
      <c r="X588" s="411">
        <v>1</v>
      </c>
      <c r="Y588" s="411"/>
      <c r="Z588" s="411"/>
      <c r="AA588" s="412">
        <f t="shared" si="84"/>
        <v>1.0000000000000002</v>
      </c>
      <c r="AB588" s="456">
        <f t="shared" si="85"/>
        <v>26.000000000000004</v>
      </c>
      <c r="AC588" s="456">
        <v>0</v>
      </c>
      <c r="AD588" s="2"/>
      <c r="AE588" s="4"/>
      <c r="AF588" s="5"/>
      <c r="AG588" s="428"/>
    </row>
    <row r="589" spans="2:33" hidden="1" x14ac:dyDescent="0.25">
      <c r="B589" s="1" t="s">
        <v>2670</v>
      </c>
      <c r="C589" s="3" t="s">
        <v>1368</v>
      </c>
      <c r="D589" s="3" t="s">
        <v>1247</v>
      </c>
      <c r="E589" s="407" t="s">
        <v>3294</v>
      </c>
      <c r="F589" s="3" t="s">
        <v>1980</v>
      </c>
      <c r="G589" s="407" t="s">
        <v>4500</v>
      </c>
      <c r="H589" s="440" t="s">
        <v>4109</v>
      </c>
      <c r="I589" s="407" t="s">
        <v>4321</v>
      </c>
      <c r="J589" s="407" t="s">
        <v>3755</v>
      </c>
      <c r="K589" s="387" t="s">
        <v>4870</v>
      </c>
      <c r="L589" s="387">
        <v>2</v>
      </c>
      <c r="M589" s="387">
        <v>0</v>
      </c>
      <c r="N589" s="387">
        <f t="shared" si="82"/>
        <v>2</v>
      </c>
      <c r="O589" s="442">
        <f t="shared" si="83"/>
        <v>2</v>
      </c>
      <c r="P589" s="387" t="s">
        <v>1358</v>
      </c>
      <c r="Q589" s="459">
        <v>0</v>
      </c>
      <c r="R589" s="459"/>
      <c r="S589" s="456">
        <v>0</v>
      </c>
      <c r="T589" s="456">
        <v>39.880000000000003</v>
      </c>
      <c r="U589" s="410"/>
      <c r="V589" s="411">
        <v>1</v>
      </c>
      <c r="W589" s="411">
        <v>1</v>
      </c>
      <c r="X589" s="411">
        <v>1</v>
      </c>
      <c r="Y589" s="411"/>
      <c r="Z589" s="411"/>
      <c r="AA589" s="412">
        <f t="shared" si="84"/>
        <v>1</v>
      </c>
      <c r="AB589" s="456">
        <f t="shared" si="85"/>
        <v>39.880000000000003</v>
      </c>
      <c r="AC589" s="456">
        <v>0</v>
      </c>
      <c r="AD589" s="2"/>
      <c r="AE589" s="4"/>
      <c r="AF589" s="5"/>
      <c r="AG589" s="428"/>
    </row>
    <row r="590" spans="2:33" hidden="1" x14ac:dyDescent="0.25">
      <c r="B590" s="1" t="s">
        <v>2671</v>
      </c>
      <c r="C590" s="3" t="s">
        <v>1368</v>
      </c>
      <c r="D590" s="3" t="s">
        <v>1247</v>
      </c>
      <c r="E590" s="407" t="s">
        <v>1374</v>
      </c>
      <c r="F590" s="3" t="s">
        <v>1981</v>
      </c>
      <c r="G590" s="407" t="s">
        <v>4495</v>
      </c>
      <c r="H590" s="440" t="s">
        <v>4109</v>
      </c>
      <c r="I590" s="407" t="s">
        <v>4316</v>
      </c>
      <c r="J590" s="407" t="s">
        <v>3757</v>
      </c>
      <c r="K590" s="387" t="s">
        <v>4665</v>
      </c>
      <c r="L590" s="387">
        <v>2</v>
      </c>
      <c r="M590" s="387">
        <v>0</v>
      </c>
      <c r="N590" s="387">
        <f t="shared" si="82"/>
        <v>2</v>
      </c>
      <c r="O590" s="442">
        <f t="shared" si="83"/>
        <v>2</v>
      </c>
      <c r="P590" s="387" t="s">
        <v>1358</v>
      </c>
      <c r="Q590" s="459">
        <v>0</v>
      </c>
      <c r="R590" s="459"/>
      <c r="S590" s="456">
        <v>0</v>
      </c>
      <c r="T590" s="456">
        <v>38.752000000000002</v>
      </c>
      <c r="U590" s="410"/>
      <c r="V590" s="411">
        <v>1</v>
      </c>
      <c r="W590" s="411">
        <v>1</v>
      </c>
      <c r="X590" s="411">
        <v>1</v>
      </c>
      <c r="Y590" s="411"/>
      <c r="Z590" s="411"/>
      <c r="AA590" s="412">
        <f t="shared" si="84"/>
        <v>1</v>
      </c>
      <c r="AB590" s="456">
        <f t="shared" si="85"/>
        <v>38.752000000000002</v>
      </c>
      <c r="AC590" s="456">
        <v>0</v>
      </c>
      <c r="AD590" s="2"/>
      <c r="AE590" s="4"/>
      <c r="AF590" s="5"/>
      <c r="AG590" s="428"/>
    </row>
    <row r="591" spans="2:33" hidden="1" x14ac:dyDescent="0.25">
      <c r="B591" s="1" t="s">
        <v>2672</v>
      </c>
      <c r="C591" s="3" t="s">
        <v>1368</v>
      </c>
      <c r="D591" s="3" t="s">
        <v>1247</v>
      </c>
      <c r="E591" s="407" t="s">
        <v>1377</v>
      </c>
      <c r="F591" s="3" t="s">
        <v>1982</v>
      </c>
      <c r="G591" s="407" t="s">
        <v>4494</v>
      </c>
      <c r="H591" s="440" t="s">
        <v>4109</v>
      </c>
      <c r="I591" s="407" t="s">
        <v>4315</v>
      </c>
      <c r="J591" s="407" t="s">
        <v>3749</v>
      </c>
      <c r="K591" s="387" t="s">
        <v>4648</v>
      </c>
      <c r="L591" s="387">
        <v>1</v>
      </c>
      <c r="M591" s="387">
        <v>0</v>
      </c>
      <c r="N591" s="387">
        <f t="shared" si="82"/>
        <v>1</v>
      </c>
      <c r="O591" s="442">
        <f t="shared" si="83"/>
        <v>1</v>
      </c>
      <c r="P591" s="387" t="s">
        <v>1358</v>
      </c>
      <c r="Q591" s="459">
        <v>0</v>
      </c>
      <c r="R591" s="459"/>
      <c r="S591" s="456">
        <v>0</v>
      </c>
      <c r="T591" s="456">
        <v>19.376000000000001</v>
      </c>
      <c r="U591" s="410"/>
      <c r="V591" s="411">
        <v>1</v>
      </c>
      <c r="W591" s="411">
        <v>1</v>
      </c>
      <c r="X591" s="411">
        <v>1</v>
      </c>
      <c r="Y591" s="411"/>
      <c r="Z591" s="411"/>
      <c r="AA591" s="412">
        <f t="shared" si="84"/>
        <v>1</v>
      </c>
      <c r="AB591" s="456">
        <f t="shared" si="85"/>
        <v>19.376000000000001</v>
      </c>
      <c r="AC591" s="456">
        <v>0</v>
      </c>
      <c r="AD591" s="2"/>
      <c r="AE591" s="4"/>
      <c r="AF591" s="5"/>
      <c r="AG591" s="428"/>
    </row>
    <row r="592" spans="2:33" hidden="1" x14ac:dyDescent="0.25">
      <c r="B592" s="1" t="s">
        <v>2673</v>
      </c>
      <c r="C592" s="3" t="s">
        <v>1368</v>
      </c>
      <c r="D592" s="3" t="s">
        <v>1247</v>
      </c>
      <c r="E592" s="407" t="s">
        <v>1379</v>
      </c>
      <c r="F592" s="3" t="s">
        <v>1983</v>
      </c>
      <c r="G592" s="407" t="s">
        <v>4502</v>
      </c>
      <c r="H592" s="440" t="s">
        <v>4109</v>
      </c>
      <c r="I592" s="407" t="s">
        <v>4323</v>
      </c>
      <c r="J592" s="407" t="s">
        <v>3750</v>
      </c>
      <c r="K592" s="387" t="s">
        <v>4632</v>
      </c>
      <c r="L592" s="387">
        <v>2</v>
      </c>
      <c r="M592" s="387">
        <v>0</v>
      </c>
      <c r="N592" s="387">
        <f t="shared" si="82"/>
        <v>2</v>
      </c>
      <c r="O592" s="442">
        <f t="shared" si="83"/>
        <v>2</v>
      </c>
      <c r="P592" s="387" t="s">
        <v>1358</v>
      </c>
      <c r="Q592" s="459">
        <v>0</v>
      </c>
      <c r="R592" s="459"/>
      <c r="S592" s="456">
        <v>0</v>
      </c>
      <c r="T592" s="456">
        <v>38.752000000000002</v>
      </c>
      <c r="U592" s="410"/>
      <c r="V592" s="411">
        <v>1</v>
      </c>
      <c r="W592" s="411">
        <v>1</v>
      </c>
      <c r="X592" s="411">
        <v>1</v>
      </c>
      <c r="Y592" s="411"/>
      <c r="Z592" s="411"/>
      <c r="AA592" s="412">
        <f t="shared" si="84"/>
        <v>1</v>
      </c>
      <c r="AB592" s="456">
        <f t="shared" si="85"/>
        <v>38.752000000000002</v>
      </c>
      <c r="AC592" s="456">
        <v>0</v>
      </c>
      <c r="AD592" s="2"/>
      <c r="AE592" s="4"/>
      <c r="AF592" s="5"/>
      <c r="AG592" s="428"/>
    </row>
    <row r="593" spans="2:33" hidden="1" x14ac:dyDescent="0.25">
      <c r="B593" s="1" t="s">
        <v>2674</v>
      </c>
      <c r="C593" s="3" t="s">
        <v>1368</v>
      </c>
      <c r="D593" s="3" t="s">
        <v>1247</v>
      </c>
      <c r="E593" s="407" t="s">
        <v>1396</v>
      </c>
      <c r="F593" s="3" t="s">
        <v>1984</v>
      </c>
      <c r="G593" s="407" t="s">
        <v>4498</v>
      </c>
      <c r="H593" s="440" t="s">
        <v>4109</v>
      </c>
      <c r="I593" s="407" t="s">
        <v>4319</v>
      </c>
      <c r="J593" s="407" t="s">
        <v>3752</v>
      </c>
      <c r="K593" s="387" t="s">
        <v>4652</v>
      </c>
      <c r="L593" s="387">
        <v>2</v>
      </c>
      <c r="M593" s="387">
        <v>0</v>
      </c>
      <c r="N593" s="387">
        <f t="shared" si="82"/>
        <v>2</v>
      </c>
      <c r="O593" s="442">
        <f t="shared" si="83"/>
        <v>2</v>
      </c>
      <c r="P593" s="387" t="s">
        <v>1358</v>
      </c>
      <c r="Q593" s="459">
        <v>0</v>
      </c>
      <c r="R593" s="459"/>
      <c r="S593" s="456">
        <v>0</v>
      </c>
      <c r="T593" s="456">
        <v>38.752000000000002</v>
      </c>
      <c r="U593" s="410"/>
      <c r="V593" s="411">
        <v>1</v>
      </c>
      <c r="W593" s="411">
        <v>1</v>
      </c>
      <c r="X593" s="411">
        <v>1</v>
      </c>
      <c r="Y593" s="411"/>
      <c r="Z593" s="411"/>
      <c r="AA593" s="412">
        <f t="shared" si="84"/>
        <v>1</v>
      </c>
      <c r="AB593" s="456">
        <f t="shared" si="85"/>
        <v>38.752000000000002</v>
      </c>
      <c r="AC593" s="456">
        <v>0</v>
      </c>
      <c r="AD593" s="2"/>
      <c r="AE593" s="4"/>
      <c r="AF593" s="5"/>
      <c r="AG593" s="428"/>
    </row>
    <row r="594" spans="2:33" hidden="1" x14ac:dyDescent="0.25">
      <c r="B594" s="1" t="s">
        <v>2675</v>
      </c>
      <c r="C594" s="3" t="s">
        <v>1368</v>
      </c>
      <c r="D594" s="3" t="s">
        <v>1247</v>
      </c>
      <c r="E594" s="407" t="s">
        <v>1399</v>
      </c>
      <c r="F594" s="3" t="s">
        <v>1985</v>
      </c>
      <c r="G594" s="407" t="s">
        <v>4499</v>
      </c>
      <c r="H594" s="440" t="s">
        <v>4109</v>
      </c>
      <c r="I594" s="407" t="s">
        <v>4320</v>
      </c>
      <c r="J594" s="407" t="s">
        <v>3758</v>
      </c>
      <c r="K594" s="387" t="s">
        <v>4653</v>
      </c>
      <c r="L594" s="387">
        <v>2</v>
      </c>
      <c r="M594" s="387">
        <v>0</v>
      </c>
      <c r="N594" s="387">
        <f t="shared" si="82"/>
        <v>2</v>
      </c>
      <c r="O594" s="442">
        <f t="shared" si="83"/>
        <v>2</v>
      </c>
      <c r="P594" s="387" t="s">
        <v>1358</v>
      </c>
      <c r="Q594" s="459">
        <v>0</v>
      </c>
      <c r="R594" s="459"/>
      <c r="S594" s="456">
        <v>0</v>
      </c>
      <c r="T594" s="456">
        <v>51.84</v>
      </c>
      <c r="U594" s="410"/>
      <c r="V594" s="411">
        <v>1</v>
      </c>
      <c r="W594" s="411">
        <v>1</v>
      </c>
      <c r="X594" s="411">
        <v>1</v>
      </c>
      <c r="Y594" s="411"/>
      <c r="Z594" s="411"/>
      <c r="AA594" s="412">
        <f t="shared" si="84"/>
        <v>1</v>
      </c>
      <c r="AB594" s="456">
        <f t="shared" si="85"/>
        <v>51.84</v>
      </c>
      <c r="AC594" s="456">
        <v>0</v>
      </c>
      <c r="AD594" s="2"/>
      <c r="AE594" s="4"/>
      <c r="AF594" s="5"/>
      <c r="AG594" s="428"/>
    </row>
    <row r="595" spans="2:33" hidden="1" x14ac:dyDescent="0.25">
      <c r="B595" s="1" t="s">
        <v>2676</v>
      </c>
      <c r="C595" s="3" t="s">
        <v>1368</v>
      </c>
      <c r="D595" s="3" t="s">
        <v>1247</v>
      </c>
      <c r="E595" s="407" t="s">
        <v>3547</v>
      </c>
      <c r="F595" s="3" t="s">
        <v>1986</v>
      </c>
      <c r="G595" s="407" t="s">
        <v>4501</v>
      </c>
      <c r="H595" s="440" t="s">
        <v>4109</v>
      </c>
      <c r="I595" s="407" t="s">
        <v>4322</v>
      </c>
      <c r="J595" s="407" t="s">
        <v>3797</v>
      </c>
      <c r="K595" s="387" t="s">
        <v>4655</v>
      </c>
      <c r="L595" s="387">
        <v>1</v>
      </c>
      <c r="M595" s="387">
        <v>0</v>
      </c>
      <c r="N595" s="387">
        <f t="shared" si="82"/>
        <v>1</v>
      </c>
      <c r="O595" s="442">
        <f t="shared" si="83"/>
        <v>0</v>
      </c>
      <c r="P595" s="387" t="s">
        <v>1358</v>
      </c>
      <c r="Q595" s="459">
        <v>0</v>
      </c>
      <c r="R595" s="459"/>
      <c r="S595" s="456">
        <v>0</v>
      </c>
      <c r="T595" s="456">
        <v>33.084000000000003</v>
      </c>
      <c r="U595" s="410"/>
      <c r="V595" s="411">
        <v>0</v>
      </c>
      <c r="W595" s="411">
        <v>0</v>
      </c>
      <c r="X595" s="411">
        <v>0</v>
      </c>
      <c r="Y595" s="411"/>
      <c r="Z595" s="411"/>
      <c r="AA595" s="412">
        <f t="shared" si="84"/>
        <v>0</v>
      </c>
      <c r="AB595" s="456">
        <f t="shared" si="85"/>
        <v>0</v>
      </c>
      <c r="AC595" s="456">
        <v>0</v>
      </c>
      <c r="AD595" s="2"/>
      <c r="AE595" s="4"/>
      <c r="AF595" s="5"/>
      <c r="AG595" s="428"/>
    </row>
    <row r="596" spans="2:33" hidden="1" x14ac:dyDescent="0.25">
      <c r="B596" s="1" t="s">
        <v>2677</v>
      </c>
      <c r="C596" s="3" t="s">
        <v>1368</v>
      </c>
      <c r="D596" s="3" t="s">
        <v>1247</v>
      </c>
      <c r="E596" s="407" t="s">
        <v>3546</v>
      </c>
      <c r="F596" s="3" t="s">
        <v>1987</v>
      </c>
      <c r="G596" s="407" t="s">
        <v>4482</v>
      </c>
      <c r="H596" s="440" t="s">
        <v>4109</v>
      </c>
      <c r="I596" s="407" t="s">
        <v>4303</v>
      </c>
      <c r="J596" s="407" t="s">
        <v>3784</v>
      </c>
      <c r="K596" s="387" t="s">
        <v>4660</v>
      </c>
      <c r="L596" s="387">
        <v>1</v>
      </c>
      <c r="M596" s="387">
        <v>0</v>
      </c>
      <c r="N596" s="387">
        <f t="shared" si="82"/>
        <v>1</v>
      </c>
      <c r="O596" s="442">
        <f t="shared" si="83"/>
        <v>0</v>
      </c>
      <c r="P596" s="387" t="s">
        <v>1358</v>
      </c>
      <c r="Q596" s="459">
        <v>0</v>
      </c>
      <c r="R596" s="459"/>
      <c r="S596" s="456">
        <v>0</v>
      </c>
      <c r="T596" s="456">
        <v>33.084000000000003</v>
      </c>
      <c r="U596" s="410"/>
      <c r="V596" s="411">
        <v>0</v>
      </c>
      <c r="W596" s="411">
        <v>0</v>
      </c>
      <c r="X596" s="411">
        <v>0</v>
      </c>
      <c r="Y596" s="411"/>
      <c r="Z596" s="411"/>
      <c r="AA596" s="412">
        <f t="shared" si="84"/>
        <v>0</v>
      </c>
      <c r="AB596" s="456">
        <f t="shared" si="85"/>
        <v>0</v>
      </c>
      <c r="AC596" s="456">
        <v>0</v>
      </c>
      <c r="AD596" s="2"/>
      <c r="AE596" s="4"/>
      <c r="AF596" s="5"/>
      <c r="AG596" s="428"/>
    </row>
    <row r="597" spans="2:33" hidden="1" x14ac:dyDescent="0.25">
      <c r="B597" s="1" t="s">
        <v>2678</v>
      </c>
      <c r="C597" s="3" t="s">
        <v>1368</v>
      </c>
      <c r="D597" s="3" t="s">
        <v>1247</v>
      </c>
      <c r="E597" s="407" t="s">
        <v>1402</v>
      </c>
      <c r="F597" s="3" t="s">
        <v>1988</v>
      </c>
      <c r="G597" s="407" t="s">
        <v>4481</v>
      </c>
      <c r="H597" s="440" t="s">
        <v>4109</v>
      </c>
      <c r="I597" s="407" t="s">
        <v>4302</v>
      </c>
      <c r="J597" s="407" t="s">
        <v>3783</v>
      </c>
      <c r="K597" s="387" t="s">
        <v>4659</v>
      </c>
      <c r="L597" s="387">
        <v>1</v>
      </c>
      <c r="M597" s="387">
        <v>0</v>
      </c>
      <c r="N597" s="387">
        <f t="shared" si="82"/>
        <v>1</v>
      </c>
      <c r="O597" s="442">
        <f t="shared" si="83"/>
        <v>0</v>
      </c>
      <c r="P597" s="387" t="s">
        <v>1358</v>
      </c>
      <c r="Q597" s="459">
        <v>0</v>
      </c>
      <c r="R597" s="459"/>
      <c r="S597" s="456">
        <v>0</v>
      </c>
      <c r="T597" s="456">
        <v>34.017000000000003</v>
      </c>
      <c r="U597" s="410"/>
      <c r="V597" s="411">
        <v>0</v>
      </c>
      <c r="W597" s="411">
        <v>0</v>
      </c>
      <c r="X597" s="411">
        <v>0</v>
      </c>
      <c r="Y597" s="411"/>
      <c r="Z597" s="411"/>
      <c r="AA597" s="412">
        <f t="shared" si="84"/>
        <v>0</v>
      </c>
      <c r="AB597" s="456">
        <f t="shared" si="85"/>
        <v>0</v>
      </c>
      <c r="AC597" s="456">
        <v>0</v>
      </c>
      <c r="AD597" s="2"/>
      <c r="AE597" s="4"/>
      <c r="AF597" s="5"/>
      <c r="AG597" s="428"/>
    </row>
    <row r="598" spans="2:33" hidden="1" x14ac:dyDescent="0.25">
      <c r="B598" s="1" t="s">
        <v>2679</v>
      </c>
      <c r="C598" s="3" t="s">
        <v>1368</v>
      </c>
      <c r="D598" s="3" t="s">
        <v>1247</v>
      </c>
      <c r="E598" s="407" t="s">
        <v>1401</v>
      </c>
      <c r="F598" s="3" t="s">
        <v>1989</v>
      </c>
      <c r="G598" s="407" t="s">
        <v>4478</v>
      </c>
      <c r="H598" s="440" t="s">
        <v>4109</v>
      </c>
      <c r="I598" s="407" t="s">
        <v>4299</v>
      </c>
      <c r="J598" s="407" t="s">
        <v>3780</v>
      </c>
      <c r="K598" s="387" t="s">
        <v>4657</v>
      </c>
      <c r="L598" s="387">
        <v>1</v>
      </c>
      <c r="M598" s="387">
        <v>0</v>
      </c>
      <c r="N598" s="387">
        <f t="shared" si="82"/>
        <v>1</v>
      </c>
      <c r="O598" s="442">
        <f t="shared" si="83"/>
        <v>0</v>
      </c>
      <c r="P598" s="387" t="s">
        <v>1358</v>
      </c>
      <c r="Q598" s="459">
        <v>0</v>
      </c>
      <c r="R598" s="459"/>
      <c r="S598" s="456">
        <v>0</v>
      </c>
      <c r="T598" s="456">
        <v>34.017000000000003</v>
      </c>
      <c r="U598" s="410"/>
      <c r="V598" s="411">
        <v>0</v>
      </c>
      <c r="W598" s="411">
        <v>0</v>
      </c>
      <c r="X598" s="411">
        <v>0</v>
      </c>
      <c r="Y598" s="411"/>
      <c r="Z598" s="411"/>
      <c r="AA598" s="412">
        <f t="shared" si="84"/>
        <v>0</v>
      </c>
      <c r="AB598" s="456">
        <f t="shared" si="85"/>
        <v>0</v>
      </c>
      <c r="AC598" s="456">
        <v>0</v>
      </c>
      <c r="AD598" s="2"/>
      <c r="AE598" s="4"/>
      <c r="AF598" s="5"/>
      <c r="AG598" s="428"/>
    </row>
    <row r="599" spans="2:33" hidden="1" x14ac:dyDescent="0.25">
      <c r="B599" s="1" t="s">
        <v>2680</v>
      </c>
      <c r="C599" s="3" t="s">
        <v>1368</v>
      </c>
      <c r="D599" s="3" t="s">
        <v>1247</v>
      </c>
      <c r="E599" s="407" t="s">
        <v>1400</v>
      </c>
      <c r="F599" s="3" t="s">
        <v>1990</v>
      </c>
      <c r="G599" s="407" t="s">
        <v>4477</v>
      </c>
      <c r="H599" s="440" t="s">
        <v>4109</v>
      </c>
      <c r="I599" s="407" t="s">
        <v>4298</v>
      </c>
      <c r="J599" s="407" t="s">
        <v>3779</v>
      </c>
      <c r="K599" s="387" t="s">
        <v>4656</v>
      </c>
      <c r="L599" s="387">
        <v>1</v>
      </c>
      <c r="M599" s="387">
        <v>0</v>
      </c>
      <c r="N599" s="387">
        <f t="shared" si="82"/>
        <v>1</v>
      </c>
      <c r="O599" s="442">
        <f t="shared" si="83"/>
        <v>1</v>
      </c>
      <c r="P599" s="387" t="s">
        <v>1358</v>
      </c>
      <c r="Q599" s="459">
        <v>0</v>
      </c>
      <c r="R599" s="459"/>
      <c r="S599" s="456">
        <v>0</v>
      </c>
      <c r="T599" s="456">
        <v>34.017000000000003</v>
      </c>
      <c r="U599" s="410"/>
      <c r="V599" s="411">
        <v>1</v>
      </c>
      <c r="W599" s="411">
        <v>1</v>
      </c>
      <c r="X599" s="411">
        <v>1</v>
      </c>
      <c r="Y599" s="411"/>
      <c r="Z599" s="411"/>
      <c r="AA599" s="412">
        <f t="shared" si="84"/>
        <v>1</v>
      </c>
      <c r="AB599" s="456">
        <f t="shared" si="85"/>
        <v>34.017000000000003</v>
      </c>
      <c r="AC599" s="456">
        <v>0</v>
      </c>
      <c r="AD599" s="2"/>
      <c r="AE599" s="4"/>
      <c r="AF599" s="5"/>
      <c r="AG599" s="428"/>
    </row>
    <row r="600" spans="2:33" hidden="1" x14ac:dyDescent="0.25">
      <c r="B600" s="1" t="s">
        <v>2681</v>
      </c>
      <c r="C600" s="3" t="s">
        <v>1368</v>
      </c>
      <c r="D600" s="3" t="s">
        <v>1247</v>
      </c>
      <c r="E600" s="407" t="s">
        <v>1399</v>
      </c>
      <c r="F600" s="3" t="s">
        <v>1991</v>
      </c>
      <c r="G600" s="407" t="s">
        <v>4499</v>
      </c>
      <c r="H600" s="440" t="s">
        <v>4109</v>
      </c>
      <c r="I600" s="407" t="s">
        <v>4320</v>
      </c>
      <c r="J600" s="407" t="s">
        <v>3758</v>
      </c>
      <c r="K600" s="387" t="s">
        <v>4653</v>
      </c>
      <c r="L600" s="387">
        <v>1</v>
      </c>
      <c r="M600" s="387">
        <v>0</v>
      </c>
      <c r="N600" s="387">
        <f t="shared" si="82"/>
        <v>1</v>
      </c>
      <c r="O600" s="442">
        <f t="shared" si="83"/>
        <v>0</v>
      </c>
      <c r="P600" s="387" t="s">
        <v>1358</v>
      </c>
      <c r="Q600" s="459">
        <v>0</v>
      </c>
      <c r="R600" s="459"/>
      <c r="S600" s="456">
        <v>0</v>
      </c>
      <c r="T600" s="456">
        <v>34.017000000000003</v>
      </c>
      <c r="U600" s="410"/>
      <c r="V600" s="411">
        <v>0</v>
      </c>
      <c r="W600" s="411">
        <v>0</v>
      </c>
      <c r="X600" s="411">
        <v>0</v>
      </c>
      <c r="Y600" s="411"/>
      <c r="Z600" s="411"/>
      <c r="AA600" s="412">
        <f t="shared" si="84"/>
        <v>0</v>
      </c>
      <c r="AB600" s="456">
        <f t="shared" si="85"/>
        <v>0</v>
      </c>
      <c r="AC600" s="456">
        <v>0</v>
      </c>
      <c r="AD600" s="2"/>
      <c r="AE600" s="4"/>
      <c r="AF600" s="5"/>
      <c r="AG600" s="428"/>
    </row>
    <row r="601" spans="2:33" hidden="1" x14ac:dyDescent="0.25">
      <c r="B601" s="1" t="s">
        <v>2682</v>
      </c>
      <c r="C601" s="3" t="s">
        <v>1368</v>
      </c>
      <c r="D601" s="3" t="s">
        <v>1247</v>
      </c>
      <c r="E601" s="407" t="s">
        <v>1396</v>
      </c>
      <c r="F601" s="3" t="s">
        <v>1992</v>
      </c>
      <c r="G601" s="407" t="s">
        <v>4498</v>
      </c>
      <c r="H601" s="440" t="s">
        <v>4109</v>
      </c>
      <c r="I601" s="407" t="s">
        <v>4319</v>
      </c>
      <c r="J601" s="407" t="s">
        <v>3752</v>
      </c>
      <c r="K601" s="387" t="s">
        <v>4652</v>
      </c>
      <c r="L601" s="387">
        <v>1</v>
      </c>
      <c r="M601" s="387">
        <v>0</v>
      </c>
      <c r="N601" s="387">
        <f t="shared" si="82"/>
        <v>1</v>
      </c>
      <c r="O601" s="442">
        <f t="shared" si="83"/>
        <v>1</v>
      </c>
      <c r="P601" s="387" t="s">
        <v>1358</v>
      </c>
      <c r="Q601" s="459">
        <v>0</v>
      </c>
      <c r="R601" s="459"/>
      <c r="S601" s="456">
        <v>0</v>
      </c>
      <c r="T601" s="456">
        <v>34.017000000000003</v>
      </c>
      <c r="U601" s="410"/>
      <c r="V601" s="411">
        <v>1</v>
      </c>
      <c r="W601" s="411">
        <v>1</v>
      </c>
      <c r="X601" s="411">
        <v>1</v>
      </c>
      <c r="Y601" s="411"/>
      <c r="Z601" s="411"/>
      <c r="AA601" s="412">
        <f t="shared" si="84"/>
        <v>1</v>
      </c>
      <c r="AB601" s="456">
        <f t="shared" si="85"/>
        <v>34.017000000000003</v>
      </c>
      <c r="AC601" s="456">
        <v>0</v>
      </c>
      <c r="AD601" s="2"/>
      <c r="AE601" s="4"/>
      <c r="AF601" s="5"/>
      <c r="AG601" s="428"/>
    </row>
    <row r="602" spans="2:33" hidden="1" x14ac:dyDescent="0.25">
      <c r="B602" s="1" t="s">
        <v>2683</v>
      </c>
      <c r="C602" s="3" t="s">
        <v>1368</v>
      </c>
      <c r="D602" s="3" t="s">
        <v>1247</v>
      </c>
      <c r="E602" s="407" t="s">
        <v>1381</v>
      </c>
      <c r="F602" s="3" t="s">
        <v>1993</v>
      </c>
      <c r="G602" s="407" t="s">
        <v>4497</v>
      </c>
      <c r="H602" s="440" t="s">
        <v>4109</v>
      </c>
      <c r="I602" s="407" t="s">
        <v>4318</v>
      </c>
      <c r="J602" s="407" t="s">
        <v>3751</v>
      </c>
      <c r="K602" s="387" t="s">
        <v>4631</v>
      </c>
      <c r="L602" s="387">
        <v>1</v>
      </c>
      <c r="M602" s="387">
        <v>0</v>
      </c>
      <c r="N602" s="387">
        <f t="shared" si="82"/>
        <v>1</v>
      </c>
      <c r="O602" s="442">
        <f t="shared" si="83"/>
        <v>1</v>
      </c>
      <c r="P602" s="387" t="s">
        <v>1358</v>
      </c>
      <c r="Q602" s="459">
        <v>0</v>
      </c>
      <c r="R602" s="459"/>
      <c r="S602" s="456">
        <v>0</v>
      </c>
      <c r="T602" s="456">
        <v>32.151000000000003</v>
      </c>
      <c r="U602" s="410"/>
      <c r="V602" s="411">
        <v>1</v>
      </c>
      <c r="W602" s="411">
        <v>1</v>
      </c>
      <c r="X602" s="411">
        <v>1</v>
      </c>
      <c r="Y602" s="411"/>
      <c r="Z602" s="411"/>
      <c r="AA602" s="412">
        <f t="shared" si="84"/>
        <v>1</v>
      </c>
      <c r="AB602" s="456">
        <f t="shared" si="85"/>
        <v>32.151000000000003</v>
      </c>
      <c r="AC602" s="456">
        <v>0</v>
      </c>
      <c r="AD602" s="2"/>
      <c r="AE602" s="4"/>
      <c r="AF602" s="5"/>
      <c r="AG602" s="428"/>
    </row>
    <row r="603" spans="2:33" hidden="1" x14ac:dyDescent="0.25">
      <c r="B603" s="1" t="s">
        <v>2684</v>
      </c>
      <c r="C603" s="3" t="s">
        <v>1368</v>
      </c>
      <c r="D603" s="3" t="s">
        <v>1247</v>
      </c>
      <c r="E603" s="407" t="s">
        <v>1379</v>
      </c>
      <c r="F603" s="3" t="s">
        <v>1994</v>
      </c>
      <c r="G603" s="407" t="s">
        <v>4502</v>
      </c>
      <c r="H603" s="440" t="s">
        <v>4109</v>
      </c>
      <c r="I603" s="407" t="s">
        <v>4323</v>
      </c>
      <c r="J603" s="407" t="s">
        <v>3750</v>
      </c>
      <c r="K603" s="387" t="s">
        <v>4632</v>
      </c>
      <c r="L603" s="387">
        <v>1</v>
      </c>
      <c r="M603" s="387">
        <v>0</v>
      </c>
      <c r="N603" s="387">
        <f t="shared" si="82"/>
        <v>1</v>
      </c>
      <c r="O603" s="442">
        <f t="shared" si="83"/>
        <v>1</v>
      </c>
      <c r="P603" s="387" t="s">
        <v>1358</v>
      </c>
      <c r="Q603" s="459">
        <v>0</v>
      </c>
      <c r="R603" s="459"/>
      <c r="S603" s="456">
        <v>0</v>
      </c>
      <c r="T603" s="456">
        <v>34.017000000000003</v>
      </c>
      <c r="U603" s="410"/>
      <c r="V603" s="411">
        <v>1</v>
      </c>
      <c r="W603" s="411">
        <v>1</v>
      </c>
      <c r="X603" s="411">
        <v>1</v>
      </c>
      <c r="Y603" s="411"/>
      <c r="Z603" s="411"/>
      <c r="AA603" s="412">
        <f t="shared" si="84"/>
        <v>1</v>
      </c>
      <c r="AB603" s="456">
        <f t="shared" si="85"/>
        <v>34.017000000000003</v>
      </c>
      <c r="AC603" s="456">
        <v>0</v>
      </c>
      <c r="AD603" s="2"/>
      <c r="AE603" s="4"/>
      <c r="AF603" s="5"/>
      <c r="AG603" s="428"/>
    </row>
    <row r="604" spans="2:33" hidden="1" x14ac:dyDescent="0.25">
      <c r="B604" s="1" t="s">
        <v>2685</v>
      </c>
      <c r="C604" s="3" t="s">
        <v>1368</v>
      </c>
      <c r="D604" s="3" t="s">
        <v>1247</v>
      </c>
      <c r="E604" s="407" t="s">
        <v>1377</v>
      </c>
      <c r="F604" s="3" t="s">
        <v>1995</v>
      </c>
      <c r="G604" s="407" t="s">
        <v>4494</v>
      </c>
      <c r="H604" s="440" t="s">
        <v>4109</v>
      </c>
      <c r="I604" s="407" t="s">
        <v>4315</v>
      </c>
      <c r="J604" s="407" t="s">
        <v>3749</v>
      </c>
      <c r="K604" s="387" t="s">
        <v>4648</v>
      </c>
      <c r="L604" s="387">
        <v>1</v>
      </c>
      <c r="M604" s="387">
        <v>0</v>
      </c>
      <c r="N604" s="387">
        <f t="shared" si="82"/>
        <v>1</v>
      </c>
      <c r="O604" s="442">
        <f t="shared" si="83"/>
        <v>1</v>
      </c>
      <c r="P604" s="387" t="s">
        <v>1358</v>
      </c>
      <c r="Q604" s="459">
        <v>0</v>
      </c>
      <c r="R604" s="459"/>
      <c r="S604" s="456">
        <v>0</v>
      </c>
      <c r="T604" s="456">
        <v>34.017000000000003</v>
      </c>
      <c r="U604" s="410"/>
      <c r="V604" s="411">
        <v>1</v>
      </c>
      <c r="W604" s="411">
        <v>1</v>
      </c>
      <c r="X604" s="411">
        <v>1</v>
      </c>
      <c r="Y604" s="411"/>
      <c r="Z604" s="411"/>
      <c r="AA604" s="412">
        <f t="shared" si="84"/>
        <v>1</v>
      </c>
      <c r="AB604" s="456">
        <f t="shared" si="85"/>
        <v>34.017000000000003</v>
      </c>
      <c r="AC604" s="456">
        <v>0</v>
      </c>
      <c r="AD604" s="2"/>
      <c r="AE604" s="4"/>
      <c r="AF604" s="5"/>
      <c r="AG604" s="428"/>
    </row>
    <row r="605" spans="2:33" hidden="1" x14ac:dyDescent="0.25">
      <c r="B605" s="1" t="s">
        <v>2686</v>
      </c>
      <c r="C605" s="3" t="s">
        <v>1368</v>
      </c>
      <c r="D605" s="3" t="s">
        <v>1247</v>
      </c>
      <c r="E605" s="407" t="s">
        <v>1374</v>
      </c>
      <c r="F605" s="3" t="s">
        <v>1996</v>
      </c>
      <c r="G605" s="407" t="s">
        <v>4495</v>
      </c>
      <c r="H605" s="440" t="s">
        <v>4109</v>
      </c>
      <c r="I605" s="407" t="s">
        <v>4316</v>
      </c>
      <c r="J605" s="407" t="s">
        <v>3757</v>
      </c>
      <c r="K605" s="387" t="s">
        <v>4649</v>
      </c>
      <c r="L605" s="387">
        <v>1</v>
      </c>
      <c r="M605" s="387">
        <v>0</v>
      </c>
      <c r="N605" s="387">
        <f t="shared" si="82"/>
        <v>1</v>
      </c>
      <c r="O605" s="442">
        <f t="shared" si="83"/>
        <v>1</v>
      </c>
      <c r="P605" s="387" t="s">
        <v>1358</v>
      </c>
      <c r="Q605" s="459">
        <v>0</v>
      </c>
      <c r="R605" s="459"/>
      <c r="S605" s="456">
        <v>0</v>
      </c>
      <c r="T605" s="456">
        <v>34.017000000000003</v>
      </c>
      <c r="U605" s="410"/>
      <c r="V605" s="411">
        <v>1</v>
      </c>
      <c r="W605" s="411">
        <v>1</v>
      </c>
      <c r="X605" s="411">
        <v>1</v>
      </c>
      <c r="Y605" s="411"/>
      <c r="Z605" s="411"/>
      <c r="AA605" s="412">
        <f t="shared" si="84"/>
        <v>1</v>
      </c>
      <c r="AB605" s="456">
        <f t="shared" si="85"/>
        <v>34.017000000000003</v>
      </c>
      <c r="AC605" s="456">
        <v>0</v>
      </c>
      <c r="AD605" s="2"/>
      <c r="AE605" s="4"/>
      <c r="AF605" s="5"/>
      <c r="AG605" s="428"/>
    </row>
    <row r="606" spans="2:33" hidden="1" x14ac:dyDescent="0.25">
      <c r="B606" s="1" t="s">
        <v>2687</v>
      </c>
      <c r="C606" s="3" t="s">
        <v>1368</v>
      </c>
      <c r="D606" s="3" t="s">
        <v>1247</v>
      </c>
      <c r="E606" s="407" t="s">
        <v>1398</v>
      </c>
      <c r="F606" s="3" t="s">
        <v>1997</v>
      </c>
      <c r="G606" s="407" t="s">
        <v>4496</v>
      </c>
      <c r="H606" s="440" t="s">
        <v>4109</v>
      </c>
      <c r="I606" s="407" t="s">
        <v>4317</v>
      </c>
      <c r="J606" s="407" t="s">
        <v>3796</v>
      </c>
      <c r="K606" s="387" t="s">
        <v>4650</v>
      </c>
      <c r="L606" s="387">
        <v>1</v>
      </c>
      <c r="M606" s="387">
        <v>0</v>
      </c>
      <c r="N606" s="387">
        <f t="shared" si="82"/>
        <v>1</v>
      </c>
      <c r="O606" s="442">
        <f t="shared" si="83"/>
        <v>1</v>
      </c>
      <c r="P606" s="387" t="s">
        <v>1358</v>
      </c>
      <c r="Q606" s="459">
        <v>0</v>
      </c>
      <c r="R606" s="459"/>
      <c r="S606" s="456">
        <v>0</v>
      </c>
      <c r="T606" s="456">
        <v>34.017000000000003</v>
      </c>
      <c r="U606" s="410"/>
      <c r="V606" s="411">
        <v>1</v>
      </c>
      <c r="W606" s="411">
        <v>1</v>
      </c>
      <c r="X606" s="411">
        <v>1</v>
      </c>
      <c r="Y606" s="411"/>
      <c r="Z606" s="411"/>
      <c r="AA606" s="412">
        <f t="shared" si="84"/>
        <v>1</v>
      </c>
      <c r="AB606" s="456">
        <f t="shared" si="85"/>
        <v>34.017000000000003</v>
      </c>
      <c r="AC606" s="456">
        <v>0</v>
      </c>
      <c r="AD606" s="2"/>
      <c r="AE606" s="4"/>
      <c r="AF606" s="5"/>
      <c r="AG606" s="428"/>
    </row>
    <row r="607" spans="2:33" hidden="1" x14ac:dyDescent="0.25">
      <c r="B607" s="1" t="s">
        <v>2688</v>
      </c>
      <c r="C607" s="3" t="s">
        <v>1368</v>
      </c>
      <c r="D607" s="3" t="s">
        <v>1247</v>
      </c>
      <c r="E607" s="407" t="s">
        <v>1397</v>
      </c>
      <c r="F607" s="3" t="s">
        <v>1998</v>
      </c>
      <c r="G607" s="407" t="s">
        <v>4493</v>
      </c>
      <c r="H607" s="440" t="s">
        <v>4109</v>
      </c>
      <c r="I607" s="407" t="s">
        <v>4314</v>
      </c>
      <c r="J607" s="407" t="s">
        <v>3795</v>
      </c>
      <c r="K607" s="387" t="s">
        <v>4647</v>
      </c>
      <c r="L607" s="387">
        <v>1</v>
      </c>
      <c r="M607" s="387">
        <v>0</v>
      </c>
      <c r="N607" s="387">
        <f t="shared" si="82"/>
        <v>1</v>
      </c>
      <c r="O607" s="442">
        <f t="shared" si="83"/>
        <v>1</v>
      </c>
      <c r="P607" s="387" t="s">
        <v>1358</v>
      </c>
      <c r="Q607" s="459">
        <v>0</v>
      </c>
      <c r="R607" s="459"/>
      <c r="S607" s="456">
        <v>0</v>
      </c>
      <c r="T607" s="456">
        <v>34.017000000000003</v>
      </c>
      <c r="U607" s="410"/>
      <c r="V607" s="411">
        <v>1</v>
      </c>
      <c r="W607" s="411">
        <v>1</v>
      </c>
      <c r="X607" s="411">
        <v>1</v>
      </c>
      <c r="Y607" s="411"/>
      <c r="Z607" s="411"/>
      <c r="AA607" s="412">
        <f t="shared" si="84"/>
        <v>1</v>
      </c>
      <c r="AB607" s="456">
        <f t="shared" si="85"/>
        <v>34.017000000000003</v>
      </c>
      <c r="AC607" s="456">
        <v>0</v>
      </c>
      <c r="AD607" s="2"/>
      <c r="AE607" s="4"/>
      <c r="AF607" s="5"/>
      <c r="AG607" s="428"/>
    </row>
    <row r="608" spans="2:33" hidden="1" x14ac:dyDescent="0.25">
      <c r="B608" s="1" t="s">
        <v>2689</v>
      </c>
      <c r="C608" s="3" t="s">
        <v>1368</v>
      </c>
      <c r="D608" s="3" t="s">
        <v>1247</v>
      </c>
      <c r="E608" s="407" t="s">
        <v>1425</v>
      </c>
      <c r="F608" s="3" t="s">
        <v>1999</v>
      </c>
      <c r="G608" s="407" t="s">
        <v>4479</v>
      </c>
      <c r="H608" s="440" t="s">
        <v>4109</v>
      </c>
      <c r="I608" s="407" t="s">
        <v>4300</v>
      </c>
      <c r="J608" s="407" t="s">
        <v>3781</v>
      </c>
      <c r="K608" s="387" t="s">
        <v>4643</v>
      </c>
      <c r="L608" s="387">
        <v>1</v>
      </c>
      <c r="M608" s="387">
        <v>0</v>
      </c>
      <c r="N608" s="387">
        <f t="shared" si="82"/>
        <v>1</v>
      </c>
      <c r="O608" s="442">
        <f t="shared" si="83"/>
        <v>1.0000000000000002</v>
      </c>
      <c r="P608" s="387" t="s">
        <v>1358</v>
      </c>
      <c r="Q608" s="459">
        <v>0</v>
      </c>
      <c r="R608" s="459"/>
      <c r="S608" s="456">
        <v>0</v>
      </c>
      <c r="T608" s="456">
        <v>31.218</v>
      </c>
      <c r="U608" s="410"/>
      <c r="V608" s="411">
        <v>1</v>
      </c>
      <c r="W608" s="411">
        <v>1</v>
      </c>
      <c r="X608" s="411">
        <v>1</v>
      </c>
      <c r="Y608" s="411"/>
      <c r="Z608" s="411"/>
      <c r="AA608" s="412">
        <f t="shared" si="84"/>
        <v>1.0000000000000002</v>
      </c>
      <c r="AB608" s="456">
        <f t="shared" si="85"/>
        <v>31.218000000000004</v>
      </c>
      <c r="AC608" s="456">
        <v>0</v>
      </c>
      <c r="AD608" s="2"/>
      <c r="AE608" s="4"/>
      <c r="AF608" s="5"/>
      <c r="AG608" s="428"/>
    </row>
    <row r="609" spans="2:33" hidden="1" x14ac:dyDescent="0.25">
      <c r="B609" s="1" t="s">
        <v>2690</v>
      </c>
      <c r="C609" s="3" t="s">
        <v>1368</v>
      </c>
      <c r="D609" s="3" t="s">
        <v>1247</v>
      </c>
      <c r="E609" s="407" t="s">
        <v>1426</v>
      </c>
      <c r="F609" s="3" t="s">
        <v>2000</v>
      </c>
      <c r="G609" s="407" t="s">
        <v>4480</v>
      </c>
      <c r="H609" s="440" t="s">
        <v>4109</v>
      </c>
      <c r="I609" s="407" t="s">
        <v>4301</v>
      </c>
      <c r="J609" s="407" t="s">
        <v>3782</v>
      </c>
      <c r="K609" s="387" t="s">
        <v>4637</v>
      </c>
      <c r="L609" s="387">
        <v>1</v>
      </c>
      <c r="M609" s="387">
        <v>0</v>
      </c>
      <c r="N609" s="387">
        <f t="shared" si="82"/>
        <v>1</v>
      </c>
      <c r="O609" s="442">
        <f t="shared" si="83"/>
        <v>0</v>
      </c>
      <c r="P609" s="387" t="s">
        <v>1358</v>
      </c>
      <c r="Q609" s="459">
        <v>0</v>
      </c>
      <c r="R609" s="459"/>
      <c r="S609" s="456">
        <v>0</v>
      </c>
      <c r="T609" s="456">
        <v>31.218</v>
      </c>
      <c r="U609" s="410"/>
      <c r="V609" s="411">
        <v>0</v>
      </c>
      <c r="W609" s="411">
        <v>0</v>
      </c>
      <c r="X609" s="411">
        <v>0</v>
      </c>
      <c r="Y609" s="411"/>
      <c r="Z609" s="411"/>
      <c r="AA609" s="412">
        <f t="shared" si="84"/>
        <v>0</v>
      </c>
      <c r="AB609" s="456">
        <f t="shared" si="85"/>
        <v>0</v>
      </c>
      <c r="AC609" s="456">
        <v>0</v>
      </c>
      <c r="AD609" s="2"/>
      <c r="AE609" s="4"/>
      <c r="AF609" s="5"/>
      <c r="AG609" s="428"/>
    </row>
    <row r="610" spans="2:33" hidden="1" x14ac:dyDescent="0.25">
      <c r="B610" s="1" t="s">
        <v>2691</v>
      </c>
      <c r="C610" s="3" t="s">
        <v>1368</v>
      </c>
      <c r="D610" s="3" t="s">
        <v>1247</v>
      </c>
      <c r="E610" s="407" t="s">
        <v>1432</v>
      </c>
      <c r="F610" s="3" t="s">
        <v>2001</v>
      </c>
      <c r="G610" s="407" t="s">
        <v>4483</v>
      </c>
      <c r="H610" s="440" t="s">
        <v>4109</v>
      </c>
      <c r="I610" s="407" t="s">
        <v>4304</v>
      </c>
      <c r="J610" s="407" t="s">
        <v>3785</v>
      </c>
      <c r="K610" s="387" t="s">
        <v>4635</v>
      </c>
      <c r="L610" s="387">
        <v>1</v>
      </c>
      <c r="M610" s="387">
        <v>0</v>
      </c>
      <c r="N610" s="387">
        <f t="shared" si="82"/>
        <v>1</v>
      </c>
      <c r="O610" s="442">
        <f t="shared" si="83"/>
        <v>0</v>
      </c>
      <c r="P610" s="387" t="s">
        <v>1358</v>
      </c>
      <c r="Q610" s="459">
        <v>0</v>
      </c>
      <c r="R610" s="459"/>
      <c r="S610" s="456">
        <v>0</v>
      </c>
      <c r="T610" s="456">
        <v>28.169</v>
      </c>
      <c r="U610" s="410"/>
      <c r="V610" s="411">
        <v>0</v>
      </c>
      <c r="W610" s="411">
        <v>0</v>
      </c>
      <c r="X610" s="411">
        <v>0</v>
      </c>
      <c r="Y610" s="411"/>
      <c r="Z610" s="411"/>
      <c r="AA610" s="412">
        <f t="shared" si="84"/>
        <v>0</v>
      </c>
      <c r="AB610" s="456">
        <f t="shared" si="85"/>
        <v>0</v>
      </c>
      <c r="AC610" s="456">
        <v>0</v>
      </c>
      <c r="AD610" s="2"/>
      <c r="AE610" s="4"/>
      <c r="AF610" s="5"/>
      <c r="AG610" s="428"/>
    </row>
    <row r="611" spans="2:33" hidden="1" x14ac:dyDescent="0.25">
      <c r="B611" s="1" t="s">
        <v>2692</v>
      </c>
      <c r="C611" s="3" t="s">
        <v>1368</v>
      </c>
      <c r="D611" s="3" t="s">
        <v>1247</v>
      </c>
      <c r="E611" s="407" t="s">
        <v>1397</v>
      </c>
      <c r="F611" s="3" t="s">
        <v>2002</v>
      </c>
      <c r="G611" s="407" t="s">
        <v>4493</v>
      </c>
      <c r="H611" s="440" t="s">
        <v>4109</v>
      </c>
      <c r="I611" s="407" t="s">
        <v>4314</v>
      </c>
      <c r="J611" s="407" t="s">
        <v>3795</v>
      </c>
      <c r="K611" s="387" t="s">
        <v>4647</v>
      </c>
      <c r="L611" s="387">
        <v>1</v>
      </c>
      <c r="M611" s="387">
        <v>0</v>
      </c>
      <c r="N611" s="387">
        <f t="shared" si="82"/>
        <v>1</v>
      </c>
      <c r="O611" s="442">
        <f t="shared" si="83"/>
        <v>1.0000000000000002</v>
      </c>
      <c r="P611" s="387" t="s">
        <v>1358</v>
      </c>
      <c r="Q611" s="459">
        <v>0</v>
      </c>
      <c r="R611" s="459"/>
      <c r="S611" s="456">
        <v>0</v>
      </c>
      <c r="T611" s="456">
        <v>25.07</v>
      </c>
      <c r="U611" s="410"/>
      <c r="V611" s="411">
        <v>1</v>
      </c>
      <c r="W611" s="411">
        <v>1</v>
      </c>
      <c r="X611" s="411">
        <v>1</v>
      </c>
      <c r="Y611" s="411"/>
      <c r="Z611" s="411"/>
      <c r="AA611" s="412">
        <f t="shared" si="84"/>
        <v>1.0000000000000002</v>
      </c>
      <c r="AB611" s="456">
        <f t="shared" si="85"/>
        <v>25.070000000000004</v>
      </c>
      <c r="AC611" s="456">
        <v>0</v>
      </c>
      <c r="AD611" s="2"/>
      <c r="AE611" s="4"/>
      <c r="AF611" s="5"/>
      <c r="AG611" s="428"/>
    </row>
    <row r="612" spans="2:33" hidden="1" x14ac:dyDescent="0.25">
      <c r="B612" s="1" t="s">
        <v>2693</v>
      </c>
      <c r="C612" s="3" t="s">
        <v>1368</v>
      </c>
      <c r="D612" s="3" t="s">
        <v>1247</v>
      </c>
      <c r="E612" s="407" t="s">
        <v>1398</v>
      </c>
      <c r="F612" s="3" t="s">
        <v>2003</v>
      </c>
      <c r="G612" s="407" t="s">
        <v>4496</v>
      </c>
      <c r="H612" s="440" t="s">
        <v>4109</v>
      </c>
      <c r="I612" s="407" t="s">
        <v>4317</v>
      </c>
      <c r="J612" s="407" t="s">
        <v>3796</v>
      </c>
      <c r="K612" s="387" t="s">
        <v>4650</v>
      </c>
      <c r="L612" s="387">
        <v>1</v>
      </c>
      <c r="M612" s="387">
        <v>0</v>
      </c>
      <c r="N612" s="387">
        <f t="shared" si="82"/>
        <v>1</v>
      </c>
      <c r="O612" s="442">
        <f t="shared" si="83"/>
        <v>1.0000000000000002</v>
      </c>
      <c r="P612" s="387" t="s">
        <v>1358</v>
      </c>
      <c r="Q612" s="459">
        <v>0</v>
      </c>
      <c r="R612" s="459"/>
      <c r="S612" s="456">
        <v>0</v>
      </c>
      <c r="T612" s="456">
        <v>25.07</v>
      </c>
      <c r="U612" s="410"/>
      <c r="V612" s="411">
        <v>1</v>
      </c>
      <c r="W612" s="411">
        <v>1</v>
      </c>
      <c r="X612" s="411">
        <v>1</v>
      </c>
      <c r="Y612" s="411"/>
      <c r="Z612" s="411"/>
      <c r="AA612" s="412">
        <f t="shared" si="84"/>
        <v>1.0000000000000002</v>
      </c>
      <c r="AB612" s="456">
        <f t="shared" si="85"/>
        <v>25.070000000000004</v>
      </c>
      <c r="AC612" s="456">
        <v>0</v>
      </c>
      <c r="AD612" s="2"/>
      <c r="AE612" s="4"/>
      <c r="AF612" s="5"/>
      <c r="AG612" s="428"/>
    </row>
    <row r="613" spans="2:33" hidden="1" x14ac:dyDescent="0.25">
      <c r="B613" s="1" t="s">
        <v>2694</v>
      </c>
      <c r="C613" s="3" t="s">
        <v>1368</v>
      </c>
      <c r="D613" s="3" t="s">
        <v>1247</v>
      </c>
      <c r="E613" s="407" t="s">
        <v>1374</v>
      </c>
      <c r="F613" s="3" t="s">
        <v>2004</v>
      </c>
      <c r="G613" s="407" t="s">
        <v>4495</v>
      </c>
      <c r="H613" s="440" t="s">
        <v>4109</v>
      </c>
      <c r="I613" s="407" t="s">
        <v>4316</v>
      </c>
      <c r="J613" s="407" t="s">
        <v>3757</v>
      </c>
      <c r="K613" s="387" t="s">
        <v>4665</v>
      </c>
      <c r="L613" s="387">
        <v>2</v>
      </c>
      <c r="M613" s="387">
        <v>0</v>
      </c>
      <c r="N613" s="387">
        <f t="shared" si="82"/>
        <v>2</v>
      </c>
      <c r="O613" s="442">
        <f t="shared" si="83"/>
        <v>2.0000000000000004</v>
      </c>
      <c r="P613" s="387" t="s">
        <v>1358</v>
      </c>
      <c r="Q613" s="459">
        <v>0</v>
      </c>
      <c r="R613" s="459"/>
      <c r="S613" s="456">
        <v>0</v>
      </c>
      <c r="T613" s="456">
        <v>50.14</v>
      </c>
      <c r="U613" s="410"/>
      <c r="V613" s="411">
        <v>1</v>
      </c>
      <c r="W613" s="411">
        <v>1</v>
      </c>
      <c r="X613" s="411">
        <v>1</v>
      </c>
      <c r="Y613" s="411"/>
      <c r="Z613" s="411"/>
      <c r="AA613" s="412">
        <f t="shared" si="84"/>
        <v>1.0000000000000002</v>
      </c>
      <c r="AB613" s="456">
        <f t="shared" si="85"/>
        <v>50.140000000000008</v>
      </c>
      <c r="AC613" s="456">
        <v>0</v>
      </c>
      <c r="AD613" s="2"/>
      <c r="AE613" s="4"/>
      <c r="AF613" s="5"/>
      <c r="AG613" s="428"/>
    </row>
    <row r="614" spans="2:33" hidden="1" x14ac:dyDescent="0.25">
      <c r="B614" s="1" t="s">
        <v>2695</v>
      </c>
      <c r="C614" s="3" t="s">
        <v>1368</v>
      </c>
      <c r="D614" s="3" t="s">
        <v>1247</v>
      </c>
      <c r="E614" s="407" t="s">
        <v>1377</v>
      </c>
      <c r="F614" s="3" t="s">
        <v>2005</v>
      </c>
      <c r="G614" s="407" t="s">
        <v>4494</v>
      </c>
      <c r="H614" s="440" t="s">
        <v>4109</v>
      </c>
      <c r="I614" s="407" t="s">
        <v>4315</v>
      </c>
      <c r="J614" s="407" t="s">
        <v>3749</v>
      </c>
      <c r="K614" s="387" t="s">
        <v>4648</v>
      </c>
      <c r="L614" s="387">
        <v>1</v>
      </c>
      <c r="M614" s="387">
        <v>0</v>
      </c>
      <c r="N614" s="387">
        <f t="shared" si="82"/>
        <v>1</v>
      </c>
      <c r="O614" s="442">
        <f t="shared" si="83"/>
        <v>1.0000000000000002</v>
      </c>
      <c r="P614" s="387" t="s">
        <v>1358</v>
      </c>
      <c r="Q614" s="459">
        <v>0</v>
      </c>
      <c r="R614" s="459"/>
      <c r="S614" s="456">
        <v>0</v>
      </c>
      <c r="T614" s="456">
        <v>25.07</v>
      </c>
      <c r="U614" s="410"/>
      <c r="V614" s="411">
        <v>1</v>
      </c>
      <c r="W614" s="411">
        <v>1</v>
      </c>
      <c r="X614" s="411">
        <v>1</v>
      </c>
      <c r="Y614" s="411"/>
      <c r="Z614" s="411"/>
      <c r="AA614" s="412">
        <f t="shared" si="84"/>
        <v>1.0000000000000002</v>
      </c>
      <c r="AB614" s="456">
        <f t="shared" si="85"/>
        <v>25.070000000000004</v>
      </c>
      <c r="AC614" s="456">
        <v>0</v>
      </c>
      <c r="AD614" s="2"/>
      <c r="AE614" s="4"/>
      <c r="AF614" s="5"/>
      <c r="AG614" s="428"/>
    </row>
    <row r="615" spans="2:33" hidden="1" x14ac:dyDescent="0.25">
      <c r="B615" s="1" t="s">
        <v>2696</v>
      </c>
      <c r="C615" s="3" t="s">
        <v>1368</v>
      </c>
      <c r="D615" s="3" t="s">
        <v>1247</v>
      </c>
      <c r="E615" s="407" t="s">
        <v>1379</v>
      </c>
      <c r="F615" s="3" t="s">
        <v>2006</v>
      </c>
      <c r="G615" s="407" t="s">
        <v>4502</v>
      </c>
      <c r="H615" s="440" t="s">
        <v>4109</v>
      </c>
      <c r="I615" s="407" t="s">
        <v>4323</v>
      </c>
      <c r="J615" s="407" t="s">
        <v>3750</v>
      </c>
      <c r="K615" s="387" t="s">
        <v>4632</v>
      </c>
      <c r="L615" s="387">
        <v>1</v>
      </c>
      <c r="M615" s="387">
        <v>0</v>
      </c>
      <c r="N615" s="387">
        <f t="shared" si="82"/>
        <v>1</v>
      </c>
      <c r="O615" s="442">
        <f t="shared" si="83"/>
        <v>1</v>
      </c>
      <c r="P615" s="387" t="s">
        <v>1358</v>
      </c>
      <c r="Q615" s="459">
        <v>0</v>
      </c>
      <c r="R615" s="459"/>
      <c r="S615" s="456">
        <v>0</v>
      </c>
      <c r="T615" s="456">
        <v>27.423999999999999</v>
      </c>
      <c r="U615" s="410"/>
      <c r="V615" s="411">
        <v>1</v>
      </c>
      <c r="W615" s="411">
        <v>1</v>
      </c>
      <c r="X615" s="411">
        <v>1</v>
      </c>
      <c r="Y615" s="411"/>
      <c r="Z615" s="411"/>
      <c r="AA615" s="412">
        <f t="shared" si="84"/>
        <v>1</v>
      </c>
      <c r="AB615" s="456">
        <f t="shared" si="85"/>
        <v>27.423999999999999</v>
      </c>
      <c r="AC615" s="456">
        <v>0</v>
      </c>
      <c r="AD615" s="2"/>
      <c r="AE615" s="4"/>
      <c r="AF615" s="5"/>
      <c r="AG615" s="428"/>
    </row>
    <row r="616" spans="2:33" hidden="1" x14ac:dyDescent="0.25">
      <c r="B616" s="1" t="s">
        <v>2697</v>
      </c>
      <c r="C616" s="3" t="s">
        <v>1368</v>
      </c>
      <c r="D616" s="3" t="s">
        <v>1247</v>
      </c>
      <c r="E616" s="407" t="s">
        <v>1425</v>
      </c>
      <c r="F616" s="3" t="s">
        <v>2007</v>
      </c>
      <c r="G616" s="407" t="s">
        <v>4479</v>
      </c>
      <c r="H616" s="440" t="s">
        <v>4109</v>
      </c>
      <c r="I616" s="407" t="s">
        <v>4300</v>
      </c>
      <c r="J616" s="407" t="s">
        <v>3781</v>
      </c>
      <c r="K616" s="387" t="s">
        <v>4643</v>
      </c>
      <c r="L616" s="387">
        <v>1</v>
      </c>
      <c r="M616" s="387">
        <v>0</v>
      </c>
      <c r="N616" s="387">
        <f t="shared" si="82"/>
        <v>1</v>
      </c>
      <c r="O616" s="442">
        <f t="shared" si="83"/>
        <v>1.0000000000000002</v>
      </c>
      <c r="P616" s="387" t="s">
        <v>1358</v>
      </c>
      <c r="Q616" s="459">
        <v>0</v>
      </c>
      <c r="R616" s="459"/>
      <c r="S616" s="456">
        <v>0</v>
      </c>
      <c r="T616" s="456">
        <v>28.169</v>
      </c>
      <c r="U616" s="410"/>
      <c r="V616" s="411">
        <v>1</v>
      </c>
      <c r="W616" s="411">
        <v>1</v>
      </c>
      <c r="X616" s="411">
        <v>1</v>
      </c>
      <c r="Y616" s="411"/>
      <c r="Z616" s="411"/>
      <c r="AA616" s="412">
        <f t="shared" si="84"/>
        <v>1.0000000000000002</v>
      </c>
      <c r="AB616" s="456">
        <f t="shared" si="85"/>
        <v>28.169000000000004</v>
      </c>
      <c r="AC616" s="456">
        <v>0</v>
      </c>
      <c r="AD616" s="2"/>
      <c r="AE616" s="4"/>
      <c r="AF616" s="5"/>
      <c r="AG616" s="428"/>
    </row>
    <row r="617" spans="2:33" hidden="1" x14ac:dyDescent="0.25">
      <c r="B617" s="1" t="s">
        <v>2698</v>
      </c>
      <c r="C617" s="3" t="s">
        <v>1368</v>
      </c>
      <c r="D617" s="3" t="s">
        <v>1247</v>
      </c>
      <c r="E617" s="407" t="s">
        <v>1426</v>
      </c>
      <c r="F617" s="3" t="s">
        <v>2008</v>
      </c>
      <c r="G617" s="407" t="s">
        <v>4480</v>
      </c>
      <c r="H617" s="440" t="s">
        <v>4109</v>
      </c>
      <c r="I617" s="407" t="s">
        <v>4301</v>
      </c>
      <c r="J617" s="407" t="s">
        <v>3782</v>
      </c>
      <c r="K617" s="387" t="s">
        <v>4637</v>
      </c>
      <c r="L617" s="387">
        <v>2</v>
      </c>
      <c r="M617" s="387">
        <v>0</v>
      </c>
      <c r="N617" s="387">
        <f t="shared" si="82"/>
        <v>2</v>
      </c>
      <c r="O617" s="442">
        <f t="shared" si="83"/>
        <v>0</v>
      </c>
      <c r="P617" s="387" t="s">
        <v>1358</v>
      </c>
      <c r="Q617" s="459">
        <v>0</v>
      </c>
      <c r="R617" s="459"/>
      <c r="S617" s="456">
        <v>0</v>
      </c>
      <c r="T617" s="456">
        <v>56.338000000000001</v>
      </c>
      <c r="U617" s="410"/>
      <c r="V617" s="411">
        <v>0</v>
      </c>
      <c r="W617" s="411">
        <v>0</v>
      </c>
      <c r="X617" s="411">
        <v>0</v>
      </c>
      <c r="Y617" s="411"/>
      <c r="Z617" s="411"/>
      <c r="AA617" s="412">
        <f t="shared" si="84"/>
        <v>0</v>
      </c>
      <c r="AB617" s="456">
        <f t="shared" si="85"/>
        <v>0</v>
      </c>
      <c r="AC617" s="456">
        <v>0</v>
      </c>
      <c r="AD617" s="2"/>
      <c r="AE617" s="4"/>
      <c r="AF617" s="5"/>
      <c r="AG617" s="428"/>
    </row>
    <row r="618" spans="2:33" hidden="1" x14ac:dyDescent="0.25">
      <c r="B618" s="1" t="s">
        <v>2699</v>
      </c>
      <c r="C618" s="3" t="s">
        <v>1368</v>
      </c>
      <c r="D618" s="3" t="s">
        <v>1247</v>
      </c>
      <c r="E618" s="407" t="s">
        <v>1428</v>
      </c>
      <c r="F618" s="3" t="s">
        <v>2009</v>
      </c>
      <c r="G618" s="407" t="s">
        <v>4486</v>
      </c>
      <c r="H618" s="440" t="s">
        <v>4109</v>
      </c>
      <c r="I618" s="407" t="s">
        <v>4307</v>
      </c>
      <c r="J618" s="407" t="s">
        <v>3788</v>
      </c>
      <c r="K618" s="387" t="s">
        <v>4639</v>
      </c>
      <c r="L618" s="387">
        <v>1</v>
      </c>
      <c r="M618" s="387">
        <v>0</v>
      </c>
      <c r="N618" s="387">
        <f t="shared" si="82"/>
        <v>1</v>
      </c>
      <c r="O618" s="442">
        <f t="shared" si="83"/>
        <v>0</v>
      </c>
      <c r="P618" s="387" t="s">
        <v>1358</v>
      </c>
      <c r="Q618" s="459">
        <v>0</v>
      </c>
      <c r="R618" s="459"/>
      <c r="S618" s="456">
        <v>0</v>
      </c>
      <c r="T618" s="456">
        <v>28.169</v>
      </c>
      <c r="U618" s="410"/>
      <c r="V618" s="411">
        <v>0</v>
      </c>
      <c r="W618" s="411">
        <v>0</v>
      </c>
      <c r="X618" s="411">
        <v>0</v>
      </c>
      <c r="Y618" s="411"/>
      <c r="Z618" s="411"/>
      <c r="AA618" s="412">
        <f t="shared" si="84"/>
        <v>0</v>
      </c>
      <c r="AB618" s="456">
        <f t="shared" si="85"/>
        <v>0</v>
      </c>
      <c r="AC618" s="456">
        <v>0</v>
      </c>
      <c r="AD618" s="2"/>
      <c r="AE618" s="4"/>
      <c r="AF618" s="5"/>
      <c r="AG618" s="428"/>
    </row>
    <row r="619" spans="2:33" hidden="1" x14ac:dyDescent="0.25">
      <c r="B619" s="1" t="s">
        <v>2700</v>
      </c>
      <c r="C619" s="3" t="s">
        <v>1368</v>
      </c>
      <c r="D619" s="3" t="s">
        <v>1247</v>
      </c>
      <c r="E619" s="407" t="s">
        <v>1429</v>
      </c>
      <c r="F619" s="3" t="s">
        <v>2010</v>
      </c>
      <c r="G619" s="407" t="s">
        <v>4487</v>
      </c>
      <c r="H619" s="440" t="s">
        <v>4109</v>
      </c>
      <c r="I619" s="407" t="s">
        <v>4308</v>
      </c>
      <c r="J619" s="407" t="s">
        <v>3789</v>
      </c>
      <c r="K619" s="387" t="s">
        <v>4640</v>
      </c>
      <c r="L619" s="387">
        <v>1</v>
      </c>
      <c r="M619" s="387">
        <v>0</v>
      </c>
      <c r="N619" s="387">
        <f t="shared" si="82"/>
        <v>1</v>
      </c>
      <c r="O619" s="442">
        <f t="shared" si="83"/>
        <v>0</v>
      </c>
      <c r="P619" s="387" t="s">
        <v>1358</v>
      </c>
      <c r="Q619" s="459">
        <v>0</v>
      </c>
      <c r="R619" s="459"/>
      <c r="S619" s="456">
        <v>0</v>
      </c>
      <c r="T619" s="456">
        <v>28.169</v>
      </c>
      <c r="U619" s="410"/>
      <c r="V619" s="411">
        <v>0</v>
      </c>
      <c r="W619" s="411">
        <v>0</v>
      </c>
      <c r="X619" s="411">
        <v>0</v>
      </c>
      <c r="Y619" s="411"/>
      <c r="Z619" s="411"/>
      <c r="AA619" s="412">
        <f t="shared" si="84"/>
        <v>0</v>
      </c>
      <c r="AB619" s="456">
        <f t="shared" si="85"/>
        <v>0</v>
      </c>
      <c r="AC619" s="456">
        <v>0</v>
      </c>
      <c r="AD619" s="2"/>
      <c r="AE619" s="4"/>
      <c r="AF619" s="5"/>
      <c r="AG619" s="428"/>
    </row>
    <row r="620" spans="2:33" hidden="1" x14ac:dyDescent="0.25">
      <c r="B620" s="1" t="s">
        <v>2701</v>
      </c>
      <c r="C620" s="3" t="s">
        <v>1368</v>
      </c>
      <c r="D620" s="3" t="s">
        <v>1247</v>
      </c>
      <c r="E620" s="407" t="s">
        <v>1430</v>
      </c>
      <c r="F620" s="3" t="s">
        <v>2011</v>
      </c>
      <c r="G620" s="407" t="s">
        <v>4488</v>
      </c>
      <c r="H620" s="440" t="s">
        <v>4109</v>
      </c>
      <c r="I620" s="407" t="s">
        <v>4309</v>
      </c>
      <c r="J620" s="407" t="s">
        <v>3790</v>
      </c>
      <c r="K620" s="387" t="s">
        <v>4641</v>
      </c>
      <c r="L620" s="387">
        <v>1</v>
      </c>
      <c r="M620" s="387">
        <v>0</v>
      </c>
      <c r="N620" s="387">
        <f t="shared" si="82"/>
        <v>1</v>
      </c>
      <c r="O620" s="442">
        <f t="shared" si="83"/>
        <v>0</v>
      </c>
      <c r="P620" s="387" t="s">
        <v>1358</v>
      </c>
      <c r="Q620" s="459">
        <v>0</v>
      </c>
      <c r="R620" s="459"/>
      <c r="S620" s="456">
        <v>0</v>
      </c>
      <c r="T620" s="456">
        <v>28.169</v>
      </c>
      <c r="U620" s="410"/>
      <c r="V620" s="411">
        <v>0</v>
      </c>
      <c r="W620" s="411">
        <v>0</v>
      </c>
      <c r="X620" s="411">
        <v>0</v>
      </c>
      <c r="Y620" s="411"/>
      <c r="Z620" s="411"/>
      <c r="AA620" s="412">
        <f t="shared" si="84"/>
        <v>0</v>
      </c>
      <c r="AB620" s="456">
        <f t="shared" si="85"/>
        <v>0</v>
      </c>
      <c r="AC620" s="456">
        <v>0</v>
      </c>
      <c r="AD620" s="2"/>
      <c r="AE620" s="4"/>
      <c r="AF620" s="5"/>
      <c r="AG620" s="428"/>
    </row>
    <row r="621" spans="2:33" hidden="1" x14ac:dyDescent="0.25">
      <c r="B621" s="1" t="s">
        <v>2702</v>
      </c>
      <c r="C621" s="3" t="s">
        <v>1368</v>
      </c>
      <c r="D621" s="3" t="s">
        <v>1247</v>
      </c>
      <c r="E621" s="407" t="s">
        <v>1431</v>
      </c>
      <c r="F621" s="3" t="s">
        <v>2012</v>
      </c>
      <c r="G621" s="407" t="s">
        <v>4489</v>
      </c>
      <c r="H621" s="440" t="s">
        <v>4109</v>
      </c>
      <c r="I621" s="407" t="s">
        <v>4310</v>
      </c>
      <c r="J621" s="407" t="s">
        <v>3791</v>
      </c>
      <c r="K621" s="387" t="s">
        <v>4642</v>
      </c>
      <c r="L621" s="387">
        <v>1</v>
      </c>
      <c r="M621" s="387">
        <v>0</v>
      </c>
      <c r="N621" s="387">
        <f t="shared" si="82"/>
        <v>1</v>
      </c>
      <c r="O621" s="442">
        <f t="shared" si="83"/>
        <v>0</v>
      </c>
      <c r="P621" s="387" t="s">
        <v>1358</v>
      </c>
      <c r="Q621" s="459">
        <v>0</v>
      </c>
      <c r="R621" s="459"/>
      <c r="S621" s="456">
        <v>0</v>
      </c>
      <c r="T621" s="456">
        <v>28.169</v>
      </c>
      <c r="U621" s="410"/>
      <c r="V621" s="411">
        <v>0</v>
      </c>
      <c r="W621" s="411">
        <v>0</v>
      </c>
      <c r="X621" s="411">
        <v>0</v>
      </c>
      <c r="Y621" s="411"/>
      <c r="Z621" s="411"/>
      <c r="AA621" s="412">
        <f t="shared" si="84"/>
        <v>0</v>
      </c>
      <c r="AB621" s="456">
        <f t="shared" si="85"/>
        <v>0</v>
      </c>
      <c r="AC621" s="456">
        <v>0</v>
      </c>
      <c r="AD621" s="2"/>
      <c r="AE621" s="4"/>
      <c r="AF621" s="5"/>
      <c r="AG621" s="428"/>
    </row>
    <row r="622" spans="2:33" hidden="1" x14ac:dyDescent="0.25">
      <c r="B622" s="1" t="s">
        <v>2703</v>
      </c>
      <c r="C622" s="3" t="s">
        <v>1368</v>
      </c>
      <c r="D622" s="3" t="s">
        <v>1247</v>
      </c>
      <c r="E622" s="407" t="s">
        <v>1433</v>
      </c>
      <c r="F622" s="3" t="s">
        <v>2013</v>
      </c>
      <c r="G622" s="407" t="s">
        <v>4490</v>
      </c>
      <c r="H622" s="440" t="s">
        <v>4109</v>
      </c>
      <c r="I622" s="407" t="s">
        <v>4311</v>
      </c>
      <c r="J622" s="407" t="s">
        <v>3792</v>
      </c>
      <c r="K622" s="387" t="s">
        <v>4644</v>
      </c>
      <c r="L622" s="387">
        <v>1</v>
      </c>
      <c r="M622" s="387">
        <v>0</v>
      </c>
      <c r="N622" s="387">
        <f t="shared" si="82"/>
        <v>1</v>
      </c>
      <c r="O622" s="442">
        <f t="shared" si="83"/>
        <v>0</v>
      </c>
      <c r="P622" s="387" t="s">
        <v>1358</v>
      </c>
      <c r="Q622" s="459">
        <v>0</v>
      </c>
      <c r="R622" s="459"/>
      <c r="S622" s="456">
        <v>0</v>
      </c>
      <c r="T622" s="456">
        <v>28.169</v>
      </c>
      <c r="U622" s="410"/>
      <c r="V622" s="411">
        <v>0</v>
      </c>
      <c r="W622" s="411">
        <v>0</v>
      </c>
      <c r="X622" s="411">
        <v>0</v>
      </c>
      <c r="Y622" s="411"/>
      <c r="Z622" s="411"/>
      <c r="AA622" s="412">
        <f t="shared" si="84"/>
        <v>0</v>
      </c>
      <c r="AB622" s="456">
        <f t="shared" si="85"/>
        <v>0</v>
      </c>
      <c r="AC622" s="456">
        <v>0</v>
      </c>
      <c r="AD622" s="2"/>
      <c r="AE622" s="4"/>
      <c r="AF622" s="5"/>
      <c r="AG622" s="428"/>
    </row>
    <row r="623" spans="2:33" hidden="1" x14ac:dyDescent="0.25">
      <c r="B623" s="1" t="s">
        <v>2704</v>
      </c>
      <c r="C623" s="3" t="s">
        <v>1368</v>
      </c>
      <c r="D623" s="3" t="s">
        <v>1247</v>
      </c>
      <c r="E623" s="407" t="s">
        <v>3306</v>
      </c>
      <c r="F623" s="3" t="s">
        <v>2014</v>
      </c>
      <c r="G623" s="407" t="s">
        <v>4484</v>
      </c>
      <c r="H623" s="440" t="s">
        <v>4109</v>
      </c>
      <c r="I623" s="407" t="s">
        <v>4305</v>
      </c>
      <c r="J623" s="407" t="s">
        <v>3786</v>
      </c>
      <c r="K623" s="387" t="s">
        <v>4636</v>
      </c>
      <c r="L623" s="387">
        <v>1</v>
      </c>
      <c r="M623" s="387">
        <v>0</v>
      </c>
      <c r="N623" s="387">
        <f t="shared" si="82"/>
        <v>1</v>
      </c>
      <c r="O623" s="442">
        <f t="shared" si="83"/>
        <v>0</v>
      </c>
      <c r="P623" s="387" t="s">
        <v>1358</v>
      </c>
      <c r="Q623" s="459">
        <v>0</v>
      </c>
      <c r="R623" s="459"/>
      <c r="S623" s="456">
        <v>0</v>
      </c>
      <c r="T623" s="456">
        <v>21.344999999999999</v>
      </c>
      <c r="U623" s="410"/>
      <c r="V623" s="411">
        <v>0</v>
      </c>
      <c r="W623" s="411">
        <v>0</v>
      </c>
      <c r="X623" s="411">
        <v>0</v>
      </c>
      <c r="Y623" s="411"/>
      <c r="Z623" s="411"/>
      <c r="AA623" s="412">
        <f t="shared" si="84"/>
        <v>0</v>
      </c>
      <c r="AB623" s="456">
        <f t="shared" si="85"/>
        <v>0</v>
      </c>
      <c r="AC623" s="456">
        <v>0</v>
      </c>
      <c r="AD623" s="2"/>
      <c r="AE623" s="4"/>
      <c r="AF623" s="5"/>
      <c r="AG623" s="428"/>
    </row>
    <row r="624" spans="2:33" hidden="1" x14ac:dyDescent="0.25">
      <c r="B624" s="1" t="s">
        <v>2705</v>
      </c>
      <c r="C624" s="3" t="s">
        <v>1368</v>
      </c>
      <c r="D624" s="3" t="s">
        <v>1247</v>
      </c>
      <c r="E624" s="407" t="s">
        <v>3294</v>
      </c>
      <c r="F624" s="3" t="s">
        <v>2015</v>
      </c>
      <c r="G624" s="407" t="s">
        <v>4500</v>
      </c>
      <c r="H624" s="440" t="s">
        <v>4109</v>
      </c>
      <c r="I624" s="407" t="s">
        <v>4321</v>
      </c>
      <c r="J624" s="407" t="s">
        <v>3755</v>
      </c>
      <c r="K624" s="387" t="s">
        <v>4654</v>
      </c>
      <c r="L624" s="387">
        <v>1</v>
      </c>
      <c r="M624" s="387">
        <v>0</v>
      </c>
      <c r="N624" s="387">
        <f t="shared" si="82"/>
        <v>1</v>
      </c>
      <c r="O624" s="442">
        <f t="shared" si="83"/>
        <v>1</v>
      </c>
      <c r="P624" s="387" t="s">
        <v>1358</v>
      </c>
      <c r="Q624" s="459">
        <v>0</v>
      </c>
      <c r="R624" s="459"/>
      <c r="S624" s="456">
        <v>0</v>
      </c>
      <c r="T624" s="456">
        <v>25.097999999999999</v>
      </c>
      <c r="U624" s="410"/>
      <c r="V624" s="411">
        <v>1</v>
      </c>
      <c r="W624" s="411">
        <v>1</v>
      </c>
      <c r="X624" s="411">
        <v>1</v>
      </c>
      <c r="Y624" s="411"/>
      <c r="Z624" s="411"/>
      <c r="AA624" s="412">
        <f t="shared" si="84"/>
        <v>1</v>
      </c>
      <c r="AB624" s="456">
        <f t="shared" si="85"/>
        <v>25.097999999999999</v>
      </c>
      <c r="AC624" s="456">
        <v>0</v>
      </c>
      <c r="AD624" s="2"/>
      <c r="AE624" s="4"/>
      <c r="AF624" s="5"/>
      <c r="AG624" s="428"/>
    </row>
    <row r="625" spans="2:33" hidden="1" x14ac:dyDescent="0.25">
      <c r="B625" s="1" t="s">
        <v>2706</v>
      </c>
      <c r="C625" s="3" t="s">
        <v>1368</v>
      </c>
      <c r="D625" s="3" t="s">
        <v>1247</v>
      </c>
      <c r="E625" s="407" t="s">
        <v>1374</v>
      </c>
      <c r="F625" s="3" t="s">
        <v>2016</v>
      </c>
      <c r="G625" s="407" t="s">
        <v>4495</v>
      </c>
      <c r="H625" s="440" t="s">
        <v>4109</v>
      </c>
      <c r="I625" s="407" t="s">
        <v>4316</v>
      </c>
      <c r="J625" s="407" t="s">
        <v>3757</v>
      </c>
      <c r="K625" s="387" t="s">
        <v>4665</v>
      </c>
      <c r="L625" s="387">
        <v>2</v>
      </c>
      <c r="M625" s="387">
        <v>0</v>
      </c>
      <c r="N625" s="387">
        <f t="shared" si="82"/>
        <v>2</v>
      </c>
      <c r="O625" s="442">
        <f t="shared" si="83"/>
        <v>2.0000000000000004</v>
      </c>
      <c r="P625" s="387" t="s">
        <v>1358</v>
      </c>
      <c r="Q625" s="459">
        <v>0</v>
      </c>
      <c r="R625" s="459"/>
      <c r="S625" s="456">
        <v>0</v>
      </c>
      <c r="T625" s="456">
        <v>51.7</v>
      </c>
      <c r="U625" s="410"/>
      <c r="V625" s="411">
        <v>1</v>
      </c>
      <c r="W625" s="411">
        <v>1</v>
      </c>
      <c r="X625" s="411">
        <v>1</v>
      </c>
      <c r="Y625" s="411"/>
      <c r="Z625" s="411"/>
      <c r="AA625" s="412">
        <f t="shared" si="84"/>
        <v>1.0000000000000002</v>
      </c>
      <c r="AB625" s="456">
        <f t="shared" si="85"/>
        <v>51.70000000000001</v>
      </c>
      <c r="AC625" s="456">
        <v>0</v>
      </c>
      <c r="AD625" s="2"/>
      <c r="AE625" s="4"/>
      <c r="AF625" s="5"/>
      <c r="AG625" s="428"/>
    </row>
    <row r="626" spans="2:33" hidden="1" x14ac:dyDescent="0.25">
      <c r="B626" s="1" t="s">
        <v>2707</v>
      </c>
      <c r="C626" s="3" t="s">
        <v>1368</v>
      </c>
      <c r="D626" s="3" t="s">
        <v>1247</v>
      </c>
      <c r="E626" s="407" t="s">
        <v>1377</v>
      </c>
      <c r="F626" s="3" t="s">
        <v>2017</v>
      </c>
      <c r="G626" s="407" t="s">
        <v>4494</v>
      </c>
      <c r="H626" s="440" t="s">
        <v>4109</v>
      </c>
      <c r="I626" s="407" t="s">
        <v>4315</v>
      </c>
      <c r="J626" s="407" t="s">
        <v>3749</v>
      </c>
      <c r="K626" s="387" t="s">
        <v>4648</v>
      </c>
      <c r="L626" s="387">
        <v>1</v>
      </c>
      <c r="M626" s="387">
        <v>0</v>
      </c>
      <c r="N626" s="387">
        <f t="shared" si="82"/>
        <v>1</v>
      </c>
      <c r="O626" s="442">
        <f t="shared" si="83"/>
        <v>1.0000000000000002</v>
      </c>
      <c r="P626" s="387" t="s">
        <v>1358</v>
      </c>
      <c r="Q626" s="459">
        <v>0</v>
      </c>
      <c r="R626" s="459"/>
      <c r="S626" s="456">
        <v>0</v>
      </c>
      <c r="T626" s="456">
        <v>25.85</v>
      </c>
      <c r="U626" s="410"/>
      <c r="V626" s="411">
        <v>1</v>
      </c>
      <c r="W626" s="411">
        <v>1</v>
      </c>
      <c r="X626" s="411">
        <v>1</v>
      </c>
      <c r="Y626" s="411"/>
      <c r="Z626" s="411"/>
      <c r="AA626" s="412">
        <f t="shared" si="84"/>
        <v>1.0000000000000002</v>
      </c>
      <c r="AB626" s="456">
        <f t="shared" si="85"/>
        <v>25.850000000000005</v>
      </c>
      <c r="AC626" s="456">
        <v>0</v>
      </c>
      <c r="AD626" s="2"/>
      <c r="AE626" s="4"/>
      <c r="AF626" s="5"/>
      <c r="AG626" s="428"/>
    </row>
    <row r="627" spans="2:33" hidden="1" x14ac:dyDescent="0.25">
      <c r="B627" s="1" t="s">
        <v>2708</v>
      </c>
      <c r="C627" s="3" t="s">
        <v>1368</v>
      </c>
      <c r="D627" s="3" t="s">
        <v>1247</v>
      </c>
      <c r="E627" s="407" t="s">
        <v>1379</v>
      </c>
      <c r="F627" s="3" t="s">
        <v>2018</v>
      </c>
      <c r="G627" s="407" t="s">
        <v>4502</v>
      </c>
      <c r="H627" s="440" t="s">
        <v>4109</v>
      </c>
      <c r="I627" s="407" t="s">
        <v>4323</v>
      </c>
      <c r="J627" s="407" t="s">
        <v>3750</v>
      </c>
      <c r="K627" s="387" t="s">
        <v>4632</v>
      </c>
      <c r="L627" s="387">
        <v>1</v>
      </c>
      <c r="M627" s="387">
        <v>0</v>
      </c>
      <c r="N627" s="387">
        <f t="shared" si="82"/>
        <v>1</v>
      </c>
      <c r="O627" s="442">
        <f t="shared" si="83"/>
        <v>1.0000000000000002</v>
      </c>
      <c r="P627" s="387" t="s">
        <v>1358</v>
      </c>
      <c r="Q627" s="459">
        <v>0</v>
      </c>
      <c r="R627" s="459"/>
      <c r="S627" s="456">
        <v>0</v>
      </c>
      <c r="T627" s="456">
        <v>25.85</v>
      </c>
      <c r="U627" s="410"/>
      <c r="V627" s="411">
        <v>1</v>
      </c>
      <c r="W627" s="411">
        <v>1</v>
      </c>
      <c r="X627" s="411">
        <v>1</v>
      </c>
      <c r="Y627" s="411"/>
      <c r="Z627" s="411"/>
      <c r="AA627" s="412">
        <f t="shared" si="84"/>
        <v>1.0000000000000002</v>
      </c>
      <c r="AB627" s="456">
        <f t="shared" si="85"/>
        <v>25.850000000000005</v>
      </c>
      <c r="AC627" s="456">
        <v>0</v>
      </c>
      <c r="AD627" s="2"/>
      <c r="AE627" s="4"/>
      <c r="AF627" s="5"/>
      <c r="AG627" s="428"/>
    </row>
    <row r="628" spans="2:33" hidden="1" x14ac:dyDescent="0.25">
      <c r="B628" s="1" t="s">
        <v>2709</v>
      </c>
      <c r="C628" s="3" t="s">
        <v>1368</v>
      </c>
      <c r="D628" s="3" t="s">
        <v>1247</v>
      </c>
      <c r="E628" s="407" t="s">
        <v>1381</v>
      </c>
      <c r="F628" s="3" t="s">
        <v>2019</v>
      </c>
      <c r="G628" s="407" t="s">
        <v>4497</v>
      </c>
      <c r="H628" s="440" t="s">
        <v>4109</v>
      </c>
      <c r="I628" s="407" t="s">
        <v>4318</v>
      </c>
      <c r="J628" s="407" t="s">
        <v>3751</v>
      </c>
      <c r="K628" s="387" t="s">
        <v>4631</v>
      </c>
      <c r="L628" s="387">
        <v>1</v>
      </c>
      <c r="M628" s="387">
        <v>0</v>
      </c>
      <c r="N628" s="387">
        <f t="shared" si="82"/>
        <v>1</v>
      </c>
      <c r="O628" s="442">
        <f t="shared" si="83"/>
        <v>1.0000000000000002</v>
      </c>
      <c r="P628" s="387" t="s">
        <v>1358</v>
      </c>
      <c r="Q628" s="459">
        <v>0</v>
      </c>
      <c r="R628" s="459"/>
      <c r="S628" s="456">
        <v>0</v>
      </c>
      <c r="T628" s="456">
        <v>25.850999999999999</v>
      </c>
      <c r="U628" s="410"/>
      <c r="V628" s="411">
        <v>1</v>
      </c>
      <c r="W628" s="411">
        <v>1</v>
      </c>
      <c r="X628" s="411">
        <v>1</v>
      </c>
      <c r="Y628" s="411"/>
      <c r="Z628" s="411"/>
      <c r="AA628" s="412">
        <f t="shared" si="84"/>
        <v>1.0000000000000002</v>
      </c>
      <c r="AB628" s="456">
        <f t="shared" si="85"/>
        <v>25.851000000000003</v>
      </c>
      <c r="AC628" s="456">
        <v>0</v>
      </c>
      <c r="AD628" s="2"/>
      <c r="AE628" s="4"/>
      <c r="AF628" s="5"/>
      <c r="AG628" s="428"/>
    </row>
    <row r="629" spans="2:33" hidden="1" x14ac:dyDescent="0.25">
      <c r="B629" s="1" t="s">
        <v>2710</v>
      </c>
      <c r="C629" s="3" t="s">
        <v>1368</v>
      </c>
      <c r="D629" s="3" t="s">
        <v>1247</v>
      </c>
      <c r="E629" s="407" t="s">
        <v>1396</v>
      </c>
      <c r="F629" s="3" t="s">
        <v>2020</v>
      </c>
      <c r="G629" s="407" t="s">
        <v>4498</v>
      </c>
      <c r="H629" s="440" t="s">
        <v>4109</v>
      </c>
      <c r="I629" s="407" t="s">
        <v>4319</v>
      </c>
      <c r="J629" s="407" t="s">
        <v>3752</v>
      </c>
      <c r="K629" s="387" t="s">
        <v>4652</v>
      </c>
      <c r="L629" s="387">
        <v>1</v>
      </c>
      <c r="M629" s="387">
        <v>0</v>
      </c>
      <c r="N629" s="387">
        <f t="shared" si="82"/>
        <v>1</v>
      </c>
      <c r="O629" s="442">
        <f t="shared" si="83"/>
        <v>1.0000000000000002</v>
      </c>
      <c r="P629" s="387" t="s">
        <v>1358</v>
      </c>
      <c r="Q629" s="459">
        <v>0</v>
      </c>
      <c r="R629" s="459"/>
      <c r="S629" s="456">
        <v>0</v>
      </c>
      <c r="T629" s="456">
        <v>25.850999999999999</v>
      </c>
      <c r="U629" s="410"/>
      <c r="V629" s="411">
        <v>1</v>
      </c>
      <c r="W629" s="411">
        <v>1</v>
      </c>
      <c r="X629" s="411">
        <v>1</v>
      </c>
      <c r="Y629" s="411"/>
      <c r="Z629" s="411"/>
      <c r="AA629" s="412">
        <f t="shared" si="84"/>
        <v>1.0000000000000002</v>
      </c>
      <c r="AB629" s="456">
        <f t="shared" si="85"/>
        <v>25.851000000000003</v>
      </c>
      <c r="AC629" s="456">
        <v>0</v>
      </c>
      <c r="AD629" s="2"/>
      <c r="AE629" s="4"/>
      <c r="AF629" s="5"/>
      <c r="AG629" s="428"/>
    </row>
    <row r="630" spans="2:33" hidden="1" x14ac:dyDescent="0.25">
      <c r="B630" s="1" t="s">
        <v>2711</v>
      </c>
      <c r="C630" s="3" t="s">
        <v>1368</v>
      </c>
      <c r="D630" s="3" t="s">
        <v>1247</v>
      </c>
      <c r="E630" s="407" t="s">
        <v>1399</v>
      </c>
      <c r="F630" s="3" t="s">
        <v>2021</v>
      </c>
      <c r="G630" s="407" t="s">
        <v>4499</v>
      </c>
      <c r="H630" s="440" t="s">
        <v>4109</v>
      </c>
      <c r="I630" s="407" t="s">
        <v>4320</v>
      </c>
      <c r="J630" s="407" t="s">
        <v>3758</v>
      </c>
      <c r="K630" s="387" t="s">
        <v>4653</v>
      </c>
      <c r="L630" s="387">
        <v>1</v>
      </c>
      <c r="M630" s="387">
        <v>0</v>
      </c>
      <c r="N630" s="387">
        <f t="shared" si="82"/>
        <v>1</v>
      </c>
      <c r="O630" s="442">
        <f t="shared" si="83"/>
        <v>1.0000000000000002</v>
      </c>
      <c r="P630" s="387" t="s">
        <v>1358</v>
      </c>
      <c r="Q630" s="459">
        <v>0</v>
      </c>
      <c r="R630" s="459"/>
      <c r="S630" s="456">
        <v>0</v>
      </c>
      <c r="T630" s="456">
        <v>25.850999999999999</v>
      </c>
      <c r="U630" s="410"/>
      <c r="V630" s="411">
        <v>1</v>
      </c>
      <c r="W630" s="411">
        <v>1</v>
      </c>
      <c r="X630" s="411">
        <v>1</v>
      </c>
      <c r="Y630" s="411"/>
      <c r="Z630" s="411"/>
      <c r="AA630" s="412">
        <f t="shared" si="84"/>
        <v>1.0000000000000002</v>
      </c>
      <c r="AB630" s="456">
        <f t="shared" si="85"/>
        <v>25.851000000000003</v>
      </c>
      <c r="AC630" s="456">
        <v>0</v>
      </c>
      <c r="AD630" s="2"/>
      <c r="AE630" s="4"/>
      <c r="AF630" s="5"/>
      <c r="AG630" s="428"/>
    </row>
    <row r="631" spans="2:33" hidden="1" x14ac:dyDescent="0.25">
      <c r="B631" s="1" t="s">
        <v>2712</v>
      </c>
      <c r="C631" s="3" t="s">
        <v>1368</v>
      </c>
      <c r="D631" s="3" t="s">
        <v>1247</v>
      </c>
      <c r="E631" s="407" t="s">
        <v>1400</v>
      </c>
      <c r="F631" s="3" t="s">
        <v>2022</v>
      </c>
      <c r="G631" s="407" t="s">
        <v>4477</v>
      </c>
      <c r="H631" s="440" t="s">
        <v>4109</v>
      </c>
      <c r="I631" s="407" t="s">
        <v>4298</v>
      </c>
      <c r="J631" s="407" t="s">
        <v>3779</v>
      </c>
      <c r="K631" s="387" t="s">
        <v>4656</v>
      </c>
      <c r="L631" s="387">
        <v>1</v>
      </c>
      <c r="M631" s="387">
        <v>0</v>
      </c>
      <c r="N631" s="387">
        <f t="shared" si="82"/>
        <v>1</v>
      </c>
      <c r="O631" s="442">
        <f t="shared" si="83"/>
        <v>0</v>
      </c>
      <c r="P631" s="387" t="s">
        <v>1358</v>
      </c>
      <c r="Q631" s="459">
        <v>0</v>
      </c>
      <c r="R631" s="459"/>
      <c r="S631" s="456">
        <v>0</v>
      </c>
      <c r="T631" s="456">
        <v>25.850999999999999</v>
      </c>
      <c r="U631" s="410"/>
      <c r="V631" s="411">
        <v>0</v>
      </c>
      <c r="W631" s="411">
        <v>0</v>
      </c>
      <c r="X631" s="411">
        <v>0</v>
      </c>
      <c r="Y631" s="411"/>
      <c r="Z631" s="411"/>
      <c r="AA631" s="412">
        <f t="shared" si="84"/>
        <v>0</v>
      </c>
      <c r="AB631" s="456">
        <f t="shared" si="85"/>
        <v>0</v>
      </c>
      <c r="AC631" s="456">
        <v>0</v>
      </c>
      <c r="AD631" s="2"/>
      <c r="AE631" s="4"/>
      <c r="AF631" s="5"/>
      <c r="AG631" s="428"/>
    </row>
    <row r="632" spans="2:33" hidden="1" x14ac:dyDescent="0.25">
      <c r="B632" s="1" t="s">
        <v>2713</v>
      </c>
      <c r="C632" s="3" t="s">
        <v>1368</v>
      </c>
      <c r="D632" s="3" t="s">
        <v>1247</v>
      </c>
      <c r="E632" s="407" t="s">
        <v>1401</v>
      </c>
      <c r="F632" s="3" t="s">
        <v>2023</v>
      </c>
      <c r="G632" s="407" t="s">
        <v>4478</v>
      </c>
      <c r="H632" s="440" t="s">
        <v>4109</v>
      </c>
      <c r="I632" s="407" t="s">
        <v>4299</v>
      </c>
      <c r="J632" s="407" t="s">
        <v>3780</v>
      </c>
      <c r="K632" s="387" t="s">
        <v>4657</v>
      </c>
      <c r="L632" s="387">
        <v>2</v>
      </c>
      <c r="M632" s="387">
        <v>0</v>
      </c>
      <c r="N632" s="387">
        <f t="shared" ref="N632:N695" si="88">L632+M632</f>
        <v>2</v>
      </c>
      <c r="O632" s="442">
        <f t="shared" ref="O632:O695" si="89">L632*AA632</f>
        <v>0</v>
      </c>
      <c r="P632" s="387" t="s">
        <v>1358</v>
      </c>
      <c r="Q632" s="459">
        <v>0</v>
      </c>
      <c r="R632" s="459"/>
      <c r="S632" s="456">
        <v>0</v>
      </c>
      <c r="T632" s="456">
        <v>37.506</v>
      </c>
      <c r="U632" s="410"/>
      <c r="V632" s="411">
        <v>0</v>
      </c>
      <c r="W632" s="411">
        <v>0</v>
      </c>
      <c r="X632" s="411">
        <v>0</v>
      </c>
      <c r="Y632" s="411"/>
      <c r="Z632" s="411"/>
      <c r="AA632" s="412">
        <f t="shared" ref="AA632:AA695" si="90">AB632/T632</f>
        <v>0</v>
      </c>
      <c r="AB632" s="456">
        <f t="shared" ref="AB632:AB695" si="91">(V632*V$369*T632)+(W632*W$369*T632)+(X632*X$369*T632)</f>
        <v>0</v>
      </c>
      <c r="AC632" s="456">
        <v>0</v>
      </c>
      <c r="AD632" s="2"/>
      <c r="AE632" s="4"/>
      <c r="AF632" s="5"/>
      <c r="AG632" s="428"/>
    </row>
    <row r="633" spans="2:33" hidden="1" x14ac:dyDescent="0.25">
      <c r="B633" s="1" t="s">
        <v>2714</v>
      </c>
      <c r="C633" s="3" t="s">
        <v>1368</v>
      </c>
      <c r="D633" s="3" t="s">
        <v>1247</v>
      </c>
      <c r="E633" s="407" t="s">
        <v>3294</v>
      </c>
      <c r="F633" s="3" t="s">
        <v>2024</v>
      </c>
      <c r="G633" s="407" t="s">
        <v>4500</v>
      </c>
      <c r="H633" s="440" t="s">
        <v>4109</v>
      </c>
      <c r="I633" s="407" t="s">
        <v>4321</v>
      </c>
      <c r="J633" s="407" t="s">
        <v>3755</v>
      </c>
      <c r="K633" s="387" t="s">
        <v>4654</v>
      </c>
      <c r="L633" s="387">
        <v>1</v>
      </c>
      <c r="M633" s="387">
        <v>0</v>
      </c>
      <c r="N633" s="387">
        <f t="shared" si="88"/>
        <v>1</v>
      </c>
      <c r="O633" s="442">
        <f t="shared" si="89"/>
        <v>1</v>
      </c>
      <c r="P633" s="387" t="s">
        <v>1358</v>
      </c>
      <c r="Q633" s="459">
        <v>0</v>
      </c>
      <c r="R633" s="459"/>
      <c r="S633" s="456">
        <v>0</v>
      </c>
      <c r="T633" s="456">
        <v>25.097999999999999</v>
      </c>
      <c r="U633" s="410"/>
      <c r="V633" s="411">
        <v>1</v>
      </c>
      <c r="W633" s="411">
        <v>1</v>
      </c>
      <c r="X633" s="411">
        <v>1</v>
      </c>
      <c r="Y633" s="411"/>
      <c r="Z633" s="411"/>
      <c r="AA633" s="412">
        <f t="shared" si="90"/>
        <v>1</v>
      </c>
      <c r="AB633" s="456">
        <f t="shared" si="91"/>
        <v>25.097999999999999</v>
      </c>
      <c r="AC633" s="456">
        <v>0</v>
      </c>
      <c r="AD633" s="2"/>
      <c r="AE633" s="4"/>
      <c r="AF633" s="5"/>
      <c r="AG633" s="428"/>
    </row>
    <row r="634" spans="2:33" hidden="1" x14ac:dyDescent="0.25">
      <c r="B634" s="1" t="s">
        <v>2715</v>
      </c>
      <c r="C634" s="3" t="s">
        <v>1368</v>
      </c>
      <c r="D634" s="3" t="s">
        <v>1247</v>
      </c>
      <c r="E634" s="407" t="s">
        <v>1374</v>
      </c>
      <c r="F634" s="3" t="s">
        <v>2025</v>
      </c>
      <c r="G634" s="407" t="s">
        <v>4495</v>
      </c>
      <c r="H634" s="440" t="s">
        <v>4109</v>
      </c>
      <c r="I634" s="407" t="s">
        <v>4316</v>
      </c>
      <c r="J634" s="407" t="s">
        <v>3757</v>
      </c>
      <c r="K634" s="387" t="s">
        <v>4665</v>
      </c>
      <c r="L634" s="387">
        <v>2</v>
      </c>
      <c r="M634" s="387">
        <v>0</v>
      </c>
      <c r="N634" s="387">
        <f t="shared" si="88"/>
        <v>2</v>
      </c>
      <c r="O634" s="442">
        <f t="shared" si="89"/>
        <v>2.0000000000000004</v>
      </c>
      <c r="P634" s="387" t="s">
        <v>1358</v>
      </c>
      <c r="Q634" s="459">
        <v>0</v>
      </c>
      <c r="R634" s="459"/>
      <c r="S634" s="456">
        <v>0</v>
      </c>
      <c r="T634" s="456">
        <v>50.14</v>
      </c>
      <c r="U634" s="410"/>
      <c r="V634" s="411">
        <v>1</v>
      </c>
      <c r="W634" s="411">
        <v>1</v>
      </c>
      <c r="X634" s="411">
        <v>1</v>
      </c>
      <c r="Y634" s="411"/>
      <c r="Z634" s="411"/>
      <c r="AA634" s="412">
        <f t="shared" si="90"/>
        <v>1.0000000000000002</v>
      </c>
      <c r="AB634" s="456">
        <f t="shared" si="91"/>
        <v>50.140000000000008</v>
      </c>
      <c r="AC634" s="456">
        <v>0</v>
      </c>
      <c r="AD634" s="2"/>
      <c r="AE634" s="4"/>
      <c r="AF634" s="5"/>
      <c r="AG634" s="428"/>
    </row>
    <row r="635" spans="2:33" hidden="1" x14ac:dyDescent="0.25">
      <c r="B635" s="1" t="s">
        <v>2716</v>
      </c>
      <c r="C635" s="3" t="s">
        <v>1368</v>
      </c>
      <c r="D635" s="3" t="s">
        <v>1247</v>
      </c>
      <c r="E635" s="407" t="s">
        <v>1377</v>
      </c>
      <c r="F635" s="3" t="s">
        <v>2026</v>
      </c>
      <c r="G635" s="407" t="s">
        <v>4494</v>
      </c>
      <c r="H635" s="440" t="s">
        <v>4109</v>
      </c>
      <c r="I635" s="407" t="s">
        <v>4315</v>
      </c>
      <c r="J635" s="407" t="s">
        <v>3749</v>
      </c>
      <c r="K635" s="387" t="s">
        <v>4648</v>
      </c>
      <c r="L635" s="387">
        <v>1</v>
      </c>
      <c r="M635" s="387">
        <v>0</v>
      </c>
      <c r="N635" s="387">
        <f t="shared" si="88"/>
        <v>1</v>
      </c>
      <c r="O635" s="442">
        <f t="shared" si="89"/>
        <v>1.0000000000000002</v>
      </c>
      <c r="P635" s="387" t="s">
        <v>1358</v>
      </c>
      <c r="Q635" s="459">
        <v>0</v>
      </c>
      <c r="R635" s="459"/>
      <c r="S635" s="456">
        <v>0</v>
      </c>
      <c r="T635" s="456">
        <v>25.07</v>
      </c>
      <c r="U635" s="410"/>
      <c r="V635" s="411">
        <v>1</v>
      </c>
      <c r="W635" s="411">
        <v>1</v>
      </c>
      <c r="X635" s="411">
        <v>1</v>
      </c>
      <c r="Y635" s="411"/>
      <c r="Z635" s="411"/>
      <c r="AA635" s="412">
        <f t="shared" si="90"/>
        <v>1.0000000000000002</v>
      </c>
      <c r="AB635" s="456">
        <f t="shared" si="91"/>
        <v>25.070000000000004</v>
      </c>
      <c r="AC635" s="456">
        <v>0</v>
      </c>
      <c r="AD635" s="2"/>
      <c r="AE635" s="4"/>
      <c r="AF635" s="5"/>
      <c r="AG635" s="428"/>
    </row>
    <row r="636" spans="2:33" hidden="1" x14ac:dyDescent="0.25">
      <c r="B636" s="1" t="s">
        <v>2717</v>
      </c>
      <c r="C636" s="3" t="s">
        <v>1368</v>
      </c>
      <c r="D636" s="3" t="s">
        <v>1247</v>
      </c>
      <c r="E636" s="407" t="s">
        <v>1379</v>
      </c>
      <c r="F636" s="3" t="s">
        <v>2027</v>
      </c>
      <c r="G636" s="407" t="s">
        <v>4502</v>
      </c>
      <c r="H636" s="440" t="s">
        <v>4109</v>
      </c>
      <c r="I636" s="407" t="s">
        <v>4323</v>
      </c>
      <c r="J636" s="407" t="s">
        <v>3750</v>
      </c>
      <c r="K636" s="387" t="s">
        <v>4632</v>
      </c>
      <c r="L636" s="387">
        <v>1</v>
      </c>
      <c r="M636" s="387">
        <v>0</v>
      </c>
      <c r="N636" s="387">
        <f t="shared" si="88"/>
        <v>1</v>
      </c>
      <c r="O636" s="442">
        <f t="shared" si="89"/>
        <v>1.0000000000000002</v>
      </c>
      <c r="P636" s="387" t="s">
        <v>1358</v>
      </c>
      <c r="Q636" s="459">
        <v>0</v>
      </c>
      <c r="R636" s="459"/>
      <c r="S636" s="456">
        <v>0</v>
      </c>
      <c r="T636" s="456">
        <v>25.07</v>
      </c>
      <c r="U636" s="410"/>
      <c r="V636" s="411">
        <v>1</v>
      </c>
      <c r="W636" s="411">
        <v>1</v>
      </c>
      <c r="X636" s="411">
        <v>1</v>
      </c>
      <c r="Y636" s="411"/>
      <c r="Z636" s="411"/>
      <c r="AA636" s="412">
        <f t="shared" si="90"/>
        <v>1.0000000000000002</v>
      </c>
      <c r="AB636" s="456">
        <f t="shared" si="91"/>
        <v>25.070000000000004</v>
      </c>
      <c r="AC636" s="456">
        <v>0</v>
      </c>
      <c r="AD636" s="2"/>
      <c r="AE636" s="4"/>
      <c r="AF636" s="5"/>
      <c r="AG636" s="428"/>
    </row>
    <row r="637" spans="2:33" hidden="1" x14ac:dyDescent="0.25">
      <c r="B637" s="1" t="s">
        <v>2718</v>
      </c>
      <c r="C637" s="3" t="s">
        <v>1368</v>
      </c>
      <c r="D637" s="3" t="s">
        <v>1247</v>
      </c>
      <c r="E637" s="407" t="s">
        <v>1381</v>
      </c>
      <c r="F637" s="3" t="s">
        <v>2028</v>
      </c>
      <c r="G637" s="407" t="s">
        <v>4497</v>
      </c>
      <c r="H637" s="440" t="s">
        <v>4109</v>
      </c>
      <c r="I637" s="407" t="s">
        <v>4318</v>
      </c>
      <c r="J637" s="407" t="s">
        <v>3751</v>
      </c>
      <c r="K637" s="387" t="s">
        <v>4631</v>
      </c>
      <c r="L637" s="387">
        <v>1</v>
      </c>
      <c r="M637" s="387">
        <v>0</v>
      </c>
      <c r="N637" s="387">
        <f t="shared" si="88"/>
        <v>1</v>
      </c>
      <c r="O637" s="442">
        <f t="shared" si="89"/>
        <v>1.0000000000000002</v>
      </c>
      <c r="P637" s="387" t="s">
        <v>1358</v>
      </c>
      <c r="Q637" s="459">
        <v>0</v>
      </c>
      <c r="R637" s="459"/>
      <c r="S637" s="456">
        <v>0</v>
      </c>
      <c r="T637" s="456">
        <v>25.07</v>
      </c>
      <c r="U637" s="410"/>
      <c r="V637" s="411">
        <v>1</v>
      </c>
      <c r="W637" s="411">
        <v>1</v>
      </c>
      <c r="X637" s="411">
        <v>1</v>
      </c>
      <c r="Y637" s="411"/>
      <c r="Z637" s="411"/>
      <c r="AA637" s="412">
        <f t="shared" si="90"/>
        <v>1.0000000000000002</v>
      </c>
      <c r="AB637" s="456">
        <f t="shared" si="91"/>
        <v>25.070000000000004</v>
      </c>
      <c r="AC637" s="456">
        <v>0</v>
      </c>
      <c r="AD637" s="2"/>
      <c r="AE637" s="4"/>
      <c r="AF637" s="5"/>
      <c r="AG637" s="428"/>
    </row>
    <row r="638" spans="2:33" hidden="1" x14ac:dyDescent="0.25">
      <c r="B638" s="1" t="s">
        <v>2719</v>
      </c>
      <c r="C638" s="3" t="s">
        <v>1368</v>
      </c>
      <c r="D638" s="3" t="s">
        <v>1247</v>
      </c>
      <c r="E638" s="407" t="s">
        <v>1396</v>
      </c>
      <c r="F638" s="3" t="s">
        <v>2029</v>
      </c>
      <c r="G638" s="407" t="s">
        <v>4498</v>
      </c>
      <c r="H638" s="440" t="s">
        <v>4109</v>
      </c>
      <c r="I638" s="407" t="s">
        <v>4319</v>
      </c>
      <c r="J638" s="407" t="s">
        <v>3752</v>
      </c>
      <c r="K638" s="387" t="s">
        <v>4652</v>
      </c>
      <c r="L638" s="387">
        <v>1</v>
      </c>
      <c r="M638" s="387">
        <v>0</v>
      </c>
      <c r="N638" s="387">
        <f t="shared" si="88"/>
        <v>1</v>
      </c>
      <c r="O638" s="442">
        <f t="shared" si="89"/>
        <v>1.0000000000000002</v>
      </c>
      <c r="P638" s="387" t="s">
        <v>1358</v>
      </c>
      <c r="Q638" s="459">
        <v>0</v>
      </c>
      <c r="R638" s="459"/>
      <c r="S638" s="456">
        <v>0</v>
      </c>
      <c r="T638" s="456">
        <v>25.07</v>
      </c>
      <c r="U638" s="410"/>
      <c r="V638" s="411">
        <v>1</v>
      </c>
      <c r="W638" s="411">
        <v>1</v>
      </c>
      <c r="X638" s="411">
        <v>1</v>
      </c>
      <c r="Y638" s="411"/>
      <c r="Z638" s="411"/>
      <c r="AA638" s="412">
        <f t="shared" si="90"/>
        <v>1.0000000000000002</v>
      </c>
      <c r="AB638" s="456">
        <f t="shared" si="91"/>
        <v>25.070000000000004</v>
      </c>
      <c r="AC638" s="456">
        <v>0</v>
      </c>
      <c r="AD638" s="2"/>
      <c r="AE638" s="4"/>
      <c r="AF638" s="5"/>
      <c r="AG638" s="428"/>
    </row>
    <row r="639" spans="2:33" hidden="1" x14ac:dyDescent="0.25">
      <c r="B639" s="1" t="s">
        <v>2720</v>
      </c>
      <c r="C639" s="3" t="s">
        <v>1368</v>
      </c>
      <c r="D639" s="3" t="s">
        <v>1247</v>
      </c>
      <c r="E639" s="407" t="s">
        <v>1399</v>
      </c>
      <c r="F639" s="3" t="s">
        <v>2030</v>
      </c>
      <c r="G639" s="407" t="s">
        <v>4499</v>
      </c>
      <c r="H639" s="440" t="s">
        <v>4109</v>
      </c>
      <c r="I639" s="407" t="s">
        <v>4320</v>
      </c>
      <c r="J639" s="407" t="s">
        <v>3758</v>
      </c>
      <c r="K639" s="387" t="s">
        <v>4653</v>
      </c>
      <c r="L639" s="387">
        <v>1</v>
      </c>
      <c r="M639" s="387">
        <v>0</v>
      </c>
      <c r="N639" s="387">
        <f t="shared" si="88"/>
        <v>1</v>
      </c>
      <c r="O639" s="442">
        <f t="shared" si="89"/>
        <v>0</v>
      </c>
      <c r="P639" s="387" t="s">
        <v>1358</v>
      </c>
      <c r="Q639" s="459">
        <v>0</v>
      </c>
      <c r="R639" s="459"/>
      <c r="S639" s="456">
        <v>0</v>
      </c>
      <c r="T639" s="456">
        <v>25.07</v>
      </c>
      <c r="U639" s="410"/>
      <c r="V639" s="411">
        <v>0</v>
      </c>
      <c r="W639" s="411">
        <v>0</v>
      </c>
      <c r="X639" s="411">
        <v>0</v>
      </c>
      <c r="Y639" s="411"/>
      <c r="Z639" s="411"/>
      <c r="AA639" s="412">
        <f t="shared" si="90"/>
        <v>0</v>
      </c>
      <c r="AB639" s="456">
        <f t="shared" si="91"/>
        <v>0</v>
      </c>
      <c r="AC639" s="456">
        <v>0</v>
      </c>
      <c r="AD639" s="2"/>
      <c r="AE639" s="4"/>
      <c r="AF639" s="5"/>
      <c r="AG639" s="428"/>
    </row>
    <row r="640" spans="2:33" hidden="1" x14ac:dyDescent="0.25">
      <c r="B640" s="1" t="s">
        <v>2721</v>
      </c>
      <c r="C640" s="3" t="s">
        <v>1368</v>
      </c>
      <c r="D640" s="3" t="s">
        <v>1247</v>
      </c>
      <c r="E640" s="407" t="s">
        <v>1400</v>
      </c>
      <c r="F640" s="3" t="s">
        <v>2031</v>
      </c>
      <c r="G640" s="407" t="s">
        <v>4477</v>
      </c>
      <c r="H640" s="440" t="s">
        <v>4109</v>
      </c>
      <c r="I640" s="407" t="s">
        <v>4298</v>
      </c>
      <c r="J640" s="407" t="s">
        <v>3779</v>
      </c>
      <c r="K640" s="387" t="s">
        <v>4656</v>
      </c>
      <c r="L640" s="387">
        <v>1</v>
      </c>
      <c r="M640" s="387">
        <v>0</v>
      </c>
      <c r="N640" s="387">
        <f t="shared" si="88"/>
        <v>1</v>
      </c>
      <c r="O640" s="442">
        <f t="shared" si="89"/>
        <v>1.0000000000000002</v>
      </c>
      <c r="P640" s="387" t="s">
        <v>1358</v>
      </c>
      <c r="Q640" s="459">
        <v>0</v>
      </c>
      <c r="R640" s="459"/>
      <c r="S640" s="456">
        <v>0</v>
      </c>
      <c r="T640" s="456">
        <v>25.07</v>
      </c>
      <c r="U640" s="410"/>
      <c r="V640" s="411">
        <v>1</v>
      </c>
      <c r="W640" s="411">
        <v>1</v>
      </c>
      <c r="X640" s="411">
        <v>1</v>
      </c>
      <c r="Y640" s="411"/>
      <c r="Z640" s="411"/>
      <c r="AA640" s="412">
        <f t="shared" si="90"/>
        <v>1.0000000000000002</v>
      </c>
      <c r="AB640" s="456">
        <f t="shared" si="91"/>
        <v>25.070000000000004</v>
      </c>
      <c r="AC640" s="456">
        <v>0</v>
      </c>
      <c r="AD640" s="2"/>
      <c r="AE640" s="4"/>
      <c r="AF640" s="5"/>
      <c r="AG640" s="428"/>
    </row>
    <row r="641" spans="2:33" hidden="1" x14ac:dyDescent="0.25">
      <c r="B641" s="1" t="s">
        <v>2722</v>
      </c>
      <c r="C641" s="3" t="s">
        <v>1368</v>
      </c>
      <c r="D641" s="3" t="s">
        <v>1247</v>
      </c>
      <c r="E641" s="407" t="s">
        <v>1401</v>
      </c>
      <c r="F641" s="3" t="s">
        <v>2032</v>
      </c>
      <c r="G641" s="407" t="s">
        <v>4478</v>
      </c>
      <c r="H641" s="440" t="s">
        <v>4109</v>
      </c>
      <c r="I641" s="407" t="s">
        <v>4299</v>
      </c>
      <c r="J641" s="407" t="s">
        <v>3780</v>
      </c>
      <c r="K641" s="387" t="s">
        <v>4657</v>
      </c>
      <c r="L641" s="387">
        <v>1</v>
      </c>
      <c r="M641" s="387">
        <v>0</v>
      </c>
      <c r="N641" s="387">
        <f t="shared" si="88"/>
        <v>1</v>
      </c>
      <c r="O641" s="442">
        <f t="shared" si="89"/>
        <v>0</v>
      </c>
      <c r="P641" s="387" t="s">
        <v>1358</v>
      </c>
      <c r="Q641" s="459">
        <v>0</v>
      </c>
      <c r="R641" s="459"/>
      <c r="S641" s="456">
        <v>0</v>
      </c>
      <c r="T641" s="456">
        <v>25.07</v>
      </c>
      <c r="U641" s="410"/>
      <c r="V641" s="411">
        <v>0</v>
      </c>
      <c r="W641" s="411">
        <v>0</v>
      </c>
      <c r="X641" s="411">
        <v>0</v>
      </c>
      <c r="Y641" s="411"/>
      <c r="Z641" s="411"/>
      <c r="AA641" s="412">
        <f t="shared" si="90"/>
        <v>0</v>
      </c>
      <c r="AB641" s="456">
        <f t="shared" si="91"/>
        <v>0</v>
      </c>
      <c r="AC641" s="456">
        <v>0</v>
      </c>
      <c r="AD641" s="2"/>
      <c r="AE641" s="4"/>
      <c r="AF641" s="5"/>
      <c r="AG641" s="428"/>
    </row>
    <row r="642" spans="2:33" hidden="1" x14ac:dyDescent="0.25">
      <c r="B642" s="1" t="s">
        <v>2723</v>
      </c>
      <c r="C642" s="3" t="s">
        <v>1368</v>
      </c>
      <c r="D642" s="3" t="s">
        <v>1247</v>
      </c>
      <c r="E642" s="407" t="s">
        <v>1402</v>
      </c>
      <c r="F642" s="3" t="s">
        <v>2033</v>
      </c>
      <c r="G642" s="407" t="s">
        <v>4481</v>
      </c>
      <c r="H642" s="440" t="s">
        <v>4109</v>
      </c>
      <c r="I642" s="407" t="s">
        <v>4302</v>
      </c>
      <c r="J642" s="407" t="s">
        <v>3783</v>
      </c>
      <c r="K642" s="387" t="s">
        <v>4659</v>
      </c>
      <c r="L642" s="387">
        <v>1</v>
      </c>
      <c r="M642" s="387">
        <v>0</v>
      </c>
      <c r="N642" s="387">
        <f t="shared" si="88"/>
        <v>1</v>
      </c>
      <c r="O642" s="442">
        <f t="shared" si="89"/>
        <v>0</v>
      </c>
      <c r="P642" s="387" t="s">
        <v>1358</v>
      </c>
      <c r="Q642" s="459">
        <v>0</v>
      </c>
      <c r="R642" s="459"/>
      <c r="S642" s="456">
        <v>0</v>
      </c>
      <c r="T642" s="456">
        <v>25.85</v>
      </c>
      <c r="U642" s="410"/>
      <c r="V642" s="411">
        <v>0</v>
      </c>
      <c r="W642" s="411">
        <v>0</v>
      </c>
      <c r="X642" s="411">
        <v>0</v>
      </c>
      <c r="Y642" s="411"/>
      <c r="Z642" s="411"/>
      <c r="AA642" s="412">
        <f t="shared" si="90"/>
        <v>0</v>
      </c>
      <c r="AB642" s="456">
        <f t="shared" si="91"/>
        <v>0</v>
      </c>
      <c r="AC642" s="456">
        <v>0</v>
      </c>
      <c r="AD642" s="2"/>
      <c r="AE642" s="4"/>
      <c r="AF642" s="5"/>
      <c r="AG642" s="428"/>
    </row>
    <row r="643" spans="2:33" hidden="1" x14ac:dyDescent="0.25">
      <c r="B643" s="1" t="s">
        <v>2724</v>
      </c>
      <c r="C643" s="3" t="s">
        <v>1368</v>
      </c>
      <c r="D643" s="3" t="s">
        <v>1247</v>
      </c>
      <c r="E643" s="407" t="s">
        <v>3546</v>
      </c>
      <c r="F643" s="3" t="s">
        <v>2034</v>
      </c>
      <c r="G643" s="407" t="s">
        <v>4482</v>
      </c>
      <c r="H643" s="440" t="s">
        <v>4109</v>
      </c>
      <c r="I643" s="407" t="s">
        <v>4303</v>
      </c>
      <c r="J643" s="407" t="s">
        <v>3784</v>
      </c>
      <c r="K643" s="387" t="s">
        <v>4660</v>
      </c>
      <c r="L643" s="387">
        <v>1</v>
      </c>
      <c r="M643" s="387">
        <v>0</v>
      </c>
      <c r="N643" s="387">
        <f t="shared" si="88"/>
        <v>1</v>
      </c>
      <c r="O643" s="442">
        <f t="shared" si="89"/>
        <v>0</v>
      </c>
      <c r="P643" s="387" t="s">
        <v>1358</v>
      </c>
      <c r="Q643" s="459">
        <v>0</v>
      </c>
      <c r="R643" s="459"/>
      <c r="S643" s="456">
        <v>0</v>
      </c>
      <c r="T643" s="456">
        <v>25.85</v>
      </c>
      <c r="U643" s="410"/>
      <c r="V643" s="411">
        <v>0</v>
      </c>
      <c r="W643" s="411">
        <v>0</v>
      </c>
      <c r="X643" s="411">
        <v>0</v>
      </c>
      <c r="Y643" s="411"/>
      <c r="Z643" s="411"/>
      <c r="AA643" s="412">
        <f t="shared" si="90"/>
        <v>0</v>
      </c>
      <c r="AB643" s="456">
        <f t="shared" si="91"/>
        <v>0</v>
      </c>
      <c r="AC643" s="456">
        <v>0</v>
      </c>
      <c r="AD643" s="2"/>
      <c r="AE643" s="4"/>
      <c r="AF643" s="5"/>
      <c r="AG643" s="428"/>
    </row>
    <row r="644" spans="2:33" hidden="1" x14ac:dyDescent="0.25">
      <c r="B644" s="1" t="s">
        <v>2725</v>
      </c>
      <c r="C644" s="3" t="s">
        <v>1368</v>
      </c>
      <c r="D644" s="3" t="s">
        <v>1247</v>
      </c>
      <c r="E644" s="407" t="s">
        <v>3547</v>
      </c>
      <c r="F644" s="3" t="s">
        <v>2035</v>
      </c>
      <c r="G644" s="407" t="s">
        <v>4501</v>
      </c>
      <c r="H644" s="440" t="s">
        <v>4109</v>
      </c>
      <c r="I644" s="407" t="s">
        <v>4322</v>
      </c>
      <c r="J644" s="407" t="s">
        <v>3797</v>
      </c>
      <c r="K644" s="387" t="s">
        <v>4655</v>
      </c>
      <c r="L644" s="387">
        <v>1</v>
      </c>
      <c r="M644" s="387">
        <v>0</v>
      </c>
      <c r="N644" s="387">
        <f t="shared" si="88"/>
        <v>1</v>
      </c>
      <c r="O644" s="442">
        <f t="shared" si="89"/>
        <v>0</v>
      </c>
      <c r="P644" s="387" t="s">
        <v>1358</v>
      </c>
      <c r="Q644" s="459">
        <v>0</v>
      </c>
      <c r="R644" s="459"/>
      <c r="S644" s="456">
        <v>0</v>
      </c>
      <c r="T644" s="456">
        <v>25.85</v>
      </c>
      <c r="U644" s="410"/>
      <c r="V644" s="411">
        <v>0</v>
      </c>
      <c r="W644" s="411">
        <v>0</v>
      </c>
      <c r="X644" s="411">
        <v>0</v>
      </c>
      <c r="Y644" s="411"/>
      <c r="Z644" s="411"/>
      <c r="AA644" s="412">
        <f t="shared" si="90"/>
        <v>0</v>
      </c>
      <c r="AB644" s="456">
        <f t="shared" si="91"/>
        <v>0</v>
      </c>
      <c r="AC644" s="456">
        <v>0</v>
      </c>
      <c r="AD644" s="2"/>
      <c r="AE644" s="4"/>
      <c r="AF644" s="5"/>
      <c r="AG644" s="428"/>
    </row>
    <row r="645" spans="2:33" hidden="1" x14ac:dyDescent="0.25">
      <c r="B645" s="1" t="s">
        <v>2726</v>
      </c>
      <c r="C645" s="3" t="s">
        <v>1368</v>
      </c>
      <c r="D645" s="3" t="s">
        <v>1247</v>
      </c>
      <c r="E645" s="407" t="s">
        <v>1397</v>
      </c>
      <c r="F645" s="3" t="s">
        <v>2036</v>
      </c>
      <c r="G645" s="407" t="s">
        <v>4493</v>
      </c>
      <c r="H645" s="440" t="s">
        <v>4109</v>
      </c>
      <c r="I645" s="407" t="s">
        <v>4314</v>
      </c>
      <c r="J645" s="407" t="s">
        <v>3795</v>
      </c>
      <c r="K645" s="387" t="s">
        <v>4647</v>
      </c>
      <c r="L645" s="387">
        <v>1</v>
      </c>
      <c r="M645" s="387">
        <v>0</v>
      </c>
      <c r="N645" s="387">
        <f t="shared" si="88"/>
        <v>1</v>
      </c>
      <c r="O645" s="442">
        <f t="shared" si="89"/>
        <v>1</v>
      </c>
      <c r="P645" s="387" t="s">
        <v>1358</v>
      </c>
      <c r="Q645" s="459">
        <v>0</v>
      </c>
      <c r="R645" s="459"/>
      <c r="S645" s="456">
        <v>0</v>
      </c>
      <c r="T645" s="456">
        <v>18.753</v>
      </c>
      <c r="U645" s="410"/>
      <c r="V645" s="411">
        <v>1</v>
      </c>
      <c r="W645" s="411">
        <v>1</v>
      </c>
      <c r="X645" s="411">
        <v>1</v>
      </c>
      <c r="Y645" s="411"/>
      <c r="Z645" s="411"/>
      <c r="AA645" s="412">
        <f t="shared" si="90"/>
        <v>1</v>
      </c>
      <c r="AB645" s="456">
        <f t="shared" si="91"/>
        <v>18.753</v>
      </c>
      <c r="AC645" s="456">
        <v>0</v>
      </c>
      <c r="AD645" s="2"/>
      <c r="AE645" s="4"/>
      <c r="AF645" s="5"/>
      <c r="AG645" s="428"/>
    </row>
    <row r="646" spans="2:33" hidden="1" x14ac:dyDescent="0.25">
      <c r="B646" s="1" t="s">
        <v>2727</v>
      </c>
      <c r="C646" s="3" t="s">
        <v>1368</v>
      </c>
      <c r="D646" s="3" t="s">
        <v>1247</v>
      </c>
      <c r="E646" s="407" t="s">
        <v>1398</v>
      </c>
      <c r="F646" s="3" t="s">
        <v>2037</v>
      </c>
      <c r="G646" s="407" t="s">
        <v>4496</v>
      </c>
      <c r="H646" s="440" t="s">
        <v>4109</v>
      </c>
      <c r="I646" s="407" t="s">
        <v>4317</v>
      </c>
      <c r="J646" s="407" t="s">
        <v>3796</v>
      </c>
      <c r="K646" s="387" t="s">
        <v>4650</v>
      </c>
      <c r="L646" s="387">
        <v>1</v>
      </c>
      <c r="M646" s="387">
        <v>0</v>
      </c>
      <c r="N646" s="387">
        <f t="shared" si="88"/>
        <v>1</v>
      </c>
      <c r="O646" s="442">
        <f t="shared" si="89"/>
        <v>1</v>
      </c>
      <c r="P646" s="387" t="s">
        <v>1358</v>
      </c>
      <c r="Q646" s="459">
        <v>0</v>
      </c>
      <c r="R646" s="459"/>
      <c r="S646" s="456">
        <v>0</v>
      </c>
      <c r="T646" s="456">
        <v>18.753</v>
      </c>
      <c r="U646" s="410"/>
      <c r="V646" s="411">
        <v>1</v>
      </c>
      <c r="W646" s="411">
        <v>1</v>
      </c>
      <c r="X646" s="411">
        <v>1</v>
      </c>
      <c r="Y646" s="411"/>
      <c r="Z646" s="411"/>
      <c r="AA646" s="412">
        <f t="shared" si="90"/>
        <v>1</v>
      </c>
      <c r="AB646" s="456">
        <f t="shared" si="91"/>
        <v>18.753</v>
      </c>
      <c r="AC646" s="456">
        <v>0</v>
      </c>
      <c r="AD646" s="2"/>
      <c r="AE646" s="4"/>
      <c r="AF646" s="5"/>
      <c r="AG646" s="428"/>
    </row>
    <row r="647" spans="2:33" hidden="1" x14ac:dyDescent="0.25">
      <c r="B647" s="1" t="s">
        <v>2728</v>
      </c>
      <c r="C647" s="3" t="s">
        <v>1368</v>
      </c>
      <c r="D647" s="3" t="s">
        <v>1247</v>
      </c>
      <c r="E647" s="407" t="s">
        <v>1374</v>
      </c>
      <c r="F647" s="3" t="s">
        <v>2038</v>
      </c>
      <c r="G647" s="407" t="s">
        <v>4495</v>
      </c>
      <c r="H647" s="440" t="s">
        <v>4109</v>
      </c>
      <c r="I647" s="407" t="s">
        <v>4316</v>
      </c>
      <c r="J647" s="407" t="s">
        <v>3757</v>
      </c>
      <c r="K647" s="387" t="s">
        <v>4649</v>
      </c>
      <c r="L647" s="387">
        <v>1</v>
      </c>
      <c r="M647" s="387">
        <v>0</v>
      </c>
      <c r="N647" s="387">
        <f t="shared" si="88"/>
        <v>1</v>
      </c>
      <c r="O647" s="442">
        <f t="shared" si="89"/>
        <v>1.0000000000000002</v>
      </c>
      <c r="P647" s="387" t="s">
        <v>1358</v>
      </c>
      <c r="Q647" s="459">
        <v>0</v>
      </c>
      <c r="R647" s="459"/>
      <c r="S647" s="456">
        <v>0</v>
      </c>
      <c r="T647" s="456">
        <v>31.096</v>
      </c>
      <c r="U647" s="410"/>
      <c r="V647" s="411">
        <v>1</v>
      </c>
      <c r="W647" s="411">
        <v>1</v>
      </c>
      <c r="X647" s="411">
        <v>1</v>
      </c>
      <c r="Y647" s="411"/>
      <c r="Z647" s="411"/>
      <c r="AA647" s="412">
        <f t="shared" si="90"/>
        <v>1.0000000000000002</v>
      </c>
      <c r="AB647" s="456">
        <f t="shared" si="91"/>
        <v>31.096000000000004</v>
      </c>
      <c r="AC647" s="456">
        <v>0</v>
      </c>
      <c r="AD647" s="2"/>
      <c r="AE647" s="4"/>
      <c r="AF647" s="5"/>
      <c r="AG647" s="428"/>
    </row>
    <row r="648" spans="2:33" hidden="1" x14ac:dyDescent="0.25">
      <c r="B648" s="1" t="s">
        <v>2729</v>
      </c>
      <c r="C648" s="3" t="s">
        <v>1368</v>
      </c>
      <c r="D648" s="3" t="s">
        <v>1247</v>
      </c>
      <c r="E648" s="407" t="s">
        <v>1377</v>
      </c>
      <c r="F648" s="3" t="s">
        <v>2039</v>
      </c>
      <c r="G648" s="407" t="s">
        <v>4494</v>
      </c>
      <c r="H648" s="440" t="s">
        <v>4109</v>
      </c>
      <c r="I648" s="407" t="s">
        <v>4315</v>
      </c>
      <c r="J648" s="407" t="s">
        <v>3749</v>
      </c>
      <c r="K648" s="387" t="s">
        <v>4648</v>
      </c>
      <c r="L648" s="387">
        <v>1</v>
      </c>
      <c r="M648" s="387">
        <v>0</v>
      </c>
      <c r="N648" s="387">
        <f t="shared" si="88"/>
        <v>1</v>
      </c>
      <c r="O648" s="442">
        <f t="shared" si="89"/>
        <v>1.0000000000000002</v>
      </c>
      <c r="P648" s="387" t="s">
        <v>1358</v>
      </c>
      <c r="Q648" s="459">
        <v>0</v>
      </c>
      <c r="R648" s="459"/>
      <c r="S648" s="456">
        <v>0</v>
      </c>
      <c r="T648" s="456">
        <v>31.096</v>
      </c>
      <c r="U648" s="410"/>
      <c r="V648" s="411">
        <v>1</v>
      </c>
      <c r="W648" s="411">
        <v>1</v>
      </c>
      <c r="X648" s="411">
        <v>1</v>
      </c>
      <c r="Y648" s="411"/>
      <c r="Z648" s="411"/>
      <c r="AA648" s="412">
        <f t="shared" si="90"/>
        <v>1.0000000000000002</v>
      </c>
      <c r="AB648" s="456">
        <f t="shared" si="91"/>
        <v>31.096000000000004</v>
      </c>
      <c r="AC648" s="456">
        <v>0</v>
      </c>
      <c r="AD648" s="2"/>
      <c r="AE648" s="4"/>
      <c r="AF648" s="5"/>
      <c r="AG648" s="428"/>
    </row>
    <row r="649" spans="2:33" hidden="1" x14ac:dyDescent="0.25">
      <c r="B649" s="1" t="s">
        <v>2730</v>
      </c>
      <c r="C649" s="3" t="s">
        <v>1368</v>
      </c>
      <c r="D649" s="3" t="s">
        <v>1247</v>
      </c>
      <c r="E649" s="407" t="s">
        <v>1379</v>
      </c>
      <c r="F649" s="3" t="s">
        <v>2040</v>
      </c>
      <c r="G649" s="407" t="s">
        <v>4502</v>
      </c>
      <c r="H649" s="440" t="s">
        <v>4109</v>
      </c>
      <c r="I649" s="407" t="s">
        <v>4323</v>
      </c>
      <c r="J649" s="407" t="s">
        <v>3750</v>
      </c>
      <c r="K649" s="387" t="s">
        <v>4632</v>
      </c>
      <c r="L649" s="387">
        <v>1</v>
      </c>
      <c r="M649" s="387">
        <v>0</v>
      </c>
      <c r="N649" s="387">
        <f t="shared" si="88"/>
        <v>1</v>
      </c>
      <c r="O649" s="442">
        <f t="shared" si="89"/>
        <v>1.0000000000000002</v>
      </c>
      <c r="P649" s="387" t="s">
        <v>1358</v>
      </c>
      <c r="Q649" s="459">
        <v>0</v>
      </c>
      <c r="R649" s="459"/>
      <c r="S649" s="456">
        <v>0</v>
      </c>
      <c r="T649" s="456">
        <v>31.096</v>
      </c>
      <c r="U649" s="410"/>
      <c r="V649" s="411">
        <v>1</v>
      </c>
      <c r="W649" s="411">
        <v>1</v>
      </c>
      <c r="X649" s="411">
        <v>1</v>
      </c>
      <c r="Y649" s="411"/>
      <c r="Z649" s="411"/>
      <c r="AA649" s="412">
        <f t="shared" si="90"/>
        <v>1.0000000000000002</v>
      </c>
      <c r="AB649" s="456">
        <f t="shared" si="91"/>
        <v>31.096000000000004</v>
      </c>
      <c r="AC649" s="456">
        <v>0</v>
      </c>
      <c r="AD649" s="2"/>
      <c r="AE649" s="4"/>
      <c r="AF649" s="5"/>
      <c r="AG649" s="428"/>
    </row>
    <row r="650" spans="2:33" hidden="1" x14ac:dyDescent="0.25">
      <c r="B650" s="1" t="s">
        <v>2731</v>
      </c>
      <c r="C650" s="3" t="s">
        <v>1368</v>
      </c>
      <c r="D650" s="3" t="s">
        <v>1247</v>
      </c>
      <c r="E650" s="407" t="s">
        <v>1381</v>
      </c>
      <c r="F650" s="3" t="s">
        <v>2041</v>
      </c>
      <c r="G650" s="407" t="s">
        <v>4497</v>
      </c>
      <c r="H650" s="440" t="s">
        <v>4109</v>
      </c>
      <c r="I650" s="407" t="s">
        <v>4318</v>
      </c>
      <c r="J650" s="407" t="s">
        <v>3751</v>
      </c>
      <c r="K650" s="387" t="s">
        <v>4630</v>
      </c>
      <c r="L650" s="387">
        <v>2</v>
      </c>
      <c r="M650" s="387">
        <v>0</v>
      </c>
      <c r="N650" s="387">
        <f t="shared" si="88"/>
        <v>2</v>
      </c>
      <c r="O650" s="442">
        <f t="shared" si="89"/>
        <v>2.0000000000000004</v>
      </c>
      <c r="P650" s="387" t="s">
        <v>1358</v>
      </c>
      <c r="Q650" s="459">
        <v>0</v>
      </c>
      <c r="R650" s="459"/>
      <c r="S650" s="456">
        <v>0</v>
      </c>
      <c r="T650" s="456">
        <v>62</v>
      </c>
      <c r="U650" s="410"/>
      <c r="V650" s="411">
        <v>1</v>
      </c>
      <c r="W650" s="411">
        <v>1</v>
      </c>
      <c r="X650" s="411">
        <v>1</v>
      </c>
      <c r="Y650" s="411"/>
      <c r="Z650" s="411"/>
      <c r="AA650" s="412">
        <f t="shared" si="90"/>
        <v>1.0000000000000002</v>
      </c>
      <c r="AB650" s="456">
        <f t="shared" si="91"/>
        <v>62.000000000000007</v>
      </c>
      <c r="AC650" s="456">
        <v>0</v>
      </c>
      <c r="AD650" s="2"/>
      <c r="AE650" s="4"/>
      <c r="AF650" s="5"/>
      <c r="AG650" s="428"/>
    </row>
    <row r="651" spans="2:33" hidden="1" x14ac:dyDescent="0.25">
      <c r="B651" s="1" t="s">
        <v>2732</v>
      </c>
      <c r="C651" s="3" t="s">
        <v>1368</v>
      </c>
      <c r="D651" s="3" t="s">
        <v>1247</v>
      </c>
      <c r="E651" s="407" t="s">
        <v>1396</v>
      </c>
      <c r="F651" s="3" t="s">
        <v>2042</v>
      </c>
      <c r="G651" s="407" t="s">
        <v>4498</v>
      </c>
      <c r="H651" s="440" t="s">
        <v>4109</v>
      </c>
      <c r="I651" s="407" t="s">
        <v>4319</v>
      </c>
      <c r="J651" s="407" t="s">
        <v>3752</v>
      </c>
      <c r="K651" s="387" t="s">
        <v>4652</v>
      </c>
      <c r="L651" s="387">
        <v>1</v>
      </c>
      <c r="M651" s="387">
        <v>0</v>
      </c>
      <c r="N651" s="387">
        <f t="shared" si="88"/>
        <v>1</v>
      </c>
      <c r="O651" s="442">
        <f t="shared" si="89"/>
        <v>1.0000000000000002</v>
      </c>
      <c r="P651" s="387" t="s">
        <v>1358</v>
      </c>
      <c r="Q651" s="459">
        <v>0</v>
      </c>
      <c r="R651" s="459"/>
      <c r="S651" s="456">
        <v>0</v>
      </c>
      <c r="T651" s="456">
        <v>31.096</v>
      </c>
      <c r="U651" s="410"/>
      <c r="V651" s="411">
        <v>1</v>
      </c>
      <c r="W651" s="411">
        <v>1</v>
      </c>
      <c r="X651" s="411">
        <v>1</v>
      </c>
      <c r="Y651" s="411"/>
      <c r="Z651" s="411"/>
      <c r="AA651" s="412">
        <f t="shared" si="90"/>
        <v>1.0000000000000002</v>
      </c>
      <c r="AB651" s="456">
        <f t="shared" si="91"/>
        <v>31.096000000000004</v>
      </c>
      <c r="AC651" s="456">
        <v>0</v>
      </c>
      <c r="AD651" s="2"/>
      <c r="AE651" s="4"/>
      <c r="AF651" s="5"/>
      <c r="AG651" s="428"/>
    </row>
    <row r="652" spans="2:33" hidden="1" x14ac:dyDescent="0.25">
      <c r="B652" s="1" t="s">
        <v>2733</v>
      </c>
      <c r="C652" s="3" t="s">
        <v>1368</v>
      </c>
      <c r="D652" s="3" t="s">
        <v>1247</v>
      </c>
      <c r="E652" s="407" t="s">
        <v>1399</v>
      </c>
      <c r="F652" s="3" t="s">
        <v>2043</v>
      </c>
      <c r="G652" s="407" t="s">
        <v>4499</v>
      </c>
      <c r="H652" s="440" t="s">
        <v>4109</v>
      </c>
      <c r="I652" s="407" t="s">
        <v>4320</v>
      </c>
      <c r="J652" s="407" t="s">
        <v>3758</v>
      </c>
      <c r="K652" s="387" t="s">
        <v>5156</v>
      </c>
      <c r="L652" s="387">
        <v>1</v>
      </c>
      <c r="M652" s="387">
        <v>1</v>
      </c>
      <c r="N652" s="387">
        <f t="shared" si="88"/>
        <v>2</v>
      </c>
      <c r="O652" s="442">
        <f t="shared" si="89"/>
        <v>1.0000000000000002</v>
      </c>
      <c r="P652" s="387" t="s">
        <v>1358</v>
      </c>
      <c r="Q652" s="459">
        <v>0</v>
      </c>
      <c r="R652" s="459"/>
      <c r="S652" s="456">
        <v>0</v>
      </c>
      <c r="T652" s="456">
        <v>62.192</v>
      </c>
      <c r="U652" s="410"/>
      <c r="V652" s="411">
        <v>1</v>
      </c>
      <c r="W652" s="411">
        <v>1</v>
      </c>
      <c r="X652" s="411">
        <v>1</v>
      </c>
      <c r="Y652" s="411"/>
      <c r="Z652" s="411"/>
      <c r="AA652" s="412">
        <f t="shared" si="90"/>
        <v>1.0000000000000002</v>
      </c>
      <c r="AB652" s="456">
        <f t="shared" si="91"/>
        <v>62.192000000000007</v>
      </c>
      <c r="AC652" s="456">
        <v>0</v>
      </c>
      <c r="AD652" s="2"/>
      <c r="AE652" s="4"/>
      <c r="AF652" s="5"/>
      <c r="AG652" s="428"/>
    </row>
    <row r="653" spans="2:33" hidden="1" x14ac:dyDescent="0.25">
      <c r="B653" s="1" t="s">
        <v>2734</v>
      </c>
      <c r="C653" s="3" t="s">
        <v>1368</v>
      </c>
      <c r="D653" s="3" t="s">
        <v>1247</v>
      </c>
      <c r="E653" s="407" t="s">
        <v>1400</v>
      </c>
      <c r="F653" s="3" t="s">
        <v>2044</v>
      </c>
      <c r="G653" s="407" t="s">
        <v>4477</v>
      </c>
      <c r="H653" s="440" t="s">
        <v>4109</v>
      </c>
      <c r="I653" s="407" t="s">
        <v>4298</v>
      </c>
      <c r="J653" s="407" t="s">
        <v>3779</v>
      </c>
      <c r="K653" s="387" t="s">
        <v>4656</v>
      </c>
      <c r="L653" s="387">
        <v>1</v>
      </c>
      <c r="M653" s="387">
        <v>0</v>
      </c>
      <c r="N653" s="387">
        <f t="shared" si="88"/>
        <v>1</v>
      </c>
      <c r="O653" s="442">
        <f t="shared" si="89"/>
        <v>1.0000000000000002</v>
      </c>
      <c r="P653" s="387" t="s">
        <v>1358</v>
      </c>
      <c r="Q653" s="459">
        <v>0</v>
      </c>
      <c r="R653" s="459"/>
      <c r="S653" s="456">
        <v>0</v>
      </c>
      <c r="T653" s="456">
        <v>31.096</v>
      </c>
      <c r="U653" s="410"/>
      <c r="V653" s="411">
        <v>1</v>
      </c>
      <c r="W653" s="411">
        <v>1</v>
      </c>
      <c r="X653" s="411">
        <v>1</v>
      </c>
      <c r="Y653" s="411"/>
      <c r="Z653" s="411"/>
      <c r="AA653" s="412">
        <f t="shared" si="90"/>
        <v>1.0000000000000002</v>
      </c>
      <c r="AB653" s="456">
        <f t="shared" si="91"/>
        <v>31.096000000000004</v>
      </c>
      <c r="AC653" s="456">
        <v>0</v>
      </c>
      <c r="AD653" s="2"/>
      <c r="AE653" s="4"/>
      <c r="AF653" s="5"/>
      <c r="AG653" s="428"/>
    </row>
    <row r="654" spans="2:33" hidden="1" x14ac:dyDescent="0.25">
      <c r="B654" s="1" t="s">
        <v>2735</v>
      </c>
      <c r="C654" s="3" t="s">
        <v>1368</v>
      </c>
      <c r="D654" s="3" t="s">
        <v>1247</v>
      </c>
      <c r="E654" s="407" t="s">
        <v>1401</v>
      </c>
      <c r="F654" s="3" t="s">
        <v>2045</v>
      </c>
      <c r="G654" s="407" t="s">
        <v>4478</v>
      </c>
      <c r="H654" s="440" t="s">
        <v>4109</v>
      </c>
      <c r="I654" s="407" t="s">
        <v>4299</v>
      </c>
      <c r="J654" s="407" t="s">
        <v>3780</v>
      </c>
      <c r="K654" s="387" t="s">
        <v>4657</v>
      </c>
      <c r="L654" s="387">
        <v>1</v>
      </c>
      <c r="M654" s="387">
        <v>0</v>
      </c>
      <c r="N654" s="387">
        <f t="shared" si="88"/>
        <v>1</v>
      </c>
      <c r="O654" s="442">
        <f t="shared" si="89"/>
        <v>0</v>
      </c>
      <c r="P654" s="387" t="s">
        <v>1358</v>
      </c>
      <c r="Q654" s="459">
        <v>0</v>
      </c>
      <c r="R654" s="459"/>
      <c r="S654" s="456">
        <v>0</v>
      </c>
      <c r="T654" s="456">
        <v>31.096</v>
      </c>
      <c r="U654" s="410"/>
      <c r="V654" s="411">
        <v>0</v>
      </c>
      <c r="W654" s="411">
        <v>0</v>
      </c>
      <c r="X654" s="411">
        <v>0</v>
      </c>
      <c r="Y654" s="411"/>
      <c r="Z654" s="411"/>
      <c r="AA654" s="412">
        <f t="shared" si="90"/>
        <v>0</v>
      </c>
      <c r="AB654" s="456">
        <f t="shared" si="91"/>
        <v>0</v>
      </c>
      <c r="AC654" s="456">
        <v>0</v>
      </c>
      <c r="AD654" s="2"/>
      <c r="AE654" s="4"/>
      <c r="AF654" s="5"/>
      <c r="AG654" s="428"/>
    </row>
    <row r="655" spans="2:33" hidden="1" x14ac:dyDescent="0.25">
      <c r="B655" s="1" t="s">
        <v>2736</v>
      </c>
      <c r="C655" s="3" t="s">
        <v>1368</v>
      </c>
      <c r="D655" s="3" t="s">
        <v>1247</v>
      </c>
      <c r="E655" s="407" t="s">
        <v>1426</v>
      </c>
      <c r="F655" s="3" t="s">
        <v>2046</v>
      </c>
      <c r="G655" s="407" t="s">
        <v>4480</v>
      </c>
      <c r="H655" s="440" t="s">
        <v>4109</v>
      </c>
      <c r="I655" s="407" t="s">
        <v>4301</v>
      </c>
      <c r="J655" s="407" t="s">
        <v>3782</v>
      </c>
      <c r="K655" s="387" t="s">
        <v>4637</v>
      </c>
      <c r="L655" s="387">
        <v>2</v>
      </c>
      <c r="M655" s="387">
        <v>0</v>
      </c>
      <c r="N655" s="387">
        <f t="shared" si="88"/>
        <v>2</v>
      </c>
      <c r="O655" s="442">
        <f t="shared" si="89"/>
        <v>0</v>
      </c>
      <c r="P655" s="387" t="s">
        <v>1358</v>
      </c>
      <c r="Q655" s="459">
        <v>0</v>
      </c>
      <c r="R655" s="459"/>
      <c r="S655" s="456">
        <v>0</v>
      </c>
      <c r="T655" s="456">
        <v>37.536000000000001</v>
      </c>
      <c r="U655" s="410"/>
      <c r="V655" s="411">
        <v>0</v>
      </c>
      <c r="W655" s="411">
        <v>0</v>
      </c>
      <c r="X655" s="411">
        <v>0</v>
      </c>
      <c r="Y655" s="411"/>
      <c r="Z655" s="411"/>
      <c r="AA655" s="412">
        <f t="shared" si="90"/>
        <v>0</v>
      </c>
      <c r="AB655" s="456">
        <f t="shared" si="91"/>
        <v>0</v>
      </c>
      <c r="AC655" s="456">
        <v>0</v>
      </c>
      <c r="AD655" s="2"/>
      <c r="AE655" s="4"/>
      <c r="AF655" s="5"/>
      <c r="AG655" s="428"/>
    </row>
    <row r="656" spans="2:33" hidden="1" x14ac:dyDescent="0.25">
      <c r="B656" s="1" t="s">
        <v>2737</v>
      </c>
      <c r="C656" s="3" t="s">
        <v>1368</v>
      </c>
      <c r="D656" s="3" t="s">
        <v>1247</v>
      </c>
      <c r="E656" s="407" t="s">
        <v>1402</v>
      </c>
      <c r="F656" s="3" t="s">
        <v>2047</v>
      </c>
      <c r="G656" s="407" t="s">
        <v>4481</v>
      </c>
      <c r="H656" s="440" t="s">
        <v>4109</v>
      </c>
      <c r="I656" s="407" t="s">
        <v>4302</v>
      </c>
      <c r="J656" s="407" t="s">
        <v>3783</v>
      </c>
      <c r="K656" s="387" t="s">
        <v>4659</v>
      </c>
      <c r="L656" s="387">
        <v>1</v>
      </c>
      <c r="M656" s="387">
        <v>0</v>
      </c>
      <c r="N656" s="387">
        <f t="shared" si="88"/>
        <v>1</v>
      </c>
      <c r="O656" s="442">
        <f t="shared" si="89"/>
        <v>0</v>
      </c>
      <c r="P656" s="387" t="s">
        <v>1358</v>
      </c>
      <c r="Q656" s="459">
        <v>0</v>
      </c>
      <c r="R656" s="459"/>
      <c r="S656" s="456">
        <v>0</v>
      </c>
      <c r="T656" s="456">
        <v>32.073</v>
      </c>
      <c r="U656" s="410"/>
      <c r="V656" s="411">
        <v>0</v>
      </c>
      <c r="W656" s="411">
        <v>0</v>
      </c>
      <c r="X656" s="411">
        <v>0</v>
      </c>
      <c r="Y656" s="411"/>
      <c r="Z656" s="411"/>
      <c r="AA656" s="412">
        <f t="shared" si="90"/>
        <v>0</v>
      </c>
      <c r="AB656" s="456">
        <f t="shared" si="91"/>
        <v>0</v>
      </c>
      <c r="AC656" s="456">
        <v>0</v>
      </c>
      <c r="AD656" s="2"/>
      <c r="AE656" s="4"/>
      <c r="AF656" s="5"/>
      <c r="AG656" s="428"/>
    </row>
    <row r="657" spans="2:33" hidden="1" x14ac:dyDescent="0.25">
      <c r="B657" s="1" t="s">
        <v>2738</v>
      </c>
      <c r="C657" s="3" t="s">
        <v>1368</v>
      </c>
      <c r="D657" s="3" t="s">
        <v>1247</v>
      </c>
      <c r="E657" s="407" t="s">
        <v>1425</v>
      </c>
      <c r="F657" s="3" t="s">
        <v>2048</v>
      </c>
      <c r="G657" s="407" t="s">
        <v>4479</v>
      </c>
      <c r="H657" s="440" t="s">
        <v>4109</v>
      </c>
      <c r="I657" s="407" t="s">
        <v>4300</v>
      </c>
      <c r="J657" s="407" t="s">
        <v>3781</v>
      </c>
      <c r="K657" s="387" t="s">
        <v>4643</v>
      </c>
      <c r="L657" s="387">
        <v>1</v>
      </c>
      <c r="M657" s="387">
        <v>0</v>
      </c>
      <c r="N657" s="387">
        <f t="shared" si="88"/>
        <v>1</v>
      </c>
      <c r="O657" s="442">
        <f t="shared" si="89"/>
        <v>1</v>
      </c>
      <c r="P657" s="387" t="s">
        <v>1358</v>
      </c>
      <c r="Q657" s="459">
        <v>0</v>
      </c>
      <c r="R657" s="459"/>
      <c r="S657" s="456">
        <v>0</v>
      </c>
      <c r="T657" s="456">
        <v>18.768000000000001</v>
      </c>
      <c r="U657" s="410"/>
      <c r="V657" s="411">
        <v>1</v>
      </c>
      <c r="W657" s="411">
        <v>1</v>
      </c>
      <c r="X657" s="411">
        <v>1</v>
      </c>
      <c r="Y657" s="411"/>
      <c r="Z657" s="411"/>
      <c r="AA657" s="412">
        <f t="shared" si="90"/>
        <v>1</v>
      </c>
      <c r="AB657" s="456">
        <f t="shared" si="91"/>
        <v>18.768000000000001</v>
      </c>
      <c r="AC657" s="456">
        <v>0</v>
      </c>
      <c r="AD657" s="2"/>
      <c r="AE657" s="4"/>
      <c r="AF657" s="5"/>
      <c r="AG657" s="428"/>
    </row>
    <row r="658" spans="2:33" hidden="1" x14ac:dyDescent="0.25">
      <c r="B658" s="1" t="s">
        <v>2739</v>
      </c>
      <c r="C658" s="3" t="s">
        <v>1368</v>
      </c>
      <c r="D658" s="3" t="s">
        <v>1247</v>
      </c>
      <c r="E658" s="407" t="s">
        <v>3546</v>
      </c>
      <c r="F658" s="3" t="s">
        <v>2049</v>
      </c>
      <c r="G658" s="407" t="s">
        <v>4482</v>
      </c>
      <c r="H658" s="440" t="s">
        <v>4109</v>
      </c>
      <c r="I658" s="407" t="s">
        <v>4303</v>
      </c>
      <c r="J658" s="407" t="s">
        <v>3784</v>
      </c>
      <c r="K658" s="387" t="s">
        <v>4660</v>
      </c>
      <c r="L658" s="387">
        <v>1</v>
      </c>
      <c r="M658" s="387">
        <v>0</v>
      </c>
      <c r="N658" s="387">
        <f t="shared" si="88"/>
        <v>1</v>
      </c>
      <c r="O658" s="442">
        <f t="shared" si="89"/>
        <v>0</v>
      </c>
      <c r="P658" s="387" t="s">
        <v>1358</v>
      </c>
      <c r="Q658" s="459">
        <v>0</v>
      </c>
      <c r="R658" s="459"/>
      <c r="S658" s="456">
        <v>0</v>
      </c>
      <c r="T658" s="456">
        <v>19.329000000000001</v>
      </c>
      <c r="U658" s="410"/>
      <c r="V658" s="411">
        <v>0</v>
      </c>
      <c r="W658" s="411">
        <v>0</v>
      </c>
      <c r="X658" s="411">
        <v>0</v>
      </c>
      <c r="Y658" s="411"/>
      <c r="Z658" s="411"/>
      <c r="AA658" s="412">
        <f t="shared" si="90"/>
        <v>0</v>
      </c>
      <c r="AB658" s="456">
        <f t="shared" si="91"/>
        <v>0</v>
      </c>
      <c r="AC658" s="456">
        <v>0</v>
      </c>
      <c r="AD658" s="2"/>
      <c r="AE658" s="4"/>
      <c r="AF658" s="5"/>
      <c r="AG658" s="428"/>
    </row>
    <row r="659" spans="2:33" hidden="1" x14ac:dyDescent="0.25">
      <c r="B659" s="1" t="s">
        <v>2740</v>
      </c>
      <c r="C659" s="3" t="s">
        <v>1368</v>
      </c>
      <c r="D659" s="3" t="s">
        <v>1247</v>
      </c>
      <c r="E659" s="407" t="s">
        <v>3547</v>
      </c>
      <c r="F659" s="3" t="s">
        <v>2050</v>
      </c>
      <c r="G659" s="407" t="s">
        <v>4501</v>
      </c>
      <c r="H659" s="440" t="s">
        <v>4109</v>
      </c>
      <c r="I659" s="407" t="s">
        <v>4322</v>
      </c>
      <c r="J659" s="407" t="s">
        <v>3797</v>
      </c>
      <c r="K659" s="387" t="s">
        <v>4655</v>
      </c>
      <c r="L659" s="387">
        <v>1</v>
      </c>
      <c r="M659" s="387">
        <v>0</v>
      </c>
      <c r="N659" s="387">
        <f t="shared" si="88"/>
        <v>1</v>
      </c>
      <c r="O659" s="442">
        <f t="shared" si="89"/>
        <v>0</v>
      </c>
      <c r="P659" s="387" t="s">
        <v>1358</v>
      </c>
      <c r="Q659" s="459">
        <v>0</v>
      </c>
      <c r="R659" s="459"/>
      <c r="S659" s="456">
        <v>0</v>
      </c>
      <c r="T659" s="456">
        <v>19.329000000000001</v>
      </c>
      <c r="U659" s="410"/>
      <c r="V659" s="411">
        <v>0</v>
      </c>
      <c r="W659" s="411">
        <v>0</v>
      </c>
      <c r="X659" s="411">
        <v>0</v>
      </c>
      <c r="Y659" s="411"/>
      <c r="Z659" s="411"/>
      <c r="AA659" s="412">
        <f t="shared" si="90"/>
        <v>0</v>
      </c>
      <c r="AB659" s="456">
        <f t="shared" si="91"/>
        <v>0</v>
      </c>
      <c r="AC659" s="456">
        <v>0</v>
      </c>
      <c r="AD659" s="2"/>
      <c r="AE659" s="4"/>
      <c r="AF659" s="5"/>
      <c r="AG659" s="428"/>
    </row>
    <row r="660" spans="2:33" hidden="1" x14ac:dyDescent="0.25">
      <c r="B660" s="1" t="s">
        <v>2741</v>
      </c>
      <c r="C660" s="3" t="s">
        <v>1368</v>
      </c>
      <c r="D660" s="3" t="s">
        <v>1247</v>
      </c>
      <c r="E660" s="407" t="s">
        <v>3294</v>
      </c>
      <c r="F660" s="3" t="s">
        <v>2051</v>
      </c>
      <c r="G660" s="407" t="s">
        <v>4500</v>
      </c>
      <c r="H660" s="440" t="s">
        <v>4109</v>
      </c>
      <c r="I660" s="407" t="s">
        <v>4321</v>
      </c>
      <c r="J660" s="407" t="s">
        <v>3755</v>
      </c>
      <c r="K660" s="387" t="s">
        <v>4654</v>
      </c>
      <c r="L660" s="387">
        <v>1</v>
      </c>
      <c r="M660" s="387">
        <v>0</v>
      </c>
      <c r="N660" s="387">
        <f t="shared" si="88"/>
        <v>1</v>
      </c>
      <c r="O660" s="442">
        <f t="shared" si="89"/>
        <v>1</v>
      </c>
      <c r="P660" s="387" t="s">
        <v>1358</v>
      </c>
      <c r="Q660" s="459">
        <v>0</v>
      </c>
      <c r="R660" s="459"/>
      <c r="S660" s="456">
        <v>0</v>
      </c>
      <c r="T660" s="456">
        <v>33.006</v>
      </c>
      <c r="U660" s="410"/>
      <c r="V660" s="411">
        <v>1</v>
      </c>
      <c r="W660" s="411">
        <v>1</v>
      </c>
      <c r="X660" s="411">
        <v>1</v>
      </c>
      <c r="Y660" s="411"/>
      <c r="Z660" s="411"/>
      <c r="AA660" s="412">
        <f t="shared" si="90"/>
        <v>1</v>
      </c>
      <c r="AB660" s="456">
        <f t="shared" si="91"/>
        <v>33.006</v>
      </c>
      <c r="AC660" s="456">
        <v>0</v>
      </c>
      <c r="AD660" s="2"/>
      <c r="AE660" s="4"/>
      <c r="AF660" s="5"/>
      <c r="AG660" s="428"/>
    </row>
    <row r="661" spans="2:33" hidden="1" x14ac:dyDescent="0.25">
      <c r="B661" s="1" t="s">
        <v>2742</v>
      </c>
      <c r="C661" s="3" t="s">
        <v>1368</v>
      </c>
      <c r="D661" s="3" t="s">
        <v>1247</v>
      </c>
      <c r="E661" s="407" t="s">
        <v>1398</v>
      </c>
      <c r="F661" s="3" t="s">
        <v>2052</v>
      </c>
      <c r="G661" s="407" t="s">
        <v>4496</v>
      </c>
      <c r="H661" s="440" t="s">
        <v>4109</v>
      </c>
      <c r="I661" s="407" t="s">
        <v>4317</v>
      </c>
      <c r="J661" s="407" t="s">
        <v>3796</v>
      </c>
      <c r="K661" s="387" t="s">
        <v>4650</v>
      </c>
      <c r="L661" s="387">
        <v>1</v>
      </c>
      <c r="M661" s="387">
        <v>0</v>
      </c>
      <c r="N661" s="387">
        <f t="shared" si="88"/>
        <v>1</v>
      </c>
      <c r="O661" s="442">
        <f t="shared" si="89"/>
        <v>0.99999999999999978</v>
      </c>
      <c r="P661" s="387" t="s">
        <v>1358</v>
      </c>
      <c r="Q661" s="459">
        <v>0</v>
      </c>
      <c r="R661" s="459"/>
      <c r="S661" s="456">
        <v>0</v>
      </c>
      <c r="T661" s="456">
        <v>42.164999999999999</v>
      </c>
      <c r="U661" s="410"/>
      <c r="V661" s="411">
        <v>1</v>
      </c>
      <c r="W661" s="411">
        <v>1</v>
      </c>
      <c r="X661" s="411">
        <v>1</v>
      </c>
      <c r="Y661" s="411"/>
      <c r="Z661" s="411"/>
      <c r="AA661" s="412">
        <f t="shared" si="90"/>
        <v>0.99999999999999978</v>
      </c>
      <c r="AB661" s="456">
        <f t="shared" si="91"/>
        <v>42.164999999999992</v>
      </c>
      <c r="AC661" s="456">
        <v>0</v>
      </c>
      <c r="AD661" s="2"/>
      <c r="AE661" s="4"/>
      <c r="AF661" s="5"/>
      <c r="AG661" s="428"/>
    </row>
    <row r="662" spans="2:33" hidden="1" x14ac:dyDescent="0.25">
      <c r="B662" s="1" t="s">
        <v>2743</v>
      </c>
      <c r="C662" s="3" t="s">
        <v>1368</v>
      </c>
      <c r="D662" s="3" t="s">
        <v>1247</v>
      </c>
      <c r="E662" s="407" t="s">
        <v>1374</v>
      </c>
      <c r="F662" s="3" t="s">
        <v>2053</v>
      </c>
      <c r="G662" s="407" t="s">
        <v>4495</v>
      </c>
      <c r="H662" s="440" t="s">
        <v>4109</v>
      </c>
      <c r="I662" s="407" t="s">
        <v>4316</v>
      </c>
      <c r="J662" s="407" t="s">
        <v>3757</v>
      </c>
      <c r="K662" s="387" t="s">
        <v>4665</v>
      </c>
      <c r="L662" s="387">
        <v>2</v>
      </c>
      <c r="M662" s="387">
        <v>0</v>
      </c>
      <c r="N662" s="387">
        <f t="shared" si="88"/>
        <v>2</v>
      </c>
      <c r="O662" s="442">
        <f t="shared" si="89"/>
        <v>2</v>
      </c>
      <c r="P662" s="387" t="s">
        <v>1358</v>
      </c>
      <c r="Q662" s="459">
        <v>0</v>
      </c>
      <c r="R662" s="459"/>
      <c r="S662" s="456">
        <v>0</v>
      </c>
      <c r="T662" s="456">
        <v>84.426000000000002</v>
      </c>
      <c r="U662" s="410"/>
      <c r="V662" s="411">
        <v>1</v>
      </c>
      <c r="W662" s="411">
        <v>1</v>
      </c>
      <c r="X662" s="411">
        <v>1</v>
      </c>
      <c r="Y662" s="411"/>
      <c r="Z662" s="411"/>
      <c r="AA662" s="412">
        <f t="shared" si="90"/>
        <v>1</v>
      </c>
      <c r="AB662" s="456">
        <f t="shared" si="91"/>
        <v>84.426000000000002</v>
      </c>
      <c r="AC662" s="456">
        <v>0</v>
      </c>
      <c r="AD662" s="2"/>
      <c r="AE662" s="4"/>
      <c r="AF662" s="5"/>
      <c r="AG662" s="428"/>
    </row>
    <row r="663" spans="2:33" hidden="1" x14ac:dyDescent="0.25">
      <c r="B663" s="1" t="s">
        <v>2744</v>
      </c>
      <c r="C663" s="3" t="s">
        <v>1368</v>
      </c>
      <c r="D663" s="3" t="s">
        <v>1247</v>
      </c>
      <c r="E663" s="407" t="s">
        <v>1377</v>
      </c>
      <c r="F663" s="3" t="s">
        <v>2054</v>
      </c>
      <c r="G663" s="407" t="s">
        <v>4494</v>
      </c>
      <c r="H663" s="440" t="s">
        <v>4109</v>
      </c>
      <c r="I663" s="407" t="s">
        <v>4315</v>
      </c>
      <c r="J663" s="407" t="s">
        <v>3749</v>
      </c>
      <c r="K663" s="387" t="s">
        <v>4648</v>
      </c>
      <c r="L663" s="387">
        <v>1</v>
      </c>
      <c r="M663" s="387">
        <v>0</v>
      </c>
      <c r="N663" s="387">
        <f t="shared" si="88"/>
        <v>1</v>
      </c>
      <c r="O663" s="442">
        <f t="shared" si="89"/>
        <v>0.99999999999999978</v>
      </c>
      <c r="P663" s="387" t="s">
        <v>1358</v>
      </c>
      <c r="Q663" s="459">
        <v>0</v>
      </c>
      <c r="R663" s="459"/>
      <c r="S663" s="456">
        <v>0</v>
      </c>
      <c r="T663" s="456">
        <v>42.164999999999999</v>
      </c>
      <c r="U663" s="410"/>
      <c r="V663" s="411">
        <v>1</v>
      </c>
      <c r="W663" s="411">
        <v>1</v>
      </c>
      <c r="X663" s="411">
        <v>1</v>
      </c>
      <c r="Y663" s="411"/>
      <c r="Z663" s="411"/>
      <c r="AA663" s="412">
        <f t="shared" si="90"/>
        <v>0.99999999999999978</v>
      </c>
      <c r="AB663" s="456">
        <f t="shared" si="91"/>
        <v>42.164999999999992</v>
      </c>
      <c r="AC663" s="456">
        <v>0</v>
      </c>
      <c r="AD663" s="2"/>
      <c r="AE663" s="4"/>
      <c r="AF663" s="5"/>
      <c r="AG663" s="428"/>
    </row>
    <row r="664" spans="2:33" hidden="1" x14ac:dyDescent="0.25">
      <c r="B664" s="1" t="s">
        <v>2745</v>
      </c>
      <c r="C664" s="3" t="s">
        <v>1368</v>
      </c>
      <c r="D664" s="3" t="s">
        <v>1247</v>
      </c>
      <c r="E664" s="407" t="s">
        <v>1379</v>
      </c>
      <c r="F664" s="3" t="s">
        <v>2055</v>
      </c>
      <c r="G664" s="407" t="s">
        <v>4502</v>
      </c>
      <c r="H664" s="440" t="s">
        <v>4109</v>
      </c>
      <c r="I664" s="407" t="s">
        <v>4323</v>
      </c>
      <c r="J664" s="407" t="s">
        <v>3750</v>
      </c>
      <c r="K664" s="387" t="s">
        <v>4632</v>
      </c>
      <c r="L664" s="387">
        <v>1</v>
      </c>
      <c r="M664" s="387">
        <v>0</v>
      </c>
      <c r="N664" s="387">
        <f t="shared" si="88"/>
        <v>1</v>
      </c>
      <c r="O664" s="442">
        <f t="shared" si="89"/>
        <v>0.99999999999999978</v>
      </c>
      <c r="P664" s="387" t="s">
        <v>1358</v>
      </c>
      <c r="Q664" s="459">
        <v>0</v>
      </c>
      <c r="R664" s="459"/>
      <c r="S664" s="456">
        <v>0</v>
      </c>
      <c r="T664" s="456">
        <v>42.164999999999999</v>
      </c>
      <c r="U664" s="410"/>
      <c r="V664" s="411">
        <v>1</v>
      </c>
      <c r="W664" s="411">
        <v>1</v>
      </c>
      <c r="X664" s="411">
        <v>1</v>
      </c>
      <c r="Y664" s="411"/>
      <c r="Z664" s="411"/>
      <c r="AA664" s="412">
        <f t="shared" si="90"/>
        <v>0.99999999999999978</v>
      </c>
      <c r="AB664" s="456">
        <f t="shared" si="91"/>
        <v>42.164999999999992</v>
      </c>
      <c r="AC664" s="456">
        <v>0</v>
      </c>
      <c r="AD664" s="2"/>
      <c r="AE664" s="4"/>
      <c r="AF664" s="5"/>
      <c r="AG664" s="428"/>
    </row>
    <row r="665" spans="2:33" hidden="1" x14ac:dyDescent="0.25">
      <c r="B665" s="1" t="s">
        <v>2746</v>
      </c>
      <c r="C665" s="3" t="s">
        <v>1368</v>
      </c>
      <c r="D665" s="3" t="s">
        <v>1247</v>
      </c>
      <c r="E665" s="407" t="s">
        <v>1381</v>
      </c>
      <c r="F665" s="3" t="s">
        <v>2056</v>
      </c>
      <c r="G665" s="407" t="s">
        <v>4497</v>
      </c>
      <c r="H665" s="440" t="s">
        <v>4109</v>
      </c>
      <c r="I665" s="407" t="s">
        <v>4318</v>
      </c>
      <c r="J665" s="407" t="s">
        <v>3751</v>
      </c>
      <c r="K665" s="387" t="s">
        <v>4631</v>
      </c>
      <c r="L665" s="387">
        <v>1</v>
      </c>
      <c r="M665" s="387">
        <v>0</v>
      </c>
      <c r="N665" s="387">
        <f t="shared" si="88"/>
        <v>1</v>
      </c>
      <c r="O665" s="442">
        <f t="shared" si="89"/>
        <v>0.99999999999999978</v>
      </c>
      <c r="P665" s="387" t="s">
        <v>1358</v>
      </c>
      <c r="Q665" s="459">
        <v>0</v>
      </c>
      <c r="R665" s="459"/>
      <c r="S665" s="456">
        <v>0</v>
      </c>
      <c r="T665" s="456">
        <v>42.164999999999999</v>
      </c>
      <c r="U665" s="410"/>
      <c r="V665" s="411">
        <v>1</v>
      </c>
      <c r="W665" s="411">
        <v>1</v>
      </c>
      <c r="X665" s="411">
        <v>1</v>
      </c>
      <c r="Y665" s="411"/>
      <c r="Z665" s="411"/>
      <c r="AA665" s="412">
        <f t="shared" si="90"/>
        <v>0.99999999999999978</v>
      </c>
      <c r="AB665" s="456">
        <f t="shared" si="91"/>
        <v>42.164999999999992</v>
      </c>
      <c r="AC665" s="456">
        <v>0</v>
      </c>
      <c r="AD665" s="2"/>
      <c r="AE665" s="4"/>
      <c r="AF665" s="5"/>
      <c r="AG665" s="428"/>
    </row>
    <row r="666" spans="2:33" hidden="1" x14ac:dyDescent="0.25">
      <c r="B666" s="1" t="s">
        <v>2747</v>
      </c>
      <c r="C666" s="3" t="s">
        <v>1368</v>
      </c>
      <c r="D666" s="3" t="s">
        <v>1247</v>
      </c>
      <c r="E666" s="407" t="s">
        <v>1396</v>
      </c>
      <c r="F666" s="3" t="s">
        <v>2057</v>
      </c>
      <c r="G666" s="407" t="s">
        <v>4498</v>
      </c>
      <c r="H666" s="440" t="s">
        <v>4109</v>
      </c>
      <c r="I666" s="407" t="s">
        <v>4319</v>
      </c>
      <c r="J666" s="407" t="s">
        <v>3752</v>
      </c>
      <c r="K666" s="387" t="s">
        <v>4652</v>
      </c>
      <c r="L666" s="387">
        <v>1</v>
      </c>
      <c r="M666" s="387">
        <v>0</v>
      </c>
      <c r="N666" s="387">
        <f t="shared" si="88"/>
        <v>1</v>
      </c>
      <c r="O666" s="442">
        <f t="shared" si="89"/>
        <v>0.99999999999999978</v>
      </c>
      <c r="P666" s="387" t="s">
        <v>1358</v>
      </c>
      <c r="Q666" s="459">
        <v>0</v>
      </c>
      <c r="R666" s="459"/>
      <c r="S666" s="456">
        <v>0</v>
      </c>
      <c r="T666" s="456">
        <v>42.164999999999999</v>
      </c>
      <c r="U666" s="410"/>
      <c r="V666" s="411">
        <v>1</v>
      </c>
      <c r="W666" s="411">
        <v>1</v>
      </c>
      <c r="X666" s="411">
        <v>1</v>
      </c>
      <c r="Y666" s="411"/>
      <c r="Z666" s="411"/>
      <c r="AA666" s="412">
        <f t="shared" si="90"/>
        <v>0.99999999999999978</v>
      </c>
      <c r="AB666" s="456">
        <f t="shared" si="91"/>
        <v>42.164999999999992</v>
      </c>
      <c r="AC666" s="456">
        <v>0</v>
      </c>
      <c r="AD666" s="2"/>
      <c r="AE666" s="4"/>
      <c r="AF666" s="5"/>
      <c r="AG666" s="428"/>
    </row>
    <row r="667" spans="2:33" hidden="1" x14ac:dyDescent="0.25">
      <c r="B667" s="1" t="s">
        <v>2748</v>
      </c>
      <c r="C667" s="3" t="s">
        <v>1368</v>
      </c>
      <c r="D667" s="3" t="s">
        <v>1247</v>
      </c>
      <c r="E667" s="407" t="s">
        <v>1425</v>
      </c>
      <c r="F667" s="3" t="s">
        <v>2058</v>
      </c>
      <c r="G667" s="407" t="s">
        <v>4479</v>
      </c>
      <c r="H667" s="440" t="s">
        <v>4109</v>
      </c>
      <c r="I667" s="407" t="s">
        <v>4300</v>
      </c>
      <c r="J667" s="407" t="s">
        <v>3781</v>
      </c>
      <c r="K667" s="387" t="s">
        <v>4643</v>
      </c>
      <c r="L667" s="387">
        <v>1</v>
      </c>
      <c r="M667" s="387">
        <v>0</v>
      </c>
      <c r="N667" s="387">
        <f t="shared" si="88"/>
        <v>1</v>
      </c>
      <c r="O667" s="442">
        <f t="shared" si="89"/>
        <v>1</v>
      </c>
      <c r="P667" s="387" t="s">
        <v>1358</v>
      </c>
      <c r="Q667" s="459">
        <v>0</v>
      </c>
      <c r="R667" s="459"/>
      <c r="S667" s="456">
        <v>0</v>
      </c>
      <c r="T667" s="456">
        <v>31.143000000000001</v>
      </c>
      <c r="U667" s="410"/>
      <c r="V667" s="411">
        <v>1</v>
      </c>
      <c r="W667" s="411">
        <v>1</v>
      </c>
      <c r="X667" s="411">
        <v>1</v>
      </c>
      <c r="Y667" s="411"/>
      <c r="Z667" s="411"/>
      <c r="AA667" s="412">
        <f t="shared" si="90"/>
        <v>1</v>
      </c>
      <c r="AB667" s="456">
        <f t="shared" si="91"/>
        <v>31.143000000000001</v>
      </c>
      <c r="AC667" s="456">
        <v>0</v>
      </c>
      <c r="AD667" s="2"/>
      <c r="AE667" s="4"/>
      <c r="AF667" s="5"/>
      <c r="AG667" s="428"/>
    </row>
    <row r="668" spans="2:33" hidden="1" x14ac:dyDescent="0.25">
      <c r="B668" s="1" t="s">
        <v>2749</v>
      </c>
      <c r="C668" s="3" t="s">
        <v>1368</v>
      </c>
      <c r="D668" s="3" t="s">
        <v>1247</v>
      </c>
      <c r="E668" s="407" t="s">
        <v>1426</v>
      </c>
      <c r="F668" s="3" t="s">
        <v>2059</v>
      </c>
      <c r="G668" s="407" t="s">
        <v>4480</v>
      </c>
      <c r="H668" s="440" t="s">
        <v>4109</v>
      </c>
      <c r="I668" s="407" t="s">
        <v>4301</v>
      </c>
      <c r="J668" s="407" t="s">
        <v>3782</v>
      </c>
      <c r="K668" s="387" t="s">
        <v>4637</v>
      </c>
      <c r="L668" s="387">
        <v>1</v>
      </c>
      <c r="M668" s="387">
        <v>0</v>
      </c>
      <c r="N668" s="387">
        <f t="shared" si="88"/>
        <v>1</v>
      </c>
      <c r="O668" s="442">
        <f t="shared" si="89"/>
        <v>0</v>
      </c>
      <c r="P668" s="387" t="s">
        <v>1358</v>
      </c>
      <c r="Q668" s="459">
        <v>0</v>
      </c>
      <c r="R668" s="459"/>
      <c r="S668" s="456">
        <v>0</v>
      </c>
      <c r="T668" s="456">
        <v>31.143000000000001</v>
      </c>
      <c r="U668" s="410"/>
      <c r="V668" s="411">
        <v>0</v>
      </c>
      <c r="W668" s="411">
        <v>0</v>
      </c>
      <c r="X668" s="411">
        <v>0</v>
      </c>
      <c r="Y668" s="411"/>
      <c r="Z668" s="411"/>
      <c r="AA668" s="412">
        <f t="shared" si="90"/>
        <v>0</v>
      </c>
      <c r="AB668" s="456">
        <f t="shared" si="91"/>
        <v>0</v>
      </c>
      <c r="AC668" s="456">
        <v>0</v>
      </c>
      <c r="AD668" s="2"/>
      <c r="AE668" s="4"/>
      <c r="AF668" s="5"/>
      <c r="AG668" s="428"/>
    </row>
    <row r="669" spans="2:33" hidden="1" x14ac:dyDescent="0.25">
      <c r="B669" s="1" t="s">
        <v>2750</v>
      </c>
      <c r="C669" s="3" t="s">
        <v>1368</v>
      </c>
      <c r="D669" s="3" t="s">
        <v>1247</v>
      </c>
      <c r="E669" s="407" t="s">
        <v>1427</v>
      </c>
      <c r="F669" s="3" t="s">
        <v>2060</v>
      </c>
      <c r="G669" s="407" t="s">
        <v>4485</v>
      </c>
      <c r="H669" s="440" t="s">
        <v>4109</v>
      </c>
      <c r="I669" s="407" t="s">
        <v>4306</v>
      </c>
      <c r="J669" s="407" t="s">
        <v>3787</v>
      </c>
      <c r="K669" s="387" t="s">
        <v>4638</v>
      </c>
      <c r="L669" s="387">
        <v>1</v>
      </c>
      <c r="M669" s="387">
        <v>0</v>
      </c>
      <c r="N669" s="387">
        <f t="shared" si="88"/>
        <v>1</v>
      </c>
      <c r="O669" s="442">
        <f t="shared" si="89"/>
        <v>0</v>
      </c>
      <c r="P669" s="387" t="s">
        <v>1358</v>
      </c>
      <c r="Q669" s="459">
        <v>0</v>
      </c>
      <c r="R669" s="459"/>
      <c r="S669" s="456">
        <v>0</v>
      </c>
      <c r="T669" s="456">
        <v>31.138000000000002</v>
      </c>
      <c r="U669" s="410"/>
      <c r="V669" s="411">
        <v>0</v>
      </c>
      <c r="W669" s="411">
        <v>0</v>
      </c>
      <c r="X669" s="411">
        <v>0</v>
      </c>
      <c r="Y669" s="411"/>
      <c r="Z669" s="411"/>
      <c r="AA669" s="412">
        <f t="shared" si="90"/>
        <v>0</v>
      </c>
      <c r="AB669" s="456">
        <f t="shared" si="91"/>
        <v>0</v>
      </c>
      <c r="AC669" s="456">
        <v>0</v>
      </c>
      <c r="AD669" s="2"/>
      <c r="AE669" s="4"/>
      <c r="AF669" s="5"/>
      <c r="AG669" s="428"/>
    </row>
    <row r="670" spans="2:33" hidden="1" x14ac:dyDescent="0.25">
      <c r="B670" s="1" t="s">
        <v>2751</v>
      </c>
      <c r="C670" s="3" t="s">
        <v>1368</v>
      </c>
      <c r="D670" s="3" t="s">
        <v>1247</v>
      </c>
      <c r="E670" s="407" t="s">
        <v>1428</v>
      </c>
      <c r="F670" s="3" t="s">
        <v>2061</v>
      </c>
      <c r="G670" s="407" t="s">
        <v>4486</v>
      </c>
      <c r="H670" s="440" t="s">
        <v>4109</v>
      </c>
      <c r="I670" s="407" t="s">
        <v>4307</v>
      </c>
      <c r="J670" s="407" t="s">
        <v>3788</v>
      </c>
      <c r="K670" s="387" t="s">
        <v>4639</v>
      </c>
      <c r="L670" s="387">
        <v>1</v>
      </c>
      <c r="M670" s="387">
        <v>0</v>
      </c>
      <c r="N670" s="387">
        <f t="shared" si="88"/>
        <v>1</v>
      </c>
      <c r="O670" s="442">
        <f t="shared" si="89"/>
        <v>0</v>
      </c>
      <c r="P670" s="387" t="s">
        <v>1358</v>
      </c>
      <c r="Q670" s="459">
        <v>0</v>
      </c>
      <c r="R670" s="459"/>
      <c r="S670" s="456">
        <v>0</v>
      </c>
      <c r="T670" s="456">
        <v>31.143000000000001</v>
      </c>
      <c r="U670" s="410"/>
      <c r="V670" s="411">
        <v>0</v>
      </c>
      <c r="W670" s="411">
        <v>0</v>
      </c>
      <c r="X670" s="411">
        <v>0</v>
      </c>
      <c r="Y670" s="411"/>
      <c r="Z670" s="411"/>
      <c r="AA670" s="412">
        <f t="shared" si="90"/>
        <v>0</v>
      </c>
      <c r="AB670" s="456">
        <f t="shared" si="91"/>
        <v>0</v>
      </c>
      <c r="AC670" s="456">
        <v>0</v>
      </c>
      <c r="AD670" s="2"/>
      <c r="AE670" s="4"/>
      <c r="AF670" s="5"/>
      <c r="AG670" s="428"/>
    </row>
    <row r="671" spans="2:33" hidden="1" x14ac:dyDescent="0.25">
      <c r="B671" s="1" t="s">
        <v>2752</v>
      </c>
      <c r="C671" s="3" t="s">
        <v>1368</v>
      </c>
      <c r="D671" s="3" t="s">
        <v>1247</v>
      </c>
      <c r="E671" s="407" t="s">
        <v>1429</v>
      </c>
      <c r="F671" s="3" t="s">
        <v>2062</v>
      </c>
      <c r="G671" s="407" t="s">
        <v>4487</v>
      </c>
      <c r="H671" s="440" t="s">
        <v>4109</v>
      </c>
      <c r="I671" s="407" t="s">
        <v>4308</v>
      </c>
      <c r="J671" s="407" t="s">
        <v>3789</v>
      </c>
      <c r="K671" s="387" t="s">
        <v>4640</v>
      </c>
      <c r="L671" s="387">
        <v>1</v>
      </c>
      <c r="M671" s="387">
        <v>0</v>
      </c>
      <c r="N671" s="387">
        <f t="shared" si="88"/>
        <v>1</v>
      </c>
      <c r="O671" s="442">
        <f t="shared" si="89"/>
        <v>0</v>
      </c>
      <c r="P671" s="387" t="s">
        <v>1358</v>
      </c>
      <c r="Q671" s="459">
        <v>0</v>
      </c>
      <c r="R671" s="459"/>
      <c r="S671" s="456">
        <v>0</v>
      </c>
      <c r="T671" s="456">
        <v>31.143000000000001</v>
      </c>
      <c r="U671" s="410"/>
      <c r="V671" s="411">
        <v>0</v>
      </c>
      <c r="W671" s="411">
        <v>0</v>
      </c>
      <c r="X671" s="411">
        <v>0</v>
      </c>
      <c r="Y671" s="411"/>
      <c r="Z671" s="411"/>
      <c r="AA671" s="412">
        <f t="shared" si="90"/>
        <v>0</v>
      </c>
      <c r="AB671" s="456">
        <f t="shared" si="91"/>
        <v>0</v>
      </c>
      <c r="AC671" s="456">
        <v>0</v>
      </c>
      <c r="AD671" s="2"/>
      <c r="AE671" s="4"/>
      <c r="AF671" s="5"/>
      <c r="AG671" s="428"/>
    </row>
    <row r="672" spans="2:33" hidden="1" x14ac:dyDescent="0.25">
      <c r="B672" s="1" t="s">
        <v>2753</v>
      </c>
      <c r="C672" s="3" t="s">
        <v>1368</v>
      </c>
      <c r="D672" s="3" t="s">
        <v>1247</v>
      </c>
      <c r="E672" s="407" t="s">
        <v>1430</v>
      </c>
      <c r="F672" s="3" t="s">
        <v>2063</v>
      </c>
      <c r="G672" s="407" t="s">
        <v>4488</v>
      </c>
      <c r="H672" s="440" t="s">
        <v>4109</v>
      </c>
      <c r="I672" s="407" t="s">
        <v>4309</v>
      </c>
      <c r="J672" s="407" t="s">
        <v>3790</v>
      </c>
      <c r="K672" s="387" t="s">
        <v>4641</v>
      </c>
      <c r="L672" s="387">
        <v>1</v>
      </c>
      <c r="M672" s="387">
        <v>0</v>
      </c>
      <c r="N672" s="387">
        <f t="shared" si="88"/>
        <v>1</v>
      </c>
      <c r="O672" s="442">
        <f t="shared" si="89"/>
        <v>0</v>
      </c>
      <c r="P672" s="387" t="s">
        <v>1358</v>
      </c>
      <c r="Q672" s="459">
        <v>0</v>
      </c>
      <c r="R672" s="459"/>
      <c r="S672" s="456">
        <v>0</v>
      </c>
      <c r="T672" s="456">
        <v>31.143000000000001</v>
      </c>
      <c r="U672" s="410"/>
      <c r="V672" s="411">
        <v>0</v>
      </c>
      <c r="W672" s="411">
        <v>0</v>
      </c>
      <c r="X672" s="411">
        <v>0</v>
      </c>
      <c r="Y672" s="411"/>
      <c r="Z672" s="411"/>
      <c r="AA672" s="412">
        <f t="shared" si="90"/>
        <v>0</v>
      </c>
      <c r="AB672" s="456">
        <f t="shared" si="91"/>
        <v>0</v>
      </c>
      <c r="AC672" s="456">
        <v>0</v>
      </c>
      <c r="AD672" s="2"/>
      <c r="AE672" s="4"/>
      <c r="AF672" s="5"/>
      <c r="AG672" s="428"/>
    </row>
    <row r="673" spans="2:33" hidden="1" x14ac:dyDescent="0.25">
      <c r="B673" s="1" t="s">
        <v>2754</v>
      </c>
      <c r="C673" s="3" t="s">
        <v>1368</v>
      </c>
      <c r="D673" s="3" t="s">
        <v>1247</v>
      </c>
      <c r="E673" s="407" t="s">
        <v>1431</v>
      </c>
      <c r="F673" s="3" t="s">
        <v>2064</v>
      </c>
      <c r="G673" s="407" t="s">
        <v>4489</v>
      </c>
      <c r="H673" s="440" t="s">
        <v>4109</v>
      </c>
      <c r="I673" s="407" t="s">
        <v>4310</v>
      </c>
      <c r="J673" s="407" t="s">
        <v>3791</v>
      </c>
      <c r="K673" s="387" t="s">
        <v>4642</v>
      </c>
      <c r="L673" s="387">
        <v>1</v>
      </c>
      <c r="M673" s="387">
        <v>0</v>
      </c>
      <c r="N673" s="387">
        <f t="shared" si="88"/>
        <v>1</v>
      </c>
      <c r="O673" s="442">
        <f t="shared" si="89"/>
        <v>0</v>
      </c>
      <c r="P673" s="387" t="s">
        <v>1358</v>
      </c>
      <c r="Q673" s="459">
        <v>0</v>
      </c>
      <c r="R673" s="459"/>
      <c r="S673" s="456">
        <v>0</v>
      </c>
      <c r="T673" s="456">
        <v>31.143000000000001</v>
      </c>
      <c r="U673" s="410"/>
      <c r="V673" s="411">
        <v>0</v>
      </c>
      <c r="W673" s="411">
        <v>0</v>
      </c>
      <c r="X673" s="411">
        <v>0</v>
      </c>
      <c r="Y673" s="411"/>
      <c r="Z673" s="411"/>
      <c r="AA673" s="412">
        <f t="shared" si="90"/>
        <v>0</v>
      </c>
      <c r="AB673" s="456">
        <f t="shared" si="91"/>
        <v>0</v>
      </c>
      <c r="AC673" s="456">
        <v>0</v>
      </c>
      <c r="AD673" s="2"/>
      <c r="AE673" s="4"/>
      <c r="AF673" s="5"/>
      <c r="AG673" s="428"/>
    </row>
    <row r="674" spans="2:33" hidden="1" x14ac:dyDescent="0.25">
      <c r="B674" s="1" t="s">
        <v>2755</v>
      </c>
      <c r="C674" s="3" t="s">
        <v>1368</v>
      </c>
      <c r="D674" s="3" t="s">
        <v>1247</v>
      </c>
      <c r="E674" s="407" t="s">
        <v>1397</v>
      </c>
      <c r="F674" s="3" t="s">
        <v>2065</v>
      </c>
      <c r="G674" s="407" t="s">
        <v>4493</v>
      </c>
      <c r="H674" s="440" t="s">
        <v>4109</v>
      </c>
      <c r="I674" s="407" t="s">
        <v>4314</v>
      </c>
      <c r="J674" s="407" t="s">
        <v>3795</v>
      </c>
      <c r="K674" s="387" t="s">
        <v>4647</v>
      </c>
      <c r="L674" s="387">
        <v>1</v>
      </c>
      <c r="M674" s="387">
        <v>0</v>
      </c>
      <c r="N674" s="387">
        <f t="shared" si="88"/>
        <v>1</v>
      </c>
      <c r="O674" s="442">
        <f t="shared" si="89"/>
        <v>0.99999999999999978</v>
      </c>
      <c r="P674" s="387" t="s">
        <v>1358</v>
      </c>
      <c r="Q674" s="459">
        <v>0</v>
      </c>
      <c r="R674" s="459"/>
      <c r="S674" s="456">
        <v>0</v>
      </c>
      <c r="T674" s="456">
        <v>42.164999999999999</v>
      </c>
      <c r="U674" s="410"/>
      <c r="V674" s="411">
        <v>1</v>
      </c>
      <c r="W674" s="411">
        <v>1</v>
      </c>
      <c r="X674" s="411">
        <v>1</v>
      </c>
      <c r="Y674" s="411"/>
      <c r="Z674" s="411"/>
      <c r="AA674" s="412">
        <f t="shared" si="90"/>
        <v>0.99999999999999978</v>
      </c>
      <c r="AB674" s="456">
        <f t="shared" si="91"/>
        <v>42.164999999999992</v>
      </c>
      <c r="AC674" s="456">
        <v>0</v>
      </c>
      <c r="AD674" s="2"/>
      <c r="AE674" s="4"/>
      <c r="AF674" s="5"/>
      <c r="AG674" s="428"/>
    </row>
    <row r="675" spans="2:33" hidden="1" x14ac:dyDescent="0.25">
      <c r="B675" s="1" t="s">
        <v>2756</v>
      </c>
      <c r="C675" s="3" t="s">
        <v>1368</v>
      </c>
      <c r="D675" s="3" t="s">
        <v>1247</v>
      </c>
      <c r="E675" s="407" t="s">
        <v>1432</v>
      </c>
      <c r="F675" s="3" t="s">
        <v>2066</v>
      </c>
      <c r="G675" s="407" t="s">
        <v>4483</v>
      </c>
      <c r="H675" s="440" t="s">
        <v>4109</v>
      </c>
      <c r="I675" s="407" t="s">
        <v>4304</v>
      </c>
      <c r="J675" s="407" t="s">
        <v>3785</v>
      </c>
      <c r="K675" s="387" t="s">
        <v>4635</v>
      </c>
      <c r="L675" s="387">
        <v>1</v>
      </c>
      <c r="M675" s="387">
        <v>0</v>
      </c>
      <c r="N675" s="387">
        <f t="shared" si="88"/>
        <v>1</v>
      </c>
      <c r="O675" s="442">
        <f t="shared" si="89"/>
        <v>0</v>
      </c>
      <c r="P675" s="387" t="s">
        <v>1358</v>
      </c>
      <c r="Q675" s="459">
        <v>0</v>
      </c>
      <c r="R675" s="459"/>
      <c r="S675" s="456">
        <v>0</v>
      </c>
      <c r="T675" s="456">
        <v>31.143000000000001</v>
      </c>
      <c r="U675" s="410"/>
      <c r="V675" s="411">
        <v>0</v>
      </c>
      <c r="W675" s="411">
        <v>0</v>
      </c>
      <c r="X675" s="411">
        <v>0</v>
      </c>
      <c r="Y675" s="411"/>
      <c r="Z675" s="411"/>
      <c r="AA675" s="412">
        <f t="shared" si="90"/>
        <v>0</v>
      </c>
      <c r="AB675" s="456">
        <f t="shared" si="91"/>
        <v>0</v>
      </c>
      <c r="AC675" s="456">
        <v>0</v>
      </c>
      <c r="AD675" s="2"/>
      <c r="AE675" s="4"/>
      <c r="AF675" s="5"/>
      <c r="AG675" s="428"/>
    </row>
    <row r="676" spans="2:33" hidden="1" x14ac:dyDescent="0.25">
      <c r="B676" s="1" t="s">
        <v>2757</v>
      </c>
      <c r="C676" s="3" t="s">
        <v>1368</v>
      </c>
      <c r="D676" s="3" t="s">
        <v>1247</v>
      </c>
      <c r="E676" s="407" t="s">
        <v>1433</v>
      </c>
      <c r="F676" s="3" t="s">
        <v>2067</v>
      </c>
      <c r="G676" s="407" t="s">
        <v>4490</v>
      </c>
      <c r="H676" s="440" t="s">
        <v>4109</v>
      </c>
      <c r="I676" s="407" t="s">
        <v>4311</v>
      </c>
      <c r="J676" s="407" t="s">
        <v>3792</v>
      </c>
      <c r="K676" s="387" t="s">
        <v>4644</v>
      </c>
      <c r="L676" s="387">
        <v>1</v>
      </c>
      <c r="M676" s="387">
        <v>0</v>
      </c>
      <c r="N676" s="387">
        <f t="shared" si="88"/>
        <v>1</v>
      </c>
      <c r="O676" s="442">
        <f t="shared" si="89"/>
        <v>0</v>
      </c>
      <c r="P676" s="387" t="s">
        <v>1358</v>
      </c>
      <c r="Q676" s="459">
        <v>0</v>
      </c>
      <c r="R676" s="459"/>
      <c r="S676" s="456">
        <v>0</v>
      </c>
      <c r="T676" s="456">
        <v>31.143000000000001</v>
      </c>
      <c r="U676" s="410"/>
      <c r="V676" s="411">
        <v>0</v>
      </c>
      <c r="W676" s="411">
        <v>0</v>
      </c>
      <c r="X676" s="411">
        <v>0</v>
      </c>
      <c r="Y676" s="411"/>
      <c r="Z676" s="411"/>
      <c r="AA676" s="412">
        <f t="shared" si="90"/>
        <v>0</v>
      </c>
      <c r="AB676" s="456">
        <f t="shared" si="91"/>
        <v>0</v>
      </c>
      <c r="AC676" s="456">
        <v>0</v>
      </c>
      <c r="AD676" s="2"/>
      <c r="AE676" s="4"/>
      <c r="AF676" s="5"/>
      <c r="AG676" s="428"/>
    </row>
    <row r="677" spans="2:33" hidden="1" x14ac:dyDescent="0.25">
      <c r="B677" s="1" t="s">
        <v>2758</v>
      </c>
      <c r="C677" s="3" t="s">
        <v>1368</v>
      </c>
      <c r="D677" s="3" t="s">
        <v>1247</v>
      </c>
      <c r="E677" s="407" t="s">
        <v>1432</v>
      </c>
      <c r="F677" s="3" t="s">
        <v>2068</v>
      </c>
      <c r="G677" s="407" t="s">
        <v>4483</v>
      </c>
      <c r="H677" s="440" t="s">
        <v>4109</v>
      </c>
      <c r="I677" s="407" t="s">
        <v>4304</v>
      </c>
      <c r="J677" s="407" t="s">
        <v>3785</v>
      </c>
      <c r="K677" s="387" t="s">
        <v>4635</v>
      </c>
      <c r="L677" s="387">
        <v>1</v>
      </c>
      <c r="M677" s="387">
        <v>0</v>
      </c>
      <c r="N677" s="387">
        <f t="shared" si="88"/>
        <v>1</v>
      </c>
      <c r="O677" s="442">
        <f t="shared" si="89"/>
        <v>0</v>
      </c>
      <c r="P677" s="387" t="s">
        <v>1358</v>
      </c>
      <c r="Q677" s="459">
        <v>0</v>
      </c>
      <c r="R677" s="459"/>
      <c r="S677" s="456">
        <v>0</v>
      </c>
      <c r="T677" s="456">
        <v>25.099</v>
      </c>
      <c r="U677" s="410"/>
      <c r="V677" s="411">
        <v>0</v>
      </c>
      <c r="W677" s="411">
        <v>0</v>
      </c>
      <c r="X677" s="411">
        <v>0</v>
      </c>
      <c r="Y677" s="411"/>
      <c r="Z677" s="411"/>
      <c r="AA677" s="412">
        <f t="shared" si="90"/>
        <v>0</v>
      </c>
      <c r="AB677" s="456">
        <f t="shared" si="91"/>
        <v>0</v>
      </c>
      <c r="AC677" s="456">
        <v>0</v>
      </c>
      <c r="AD677" s="2"/>
      <c r="AE677" s="4"/>
      <c r="AF677" s="5"/>
      <c r="AG677" s="428"/>
    </row>
    <row r="678" spans="2:33" hidden="1" x14ac:dyDescent="0.25">
      <c r="B678" s="1" t="s">
        <v>2759</v>
      </c>
      <c r="C678" s="3" t="s">
        <v>1368</v>
      </c>
      <c r="D678" s="3" t="s">
        <v>1247</v>
      </c>
      <c r="E678" s="407" t="s">
        <v>1433</v>
      </c>
      <c r="F678" s="3" t="s">
        <v>2069</v>
      </c>
      <c r="G678" s="407" t="s">
        <v>4490</v>
      </c>
      <c r="H678" s="440" t="s">
        <v>4109</v>
      </c>
      <c r="I678" s="407" t="s">
        <v>4311</v>
      </c>
      <c r="J678" s="407" t="s">
        <v>3792</v>
      </c>
      <c r="K678" s="387" t="s">
        <v>4644</v>
      </c>
      <c r="L678" s="387">
        <v>1</v>
      </c>
      <c r="M678" s="387">
        <v>0</v>
      </c>
      <c r="N678" s="387">
        <f t="shared" si="88"/>
        <v>1</v>
      </c>
      <c r="O678" s="442">
        <f t="shared" si="89"/>
        <v>0</v>
      </c>
      <c r="P678" s="387" t="s">
        <v>1358</v>
      </c>
      <c r="Q678" s="459">
        <v>0</v>
      </c>
      <c r="R678" s="459"/>
      <c r="S678" s="456">
        <v>0</v>
      </c>
      <c r="T678" s="456">
        <v>25.099</v>
      </c>
      <c r="U678" s="410"/>
      <c r="V678" s="411">
        <v>0</v>
      </c>
      <c r="W678" s="411">
        <v>0</v>
      </c>
      <c r="X678" s="411">
        <v>0</v>
      </c>
      <c r="Y678" s="411"/>
      <c r="Z678" s="411"/>
      <c r="AA678" s="412">
        <f t="shared" si="90"/>
        <v>0</v>
      </c>
      <c r="AB678" s="456">
        <f t="shared" si="91"/>
        <v>0</v>
      </c>
      <c r="AC678" s="456">
        <v>0</v>
      </c>
      <c r="AD678" s="2"/>
      <c r="AE678" s="4"/>
      <c r="AF678" s="5"/>
      <c r="AG678" s="428"/>
    </row>
    <row r="679" spans="2:33" hidden="1" x14ac:dyDescent="0.25">
      <c r="B679" s="1" t="s">
        <v>2760</v>
      </c>
      <c r="C679" s="3" t="s">
        <v>1368</v>
      </c>
      <c r="D679" s="3" t="s">
        <v>1247</v>
      </c>
      <c r="E679" s="407" t="s">
        <v>1427</v>
      </c>
      <c r="F679" s="3" t="s">
        <v>2070</v>
      </c>
      <c r="G679" s="407" t="s">
        <v>4485</v>
      </c>
      <c r="H679" s="440" t="s">
        <v>4109</v>
      </c>
      <c r="I679" s="407" t="s">
        <v>4306</v>
      </c>
      <c r="J679" s="407" t="s">
        <v>3787</v>
      </c>
      <c r="K679" s="387" t="s">
        <v>4638</v>
      </c>
      <c r="L679" s="387">
        <v>1</v>
      </c>
      <c r="M679" s="387">
        <v>0</v>
      </c>
      <c r="N679" s="387">
        <f t="shared" si="88"/>
        <v>1</v>
      </c>
      <c r="O679" s="442">
        <f t="shared" si="89"/>
        <v>0</v>
      </c>
      <c r="P679" s="387" t="s">
        <v>1358</v>
      </c>
      <c r="Q679" s="459">
        <v>0</v>
      </c>
      <c r="R679" s="459"/>
      <c r="S679" s="456">
        <v>0</v>
      </c>
      <c r="T679" s="456">
        <v>25.099</v>
      </c>
      <c r="U679" s="410"/>
      <c r="V679" s="411">
        <v>0</v>
      </c>
      <c r="W679" s="411">
        <v>0</v>
      </c>
      <c r="X679" s="411">
        <v>0</v>
      </c>
      <c r="Y679" s="411"/>
      <c r="Z679" s="411"/>
      <c r="AA679" s="412">
        <f t="shared" si="90"/>
        <v>0</v>
      </c>
      <c r="AB679" s="456">
        <f t="shared" si="91"/>
        <v>0</v>
      </c>
      <c r="AC679" s="456">
        <v>0</v>
      </c>
      <c r="AD679" s="2"/>
      <c r="AE679" s="4"/>
      <c r="AF679" s="5"/>
      <c r="AG679" s="428"/>
    </row>
    <row r="680" spans="2:33" hidden="1" x14ac:dyDescent="0.25">
      <c r="B680" s="1" t="s">
        <v>2761</v>
      </c>
      <c r="C680" s="3" t="s">
        <v>1368</v>
      </c>
      <c r="D680" s="3" t="s">
        <v>1247</v>
      </c>
      <c r="E680" s="407" t="s">
        <v>1428</v>
      </c>
      <c r="F680" s="3" t="s">
        <v>2071</v>
      </c>
      <c r="G680" s="407" t="s">
        <v>4486</v>
      </c>
      <c r="H680" s="440" t="s">
        <v>4109</v>
      </c>
      <c r="I680" s="407" t="s">
        <v>4307</v>
      </c>
      <c r="J680" s="407" t="s">
        <v>3788</v>
      </c>
      <c r="K680" s="387" t="s">
        <v>4639</v>
      </c>
      <c r="L680" s="387">
        <v>1</v>
      </c>
      <c r="M680" s="387">
        <v>0</v>
      </c>
      <c r="N680" s="387">
        <f t="shared" si="88"/>
        <v>1</v>
      </c>
      <c r="O680" s="442">
        <f t="shared" si="89"/>
        <v>0</v>
      </c>
      <c r="P680" s="387" t="s">
        <v>1358</v>
      </c>
      <c r="Q680" s="459">
        <v>0</v>
      </c>
      <c r="R680" s="459"/>
      <c r="S680" s="456">
        <v>0</v>
      </c>
      <c r="T680" s="456">
        <v>25.099</v>
      </c>
      <c r="U680" s="410"/>
      <c r="V680" s="411">
        <v>0</v>
      </c>
      <c r="W680" s="411">
        <v>0</v>
      </c>
      <c r="X680" s="411">
        <v>0</v>
      </c>
      <c r="Y680" s="411"/>
      <c r="Z680" s="411"/>
      <c r="AA680" s="412">
        <f t="shared" si="90"/>
        <v>0</v>
      </c>
      <c r="AB680" s="456">
        <f t="shared" si="91"/>
        <v>0</v>
      </c>
      <c r="AC680" s="456">
        <v>0</v>
      </c>
      <c r="AD680" s="2"/>
      <c r="AE680" s="4"/>
      <c r="AF680" s="5"/>
      <c r="AG680" s="428"/>
    </row>
    <row r="681" spans="2:33" hidden="1" x14ac:dyDescent="0.25">
      <c r="B681" s="1" t="s">
        <v>2762</v>
      </c>
      <c r="C681" s="3" t="s">
        <v>1368</v>
      </c>
      <c r="D681" s="3" t="s">
        <v>1247</v>
      </c>
      <c r="E681" s="407" t="s">
        <v>1429</v>
      </c>
      <c r="F681" s="3" t="s">
        <v>2072</v>
      </c>
      <c r="G681" s="407" t="s">
        <v>4487</v>
      </c>
      <c r="H681" s="440" t="s">
        <v>4109</v>
      </c>
      <c r="I681" s="407" t="s">
        <v>4308</v>
      </c>
      <c r="J681" s="407" t="s">
        <v>3789</v>
      </c>
      <c r="K681" s="387" t="s">
        <v>4640</v>
      </c>
      <c r="L681" s="387">
        <v>1</v>
      </c>
      <c r="M681" s="387">
        <v>0</v>
      </c>
      <c r="N681" s="387">
        <f t="shared" si="88"/>
        <v>1</v>
      </c>
      <c r="O681" s="442">
        <f t="shared" si="89"/>
        <v>0</v>
      </c>
      <c r="P681" s="387" t="s">
        <v>1358</v>
      </c>
      <c r="Q681" s="459">
        <v>0</v>
      </c>
      <c r="R681" s="459"/>
      <c r="S681" s="456">
        <v>0</v>
      </c>
      <c r="T681" s="456">
        <v>25.099</v>
      </c>
      <c r="U681" s="410"/>
      <c r="V681" s="411">
        <v>0</v>
      </c>
      <c r="W681" s="411">
        <v>0</v>
      </c>
      <c r="X681" s="411">
        <v>0</v>
      </c>
      <c r="Y681" s="411"/>
      <c r="Z681" s="411"/>
      <c r="AA681" s="412">
        <f t="shared" si="90"/>
        <v>0</v>
      </c>
      <c r="AB681" s="456">
        <f t="shared" si="91"/>
        <v>0</v>
      </c>
      <c r="AC681" s="456">
        <v>0</v>
      </c>
      <c r="AD681" s="2"/>
      <c r="AE681" s="4"/>
      <c r="AF681" s="5"/>
      <c r="AG681" s="428"/>
    </row>
    <row r="682" spans="2:33" hidden="1" x14ac:dyDescent="0.25">
      <c r="B682" s="1" t="s">
        <v>2763</v>
      </c>
      <c r="C682" s="3" t="s">
        <v>1368</v>
      </c>
      <c r="D682" s="3" t="s">
        <v>1247</v>
      </c>
      <c r="E682" s="407" t="s">
        <v>1430</v>
      </c>
      <c r="F682" s="3" t="s">
        <v>2073</v>
      </c>
      <c r="G682" s="407" t="s">
        <v>4488</v>
      </c>
      <c r="H682" s="440" t="s">
        <v>4109</v>
      </c>
      <c r="I682" s="407" t="s">
        <v>4309</v>
      </c>
      <c r="J682" s="407" t="s">
        <v>3790</v>
      </c>
      <c r="K682" s="387" t="s">
        <v>4641</v>
      </c>
      <c r="L682" s="387">
        <v>1</v>
      </c>
      <c r="M682" s="387">
        <v>0</v>
      </c>
      <c r="N682" s="387">
        <f t="shared" si="88"/>
        <v>1</v>
      </c>
      <c r="O682" s="442">
        <f t="shared" si="89"/>
        <v>0</v>
      </c>
      <c r="P682" s="387" t="s">
        <v>1358</v>
      </c>
      <c r="Q682" s="459">
        <v>0</v>
      </c>
      <c r="R682" s="459"/>
      <c r="S682" s="456">
        <v>0</v>
      </c>
      <c r="T682" s="456">
        <v>25.099</v>
      </c>
      <c r="U682" s="410"/>
      <c r="V682" s="411">
        <v>0</v>
      </c>
      <c r="W682" s="411">
        <v>0</v>
      </c>
      <c r="X682" s="411">
        <v>0</v>
      </c>
      <c r="Y682" s="411"/>
      <c r="Z682" s="411"/>
      <c r="AA682" s="412">
        <f t="shared" si="90"/>
        <v>0</v>
      </c>
      <c r="AB682" s="456">
        <f t="shared" si="91"/>
        <v>0</v>
      </c>
      <c r="AC682" s="456">
        <v>0</v>
      </c>
      <c r="AD682" s="2"/>
      <c r="AE682" s="4"/>
      <c r="AF682" s="5"/>
      <c r="AG682" s="428"/>
    </row>
    <row r="683" spans="2:33" hidden="1" x14ac:dyDescent="0.25">
      <c r="B683" s="1" t="s">
        <v>2764</v>
      </c>
      <c r="C683" s="3" t="s">
        <v>1368</v>
      </c>
      <c r="D683" s="3" t="s">
        <v>1247</v>
      </c>
      <c r="E683" s="407" t="s">
        <v>1431</v>
      </c>
      <c r="F683" s="3" t="s">
        <v>2074</v>
      </c>
      <c r="G683" s="407" t="s">
        <v>4489</v>
      </c>
      <c r="H683" s="440" t="s">
        <v>4109</v>
      </c>
      <c r="I683" s="407" t="s">
        <v>4310</v>
      </c>
      <c r="J683" s="407" t="s">
        <v>3791</v>
      </c>
      <c r="K683" s="387" t="s">
        <v>4642</v>
      </c>
      <c r="L683" s="387">
        <v>1</v>
      </c>
      <c r="M683" s="387">
        <v>0</v>
      </c>
      <c r="N683" s="387">
        <f t="shared" si="88"/>
        <v>1</v>
      </c>
      <c r="O683" s="442">
        <f t="shared" si="89"/>
        <v>0</v>
      </c>
      <c r="P683" s="387" t="s">
        <v>1358</v>
      </c>
      <c r="Q683" s="459">
        <v>0</v>
      </c>
      <c r="R683" s="459"/>
      <c r="S683" s="456">
        <v>0</v>
      </c>
      <c r="T683" s="456">
        <v>25.099</v>
      </c>
      <c r="U683" s="410"/>
      <c r="V683" s="411">
        <v>0</v>
      </c>
      <c r="W683" s="411">
        <v>0</v>
      </c>
      <c r="X683" s="411">
        <v>0</v>
      </c>
      <c r="Y683" s="411"/>
      <c r="Z683" s="411"/>
      <c r="AA683" s="412">
        <f t="shared" si="90"/>
        <v>0</v>
      </c>
      <c r="AB683" s="456">
        <f t="shared" si="91"/>
        <v>0</v>
      </c>
      <c r="AC683" s="456">
        <v>0</v>
      </c>
      <c r="AD683" s="2"/>
      <c r="AE683" s="4"/>
      <c r="AF683" s="5"/>
      <c r="AG683" s="428"/>
    </row>
    <row r="684" spans="2:33" hidden="1" x14ac:dyDescent="0.25">
      <c r="B684" s="1" t="s">
        <v>2765</v>
      </c>
      <c r="C684" s="3" t="s">
        <v>1368</v>
      </c>
      <c r="D684" s="3" t="s">
        <v>1247</v>
      </c>
      <c r="E684" s="407" t="s">
        <v>3306</v>
      </c>
      <c r="F684" s="3" t="s">
        <v>2075</v>
      </c>
      <c r="G684" s="407" t="s">
        <v>4484</v>
      </c>
      <c r="H684" s="440" t="s">
        <v>4109</v>
      </c>
      <c r="I684" s="407" t="s">
        <v>4305</v>
      </c>
      <c r="J684" s="407" t="s">
        <v>3786</v>
      </c>
      <c r="K684" s="387" t="s">
        <v>4636</v>
      </c>
      <c r="L684" s="387">
        <v>1</v>
      </c>
      <c r="M684" s="387">
        <v>0</v>
      </c>
      <c r="N684" s="387">
        <f t="shared" si="88"/>
        <v>1</v>
      </c>
      <c r="O684" s="442">
        <f t="shared" si="89"/>
        <v>0</v>
      </c>
      <c r="P684" s="387" t="s">
        <v>1358</v>
      </c>
      <c r="Q684" s="459">
        <v>0</v>
      </c>
      <c r="R684" s="459"/>
      <c r="S684" s="456">
        <v>0</v>
      </c>
      <c r="T684" s="456">
        <v>33.94</v>
      </c>
      <c r="U684" s="410"/>
      <c r="V684" s="411">
        <v>0</v>
      </c>
      <c r="W684" s="411">
        <v>0</v>
      </c>
      <c r="X684" s="411">
        <v>0</v>
      </c>
      <c r="Y684" s="411"/>
      <c r="Z684" s="411"/>
      <c r="AA684" s="412">
        <f t="shared" si="90"/>
        <v>0</v>
      </c>
      <c r="AB684" s="456">
        <f t="shared" si="91"/>
        <v>0</v>
      </c>
      <c r="AC684" s="456">
        <v>0</v>
      </c>
      <c r="AD684" s="2"/>
      <c r="AE684" s="4"/>
      <c r="AF684" s="5"/>
      <c r="AG684" s="428"/>
    </row>
    <row r="685" spans="2:33" hidden="1" x14ac:dyDescent="0.25">
      <c r="B685" s="1" t="s">
        <v>2766</v>
      </c>
      <c r="C685" s="3" t="s">
        <v>1368</v>
      </c>
      <c r="D685" s="3" t="s">
        <v>1247</v>
      </c>
      <c r="E685" s="407" t="s">
        <v>3236</v>
      </c>
      <c r="F685" s="3" t="s">
        <v>2076</v>
      </c>
      <c r="G685" s="407" t="s">
        <v>4491</v>
      </c>
      <c r="H685" s="440" t="s">
        <v>4109</v>
      </c>
      <c r="I685" s="407" t="s">
        <v>4312</v>
      </c>
      <c r="J685" s="407" t="s">
        <v>3793</v>
      </c>
      <c r="K685" s="387" t="s">
        <v>4645</v>
      </c>
      <c r="L685" s="387">
        <v>1</v>
      </c>
      <c r="M685" s="387">
        <v>0</v>
      </c>
      <c r="N685" s="387">
        <f t="shared" si="88"/>
        <v>1</v>
      </c>
      <c r="O685" s="442">
        <f t="shared" si="89"/>
        <v>1.0000000000000002</v>
      </c>
      <c r="P685" s="387" t="s">
        <v>1358</v>
      </c>
      <c r="Q685" s="459">
        <v>0</v>
      </c>
      <c r="R685" s="459"/>
      <c r="S685" s="456">
        <v>0</v>
      </c>
      <c r="T685" s="456">
        <v>20.454999999999998</v>
      </c>
      <c r="U685" s="410"/>
      <c r="V685" s="411">
        <v>1</v>
      </c>
      <c r="W685" s="411">
        <v>1</v>
      </c>
      <c r="X685" s="411">
        <v>1</v>
      </c>
      <c r="Y685" s="411"/>
      <c r="Z685" s="411"/>
      <c r="AA685" s="412">
        <f t="shared" si="90"/>
        <v>1.0000000000000002</v>
      </c>
      <c r="AB685" s="456">
        <f t="shared" si="91"/>
        <v>20.455000000000002</v>
      </c>
      <c r="AC685" s="456">
        <v>0</v>
      </c>
      <c r="AD685" s="2"/>
      <c r="AE685" s="4"/>
      <c r="AF685" s="5"/>
      <c r="AG685" s="428"/>
    </row>
    <row r="686" spans="2:33" hidden="1" x14ac:dyDescent="0.25">
      <c r="B686" s="1" t="s">
        <v>2767</v>
      </c>
      <c r="C686" s="3" t="s">
        <v>1368</v>
      </c>
      <c r="D686" s="3" t="s">
        <v>1247</v>
      </c>
      <c r="E686" s="407" t="s">
        <v>3234</v>
      </c>
      <c r="F686" s="3" t="s">
        <v>2077</v>
      </c>
      <c r="G686" s="407" t="s">
        <v>4492</v>
      </c>
      <c r="H686" s="440" t="s">
        <v>4109</v>
      </c>
      <c r="I686" s="407" t="s">
        <v>4313</v>
      </c>
      <c r="J686" s="407" t="s">
        <v>3794</v>
      </c>
      <c r="K686" s="387" t="s">
        <v>4646</v>
      </c>
      <c r="L686" s="387">
        <v>1</v>
      </c>
      <c r="M686" s="387">
        <v>0</v>
      </c>
      <c r="N686" s="387">
        <f t="shared" si="88"/>
        <v>1</v>
      </c>
      <c r="O686" s="442">
        <f t="shared" si="89"/>
        <v>1</v>
      </c>
      <c r="P686" s="387" t="s">
        <v>1358</v>
      </c>
      <c r="Q686" s="459">
        <v>0</v>
      </c>
      <c r="R686" s="459"/>
      <c r="S686" s="456">
        <v>0</v>
      </c>
      <c r="T686" s="456">
        <v>18.765999999999998</v>
      </c>
      <c r="U686" s="410"/>
      <c r="V686" s="411">
        <v>1</v>
      </c>
      <c r="W686" s="411">
        <v>1</v>
      </c>
      <c r="X686" s="411">
        <v>1</v>
      </c>
      <c r="Y686" s="411"/>
      <c r="Z686" s="411"/>
      <c r="AA686" s="412">
        <f t="shared" si="90"/>
        <v>1</v>
      </c>
      <c r="AB686" s="456">
        <f t="shared" si="91"/>
        <v>18.765999999999998</v>
      </c>
      <c r="AC686" s="456">
        <v>0</v>
      </c>
      <c r="AD686" s="2"/>
      <c r="AE686" s="4"/>
      <c r="AF686" s="5"/>
      <c r="AG686" s="428"/>
    </row>
    <row r="687" spans="2:33" hidden="1" x14ac:dyDescent="0.25">
      <c r="B687" s="1" t="s">
        <v>2768</v>
      </c>
      <c r="C687" s="3" t="s">
        <v>1368</v>
      </c>
      <c r="D687" s="3" t="s">
        <v>1247</v>
      </c>
      <c r="E687" s="407" t="s">
        <v>1374</v>
      </c>
      <c r="F687" s="3" t="s">
        <v>2078</v>
      </c>
      <c r="G687" s="407" t="s">
        <v>4495</v>
      </c>
      <c r="H687" s="440" t="s">
        <v>4109</v>
      </c>
      <c r="I687" s="407" t="s">
        <v>4316</v>
      </c>
      <c r="J687" s="407" t="s">
        <v>3757</v>
      </c>
      <c r="K687" s="387" t="s">
        <v>4649</v>
      </c>
      <c r="L687" s="387">
        <v>1</v>
      </c>
      <c r="M687" s="387">
        <v>0</v>
      </c>
      <c r="N687" s="387">
        <f t="shared" si="88"/>
        <v>1</v>
      </c>
      <c r="O687" s="442">
        <f t="shared" si="89"/>
        <v>1</v>
      </c>
      <c r="P687" s="387" t="s">
        <v>1358</v>
      </c>
      <c r="Q687" s="459">
        <v>0</v>
      </c>
      <c r="R687" s="459"/>
      <c r="S687" s="456">
        <v>0</v>
      </c>
      <c r="T687" s="456">
        <v>18.753</v>
      </c>
      <c r="U687" s="410"/>
      <c r="V687" s="411">
        <v>1</v>
      </c>
      <c r="W687" s="411">
        <v>1</v>
      </c>
      <c r="X687" s="411">
        <v>1</v>
      </c>
      <c r="Y687" s="411"/>
      <c r="Z687" s="411"/>
      <c r="AA687" s="412">
        <f t="shared" si="90"/>
        <v>1</v>
      </c>
      <c r="AB687" s="456">
        <f t="shared" si="91"/>
        <v>18.753</v>
      </c>
      <c r="AC687" s="456">
        <v>0</v>
      </c>
      <c r="AD687" s="2"/>
      <c r="AE687" s="4"/>
      <c r="AF687" s="5"/>
      <c r="AG687" s="428"/>
    </row>
    <row r="688" spans="2:33" hidden="1" x14ac:dyDescent="0.25">
      <c r="B688" s="1" t="s">
        <v>2769</v>
      </c>
      <c r="C688" s="3" t="s">
        <v>1368</v>
      </c>
      <c r="D688" s="3" t="s">
        <v>1247</v>
      </c>
      <c r="E688" s="407" t="s">
        <v>3546</v>
      </c>
      <c r="F688" s="3" t="s">
        <v>2079</v>
      </c>
      <c r="G688" s="407" t="s">
        <v>4482</v>
      </c>
      <c r="H688" s="440" t="s">
        <v>4109</v>
      </c>
      <c r="I688" s="407" t="s">
        <v>4303</v>
      </c>
      <c r="J688" s="407" t="s">
        <v>3784</v>
      </c>
      <c r="K688" s="387" t="s">
        <v>4660</v>
      </c>
      <c r="L688" s="387">
        <v>1</v>
      </c>
      <c r="M688" s="387">
        <v>0</v>
      </c>
      <c r="N688" s="387">
        <f t="shared" si="88"/>
        <v>1</v>
      </c>
      <c r="O688" s="442">
        <f t="shared" si="89"/>
        <v>0</v>
      </c>
      <c r="P688" s="387" t="s">
        <v>1358</v>
      </c>
      <c r="Q688" s="459">
        <v>0</v>
      </c>
      <c r="R688" s="459"/>
      <c r="S688" s="456">
        <v>0</v>
      </c>
      <c r="T688" s="456">
        <v>33.084000000000003</v>
      </c>
      <c r="U688" s="410"/>
      <c r="V688" s="411">
        <v>0</v>
      </c>
      <c r="W688" s="411">
        <v>0</v>
      </c>
      <c r="X688" s="411">
        <v>0</v>
      </c>
      <c r="Y688" s="411"/>
      <c r="Z688" s="411"/>
      <c r="AA688" s="412">
        <f t="shared" si="90"/>
        <v>0</v>
      </c>
      <c r="AB688" s="456">
        <f t="shared" si="91"/>
        <v>0</v>
      </c>
      <c r="AC688" s="456">
        <v>0</v>
      </c>
      <c r="AD688" s="2"/>
      <c r="AE688" s="4"/>
      <c r="AF688" s="5"/>
      <c r="AG688" s="428"/>
    </row>
    <row r="689" spans="2:33" hidden="1" x14ac:dyDescent="0.25">
      <c r="B689" s="1" t="s">
        <v>2770</v>
      </c>
      <c r="C689" s="3" t="s">
        <v>1368</v>
      </c>
      <c r="D689" s="3" t="s">
        <v>1247</v>
      </c>
      <c r="E689" s="407" t="s">
        <v>1402</v>
      </c>
      <c r="F689" s="3" t="s">
        <v>2080</v>
      </c>
      <c r="G689" s="407" t="s">
        <v>4481</v>
      </c>
      <c r="H689" s="440" t="s">
        <v>4109</v>
      </c>
      <c r="I689" s="407" t="s">
        <v>4302</v>
      </c>
      <c r="J689" s="407" t="s">
        <v>3783</v>
      </c>
      <c r="K689" s="387" t="s">
        <v>4659</v>
      </c>
      <c r="L689" s="387">
        <v>1</v>
      </c>
      <c r="M689" s="387">
        <v>0</v>
      </c>
      <c r="N689" s="387">
        <f t="shared" si="88"/>
        <v>1</v>
      </c>
      <c r="O689" s="442">
        <f t="shared" si="89"/>
        <v>0</v>
      </c>
      <c r="P689" s="387" t="s">
        <v>1358</v>
      </c>
      <c r="Q689" s="459">
        <v>0</v>
      </c>
      <c r="R689" s="459"/>
      <c r="S689" s="456">
        <v>0</v>
      </c>
      <c r="T689" s="456">
        <v>34.017000000000003</v>
      </c>
      <c r="U689" s="410"/>
      <c r="V689" s="411">
        <v>0</v>
      </c>
      <c r="W689" s="411">
        <v>0</v>
      </c>
      <c r="X689" s="411">
        <v>0</v>
      </c>
      <c r="Y689" s="411"/>
      <c r="Z689" s="411"/>
      <c r="AA689" s="412">
        <f t="shared" si="90"/>
        <v>0</v>
      </c>
      <c r="AB689" s="456">
        <f t="shared" si="91"/>
        <v>0</v>
      </c>
      <c r="AC689" s="456">
        <v>0</v>
      </c>
      <c r="AD689" s="2"/>
      <c r="AE689" s="4"/>
      <c r="AF689" s="5"/>
      <c r="AG689" s="428"/>
    </row>
    <row r="690" spans="2:33" hidden="1" x14ac:dyDescent="0.25">
      <c r="B690" s="1" t="s">
        <v>2771</v>
      </c>
      <c r="C690" s="3" t="s">
        <v>1368</v>
      </c>
      <c r="D690" s="3" t="s">
        <v>1247</v>
      </c>
      <c r="E690" s="407" t="s">
        <v>1401</v>
      </c>
      <c r="F690" s="3" t="s">
        <v>2081</v>
      </c>
      <c r="G690" s="407" t="s">
        <v>4478</v>
      </c>
      <c r="H690" s="440" t="s">
        <v>4109</v>
      </c>
      <c r="I690" s="407" t="s">
        <v>4299</v>
      </c>
      <c r="J690" s="407" t="s">
        <v>3780</v>
      </c>
      <c r="K690" s="387" t="s">
        <v>4657</v>
      </c>
      <c r="L690" s="387">
        <v>1</v>
      </c>
      <c r="M690" s="387">
        <v>0</v>
      </c>
      <c r="N690" s="387">
        <f t="shared" si="88"/>
        <v>1</v>
      </c>
      <c r="O690" s="442">
        <f t="shared" si="89"/>
        <v>0</v>
      </c>
      <c r="P690" s="387" t="s">
        <v>1358</v>
      </c>
      <c r="Q690" s="459">
        <v>0</v>
      </c>
      <c r="R690" s="459"/>
      <c r="S690" s="456">
        <v>0</v>
      </c>
      <c r="T690" s="456">
        <v>34.017000000000003</v>
      </c>
      <c r="U690" s="410"/>
      <c r="V690" s="411">
        <v>0</v>
      </c>
      <c r="W690" s="411">
        <v>0</v>
      </c>
      <c r="X690" s="411">
        <v>0</v>
      </c>
      <c r="Y690" s="411"/>
      <c r="Z690" s="411"/>
      <c r="AA690" s="412">
        <f t="shared" si="90"/>
        <v>0</v>
      </c>
      <c r="AB690" s="456">
        <f t="shared" si="91"/>
        <v>0</v>
      </c>
      <c r="AC690" s="456">
        <v>0</v>
      </c>
      <c r="AD690" s="2"/>
      <c r="AE690" s="4"/>
      <c r="AF690" s="5"/>
      <c r="AG690" s="428"/>
    </row>
    <row r="691" spans="2:33" hidden="1" x14ac:dyDescent="0.25">
      <c r="B691" s="1" t="s">
        <v>2772</v>
      </c>
      <c r="C691" s="3" t="s">
        <v>1368</v>
      </c>
      <c r="D691" s="3" t="s">
        <v>1247</v>
      </c>
      <c r="E691" s="407" t="s">
        <v>1400</v>
      </c>
      <c r="F691" s="3" t="s">
        <v>2082</v>
      </c>
      <c r="G691" s="407" t="s">
        <v>4477</v>
      </c>
      <c r="H691" s="440" t="s">
        <v>4109</v>
      </c>
      <c r="I691" s="407" t="s">
        <v>4298</v>
      </c>
      <c r="J691" s="407" t="s">
        <v>3779</v>
      </c>
      <c r="K691" s="387" t="s">
        <v>4656</v>
      </c>
      <c r="L691" s="387">
        <v>1</v>
      </c>
      <c r="M691" s="387">
        <v>0</v>
      </c>
      <c r="N691" s="387">
        <f t="shared" si="88"/>
        <v>1</v>
      </c>
      <c r="O691" s="442">
        <f t="shared" si="89"/>
        <v>1</v>
      </c>
      <c r="P691" s="387" t="s">
        <v>1358</v>
      </c>
      <c r="Q691" s="459">
        <v>0</v>
      </c>
      <c r="R691" s="459"/>
      <c r="S691" s="456">
        <v>0</v>
      </c>
      <c r="T691" s="456">
        <v>34.017000000000003</v>
      </c>
      <c r="U691" s="410"/>
      <c r="V691" s="411">
        <v>1</v>
      </c>
      <c r="W691" s="411">
        <v>1</v>
      </c>
      <c r="X691" s="411">
        <v>1</v>
      </c>
      <c r="Y691" s="411"/>
      <c r="Z691" s="411"/>
      <c r="AA691" s="412">
        <f t="shared" si="90"/>
        <v>1</v>
      </c>
      <c r="AB691" s="456">
        <f t="shared" si="91"/>
        <v>34.017000000000003</v>
      </c>
      <c r="AC691" s="456">
        <v>0</v>
      </c>
      <c r="AD691" s="2"/>
      <c r="AE691" s="4"/>
      <c r="AF691" s="5"/>
      <c r="AG691" s="428"/>
    </row>
    <row r="692" spans="2:33" hidden="1" x14ac:dyDescent="0.25">
      <c r="B692" s="1" t="s">
        <v>2773</v>
      </c>
      <c r="C692" s="3" t="s">
        <v>1368</v>
      </c>
      <c r="D692" s="3" t="s">
        <v>1247</v>
      </c>
      <c r="E692" s="407" t="s">
        <v>1399</v>
      </c>
      <c r="F692" s="3" t="s">
        <v>2083</v>
      </c>
      <c r="G692" s="407" t="s">
        <v>4499</v>
      </c>
      <c r="H692" s="440" t="s">
        <v>4109</v>
      </c>
      <c r="I692" s="407" t="s">
        <v>4320</v>
      </c>
      <c r="J692" s="407" t="s">
        <v>3758</v>
      </c>
      <c r="K692" s="387" t="s">
        <v>4653</v>
      </c>
      <c r="L692" s="387">
        <v>1</v>
      </c>
      <c r="M692" s="387">
        <v>0</v>
      </c>
      <c r="N692" s="387">
        <f t="shared" si="88"/>
        <v>1</v>
      </c>
      <c r="O692" s="442">
        <f t="shared" si="89"/>
        <v>1</v>
      </c>
      <c r="P692" s="387" t="s">
        <v>1358</v>
      </c>
      <c r="Q692" s="459">
        <v>0</v>
      </c>
      <c r="R692" s="459"/>
      <c r="S692" s="456">
        <v>0</v>
      </c>
      <c r="T692" s="456">
        <v>34.017000000000003</v>
      </c>
      <c r="U692" s="410"/>
      <c r="V692" s="411">
        <v>1</v>
      </c>
      <c r="W692" s="411">
        <v>1</v>
      </c>
      <c r="X692" s="411">
        <v>1</v>
      </c>
      <c r="Y692" s="411"/>
      <c r="Z692" s="411"/>
      <c r="AA692" s="412">
        <f t="shared" si="90"/>
        <v>1</v>
      </c>
      <c r="AB692" s="456">
        <f t="shared" si="91"/>
        <v>34.017000000000003</v>
      </c>
      <c r="AC692" s="456">
        <v>0</v>
      </c>
      <c r="AD692" s="2"/>
      <c r="AE692" s="4"/>
      <c r="AF692" s="5"/>
      <c r="AG692" s="428"/>
    </row>
    <row r="693" spans="2:33" hidden="1" x14ac:dyDescent="0.25">
      <c r="B693" s="1" t="s">
        <v>2774</v>
      </c>
      <c r="C693" s="3" t="s">
        <v>1368</v>
      </c>
      <c r="D693" s="3" t="s">
        <v>1247</v>
      </c>
      <c r="E693" s="407" t="s">
        <v>1396</v>
      </c>
      <c r="F693" s="3" t="s">
        <v>2084</v>
      </c>
      <c r="G693" s="407" t="s">
        <v>4498</v>
      </c>
      <c r="H693" s="440" t="s">
        <v>4109</v>
      </c>
      <c r="I693" s="407" t="s">
        <v>4319</v>
      </c>
      <c r="J693" s="407" t="s">
        <v>3752</v>
      </c>
      <c r="K693" s="387" t="s">
        <v>4652</v>
      </c>
      <c r="L693" s="387">
        <v>1</v>
      </c>
      <c r="M693" s="387">
        <v>0</v>
      </c>
      <c r="N693" s="387">
        <f t="shared" si="88"/>
        <v>1</v>
      </c>
      <c r="O693" s="442">
        <f t="shared" si="89"/>
        <v>1</v>
      </c>
      <c r="P693" s="387" t="s">
        <v>1358</v>
      </c>
      <c r="Q693" s="459">
        <v>0</v>
      </c>
      <c r="R693" s="459"/>
      <c r="S693" s="456">
        <v>0</v>
      </c>
      <c r="T693" s="456">
        <v>34.017000000000003</v>
      </c>
      <c r="U693" s="410"/>
      <c r="V693" s="411">
        <v>1</v>
      </c>
      <c r="W693" s="411">
        <v>1</v>
      </c>
      <c r="X693" s="411">
        <v>1</v>
      </c>
      <c r="Y693" s="411"/>
      <c r="Z693" s="411"/>
      <c r="AA693" s="412">
        <f t="shared" si="90"/>
        <v>1</v>
      </c>
      <c r="AB693" s="456">
        <f t="shared" si="91"/>
        <v>34.017000000000003</v>
      </c>
      <c r="AC693" s="456">
        <v>0</v>
      </c>
      <c r="AD693" s="2"/>
      <c r="AE693" s="4"/>
      <c r="AF693" s="5"/>
      <c r="AG693" s="428"/>
    </row>
    <row r="694" spans="2:33" hidden="1" x14ac:dyDescent="0.25">
      <c r="B694" s="1" t="s">
        <v>2775</v>
      </c>
      <c r="C694" s="3" t="s">
        <v>1368</v>
      </c>
      <c r="D694" s="3" t="s">
        <v>1247</v>
      </c>
      <c r="E694" s="407" t="s">
        <v>1381</v>
      </c>
      <c r="F694" s="3" t="s">
        <v>2085</v>
      </c>
      <c r="G694" s="407" t="s">
        <v>4497</v>
      </c>
      <c r="H694" s="440" t="s">
        <v>4109</v>
      </c>
      <c r="I694" s="407" t="s">
        <v>4318</v>
      </c>
      <c r="J694" s="407" t="s">
        <v>3751</v>
      </c>
      <c r="K694" s="387" t="s">
        <v>4631</v>
      </c>
      <c r="L694" s="387">
        <v>1</v>
      </c>
      <c r="M694" s="387">
        <v>0</v>
      </c>
      <c r="N694" s="387">
        <f t="shared" si="88"/>
        <v>1</v>
      </c>
      <c r="O694" s="442">
        <f t="shared" si="89"/>
        <v>1</v>
      </c>
      <c r="P694" s="387" t="s">
        <v>1358</v>
      </c>
      <c r="Q694" s="459">
        <v>0</v>
      </c>
      <c r="R694" s="459"/>
      <c r="S694" s="456">
        <v>0</v>
      </c>
      <c r="T694" s="456">
        <v>34.017000000000003</v>
      </c>
      <c r="U694" s="410"/>
      <c r="V694" s="411">
        <v>1</v>
      </c>
      <c r="W694" s="411">
        <v>1</v>
      </c>
      <c r="X694" s="411">
        <v>1</v>
      </c>
      <c r="Y694" s="411"/>
      <c r="Z694" s="411"/>
      <c r="AA694" s="412">
        <f t="shared" si="90"/>
        <v>1</v>
      </c>
      <c r="AB694" s="456">
        <f t="shared" si="91"/>
        <v>34.017000000000003</v>
      </c>
      <c r="AC694" s="456">
        <v>0</v>
      </c>
      <c r="AD694" s="2"/>
      <c r="AE694" s="4"/>
      <c r="AF694" s="5"/>
      <c r="AG694" s="428"/>
    </row>
    <row r="695" spans="2:33" hidden="1" x14ac:dyDescent="0.25">
      <c r="B695" s="1" t="s">
        <v>2776</v>
      </c>
      <c r="C695" s="3" t="s">
        <v>1368</v>
      </c>
      <c r="D695" s="3" t="s">
        <v>1247</v>
      </c>
      <c r="E695" s="407" t="s">
        <v>1379</v>
      </c>
      <c r="F695" s="3" t="s">
        <v>2086</v>
      </c>
      <c r="G695" s="407" t="s">
        <v>4502</v>
      </c>
      <c r="H695" s="440" t="s">
        <v>4109</v>
      </c>
      <c r="I695" s="407" t="s">
        <v>4323</v>
      </c>
      <c r="J695" s="407" t="s">
        <v>3750</v>
      </c>
      <c r="K695" s="387" t="s">
        <v>4632</v>
      </c>
      <c r="L695" s="387">
        <v>1</v>
      </c>
      <c r="M695" s="387">
        <v>0</v>
      </c>
      <c r="N695" s="387">
        <f t="shared" si="88"/>
        <v>1</v>
      </c>
      <c r="O695" s="442">
        <f t="shared" si="89"/>
        <v>1</v>
      </c>
      <c r="P695" s="387" t="s">
        <v>1358</v>
      </c>
      <c r="Q695" s="459">
        <v>0</v>
      </c>
      <c r="R695" s="459"/>
      <c r="S695" s="456">
        <v>0</v>
      </c>
      <c r="T695" s="456">
        <v>34.017000000000003</v>
      </c>
      <c r="U695" s="410"/>
      <c r="V695" s="411">
        <v>1</v>
      </c>
      <c r="W695" s="411">
        <v>1</v>
      </c>
      <c r="X695" s="411">
        <v>1</v>
      </c>
      <c r="Y695" s="411"/>
      <c r="Z695" s="411"/>
      <c r="AA695" s="412">
        <f t="shared" si="90"/>
        <v>1</v>
      </c>
      <c r="AB695" s="456">
        <f t="shared" si="91"/>
        <v>34.017000000000003</v>
      </c>
      <c r="AC695" s="456">
        <v>0</v>
      </c>
      <c r="AD695" s="2"/>
      <c r="AE695" s="4"/>
      <c r="AF695" s="5"/>
      <c r="AG695" s="428"/>
    </row>
    <row r="696" spans="2:33" hidden="1" x14ac:dyDescent="0.25">
      <c r="B696" s="1" t="s">
        <v>2777</v>
      </c>
      <c r="C696" s="3" t="s">
        <v>1368</v>
      </c>
      <c r="D696" s="3" t="s">
        <v>1247</v>
      </c>
      <c r="E696" s="407" t="s">
        <v>1377</v>
      </c>
      <c r="F696" s="3" t="s">
        <v>2087</v>
      </c>
      <c r="G696" s="407" t="s">
        <v>4494</v>
      </c>
      <c r="H696" s="440" t="s">
        <v>4109</v>
      </c>
      <c r="I696" s="407" t="s">
        <v>4315</v>
      </c>
      <c r="J696" s="407" t="s">
        <v>3749</v>
      </c>
      <c r="K696" s="387" t="s">
        <v>4648</v>
      </c>
      <c r="L696" s="387">
        <v>1</v>
      </c>
      <c r="M696" s="387">
        <v>0</v>
      </c>
      <c r="N696" s="387">
        <f t="shared" ref="N696:N760" si="92">L696+M696</f>
        <v>1</v>
      </c>
      <c r="O696" s="442">
        <f t="shared" ref="O696:O760" si="93">L696*AA696</f>
        <v>1</v>
      </c>
      <c r="P696" s="387" t="s">
        <v>1358</v>
      </c>
      <c r="Q696" s="459">
        <v>0</v>
      </c>
      <c r="R696" s="459"/>
      <c r="S696" s="456">
        <v>0</v>
      </c>
      <c r="T696" s="456">
        <v>34.017000000000003</v>
      </c>
      <c r="U696" s="410"/>
      <c r="V696" s="411">
        <v>1</v>
      </c>
      <c r="W696" s="411">
        <v>1</v>
      </c>
      <c r="X696" s="411">
        <v>1</v>
      </c>
      <c r="Y696" s="411"/>
      <c r="Z696" s="411"/>
      <c r="AA696" s="412">
        <f t="shared" ref="AA696:AA760" si="94">AB696/T696</f>
        <v>1</v>
      </c>
      <c r="AB696" s="456">
        <f t="shared" ref="AB696:AB760" si="95">(V696*V$369*T696)+(W696*W$369*T696)+(X696*X$369*T696)</f>
        <v>34.017000000000003</v>
      </c>
      <c r="AC696" s="456">
        <v>0</v>
      </c>
      <c r="AD696" s="2"/>
      <c r="AE696" s="4"/>
      <c r="AF696" s="5"/>
      <c r="AG696" s="428"/>
    </row>
    <row r="697" spans="2:33" hidden="1" x14ac:dyDescent="0.25">
      <c r="B697" s="1" t="s">
        <v>2778</v>
      </c>
      <c r="C697" s="3" t="s">
        <v>1368</v>
      </c>
      <c r="D697" s="3" t="s">
        <v>1247</v>
      </c>
      <c r="E697" s="407" t="s">
        <v>1374</v>
      </c>
      <c r="F697" s="3" t="s">
        <v>2088</v>
      </c>
      <c r="G697" s="407" t="s">
        <v>4495</v>
      </c>
      <c r="H697" s="440" t="s">
        <v>4109</v>
      </c>
      <c r="I697" s="407" t="s">
        <v>4316</v>
      </c>
      <c r="J697" s="407" t="s">
        <v>3757</v>
      </c>
      <c r="K697" s="387" t="s">
        <v>4649</v>
      </c>
      <c r="L697" s="387">
        <v>1</v>
      </c>
      <c r="M697" s="387">
        <v>0</v>
      </c>
      <c r="N697" s="387">
        <f t="shared" si="92"/>
        <v>1</v>
      </c>
      <c r="O697" s="442">
        <f t="shared" si="93"/>
        <v>1</v>
      </c>
      <c r="P697" s="387" t="s">
        <v>1358</v>
      </c>
      <c r="Q697" s="459">
        <v>0</v>
      </c>
      <c r="R697" s="459"/>
      <c r="S697" s="456">
        <v>0</v>
      </c>
      <c r="T697" s="456">
        <v>34.017000000000003</v>
      </c>
      <c r="U697" s="410"/>
      <c r="V697" s="411">
        <v>1</v>
      </c>
      <c r="W697" s="411">
        <v>1</v>
      </c>
      <c r="X697" s="411">
        <v>1</v>
      </c>
      <c r="Y697" s="411"/>
      <c r="Z697" s="411"/>
      <c r="AA697" s="412">
        <f t="shared" si="94"/>
        <v>1</v>
      </c>
      <c r="AB697" s="456">
        <f t="shared" si="95"/>
        <v>34.017000000000003</v>
      </c>
      <c r="AC697" s="456">
        <v>0</v>
      </c>
      <c r="AD697" s="2"/>
      <c r="AE697" s="4"/>
      <c r="AF697" s="5"/>
      <c r="AG697" s="428"/>
    </row>
    <row r="698" spans="2:33" hidden="1" x14ac:dyDescent="0.25">
      <c r="B698" s="1" t="s">
        <v>2779</v>
      </c>
      <c r="C698" s="3" t="s">
        <v>1368</v>
      </c>
      <c r="D698" s="3" t="s">
        <v>1247</v>
      </c>
      <c r="E698" s="407" t="s">
        <v>1398</v>
      </c>
      <c r="F698" s="3" t="s">
        <v>2089</v>
      </c>
      <c r="G698" s="407" t="s">
        <v>4496</v>
      </c>
      <c r="H698" s="440" t="s">
        <v>4109</v>
      </c>
      <c r="I698" s="407" t="s">
        <v>4317</v>
      </c>
      <c r="J698" s="407" t="s">
        <v>3796</v>
      </c>
      <c r="K698" s="387" t="s">
        <v>4650</v>
      </c>
      <c r="L698" s="387">
        <v>1</v>
      </c>
      <c r="M698" s="387">
        <v>0</v>
      </c>
      <c r="N698" s="387">
        <f t="shared" si="92"/>
        <v>1</v>
      </c>
      <c r="O698" s="442">
        <f t="shared" si="93"/>
        <v>1</v>
      </c>
      <c r="P698" s="387" t="s">
        <v>1358</v>
      </c>
      <c r="Q698" s="459">
        <v>0</v>
      </c>
      <c r="R698" s="459"/>
      <c r="S698" s="456">
        <v>0</v>
      </c>
      <c r="T698" s="456">
        <v>34.017000000000003</v>
      </c>
      <c r="U698" s="410"/>
      <c r="V698" s="411">
        <v>1</v>
      </c>
      <c r="W698" s="411">
        <v>1</v>
      </c>
      <c r="X698" s="411">
        <v>1</v>
      </c>
      <c r="Y698" s="411"/>
      <c r="Z698" s="411"/>
      <c r="AA698" s="412">
        <f t="shared" si="94"/>
        <v>1</v>
      </c>
      <c r="AB698" s="456">
        <f t="shared" si="95"/>
        <v>34.017000000000003</v>
      </c>
      <c r="AC698" s="456">
        <v>0</v>
      </c>
      <c r="AD698" s="2"/>
      <c r="AE698" s="4"/>
      <c r="AF698" s="5"/>
      <c r="AG698" s="428"/>
    </row>
    <row r="699" spans="2:33" hidden="1" x14ac:dyDescent="0.25">
      <c r="B699" s="1" t="s">
        <v>2780</v>
      </c>
      <c r="C699" s="3" t="s">
        <v>1368</v>
      </c>
      <c r="D699" s="3" t="s">
        <v>1247</v>
      </c>
      <c r="E699" s="407" t="s">
        <v>1397</v>
      </c>
      <c r="F699" s="3" t="s">
        <v>2090</v>
      </c>
      <c r="G699" s="407" t="s">
        <v>4493</v>
      </c>
      <c r="H699" s="440" t="s">
        <v>4109</v>
      </c>
      <c r="I699" s="407" t="s">
        <v>4314</v>
      </c>
      <c r="J699" s="407" t="s">
        <v>3795</v>
      </c>
      <c r="K699" s="387" t="s">
        <v>4647</v>
      </c>
      <c r="L699" s="387">
        <v>1</v>
      </c>
      <c r="M699" s="387">
        <v>0</v>
      </c>
      <c r="N699" s="387">
        <f t="shared" si="92"/>
        <v>1</v>
      </c>
      <c r="O699" s="442">
        <f t="shared" si="93"/>
        <v>1</v>
      </c>
      <c r="P699" s="387" t="s">
        <v>1358</v>
      </c>
      <c r="Q699" s="459">
        <v>0</v>
      </c>
      <c r="R699" s="459"/>
      <c r="S699" s="456">
        <v>0</v>
      </c>
      <c r="T699" s="456">
        <v>34.017000000000003</v>
      </c>
      <c r="U699" s="410"/>
      <c r="V699" s="411">
        <v>1</v>
      </c>
      <c r="W699" s="411">
        <v>1</v>
      </c>
      <c r="X699" s="411">
        <v>1</v>
      </c>
      <c r="Y699" s="411"/>
      <c r="Z699" s="411"/>
      <c r="AA699" s="412">
        <f t="shared" si="94"/>
        <v>1</v>
      </c>
      <c r="AB699" s="456">
        <f t="shared" si="95"/>
        <v>34.017000000000003</v>
      </c>
      <c r="AC699" s="456">
        <v>0</v>
      </c>
      <c r="AD699" s="2"/>
      <c r="AE699" s="4"/>
      <c r="AF699" s="5"/>
      <c r="AG699" s="428"/>
    </row>
    <row r="700" spans="2:33" hidden="1" x14ac:dyDescent="0.25">
      <c r="B700" s="1" t="s">
        <v>2781</v>
      </c>
      <c r="C700" s="3" t="s">
        <v>1368</v>
      </c>
      <c r="D700" s="3" t="s">
        <v>1247</v>
      </c>
      <c r="E700" s="407" t="s">
        <v>1425</v>
      </c>
      <c r="F700" s="3" t="s">
        <v>2091</v>
      </c>
      <c r="G700" s="407" t="s">
        <v>4479</v>
      </c>
      <c r="H700" s="440" t="s">
        <v>4109</v>
      </c>
      <c r="I700" s="407" t="s">
        <v>4300</v>
      </c>
      <c r="J700" s="407" t="s">
        <v>3781</v>
      </c>
      <c r="K700" s="387" t="s">
        <v>4643</v>
      </c>
      <c r="L700" s="387">
        <v>1</v>
      </c>
      <c r="M700" s="387">
        <v>0</v>
      </c>
      <c r="N700" s="387">
        <f t="shared" si="92"/>
        <v>1</v>
      </c>
      <c r="O700" s="442">
        <f t="shared" si="93"/>
        <v>1.0000000000000002</v>
      </c>
      <c r="P700" s="387" t="s">
        <v>1358</v>
      </c>
      <c r="Q700" s="459">
        <v>0</v>
      </c>
      <c r="R700" s="459"/>
      <c r="S700" s="456">
        <v>0</v>
      </c>
      <c r="T700" s="456">
        <v>31.218</v>
      </c>
      <c r="U700" s="410"/>
      <c r="V700" s="411">
        <v>1</v>
      </c>
      <c r="W700" s="411">
        <v>1</v>
      </c>
      <c r="X700" s="411">
        <v>1</v>
      </c>
      <c r="Y700" s="411"/>
      <c r="Z700" s="411"/>
      <c r="AA700" s="412">
        <f t="shared" si="94"/>
        <v>1.0000000000000002</v>
      </c>
      <c r="AB700" s="456">
        <f t="shared" si="95"/>
        <v>31.218000000000004</v>
      </c>
      <c r="AC700" s="456">
        <v>0</v>
      </c>
      <c r="AD700" s="2"/>
      <c r="AE700" s="4"/>
      <c r="AF700" s="5"/>
      <c r="AG700" s="428"/>
    </row>
    <row r="701" spans="2:33" hidden="1" x14ac:dyDescent="0.25">
      <c r="B701" s="1" t="s">
        <v>2782</v>
      </c>
      <c r="C701" s="3" t="s">
        <v>1368</v>
      </c>
      <c r="D701" s="3" t="s">
        <v>1247</v>
      </c>
      <c r="E701" s="407" t="s">
        <v>1426</v>
      </c>
      <c r="F701" s="3" t="s">
        <v>2092</v>
      </c>
      <c r="G701" s="407" t="s">
        <v>4480</v>
      </c>
      <c r="H701" s="440" t="s">
        <v>4109</v>
      </c>
      <c r="I701" s="407" t="s">
        <v>4301</v>
      </c>
      <c r="J701" s="407" t="s">
        <v>3782</v>
      </c>
      <c r="K701" s="387" t="s">
        <v>4637</v>
      </c>
      <c r="L701" s="387">
        <v>1</v>
      </c>
      <c r="M701" s="387">
        <v>0</v>
      </c>
      <c r="N701" s="387">
        <f t="shared" si="92"/>
        <v>1</v>
      </c>
      <c r="O701" s="442">
        <f t="shared" si="93"/>
        <v>0</v>
      </c>
      <c r="P701" s="387" t="s">
        <v>1358</v>
      </c>
      <c r="Q701" s="459">
        <v>0</v>
      </c>
      <c r="R701" s="459"/>
      <c r="S701" s="456">
        <v>0</v>
      </c>
      <c r="T701" s="456">
        <v>31.218</v>
      </c>
      <c r="U701" s="410"/>
      <c r="V701" s="411">
        <v>0</v>
      </c>
      <c r="W701" s="411">
        <v>0</v>
      </c>
      <c r="X701" s="411">
        <v>0</v>
      </c>
      <c r="Y701" s="411"/>
      <c r="Z701" s="411"/>
      <c r="AA701" s="412">
        <f t="shared" si="94"/>
        <v>0</v>
      </c>
      <c r="AB701" s="456">
        <f t="shared" si="95"/>
        <v>0</v>
      </c>
      <c r="AC701" s="456">
        <v>0</v>
      </c>
      <c r="AD701" s="2"/>
      <c r="AE701" s="4"/>
      <c r="AF701" s="5"/>
      <c r="AG701" s="428"/>
    </row>
    <row r="702" spans="2:33" hidden="1" x14ac:dyDescent="0.25">
      <c r="B702" s="1" t="s">
        <v>2783</v>
      </c>
      <c r="C702" s="3" t="s">
        <v>1368</v>
      </c>
      <c r="D702" s="3" t="s">
        <v>1247</v>
      </c>
      <c r="E702" s="407" t="s">
        <v>3293</v>
      </c>
      <c r="F702" s="3" t="s">
        <v>2093</v>
      </c>
      <c r="G702" s="407" t="s">
        <v>4503</v>
      </c>
      <c r="H702" s="440" t="s">
        <v>4109</v>
      </c>
      <c r="I702" s="407" t="s">
        <v>4324</v>
      </c>
      <c r="J702" s="407" t="s">
        <v>3798</v>
      </c>
      <c r="K702" s="387" t="s">
        <v>4658</v>
      </c>
      <c r="L702" s="387">
        <v>1</v>
      </c>
      <c r="M702" s="387">
        <v>0</v>
      </c>
      <c r="N702" s="387">
        <f t="shared" si="92"/>
        <v>1</v>
      </c>
      <c r="O702" s="442">
        <f t="shared" si="93"/>
        <v>1</v>
      </c>
      <c r="P702" s="387" t="s">
        <v>1358</v>
      </c>
      <c r="Q702" s="459">
        <v>0</v>
      </c>
      <c r="R702" s="459"/>
      <c r="S702" s="456">
        <v>0</v>
      </c>
      <c r="T702" s="456">
        <v>18.812999999999999</v>
      </c>
      <c r="U702" s="410"/>
      <c r="V702" s="411">
        <v>1</v>
      </c>
      <c r="W702" s="411">
        <v>1</v>
      </c>
      <c r="X702" s="411">
        <v>1</v>
      </c>
      <c r="Y702" s="411"/>
      <c r="Z702" s="411"/>
      <c r="AA702" s="412">
        <f t="shared" si="94"/>
        <v>1</v>
      </c>
      <c r="AB702" s="456">
        <f t="shared" si="95"/>
        <v>18.812999999999999</v>
      </c>
      <c r="AC702" s="456">
        <v>0</v>
      </c>
      <c r="AD702" s="2"/>
      <c r="AE702" s="4"/>
      <c r="AF702" s="5"/>
      <c r="AG702" s="428"/>
    </row>
    <row r="703" spans="2:33" hidden="1" x14ac:dyDescent="0.25">
      <c r="B703" s="1" t="s">
        <v>2784</v>
      </c>
      <c r="C703" s="3" t="s">
        <v>1368</v>
      </c>
      <c r="D703" s="3" t="s">
        <v>1247</v>
      </c>
      <c r="E703" s="407" t="s">
        <v>1399</v>
      </c>
      <c r="F703" s="3" t="s">
        <v>2094</v>
      </c>
      <c r="G703" s="407" t="s">
        <v>4499</v>
      </c>
      <c r="H703" s="440" t="s">
        <v>4109</v>
      </c>
      <c r="I703" s="407" t="s">
        <v>4320</v>
      </c>
      <c r="J703" s="407" t="s">
        <v>3758</v>
      </c>
      <c r="K703" s="387" t="s">
        <v>4653</v>
      </c>
      <c r="L703" s="387">
        <v>1</v>
      </c>
      <c r="M703" s="387">
        <v>0</v>
      </c>
      <c r="N703" s="387">
        <f t="shared" si="92"/>
        <v>1</v>
      </c>
      <c r="O703" s="442">
        <f t="shared" si="93"/>
        <v>1.0000000000000002</v>
      </c>
      <c r="P703" s="387" t="s">
        <v>1358</v>
      </c>
      <c r="Q703" s="459">
        <v>0</v>
      </c>
      <c r="R703" s="459"/>
      <c r="S703" s="456">
        <v>0</v>
      </c>
      <c r="T703" s="456">
        <v>25.07</v>
      </c>
      <c r="U703" s="410"/>
      <c r="V703" s="411">
        <v>1</v>
      </c>
      <c r="W703" s="411">
        <v>1</v>
      </c>
      <c r="X703" s="411">
        <v>1</v>
      </c>
      <c r="Y703" s="411"/>
      <c r="Z703" s="411"/>
      <c r="AA703" s="412">
        <f t="shared" si="94"/>
        <v>1.0000000000000002</v>
      </c>
      <c r="AB703" s="456">
        <f t="shared" si="95"/>
        <v>25.070000000000004</v>
      </c>
      <c r="AC703" s="456">
        <v>0</v>
      </c>
      <c r="AD703" s="2"/>
      <c r="AE703" s="4"/>
      <c r="AF703" s="5"/>
      <c r="AG703" s="428"/>
    </row>
    <row r="704" spans="2:33" hidden="1" x14ac:dyDescent="0.25">
      <c r="B704" s="1" t="s">
        <v>2785</v>
      </c>
      <c r="C704" s="3" t="s">
        <v>1368</v>
      </c>
      <c r="D704" s="3" t="s">
        <v>1247</v>
      </c>
      <c r="E704" s="407" t="s">
        <v>1432</v>
      </c>
      <c r="F704" s="3" t="s">
        <v>2095</v>
      </c>
      <c r="G704" s="407" t="s">
        <v>4483</v>
      </c>
      <c r="H704" s="440" t="s">
        <v>4109</v>
      </c>
      <c r="I704" s="407" t="s">
        <v>4304</v>
      </c>
      <c r="J704" s="407" t="s">
        <v>3785</v>
      </c>
      <c r="K704" s="387" t="s">
        <v>4635</v>
      </c>
      <c r="L704" s="387">
        <v>1</v>
      </c>
      <c r="M704" s="387">
        <v>0</v>
      </c>
      <c r="N704" s="387">
        <f t="shared" si="92"/>
        <v>1</v>
      </c>
      <c r="O704" s="442">
        <f t="shared" si="93"/>
        <v>0</v>
      </c>
      <c r="P704" s="387" t="s">
        <v>1358</v>
      </c>
      <c r="Q704" s="459">
        <v>0</v>
      </c>
      <c r="R704" s="459"/>
      <c r="S704" s="456">
        <v>0</v>
      </c>
      <c r="T704" s="456">
        <v>28.169</v>
      </c>
      <c r="U704" s="410"/>
      <c r="V704" s="411">
        <v>0</v>
      </c>
      <c r="W704" s="411">
        <v>0</v>
      </c>
      <c r="X704" s="411">
        <v>0</v>
      </c>
      <c r="Y704" s="411"/>
      <c r="Z704" s="411"/>
      <c r="AA704" s="412">
        <f t="shared" si="94"/>
        <v>0</v>
      </c>
      <c r="AB704" s="456">
        <f t="shared" si="95"/>
        <v>0</v>
      </c>
      <c r="AC704" s="456">
        <v>0</v>
      </c>
      <c r="AD704" s="2"/>
      <c r="AE704" s="4"/>
      <c r="AF704" s="5"/>
      <c r="AG704" s="428"/>
    </row>
    <row r="705" spans="2:33" hidden="1" x14ac:dyDescent="0.25">
      <c r="B705" s="1" t="s">
        <v>2786</v>
      </c>
      <c r="C705" s="3" t="s">
        <v>1368</v>
      </c>
      <c r="D705" s="3" t="s">
        <v>1247</v>
      </c>
      <c r="E705" s="407" t="s">
        <v>1397</v>
      </c>
      <c r="F705" s="3" t="s">
        <v>2096</v>
      </c>
      <c r="G705" s="407" t="s">
        <v>4493</v>
      </c>
      <c r="H705" s="440" t="s">
        <v>4109</v>
      </c>
      <c r="I705" s="407" t="s">
        <v>4314</v>
      </c>
      <c r="J705" s="407" t="s">
        <v>3795</v>
      </c>
      <c r="K705" s="387" t="s">
        <v>4647</v>
      </c>
      <c r="L705" s="387">
        <v>1</v>
      </c>
      <c r="M705" s="387">
        <v>0</v>
      </c>
      <c r="N705" s="387">
        <f t="shared" si="92"/>
        <v>1</v>
      </c>
      <c r="O705" s="442">
        <f t="shared" si="93"/>
        <v>1</v>
      </c>
      <c r="P705" s="387" t="s">
        <v>1358</v>
      </c>
      <c r="Q705" s="459">
        <v>0</v>
      </c>
      <c r="R705" s="459"/>
      <c r="S705" s="456">
        <v>0</v>
      </c>
      <c r="T705" s="456">
        <v>27.423999999999999</v>
      </c>
      <c r="U705" s="410"/>
      <c r="V705" s="411">
        <v>1</v>
      </c>
      <c r="W705" s="411">
        <v>1</v>
      </c>
      <c r="X705" s="411">
        <v>1</v>
      </c>
      <c r="Y705" s="411"/>
      <c r="Z705" s="411"/>
      <c r="AA705" s="412">
        <f t="shared" si="94"/>
        <v>1</v>
      </c>
      <c r="AB705" s="456">
        <f t="shared" si="95"/>
        <v>27.423999999999999</v>
      </c>
      <c r="AC705" s="456">
        <v>0</v>
      </c>
      <c r="AD705" s="2"/>
      <c r="AE705" s="4"/>
      <c r="AF705" s="5"/>
      <c r="AG705" s="428"/>
    </row>
    <row r="706" spans="2:33" hidden="1" x14ac:dyDescent="0.25">
      <c r="B706" s="1" t="s">
        <v>2787</v>
      </c>
      <c r="C706" s="3" t="s">
        <v>1368</v>
      </c>
      <c r="D706" s="3" t="s">
        <v>1247</v>
      </c>
      <c r="E706" s="407" t="s">
        <v>1398</v>
      </c>
      <c r="F706" s="3" t="s">
        <v>2097</v>
      </c>
      <c r="G706" s="407" t="s">
        <v>4496</v>
      </c>
      <c r="H706" s="440" t="s">
        <v>4109</v>
      </c>
      <c r="I706" s="407" t="s">
        <v>4317</v>
      </c>
      <c r="J706" s="407" t="s">
        <v>3796</v>
      </c>
      <c r="K706" s="387" t="s">
        <v>4650</v>
      </c>
      <c r="L706" s="387">
        <v>2</v>
      </c>
      <c r="M706" s="387">
        <v>0</v>
      </c>
      <c r="N706" s="387">
        <f t="shared" si="92"/>
        <v>2</v>
      </c>
      <c r="O706" s="442">
        <f t="shared" si="93"/>
        <v>2</v>
      </c>
      <c r="P706" s="387" t="s">
        <v>1358</v>
      </c>
      <c r="Q706" s="459">
        <v>0</v>
      </c>
      <c r="R706" s="459"/>
      <c r="S706" s="456">
        <v>0</v>
      </c>
      <c r="T706" s="456">
        <v>50</v>
      </c>
      <c r="U706" s="410"/>
      <c r="V706" s="411">
        <v>1</v>
      </c>
      <c r="W706" s="411">
        <v>1</v>
      </c>
      <c r="X706" s="411">
        <v>1</v>
      </c>
      <c r="Y706" s="411"/>
      <c r="Z706" s="411"/>
      <c r="AA706" s="412">
        <f t="shared" si="94"/>
        <v>1</v>
      </c>
      <c r="AB706" s="456">
        <f t="shared" si="95"/>
        <v>50</v>
      </c>
      <c r="AC706" s="456">
        <v>0</v>
      </c>
      <c r="AD706" s="2"/>
      <c r="AE706" s="4"/>
      <c r="AF706" s="5"/>
      <c r="AG706" s="428"/>
    </row>
    <row r="707" spans="2:33" hidden="1" x14ac:dyDescent="0.25">
      <c r="B707" s="1" t="s">
        <v>2788</v>
      </c>
      <c r="C707" s="3" t="s">
        <v>1368</v>
      </c>
      <c r="D707" s="3" t="s">
        <v>1247</v>
      </c>
      <c r="E707" s="407" t="s">
        <v>1374</v>
      </c>
      <c r="F707" s="3" t="s">
        <v>2098</v>
      </c>
      <c r="G707" s="407" t="s">
        <v>4495</v>
      </c>
      <c r="H707" s="440" t="s">
        <v>4109</v>
      </c>
      <c r="I707" s="407" t="s">
        <v>4316</v>
      </c>
      <c r="J707" s="407" t="s">
        <v>3757</v>
      </c>
      <c r="K707" s="387" t="s">
        <v>4649</v>
      </c>
      <c r="L707" s="387">
        <v>2</v>
      </c>
      <c r="M707" s="387">
        <v>0</v>
      </c>
      <c r="N707" s="387">
        <f t="shared" si="92"/>
        <v>2</v>
      </c>
      <c r="O707" s="442">
        <f t="shared" si="93"/>
        <v>2</v>
      </c>
      <c r="P707" s="387" t="s">
        <v>1358</v>
      </c>
      <c r="Q707" s="459">
        <v>0</v>
      </c>
      <c r="R707" s="459"/>
      <c r="S707" s="456">
        <v>0</v>
      </c>
      <c r="T707" s="456">
        <v>50</v>
      </c>
      <c r="U707" s="410"/>
      <c r="V707" s="411">
        <v>1</v>
      </c>
      <c r="W707" s="411">
        <v>1</v>
      </c>
      <c r="X707" s="411">
        <v>1</v>
      </c>
      <c r="Y707" s="411"/>
      <c r="Z707" s="411"/>
      <c r="AA707" s="412">
        <f t="shared" si="94"/>
        <v>1</v>
      </c>
      <c r="AB707" s="456">
        <v>50</v>
      </c>
      <c r="AC707" s="456">
        <v>0</v>
      </c>
      <c r="AD707" s="2"/>
      <c r="AE707" s="4"/>
      <c r="AF707" s="5"/>
      <c r="AG707" s="428"/>
    </row>
    <row r="708" spans="2:33" hidden="1" x14ac:dyDescent="0.25">
      <c r="B708" s="1" t="s">
        <v>2789</v>
      </c>
      <c r="C708" s="3" t="s">
        <v>1368</v>
      </c>
      <c r="D708" s="3" t="s">
        <v>1247</v>
      </c>
      <c r="E708" s="407" t="s">
        <v>1377</v>
      </c>
      <c r="F708" s="3" t="s">
        <v>2099</v>
      </c>
      <c r="G708" s="407" t="s">
        <v>4494</v>
      </c>
      <c r="H708" s="440" t="s">
        <v>4109</v>
      </c>
      <c r="I708" s="407" t="s">
        <v>4315</v>
      </c>
      <c r="J708" s="407" t="s">
        <v>3749</v>
      </c>
      <c r="K708" s="387" t="s">
        <v>4648</v>
      </c>
      <c r="L708" s="387">
        <v>1</v>
      </c>
      <c r="M708" s="387">
        <v>0</v>
      </c>
      <c r="N708" s="387">
        <f t="shared" si="92"/>
        <v>1</v>
      </c>
      <c r="O708" s="442">
        <f t="shared" si="93"/>
        <v>1.0000000000000002</v>
      </c>
      <c r="P708" s="387" t="s">
        <v>1358</v>
      </c>
      <c r="Q708" s="459">
        <v>0</v>
      </c>
      <c r="R708" s="459"/>
      <c r="S708" s="456">
        <v>0</v>
      </c>
      <c r="T708" s="456">
        <v>25.07</v>
      </c>
      <c r="U708" s="410"/>
      <c r="V708" s="411">
        <v>1</v>
      </c>
      <c r="W708" s="411">
        <v>1</v>
      </c>
      <c r="X708" s="411">
        <v>1</v>
      </c>
      <c r="Y708" s="411"/>
      <c r="Z708" s="411"/>
      <c r="AA708" s="412">
        <f t="shared" si="94"/>
        <v>1.0000000000000002</v>
      </c>
      <c r="AB708" s="456">
        <f t="shared" si="95"/>
        <v>25.070000000000004</v>
      </c>
      <c r="AC708" s="456">
        <v>0</v>
      </c>
      <c r="AD708" s="2"/>
      <c r="AE708" s="4"/>
      <c r="AF708" s="5"/>
      <c r="AG708" s="428"/>
    </row>
    <row r="709" spans="2:33" hidden="1" x14ac:dyDescent="0.25">
      <c r="B709" s="1" t="s">
        <v>2790</v>
      </c>
      <c r="C709" s="3" t="s">
        <v>1368</v>
      </c>
      <c r="D709" s="3" t="s">
        <v>1247</v>
      </c>
      <c r="E709" s="407" t="s">
        <v>1379</v>
      </c>
      <c r="F709" s="3" t="s">
        <v>2100</v>
      </c>
      <c r="G709" s="407" t="s">
        <v>4502</v>
      </c>
      <c r="H709" s="440" t="s">
        <v>4109</v>
      </c>
      <c r="I709" s="407" t="s">
        <v>4323</v>
      </c>
      <c r="J709" s="407" t="s">
        <v>3750</v>
      </c>
      <c r="K709" s="387" t="s">
        <v>4632</v>
      </c>
      <c r="L709" s="387">
        <v>1</v>
      </c>
      <c r="M709" s="387">
        <v>0</v>
      </c>
      <c r="N709" s="387">
        <f t="shared" si="92"/>
        <v>1</v>
      </c>
      <c r="O709" s="442">
        <f t="shared" si="93"/>
        <v>1.0000000000000002</v>
      </c>
      <c r="P709" s="387" t="s">
        <v>1358</v>
      </c>
      <c r="Q709" s="459">
        <v>0</v>
      </c>
      <c r="R709" s="459"/>
      <c r="S709" s="456">
        <v>0</v>
      </c>
      <c r="T709" s="456">
        <v>25.07</v>
      </c>
      <c r="U709" s="410"/>
      <c r="V709" s="411">
        <v>1</v>
      </c>
      <c r="W709" s="411">
        <v>1</v>
      </c>
      <c r="X709" s="411">
        <v>1</v>
      </c>
      <c r="Y709" s="411"/>
      <c r="Z709" s="411"/>
      <c r="AA709" s="412">
        <f t="shared" si="94"/>
        <v>1.0000000000000002</v>
      </c>
      <c r="AB709" s="456">
        <f t="shared" si="95"/>
        <v>25.070000000000004</v>
      </c>
      <c r="AC709" s="456">
        <v>0</v>
      </c>
      <c r="AD709" s="2"/>
      <c r="AE709" s="4"/>
      <c r="AF709" s="5"/>
      <c r="AG709" s="428"/>
    </row>
    <row r="710" spans="2:33" hidden="1" x14ac:dyDescent="0.25">
      <c r="B710" s="1" t="s">
        <v>2791</v>
      </c>
      <c r="C710" s="3" t="s">
        <v>1368</v>
      </c>
      <c r="D710" s="3" t="s">
        <v>1247</v>
      </c>
      <c r="E710" s="407" t="s">
        <v>1381</v>
      </c>
      <c r="F710" s="3" t="s">
        <v>2101</v>
      </c>
      <c r="G710" s="407" t="s">
        <v>4497</v>
      </c>
      <c r="H710" s="440" t="s">
        <v>4109</v>
      </c>
      <c r="I710" s="407" t="s">
        <v>4318</v>
      </c>
      <c r="J710" s="407" t="s">
        <v>3751</v>
      </c>
      <c r="K710" s="387" t="s">
        <v>4631</v>
      </c>
      <c r="L710" s="387">
        <v>1</v>
      </c>
      <c r="M710" s="387">
        <v>0</v>
      </c>
      <c r="N710" s="387">
        <f t="shared" si="92"/>
        <v>1</v>
      </c>
      <c r="O710" s="442">
        <f t="shared" si="93"/>
        <v>1.0000000000000002</v>
      </c>
      <c r="P710" s="387" t="s">
        <v>1358</v>
      </c>
      <c r="Q710" s="459">
        <v>0</v>
      </c>
      <c r="R710" s="459"/>
      <c r="S710" s="456">
        <v>0</v>
      </c>
      <c r="T710" s="456">
        <v>25.07</v>
      </c>
      <c r="U710" s="410"/>
      <c r="V710" s="411">
        <v>1</v>
      </c>
      <c r="W710" s="411">
        <v>1</v>
      </c>
      <c r="X710" s="411">
        <v>1</v>
      </c>
      <c r="Y710" s="411"/>
      <c r="Z710" s="411"/>
      <c r="AA710" s="412">
        <f t="shared" si="94"/>
        <v>1.0000000000000002</v>
      </c>
      <c r="AB710" s="456">
        <f t="shared" si="95"/>
        <v>25.070000000000004</v>
      </c>
      <c r="AC710" s="456">
        <v>0</v>
      </c>
      <c r="AD710" s="2"/>
      <c r="AE710" s="4"/>
      <c r="AF710" s="5"/>
      <c r="AG710" s="428"/>
    </row>
    <row r="711" spans="2:33" hidden="1" x14ac:dyDescent="0.25">
      <c r="B711" s="1" t="s">
        <v>2792</v>
      </c>
      <c r="C711" s="3" t="s">
        <v>1368</v>
      </c>
      <c r="D711" s="3" t="s">
        <v>1247</v>
      </c>
      <c r="E711" s="407" t="s">
        <v>1396</v>
      </c>
      <c r="F711" s="3" t="s">
        <v>2102</v>
      </c>
      <c r="G711" s="407" t="s">
        <v>4498</v>
      </c>
      <c r="H711" s="440" t="s">
        <v>4109</v>
      </c>
      <c r="I711" s="407" t="s">
        <v>4319</v>
      </c>
      <c r="J711" s="407" t="s">
        <v>3752</v>
      </c>
      <c r="K711" s="387" t="s">
        <v>4652</v>
      </c>
      <c r="L711" s="387">
        <v>1</v>
      </c>
      <c r="M711" s="387">
        <v>0</v>
      </c>
      <c r="N711" s="387">
        <f t="shared" si="92"/>
        <v>1</v>
      </c>
      <c r="O711" s="442">
        <f t="shared" si="93"/>
        <v>1.0000000000000002</v>
      </c>
      <c r="P711" s="387" t="s">
        <v>1358</v>
      </c>
      <c r="Q711" s="459">
        <v>0</v>
      </c>
      <c r="R711" s="459"/>
      <c r="S711" s="456">
        <v>0</v>
      </c>
      <c r="T711" s="456">
        <v>25.07</v>
      </c>
      <c r="U711" s="410"/>
      <c r="V711" s="411">
        <v>1</v>
      </c>
      <c r="W711" s="411">
        <v>1</v>
      </c>
      <c r="X711" s="411">
        <v>1</v>
      </c>
      <c r="Y711" s="411"/>
      <c r="Z711" s="411"/>
      <c r="AA711" s="412">
        <f t="shared" si="94"/>
        <v>1.0000000000000002</v>
      </c>
      <c r="AB711" s="456">
        <f t="shared" si="95"/>
        <v>25.070000000000004</v>
      </c>
      <c r="AC711" s="456">
        <v>0</v>
      </c>
      <c r="AD711" s="2"/>
      <c r="AE711" s="4"/>
      <c r="AF711" s="5"/>
      <c r="AG711" s="428"/>
    </row>
    <row r="712" spans="2:33" hidden="1" x14ac:dyDescent="0.25">
      <c r="B712" s="571" t="s">
        <v>5218</v>
      </c>
      <c r="C712" s="3" t="s">
        <v>1368</v>
      </c>
      <c r="D712" s="3" t="s">
        <v>1247</v>
      </c>
      <c r="E712" s="407" t="s">
        <v>1396</v>
      </c>
      <c r="F712" s="3" t="s">
        <v>5209</v>
      </c>
      <c r="G712" s="407" t="s">
        <v>4498</v>
      </c>
      <c r="H712" s="440" t="s">
        <v>4109</v>
      </c>
      <c r="I712" s="407" t="s">
        <v>4319</v>
      </c>
      <c r="J712" s="407" t="s">
        <v>3752</v>
      </c>
      <c r="K712" s="387" t="s">
        <v>4653</v>
      </c>
      <c r="L712" s="387">
        <v>1</v>
      </c>
      <c r="M712" s="387">
        <v>0</v>
      </c>
      <c r="N712" s="387">
        <f t="shared" ref="N712" si="96">L712+M712</f>
        <v>1</v>
      </c>
      <c r="O712" s="442">
        <f t="shared" ref="O712" si="97">L712*AA712</f>
        <v>1</v>
      </c>
      <c r="P712" s="387" t="s">
        <v>1358</v>
      </c>
      <c r="Q712" s="459">
        <v>1</v>
      </c>
      <c r="R712" s="459"/>
      <c r="S712" s="456">
        <v>0</v>
      </c>
      <c r="T712" s="456">
        <v>27.353999999999999</v>
      </c>
      <c r="U712" s="410"/>
      <c r="V712" s="411">
        <v>1</v>
      </c>
      <c r="W712" s="411">
        <v>1</v>
      </c>
      <c r="X712" s="411">
        <v>1</v>
      </c>
      <c r="Y712" s="411"/>
      <c r="Z712" s="411"/>
      <c r="AA712" s="412">
        <f t="shared" ref="AA712" si="98">AB712/T712</f>
        <v>1</v>
      </c>
      <c r="AB712" s="456">
        <f t="shared" ref="AB712" si="99">(V712*V$369*T712)+(W712*W$369*T712)+(X712*X$369*T712)</f>
        <v>27.353999999999999</v>
      </c>
      <c r="AC712" s="456"/>
      <c r="AD712" s="2"/>
      <c r="AE712" s="4"/>
      <c r="AF712" s="5"/>
      <c r="AG712" s="428"/>
    </row>
    <row r="713" spans="2:33" hidden="1" x14ac:dyDescent="0.25">
      <c r="B713" s="1" t="s">
        <v>2793</v>
      </c>
      <c r="C713" s="3" t="s">
        <v>1368</v>
      </c>
      <c r="D713" s="3" t="s">
        <v>1247</v>
      </c>
      <c r="E713" s="407" t="s">
        <v>1433</v>
      </c>
      <c r="F713" s="3" t="s">
        <v>2103</v>
      </c>
      <c r="G713" s="407" t="s">
        <v>4490</v>
      </c>
      <c r="H713" s="440" t="s">
        <v>4109</v>
      </c>
      <c r="I713" s="407" t="s">
        <v>4311</v>
      </c>
      <c r="J713" s="407" t="s">
        <v>3792</v>
      </c>
      <c r="K713" s="387" t="s">
        <v>4644</v>
      </c>
      <c r="L713" s="387">
        <v>1</v>
      </c>
      <c r="M713" s="387">
        <v>0</v>
      </c>
      <c r="N713" s="387">
        <f t="shared" si="92"/>
        <v>1</v>
      </c>
      <c r="O713" s="442">
        <f t="shared" si="93"/>
        <v>0</v>
      </c>
      <c r="P713" s="387" t="s">
        <v>1358</v>
      </c>
      <c r="Q713" s="459">
        <v>0</v>
      </c>
      <c r="R713" s="459"/>
      <c r="S713" s="456">
        <v>0</v>
      </c>
      <c r="T713" s="456">
        <v>28.169</v>
      </c>
      <c r="U713" s="410"/>
      <c r="V713" s="411">
        <v>0</v>
      </c>
      <c r="W713" s="411">
        <v>0</v>
      </c>
      <c r="X713" s="411">
        <v>0</v>
      </c>
      <c r="Y713" s="411"/>
      <c r="Z713" s="411"/>
      <c r="AA713" s="412">
        <f t="shared" si="94"/>
        <v>0</v>
      </c>
      <c r="AB713" s="456">
        <f t="shared" si="95"/>
        <v>0</v>
      </c>
      <c r="AC713" s="456">
        <v>0</v>
      </c>
      <c r="AD713" s="2"/>
      <c r="AE713" s="4"/>
      <c r="AF713" s="5"/>
      <c r="AG713" s="428"/>
    </row>
    <row r="714" spans="2:33" hidden="1" x14ac:dyDescent="0.25">
      <c r="B714" s="1" t="s">
        <v>2794</v>
      </c>
      <c r="C714" s="3" t="s">
        <v>1368</v>
      </c>
      <c r="D714" s="3" t="s">
        <v>1247</v>
      </c>
      <c r="E714" s="407" t="s">
        <v>1425</v>
      </c>
      <c r="F714" s="3" t="s">
        <v>2104</v>
      </c>
      <c r="G714" s="407" t="s">
        <v>4479</v>
      </c>
      <c r="H714" s="440" t="s">
        <v>4109</v>
      </c>
      <c r="I714" s="407" t="s">
        <v>4300</v>
      </c>
      <c r="J714" s="407" t="s">
        <v>3781</v>
      </c>
      <c r="K714" s="387" t="s">
        <v>4643</v>
      </c>
      <c r="L714" s="387">
        <v>1</v>
      </c>
      <c r="M714" s="387">
        <v>0</v>
      </c>
      <c r="N714" s="387">
        <f t="shared" si="92"/>
        <v>1</v>
      </c>
      <c r="O714" s="442">
        <f t="shared" si="93"/>
        <v>1.0000000000000002</v>
      </c>
      <c r="P714" s="387" t="s">
        <v>1358</v>
      </c>
      <c r="Q714" s="459">
        <v>0</v>
      </c>
      <c r="R714" s="459"/>
      <c r="S714" s="456">
        <v>0</v>
      </c>
      <c r="T714" s="456">
        <v>28.169</v>
      </c>
      <c r="U714" s="410"/>
      <c r="V714" s="411">
        <v>1</v>
      </c>
      <c r="W714" s="411">
        <v>1</v>
      </c>
      <c r="X714" s="411">
        <v>1</v>
      </c>
      <c r="Y714" s="411"/>
      <c r="Z714" s="411"/>
      <c r="AA714" s="412">
        <f t="shared" si="94"/>
        <v>1.0000000000000002</v>
      </c>
      <c r="AB714" s="456">
        <f t="shared" si="95"/>
        <v>28.169000000000004</v>
      </c>
      <c r="AC714" s="456">
        <v>0</v>
      </c>
      <c r="AD714" s="2"/>
      <c r="AE714" s="4"/>
      <c r="AF714" s="5"/>
      <c r="AG714" s="428"/>
    </row>
    <row r="715" spans="2:33" hidden="1" x14ac:dyDescent="0.25">
      <c r="B715" s="1" t="s">
        <v>2795</v>
      </c>
      <c r="C715" s="3" t="s">
        <v>1368</v>
      </c>
      <c r="D715" s="3" t="s">
        <v>1247</v>
      </c>
      <c r="E715" s="407" t="s">
        <v>1426</v>
      </c>
      <c r="F715" s="3" t="s">
        <v>2105</v>
      </c>
      <c r="G715" s="407" t="s">
        <v>4480</v>
      </c>
      <c r="H715" s="440" t="s">
        <v>4109</v>
      </c>
      <c r="I715" s="407" t="s">
        <v>4301</v>
      </c>
      <c r="J715" s="407" t="s">
        <v>3782</v>
      </c>
      <c r="K715" s="387" t="s">
        <v>4637</v>
      </c>
      <c r="L715" s="387">
        <v>1</v>
      </c>
      <c r="M715" s="387">
        <v>0</v>
      </c>
      <c r="N715" s="387">
        <f t="shared" si="92"/>
        <v>1</v>
      </c>
      <c r="O715" s="442">
        <f t="shared" si="93"/>
        <v>0</v>
      </c>
      <c r="P715" s="387" t="s">
        <v>1358</v>
      </c>
      <c r="Q715" s="459">
        <v>0</v>
      </c>
      <c r="R715" s="459"/>
      <c r="S715" s="456">
        <v>0</v>
      </c>
      <c r="T715" s="456">
        <v>28.169</v>
      </c>
      <c r="U715" s="410"/>
      <c r="V715" s="411">
        <v>0</v>
      </c>
      <c r="W715" s="411">
        <v>0</v>
      </c>
      <c r="X715" s="411">
        <v>0</v>
      </c>
      <c r="Y715" s="411"/>
      <c r="Z715" s="411"/>
      <c r="AA715" s="412">
        <f t="shared" si="94"/>
        <v>0</v>
      </c>
      <c r="AB715" s="456">
        <f t="shared" si="95"/>
        <v>0</v>
      </c>
      <c r="AC715" s="456">
        <v>0</v>
      </c>
      <c r="AD715" s="2"/>
      <c r="AE715" s="4"/>
      <c r="AF715" s="5"/>
      <c r="AG715" s="428"/>
    </row>
    <row r="716" spans="2:33" hidden="1" x14ac:dyDescent="0.25">
      <c r="B716" s="1" t="s">
        <v>2796</v>
      </c>
      <c r="C716" s="3" t="s">
        <v>1368</v>
      </c>
      <c r="D716" s="3" t="s">
        <v>1247</v>
      </c>
      <c r="E716" s="407" t="s">
        <v>1427</v>
      </c>
      <c r="F716" s="3" t="s">
        <v>2106</v>
      </c>
      <c r="G716" s="407" t="s">
        <v>4485</v>
      </c>
      <c r="H716" s="440" t="s">
        <v>4109</v>
      </c>
      <c r="I716" s="407" t="s">
        <v>4306</v>
      </c>
      <c r="J716" s="407" t="s">
        <v>3787</v>
      </c>
      <c r="K716" s="387" t="s">
        <v>4638</v>
      </c>
      <c r="L716" s="387">
        <v>1</v>
      </c>
      <c r="M716" s="387">
        <v>0</v>
      </c>
      <c r="N716" s="387">
        <f t="shared" si="92"/>
        <v>1</v>
      </c>
      <c r="O716" s="442">
        <f t="shared" si="93"/>
        <v>0</v>
      </c>
      <c r="P716" s="387" t="s">
        <v>1358</v>
      </c>
      <c r="Q716" s="459">
        <v>0</v>
      </c>
      <c r="R716" s="459"/>
      <c r="S716" s="456">
        <v>0</v>
      </c>
      <c r="T716" s="456">
        <v>28.169</v>
      </c>
      <c r="U716" s="410"/>
      <c r="V716" s="411">
        <v>0</v>
      </c>
      <c r="W716" s="411">
        <v>0</v>
      </c>
      <c r="X716" s="411">
        <v>0</v>
      </c>
      <c r="Y716" s="411"/>
      <c r="Z716" s="411"/>
      <c r="AA716" s="412">
        <f t="shared" si="94"/>
        <v>0</v>
      </c>
      <c r="AB716" s="456">
        <f t="shared" si="95"/>
        <v>0</v>
      </c>
      <c r="AC716" s="456">
        <v>0</v>
      </c>
      <c r="AD716" s="2"/>
      <c r="AE716" s="4"/>
      <c r="AF716" s="5"/>
      <c r="AG716" s="428"/>
    </row>
    <row r="717" spans="2:33" hidden="1" x14ac:dyDescent="0.25">
      <c r="B717" s="1" t="s">
        <v>2797</v>
      </c>
      <c r="C717" s="3" t="s">
        <v>1368</v>
      </c>
      <c r="D717" s="3" t="s">
        <v>1247</v>
      </c>
      <c r="E717" s="407" t="s">
        <v>1428</v>
      </c>
      <c r="F717" s="3" t="s">
        <v>2107</v>
      </c>
      <c r="G717" s="407" t="s">
        <v>4486</v>
      </c>
      <c r="H717" s="440" t="s">
        <v>4109</v>
      </c>
      <c r="I717" s="407" t="s">
        <v>4307</v>
      </c>
      <c r="J717" s="407" t="s">
        <v>3788</v>
      </c>
      <c r="K717" s="387" t="s">
        <v>4639</v>
      </c>
      <c r="L717" s="387">
        <v>1</v>
      </c>
      <c r="M717" s="387">
        <v>0</v>
      </c>
      <c r="N717" s="387">
        <f t="shared" si="92"/>
        <v>1</v>
      </c>
      <c r="O717" s="442">
        <f t="shared" si="93"/>
        <v>0</v>
      </c>
      <c r="P717" s="387" t="s">
        <v>1358</v>
      </c>
      <c r="Q717" s="459">
        <v>0</v>
      </c>
      <c r="R717" s="459"/>
      <c r="S717" s="456">
        <v>0</v>
      </c>
      <c r="T717" s="456">
        <v>28.169</v>
      </c>
      <c r="U717" s="410"/>
      <c r="V717" s="411">
        <v>0</v>
      </c>
      <c r="W717" s="411">
        <v>0</v>
      </c>
      <c r="X717" s="411">
        <v>0</v>
      </c>
      <c r="Y717" s="411"/>
      <c r="Z717" s="411"/>
      <c r="AA717" s="412">
        <f t="shared" si="94"/>
        <v>0</v>
      </c>
      <c r="AB717" s="456">
        <f t="shared" si="95"/>
        <v>0</v>
      </c>
      <c r="AC717" s="456">
        <v>0</v>
      </c>
      <c r="AD717" s="2"/>
      <c r="AE717" s="4"/>
      <c r="AF717" s="5"/>
      <c r="AG717" s="428"/>
    </row>
    <row r="718" spans="2:33" hidden="1" x14ac:dyDescent="0.25">
      <c r="B718" s="1" t="s">
        <v>2798</v>
      </c>
      <c r="C718" s="3" t="s">
        <v>1368</v>
      </c>
      <c r="D718" s="3" t="s">
        <v>1247</v>
      </c>
      <c r="E718" s="407" t="s">
        <v>1429</v>
      </c>
      <c r="F718" s="3" t="s">
        <v>2108</v>
      </c>
      <c r="G718" s="407" t="s">
        <v>4487</v>
      </c>
      <c r="H718" s="440" t="s">
        <v>4109</v>
      </c>
      <c r="I718" s="407" t="s">
        <v>4308</v>
      </c>
      <c r="J718" s="407" t="s">
        <v>3789</v>
      </c>
      <c r="K718" s="387" t="s">
        <v>4640</v>
      </c>
      <c r="L718" s="387">
        <v>1</v>
      </c>
      <c r="M718" s="387">
        <v>0</v>
      </c>
      <c r="N718" s="387">
        <f t="shared" si="92"/>
        <v>1</v>
      </c>
      <c r="O718" s="442">
        <f t="shared" si="93"/>
        <v>0</v>
      </c>
      <c r="P718" s="387" t="s">
        <v>1358</v>
      </c>
      <c r="Q718" s="459">
        <v>0</v>
      </c>
      <c r="R718" s="459"/>
      <c r="S718" s="456">
        <v>0</v>
      </c>
      <c r="T718" s="456">
        <v>28.169</v>
      </c>
      <c r="U718" s="410"/>
      <c r="V718" s="411">
        <v>0</v>
      </c>
      <c r="W718" s="411">
        <v>0</v>
      </c>
      <c r="X718" s="411">
        <v>0</v>
      </c>
      <c r="Y718" s="411"/>
      <c r="Z718" s="411"/>
      <c r="AA718" s="412">
        <f t="shared" si="94"/>
        <v>0</v>
      </c>
      <c r="AB718" s="456">
        <f t="shared" si="95"/>
        <v>0</v>
      </c>
      <c r="AC718" s="456">
        <v>0</v>
      </c>
      <c r="AD718" s="2"/>
      <c r="AE718" s="4"/>
      <c r="AF718" s="5"/>
      <c r="AG718" s="428"/>
    </row>
    <row r="719" spans="2:33" hidden="1" x14ac:dyDescent="0.25">
      <c r="B719" s="1" t="s">
        <v>2799</v>
      </c>
      <c r="C719" s="3" t="s">
        <v>1368</v>
      </c>
      <c r="D719" s="3" t="s">
        <v>1247</v>
      </c>
      <c r="E719" s="407" t="s">
        <v>1430</v>
      </c>
      <c r="F719" s="3" t="s">
        <v>2109</v>
      </c>
      <c r="G719" s="407" t="s">
        <v>4488</v>
      </c>
      <c r="H719" s="440" t="s">
        <v>4109</v>
      </c>
      <c r="I719" s="407" t="s">
        <v>4309</v>
      </c>
      <c r="J719" s="407" t="s">
        <v>3790</v>
      </c>
      <c r="K719" s="387" t="s">
        <v>4641</v>
      </c>
      <c r="L719" s="387">
        <v>1</v>
      </c>
      <c r="M719" s="387">
        <v>0</v>
      </c>
      <c r="N719" s="387">
        <f t="shared" si="92"/>
        <v>1</v>
      </c>
      <c r="O719" s="442">
        <f t="shared" si="93"/>
        <v>0</v>
      </c>
      <c r="P719" s="387" t="s">
        <v>1358</v>
      </c>
      <c r="Q719" s="459">
        <v>0</v>
      </c>
      <c r="R719" s="459"/>
      <c r="S719" s="456">
        <v>0</v>
      </c>
      <c r="T719" s="456">
        <v>28.169</v>
      </c>
      <c r="U719" s="410"/>
      <c r="V719" s="411">
        <v>0</v>
      </c>
      <c r="W719" s="411">
        <v>0</v>
      </c>
      <c r="X719" s="411">
        <v>0</v>
      </c>
      <c r="Y719" s="411"/>
      <c r="Z719" s="411"/>
      <c r="AA719" s="412">
        <f t="shared" si="94"/>
        <v>0</v>
      </c>
      <c r="AB719" s="456">
        <f t="shared" si="95"/>
        <v>0</v>
      </c>
      <c r="AC719" s="456">
        <v>0</v>
      </c>
      <c r="AD719" s="2"/>
      <c r="AE719" s="4"/>
      <c r="AF719" s="5"/>
      <c r="AG719" s="428"/>
    </row>
    <row r="720" spans="2:33" hidden="1" x14ac:dyDescent="0.25">
      <c r="B720" s="1" t="s">
        <v>2800</v>
      </c>
      <c r="C720" s="3" t="s">
        <v>1368</v>
      </c>
      <c r="D720" s="3" t="s">
        <v>1247</v>
      </c>
      <c r="E720" s="407" t="s">
        <v>1431</v>
      </c>
      <c r="F720" s="3" t="s">
        <v>2110</v>
      </c>
      <c r="G720" s="407" t="s">
        <v>4489</v>
      </c>
      <c r="H720" s="440" t="s">
        <v>4109</v>
      </c>
      <c r="I720" s="407" t="s">
        <v>4310</v>
      </c>
      <c r="J720" s="407" t="s">
        <v>3791</v>
      </c>
      <c r="K720" s="387" t="s">
        <v>4642</v>
      </c>
      <c r="L720" s="387">
        <v>1</v>
      </c>
      <c r="M720" s="387">
        <v>0</v>
      </c>
      <c r="N720" s="387">
        <f t="shared" si="92"/>
        <v>1</v>
      </c>
      <c r="O720" s="442">
        <f t="shared" si="93"/>
        <v>0</v>
      </c>
      <c r="P720" s="387" t="s">
        <v>1358</v>
      </c>
      <c r="Q720" s="459">
        <v>0</v>
      </c>
      <c r="R720" s="459"/>
      <c r="S720" s="456">
        <v>0</v>
      </c>
      <c r="T720" s="456">
        <v>28.169</v>
      </c>
      <c r="U720" s="410"/>
      <c r="V720" s="411">
        <v>0</v>
      </c>
      <c r="W720" s="411">
        <v>0</v>
      </c>
      <c r="X720" s="411">
        <v>0</v>
      </c>
      <c r="Y720" s="411"/>
      <c r="Z720" s="411"/>
      <c r="AA720" s="412">
        <f t="shared" si="94"/>
        <v>0</v>
      </c>
      <c r="AB720" s="456">
        <f t="shared" si="95"/>
        <v>0</v>
      </c>
      <c r="AC720" s="456">
        <v>0</v>
      </c>
      <c r="AD720" s="2"/>
      <c r="AE720" s="4"/>
      <c r="AF720" s="5"/>
      <c r="AG720" s="428"/>
    </row>
    <row r="721" spans="2:33" hidden="1" x14ac:dyDescent="0.25">
      <c r="B721" s="1" t="s">
        <v>2801</v>
      </c>
      <c r="C721" s="3" t="s">
        <v>1368</v>
      </c>
      <c r="D721" s="3" t="s">
        <v>1247</v>
      </c>
      <c r="E721" s="407" t="s">
        <v>3306</v>
      </c>
      <c r="F721" s="3" t="s">
        <v>2111</v>
      </c>
      <c r="G721" s="407" t="s">
        <v>4484</v>
      </c>
      <c r="H721" s="440" t="s">
        <v>4109</v>
      </c>
      <c r="I721" s="407" t="s">
        <v>4305</v>
      </c>
      <c r="J721" s="407" t="s">
        <v>3786</v>
      </c>
      <c r="K721" s="387" t="s">
        <v>4636</v>
      </c>
      <c r="L721" s="387">
        <v>1</v>
      </c>
      <c r="M721" s="387">
        <v>0</v>
      </c>
      <c r="N721" s="387">
        <f t="shared" si="92"/>
        <v>1</v>
      </c>
      <c r="O721" s="442">
        <f t="shared" si="93"/>
        <v>0</v>
      </c>
      <c r="P721" s="387" t="s">
        <v>1358</v>
      </c>
      <c r="Q721" s="459">
        <v>0</v>
      </c>
      <c r="R721" s="459"/>
      <c r="S721" s="456">
        <v>0</v>
      </c>
      <c r="T721" s="456">
        <v>28.545000000000002</v>
      </c>
      <c r="U721" s="410"/>
      <c r="V721" s="411">
        <v>0</v>
      </c>
      <c r="W721" s="411">
        <v>0</v>
      </c>
      <c r="X721" s="411">
        <v>0</v>
      </c>
      <c r="Y721" s="411"/>
      <c r="Z721" s="411"/>
      <c r="AA721" s="412">
        <f t="shared" si="94"/>
        <v>0</v>
      </c>
      <c r="AB721" s="456">
        <f t="shared" si="95"/>
        <v>0</v>
      </c>
      <c r="AC721" s="456">
        <v>0</v>
      </c>
      <c r="AD721" s="2"/>
      <c r="AE721" s="4"/>
      <c r="AF721" s="5"/>
      <c r="AG721" s="428"/>
    </row>
    <row r="722" spans="2:33" hidden="1" x14ac:dyDescent="0.25">
      <c r="B722" s="1" t="s">
        <v>2802</v>
      </c>
      <c r="C722" s="3" t="s">
        <v>1368</v>
      </c>
      <c r="D722" s="3" t="s">
        <v>1247</v>
      </c>
      <c r="E722" s="407" t="s">
        <v>3293</v>
      </c>
      <c r="F722" s="3" t="s">
        <v>2112</v>
      </c>
      <c r="G722" s="407" t="s">
        <v>4503</v>
      </c>
      <c r="H722" s="440" t="s">
        <v>4109</v>
      </c>
      <c r="I722" s="407" t="s">
        <v>4324</v>
      </c>
      <c r="J722" s="407" t="s">
        <v>3798</v>
      </c>
      <c r="K722" s="387" t="s">
        <v>4658</v>
      </c>
      <c r="L722" s="387">
        <v>1</v>
      </c>
      <c r="M722" s="387">
        <v>0</v>
      </c>
      <c r="N722" s="387">
        <f t="shared" si="92"/>
        <v>1</v>
      </c>
      <c r="O722" s="442">
        <f t="shared" si="93"/>
        <v>1.0000000000000002</v>
      </c>
      <c r="P722" s="387" t="s">
        <v>1358</v>
      </c>
      <c r="Q722" s="459">
        <v>0</v>
      </c>
      <c r="R722" s="459"/>
      <c r="S722" s="456">
        <v>0</v>
      </c>
      <c r="T722" s="456">
        <v>13.776999999999999</v>
      </c>
      <c r="U722" s="410"/>
      <c r="V722" s="411">
        <v>1</v>
      </c>
      <c r="W722" s="411">
        <v>1</v>
      </c>
      <c r="X722" s="411">
        <v>1</v>
      </c>
      <c r="Y722" s="411"/>
      <c r="Z722" s="411"/>
      <c r="AA722" s="412">
        <f t="shared" si="94"/>
        <v>1.0000000000000002</v>
      </c>
      <c r="AB722" s="456">
        <f t="shared" si="95"/>
        <v>13.777000000000001</v>
      </c>
      <c r="AC722" s="456">
        <v>0</v>
      </c>
      <c r="AD722" s="2"/>
      <c r="AE722" s="4"/>
      <c r="AF722" s="5"/>
      <c r="AG722" s="428"/>
    </row>
    <row r="723" spans="2:33" hidden="1" x14ac:dyDescent="0.25">
      <c r="B723" s="1" t="s">
        <v>2803</v>
      </c>
      <c r="C723" s="3" t="s">
        <v>1368</v>
      </c>
      <c r="D723" s="3" t="s">
        <v>1247</v>
      </c>
      <c r="E723" s="407" t="s">
        <v>1398</v>
      </c>
      <c r="F723" s="3" t="s">
        <v>2113</v>
      </c>
      <c r="G723" s="407" t="s">
        <v>4496</v>
      </c>
      <c r="H723" s="440" t="s">
        <v>4109</v>
      </c>
      <c r="I723" s="407" t="s">
        <v>4317</v>
      </c>
      <c r="J723" s="407" t="s">
        <v>3796</v>
      </c>
      <c r="K723" s="387" t="s">
        <v>4650</v>
      </c>
      <c r="L723" s="387">
        <v>1</v>
      </c>
      <c r="M723" s="387">
        <v>0</v>
      </c>
      <c r="N723" s="387">
        <f t="shared" si="92"/>
        <v>1</v>
      </c>
      <c r="O723" s="442">
        <f t="shared" si="93"/>
        <v>1</v>
      </c>
      <c r="P723" s="387" t="s">
        <v>1358</v>
      </c>
      <c r="Q723" s="459">
        <v>0</v>
      </c>
      <c r="R723" s="459"/>
      <c r="S723" s="456">
        <v>0</v>
      </c>
      <c r="T723" s="456">
        <v>13.409000000000001</v>
      </c>
      <c r="U723" s="410"/>
      <c r="V723" s="411">
        <v>1</v>
      </c>
      <c r="W723" s="411">
        <v>1</v>
      </c>
      <c r="X723" s="411">
        <v>1</v>
      </c>
      <c r="Y723" s="411"/>
      <c r="Z723" s="411"/>
      <c r="AA723" s="412">
        <f t="shared" si="94"/>
        <v>1</v>
      </c>
      <c r="AB723" s="456">
        <f t="shared" si="95"/>
        <v>13.409000000000001</v>
      </c>
      <c r="AC723" s="456">
        <v>0</v>
      </c>
      <c r="AD723" s="2"/>
      <c r="AE723" s="4"/>
      <c r="AF723" s="5"/>
      <c r="AG723" s="428"/>
    </row>
    <row r="724" spans="2:33" hidden="1" x14ac:dyDescent="0.25">
      <c r="B724" s="1" t="s">
        <v>2804</v>
      </c>
      <c r="C724" s="3" t="s">
        <v>1368</v>
      </c>
      <c r="D724" s="3" t="s">
        <v>1247</v>
      </c>
      <c r="E724" s="407" t="s">
        <v>1374</v>
      </c>
      <c r="F724" s="3" t="s">
        <v>2114</v>
      </c>
      <c r="G724" s="407" t="s">
        <v>4495</v>
      </c>
      <c r="H724" s="440" t="s">
        <v>4109</v>
      </c>
      <c r="I724" s="407" t="s">
        <v>4316</v>
      </c>
      <c r="J724" s="407" t="s">
        <v>3757</v>
      </c>
      <c r="K724" s="387" t="s">
        <v>4649</v>
      </c>
      <c r="L724" s="387">
        <v>1</v>
      </c>
      <c r="M724" s="387">
        <v>0</v>
      </c>
      <c r="N724" s="387">
        <f t="shared" si="92"/>
        <v>1</v>
      </c>
      <c r="O724" s="442">
        <f t="shared" si="93"/>
        <v>1</v>
      </c>
      <c r="P724" s="387" t="s">
        <v>1358</v>
      </c>
      <c r="Q724" s="459">
        <v>0</v>
      </c>
      <c r="R724" s="459"/>
      <c r="S724" s="456">
        <v>0</v>
      </c>
      <c r="T724" s="456">
        <v>13.409000000000001</v>
      </c>
      <c r="U724" s="410"/>
      <c r="V724" s="411">
        <v>1</v>
      </c>
      <c r="W724" s="411">
        <v>1</v>
      </c>
      <c r="X724" s="411">
        <v>1</v>
      </c>
      <c r="Y724" s="411"/>
      <c r="Z724" s="411"/>
      <c r="AA724" s="412">
        <f t="shared" si="94"/>
        <v>1</v>
      </c>
      <c r="AB724" s="456">
        <f t="shared" si="95"/>
        <v>13.409000000000001</v>
      </c>
      <c r="AC724" s="456">
        <v>0</v>
      </c>
      <c r="AD724" s="2"/>
      <c r="AE724" s="4"/>
      <c r="AF724" s="5"/>
      <c r="AG724" s="428"/>
    </row>
    <row r="725" spans="2:33" hidden="1" x14ac:dyDescent="0.25">
      <c r="B725" s="1" t="s">
        <v>2805</v>
      </c>
      <c r="C725" s="3" t="s">
        <v>1368</v>
      </c>
      <c r="D725" s="3" t="s">
        <v>1247</v>
      </c>
      <c r="E725" s="407" t="s">
        <v>1377</v>
      </c>
      <c r="F725" s="3" t="s">
        <v>2115</v>
      </c>
      <c r="G725" s="407" t="s">
        <v>4494</v>
      </c>
      <c r="H725" s="440" t="s">
        <v>4109</v>
      </c>
      <c r="I725" s="407" t="s">
        <v>4315</v>
      </c>
      <c r="J725" s="407" t="s">
        <v>3749</v>
      </c>
      <c r="K725" s="387" t="s">
        <v>4648</v>
      </c>
      <c r="L725" s="387">
        <v>1</v>
      </c>
      <c r="M725" s="387">
        <v>0</v>
      </c>
      <c r="N725" s="387">
        <f t="shared" si="92"/>
        <v>1</v>
      </c>
      <c r="O725" s="442">
        <f t="shared" si="93"/>
        <v>0</v>
      </c>
      <c r="P725" s="387" t="s">
        <v>1358</v>
      </c>
      <c r="Q725" s="459">
        <v>0</v>
      </c>
      <c r="R725" s="459"/>
      <c r="S725" s="456">
        <v>0</v>
      </c>
      <c r="T725" s="456">
        <v>13.404999999999999</v>
      </c>
      <c r="U725" s="410"/>
      <c r="V725" s="411">
        <v>0</v>
      </c>
      <c r="W725" s="411">
        <v>0</v>
      </c>
      <c r="X725" s="411">
        <v>0</v>
      </c>
      <c r="Y725" s="411"/>
      <c r="Z725" s="411"/>
      <c r="AA725" s="412">
        <f t="shared" si="94"/>
        <v>0</v>
      </c>
      <c r="AB725" s="456">
        <f t="shared" si="95"/>
        <v>0</v>
      </c>
      <c r="AC725" s="456">
        <v>0</v>
      </c>
      <c r="AD725" s="2"/>
      <c r="AE725" s="4"/>
      <c r="AF725" s="5"/>
      <c r="AG725" s="428"/>
    </row>
    <row r="726" spans="2:33" hidden="1" x14ac:dyDescent="0.25">
      <c r="B726" s="1" t="s">
        <v>2806</v>
      </c>
      <c r="C726" s="3" t="s">
        <v>1368</v>
      </c>
      <c r="D726" s="3" t="s">
        <v>1247</v>
      </c>
      <c r="E726" s="407" t="s">
        <v>1379</v>
      </c>
      <c r="F726" s="3" t="s">
        <v>2116</v>
      </c>
      <c r="G726" s="407" t="s">
        <v>4502</v>
      </c>
      <c r="H726" s="440" t="s">
        <v>4109</v>
      </c>
      <c r="I726" s="407" t="s">
        <v>4323</v>
      </c>
      <c r="J726" s="407" t="s">
        <v>3750</v>
      </c>
      <c r="K726" s="387" t="s">
        <v>4632</v>
      </c>
      <c r="L726" s="387">
        <v>1</v>
      </c>
      <c r="M726" s="387">
        <v>0</v>
      </c>
      <c r="N726" s="387">
        <f t="shared" si="92"/>
        <v>1</v>
      </c>
      <c r="O726" s="442">
        <f t="shared" si="93"/>
        <v>1</v>
      </c>
      <c r="P726" s="387" t="s">
        <v>1358</v>
      </c>
      <c r="Q726" s="459">
        <v>0</v>
      </c>
      <c r="R726" s="459"/>
      <c r="S726" s="456">
        <v>0</v>
      </c>
      <c r="T726" s="456">
        <v>13.409000000000001</v>
      </c>
      <c r="U726" s="410"/>
      <c r="V726" s="411">
        <v>1</v>
      </c>
      <c r="W726" s="411">
        <v>1</v>
      </c>
      <c r="X726" s="411">
        <v>1</v>
      </c>
      <c r="Y726" s="411"/>
      <c r="Z726" s="411"/>
      <c r="AA726" s="412">
        <f t="shared" si="94"/>
        <v>1</v>
      </c>
      <c r="AB726" s="456">
        <f t="shared" si="95"/>
        <v>13.409000000000001</v>
      </c>
      <c r="AC726" s="456">
        <v>0</v>
      </c>
      <c r="AD726" s="2"/>
      <c r="AE726" s="4"/>
      <c r="AF726" s="5"/>
      <c r="AG726" s="428"/>
    </row>
    <row r="727" spans="2:33" hidden="1" x14ac:dyDescent="0.25">
      <c r="B727" s="1" t="s">
        <v>2807</v>
      </c>
      <c r="C727" s="3" t="s">
        <v>1368</v>
      </c>
      <c r="D727" s="3" t="s">
        <v>1247</v>
      </c>
      <c r="E727" s="407" t="s">
        <v>1381</v>
      </c>
      <c r="F727" s="3" t="s">
        <v>2117</v>
      </c>
      <c r="G727" s="407" t="s">
        <v>4497</v>
      </c>
      <c r="H727" s="440" t="s">
        <v>4109</v>
      </c>
      <c r="I727" s="407" t="s">
        <v>4318</v>
      </c>
      <c r="J727" s="407" t="s">
        <v>3751</v>
      </c>
      <c r="K727" s="387" t="s">
        <v>4631</v>
      </c>
      <c r="L727" s="387">
        <v>1</v>
      </c>
      <c r="M727" s="387">
        <v>0</v>
      </c>
      <c r="N727" s="387">
        <f t="shared" si="92"/>
        <v>1</v>
      </c>
      <c r="O727" s="442">
        <f t="shared" si="93"/>
        <v>1</v>
      </c>
      <c r="P727" s="387" t="s">
        <v>1358</v>
      </c>
      <c r="Q727" s="459">
        <v>0</v>
      </c>
      <c r="R727" s="459"/>
      <c r="S727" s="456">
        <v>0</v>
      </c>
      <c r="T727" s="456">
        <v>13.409000000000001</v>
      </c>
      <c r="U727" s="410"/>
      <c r="V727" s="411">
        <v>1</v>
      </c>
      <c r="W727" s="411">
        <v>1</v>
      </c>
      <c r="X727" s="411">
        <v>1</v>
      </c>
      <c r="Y727" s="411"/>
      <c r="Z727" s="411"/>
      <c r="AA727" s="412">
        <f t="shared" si="94"/>
        <v>1</v>
      </c>
      <c r="AB727" s="456">
        <f t="shared" si="95"/>
        <v>13.409000000000001</v>
      </c>
      <c r="AC727" s="456">
        <v>0</v>
      </c>
      <c r="AD727" s="2"/>
      <c r="AE727" s="4"/>
      <c r="AF727" s="5"/>
      <c r="AG727" s="428"/>
    </row>
    <row r="728" spans="2:33" hidden="1" x14ac:dyDescent="0.25">
      <c r="B728" s="1" t="s">
        <v>2808</v>
      </c>
      <c r="C728" s="3" t="s">
        <v>1368</v>
      </c>
      <c r="D728" s="3" t="s">
        <v>1247</v>
      </c>
      <c r="E728" s="407" t="s">
        <v>3291</v>
      </c>
      <c r="F728" s="3" t="s">
        <v>2118</v>
      </c>
      <c r="G728" s="407" t="s">
        <v>4476</v>
      </c>
      <c r="H728" s="440" t="s">
        <v>4109</v>
      </c>
      <c r="I728" s="407" t="s">
        <v>4297</v>
      </c>
      <c r="J728" s="407" t="s">
        <v>3753</v>
      </c>
      <c r="K728" s="387" t="s">
        <v>4651</v>
      </c>
      <c r="L728" s="387">
        <v>1</v>
      </c>
      <c r="M728" s="387">
        <v>0</v>
      </c>
      <c r="N728" s="387">
        <f t="shared" si="92"/>
        <v>1</v>
      </c>
      <c r="O728" s="442">
        <f t="shared" si="93"/>
        <v>1.0000000000000002</v>
      </c>
      <c r="P728" s="387" t="s">
        <v>1358</v>
      </c>
      <c r="Q728" s="459">
        <v>0</v>
      </c>
      <c r="R728" s="459"/>
      <c r="S728" s="456">
        <v>0</v>
      </c>
      <c r="T728" s="456">
        <v>13.776999999999999</v>
      </c>
      <c r="U728" s="410"/>
      <c r="V728" s="411">
        <v>1</v>
      </c>
      <c r="W728" s="411">
        <v>1</v>
      </c>
      <c r="X728" s="411">
        <v>1</v>
      </c>
      <c r="Y728" s="411"/>
      <c r="Z728" s="411"/>
      <c r="AA728" s="412">
        <f t="shared" si="94"/>
        <v>1.0000000000000002</v>
      </c>
      <c r="AB728" s="456">
        <f t="shared" si="95"/>
        <v>13.777000000000001</v>
      </c>
      <c r="AC728" s="456">
        <v>0</v>
      </c>
      <c r="AD728" s="2"/>
      <c r="AE728" s="4"/>
      <c r="AF728" s="5"/>
      <c r="AG728" s="428"/>
    </row>
    <row r="729" spans="2:33" hidden="1" x14ac:dyDescent="0.25">
      <c r="B729" s="1" t="s">
        <v>2809</v>
      </c>
      <c r="C729" s="3" t="s">
        <v>1368</v>
      </c>
      <c r="D729" s="3" t="s">
        <v>1247</v>
      </c>
      <c r="E729" s="407" t="s">
        <v>3306</v>
      </c>
      <c r="F729" s="3" t="s">
        <v>2119</v>
      </c>
      <c r="G729" s="407" t="s">
        <v>4484</v>
      </c>
      <c r="H729" s="440" t="s">
        <v>4109</v>
      </c>
      <c r="I729" s="407" t="s">
        <v>4305</v>
      </c>
      <c r="J729" s="407" t="s">
        <v>3786</v>
      </c>
      <c r="K729" s="387" t="s">
        <v>4636</v>
      </c>
      <c r="L729" s="387">
        <v>1</v>
      </c>
      <c r="M729" s="387">
        <v>0</v>
      </c>
      <c r="N729" s="387">
        <f t="shared" si="92"/>
        <v>1</v>
      </c>
      <c r="O729" s="442">
        <f t="shared" si="93"/>
        <v>0</v>
      </c>
      <c r="P729" s="387" t="s">
        <v>1358</v>
      </c>
      <c r="Q729" s="459">
        <v>0</v>
      </c>
      <c r="R729" s="459"/>
      <c r="S729" s="456">
        <v>0</v>
      </c>
      <c r="T729" s="456">
        <v>10.207000000000001</v>
      </c>
      <c r="U729" s="410"/>
      <c r="V729" s="411">
        <v>0</v>
      </c>
      <c r="W729" s="411">
        <v>0</v>
      </c>
      <c r="X729" s="411">
        <v>0</v>
      </c>
      <c r="Y729" s="411"/>
      <c r="Z729" s="411"/>
      <c r="AA729" s="412">
        <f t="shared" si="94"/>
        <v>0</v>
      </c>
      <c r="AB729" s="456">
        <f t="shared" si="95"/>
        <v>0</v>
      </c>
      <c r="AC729" s="456">
        <v>0</v>
      </c>
      <c r="AD729" s="2"/>
      <c r="AE729" s="4"/>
      <c r="AF729" s="5"/>
      <c r="AG729" s="428"/>
    </row>
    <row r="730" spans="2:33" hidden="1" x14ac:dyDescent="0.25">
      <c r="B730" s="1" t="s">
        <v>2810</v>
      </c>
      <c r="C730" s="3" t="s">
        <v>1368</v>
      </c>
      <c r="D730" s="3" t="s">
        <v>1247</v>
      </c>
      <c r="E730" s="407" t="s">
        <v>1432</v>
      </c>
      <c r="F730" s="3" t="s">
        <v>2120</v>
      </c>
      <c r="G730" s="407" t="s">
        <v>4483</v>
      </c>
      <c r="H730" s="440" t="s">
        <v>4109</v>
      </c>
      <c r="I730" s="407" t="s">
        <v>4304</v>
      </c>
      <c r="J730" s="407" t="s">
        <v>3785</v>
      </c>
      <c r="K730" s="387" t="s">
        <v>4635</v>
      </c>
      <c r="L730" s="387">
        <v>1</v>
      </c>
      <c r="M730" s="387">
        <v>0</v>
      </c>
      <c r="N730" s="387">
        <f t="shared" si="92"/>
        <v>1</v>
      </c>
      <c r="O730" s="442">
        <f t="shared" si="93"/>
        <v>0</v>
      </c>
      <c r="P730" s="387" t="s">
        <v>1358</v>
      </c>
      <c r="Q730" s="459">
        <v>0</v>
      </c>
      <c r="R730" s="459"/>
      <c r="S730" s="456">
        <v>0</v>
      </c>
      <c r="T730" s="456">
        <v>12.303000000000001</v>
      </c>
      <c r="U730" s="410"/>
      <c r="V730" s="411">
        <v>0</v>
      </c>
      <c r="W730" s="411">
        <v>0</v>
      </c>
      <c r="X730" s="411">
        <v>0</v>
      </c>
      <c r="Y730" s="411"/>
      <c r="Z730" s="411"/>
      <c r="AA730" s="412">
        <f t="shared" si="94"/>
        <v>0</v>
      </c>
      <c r="AB730" s="456">
        <f t="shared" si="95"/>
        <v>0</v>
      </c>
      <c r="AC730" s="456">
        <v>0</v>
      </c>
      <c r="AD730" s="2"/>
      <c r="AE730" s="4"/>
      <c r="AF730" s="5"/>
      <c r="AG730" s="428"/>
    </row>
    <row r="731" spans="2:33" hidden="1" x14ac:dyDescent="0.25">
      <c r="B731" s="1" t="s">
        <v>2811</v>
      </c>
      <c r="C731" s="3" t="s">
        <v>1368</v>
      </c>
      <c r="D731" s="3" t="s">
        <v>1247</v>
      </c>
      <c r="E731" s="407" t="s">
        <v>3236</v>
      </c>
      <c r="F731" s="3" t="s">
        <v>2121</v>
      </c>
      <c r="G731" s="407" t="s">
        <v>4491</v>
      </c>
      <c r="H731" s="440" t="s">
        <v>4109</v>
      </c>
      <c r="I731" s="407" t="s">
        <v>4312</v>
      </c>
      <c r="J731" s="407" t="s">
        <v>3793</v>
      </c>
      <c r="K731" s="387" t="s">
        <v>4645</v>
      </c>
      <c r="L731" s="387">
        <v>1</v>
      </c>
      <c r="M731" s="387">
        <v>0</v>
      </c>
      <c r="N731" s="387">
        <f t="shared" si="92"/>
        <v>1</v>
      </c>
      <c r="O731" s="442">
        <f t="shared" si="93"/>
        <v>1</v>
      </c>
      <c r="P731" s="387" t="s">
        <v>1358</v>
      </c>
      <c r="Q731" s="459">
        <v>0</v>
      </c>
      <c r="R731" s="459"/>
      <c r="S731" s="456">
        <v>0</v>
      </c>
      <c r="T731" s="456">
        <v>13.409000000000001</v>
      </c>
      <c r="U731" s="410"/>
      <c r="V731" s="411">
        <v>1</v>
      </c>
      <c r="W731" s="411">
        <v>1</v>
      </c>
      <c r="X731" s="411">
        <v>1</v>
      </c>
      <c r="Y731" s="411"/>
      <c r="Z731" s="411"/>
      <c r="AA731" s="412">
        <f t="shared" si="94"/>
        <v>1</v>
      </c>
      <c r="AB731" s="456">
        <f t="shared" si="95"/>
        <v>13.409000000000001</v>
      </c>
      <c r="AC731" s="456">
        <v>0</v>
      </c>
      <c r="AD731" s="2"/>
      <c r="AE731" s="4"/>
      <c r="AF731" s="5"/>
      <c r="AG731" s="428"/>
    </row>
    <row r="732" spans="2:33" hidden="1" x14ac:dyDescent="0.25">
      <c r="B732" s="1" t="s">
        <v>2812</v>
      </c>
      <c r="C732" s="3" t="s">
        <v>1368</v>
      </c>
      <c r="D732" s="3" t="s">
        <v>1247</v>
      </c>
      <c r="E732" s="407" t="s">
        <v>1426</v>
      </c>
      <c r="F732" s="3" t="s">
        <v>2122</v>
      </c>
      <c r="G732" s="407" t="s">
        <v>4480</v>
      </c>
      <c r="H732" s="440" t="s">
        <v>4109</v>
      </c>
      <c r="I732" s="407" t="s">
        <v>4301</v>
      </c>
      <c r="J732" s="407" t="s">
        <v>3782</v>
      </c>
      <c r="K732" s="387" t="s">
        <v>4637</v>
      </c>
      <c r="L732" s="387">
        <v>1</v>
      </c>
      <c r="M732" s="387">
        <v>0</v>
      </c>
      <c r="N732" s="387">
        <f t="shared" si="92"/>
        <v>1</v>
      </c>
      <c r="O732" s="442">
        <f t="shared" si="93"/>
        <v>1</v>
      </c>
      <c r="P732" s="387" t="s">
        <v>1358</v>
      </c>
      <c r="Q732" s="459">
        <v>0</v>
      </c>
      <c r="R732" s="459"/>
      <c r="S732" s="456">
        <v>0</v>
      </c>
      <c r="T732" s="456">
        <v>12.303000000000001</v>
      </c>
      <c r="U732" s="410"/>
      <c r="V732" s="411">
        <v>1</v>
      </c>
      <c r="W732" s="411">
        <v>1</v>
      </c>
      <c r="X732" s="411">
        <v>1</v>
      </c>
      <c r="Y732" s="411"/>
      <c r="Z732" s="411"/>
      <c r="AA732" s="412">
        <f t="shared" si="94"/>
        <v>1</v>
      </c>
      <c r="AB732" s="456">
        <f t="shared" si="95"/>
        <v>12.303000000000001</v>
      </c>
      <c r="AC732" s="456">
        <v>0</v>
      </c>
      <c r="AD732" s="2"/>
      <c r="AE732" s="4"/>
      <c r="AF732" s="5"/>
      <c r="AG732" s="428"/>
    </row>
    <row r="733" spans="2:33" hidden="1" x14ac:dyDescent="0.25">
      <c r="B733" s="1" t="s">
        <v>2813</v>
      </c>
      <c r="C733" s="3" t="s">
        <v>1368</v>
      </c>
      <c r="D733" s="3" t="s">
        <v>1247</v>
      </c>
      <c r="E733" s="407" t="s">
        <v>1427</v>
      </c>
      <c r="F733" s="3" t="s">
        <v>2123</v>
      </c>
      <c r="G733" s="407" t="s">
        <v>4485</v>
      </c>
      <c r="H733" s="440" t="s">
        <v>4109</v>
      </c>
      <c r="I733" s="407" t="s">
        <v>4306</v>
      </c>
      <c r="J733" s="407" t="s">
        <v>3787</v>
      </c>
      <c r="K733" s="387" t="s">
        <v>4638</v>
      </c>
      <c r="L733" s="387">
        <v>1</v>
      </c>
      <c r="M733" s="387">
        <v>0</v>
      </c>
      <c r="N733" s="387">
        <f t="shared" si="92"/>
        <v>1</v>
      </c>
      <c r="O733" s="442">
        <f t="shared" si="93"/>
        <v>0</v>
      </c>
      <c r="P733" s="387" t="s">
        <v>1358</v>
      </c>
      <c r="Q733" s="459">
        <v>0</v>
      </c>
      <c r="R733" s="459"/>
      <c r="S733" s="456">
        <v>0</v>
      </c>
      <c r="T733" s="456">
        <v>12.303000000000001</v>
      </c>
      <c r="U733" s="410"/>
      <c r="V733" s="411">
        <v>0</v>
      </c>
      <c r="W733" s="411">
        <v>0</v>
      </c>
      <c r="X733" s="411">
        <v>0</v>
      </c>
      <c r="Y733" s="411"/>
      <c r="Z733" s="411"/>
      <c r="AA733" s="412">
        <f t="shared" si="94"/>
        <v>0</v>
      </c>
      <c r="AB733" s="456">
        <f t="shared" si="95"/>
        <v>0</v>
      </c>
      <c r="AC733" s="456">
        <v>0</v>
      </c>
      <c r="AD733" s="2"/>
      <c r="AE733" s="4"/>
      <c r="AF733" s="5"/>
      <c r="AG733" s="428"/>
    </row>
    <row r="734" spans="2:33" hidden="1" x14ac:dyDescent="0.25">
      <c r="B734" s="1" t="s">
        <v>2814</v>
      </c>
      <c r="C734" s="3" t="s">
        <v>1368</v>
      </c>
      <c r="D734" s="3" t="s">
        <v>1247</v>
      </c>
      <c r="E734" s="407" t="s">
        <v>1428</v>
      </c>
      <c r="F734" s="3" t="s">
        <v>2124</v>
      </c>
      <c r="G734" s="407" t="s">
        <v>4486</v>
      </c>
      <c r="H734" s="440" t="s">
        <v>4109</v>
      </c>
      <c r="I734" s="407" t="s">
        <v>4307</v>
      </c>
      <c r="J734" s="407" t="s">
        <v>3788</v>
      </c>
      <c r="K734" s="387" t="s">
        <v>4639</v>
      </c>
      <c r="L734" s="387">
        <v>1</v>
      </c>
      <c r="M734" s="387">
        <v>0</v>
      </c>
      <c r="N734" s="387">
        <f t="shared" si="92"/>
        <v>1</v>
      </c>
      <c r="O734" s="442">
        <f t="shared" si="93"/>
        <v>0</v>
      </c>
      <c r="P734" s="387" t="s">
        <v>1358</v>
      </c>
      <c r="Q734" s="459">
        <v>0</v>
      </c>
      <c r="R734" s="459"/>
      <c r="S734" s="456">
        <v>0</v>
      </c>
      <c r="T734" s="456">
        <v>12.303000000000001</v>
      </c>
      <c r="U734" s="410"/>
      <c r="V734" s="411">
        <v>0</v>
      </c>
      <c r="W734" s="411">
        <v>0</v>
      </c>
      <c r="X734" s="411">
        <v>0</v>
      </c>
      <c r="Y734" s="411"/>
      <c r="Z734" s="411"/>
      <c r="AA734" s="412">
        <f t="shared" si="94"/>
        <v>0</v>
      </c>
      <c r="AB734" s="456">
        <f t="shared" si="95"/>
        <v>0</v>
      </c>
      <c r="AC734" s="456">
        <v>0</v>
      </c>
      <c r="AD734" s="2"/>
      <c r="AE734" s="4"/>
      <c r="AF734" s="5"/>
      <c r="AG734" s="428"/>
    </row>
    <row r="735" spans="2:33" hidden="1" x14ac:dyDescent="0.25">
      <c r="B735" s="1" t="s">
        <v>2815</v>
      </c>
      <c r="C735" s="3" t="s">
        <v>1368</v>
      </c>
      <c r="D735" s="3" t="s">
        <v>1247</v>
      </c>
      <c r="E735" s="407" t="s">
        <v>1429</v>
      </c>
      <c r="F735" s="3" t="s">
        <v>2125</v>
      </c>
      <c r="G735" s="407" t="s">
        <v>4487</v>
      </c>
      <c r="H735" s="440" t="s">
        <v>4109</v>
      </c>
      <c r="I735" s="407" t="s">
        <v>4308</v>
      </c>
      <c r="J735" s="407" t="s">
        <v>3789</v>
      </c>
      <c r="K735" s="387" t="s">
        <v>4640</v>
      </c>
      <c r="L735" s="387">
        <v>1</v>
      </c>
      <c r="M735" s="387">
        <v>0</v>
      </c>
      <c r="N735" s="387">
        <f t="shared" si="92"/>
        <v>1</v>
      </c>
      <c r="O735" s="442">
        <f t="shared" si="93"/>
        <v>0</v>
      </c>
      <c r="P735" s="387" t="s">
        <v>1358</v>
      </c>
      <c r="Q735" s="459">
        <v>0</v>
      </c>
      <c r="R735" s="459"/>
      <c r="S735" s="456">
        <v>0</v>
      </c>
      <c r="T735" s="456">
        <v>12.303000000000001</v>
      </c>
      <c r="U735" s="410"/>
      <c r="V735" s="411">
        <v>0</v>
      </c>
      <c r="W735" s="411">
        <v>0</v>
      </c>
      <c r="X735" s="411">
        <v>0</v>
      </c>
      <c r="Y735" s="411"/>
      <c r="Z735" s="411"/>
      <c r="AA735" s="412">
        <f t="shared" si="94"/>
        <v>0</v>
      </c>
      <c r="AB735" s="456">
        <f t="shared" si="95"/>
        <v>0</v>
      </c>
      <c r="AC735" s="456">
        <v>0</v>
      </c>
      <c r="AD735" s="2"/>
      <c r="AE735" s="4"/>
      <c r="AF735" s="5"/>
      <c r="AG735" s="428"/>
    </row>
    <row r="736" spans="2:33" hidden="1" x14ac:dyDescent="0.25">
      <c r="B736" s="1" t="s">
        <v>2816</v>
      </c>
      <c r="C736" s="3" t="s">
        <v>1368</v>
      </c>
      <c r="D736" s="3" t="s">
        <v>1247</v>
      </c>
      <c r="E736" s="407" t="s">
        <v>1430</v>
      </c>
      <c r="F736" s="3" t="s">
        <v>2126</v>
      </c>
      <c r="G736" s="407" t="s">
        <v>4488</v>
      </c>
      <c r="H736" s="440" t="s">
        <v>4109</v>
      </c>
      <c r="I736" s="407" t="s">
        <v>4309</v>
      </c>
      <c r="J736" s="407" t="s">
        <v>3790</v>
      </c>
      <c r="K736" s="387" t="s">
        <v>4641</v>
      </c>
      <c r="L736" s="387">
        <v>1</v>
      </c>
      <c r="M736" s="387">
        <v>0</v>
      </c>
      <c r="N736" s="387">
        <f t="shared" si="92"/>
        <v>1</v>
      </c>
      <c r="O736" s="442">
        <f t="shared" si="93"/>
        <v>0</v>
      </c>
      <c r="P736" s="387" t="s">
        <v>1358</v>
      </c>
      <c r="Q736" s="459">
        <v>0</v>
      </c>
      <c r="R736" s="459"/>
      <c r="S736" s="456">
        <v>0</v>
      </c>
      <c r="T736" s="456">
        <v>12.303000000000001</v>
      </c>
      <c r="U736" s="410"/>
      <c r="V736" s="411">
        <v>0</v>
      </c>
      <c r="W736" s="411">
        <v>0</v>
      </c>
      <c r="X736" s="411">
        <v>0</v>
      </c>
      <c r="Y736" s="411"/>
      <c r="Z736" s="411"/>
      <c r="AA736" s="412">
        <f t="shared" si="94"/>
        <v>0</v>
      </c>
      <c r="AB736" s="456">
        <f t="shared" si="95"/>
        <v>0</v>
      </c>
      <c r="AC736" s="456">
        <v>0</v>
      </c>
      <c r="AD736" s="2"/>
      <c r="AE736" s="4"/>
      <c r="AF736" s="5"/>
      <c r="AG736" s="428"/>
    </row>
    <row r="737" spans="2:33" hidden="1" x14ac:dyDescent="0.25">
      <c r="B737" s="1" t="s">
        <v>2817</v>
      </c>
      <c r="C737" s="3" t="s">
        <v>1368</v>
      </c>
      <c r="D737" s="3" t="s">
        <v>1247</v>
      </c>
      <c r="E737" s="407" t="s">
        <v>1431</v>
      </c>
      <c r="F737" s="3" t="s">
        <v>2127</v>
      </c>
      <c r="G737" s="407" t="s">
        <v>4489</v>
      </c>
      <c r="H737" s="440" t="s">
        <v>4109</v>
      </c>
      <c r="I737" s="407" t="s">
        <v>4310</v>
      </c>
      <c r="J737" s="407" t="s">
        <v>3791</v>
      </c>
      <c r="K737" s="387" t="s">
        <v>4642</v>
      </c>
      <c r="L737" s="387">
        <v>1</v>
      </c>
      <c r="M737" s="387">
        <v>0</v>
      </c>
      <c r="N737" s="387">
        <f t="shared" si="92"/>
        <v>1</v>
      </c>
      <c r="O737" s="442">
        <f t="shared" si="93"/>
        <v>0</v>
      </c>
      <c r="P737" s="387" t="s">
        <v>1358</v>
      </c>
      <c r="Q737" s="459">
        <v>0</v>
      </c>
      <c r="R737" s="459"/>
      <c r="S737" s="456">
        <v>0</v>
      </c>
      <c r="T737" s="456">
        <v>12.303000000000001</v>
      </c>
      <c r="U737" s="410"/>
      <c r="V737" s="411">
        <v>0</v>
      </c>
      <c r="W737" s="411">
        <v>0</v>
      </c>
      <c r="X737" s="411">
        <v>0</v>
      </c>
      <c r="Y737" s="411"/>
      <c r="Z737" s="411"/>
      <c r="AA737" s="412">
        <f t="shared" si="94"/>
        <v>0</v>
      </c>
      <c r="AB737" s="456">
        <f t="shared" si="95"/>
        <v>0</v>
      </c>
      <c r="AC737" s="456">
        <v>0</v>
      </c>
      <c r="AD737" s="2"/>
      <c r="AE737" s="4"/>
      <c r="AF737" s="5"/>
      <c r="AG737" s="428"/>
    </row>
    <row r="738" spans="2:33" hidden="1" x14ac:dyDescent="0.25">
      <c r="B738" s="1" t="s">
        <v>2818</v>
      </c>
      <c r="C738" s="3" t="s">
        <v>1368</v>
      </c>
      <c r="D738" s="3" t="s">
        <v>1247</v>
      </c>
      <c r="E738" s="407" t="s">
        <v>1433</v>
      </c>
      <c r="F738" s="3" t="s">
        <v>2128</v>
      </c>
      <c r="G738" s="407" t="s">
        <v>4490</v>
      </c>
      <c r="H738" s="440" t="s">
        <v>4109</v>
      </c>
      <c r="I738" s="407" t="s">
        <v>4311</v>
      </c>
      <c r="J738" s="407" t="s">
        <v>3792</v>
      </c>
      <c r="K738" s="387" t="s">
        <v>4644</v>
      </c>
      <c r="L738" s="387">
        <v>1</v>
      </c>
      <c r="M738" s="387">
        <v>0</v>
      </c>
      <c r="N738" s="387">
        <f t="shared" si="92"/>
        <v>1</v>
      </c>
      <c r="O738" s="442">
        <f t="shared" si="93"/>
        <v>0</v>
      </c>
      <c r="P738" s="387" t="s">
        <v>1358</v>
      </c>
      <c r="Q738" s="459">
        <v>0</v>
      </c>
      <c r="R738" s="459"/>
      <c r="S738" s="456">
        <v>0</v>
      </c>
      <c r="T738" s="456">
        <v>2.081</v>
      </c>
      <c r="U738" s="410"/>
      <c r="V738" s="411">
        <v>0</v>
      </c>
      <c r="W738" s="411">
        <v>0</v>
      </c>
      <c r="X738" s="411">
        <v>0</v>
      </c>
      <c r="Y738" s="411"/>
      <c r="Z738" s="411"/>
      <c r="AA738" s="412">
        <f t="shared" si="94"/>
        <v>0</v>
      </c>
      <c r="AB738" s="456">
        <f t="shared" si="95"/>
        <v>0</v>
      </c>
      <c r="AC738" s="456">
        <v>0</v>
      </c>
      <c r="AD738" s="2"/>
      <c r="AE738" s="4"/>
      <c r="AF738" s="5"/>
      <c r="AG738" s="428"/>
    </row>
    <row r="739" spans="2:33" hidden="1" x14ac:dyDescent="0.25">
      <c r="B739" s="1" t="s">
        <v>2819</v>
      </c>
      <c r="C739" s="3" t="s">
        <v>1368</v>
      </c>
      <c r="D739" s="3" t="s">
        <v>1247</v>
      </c>
      <c r="E739" s="407" t="s">
        <v>3234</v>
      </c>
      <c r="F739" s="3" t="s">
        <v>2129</v>
      </c>
      <c r="G739" s="407" t="s">
        <v>4492</v>
      </c>
      <c r="H739" s="440" t="s">
        <v>4109</v>
      </c>
      <c r="I739" s="407" t="s">
        <v>4313</v>
      </c>
      <c r="J739" s="407" t="s">
        <v>3794</v>
      </c>
      <c r="K739" s="387" t="s">
        <v>4646</v>
      </c>
      <c r="L739" s="387">
        <v>1</v>
      </c>
      <c r="M739" s="387">
        <v>0</v>
      </c>
      <c r="N739" s="387">
        <f t="shared" si="92"/>
        <v>1</v>
      </c>
      <c r="O739" s="442">
        <f t="shared" si="93"/>
        <v>1.0000000000000002</v>
      </c>
      <c r="P739" s="387" t="s">
        <v>1358</v>
      </c>
      <c r="Q739" s="459">
        <v>0</v>
      </c>
      <c r="R739" s="459"/>
      <c r="S739" s="456">
        <v>0</v>
      </c>
      <c r="T739" s="456">
        <v>9.3650000000000002</v>
      </c>
      <c r="U739" s="410"/>
      <c r="V739" s="411">
        <v>1</v>
      </c>
      <c r="W739" s="411">
        <v>1</v>
      </c>
      <c r="X739" s="411">
        <v>1</v>
      </c>
      <c r="Y739" s="411"/>
      <c r="Z739" s="411"/>
      <c r="AA739" s="412">
        <f t="shared" si="94"/>
        <v>1.0000000000000002</v>
      </c>
      <c r="AB739" s="456">
        <f t="shared" si="95"/>
        <v>9.365000000000002</v>
      </c>
      <c r="AC739" s="456">
        <v>0</v>
      </c>
      <c r="AD739" s="2"/>
      <c r="AE739" s="4"/>
      <c r="AF739" s="5"/>
      <c r="AG739" s="428"/>
    </row>
    <row r="740" spans="2:33" hidden="1" x14ac:dyDescent="0.25">
      <c r="B740" s="1" t="s">
        <v>2820</v>
      </c>
      <c r="C740" s="3" t="s">
        <v>1368</v>
      </c>
      <c r="D740" s="3" t="s">
        <v>1247</v>
      </c>
      <c r="E740" s="407" t="s">
        <v>3291</v>
      </c>
      <c r="F740" s="3" t="s">
        <v>2130</v>
      </c>
      <c r="G740" s="407" t="s">
        <v>4476</v>
      </c>
      <c r="H740" s="440" t="s">
        <v>4109</v>
      </c>
      <c r="I740" s="407" t="s">
        <v>4297</v>
      </c>
      <c r="J740" s="407" t="s">
        <v>3753</v>
      </c>
      <c r="K740" s="387" t="s">
        <v>4651</v>
      </c>
      <c r="L740" s="387">
        <v>1</v>
      </c>
      <c r="M740" s="387">
        <v>0</v>
      </c>
      <c r="N740" s="387">
        <f t="shared" si="92"/>
        <v>1</v>
      </c>
      <c r="O740" s="442">
        <f t="shared" si="93"/>
        <v>1</v>
      </c>
      <c r="P740" s="387" t="s">
        <v>1358</v>
      </c>
      <c r="Q740" s="459">
        <v>0</v>
      </c>
      <c r="R740" s="459"/>
      <c r="S740" s="456">
        <v>0</v>
      </c>
      <c r="T740" s="456">
        <v>16.542000000000002</v>
      </c>
      <c r="U740" s="410"/>
      <c r="V740" s="411">
        <v>1</v>
      </c>
      <c r="W740" s="411">
        <v>1</v>
      </c>
      <c r="X740" s="411">
        <v>1</v>
      </c>
      <c r="Y740" s="411"/>
      <c r="Z740" s="411"/>
      <c r="AA740" s="412">
        <f t="shared" si="94"/>
        <v>1</v>
      </c>
      <c r="AB740" s="456">
        <f>(V740*V$369*T740)+(W740*W$369*T740)+(X740*X$369*T740)</f>
        <v>16.542000000000002</v>
      </c>
      <c r="AC740" s="456">
        <v>0</v>
      </c>
      <c r="AD740" s="2"/>
      <c r="AE740" s="4"/>
      <c r="AF740" s="5"/>
      <c r="AG740" s="428"/>
    </row>
    <row r="741" spans="2:33" hidden="1" x14ac:dyDescent="0.25">
      <c r="B741" s="1" t="s">
        <v>2821</v>
      </c>
      <c r="C741" s="3" t="s">
        <v>1368</v>
      </c>
      <c r="D741" s="3" t="s">
        <v>1247</v>
      </c>
      <c r="E741" s="407" t="s">
        <v>3293</v>
      </c>
      <c r="F741" s="3" t="s">
        <v>2131</v>
      </c>
      <c r="G741" s="407" t="s">
        <v>4503</v>
      </c>
      <c r="H741" s="440" t="s">
        <v>4109</v>
      </c>
      <c r="I741" s="407" t="s">
        <v>4324</v>
      </c>
      <c r="J741" s="407" t="s">
        <v>3798</v>
      </c>
      <c r="K741" s="387" t="s">
        <v>4658</v>
      </c>
      <c r="L741" s="387">
        <v>1</v>
      </c>
      <c r="M741" s="387">
        <v>0</v>
      </c>
      <c r="N741" s="387">
        <f t="shared" si="92"/>
        <v>1</v>
      </c>
      <c r="O741" s="442">
        <f t="shared" si="93"/>
        <v>1.0000000000000002</v>
      </c>
      <c r="P741" s="387" t="s">
        <v>1358</v>
      </c>
      <c r="Q741" s="459">
        <v>0</v>
      </c>
      <c r="R741" s="459"/>
      <c r="S741" s="456">
        <v>0</v>
      </c>
      <c r="T741" s="456">
        <v>13.071</v>
      </c>
      <c r="U741" s="410"/>
      <c r="V741" s="411">
        <v>1</v>
      </c>
      <c r="W741" s="411">
        <v>1</v>
      </c>
      <c r="X741" s="411">
        <v>1</v>
      </c>
      <c r="Y741" s="411"/>
      <c r="Z741" s="411"/>
      <c r="AA741" s="412">
        <f t="shared" si="94"/>
        <v>1.0000000000000002</v>
      </c>
      <c r="AB741" s="456">
        <f t="shared" si="95"/>
        <v>13.071000000000002</v>
      </c>
      <c r="AC741" s="456">
        <v>0</v>
      </c>
      <c r="AD741" s="2"/>
      <c r="AE741" s="4"/>
      <c r="AF741" s="5"/>
      <c r="AG741" s="428"/>
    </row>
    <row r="742" spans="2:33" hidden="1" x14ac:dyDescent="0.25">
      <c r="B742" s="1" t="s">
        <v>2822</v>
      </c>
      <c r="C742" s="3" t="s">
        <v>1368</v>
      </c>
      <c r="D742" s="3" t="s">
        <v>1247</v>
      </c>
      <c r="E742" s="407" t="s">
        <v>1398</v>
      </c>
      <c r="F742" s="3" t="s">
        <v>2132</v>
      </c>
      <c r="G742" s="407" t="s">
        <v>4496</v>
      </c>
      <c r="H742" s="440" t="s">
        <v>4109</v>
      </c>
      <c r="I742" s="407" t="s">
        <v>4317</v>
      </c>
      <c r="J742" s="407" t="s">
        <v>3796</v>
      </c>
      <c r="K742" s="387" t="s">
        <v>4650</v>
      </c>
      <c r="L742" s="387">
        <v>1</v>
      </c>
      <c r="M742" s="387">
        <v>0</v>
      </c>
      <c r="N742" s="387">
        <f t="shared" si="92"/>
        <v>1</v>
      </c>
      <c r="O742" s="442">
        <f t="shared" si="93"/>
        <v>1</v>
      </c>
      <c r="P742" s="387" t="s">
        <v>1358</v>
      </c>
      <c r="Q742" s="459">
        <v>0</v>
      </c>
      <c r="R742" s="459"/>
      <c r="S742" s="456">
        <v>0</v>
      </c>
      <c r="T742" s="456">
        <v>42.228000000000002</v>
      </c>
      <c r="U742" s="410"/>
      <c r="V742" s="411">
        <v>1</v>
      </c>
      <c r="W742" s="411">
        <v>1</v>
      </c>
      <c r="X742" s="411">
        <v>1</v>
      </c>
      <c r="Y742" s="411"/>
      <c r="Z742" s="411"/>
      <c r="AA742" s="412">
        <f t="shared" si="94"/>
        <v>1</v>
      </c>
      <c r="AB742" s="456">
        <f t="shared" si="95"/>
        <v>42.228000000000002</v>
      </c>
      <c r="AC742" s="456">
        <v>0</v>
      </c>
      <c r="AD742" s="2"/>
      <c r="AE742" s="4"/>
      <c r="AF742" s="5"/>
      <c r="AG742" s="428"/>
    </row>
    <row r="743" spans="2:33" hidden="1" x14ac:dyDescent="0.25">
      <c r="B743" s="1" t="s">
        <v>2823</v>
      </c>
      <c r="C743" s="3" t="s">
        <v>1368</v>
      </c>
      <c r="D743" s="3" t="s">
        <v>1247</v>
      </c>
      <c r="E743" s="407" t="s">
        <v>1398</v>
      </c>
      <c r="F743" s="3" t="s">
        <v>2133</v>
      </c>
      <c r="G743" s="407" t="s">
        <v>4496</v>
      </c>
      <c r="H743" s="440" t="s">
        <v>4109</v>
      </c>
      <c r="I743" s="407" t="s">
        <v>4317</v>
      </c>
      <c r="J743" s="407" t="s">
        <v>3796</v>
      </c>
      <c r="K743" s="387" t="s">
        <v>4650</v>
      </c>
      <c r="L743" s="387">
        <v>1</v>
      </c>
      <c r="M743" s="387">
        <v>0</v>
      </c>
      <c r="N743" s="387">
        <f t="shared" si="92"/>
        <v>1</v>
      </c>
      <c r="O743" s="442">
        <f t="shared" si="93"/>
        <v>0.99999999999999989</v>
      </c>
      <c r="P743" s="387" t="s">
        <v>1358</v>
      </c>
      <c r="Q743" s="459">
        <v>0</v>
      </c>
      <c r="R743" s="459"/>
      <c r="S743" s="456">
        <v>0</v>
      </c>
      <c r="T743" s="456">
        <v>12.702</v>
      </c>
      <c r="U743" s="410"/>
      <c r="V743" s="411">
        <v>1</v>
      </c>
      <c r="W743" s="411">
        <v>1</v>
      </c>
      <c r="X743" s="411">
        <v>1</v>
      </c>
      <c r="Y743" s="411"/>
      <c r="Z743" s="411"/>
      <c r="AA743" s="412">
        <f t="shared" si="94"/>
        <v>0.99999999999999989</v>
      </c>
      <c r="AB743" s="456">
        <f t="shared" si="95"/>
        <v>12.701999999999998</v>
      </c>
      <c r="AC743" s="456">
        <v>0</v>
      </c>
      <c r="AD743" s="2"/>
      <c r="AE743" s="4"/>
      <c r="AF743" s="5"/>
      <c r="AG743" s="428"/>
    </row>
    <row r="744" spans="2:33" hidden="1" x14ac:dyDescent="0.25">
      <c r="B744" s="1" t="s">
        <v>2824</v>
      </c>
      <c r="C744" s="3" t="s">
        <v>1368</v>
      </c>
      <c r="D744" s="3" t="s">
        <v>1247</v>
      </c>
      <c r="E744" s="407" t="s">
        <v>1374</v>
      </c>
      <c r="F744" s="3" t="s">
        <v>2134</v>
      </c>
      <c r="G744" s="407" t="s">
        <v>4495</v>
      </c>
      <c r="H744" s="440" t="s">
        <v>4109</v>
      </c>
      <c r="I744" s="407" t="s">
        <v>4316</v>
      </c>
      <c r="J744" s="407" t="s">
        <v>3757</v>
      </c>
      <c r="K744" s="387" t="s">
        <v>4649</v>
      </c>
      <c r="L744" s="387">
        <v>1</v>
      </c>
      <c r="M744" s="387">
        <v>0</v>
      </c>
      <c r="N744" s="387">
        <f t="shared" si="92"/>
        <v>1</v>
      </c>
      <c r="O744" s="442">
        <f t="shared" si="93"/>
        <v>1</v>
      </c>
      <c r="P744" s="387" t="s">
        <v>1358</v>
      </c>
      <c r="Q744" s="459">
        <v>0</v>
      </c>
      <c r="R744" s="459"/>
      <c r="S744" s="456">
        <v>0</v>
      </c>
      <c r="T744" s="456">
        <v>12.706</v>
      </c>
      <c r="U744" s="410"/>
      <c r="V744" s="411">
        <v>1</v>
      </c>
      <c r="W744" s="411">
        <v>1</v>
      </c>
      <c r="X744" s="411">
        <v>1</v>
      </c>
      <c r="Y744" s="411"/>
      <c r="Z744" s="411"/>
      <c r="AA744" s="412">
        <f t="shared" si="94"/>
        <v>1</v>
      </c>
      <c r="AB744" s="456">
        <f t="shared" si="95"/>
        <v>12.706</v>
      </c>
      <c r="AC744" s="456">
        <v>0</v>
      </c>
      <c r="AD744" s="2"/>
      <c r="AE744" s="4"/>
      <c r="AF744" s="5"/>
      <c r="AG744" s="428"/>
    </row>
    <row r="745" spans="2:33" hidden="1" x14ac:dyDescent="0.25">
      <c r="B745" s="1" t="s">
        <v>2825</v>
      </c>
      <c r="C745" s="3" t="s">
        <v>1368</v>
      </c>
      <c r="D745" s="3" t="s">
        <v>1247</v>
      </c>
      <c r="E745" s="407" t="s">
        <v>1377</v>
      </c>
      <c r="F745" s="3" t="s">
        <v>2135</v>
      </c>
      <c r="G745" s="407" t="s">
        <v>4494</v>
      </c>
      <c r="H745" s="440" t="s">
        <v>4109</v>
      </c>
      <c r="I745" s="407" t="s">
        <v>4315</v>
      </c>
      <c r="J745" s="407" t="s">
        <v>3749</v>
      </c>
      <c r="K745" s="387" t="s">
        <v>4648</v>
      </c>
      <c r="L745" s="387">
        <v>1</v>
      </c>
      <c r="M745" s="387">
        <v>0</v>
      </c>
      <c r="N745" s="387">
        <f t="shared" si="92"/>
        <v>1</v>
      </c>
      <c r="O745" s="442">
        <f t="shared" si="93"/>
        <v>0</v>
      </c>
      <c r="P745" s="387" t="s">
        <v>1358</v>
      </c>
      <c r="Q745" s="459">
        <v>0</v>
      </c>
      <c r="R745" s="459"/>
      <c r="S745" s="456">
        <v>0</v>
      </c>
      <c r="T745" s="456">
        <v>16.074999999999999</v>
      </c>
      <c r="U745" s="410"/>
      <c r="V745" s="411">
        <v>0</v>
      </c>
      <c r="W745" s="411">
        <v>0</v>
      </c>
      <c r="X745" s="411">
        <v>0</v>
      </c>
      <c r="Y745" s="411"/>
      <c r="Z745" s="411"/>
      <c r="AA745" s="412">
        <f t="shared" si="94"/>
        <v>0</v>
      </c>
      <c r="AB745" s="456">
        <f t="shared" si="95"/>
        <v>0</v>
      </c>
      <c r="AC745" s="456">
        <v>0</v>
      </c>
      <c r="AD745" s="2"/>
      <c r="AE745" s="4"/>
      <c r="AF745" s="5"/>
      <c r="AG745" s="428"/>
    </row>
    <row r="746" spans="2:33" hidden="1" x14ac:dyDescent="0.25">
      <c r="B746" s="1" t="s">
        <v>2826</v>
      </c>
      <c r="C746" s="3" t="s">
        <v>1368</v>
      </c>
      <c r="D746" s="3" t="s">
        <v>1247</v>
      </c>
      <c r="E746" s="407" t="s">
        <v>1379</v>
      </c>
      <c r="F746" s="3" t="s">
        <v>2136</v>
      </c>
      <c r="G746" s="407" t="s">
        <v>4502</v>
      </c>
      <c r="H746" s="440" t="s">
        <v>4109</v>
      </c>
      <c r="I746" s="407" t="s">
        <v>4323</v>
      </c>
      <c r="J746" s="407" t="s">
        <v>3750</v>
      </c>
      <c r="K746" s="387" t="s">
        <v>4632</v>
      </c>
      <c r="L746" s="387">
        <v>1</v>
      </c>
      <c r="M746" s="387">
        <v>0</v>
      </c>
      <c r="N746" s="387">
        <f t="shared" si="92"/>
        <v>1</v>
      </c>
      <c r="O746" s="442">
        <f t="shared" si="93"/>
        <v>1</v>
      </c>
      <c r="P746" s="387" t="s">
        <v>1358</v>
      </c>
      <c r="Q746" s="459">
        <v>0</v>
      </c>
      <c r="R746" s="459"/>
      <c r="S746" s="456">
        <v>0</v>
      </c>
      <c r="T746" s="456">
        <v>16.074999999999999</v>
      </c>
      <c r="U746" s="410"/>
      <c r="V746" s="411">
        <v>1</v>
      </c>
      <c r="W746" s="411">
        <v>1</v>
      </c>
      <c r="X746" s="411">
        <v>1</v>
      </c>
      <c r="Y746" s="411"/>
      <c r="Z746" s="411"/>
      <c r="AA746" s="412">
        <f t="shared" si="94"/>
        <v>1</v>
      </c>
      <c r="AB746" s="456">
        <f t="shared" si="95"/>
        <v>16.074999999999999</v>
      </c>
      <c r="AC746" s="456">
        <v>0</v>
      </c>
      <c r="AD746" s="2"/>
      <c r="AE746" s="4"/>
      <c r="AF746" s="5"/>
      <c r="AG746" s="428"/>
    </row>
    <row r="747" spans="2:33" hidden="1" x14ac:dyDescent="0.25">
      <c r="B747" s="1" t="s">
        <v>2827</v>
      </c>
      <c r="C747" s="3" t="s">
        <v>1368</v>
      </c>
      <c r="D747" s="3" t="s">
        <v>1247</v>
      </c>
      <c r="E747" s="407" t="s">
        <v>1381</v>
      </c>
      <c r="F747" s="3" t="s">
        <v>2137</v>
      </c>
      <c r="G747" s="407" t="s">
        <v>4497</v>
      </c>
      <c r="H747" s="440" t="s">
        <v>4109</v>
      </c>
      <c r="I747" s="407" t="s">
        <v>4318</v>
      </c>
      <c r="J747" s="407" t="s">
        <v>3751</v>
      </c>
      <c r="K747" s="387" t="s">
        <v>4631</v>
      </c>
      <c r="L747" s="387">
        <v>1</v>
      </c>
      <c r="M747" s="387">
        <v>0</v>
      </c>
      <c r="N747" s="387">
        <f t="shared" si="92"/>
        <v>1</v>
      </c>
      <c r="O747" s="442">
        <f t="shared" si="93"/>
        <v>1</v>
      </c>
      <c r="P747" s="387" t="s">
        <v>1358</v>
      </c>
      <c r="Q747" s="459">
        <v>0</v>
      </c>
      <c r="R747" s="459"/>
      <c r="S747" s="456">
        <v>0</v>
      </c>
      <c r="T747" s="456">
        <v>16.074999999999999</v>
      </c>
      <c r="U747" s="410"/>
      <c r="V747" s="411">
        <v>1</v>
      </c>
      <c r="W747" s="411">
        <v>1</v>
      </c>
      <c r="X747" s="411">
        <v>1</v>
      </c>
      <c r="Y747" s="411"/>
      <c r="Z747" s="411"/>
      <c r="AA747" s="412">
        <f t="shared" si="94"/>
        <v>1</v>
      </c>
      <c r="AB747" s="456">
        <f t="shared" si="95"/>
        <v>16.074999999999999</v>
      </c>
      <c r="AC747" s="456">
        <v>0</v>
      </c>
      <c r="AD747" s="2"/>
      <c r="AE747" s="4"/>
      <c r="AF747" s="5"/>
      <c r="AG747" s="428"/>
    </row>
    <row r="748" spans="2:33" hidden="1" x14ac:dyDescent="0.25">
      <c r="B748" s="1" t="s">
        <v>2828</v>
      </c>
      <c r="C748" s="3" t="s">
        <v>1368</v>
      </c>
      <c r="D748" s="3" t="s">
        <v>1247</v>
      </c>
      <c r="E748" s="407" t="s">
        <v>3234</v>
      </c>
      <c r="F748" s="3" t="s">
        <v>2138</v>
      </c>
      <c r="G748" s="407" t="s">
        <v>4492</v>
      </c>
      <c r="H748" s="440" t="s">
        <v>4109</v>
      </c>
      <c r="I748" s="407" t="s">
        <v>4313</v>
      </c>
      <c r="J748" s="407" t="s">
        <v>3794</v>
      </c>
      <c r="K748" s="387" t="s">
        <v>4646</v>
      </c>
      <c r="L748" s="387">
        <v>1</v>
      </c>
      <c r="M748" s="387">
        <v>0</v>
      </c>
      <c r="N748" s="387">
        <f t="shared" si="92"/>
        <v>1</v>
      </c>
      <c r="O748" s="442">
        <f t="shared" si="93"/>
        <v>1.0000000000000002</v>
      </c>
      <c r="P748" s="387" t="s">
        <v>1358</v>
      </c>
      <c r="Q748" s="459">
        <v>0</v>
      </c>
      <c r="R748" s="459"/>
      <c r="S748" s="456">
        <v>0</v>
      </c>
      <c r="T748" s="456">
        <v>15.609</v>
      </c>
      <c r="U748" s="410"/>
      <c r="V748" s="411">
        <v>1</v>
      </c>
      <c r="W748" s="411">
        <v>1</v>
      </c>
      <c r="X748" s="411">
        <v>1</v>
      </c>
      <c r="Y748" s="411"/>
      <c r="Z748" s="411"/>
      <c r="AA748" s="412">
        <f t="shared" si="94"/>
        <v>1.0000000000000002</v>
      </c>
      <c r="AB748" s="456">
        <f t="shared" si="95"/>
        <v>15.609000000000002</v>
      </c>
      <c r="AC748" s="456">
        <v>0</v>
      </c>
      <c r="AD748" s="2"/>
      <c r="AE748" s="4"/>
      <c r="AF748" s="5"/>
      <c r="AG748" s="428"/>
    </row>
    <row r="749" spans="2:33" hidden="1" x14ac:dyDescent="0.25">
      <c r="B749" s="1" t="s">
        <v>2829</v>
      </c>
      <c r="C749" s="3" t="s">
        <v>1368</v>
      </c>
      <c r="D749" s="3" t="s">
        <v>1247</v>
      </c>
      <c r="E749" s="407" t="s">
        <v>1432</v>
      </c>
      <c r="F749" s="3" t="s">
        <v>2139</v>
      </c>
      <c r="G749" s="407" t="s">
        <v>4483</v>
      </c>
      <c r="H749" s="440" t="s">
        <v>4109</v>
      </c>
      <c r="I749" s="407" t="s">
        <v>4304</v>
      </c>
      <c r="J749" s="407" t="s">
        <v>3785</v>
      </c>
      <c r="K749" s="387" t="s">
        <v>4635</v>
      </c>
      <c r="L749" s="387">
        <v>1</v>
      </c>
      <c r="M749" s="387">
        <v>0</v>
      </c>
      <c r="N749" s="387">
        <f t="shared" si="92"/>
        <v>1</v>
      </c>
      <c r="O749" s="442">
        <f t="shared" si="93"/>
        <v>0</v>
      </c>
      <c r="P749" s="387" t="s">
        <v>1358</v>
      </c>
      <c r="Q749" s="459">
        <v>0</v>
      </c>
      <c r="R749" s="459"/>
      <c r="S749" s="456">
        <v>0</v>
      </c>
      <c r="T749" s="456">
        <v>15.609</v>
      </c>
      <c r="U749" s="410"/>
      <c r="V749" s="411">
        <v>0</v>
      </c>
      <c r="W749" s="411">
        <v>0</v>
      </c>
      <c r="X749" s="411">
        <v>0</v>
      </c>
      <c r="Y749" s="411"/>
      <c r="Z749" s="411"/>
      <c r="AA749" s="412">
        <f t="shared" si="94"/>
        <v>0</v>
      </c>
      <c r="AB749" s="456">
        <f t="shared" si="95"/>
        <v>0</v>
      </c>
      <c r="AC749" s="456">
        <v>0</v>
      </c>
      <c r="AD749" s="2"/>
      <c r="AE749" s="4"/>
      <c r="AF749" s="5"/>
      <c r="AG749" s="428"/>
    </row>
    <row r="750" spans="2:33" hidden="1" x14ac:dyDescent="0.25">
      <c r="B750" s="1" t="s">
        <v>2830</v>
      </c>
      <c r="C750" s="3" t="s">
        <v>1368</v>
      </c>
      <c r="D750" s="3" t="s">
        <v>1247</v>
      </c>
      <c r="E750" s="407" t="s">
        <v>3236</v>
      </c>
      <c r="F750" s="3" t="s">
        <v>2140</v>
      </c>
      <c r="G750" s="407" t="s">
        <v>4491</v>
      </c>
      <c r="H750" s="440" t="s">
        <v>4109</v>
      </c>
      <c r="I750" s="407" t="s">
        <v>4312</v>
      </c>
      <c r="J750" s="407" t="s">
        <v>3793</v>
      </c>
      <c r="K750" s="387" t="s">
        <v>4645</v>
      </c>
      <c r="L750" s="387">
        <v>1</v>
      </c>
      <c r="M750" s="387">
        <v>0</v>
      </c>
      <c r="N750" s="387">
        <f t="shared" si="92"/>
        <v>1</v>
      </c>
      <c r="O750" s="442">
        <f t="shared" si="93"/>
        <v>1</v>
      </c>
      <c r="P750" s="387" t="s">
        <v>1358</v>
      </c>
      <c r="Q750" s="459">
        <v>0</v>
      </c>
      <c r="R750" s="459"/>
      <c r="S750" s="456">
        <v>0</v>
      </c>
      <c r="T750" s="456">
        <v>16.074999999999999</v>
      </c>
      <c r="U750" s="410"/>
      <c r="V750" s="411">
        <v>1</v>
      </c>
      <c r="W750" s="411">
        <v>1</v>
      </c>
      <c r="X750" s="411">
        <v>1</v>
      </c>
      <c r="Y750" s="411"/>
      <c r="Z750" s="411"/>
      <c r="AA750" s="412">
        <f t="shared" si="94"/>
        <v>1</v>
      </c>
      <c r="AB750" s="456">
        <f t="shared" si="95"/>
        <v>16.074999999999999</v>
      </c>
      <c r="AC750" s="456">
        <v>0</v>
      </c>
      <c r="AD750" s="2"/>
      <c r="AE750" s="4"/>
      <c r="AF750" s="5"/>
      <c r="AG750" s="428"/>
    </row>
    <row r="751" spans="2:33" hidden="1" x14ac:dyDescent="0.25">
      <c r="B751" s="1" t="s">
        <v>2831</v>
      </c>
      <c r="C751" s="3" t="s">
        <v>1368</v>
      </c>
      <c r="D751" s="3" t="s">
        <v>1247</v>
      </c>
      <c r="E751" s="407" t="s">
        <v>1426</v>
      </c>
      <c r="F751" s="3" t="s">
        <v>2141</v>
      </c>
      <c r="G751" s="407" t="s">
        <v>4480</v>
      </c>
      <c r="H751" s="440" t="s">
        <v>4109</v>
      </c>
      <c r="I751" s="407" t="s">
        <v>4301</v>
      </c>
      <c r="J751" s="407" t="s">
        <v>3782</v>
      </c>
      <c r="K751" s="387" t="s">
        <v>4637</v>
      </c>
      <c r="L751" s="387">
        <v>1</v>
      </c>
      <c r="M751" s="387">
        <v>0</v>
      </c>
      <c r="N751" s="387">
        <f t="shared" si="92"/>
        <v>1</v>
      </c>
      <c r="O751" s="442">
        <f t="shared" si="93"/>
        <v>1.0000000000000002</v>
      </c>
      <c r="P751" s="387" t="s">
        <v>1358</v>
      </c>
      <c r="Q751" s="459">
        <v>0</v>
      </c>
      <c r="R751" s="459"/>
      <c r="S751" s="456">
        <v>0</v>
      </c>
      <c r="T751" s="456">
        <v>15.609</v>
      </c>
      <c r="U751" s="410"/>
      <c r="V751" s="411">
        <v>1</v>
      </c>
      <c r="W751" s="411">
        <v>1</v>
      </c>
      <c r="X751" s="411">
        <v>1</v>
      </c>
      <c r="Y751" s="411"/>
      <c r="Z751" s="411"/>
      <c r="AA751" s="412">
        <f t="shared" si="94"/>
        <v>1.0000000000000002</v>
      </c>
      <c r="AB751" s="456">
        <f t="shared" si="95"/>
        <v>15.609000000000002</v>
      </c>
      <c r="AC751" s="456">
        <v>0</v>
      </c>
      <c r="AD751" s="2"/>
      <c r="AE751" s="4"/>
      <c r="AF751" s="5"/>
      <c r="AG751" s="428"/>
    </row>
    <row r="752" spans="2:33" hidden="1" x14ac:dyDescent="0.25">
      <c r="B752" s="1" t="s">
        <v>2832</v>
      </c>
      <c r="C752" s="3" t="s">
        <v>1368</v>
      </c>
      <c r="D752" s="3" t="s">
        <v>1247</v>
      </c>
      <c r="E752" s="407" t="s">
        <v>1427</v>
      </c>
      <c r="F752" s="3" t="s">
        <v>2142</v>
      </c>
      <c r="G752" s="407" t="s">
        <v>4485</v>
      </c>
      <c r="H752" s="440" t="s">
        <v>4109</v>
      </c>
      <c r="I752" s="407" t="s">
        <v>4306</v>
      </c>
      <c r="J752" s="407" t="s">
        <v>3787</v>
      </c>
      <c r="K752" s="387" t="s">
        <v>4638</v>
      </c>
      <c r="L752" s="387">
        <v>1</v>
      </c>
      <c r="M752" s="387">
        <v>0</v>
      </c>
      <c r="N752" s="387">
        <f t="shared" si="92"/>
        <v>1</v>
      </c>
      <c r="O752" s="442">
        <f t="shared" si="93"/>
        <v>0</v>
      </c>
      <c r="P752" s="387" t="s">
        <v>1358</v>
      </c>
      <c r="Q752" s="459">
        <v>0</v>
      </c>
      <c r="R752" s="459"/>
      <c r="S752" s="456">
        <v>0</v>
      </c>
      <c r="T752" s="456">
        <v>15.609</v>
      </c>
      <c r="U752" s="410"/>
      <c r="V752" s="411">
        <v>0</v>
      </c>
      <c r="W752" s="411">
        <v>0</v>
      </c>
      <c r="X752" s="411">
        <v>0</v>
      </c>
      <c r="Y752" s="411"/>
      <c r="Z752" s="411"/>
      <c r="AA752" s="412">
        <f t="shared" si="94"/>
        <v>0</v>
      </c>
      <c r="AB752" s="456">
        <f t="shared" si="95"/>
        <v>0</v>
      </c>
      <c r="AC752" s="456">
        <v>0</v>
      </c>
      <c r="AD752" s="2"/>
      <c r="AE752" s="4"/>
      <c r="AF752" s="5"/>
      <c r="AG752" s="428"/>
    </row>
    <row r="753" spans="2:33" hidden="1" x14ac:dyDescent="0.25">
      <c r="B753" s="1" t="s">
        <v>2833</v>
      </c>
      <c r="C753" s="3" t="s">
        <v>1368</v>
      </c>
      <c r="D753" s="3" t="s">
        <v>1247</v>
      </c>
      <c r="E753" s="407" t="s">
        <v>1428</v>
      </c>
      <c r="F753" s="3" t="s">
        <v>2143</v>
      </c>
      <c r="G753" s="407" t="s">
        <v>4486</v>
      </c>
      <c r="H753" s="440" t="s">
        <v>4109</v>
      </c>
      <c r="I753" s="407" t="s">
        <v>4307</v>
      </c>
      <c r="J753" s="407" t="s">
        <v>3788</v>
      </c>
      <c r="K753" s="387" t="s">
        <v>4639</v>
      </c>
      <c r="L753" s="387">
        <v>1</v>
      </c>
      <c r="M753" s="387">
        <v>0</v>
      </c>
      <c r="N753" s="387">
        <f t="shared" si="92"/>
        <v>1</v>
      </c>
      <c r="O753" s="442">
        <f t="shared" si="93"/>
        <v>0</v>
      </c>
      <c r="P753" s="387" t="s">
        <v>1358</v>
      </c>
      <c r="Q753" s="459">
        <v>0</v>
      </c>
      <c r="R753" s="459"/>
      <c r="S753" s="456">
        <v>0</v>
      </c>
      <c r="T753" s="456">
        <v>15.609</v>
      </c>
      <c r="U753" s="410"/>
      <c r="V753" s="411">
        <v>0</v>
      </c>
      <c r="W753" s="411">
        <v>0</v>
      </c>
      <c r="X753" s="411">
        <v>0</v>
      </c>
      <c r="Y753" s="411"/>
      <c r="Z753" s="411"/>
      <c r="AA753" s="412">
        <f t="shared" si="94"/>
        <v>0</v>
      </c>
      <c r="AB753" s="456">
        <f t="shared" si="95"/>
        <v>0</v>
      </c>
      <c r="AC753" s="456">
        <v>0</v>
      </c>
      <c r="AD753" s="2"/>
      <c r="AE753" s="4"/>
      <c r="AF753" s="5"/>
      <c r="AG753" s="428"/>
    </row>
    <row r="754" spans="2:33" hidden="1" x14ac:dyDescent="0.25">
      <c r="B754" s="1" t="s">
        <v>2834</v>
      </c>
      <c r="C754" s="3" t="s">
        <v>1368</v>
      </c>
      <c r="D754" s="3" t="s">
        <v>1247</v>
      </c>
      <c r="E754" s="407" t="s">
        <v>1429</v>
      </c>
      <c r="F754" s="3" t="s">
        <v>2144</v>
      </c>
      <c r="G754" s="407" t="s">
        <v>4487</v>
      </c>
      <c r="H754" s="440" t="s">
        <v>4109</v>
      </c>
      <c r="I754" s="407" t="s">
        <v>4308</v>
      </c>
      <c r="J754" s="407" t="s">
        <v>3789</v>
      </c>
      <c r="K754" s="387" t="s">
        <v>4640</v>
      </c>
      <c r="L754" s="387">
        <v>1</v>
      </c>
      <c r="M754" s="387">
        <v>0</v>
      </c>
      <c r="N754" s="387">
        <f t="shared" si="92"/>
        <v>1</v>
      </c>
      <c r="O754" s="442">
        <f t="shared" si="93"/>
        <v>0</v>
      </c>
      <c r="P754" s="387" t="s">
        <v>1358</v>
      </c>
      <c r="Q754" s="459">
        <v>0</v>
      </c>
      <c r="R754" s="459"/>
      <c r="S754" s="456">
        <v>0</v>
      </c>
      <c r="T754" s="456">
        <v>15.609</v>
      </c>
      <c r="U754" s="410"/>
      <c r="V754" s="411">
        <v>0</v>
      </c>
      <c r="W754" s="411">
        <v>0</v>
      </c>
      <c r="X754" s="411">
        <v>0</v>
      </c>
      <c r="Y754" s="411"/>
      <c r="Z754" s="411"/>
      <c r="AA754" s="412">
        <f t="shared" si="94"/>
        <v>0</v>
      </c>
      <c r="AB754" s="456">
        <f t="shared" si="95"/>
        <v>0</v>
      </c>
      <c r="AC754" s="456">
        <v>0</v>
      </c>
      <c r="AD754" s="2"/>
      <c r="AE754" s="4"/>
      <c r="AF754" s="5"/>
      <c r="AG754" s="428"/>
    </row>
    <row r="755" spans="2:33" hidden="1" x14ac:dyDescent="0.25">
      <c r="B755" s="1" t="s">
        <v>2835</v>
      </c>
      <c r="C755" s="3" t="s">
        <v>1368</v>
      </c>
      <c r="D755" s="3" t="s">
        <v>1247</v>
      </c>
      <c r="E755" s="407" t="s">
        <v>1430</v>
      </c>
      <c r="F755" s="3" t="s">
        <v>2145</v>
      </c>
      <c r="G755" s="407" t="s">
        <v>4488</v>
      </c>
      <c r="H755" s="440" t="s">
        <v>4109</v>
      </c>
      <c r="I755" s="407" t="s">
        <v>4309</v>
      </c>
      <c r="J755" s="407" t="s">
        <v>3790</v>
      </c>
      <c r="K755" s="387" t="s">
        <v>4641</v>
      </c>
      <c r="L755" s="387">
        <v>1</v>
      </c>
      <c r="M755" s="387">
        <v>0</v>
      </c>
      <c r="N755" s="387">
        <f t="shared" si="92"/>
        <v>1</v>
      </c>
      <c r="O755" s="442">
        <f t="shared" si="93"/>
        <v>0</v>
      </c>
      <c r="P755" s="387" t="s">
        <v>1358</v>
      </c>
      <c r="Q755" s="459">
        <v>0</v>
      </c>
      <c r="R755" s="459"/>
      <c r="S755" s="456">
        <v>0</v>
      </c>
      <c r="T755" s="456">
        <v>15.609</v>
      </c>
      <c r="U755" s="410"/>
      <c r="V755" s="411">
        <v>0</v>
      </c>
      <c r="W755" s="411">
        <v>0</v>
      </c>
      <c r="X755" s="411">
        <v>0</v>
      </c>
      <c r="Y755" s="411"/>
      <c r="Z755" s="411"/>
      <c r="AA755" s="412">
        <f t="shared" si="94"/>
        <v>0</v>
      </c>
      <c r="AB755" s="456">
        <f t="shared" si="95"/>
        <v>0</v>
      </c>
      <c r="AC755" s="456">
        <v>0</v>
      </c>
      <c r="AD755" s="2"/>
      <c r="AE755" s="4"/>
      <c r="AF755" s="5"/>
      <c r="AG755" s="428"/>
    </row>
    <row r="756" spans="2:33" hidden="1" x14ac:dyDescent="0.25">
      <c r="B756" s="1" t="s">
        <v>2836</v>
      </c>
      <c r="C756" s="3" t="s">
        <v>1368</v>
      </c>
      <c r="D756" s="3" t="s">
        <v>1247</v>
      </c>
      <c r="E756" s="407" t="s">
        <v>1431</v>
      </c>
      <c r="F756" s="3" t="s">
        <v>2146</v>
      </c>
      <c r="G756" s="407" t="s">
        <v>4489</v>
      </c>
      <c r="H756" s="440" t="s">
        <v>4109</v>
      </c>
      <c r="I756" s="407" t="s">
        <v>4310</v>
      </c>
      <c r="J756" s="407" t="s">
        <v>3791</v>
      </c>
      <c r="K756" s="387" t="s">
        <v>4642</v>
      </c>
      <c r="L756" s="387">
        <v>1</v>
      </c>
      <c r="M756" s="387">
        <v>0</v>
      </c>
      <c r="N756" s="387">
        <f t="shared" si="92"/>
        <v>1</v>
      </c>
      <c r="O756" s="442">
        <f t="shared" si="93"/>
        <v>0</v>
      </c>
      <c r="P756" s="387" t="s">
        <v>1358</v>
      </c>
      <c r="Q756" s="459">
        <v>0</v>
      </c>
      <c r="R756" s="459"/>
      <c r="S756" s="456">
        <v>0</v>
      </c>
      <c r="T756" s="456">
        <v>15.609</v>
      </c>
      <c r="U756" s="410"/>
      <c r="V756" s="411">
        <v>0</v>
      </c>
      <c r="W756" s="411">
        <v>0</v>
      </c>
      <c r="X756" s="411">
        <v>0</v>
      </c>
      <c r="Y756" s="411"/>
      <c r="Z756" s="411"/>
      <c r="AA756" s="412">
        <f t="shared" si="94"/>
        <v>0</v>
      </c>
      <c r="AB756" s="456">
        <f t="shared" si="95"/>
        <v>0</v>
      </c>
      <c r="AC756" s="456">
        <v>0</v>
      </c>
      <c r="AD756" s="2"/>
      <c r="AE756" s="4"/>
      <c r="AF756" s="5"/>
      <c r="AG756" s="428"/>
    </row>
    <row r="757" spans="2:33" hidden="1" x14ac:dyDescent="0.25">
      <c r="B757" s="1" t="s">
        <v>2837</v>
      </c>
      <c r="C757" s="3" t="s">
        <v>1368</v>
      </c>
      <c r="D757" s="3" t="s">
        <v>1247</v>
      </c>
      <c r="E757" s="407" t="s">
        <v>1433</v>
      </c>
      <c r="F757" s="3" t="s">
        <v>2147</v>
      </c>
      <c r="G757" s="407" t="s">
        <v>4490</v>
      </c>
      <c r="H757" s="440" t="s">
        <v>4109</v>
      </c>
      <c r="I757" s="407" t="s">
        <v>4311</v>
      </c>
      <c r="J757" s="407" t="s">
        <v>3792</v>
      </c>
      <c r="K757" s="387" t="s">
        <v>4644</v>
      </c>
      <c r="L757" s="387">
        <v>1</v>
      </c>
      <c r="M757" s="387">
        <v>0</v>
      </c>
      <c r="N757" s="387">
        <f t="shared" si="92"/>
        <v>1</v>
      </c>
      <c r="O757" s="442">
        <f t="shared" si="93"/>
        <v>0</v>
      </c>
      <c r="P757" s="387" t="s">
        <v>1358</v>
      </c>
      <c r="Q757" s="459">
        <v>0</v>
      </c>
      <c r="R757" s="459"/>
      <c r="S757" s="456">
        <v>0</v>
      </c>
      <c r="T757" s="456">
        <v>2.0019999999999998</v>
      </c>
      <c r="U757" s="410"/>
      <c r="V757" s="411">
        <v>0</v>
      </c>
      <c r="W757" s="411">
        <v>0</v>
      </c>
      <c r="X757" s="411">
        <v>0</v>
      </c>
      <c r="Y757" s="411"/>
      <c r="Z757" s="411"/>
      <c r="AA757" s="412">
        <f t="shared" si="94"/>
        <v>0</v>
      </c>
      <c r="AB757" s="456">
        <f t="shared" si="95"/>
        <v>0</v>
      </c>
      <c r="AC757" s="456">
        <v>0</v>
      </c>
      <c r="AD757" s="2"/>
      <c r="AE757" s="4"/>
      <c r="AF757" s="5"/>
      <c r="AG757" s="428"/>
    </row>
    <row r="758" spans="2:33" hidden="1" x14ac:dyDescent="0.25">
      <c r="B758" s="1" t="s">
        <v>2838</v>
      </c>
      <c r="C758" s="3" t="s">
        <v>1368</v>
      </c>
      <c r="D758" s="3" t="s">
        <v>1247</v>
      </c>
      <c r="E758" s="407" t="s">
        <v>3306</v>
      </c>
      <c r="F758" s="3" t="s">
        <v>2148</v>
      </c>
      <c r="G758" s="407" t="s">
        <v>4484</v>
      </c>
      <c r="H758" s="440" t="s">
        <v>4109</v>
      </c>
      <c r="I758" s="407" t="s">
        <v>4305</v>
      </c>
      <c r="J758" s="407" t="s">
        <v>3786</v>
      </c>
      <c r="K758" s="387" t="s">
        <v>4636</v>
      </c>
      <c r="L758" s="387">
        <v>1</v>
      </c>
      <c r="M758" s="387">
        <v>0</v>
      </c>
      <c r="N758" s="387">
        <f t="shared" si="92"/>
        <v>1</v>
      </c>
      <c r="O758" s="442">
        <f t="shared" si="93"/>
        <v>0</v>
      </c>
      <c r="P758" s="387" t="s">
        <v>1358</v>
      </c>
      <c r="Q758" s="459">
        <v>0</v>
      </c>
      <c r="R758" s="459"/>
      <c r="S758" s="456">
        <v>0</v>
      </c>
      <c r="T758" s="456">
        <v>12.702</v>
      </c>
      <c r="U758" s="410"/>
      <c r="V758" s="411">
        <v>0</v>
      </c>
      <c r="W758" s="411">
        <v>0</v>
      </c>
      <c r="X758" s="411">
        <v>0</v>
      </c>
      <c r="Y758" s="411"/>
      <c r="Z758" s="411"/>
      <c r="AA758" s="412">
        <f t="shared" si="94"/>
        <v>0</v>
      </c>
      <c r="AB758" s="456">
        <f t="shared" si="95"/>
        <v>0</v>
      </c>
      <c r="AC758" s="456">
        <v>0</v>
      </c>
      <c r="AD758" s="2"/>
      <c r="AE758" s="4"/>
      <c r="AF758" s="5"/>
      <c r="AG758" s="428"/>
    </row>
    <row r="759" spans="2:33" hidden="1" x14ac:dyDescent="0.25">
      <c r="B759" s="1" t="s">
        <v>2839</v>
      </c>
      <c r="C759" s="3" t="s">
        <v>1368</v>
      </c>
      <c r="D759" s="3" t="s">
        <v>1247</v>
      </c>
      <c r="E759" s="407" t="s">
        <v>1374</v>
      </c>
      <c r="F759" s="3" t="s">
        <v>2149</v>
      </c>
      <c r="G759" s="407" t="s">
        <v>4495</v>
      </c>
      <c r="H759" s="440" t="s">
        <v>4109</v>
      </c>
      <c r="I759" s="407" t="s">
        <v>4316</v>
      </c>
      <c r="J759" s="407" t="s">
        <v>3757</v>
      </c>
      <c r="K759" s="387" t="s">
        <v>4649</v>
      </c>
      <c r="L759" s="387">
        <v>1</v>
      </c>
      <c r="M759" s="387">
        <v>0</v>
      </c>
      <c r="N759" s="387">
        <f t="shared" si="92"/>
        <v>1</v>
      </c>
      <c r="O759" s="442">
        <f t="shared" si="93"/>
        <v>1</v>
      </c>
      <c r="P759" s="387" t="s">
        <v>1358</v>
      </c>
      <c r="Q759" s="459">
        <v>0</v>
      </c>
      <c r="R759" s="459"/>
      <c r="S759" s="456">
        <v>0</v>
      </c>
      <c r="T759" s="456">
        <v>41.875</v>
      </c>
      <c r="U759" s="410"/>
      <c r="V759" s="411">
        <v>1</v>
      </c>
      <c r="W759" s="411">
        <v>1</v>
      </c>
      <c r="X759" s="411">
        <v>1</v>
      </c>
      <c r="Y759" s="411"/>
      <c r="Z759" s="411"/>
      <c r="AA759" s="412">
        <f t="shared" si="94"/>
        <v>1</v>
      </c>
      <c r="AB759" s="456">
        <f t="shared" si="95"/>
        <v>41.875</v>
      </c>
      <c r="AC759" s="456">
        <v>0</v>
      </c>
      <c r="AD759" s="2"/>
      <c r="AE759" s="4"/>
      <c r="AF759" s="5"/>
      <c r="AG759" s="428"/>
    </row>
    <row r="760" spans="2:33" hidden="1" x14ac:dyDescent="0.25">
      <c r="B760" s="1" t="s">
        <v>2840</v>
      </c>
      <c r="C760" s="3" t="s">
        <v>1368</v>
      </c>
      <c r="D760" s="3" t="s">
        <v>1247</v>
      </c>
      <c r="E760" s="407" t="s">
        <v>1377</v>
      </c>
      <c r="F760" s="3" t="s">
        <v>2150</v>
      </c>
      <c r="G760" s="407" t="s">
        <v>4494</v>
      </c>
      <c r="H760" s="440" t="s">
        <v>4109</v>
      </c>
      <c r="I760" s="407" t="s">
        <v>4315</v>
      </c>
      <c r="J760" s="407" t="s">
        <v>3749</v>
      </c>
      <c r="K760" s="387" t="s">
        <v>4648</v>
      </c>
      <c r="L760" s="387">
        <v>1</v>
      </c>
      <c r="M760" s="387">
        <v>0</v>
      </c>
      <c r="N760" s="387">
        <f t="shared" si="92"/>
        <v>1</v>
      </c>
      <c r="O760" s="442">
        <f t="shared" si="93"/>
        <v>0</v>
      </c>
      <c r="P760" s="387" t="s">
        <v>1358</v>
      </c>
      <c r="Q760" s="459">
        <v>0</v>
      </c>
      <c r="R760" s="459"/>
      <c r="S760" s="456">
        <v>0</v>
      </c>
      <c r="T760" s="456">
        <v>42.066000000000003</v>
      </c>
      <c r="U760" s="410"/>
      <c r="V760" s="411">
        <v>0</v>
      </c>
      <c r="W760" s="411">
        <v>0</v>
      </c>
      <c r="X760" s="411">
        <v>0</v>
      </c>
      <c r="Y760" s="411"/>
      <c r="Z760" s="411"/>
      <c r="AA760" s="412">
        <f t="shared" si="94"/>
        <v>0</v>
      </c>
      <c r="AB760" s="456">
        <f t="shared" si="95"/>
        <v>0</v>
      </c>
      <c r="AC760" s="456">
        <v>0</v>
      </c>
      <c r="AD760" s="2"/>
      <c r="AE760" s="4"/>
      <c r="AF760" s="5"/>
      <c r="AG760" s="428"/>
    </row>
    <row r="761" spans="2:33" hidden="1" x14ac:dyDescent="0.25">
      <c r="B761" s="1" t="s">
        <v>2841</v>
      </c>
      <c r="C761" s="3" t="s">
        <v>1368</v>
      </c>
      <c r="D761" s="3" t="s">
        <v>1247</v>
      </c>
      <c r="E761" s="407" t="s">
        <v>1379</v>
      </c>
      <c r="F761" s="3" t="s">
        <v>2151</v>
      </c>
      <c r="G761" s="407" t="s">
        <v>4502</v>
      </c>
      <c r="H761" s="440" t="s">
        <v>4109</v>
      </c>
      <c r="I761" s="407" t="s">
        <v>4323</v>
      </c>
      <c r="J761" s="407" t="s">
        <v>3750</v>
      </c>
      <c r="K761" s="387" t="s">
        <v>4632</v>
      </c>
      <c r="L761" s="387">
        <v>1</v>
      </c>
      <c r="M761" s="387">
        <v>0</v>
      </c>
      <c r="N761" s="387">
        <f t="shared" ref="N761:N824" si="100">L761+M761</f>
        <v>1</v>
      </c>
      <c r="O761" s="442">
        <f t="shared" ref="O761:O824" si="101">L761*AA761</f>
        <v>1</v>
      </c>
      <c r="P761" s="387" t="s">
        <v>1358</v>
      </c>
      <c r="Q761" s="459">
        <v>0</v>
      </c>
      <c r="R761" s="459"/>
      <c r="S761" s="456">
        <v>0</v>
      </c>
      <c r="T761" s="456">
        <v>42.29</v>
      </c>
      <c r="U761" s="410"/>
      <c r="V761" s="411">
        <v>1</v>
      </c>
      <c r="W761" s="411">
        <v>1</v>
      </c>
      <c r="X761" s="411">
        <v>1</v>
      </c>
      <c r="Y761" s="411"/>
      <c r="Z761" s="411"/>
      <c r="AA761" s="412">
        <f t="shared" ref="AA761:AA824" si="102">AB761/T761</f>
        <v>1</v>
      </c>
      <c r="AB761" s="456">
        <f t="shared" ref="AB761:AB824" si="103">(V761*V$369*T761)+(W761*W$369*T761)+(X761*X$369*T761)</f>
        <v>42.29</v>
      </c>
      <c r="AC761" s="456">
        <v>0</v>
      </c>
      <c r="AD761" s="2"/>
      <c r="AE761" s="4"/>
      <c r="AF761" s="5"/>
      <c r="AG761" s="428"/>
    </row>
    <row r="762" spans="2:33" hidden="1" x14ac:dyDescent="0.25">
      <c r="B762" s="1" t="s">
        <v>2842</v>
      </c>
      <c r="C762" s="3" t="s">
        <v>1368</v>
      </c>
      <c r="D762" s="3" t="s">
        <v>1247</v>
      </c>
      <c r="E762" s="407" t="s">
        <v>1381</v>
      </c>
      <c r="F762" s="3" t="s">
        <v>2152</v>
      </c>
      <c r="G762" s="407" t="s">
        <v>4497</v>
      </c>
      <c r="H762" s="440" t="s">
        <v>4109</v>
      </c>
      <c r="I762" s="407" t="s">
        <v>4318</v>
      </c>
      <c r="J762" s="407" t="s">
        <v>3751</v>
      </c>
      <c r="K762" s="387" t="s">
        <v>4631</v>
      </c>
      <c r="L762" s="387">
        <v>1</v>
      </c>
      <c r="M762" s="387">
        <v>0</v>
      </c>
      <c r="N762" s="387">
        <f t="shared" si="100"/>
        <v>1</v>
      </c>
      <c r="O762" s="442">
        <f t="shared" si="101"/>
        <v>1</v>
      </c>
      <c r="P762" s="387" t="s">
        <v>1358</v>
      </c>
      <c r="Q762" s="459">
        <v>0</v>
      </c>
      <c r="R762" s="459"/>
      <c r="S762" s="456">
        <v>0</v>
      </c>
      <c r="T762" s="456">
        <v>42.29</v>
      </c>
      <c r="U762" s="410"/>
      <c r="V762" s="411">
        <v>1</v>
      </c>
      <c r="W762" s="411">
        <v>1</v>
      </c>
      <c r="X762" s="411">
        <v>1</v>
      </c>
      <c r="Y762" s="411"/>
      <c r="Z762" s="411"/>
      <c r="AA762" s="412">
        <f t="shared" si="102"/>
        <v>1</v>
      </c>
      <c r="AB762" s="456">
        <f t="shared" si="103"/>
        <v>42.29</v>
      </c>
      <c r="AC762" s="456">
        <v>0</v>
      </c>
      <c r="AD762" s="2"/>
      <c r="AE762" s="4"/>
      <c r="AF762" s="5"/>
      <c r="AG762" s="428"/>
    </row>
    <row r="763" spans="2:33" hidden="1" x14ac:dyDescent="0.25">
      <c r="B763" s="1" t="s">
        <v>2843</v>
      </c>
      <c r="C763" s="3" t="s">
        <v>1368</v>
      </c>
      <c r="D763" s="3" t="s">
        <v>1247</v>
      </c>
      <c r="E763" s="407" t="s">
        <v>1396</v>
      </c>
      <c r="F763" s="3" t="s">
        <v>2153</v>
      </c>
      <c r="G763" s="407" t="s">
        <v>4498</v>
      </c>
      <c r="H763" s="440" t="s">
        <v>4109</v>
      </c>
      <c r="I763" s="407" t="s">
        <v>4319</v>
      </c>
      <c r="J763" s="407" t="s">
        <v>3752</v>
      </c>
      <c r="K763" s="387" t="s">
        <v>4652</v>
      </c>
      <c r="L763" s="387">
        <v>1</v>
      </c>
      <c r="M763" s="387">
        <v>0</v>
      </c>
      <c r="N763" s="387">
        <f t="shared" si="100"/>
        <v>1</v>
      </c>
      <c r="O763" s="442">
        <f t="shared" si="101"/>
        <v>1.0000000000000002</v>
      </c>
      <c r="P763" s="387" t="s">
        <v>1358</v>
      </c>
      <c r="Q763" s="459">
        <v>0</v>
      </c>
      <c r="R763" s="459"/>
      <c r="S763" s="456">
        <v>0</v>
      </c>
      <c r="T763" s="456">
        <v>42.448999999999998</v>
      </c>
      <c r="U763" s="410"/>
      <c r="V763" s="411">
        <v>1</v>
      </c>
      <c r="W763" s="411">
        <v>1</v>
      </c>
      <c r="X763" s="411">
        <v>1</v>
      </c>
      <c r="Y763" s="411"/>
      <c r="Z763" s="411"/>
      <c r="AA763" s="412">
        <f t="shared" si="102"/>
        <v>1.0000000000000002</v>
      </c>
      <c r="AB763" s="456">
        <f t="shared" si="103"/>
        <v>42.449000000000005</v>
      </c>
      <c r="AC763" s="456">
        <v>0</v>
      </c>
      <c r="AD763" s="2"/>
      <c r="AE763" s="4"/>
      <c r="AF763" s="5"/>
      <c r="AG763" s="428"/>
    </row>
    <row r="764" spans="2:33" hidden="1" x14ac:dyDescent="0.25">
      <c r="B764" s="1" t="s">
        <v>2844</v>
      </c>
      <c r="C764" s="3" t="s">
        <v>1368</v>
      </c>
      <c r="D764" s="3" t="s">
        <v>1247</v>
      </c>
      <c r="E764" s="407" t="s">
        <v>1399</v>
      </c>
      <c r="F764" s="3" t="s">
        <v>2154</v>
      </c>
      <c r="G764" s="407" t="s">
        <v>4499</v>
      </c>
      <c r="H764" s="440" t="s">
        <v>4109</v>
      </c>
      <c r="I764" s="407" t="s">
        <v>4320</v>
      </c>
      <c r="J764" s="407" t="s">
        <v>3758</v>
      </c>
      <c r="K764" s="387" t="s">
        <v>4653</v>
      </c>
      <c r="L764" s="387">
        <v>1</v>
      </c>
      <c r="M764" s="387">
        <v>0</v>
      </c>
      <c r="N764" s="387">
        <f t="shared" si="100"/>
        <v>1</v>
      </c>
      <c r="O764" s="442">
        <f t="shared" si="101"/>
        <v>1</v>
      </c>
      <c r="P764" s="387" t="s">
        <v>1358</v>
      </c>
      <c r="Q764" s="459">
        <v>0</v>
      </c>
      <c r="R764" s="459"/>
      <c r="S764" s="456">
        <v>0</v>
      </c>
      <c r="T764" s="456">
        <v>42.877000000000002</v>
      </c>
      <c r="U764" s="410"/>
      <c r="V764" s="411">
        <v>1</v>
      </c>
      <c r="W764" s="411">
        <v>1</v>
      </c>
      <c r="X764" s="411">
        <v>1</v>
      </c>
      <c r="Y764" s="411"/>
      <c r="Z764" s="411"/>
      <c r="AA764" s="412">
        <f t="shared" si="102"/>
        <v>1</v>
      </c>
      <c r="AB764" s="456">
        <f t="shared" si="103"/>
        <v>42.877000000000002</v>
      </c>
      <c r="AC764" s="456">
        <v>0</v>
      </c>
      <c r="AD764" s="2"/>
      <c r="AE764" s="4"/>
      <c r="AF764" s="5"/>
      <c r="AG764" s="428"/>
    </row>
    <row r="765" spans="2:33" hidden="1" x14ac:dyDescent="0.25">
      <c r="B765" s="1" t="s">
        <v>2845</v>
      </c>
      <c r="C765" s="3" t="s">
        <v>1368</v>
      </c>
      <c r="D765" s="3" t="s">
        <v>1247</v>
      </c>
      <c r="E765" s="407" t="s">
        <v>1400</v>
      </c>
      <c r="F765" s="3" t="s">
        <v>2155</v>
      </c>
      <c r="G765" s="407" t="s">
        <v>4477</v>
      </c>
      <c r="H765" s="440" t="s">
        <v>4109</v>
      </c>
      <c r="I765" s="407" t="s">
        <v>4298</v>
      </c>
      <c r="J765" s="407" t="s">
        <v>3779</v>
      </c>
      <c r="K765" s="387" t="s">
        <v>4656</v>
      </c>
      <c r="L765" s="387">
        <v>1</v>
      </c>
      <c r="M765" s="387">
        <v>0</v>
      </c>
      <c r="N765" s="387">
        <f t="shared" si="100"/>
        <v>1</v>
      </c>
      <c r="O765" s="442">
        <f t="shared" si="101"/>
        <v>0</v>
      </c>
      <c r="P765" s="387" t="s">
        <v>1358</v>
      </c>
      <c r="Q765" s="459">
        <v>0</v>
      </c>
      <c r="R765" s="459"/>
      <c r="S765" s="456">
        <v>0</v>
      </c>
      <c r="T765" s="456">
        <v>42.877000000000002</v>
      </c>
      <c r="U765" s="410"/>
      <c r="V765" s="411">
        <v>0</v>
      </c>
      <c r="W765" s="411">
        <v>0</v>
      </c>
      <c r="X765" s="411">
        <v>0</v>
      </c>
      <c r="Y765" s="411"/>
      <c r="Z765" s="411"/>
      <c r="AA765" s="412">
        <f t="shared" si="102"/>
        <v>0</v>
      </c>
      <c r="AB765" s="456">
        <f t="shared" si="103"/>
        <v>0</v>
      </c>
      <c r="AC765" s="456">
        <v>0</v>
      </c>
      <c r="AD765" s="2"/>
      <c r="AE765" s="4"/>
      <c r="AF765" s="5"/>
      <c r="AG765" s="428"/>
    </row>
    <row r="766" spans="2:33" hidden="1" x14ac:dyDescent="0.25">
      <c r="B766" s="1" t="s">
        <v>2846</v>
      </c>
      <c r="C766" s="3" t="s">
        <v>1368</v>
      </c>
      <c r="D766" s="3" t="s">
        <v>1247</v>
      </c>
      <c r="E766" s="407" t="s">
        <v>1401</v>
      </c>
      <c r="F766" s="3" t="s">
        <v>2156</v>
      </c>
      <c r="G766" s="407" t="s">
        <v>4478</v>
      </c>
      <c r="H766" s="440" t="s">
        <v>4109</v>
      </c>
      <c r="I766" s="407" t="s">
        <v>4299</v>
      </c>
      <c r="J766" s="407" t="s">
        <v>3780</v>
      </c>
      <c r="K766" s="387" t="s">
        <v>4657</v>
      </c>
      <c r="L766" s="387">
        <v>1</v>
      </c>
      <c r="M766" s="387">
        <v>0</v>
      </c>
      <c r="N766" s="387">
        <f t="shared" si="100"/>
        <v>1</v>
      </c>
      <c r="O766" s="442">
        <f t="shared" si="101"/>
        <v>0</v>
      </c>
      <c r="P766" s="387" t="s">
        <v>1358</v>
      </c>
      <c r="Q766" s="459">
        <v>0</v>
      </c>
      <c r="R766" s="459"/>
      <c r="S766" s="456">
        <v>0</v>
      </c>
      <c r="T766" s="456">
        <v>43.098999999999997</v>
      </c>
      <c r="U766" s="410"/>
      <c r="V766" s="411">
        <v>0</v>
      </c>
      <c r="W766" s="411">
        <v>0</v>
      </c>
      <c r="X766" s="411">
        <v>0</v>
      </c>
      <c r="Y766" s="411"/>
      <c r="Z766" s="411"/>
      <c r="AA766" s="412">
        <f t="shared" si="102"/>
        <v>0</v>
      </c>
      <c r="AB766" s="456">
        <f t="shared" si="103"/>
        <v>0</v>
      </c>
      <c r="AC766" s="456">
        <v>0</v>
      </c>
      <c r="AD766" s="2"/>
      <c r="AE766" s="4"/>
      <c r="AF766" s="5"/>
      <c r="AG766" s="428"/>
    </row>
    <row r="767" spans="2:33" hidden="1" x14ac:dyDescent="0.25">
      <c r="B767" s="1" t="s">
        <v>2847</v>
      </c>
      <c r="C767" s="3" t="s">
        <v>1368</v>
      </c>
      <c r="D767" s="3" t="s">
        <v>1247</v>
      </c>
      <c r="E767" s="407" t="s">
        <v>1432</v>
      </c>
      <c r="F767" s="3" t="s">
        <v>2157</v>
      </c>
      <c r="G767" s="407" t="s">
        <v>4483</v>
      </c>
      <c r="H767" s="440" t="s">
        <v>4109</v>
      </c>
      <c r="I767" s="407" t="s">
        <v>4304</v>
      </c>
      <c r="J767" s="407" t="s">
        <v>3785</v>
      </c>
      <c r="K767" s="387" t="s">
        <v>4635</v>
      </c>
      <c r="L767" s="387">
        <v>1</v>
      </c>
      <c r="M767" s="387">
        <v>0</v>
      </c>
      <c r="N767" s="387">
        <f t="shared" si="100"/>
        <v>1</v>
      </c>
      <c r="O767" s="442">
        <f t="shared" si="101"/>
        <v>0</v>
      </c>
      <c r="P767" s="387" t="s">
        <v>1358</v>
      </c>
      <c r="Q767" s="459">
        <v>0</v>
      </c>
      <c r="R767" s="459"/>
      <c r="S767" s="456">
        <v>0</v>
      </c>
      <c r="T767" s="456">
        <v>33.194000000000003</v>
      </c>
      <c r="U767" s="410"/>
      <c r="V767" s="411">
        <v>0</v>
      </c>
      <c r="W767" s="411">
        <v>0</v>
      </c>
      <c r="X767" s="411">
        <v>0</v>
      </c>
      <c r="Y767" s="411"/>
      <c r="Z767" s="411"/>
      <c r="AA767" s="412">
        <f t="shared" si="102"/>
        <v>0</v>
      </c>
      <c r="AB767" s="456">
        <f t="shared" si="103"/>
        <v>0</v>
      </c>
      <c r="AC767" s="456">
        <v>0</v>
      </c>
      <c r="AD767" s="2"/>
      <c r="AE767" s="4"/>
      <c r="AF767" s="5"/>
      <c r="AG767" s="428"/>
    </row>
    <row r="768" spans="2:33" hidden="1" x14ac:dyDescent="0.25">
      <c r="B768" s="1" t="s">
        <v>2848</v>
      </c>
      <c r="C768" s="3" t="s">
        <v>1368</v>
      </c>
      <c r="D768" s="3" t="s">
        <v>1247</v>
      </c>
      <c r="E768" s="407" t="s">
        <v>1433</v>
      </c>
      <c r="F768" s="3" t="s">
        <v>2158</v>
      </c>
      <c r="G768" s="407" t="s">
        <v>4490</v>
      </c>
      <c r="H768" s="440" t="s">
        <v>4109</v>
      </c>
      <c r="I768" s="407" t="s">
        <v>4311</v>
      </c>
      <c r="J768" s="407" t="s">
        <v>3792</v>
      </c>
      <c r="K768" s="387" t="s">
        <v>4644</v>
      </c>
      <c r="L768" s="387">
        <v>1</v>
      </c>
      <c r="M768" s="387">
        <v>0</v>
      </c>
      <c r="N768" s="387">
        <f t="shared" si="100"/>
        <v>1</v>
      </c>
      <c r="O768" s="442">
        <f t="shared" si="101"/>
        <v>0</v>
      </c>
      <c r="P768" s="387" t="s">
        <v>1358</v>
      </c>
      <c r="Q768" s="459">
        <v>0</v>
      </c>
      <c r="R768" s="459"/>
      <c r="S768" s="456">
        <v>0</v>
      </c>
      <c r="T768" s="456">
        <v>33.106000000000002</v>
      </c>
      <c r="U768" s="410"/>
      <c r="V768" s="411">
        <v>0</v>
      </c>
      <c r="W768" s="411">
        <v>0</v>
      </c>
      <c r="X768" s="411">
        <v>0</v>
      </c>
      <c r="Y768" s="411"/>
      <c r="Z768" s="411"/>
      <c r="AA768" s="412">
        <f t="shared" si="102"/>
        <v>0</v>
      </c>
      <c r="AB768" s="456">
        <f t="shared" si="103"/>
        <v>0</v>
      </c>
      <c r="AC768" s="456">
        <v>0</v>
      </c>
      <c r="AD768" s="2"/>
      <c r="AE768" s="4"/>
      <c r="AF768" s="5"/>
      <c r="AG768" s="428"/>
    </row>
    <row r="769" spans="2:33" hidden="1" x14ac:dyDescent="0.25">
      <c r="B769" s="1" t="s">
        <v>2849</v>
      </c>
      <c r="C769" s="3" t="s">
        <v>1368</v>
      </c>
      <c r="D769" s="3" t="s">
        <v>1247</v>
      </c>
      <c r="E769" s="407" t="s">
        <v>3306</v>
      </c>
      <c r="F769" s="3" t="s">
        <v>2159</v>
      </c>
      <c r="G769" s="407" t="s">
        <v>4484</v>
      </c>
      <c r="H769" s="440" t="s">
        <v>4109</v>
      </c>
      <c r="I769" s="407" t="s">
        <v>4305</v>
      </c>
      <c r="J769" s="407" t="s">
        <v>3786</v>
      </c>
      <c r="K769" s="387" t="s">
        <v>4636</v>
      </c>
      <c r="L769" s="387">
        <v>1</v>
      </c>
      <c r="M769" s="387">
        <v>0</v>
      </c>
      <c r="N769" s="387">
        <f t="shared" si="100"/>
        <v>1</v>
      </c>
      <c r="O769" s="442">
        <f t="shared" si="101"/>
        <v>0</v>
      </c>
      <c r="P769" s="387" t="s">
        <v>1358</v>
      </c>
      <c r="Q769" s="459">
        <v>0</v>
      </c>
      <c r="R769" s="459"/>
      <c r="S769" s="456">
        <v>0</v>
      </c>
      <c r="T769" s="456">
        <v>32.154000000000003</v>
      </c>
      <c r="U769" s="410"/>
      <c r="V769" s="411">
        <v>0</v>
      </c>
      <c r="W769" s="411">
        <v>0</v>
      </c>
      <c r="X769" s="411">
        <v>0</v>
      </c>
      <c r="Y769" s="411"/>
      <c r="Z769" s="411"/>
      <c r="AA769" s="412">
        <f t="shared" si="102"/>
        <v>0</v>
      </c>
      <c r="AB769" s="456">
        <f t="shared" si="103"/>
        <v>0</v>
      </c>
      <c r="AC769" s="456">
        <v>0</v>
      </c>
      <c r="AD769" s="2"/>
      <c r="AE769" s="4"/>
      <c r="AF769" s="5"/>
      <c r="AG769" s="428"/>
    </row>
    <row r="770" spans="2:33" hidden="1" x14ac:dyDescent="0.25">
      <c r="B770" s="1" t="s">
        <v>2850</v>
      </c>
      <c r="C770" s="3" t="s">
        <v>1368</v>
      </c>
      <c r="D770" s="3" t="s">
        <v>1247</v>
      </c>
      <c r="E770" s="407" t="s">
        <v>1377</v>
      </c>
      <c r="F770" s="3" t="s">
        <v>2160</v>
      </c>
      <c r="G770" s="407" t="s">
        <v>4494</v>
      </c>
      <c r="H770" s="440" t="s">
        <v>4109</v>
      </c>
      <c r="I770" s="407" t="s">
        <v>4315</v>
      </c>
      <c r="J770" s="407" t="s">
        <v>3749</v>
      </c>
      <c r="K770" s="387" t="s">
        <v>4648</v>
      </c>
      <c r="L770" s="387">
        <v>1</v>
      </c>
      <c r="M770" s="387">
        <v>0</v>
      </c>
      <c r="N770" s="387">
        <f t="shared" si="100"/>
        <v>1</v>
      </c>
      <c r="O770" s="442">
        <f t="shared" si="101"/>
        <v>0</v>
      </c>
      <c r="P770" s="387" t="s">
        <v>1358</v>
      </c>
      <c r="Q770" s="459">
        <v>0</v>
      </c>
      <c r="R770" s="459"/>
      <c r="S770" s="456">
        <v>0</v>
      </c>
      <c r="T770" s="456">
        <v>25.85</v>
      </c>
      <c r="U770" s="410"/>
      <c r="V770" s="411">
        <v>0</v>
      </c>
      <c r="W770" s="411">
        <v>0</v>
      </c>
      <c r="X770" s="411">
        <v>0</v>
      </c>
      <c r="Y770" s="411"/>
      <c r="Z770" s="411"/>
      <c r="AA770" s="412">
        <f t="shared" si="102"/>
        <v>0</v>
      </c>
      <c r="AB770" s="456">
        <f t="shared" si="103"/>
        <v>0</v>
      </c>
      <c r="AC770" s="456">
        <v>0</v>
      </c>
      <c r="AD770" s="2"/>
      <c r="AE770" s="4"/>
      <c r="AF770" s="5"/>
      <c r="AG770" s="428"/>
    </row>
    <row r="771" spans="2:33" hidden="1" x14ac:dyDescent="0.25">
      <c r="B771" s="1" t="s">
        <v>2851</v>
      </c>
      <c r="C771" s="3" t="s">
        <v>1368</v>
      </c>
      <c r="D771" s="3" t="s">
        <v>1247</v>
      </c>
      <c r="E771" s="407" t="s">
        <v>1379</v>
      </c>
      <c r="F771" s="3" t="s">
        <v>2161</v>
      </c>
      <c r="G771" s="407" t="s">
        <v>4502</v>
      </c>
      <c r="H771" s="440" t="s">
        <v>4109</v>
      </c>
      <c r="I771" s="407" t="s">
        <v>4323</v>
      </c>
      <c r="J771" s="407" t="s">
        <v>3750</v>
      </c>
      <c r="K771" s="387" t="s">
        <v>4632</v>
      </c>
      <c r="L771" s="387">
        <v>1</v>
      </c>
      <c r="M771" s="387">
        <v>0</v>
      </c>
      <c r="N771" s="387">
        <f t="shared" si="100"/>
        <v>1</v>
      </c>
      <c r="O771" s="442">
        <f t="shared" si="101"/>
        <v>0</v>
      </c>
      <c r="P771" s="387" t="s">
        <v>1358</v>
      </c>
      <c r="Q771" s="459">
        <v>0</v>
      </c>
      <c r="R771" s="459"/>
      <c r="S771" s="456">
        <v>0</v>
      </c>
      <c r="T771" s="456">
        <v>25.85</v>
      </c>
      <c r="U771" s="410"/>
      <c r="V771" s="411">
        <v>0</v>
      </c>
      <c r="W771" s="411">
        <v>0</v>
      </c>
      <c r="X771" s="411">
        <v>0</v>
      </c>
      <c r="Y771" s="411"/>
      <c r="Z771" s="411"/>
      <c r="AA771" s="412">
        <f t="shared" si="102"/>
        <v>0</v>
      </c>
      <c r="AB771" s="456">
        <f t="shared" si="103"/>
        <v>0</v>
      </c>
      <c r="AC771" s="456">
        <v>0</v>
      </c>
      <c r="AD771" s="2"/>
      <c r="AE771" s="4"/>
      <c r="AF771" s="5"/>
      <c r="AG771" s="428"/>
    </row>
    <row r="772" spans="2:33" hidden="1" x14ac:dyDescent="0.25">
      <c r="B772" s="1" t="s">
        <v>2852</v>
      </c>
      <c r="C772" s="3" t="s">
        <v>1368</v>
      </c>
      <c r="D772" s="3" t="s">
        <v>1247</v>
      </c>
      <c r="E772" s="407" t="s">
        <v>1381</v>
      </c>
      <c r="F772" s="3" t="s">
        <v>2162</v>
      </c>
      <c r="G772" s="407" t="s">
        <v>4497</v>
      </c>
      <c r="H772" s="440" t="s">
        <v>4109</v>
      </c>
      <c r="I772" s="407" t="s">
        <v>4318</v>
      </c>
      <c r="J772" s="407" t="s">
        <v>3751</v>
      </c>
      <c r="K772" s="387" t="s">
        <v>4786</v>
      </c>
      <c r="L772" s="387">
        <v>1</v>
      </c>
      <c r="M772" s="387">
        <v>0</v>
      </c>
      <c r="N772" s="387">
        <f t="shared" si="100"/>
        <v>1</v>
      </c>
      <c r="O772" s="442">
        <f t="shared" si="101"/>
        <v>0</v>
      </c>
      <c r="P772" s="387" t="s">
        <v>1358</v>
      </c>
      <c r="Q772" s="459">
        <v>0</v>
      </c>
      <c r="R772" s="459"/>
      <c r="S772" s="456">
        <v>0</v>
      </c>
      <c r="T772" s="456">
        <v>25.85</v>
      </c>
      <c r="U772" s="410"/>
      <c r="V772" s="411">
        <v>0</v>
      </c>
      <c r="W772" s="411">
        <v>0</v>
      </c>
      <c r="X772" s="411">
        <v>0</v>
      </c>
      <c r="Y772" s="411"/>
      <c r="Z772" s="411"/>
      <c r="AA772" s="412">
        <f t="shared" si="102"/>
        <v>0</v>
      </c>
      <c r="AB772" s="456">
        <f t="shared" si="103"/>
        <v>0</v>
      </c>
      <c r="AC772" s="456">
        <v>0</v>
      </c>
      <c r="AD772" s="2"/>
      <c r="AE772" s="4"/>
      <c r="AF772" s="5"/>
      <c r="AG772" s="428"/>
    </row>
    <row r="773" spans="2:33" hidden="1" x14ac:dyDescent="0.25">
      <c r="B773" s="1" t="s">
        <v>2853</v>
      </c>
      <c r="C773" s="3" t="s">
        <v>1368</v>
      </c>
      <c r="D773" s="3" t="s">
        <v>1247</v>
      </c>
      <c r="E773" s="407" t="s">
        <v>1396</v>
      </c>
      <c r="F773" s="3" t="s">
        <v>2163</v>
      </c>
      <c r="G773" s="407" t="s">
        <v>4498</v>
      </c>
      <c r="H773" s="440" t="s">
        <v>4109</v>
      </c>
      <c r="I773" s="407" t="s">
        <v>4319</v>
      </c>
      <c r="J773" s="407" t="s">
        <v>3752</v>
      </c>
      <c r="K773" s="387" t="s">
        <v>4661</v>
      </c>
      <c r="L773" s="387">
        <v>1</v>
      </c>
      <c r="M773" s="387">
        <v>0</v>
      </c>
      <c r="N773" s="387">
        <f t="shared" si="100"/>
        <v>1</v>
      </c>
      <c r="O773" s="442">
        <f t="shared" si="101"/>
        <v>0</v>
      </c>
      <c r="P773" s="387" t="s">
        <v>1358</v>
      </c>
      <c r="Q773" s="459">
        <v>0</v>
      </c>
      <c r="R773" s="459"/>
      <c r="S773" s="456">
        <v>0</v>
      </c>
      <c r="T773" s="456">
        <v>25.85</v>
      </c>
      <c r="U773" s="410"/>
      <c r="V773" s="411">
        <v>0</v>
      </c>
      <c r="W773" s="411">
        <v>0</v>
      </c>
      <c r="X773" s="411">
        <v>0</v>
      </c>
      <c r="Y773" s="411"/>
      <c r="Z773" s="411"/>
      <c r="AA773" s="412">
        <f t="shared" si="102"/>
        <v>0</v>
      </c>
      <c r="AB773" s="456">
        <f t="shared" si="103"/>
        <v>0</v>
      </c>
      <c r="AC773" s="456">
        <v>0</v>
      </c>
      <c r="AD773" s="2"/>
      <c r="AE773" s="4"/>
      <c r="AF773" s="5"/>
      <c r="AG773" s="428"/>
    </row>
    <row r="774" spans="2:33" hidden="1" x14ac:dyDescent="0.25">
      <c r="B774" s="1" t="s">
        <v>2854</v>
      </c>
      <c r="C774" s="3" t="s">
        <v>1368</v>
      </c>
      <c r="D774" s="3" t="s">
        <v>1247</v>
      </c>
      <c r="E774" s="407" t="s">
        <v>3547</v>
      </c>
      <c r="F774" s="3" t="s">
        <v>2164</v>
      </c>
      <c r="G774" s="407" t="s">
        <v>4501</v>
      </c>
      <c r="H774" s="440" t="s">
        <v>4109</v>
      </c>
      <c r="I774" s="407" t="s">
        <v>4322</v>
      </c>
      <c r="J774" s="407" t="s">
        <v>3797</v>
      </c>
      <c r="K774" s="387" t="s">
        <v>4655</v>
      </c>
      <c r="L774" s="387">
        <v>4</v>
      </c>
      <c r="M774" s="387">
        <v>0</v>
      </c>
      <c r="N774" s="387">
        <f t="shared" si="100"/>
        <v>4</v>
      </c>
      <c r="O774" s="442">
        <f t="shared" si="101"/>
        <v>0</v>
      </c>
      <c r="P774" s="387" t="s">
        <v>1358</v>
      </c>
      <c r="Q774" s="459">
        <v>0</v>
      </c>
      <c r="R774" s="459"/>
      <c r="S774" s="456">
        <v>0</v>
      </c>
      <c r="T774" s="456">
        <v>103.4</v>
      </c>
      <c r="U774" s="410"/>
      <c r="V774" s="411">
        <v>0</v>
      </c>
      <c r="W774" s="411">
        <v>0</v>
      </c>
      <c r="X774" s="411">
        <v>0</v>
      </c>
      <c r="Y774" s="411"/>
      <c r="Z774" s="411"/>
      <c r="AA774" s="412">
        <f t="shared" si="102"/>
        <v>0</v>
      </c>
      <c r="AB774" s="456">
        <f t="shared" si="103"/>
        <v>0</v>
      </c>
      <c r="AC774" s="456">
        <v>0</v>
      </c>
      <c r="AD774" s="2"/>
      <c r="AE774" s="4"/>
      <c r="AF774" s="5"/>
      <c r="AG774" s="428"/>
    </row>
    <row r="775" spans="2:33" hidden="1" x14ac:dyDescent="0.25">
      <c r="B775" s="1" t="s">
        <v>2855</v>
      </c>
      <c r="C775" s="3" t="s">
        <v>1368</v>
      </c>
      <c r="D775" s="3" t="s">
        <v>1247</v>
      </c>
      <c r="E775" s="407" t="s">
        <v>1374</v>
      </c>
      <c r="F775" s="3" t="s">
        <v>2165</v>
      </c>
      <c r="G775" s="407" t="s">
        <v>4495</v>
      </c>
      <c r="H775" s="440" t="s">
        <v>4109</v>
      </c>
      <c r="I775" s="407" t="s">
        <v>4316</v>
      </c>
      <c r="J775" s="407" t="s">
        <v>3757</v>
      </c>
      <c r="K775" s="387" t="s">
        <v>4649</v>
      </c>
      <c r="L775" s="387">
        <v>1</v>
      </c>
      <c r="M775" s="387">
        <v>0</v>
      </c>
      <c r="N775" s="387">
        <f t="shared" si="100"/>
        <v>1</v>
      </c>
      <c r="O775" s="442">
        <f t="shared" si="101"/>
        <v>1</v>
      </c>
      <c r="P775" s="387" t="s">
        <v>1358</v>
      </c>
      <c r="Q775" s="459">
        <v>0</v>
      </c>
      <c r="R775" s="459"/>
      <c r="S775" s="456">
        <v>0</v>
      </c>
      <c r="T775" s="456">
        <v>25.097999999999999</v>
      </c>
      <c r="U775" s="410"/>
      <c r="V775" s="411">
        <v>1</v>
      </c>
      <c r="W775" s="411">
        <v>1</v>
      </c>
      <c r="X775" s="411">
        <v>1</v>
      </c>
      <c r="Y775" s="411"/>
      <c r="Z775" s="411"/>
      <c r="AA775" s="412">
        <f t="shared" si="102"/>
        <v>1</v>
      </c>
      <c r="AB775" s="456">
        <f t="shared" si="103"/>
        <v>25.097999999999999</v>
      </c>
      <c r="AC775" s="456">
        <v>0</v>
      </c>
      <c r="AD775" s="2"/>
      <c r="AE775" s="4"/>
      <c r="AF775" s="5"/>
      <c r="AG775" s="428"/>
    </row>
    <row r="776" spans="2:33" hidden="1" x14ac:dyDescent="0.25">
      <c r="B776" s="1" t="s">
        <v>2856</v>
      </c>
      <c r="C776" s="3" t="s">
        <v>1368</v>
      </c>
      <c r="D776" s="3" t="s">
        <v>1247</v>
      </c>
      <c r="E776" s="407" t="s">
        <v>1400</v>
      </c>
      <c r="F776" s="3" t="s">
        <v>2166</v>
      </c>
      <c r="G776" s="407" t="s">
        <v>4477</v>
      </c>
      <c r="H776" s="440" t="s">
        <v>4109</v>
      </c>
      <c r="I776" s="407" t="s">
        <v>4298</v>
      </c>
      <c r="J776" s="407" t="s">
        <v>3779</v>
      </c>
      <c r="K776" s="387" t="s">
        <v>4656</v>
      </c>
      <c r="L776" s="387">
        <v>1</v>
      </c>
      <c r="M776" s="387">
        <v>0</v>
      </c>
      <c r="N776" s="387">
        <f t="shared" si="100"/>
        <v>1</v>
      </c>
      <c r="O776" s="442">
        <f t="shared" si="101"/>
        <v>0</v>
      </c>
      <c r="P776" s="387" t="s">
        <v>1358</v>
      </c>
      <c r="Q776" s="459">
        <v>0</v>
      </c>
      <c r="R776" s="459"/>
      <c r="S776" s="456">
        <v>0</v>
      </c>
      <c r="T776" s="456">
        <v>19.376000000000001</v>
      </c>
      <c r="U776" s="410"/>
      <c r="V776" s="411">
        <v>0</v>
      </c>
      <c r="W776" s="411">
        <v>0</v>
      </c>
      <c r="X776" s="411">
        <v>0</v>
      </c>
      <c r="Y776" s="411"/>
      <c r="Z776" s="411"/>
      <c r="AA776" s="412">
        <f t="shared" si="102"/>
        <v>0</v>
      </c>
      <c r="AB776" s="456">
        <f t="shared" si="103"/>
        <v>0</v>
      </c>
      <c r="AC776" s="456">
        <v>0</v>
      </c>
      <c r="AD776" s="2"/>
      <c r="AE776" s="4"/>
      <c r="AF776" s="5"/>
      <c r="AG776" s="428"/>
    </row>
    <row r="777" spans="2:33" hidden="1" x14ac:dyDescent="0.25">
      <c r="B777" s="1" t="s">
        <v>2857</v>
      </c>
      <c r="C777" s="3" t="s">
        <v>1368</v>
      </c>
      <c r="D777" s="3" t="s">
        <v>1247</v>
      </c>
      <c r="E777" s="407" t="s">
        <v>1401</v>
      </c>
      <c r="F777" s="3" t="s">
        <v>2167</v>
      </c>
      <c r="G777" s="407" t="s">
        <v>4478</v>
      </c>
      <c r="H777" s="440" t="s">
        <v>4109</v>
      </c>
      <c r="I777" s="407" t="s">
        <v>4299</v>
      </c>
      <c r="J777" s="407" t="s">
        <v>3780</v>
      </c>
      <c r="K777" s="387" t="s">
        <v>4657</v>
      </c>
      <c r="L777" s="387">
        <v>1</v>
      </c>
      <c r="M777" s="387">
        <v>0</v>
      </c>
      <c r="N777" s="387">
        <f t="shared" si="100"/>
        <v>1</v>
      </c>
      <c r="O777" s="442">
        <f t="shared" si="101"/>
        <v>0</v>
      </c>
      <c r="P777" s="387" t="s">
        <v>1358</v>
      </c>
      <c r="Q777" s="459">
        <v>0</v>
      </c>
      <c r="R777" s="459"/>
      <c r="S777" s="456">
        <v>0</v>
      </c>
      <c r="T777" s="456">
        <v>18.753</v>
      </c>
      <c r="U777" s="410"/>
      <c r="V777" s="411">
        <v>0</v>
      </c>
      <c r="W777" s="411">
        <v>0</v>
      </c>
      <c r="X777" s="411">
        <v>0</v>
      </c>
      <c r="Y777" s="411"/>
      <c r="Z777" s="411"/>
      <c r="AA777" s="412">
        <f t="shared" si="102"/>
        <v>0</v>
      </c>
      <c r="AB777" s="456">
        <f t="shared" si="103"/>
        <v>0</v>
      </c>
      <c r="AC777" s="456">
        <v>0</v>
      </c>
      <c r="AD777" s="2"/>
      <c r="AE777" s="4"/>
      <c r="AF777" s="5"/>
      <c r="AG777" s="428"/>
    </row>
    <row r="778" spans="2:33" hidden="1" x14ac:dyDescent="0.25">
      <c r="B778" s="1" t="s">
        <v>2858</v>
      </c>
      <c r="C778" s="3" t="s">
        <v>1368</v>
      </c>
      <c r="D778" s="3" t="s">
        <v>1247</v>
      </c>
      <c r="E778" s="407" t="s">
        <v>1432</v>
      </c>
      <c r="F778" s="3" t="s">
        <v>2168</v>
      </c>
      <c r="G778" s="407" t="s">
        <v>4483</v>
      </c>
      <c r="H778" s="440" t="s">
        <v>4109</v>
      </c>
      <c r="I778" s="407" t="s">
        <v>4304</v>
      </c>
      <c r="J778" s="407" t="s">
        <v>3785</v>
      </c>
      <c r="K778" s="387" t="s">
        <v>4635</v>
      </c>
      <c r="L778" s="387">
        <v>6</v>
      </c>
      <c r="M778" s="387">
        <v>0</v>
      </c>
      <c r="N778" s="387">
        <f t="shared" si="100"/>
        <v>6</v>
      </c>
      <c r="O778" s="442">
        <f t="shared" si="101"/>
        <v>0</v>
      </c>
      <c r="P778" s="387" t="s">
        <v>1358</v>
      </c>
      <c r="Q778" s="459">
        <v>0</v>
      </c>
      <c r="R778" s="459"/>
      <c r="S778" s="456">
        <v>0</v>
      </c>
      <c r="T778" s="456">
        <v>126.38399999999999</v>
      </c>
      <c r="U778" s="410"/>
      <c r="V778" s="411">
        <v>0</v>
      </c>
      <c r="W778" s="411">
        <v>0</v>
      </c>
      <c r="X778" s="411">
        <v>0</v>
      </c>
      <c r="Y778" s="411"/>
      <c r="Z778" s="411"/>
      <c r="AA778" s="412">
        <f t="shared" si="102"/>
        <v>0</v>
      </c>
      <c r="AB778" s="456">
        <f t="shared" si="103"/>
        <v>0</v>
      </c>
      <c r="AC778" s="456">
        <v>0</v>
      </c>
      <c r="AD778" s="2"/>
      <c r="AE778" s="4"/>
      <c r="AF778" s="5"/>
      <c r="AG778" s="428"/>
    </row>
    <row r="779" spans="2:33" hidden="1" x14ac:dyDescent="0.25">
      <c r="B779" s="1" t="s">
        <v>2859</v>
      </c>
      <c r="C779" s="3" t="s">
        <v>1368</v>
      </c>
      <c r="D779" s="3" t="s">
        <v>1247</v>
      </c>
      <c r="E779" s="407" t="s">
        <v>1431</v>
      </c>
      <c r="F779" s="3" t="s">
        <v>2169</v>
      </c>
      <c r="G779" s="407" t="s">
        <v>4489</v>
      </c>
      <c r="H779" s="440" t="s">
        <v>4109</v>
      </c>
      <c r="I779" s="407" t="s">
        <v>4310</v>
      </c>
      <c r="J779" s="407" t="s">
        <v>3791</v>
      </c>
      <c r="K779" s="387" t="s">
        <v>4642</v>
      </c>
      <c r="L779" s="387">
        <v>2</v>
      </c>
      <c r="M779" s="387">
        <v>0</v>
      </c>
      <c r="N779" s="387">
        <f t="shared" si="100"/>
        <v>2</v>
      </c>
      <c r="O779" s="442">
        <f t="shared" si="101"/>
        <v>0</v>
      </c>
      <c r="P779" s="387" t="s">
        <v>1358</v>
      </c>
      <c r="Q779" s="459">
        <v>0</v>
      </c>
      <c r="R779" s="459"/>
      <c r="S779" s="456">
        <v>0</v>
      </c>
      <c r="T779" s="456">
        <v>42.128</v>
      </c>
      <c r="U779" s="410"/>
      <c r="V779" s="411">
        <v>0</v>
      </c>
      <c r="W779" s="411">
        <v>0</v>
      </c>
      <c r="X779" s="411">
        <v>0</v>
      </c>
      <c r="Y779" s="411"/>
      <c r="Z779" s="411"/>
      <c r="AA779" s="412">
        <f t="shared" si="102"/>
        <v>0</v>
      </c>
      <c r="AB779" s="456">
        <f t="shared" si="103"/>
        <v>0</v>
      </c>
      <c r="AC779" s="456">
        <v>0</v>
      </c>
      <c r="AD779" s="2"/>
      <c r="AE779" s="4"/>
      <c r="AF779" s="5"/>
      <c r="AG779" s="428"/>
    </row>
    <row r="780" spans="2:33" hidden="1" x14ac:dyDescent="0.25">
      <c r="B780" s="1" t="s">
        <v>2860</v>
      </c>
      <c r="C780" s="3" t="s">
        <v>1368</v>
      </c>
      <c r="D780" s="3" t="s">
        <v>1247</v>
      </c>
      <c r="E780" s="407" t="s">
        <v>1377</v>
      </c>
      <c r="F780" s="3" t="s">
        <v>2170</v>
      </c>
      <c r="G780" s="407" t="s">
        <v>4494</v>
      </c>
      <c r="H780" s="440" t="s">
        <v>4109</v>
      </c>
      <c r="I780" s="407" t="s">
        <v>4315</v>
      </c>
      <c r="J780" s="407" t="s">
        <v>3749</v>
      </c>
      <c r="K780" s="387" t="s">
        <v>4648</v>
      </c>
      <c r="L780" s="387">
        <v>1</v>
      </c>
      <c r="M780" s="387">
        <v>0</v>
      </c>
      <c r="N780" s="387">
        <f t="shared" si="100"/>
        <v>1</v>
      </c>
      <c r="O780" s="442">
        <f t="shared" si="101"/>
        <v>0.99999999999999978</v>
      </c>
      <c r="P780" s="387" t="s">
        <v>1358</v>
      </c>
      <c r="Q780" s="459">
        <v>0</v>
      </c>
      <c r="R780" s="459"/>
      <c r="S780" s="456">
        <v>0</v>
      </c>
      <c r="T780" s="456">
        <v>40.854999999999997</v>
      </c>
      <c r="U780" s="410"/>
      <c r="V780" s="411">
        <v>1</v>
      </c>
      <c r="W780" s="411">
        <v>1</v>
      </c>
      <c r="X780" s="411">
        <v>1</v>
      </c>
      <c r="Y780" s="411"/>
      <c r="Z780" s="411"/>
      <c r="AA780" s="412">
        <f t="shared" si="102"/>
        <v>0.99999999999999978</v>
      </c>
      <c r="AB780" s="456">
        <f t="shared" si="103"/>
        <v>40.85499999999999</v>
      </c>
      <c r="AC780" s="456">
        <v>0</v>
      </c>
      <c r="AD780" s="2"/>
      <c r="AE780" s="4"/>
      <c r="AF780" s="5"/>
      <c r="AG780" s="428"/>
    </row>
    <row r="781" spans="2:33" hidden="1" x14ac:dyDescent="0.25">
      <c r="B781" s="1" t="s">
        <v>2861</v>
      </c>
      <c r="C781" s="3" t="s">
        <v>1368</v>
      </c>
      <c r="D781" s="3" t="s">
        <v>1247</v>
      </c>
      <c r="E781" s="407" t="s">
        <v>1374</v>
      </c>
      <c r="F781" s="3" t="s">
        <v>2171</v>
      </c>
      <c r="G781" s="407" t="s">
        <v>4495</v>
      </c>
      <c r="H781" s="440" t="s">
        <v>4109</v>
      </c>
      <c r="I781" s="407" t="s">
        <v>4316</v>
      </c>
      <c r="J781" s="407" t="s">
        <v>3757</v>
      </c>
      <c r="K781" s="387" t="s">
        <v>4649</v>
      </c>
      <c r="L781" s="387">
        <v>1</v>
      </c>
      <c r="M781" s="387">
        <v>0</v>
      </c>
      <c r="N781" s="387">
        <f t="shared" si="100"/>
        <v>1</v>
      </c>
      <c r="O781" s="442">
        <f t="shared" si="101"/>
        <v>0.99999999999999978</v>
      </c>
      <c r="P781" s="387" t="s">
        <v>1358</v>
      </c>
      <c r="Q781" s="459">
        <v>0</v>
      </c>
      <c r="R781" s="459"/>
      <c r="S781" s="456">
        <v>0</v>
      </c>
      <c r="T781" s="456">
        <v>40.854999999999997</v>
      </c>
      <c r="U781" s="410"/>
      <c r="V781" s="411">
        <v>1</v>
      </c>
      <c r="W781" s="411">
        <v>1</v>
      </c>
      <c r="X781" s="411">
        <v>1</v>
      </c>
      <c r="Y781" s="411"/>
      <c r="Z781" s="411"/>
      <c r="AA781" s="412">
        <f t="shared" si="102"/>
        <v>0.99999999999999978</v>
      </c>
      <c r="AB781" s="456">
        <f t="shared" si="103"/>
        <v>40.85499999999999</v>
      </c>
      <c r="AC781" s="456">
        <v>0</v>
      </c>
      <c r="AD781" s="2"/>
      <c r="AE781" s="4"/>
      <c r="AF781" s="5"/>
      <c r="AG781" s="428"/>
    </row>
    <row r="782" spans="2:33" hidden="1" x14ac:dyDescent="0.25">
      <c r="B782" s="1" t="s">
        <v>2862</v>
      </c>
      <c r="C782" s="3" t="s">
        <v>1368</v>
      </c>
      <c r="D782" s="3" t="s">
        <v>1247</v>
      </c>
      <c r="E782" s="407" t="s">
        <v>1374</v>
      </c>
      <c r="F782" s="3" t="s">
        <v>2172</v>
      </c>
      <c r="G782" s="407" t="s">
        <v>4495</v>
      </c>
      <c r="H782" s="440" t="s">
        <v>4109</v>
      </c>
      <c r="I782" s="407" t="s">
        <v>4316</v>
      </c>
      <c r="J782" s="407" t="s">
        <v>3757</v>
      </c>
      <c r="K782" s="387" t="s">
        <v>4649</v>
      </c>
      <c r="L782" s="387">
        <v>1</v>
      </c>
      <c r="M782" s="387">
        <v>0</v>
      </c>
      <c r="N782" s="387">
        <f t="shared" si="100"/>
        <v>1</v>
      </c>
      <c r="O782" s="442">
        <f t="shared" si="101"/>
        <v>1</v>
      </c>
      <c r="P782" s="387" t="s">
        <v>1358</v>
      </c>
      <c r="Q782" s="459">
        <v>0</v>
      </c>
      <c r="R782" s="459"/>
      <c r="S782" s="456">
        <v>0</v>
      </c>
      <c r="T782" s="456">
        <v>18.753</v>
      </c>
      <c r="U782" s="410"/>
      <c r="V782" s="411">
        <v>1</v>
      </c>
      <c r="W782" s="411">
        <v>1</v>
      </c>
      <c r="X782" s="411">
        <v>1</v>
      </c>
      <c r="Y782" s="411"/>
      <c r="Z782" s="411"/>
      <c r="AA782" s="412">
        <f t="shared" si="102"/>
        <v>1</v>
      </c>
      <c r="AB782" s="456">
        <f t="shared" si="103"/>
        <v>18.753</v>
      </c>
      <c r="AC782" s="456">
        <v>0</v>
      </c>
      <c r="AD782" s="2"/>
      <c r="AE782" s="4"/>
      <c r="AF782" s="5"/>
      <c r="AG782" s="428"/>
    </row>
    <row r="783" spans="2:33" hidden="1" x14ac:dyDescent="0.25">
      <c r="B783" s="1" t="s">
        <v>2863</v>
      </c>
      <c r="C783" s="3" t="s">
        <v>1368</v>
      </c>
      <c r="D783" s="3" t="s">
        <v>1247</v>
      </c>
      <c r="E783" s="407" t="s">
        <v>1377</v>
      </c>
      <c r="F783" s="3" t="s">
        <v>2173</v>
      </c>
      <c r="G783" s="407" t="s">
        <v>4494</v>
      </c>
      <c r="H783" s="440" t="s">
        <v>4109</v>
      </c>
      <c r="I783" s="407" t="s">
        <v>4315</v>
      </c>
      <c r="J783" s="407" t="s">
        <v>3749</v>
      </c>
      <c r="K783" s="387" t="s">
        <v>4648</v>
      </c>
      <c r="L783" s="387">
        <v>1</v>
      </c>
      <c r="M783" s="387">
        <v>0</v>
      </c>
      <c r="N783" s="387">
        <f t="shared" si="100"/>
        <v>1</v>
      </c>
      <c r="O783" s="442">
        <f t="shared" si="101"/>
        <v>1</v>
      </c>
      <c r="P783" s="387" t="s">
        <v>1358</v>
      </c>
      <c r="Q783" s="459">
        <v>0</v>
      </c>
      <c r="R783" s="459"/>
      <c r="S783" s="456">
        <v>0</v>
      </c>
      <c r="T783" s="456">
        <v>18.753</v>
      </c>
      <c r="U783" s="410"/>
      <c r="V783" s="411">
        <v>1</v>
      </c>
      <c r="W783" s="411">
        <v>1</v>
      </c>
      <c r="X783" s="411">
        <v>1</v>
      </c>
      <c r="Y783" s="411"/>
      <c r="Z783" s="411"/>
      <c r="AA783" s="412">
        <f t="shared" si="102"/>
        <v>1</v>
      </c>
      <c r="AB783" s="456">
        <f t="shared" si="103"/>
        <v>18.753</v>
      </c>
      <c r="AC783" s="456">
        <v>0</v>
      </c>
      <c r="AD783" s="2"/>
      <c r="AE783" s="4"/>
      <c r="AF783" s="5"/>
      <c r="AG783" s="428"/>
    </row>
    <row r="784" spans="2:33" hidden="1" x14ac:dyDescent="0.25">
      <c r="B784" s="1" t="s">
        <v>2864</v>
      </c>
      <c r="C784" s="3" t="s">
        <v>1368</v>
      </c>
      <c r="D784" s="3" t="s">
        <v>1247</v>
      </c>
      <c r="E784" s="407" t="s">
        <v>1379</v>
      </c>
      <c r="F784" s="3" t="s">
        <v>2174</v>
      </c>
      <c r="G784" s="407" t="s">
        <v>4502</v>
      </c>
      <c r="H784" s="440" t="s">
        <v>4109</v>
      </c>
      <c r="I784" s="407" t="s">
        <v>4323</v>
      </c>
      <c r="J784" s="407" t="s">
        <v>3750</v>
      </c>
      <c r="K784" s="387" t="s">
        <v>4632</v>
      </c>
      <c r="L784" s="387">
        <v>2</v>
      </c>
      <c r="M784" s="387">
        <v>0</v>
      </c>
      <c r="N784" s="387">
        <f t="shared" si="100"/>
        <v>2</v>
      </c>
      <c r="O784" s="442">
        <f t="shared" si="101"/>
        <v>2</v>
      </c>
      <c r="P784" s="387" t="s">
        <v>1358</v>
      </c>
      <c r="Q784" s="459">
        <v>0</v>
      </c>
      <c r="R784" s="459"/>
      <c r="S784" s="456">
        <v>0</v>
      </c>
      <c r="T784" s="456">
        <v>37.506</v>
      </c>
      <c r="U784" s="410"/>
      <c r="V784" s="411">
        <v>1</v>
      </c>
      <c r="W784" s="411">
        <v>1</v>
      </c>
      <c r="X784" s="411">
        <v>1</v>
      </c>
      <c r="Y784" s="411"/>
      <c r="Z784" s="411"/>
      <c r="AA784" s="412">
        <f t="shared" si="102"/>
        <v>1</v>
      </c>
      <c r="AB784" s="456">
        <f t="shared" si="103"/>
        <v>37.506</v>
      </c>
      <c r="AC784" s="456">
        <v>0</v>
      </c>
      <c r="AD784" s="2"/>
      <c r="AE784" s="4"/>
      <c r="AF784" s="5"/>
      <c r="AG784" s="428"/>
    </row>
    <row r="785" spans="2:33" hidden="1" x14ac:dyDescent="0.25">
      <c r="B785" s="1" t="s">
        <v>2865</v>
      </c>
      <c r="C785" s="3" t="s">
        <v>1368</v>
      </c>
      <c r="D785" s="3" t="s">
        <v>1247</v>
      </c>
      <c r="E785" s="407" t="s">
        <v>1381</v>
      </c>
      <c r="F785" s="3" t="s">
        <v>2175</v>
      </c>
      <c r="G785" s="407" t="s">
        <v>4497</v>
      </c>
      <c r="H785" s="440" t="s">
        <v>4109</v>
      </c>
      <c r="I785" s="407" t="s">
        <v>4318</v>
      </c>
      <c r="J785" s="407" t="s">
        <v>3751</v>
      </c>
      <c r="K785" s="387" t="s">
        <v>4631</v>
      </c>
      <c r="L785" s="387">
        <v>1</v>
      </c>
      <c r="M785" s="387">
        <v>0</v>
      </c>
      <c r="N785" s="387">
        <f t="shared" si="100"/>
        <v>1</v>
      </c>
      <c r="O785" s="442">
        <f t="shared" si="101"/>
        <v>1</v>
      </c>
      <c r="P785" s="387" t="s">
        <v>1358</v>
      </c>
      <c r="Q785" s="459">
        <v>0</v>
      </c>
      <c r="R785" s="459"/>
      <c r="S785" s="456">
        <v>0</v>
      </c>
      <c r="T785" s="456">
        <v>18.753</v>
      </c>
      <c r="U785" s="410"/>
      <c r="V785" s="411">
        <v>1</v>
      </c>
      <c r="W785" s="411">
        <v>1</v>
      </c>
      <c r="X785" s="411">
        <v>1</v>
      </c>
      <c r="Y785" s="411"/>
      <c r="Z785" s="411"/>
      <c r="AA785" s="412">
        <f t="shared" si="102"/>
        <v>1</v>
      </c>
      <c r="AB785" s="456">
        <f t="shared" si="103"/>
        <v>18.753</v>
      </c>
      <c r="AC785" s="456">
        <v>0</v>
      </c>
      <c r="AD785" s="2"/>
      <c r="AE785" s="4"/>
      <c r="AF785" s="5"/>
      <c r="AG785" s="428"/>
    </row>
    <row r="786" spans="2:33" hidden="1" x14ac:dyDescent="0.25">
      <c r="B786" s="1" t="s">
        <v>2866</v>
      </c>
      <c r="C786" s="3" t="s">
        <v>1368</v>
      </c>
      <c r="D786" s="3" t="s">
        <v>1247</v>
      </c>
      <c r="E786" s="407" t="s">
        <v>1396</v>
      </c>
      <c r="F786" s="3" t="s">
        <v>2176</v>
      </c>
      <c r="G786" s="407" t="s">
        <v>4498</v>
      </c>
      <c r="H786" s="440" t="s">
        <v>4109</v>
      </c>
      <c r="I786" s="407" t="s">
        <v>4319</v>
      </c>
      <c r="J786" s="407" t="s">
        <v>3752</v>
      </c>
      <c r="K786" s="387" t="s">
        <v>4652</v>
      </c>
      <c r="L786" s="387">
        <v>1</v>
      </c>
      <c r="M786" s="387">
        <v>0</v>
      </c>
      <c r="N786" s="387">
        <f t="shared" si="100"/>
        <v>1</v>
      </c>
      <c r="O786" s="442">
        <f t="shared" si="101"/>
        <v>1</v>
      </c>
      <c r="P786" s="387" t="s">
        <v>1358</v>
      </c>
      <c r="Q786" s="459">
        <v>0</v>
      </c>
      <c r="R786" s="459"/>
      <c r="S786" s="456">
        <v>0</v>
      </c>
      <c r="T786" s="456">
        <v>18.753</v>
      </c>
      <c r="U786" s="410"/>
      <c r="V786" s="411">
        <v>1</v>
      </c>
      <c r="W786" s="411">
        <v>1</v>
      </c>
      <c r="X786" s="411">
        <v>1</v>
      </c>
      <c r="Y786" s="411"/>
      <c r="Z786" s="411"/>
      <c r="AA786" s="412">
        <f t="shared" si="102"/>
        <v>1</v>
      </c>
      <c r="AB786" s="456">
        <f t="shared" si="103"/>
        <v>18.753</v>
      </c>
      <c r="AC786" s="456">
        <v>0</v>
      </c>
      <c r="AD786" s="2"/>
      <c r="AE786" s="4"/>
      <c r="AF786" s="5"/>
      <c r="AG786" s="428"/>
    </row>
    <row r="787" spans="2:33" hidden="1" x14ac:dyDescent="0.25">
      <c r="B787" s="1" t="s">
        <v>2867</v>
      </c>
      <c r="C787" s="3" t="s">
        <v>1368</v>
      </c>
      <c r="D787" s="3" t="s">
        <v>1247</v>
      </c>
      <c r="E787" s="407" t="s">
        <v>1399</v>
      </c>
      <c r="F787" s="3" t="s">
        <v>2177</v>
      </c>
      <c r="G787" s="407" t="s">
        <v>4499</v>
      </c>
      <c r="H787" s="440" t="s">
        <v>4109</v>
      </c>
      <c r="I787" s="407" t="s">
        <v>4320</v>
      </c>
      <c r="J787" s="407" t="s">
        <v>3758</v>
      </c>
      <c r="K787" s="387" t="s">
        <v>4653</v>
      </c>
      <c r="L787" s="387">
        <v>1</v>
      </c>
      <c r="M787" s="387">
        <v>0</v>
      </c>
      <c r="N787" s="387">
        <f t="shared" si="100"/>
        <v>1</v>
      </c>
      <c r="O787" s="442">
        <f t="shared" si="101"/>
        <v>1</v>
      </c>
      <c r="P787" s="387" t="s">
        <v>1358</v>
      </c>
      <c r="Q787" s="459">
        <v>0</v>
      </c>
      <c r="R787" s="459"/>
      <c r="S787" s="456">
        <v>0</v>
      </c>
      <c r="T787" s="456">
        <v>18.753</v>
      </c>
      <c r="U787" s="410"/>
      <c r="V787" s="411">
        <v>1</v>
      </c>
      <c r="W787" s="411">
        <v>1</v>
      </c>
      <c r="X787" s="411">
        <v>1</v>
      </c>
      <c r="Y787" s="411"/>
      <c r="Z787" s="411"/>
      <c r="AA787" s="412">
        <f t="shared" si="102"/>
        <v>1</v>
      </c>
      <c r="AB787" s="456">
        <f t="shared" si="103"/>
        <v>18.753</v>
      </c>
      <c r="AC787" s="456">
        <v>0</v>
      </c>
      <c r="AD787" s="2"/>
      <c r="AE787" s="4"/>
      <c r="AF787" s="5"/>
      <c r="AG787" s="428"/>
    </row>
    <row r="788" spans="2:33" hidden="1" x14ac:dyDescent="0.25">
      <c r="B788" s="1" t="s">
        <v>2868</v>
      </c>
      <c r="C788" s="3" t="s">
        <v>1368</v>
      </c>
      <c r="D788" s="3" t="s">
        <v>1247</v>
      </c>
      <c r="E788" s="407" t="s">
        <v>1401</v>
      </c>
      <c r="F788" s="3" t="s">
        <v>2178</v>
      </c>
      <c r="G788" s="407" t="s">
        <v>4478</v>
      </c>
      <c r="H788" s="440" t="s">
        <v>4109</v>
      </c>
      <c r="I788" s="407" t="s">
        <v>4299</v>
      </c>
      <c r="J788" s="407" t="s">
        <v>3780</v>
      </c>
      <c r="K788" s="387" t="s">
        <v>4657</v>
      </c>
      <c r="L788" s="387">
        <v>1</v>
      </c>
      <c r="M788" s="387">
        <v>0</v>
      </c>
      <c r="N788" s="387">
        <f t="shared" si="100"/>
        <v>1</v>
      </c>
      <c r="O788" s="442">
        <f t="shared" si="101"/>
        <v>0</v>
      </c>
      <c r="P788" s="387" t="s">
        <v>1358</v>
      </c>
      <c r="Q788" s="459">
        <v>0</v>
      </c>
      <c r="R788" s="459"/>
      <c r="S788" s="456">
        <v>0</v>
      </c>
      <c r="T788" s="456">
        <v>18.753</v>
      </c>
      <c r="U788" s="410"/>
      <c r="V788" s="411">
        <v>0</v>
      </c>
      <c r="W788" s="411">
        <v>0</v>
      </c>
      <c r="X788" s="411">
        <v>0</v>
      </c>
      <c r="Y788" s="411"/>
      <c r="Z788" s="411"/>
      <c r="AA788" s="412">
        <f t="shared" si="102"/>
        <v>0</v>
      </c>
      <c r="AB788" s="456">
        <f t="shared" si="103"/>
        <v>0</v>
      </c>
      <c r="AC788" s="456">
        <v>0</v>
      </c>
      <c r="AD788" s="2"/>
      <c r="AE788" s="4"/>
      <c r="AF788" s="5"/>
      <c r="AG788" s="428"/>
    </row>
    <row r="789" spans="2:33" hidden="1" x14ac:dyDescent="0.25">
      <c r="B789" s="1" t="s">
        <v>2869</v>
      </c>
      <c r="C789" s="3" t="s">
        <v>1368</v>
      </c>
      <c r="D789" s="3" t="s">
        <v>1247</v>
      </c>
      <c r="E789" s="407" t="s">
        <v>1374</v>
      </c>
      <c r="F789" s="3" t="s">
        <v>2179</v>
      </c>
      <c r="G789" s="407" t="s">
        <v>4495</v>
      </c>
      <c r="H789" s="440" t="s">
        <v>4109</v>
      </c>
      <c r="I789" s="407" t="s">
        <v>4316</v>
      </c>
      <c r="J789" s="407" t="s">
        <v>3757</v>
      </c>
      <c r="K789" s="387" t="s">
        <v>4649</v>
      </c>
      <c r="L789" s="387">
        <v>1</v>
      </c>
      <c r="M789" s="387">
        <v>0</v>
      </c>
      <c r="N789" s="387">
        <f t="shared" si="100"/>
        <v>1</v>
      </c>
      <c r="O789" s="442">
        <f t="shared" si="101"/>
        <v>0</v>
      </c>
      <c r="P789" s="387" t="s">
        <v>1358</v>
      </c>
      <c r="Q789" s="459">
        <v>0</v>
      </c>
      <c r="R789" s="459"/>
      <c r="S789" s="456">
        <v>0</v>
      </c>
      <c r="T789" s="456">
        <v>44.719000000000001</v>
      </c>
      <c r="U789" s="410"/>
      <c r="V789" s="411">
        <v>0</v>
      </c>
      <c r="W789" s="411">
        <v>0</v>
      </c>
      <c r="X789" s="411">
        <v>0</v>
      </c>
      <c r="Y789" s="411"/>
      <c r="Z789" s="411"/>
      <c r="AA789" s="412">
        <f t="shared" si="102"/>
        <v>0</v>
      </c>
      <c r="AB789" s="456">
        <f t="shared" si="103"/>
        <v>0</v>
      </c>
      <c r="AC789" s="456">
        <v>0</v>
      </c>
      <c r="AD789" s="2"/>
      <c r="AE789" s="4"/>
      <c r="AF789" s="5"/>
      <c r="AG789" s="428"/>
    </row>
    <row r="790" spans="2:33" hidden="1" x14ac:dyDescent="0.25">
      <c r="B790" s="1" t="s">
        <v>2870</v>
      </c>
      <c r="C790" s="3" t="s">
        <v>1368</v>
      </c>
      <c r="D790" s="3" t="s">
        <v>1247</v>
      </c>
      <c r="E790" s="407" t="s">
        <v>1377</v>
      </c>
      <c r="F790" s="3" t="s">
        <v>2180</v>
      </c>
      <c r="G790" s="407" t="s">
        <v>4494</v>
      </c>
      <c r="H790" s="440" t="s">
        <v>4109</v>
      </c>
      <c r="I790" s="407" t="s">
        <v>4315</v>
      </c>
      <c r="J790" s="407" t="s">
        <v>3749</v>
      </c>
      <c r="K790" s="387" t="s">
        <v>4648</v>
      </c>
      <c r="L790" s="387">
        <v>1</v>
      </c>
      <c r="M790" s="387">
        <v>0</v>
      </c>
      <c r="N790" s="387">
        <f t="shared" si="100"/>
        <v>1</v>
      </c>
      <c r="O790" s="442">
        <f t="shared" si="101"/>
        <v>1</v>
      </c>
      <c r="P790" s="387" t="s">
        <v>1358</v>
      </c>
      <c r="Q790" s="459">
        <v>0</v>
      </c>
      <c r="R790" s="459"/>
      <c r="S790" s="456">
        <v>0</v>
      </c>
      <c r="T790" s="456">
        <v>44.719000000000001</v>
      </c>
      <c r="U790" s="410"/>
      <c r="V790" s="411">
        <v>1</v>
      </c>
      <c r="W790" s="411">
        <v>1</v>
      </c>
      <c r="X790" s="411">
        <v>1</v>
      </c>
      <c r="Y790" s="411"/>
      <c r="Z790" s="411"/>
      <c r="AA790" s="412">
        <f t="shared" si="102"/>
        <v>1</v>
      </c>
      <c r="AB790" s="456">
        <f t="shared" si="103"/>
        <v>44.719000000000001</v>
      </c>
      <c r="AC790" s="456">
        <v>0</v>
      </c>
      <c r="AD790" s="2"/>
      <c r="AE790" s="4"/>
      <c r="AF790" s="5"/>
      <c r="AG790" s="428"/>
    </row>
    <row r="791" spans="2:33" hidden="1" x14ac:dyDescent="0.25">
      <c r="B791" s="1" t="s">
        <v>2871</v>
      </c>
      <c r="C791" s="3" t="s">
        <v>1368</v>
      </c>
      <c r="D791" s="3" t="s">
        <v>1247</v>
      </c>
      <c r="E791" s="407" t="s">
        <v>1379</v>
      </c>
      <c r="F791" s="3" t="s">
        <v>2181</v>
      </c>
      <c r="G791" s="407" t="s">
        <v>4502</v>
      </c>
      <c r="H791" s="440" t="s">
        <v>4109</v>
      </c>
      <c r="I791" s="407" t="s">
        <v>4323</v>
      </c>
      <c r="J791" s="407" t="s">
        <v>3750</v>
      </c>
      <c r="K791" s="387" t="s">
        <v>4632</v>
      </c>
      <c r="L791" s="387">
        <v>2</v>
      </c>
      <c r="M791" s="387">
        <v>0</v>
      </c>
      <c r="N791" s="387">
        <f t="shared" si="100"/>
        <v>2</v>
      </c>
      <c r="O791" s="442">
        <f t="shared" si="101"/>
        <v>2</v>
      </c>
      <c r="P791" s="387" t="s">
        <v>1358</v>
      </c>
      <c r="Q791" s="459">
        <v>0</v>
      </c>
      <c r="R791" s="459"/>
      <c r="S791" s="456">
        <v>0</v>
      </c>
      <c r="T791" s="456">
        <v>89.438000000000002</v>
      </c>
      <c r="U791" s="410"/>
      <c r="V791" s="411">
        <v>1</v>
      </c>
      <c r="W791" s="411">
        <v>1</v>
      </c>
      <c r="X791" s="411">
        <v>1</v>
      </c>
      <c r="Y791" s="411"/>
      <c r="Z791" s="411"/>
      <c r="AA791" s="412">
        <f t="shared" si="102"/>
        <v>1</v>
      </c>
      <c r="AB791" s="456">
        <f t="shared" si="103"/>
        <v>89.438000000000002</v>
      </c>
      <c r="AC791" s="456">
        <v>0</v>
      </c>
      <c r="AD791" s="2"/>
      <c r="AE791" s="4"/>
      <c r="AF791" s="5"/>
      <c r="AG791" s="428"/>
    </row>
    <row r="792" spans="2:33" hidden="1" x14ac:dyDescent="0.25">
      <c r="B792" s="1" t="s">
        <v>2872</v>
      </c>
      <c r="C792" s="3" t="s">
        <v>1368</v>
      </c>
      <c r="D792" s="3" t="s">
        <v>1247</v>
      </c>
      <c r="E792" s="407" t="s">
        <v>1381</v>
      </c>
      <c r="F792" s="3" t="s">
        <v>2182</v>
      </c>
      <c r="G792" s="407" t="s">
        <v>4497</v>
      </c>
      <c r="H792" s="440" t="s">
        <v>4109</v>
      </c>
      <c r="I792" s="407" t="s">
        <v>4318</v>
      </c>
      <c r="J792" s="407" t="s">
        <v>3751</v>
      </c>
      <c r="K792" s="387" t="s">
        <v>4631</v>
      </c>
      <c r="L792" s="387">
        <v>2</v>
      </c>
      <c r="M792" s="387">
        <v>0</v>
      </c>
      <c r="N792" s="387">
        <f t="shared" si="100"/>
        <v>2</v>
      </c>
      <c r="O792" s="442">
        <f t="shared" si="101"/>
        <v>2</v>
      </c>
      <c r="P792" s="387" t="s">
        <v>1358</v>
      </c>
      <c r="Q792" s="459">
        <v>0</v>
      </c>
      <c r="R792" s="459"/>
      <c r="S792" s="456">
        <v>0</v>
      </c>
      <c r="T792" s="456">
        <v>89.438000000000002</v>
      </c>
      <c r="U792" s="410"/>
      <c r="V792" s="411">
        <v>1</v>
      </c>
      <c r="W792" s="411">
        <v>1</v>
      </c>
      <c r="X792" s="411">
        <v>1</v>
      </c>
      <c r="Y792" s="411"/>
      <c r="Z792" s="411"/>
      <c r="AA792" s="412">
        <f t="shared" si="102"/>
        <v>1</v>
      </c>
      <c r="AB792" s="456">
        <f t="shared" si="103"/>
        <v>89.438000000000002</v>
      </c>
      <c r="AC792" s="456">
        <v>0</v>
      </c>
      <c r="AD792" s="2"/>
      <c r="AE792" s="4"/>
      <c r="AF792" s="5"/>
      <c r="AG792" s="428"/>
    </row>
    <row r="793" spans="2:33" hidden="1" x14ac:dyDescent="0.25">
      <c r="B793" s="1" t="s">
        <v>2873</v>
      </c>
      <c r="C793" s="3" t="s">
        <v>1368</v>
      </c>
      <c r="D793" s="3" t="s">
        <v>1247</v>
      </c>
      <c r="E793" s="407" t="s">
        <v>1396</v>
      </c>
      <c r="F793" s="3" t="s">
        <v>2183</v>
      </c>
      <c r="G793" s="407" t="s">
        <v>4498</v>
      </c>
      <c r="H793" s="440" t="s">
        <v>4109</v>
      </c>
      <c r="I793" s="407" t="s">
        <v>4319</v>
      </c>
      <c r="J793" s="407" t="s">
        <v>3752</v>
      </c>
      <c r="K793" s="387" t="s">
        <v>4652</v>
      </c>
      <c r="L793" s="387">
        <v>1</v>
      </c>
      <c r="M793" s="387">
        <v>0</v>
      </c>
      <c r="N793" s="387">
        <f t="shared" si="100"/>
        <v>1</v>
      </c>
      <c r="O793" s="442">
        <f t="shared" si="101"/>
        <v>1</v>
      </c>
      <c r="P793" s="387" t="s">
        <v>1358</v>
      </c>
      <c r="Q793" s="459">
        <v>0</v>
      </c>
      <c r="R793" s="459"/>
      <c r="S793" s="456">
        <v>0</v>
      </c>
      <c r="T793" s="456">
        <v>44.719000000000001</v>
      </c>
      <c r="U793" s="410"/>
      <c r="V793" s="411">
        <v>1</v>
      </c>
      <c r="W793" s="411">
        <v>1</v>
      </c>
      <c r="X793" s="411">
        <v>1</v>
      </c>
      <c r="Y793" s="411"/>
      <c r="Z793" s="411"/>
      <c r="AA793" s="412">
        <f t="shared" si="102"/>
        <v>1</v>
      </c>
      <c r="AB793" s="456">
        <f t="shared" si="103"/>
        <v>44.719000000000001</v>
      </c>
      <c r="AC793" s="456">
        <v>0</v>
      </c>
      <c r="AD793" s="2"/>
      <c r="AE793" s="4"/>
      <c r="AF793" s="5"/>
      <c r="AG793" s="428"/>
    </row>
    <row r="794" spans="2:33" hidden="1" x14ac:dyDescent="0.25">
      <c r="B794" s="1" t="s">
        <v>2874</v>
      </c>
      <c r="C794" s="3" t="s">
        <v>1368</v>
      </c>
      <c r="D794" s="3" t="s">
        <v>1247</v>
      </c>
      <c r="E794" s="407" t="s">
        <v>1399</v>
      </c>
      <c r="F794" s="3" t="s">
        <v>2184</v>
      </c>
      <c r="G794" s="407" t="s">
        <v>4499</v>
      </c>
      <c r="H794" s="440" t="s">
        <v>4109</v>
      </c>
      <c r="I794" s="407" t="s">
        <v>4320</v>
      </c>
      <c r="J794" s="407" t="s">
        <v>3758</v>
      </c>
      <c r="K794" s="387" t="s">
        <v>4653</v>
      </c>
      <c r="L794" s="387">
        <v>1</v>
      </c>
      <c r="M794" s="387">
        <v>0</v>
      </c>
      <c r="N794" s="387">
        <f t="shared" si="100"/>
        <v>1</v>
      </c>
      <c r="O794" s="442">
        <f t="shared" si="101"/>
        <v>1</v>
      </c>
      <c r="P794" s="387" t="s">
        <v>1358</v>
      </c>
      <c r="Q794" s="459">
        <v>0</v>
      </c>
      <c r="R794" s="459"/>
      <c r="S794" s="456">
        <v>0</v>
      </c>
      <c r="T794" s="456">
        <v>44.719000000000001</v>
      </c>
      <c r="U794" s="410"/>
      <c r="V794" s="411">
        <v>1</v>
      </c>
      <c r="W794" s="411">
        <v>1</v>
      </c>
      <c r="X794" s="411">
        <v>1</v>
      </c>
      <c r="Y794" s="411"/>
      <c r="Z794" s="411"/>
      <c r="AA794" s="412">
        <f t="shared" si="102"/>
        <v>1</v>
      </c>
      <c r="AB794" s="456">
        <f t="shared" si="103"/>
        <v>44.719000000000001</v>
      </c>
      <c r="AC794" s="456">
        <v>0</v>
      </c>
      <c r="AD794" s="2"/>
      <c r="AE794" s="4"/>
      <c r="AF794" s="5"/>
      <c r="AG794" s="428"/>
    </row>
    <row r="795" spans="2:33" hidden="1" x14ac:dyDescent="0.25">
      <c r="B795" s="1" t="s">
        <v>2875</v>
      </c>
      <c r="C795" s="3" t="s">
        <v>1368</v>
      </c>
      <c r="D795" s="3" t="s">
        <v>1247</v>
      </c>
      <c r="E795" s="407" t="s">
        <v>1400</v>
      </c>
      <c r="F795" s="3" t="s">
        <v>2185</v>
      </c>
      <c r="G795" s="407" t="s">
        <v>4477</v>
      </c>
      <c r="H795" s="440" t="s">
        <v>4109</v>
      </c>
      <c r="I795" s="407" t="s">
        <v>4298</v>
      </c>
      <c r="J795" s="407" t="s">
        <v>3779</v>
      </c>
      <c r="K795" s="387" t="s">
        <v>4656</v>
      </c>
      <c r="L795" s="387">
        <v>1</v>
      </c>
      <c r="M795" s="387">
        <v>0</v>
      </c>
      <c r="N795" s="387">
        <f t="shared" si="100"/>
        <v>1</v>
      </c>
      <c r="O795" s="442">
        <f t="shared" si="101"/>
        <v>1</v>
      </c>
      <c r="P795" s="387" t="s">
        <v>1358</v>
      </c>
      <c r="Q795" s="459">
        <v>0</v>
      </c>
      <c r="R795" s="459"/>
      <c r="S795" s="456">
        <v>0</v>
      </c>
      <c r="T795" s="456">
        <v>44.719000000000001</v>
      </c>
      <c r="U795" s="410"/>
      <c r="V795" s="411">
        <v>1</v>
      </c>
      <c r="W795" s="411">
        <v>1</v>
      </c>
      <c r="X795" s="411">
        <v>1</v>
      </c>
      <c r="Y795" s="411"/>
      <c r="Z795" s="411"/>
      <c r="AA795" s="412">
        <f t="shared" si="102"/>
        <v>1</v>
      </c>
      <c r="AB795" s="456">
        <f t="shared" si="103"/>
        <v>44.719000000000001</v>
      </c>
      <c r="AC795" s="456">
        <v>0</v>
      </c>
      <c r="AD795" s="2"/>
      <c r="AE795" s="4"/>
      <c r="AF795" s="5"/>
      <c r="AG795" s="428"/>
    </row>
    <row r="796" spans="2:33" hidden="1" x14ac:dyDescent="0.25">
      <c r="B796" s="1" t="s">
        <v>2876</v>
      </c>
      <c r="C796" s="3" t="s">
        <v>1368</v>
      </c>
      <c r="D796" s="3" t="s">
        <v>1247</v>
      </c>
      <c r="E796" s="407" t="s">
        <v>1401</v>
      </c>
      <c r="F796" s="3" t="s">
        <v>2186</v>
      </c>
      <c r="G796" s="407" t="s">
        <v>4478</v>
      </c>
      <c r="H796" s="440" t="s">
        <v>4109</v>
      </c>
      <c r="I796" s="407" t="s">
        <v>4299</v>
      </c>
      <c r="J796" s="407" t="s">
        <v>3780</v>
      </c>
      <c r="K796" s="387" t="s">
        <v>4657</v>
      </c>
      <c r="L796" s="387">
        <v>1</v>
      </c>
      <c r="M796" s="387">
        <v>0</v>
      </c>
      <c r="N796" s="387">
        <f t="shared" si="100"/>
        <v>1</v>
      </c>
      <c r="O796" s="442">
        <f t="shared" si="101"/>
        <v>0</v>
      </c>
      <c r="P796" s="387" t="s">
        <v>1358</v>
      </c>
      <c r="Q796" s="459">
        <v>0</v>
      </c>
      <c r="R796" s="459"/>
      <c r="S796" s="456">
        <v>0</v>
      </c>
      <c r="T796" s="456">
        <v>44.719000000000001</v>
      </c>
      <c r="U796" s="410"/>
      <c r="V796" s="411">
        <v>0</v>
      </c>
      <c r="W796" s="411">
        <v>0</v>
      </c>
      <c r="X796" s="411">
        <v>0</v>
      </c>
      <c r="Y796" s="411"/>
      <c r="Z796" s="411"/>
      <c r="AA796" s="412">
        <f t="shared" si="102"/>
        <v>0</v>
      </c>
      <c r="AB796" s="456">
        <f t="shared" si="103"/>
        <v>0</v>
      </c>
      <c r="AC796" s="456">
        <v>0</v>
      </c>
      <c r="AD796" s="2"/>
      <c r="AE796" s="4"/>
      <c r="AF796" s="5"/>
      <c r="AG796" s="428"/>
    </row>
    <row r="797" spans="2:33" hidden="1" x14ac:dyDescent="0.25">
      <c r="B797" s="1" t="s">
        <v>2877</v>
      </c>
      <c r="C797" s="3" t="s">
        <v>1368</v>
      </c>
      <c r="D797" s="3" t="s">
        <v>1247</v>
      </c>
      <c r="E797" s="407" t="s">
        <v>1402</v>
      </c>
      <c r="F797" s="3" t="s">
        <v>2187</v>
      </c>
      <c r="G797" s="407" t="s">
        <v>4481</v>
      </c>
      <c r="H797" s="440" t="s">
        <v>4109</v>
      </c>
      <c r="I797" s="407" t="s">
        <v>4302</v>
      </c>
      <c r="J797" s="407" t="s">
        <v>3783</v>
      </c>
      <c r="K797" s="387" t="s">
        <v>4659</v>
      </c>
      <c r="L797" s="387">
        <v>1</v>
      </c>
      <c r="M797" s="387">
        <v>0</v>
      </c>
      <c r="N797" s="387">
        <f t="shared" si="100"/>
        <v>1</v>
      </c>
      <c r="O797" s="442">
        <f t="shared" si="101"/>
        <v>0</v>
      </c>
      <c r="P797" s="387" t="s">
        <v>1358</v>
      </c>
      <c r="Q797" s="459">
        <v>0</v>
      </c>
      <c r="R797" s="459"/>
      <c r="S797" s="456">
        <v>0</v>
      </c>
      <c r="T797" s="456">
        <v>44.719000000000001</v>
      </c>
      <c r="U797" s="410"/>
      <c r="V797" s="411">
        <v>0</v>
      </c>
      <c r="W797" s="411">
        <v>0</v>
      </c>
      <c r="X797" s="411">
        <v>0</v>
      </c>
      <c r="Y797" s="411"/>
      <c r="Z797" s="411"/>
      <c r="AA797" s="412">
        <f t="shared" si="102"/>
        <v>0</v>
      </c>
      <c r="AB797" s="456">
        <f t="shared" si="103"/>
        <v>0</v>
      </c>
      <c r="AC797" s="456">
        <v>0</v>
      </c>
      <c r="AD797" s="2"/>
      <c r="AE797" s="4"/>
      <c r="AF797" s="5"/>
      <c r="AG797" s="428"/>
    </row>
    <row r="798" spans="2:33" hidden="1" x14ac:dyDescent="0.25">
      <c r="B798" s="1" t="s">
        <v>2878</v>
      </c>
      <c r="C798" s="3" t="s">
        <v>1368</v>
      </c>
      <c r="D798" s="3" t="s">
        <v>1247</v>
      </c>
      <c r="E798" s="407" t="s">
        <v>3546</v>
      </c>
      <c r="F798" s="3" t="s">
        <v>2188</v>
      </c>
      <c r="G798" s="407" t="s">
        <v>4482</v>
      </c>
      <c r="H798" s="440" t="s">
        <v>4109</v>
      </c>
      <c r="I798" s="407" t="s">
        <v>4303</v>
      </c>
      <c r="J798" s="407" t="s">
        <v>3784</v>
      </c>
      <c r="K798" s="387" t="s">
        <v>4660</v>
      </c>
      <c r="L798" s="387">
        <v>1</v>
      </c>
      <c r="M798" s="387">
        <v>0</v>
      </c>
      <c r="N798" s="387">
        <f t="shared" si="100"/>
        <v>1</v>
      </c>
      <c r="O798" s="442">
        <f t="shared" si="101"/>
        <v>0</v>
      </c>
      <c r="P798" s="387" t="s">
        <v>1358</v>
      </c>
      <c r="Q798" s="459">
        <v>0</v>
      </c>
      <c r="R798" s="459"/>
      <c r="S798" s="456">
        <v>0</v>
      </c>
      <c r="T798" s="456">
        <v>43.493000000000002</v>
      </c>
      <c r="U798" s="410"/>
      <c r="V798" s="411">
        <v>0</v>
      </c>
      <c r="W798" s="411">
        <v>0</v>
      </c>
      <c r="X798" s="411">
        <v>0</v>
      </c>
      <c r="Y798" s="411"/>
      <c r="Z798" s="411"/>
      <c r="AA798" s="412">
        <f t="shared" si="102"/>
        <v>0</v>
      </c>
      <c r="AB798" s="456">
        <f t="shared" si="103"/>
        <v>0</v>
      </c>
      <c r="AC798" s="456">
        <v>0</v>
      </c>
      <c r="AD798" s="2"/>
      <c r="AE798" s="4"/>
      <c r="AF798" s="5"/>
      <c r="AG798" s="428"/>
    </row>
    <row r="799" spans="2:33" hidden="1" x14ac:dyDescent="0.25">
      <c r="B799" s="1" t="s">
        <v>2879</v>
      </c>
      <c r="C799" s="3" t="s">
        <v>1368</v>
      </c>
      <c r="D799" s="3" t="s">
        <v>1247</v>
      </c>
      <c r="E799" s="407" t="s">
        <v>3547</v>
      </c>
      <c r="F799" s="3" t="s">
        <v>2189</v>
      </c>
      <c r="G799" s="407" t="s">
        <v>4501</v>
      </c>
      <c r="H799" s="440" t="s">
        <v>4109</v>
      </c>
      <c r="I799" s="407" t="s">
        <v>4322</v>
      </c>
      <c r="J799" s="407" t="s">
        <v>3797</v>
      </c>
      <c r="K799" s="387" t="s">
        <v>4655</v>
      </c>
      <c r="L799" s="387">
        <v>1</v>
      </c>
      <c r="M799" s="387">
        <v>0</v>
      </c>
      <c r="N799" s="387">
        <f t="shared" si="100"/>
        <v>1</v>
      </c>
      <c r="O799" s="442">
        <f t="shared" si="101"/>
        <v>0</v>
      </c>
      <c r="P799" s="387" t="s">
        <v>1358</v>
      </c>
      <c r="Q799" s="459">
        <v>0</v>
      </c>
      <c r="R799" s="459"/>
      <c r="S799" s="456">
        <v>0</v>
      </c>
      <c r="T799" s="456">
        <v>43.493000000000002</v>
      </c>
      <c r="U799" s="410"/>
      <c r="V799" s="411">
        <v>0</v>
      </c>
      <c r="W799" s="411">
        <v>0</v>
      </c>
      <c r="X799" s="411">
        <v>0</v>
      </c>
      <c r="Y799" s="411"/>
      <c r="Z799" s="411"/>
      <c r="AA799" s="412">
        <f t="shared" si="102"/>
        <v>0</v>
      </c>
      <c r="AB799" s="456">
        <f t="shared" si="103"/>
        <v>0</v>
      </c>
      <c r="AC799" s="456">
        <v>0</v>
      </c>
      <c r="AD799" s="2"/>
      <c r="AE799" s="4"/>
      <c r="AF799" s="5"/>
      <c r="AG799" s="428"/>
    </row>
    <row r="800" spans="2:33" hidden="1" x14ac:dyDescent="0.25">
      <c r="B800" s="1" t="s">
        <v>2880</v>
      </c>
      <c r="C800" s="3" t="s">
        <v>1368</v>
      </c>
      <c r="D800" s="3" t="s">
        <v>1247</v>
      </c>
      <c r="E800" s="407" t="s">
        <v>3293</v>
      </c>
      <c r="F800" s="3" t="s">
        <v>2190</v>
      </c>
      <c r="G800" s="407" t="s">
        <v>4503</v>
      </c>
      <c r="H800" s="440" t="s">
        <v>4109</v>
      </c>
      <c r="I800" s="407" t="s">
        <v>4324</v>
      </c>
      <c r="J800" s="407" t="s">
        <v>3798</v>
      </c>
      <c r="K800" s="387" t="s">
        <v>4658</v>
      </c>
      <c r="L800" s="387">
        <v>1</v>
      </c>
      <c r="M800" s="387">
        <v>0</v>
      </c>
      <c r="N800" s="387">
        <f t="shared" si="100"/>
        <v>1</v>
      </c>
      <c r="O800" s="442">
        <f t="shared" si="101"/>
        <v>1</v>
      </c>
      <c r="P800" s="387" t="s">
        <v>1358</v>
      </c>
      <c r="Q800" s="459">
        <v>0</v>
      </c>
      <c r="R800" s="459"/>
      <c r="S800" s="456">
        <v>0</v>
      </c>
      <c r="T800" s="456">
        <v>4.2050000000000001</v>
      </c>
      <c r="U800" s="410"/>
      <c r="V800" s="411">
        <v>1</v>
      </c>
      <c r="W800" s="411">
        <v>1</v>
      </c>
      <c r="X800" s="411">
        <v>1</v>
      </c>
      <c r="Y800" s="411"/>
      <c r="Z800" s="411"/>
      <c r="AA800" s="412">
        <f t="shared" si="102"/>
        <v>1</v>
      </c>
      <c r="AB800" s="456">
        <f t="shared" si="103"/>
        <v>4.2050000000000001</v>
      </c>
      <c r="AC800" s="456">
        <v>0</v>
      </c>
      <c r="AD800" s="2"/>
      <c r="AE800" s="4"/>
      <c r="AF800" s="5"/>
      <c r="AG800" s="428"/>
    </row>
    <row r="801" spans="2:33" hidden="1" x14ac:dyDescent="0.25">
      <c r="B801" s="1" t="s">
        <v>2881</v>
      </c>
      <c r="C801" s="3" t="s">
        <v>1368</v>
      </c>
      <c r="D801" s="3" t="s">
        <v>1247</v>
      </c>
      <c r="E801" s="407" t="s">
        <v>1398</v>
      </c>
      <c r="F801" s="3" t="s">
        <v>2191</v>
      </c>
      <c r="G801" s="407" t="s">
        <v>4496</v>
      </c>
      <c r="H801" s="440" t="s">
        <v>4109</v>
      </c>
      <c r="I801" s="407" t="s">
        <v>4317</v>
      </c>
      <c r="J801" s="407" t="s">
        <v>3796</v>
      </c>
      <c r="K801" s="387" t="s">
        <v>4650</v>
      </c>
      <c r="L801" s="387">
        <v>1</v>
      </c>
      <c r="M801" s="387">
        <v>0</v>
      </c>
      <c r="N801" s="387">
        <f t="shared" si="100"/>
        <v>1</v>
      </c>
      <c r="O801" s="442">
        <f t="shared" si="101"/>
        <v>1.0000000000000002</v>
      </c>
      <c r="P801" s="387" t="s">
        <v>1358</v>
      </c>
      <c r="Q801" s="459">
        <v>0</v>
      </c>
      <c r="R801" s="459"/>
      <c r="S801" s="456">
        <v>0</v>
      </c>
      <c r="T801" s="456">
        <v>31.096</v>
      </c>
      <c r="U801" s="410"/>
      <c r="V801" s="411">
        <v>1</v>
      </c>
      <c r="W801" s="411">
        <v>1</v>
      </c>
      <c r="X801" s="411">
        <v>1</v>
      </c>
      <c r="Y801" s="411"/>
      <c r="Z801" s="411"/>
      <c r="AA801" s="412">
        <f t="shared" si="102"/>
        <v>1.0000000000000002</v>
      </c>
      <c r="AB801" s="456">
        <f t="shared" si="103"/>
        <v>31.096000000000004</v>
      </c>
      <c r="AC801" s="456">
        <v>0</v>
      </c>
      <c r="AD801" s="2"/>
      <c r="AE801" s="4"/>
      <c r="AF801" s="5"/>
      <c r="AG801" s="428"/>
    </row>
    <row r="802" spans="2:33" hidden="1" x14ac:dyDescent="0.25">
      <c r="B802" s="1" t="s">
        <v>2882</v>
      </c>
      <c r="C802" s="3" t="s">
        <v>1368</v>
      </c>
      <c r="D802" s="3" t="s">
        <v>1247</v>
      </c>
      <c r="E802" s="407" t="s">
        <v>3236</v>
      </c>
      <c r="F802" s="3" t="s">
        <v>2192</v>
      </c>
      <c r="G802" s="407" t="s">
        <v>4491</v>
      </c>
      <c r="H802" s="440" t="s">
        <v>4109</v>
      </c>
      <c r="I802" s="407" t="s">
        <v>4312</v>
      </c>
      <c r="J802" s="407" t="s">
        <v>3793</v>
      </c>
      <c r="K802" s="387" t="s">
        <v>4645</v>
      </c>
      <c r="L802" s="387">
        <v>1</v>
      </c>
      <c r="M802" s="387">
        <v>0</v>
      </c>
      <c r="N802" s="387">
        <f t="shared" si="100"/>
        <v>1</v>
      </c>
      <c r="O802" s="442">
        <f t="shared" si="101"/>
        <v>0</v>
      </c>
      <c r="P802" s="387" t="s">
        <v>1358</v>
      </c>
      <c r="Q802" s="459">
        <v>0</v>
      </c>
      <c r="R802" s="459"/>
      <c r="S802" s="456">
        <v>0</v>
      </c>
      <c r="T802" s="456">
        <v>2.1819999999999999</v>
      </c>
      <c r="U802" s="410"/>
      <c r="V802" s="411">
        <v>0</v>
      </c>
      <c r="W802" s="411">
        <v>0</v>
      </c>
      <c r="X802" s="411">
        <v>0</v>
      </c>
      <c r="Y802" s="411"/>
      <c r="Z802" s="411"/>
      <c r="AA802" s="412">
        <f t="shared" si="102"/>
        <v>0</v>
      </c>
      <c r="AB802" s="456">
        <f t="shared" si="103"/>
        <v>0</v>
      </c>
      <c r="AC802" s="456">
        <v>0</v>
      </c>
      <c r="AD802" s="2"/>
      <c r="AE802" s="4"/>
      <c r="AF802" s="5"/>
      <c r="AG802" s="428"/>
    </row>
    <row r="803" spans="2:33" hidden="1" x14ac:dyDescent="0.25">
      <c r="B803" s="1" t="s">
        <v>2883</v>
      </c>
      <c r="C803" s="3" t="s">
        <v>1368</v>
      </c>
      <c r="D803" s="3" t="s">
        <v>1247</v>
      </c>
      <c r="E803" s="407" t="s">
        <v>3234</v>
      </c>
      <c r="F803" s="3" t="s">
        <v>2193</v>
      </c>
      <c r="G803" s="407" t="s">
        <v>4492</v>
      </c>
      <c r="H803" s="440" t="s">
        <v>4109</v>
      </c>
      <c r="I803" s="407" t="s">
        <v>4313</v>
      </c>
      <c r="J803" s="407" t="s">
        <v>3794</v>
      </c>
      <c r="K803" s="387" t="s">
        <v>4646</v>
      </c>
      <c r="L803" s="387">
        <v>1</v>
      </c>
      <c r="M803" s="387">
        <v>0</v>
      </c>
      <c r="N803" s="387">
        <f t="shared" si="100"/>
        <v>1</v>
      </c>
      <c r="O803" s="442">
        <f t="shared" si="101"/>
        <v>0</v>
      </c>
      <c r="P803" s="387" t="s">
        <v>1358</v>
      </c>
      <c r="Q803" s="459">
        <v>0</v>
      </c>
      <c r="R803" s="459"/>
      <c r="S803" s="456">
        <v>0</v>
      </c>
      <c r="T803" s="456">
        <v>18.812999999999999</v>
      </c>
      <c r="U803" s="410"/>
      <c r="V803" s="411">
        <v>0</v>
      </c>
      <c r="W803" s="411">
        <v>0</v>
      </c>
      <c r="X803" s="411">
        <v>0</v>
      </c>
      <c r="Y803" s="411"/>
      <c r="Z803" s="411"/>
      <c r="AA803" s="412">
        <f t="shared" si="102"/>
        <v>0</v>
      </c>
      <c r="AB803" s="456">
        <f t="shared" si="103"/>
        <v>0</v>
      </c>
      <c r="AC803" s="456">
        <v>0</v>
      </c>
      <c r="AD803" s="2"/>
      <c r="AE803" s="4"/>
      <c r="AF803" s="5"/>
      <c r="AG803" s="428"/>
    </row>
    <row r="804" spans="2:33" hidden="1" x14ac:dyDescent="0.25">
      <c r="B804" s="1" t="s">
        <v>2884</v>
      </c>
      <c r="C804" s="3" t="s">
        <v>1368</v>
      </c>
      <c r="D804" s="3" t="s">
        <v>1247</v>
      </c>
      <c r="E804" s="407" t="s">
        <v>1427</v>
      </c>
      <c r="F804" s="3" t="s">
        <v>2194</v>
      </c>
      <c r="G804" s="407" t="s">
        <v>4485</v>
      </c>
      <c r="H804" s="440" t="s">
        <v>4109</v>
      </c>
      <c r="I804" s="407" t="s">
        <v>4306</v>
      </c>
      <c r="J804" s="407" t="s">
        <v>3787</v>
      </c>
      <c r="K804" s="387" t="s">
        <v>4638</v>
      </c>
      <c r="L804" s="387">
        <v>1</v>
      </c>
      <c r="M804" s="387">
        <v>0</v>
      </c>
      <c r="N804" s="387">
        <f t="shared" si="100"/>
        <v>1</v>
      </c>
      <c r="O804" s="442">
        <f t="shared" si="101"/>
        <v>0</v>
      </c>
      <c r="P804" s="387" t="s">
        <v>1358</v>
      </c>
      <c r="Q804" s="459">
        <v>0</v>
      </c>
      <c r="R804" s="459"/>
      <c r="S804" s="456">
        <v>0</v>
      </c>
      <c r="T804" s="456">
        <v>19.939</v>
      </c>
      <c r="U804" s="410"/>
      <c r="V804" s="411">
        <v>0</v>
      </c>
      <c r="W804" s="411">
        <v>0</v>
      </c>
      <c r="X804" s="411">
        <v>0</v>
      </c>
      <c r="Y804" s="411"/>
      <c r="Z804" s="411"/>
      <c r="AA804" s="412">
        <f t="shared" si="102"/>
        <v>0</v>
      </c>
      <c r="AB804" s="456">
        <f t="shared" si="103"/>
        <v>0</v>
      </c>
      <c r="AC804" s="456">
        <v>0</v>
      </c>
      <c r="AD804" s="2"/>
      <c r="AE804" s="4"/>
      <c r="AF804" s="5"/>
      <c r="AG804" s="428"/>
    </row>
    <row r="805" spans="2:33" hidden="1" x14ac:dyDescent="0.25">
      <c r="B805" s="1" t="s">
        <v>2885</v>
      </c>
      <c r="C805" s="3" t="s">
        <v>1368</v>
      </c>
      <c r="D805" s="3" t="s">
        <v>1247</v>
      </c>
      <c r="E805" s="407" t="s">
        <v>1432</v>
      </c>
      <c r="F805" s="3" t="s">
        <v>2195</v>
      </c>
      <c r="G805" s="407" t="s">
        <v>4483</v>
      </c>
      <c r="H805" s="440" t="s">
        <v>4109</v>
      </c>
      <c r="I805" s="407" t="s">
        <v>4304</v>
      </c>
      <c r="J805" s="407" t="s">
        <v>3785</v>
      </c>
      <c r="K805" s="387" t="s">
        <v>4635</v>
      </c>
      <c r="L805" s="387">
        <v>1</v>
      </c>
      <c r="M805" s="387">
        <v>0</v>
      </c>
      <c r="N805" s="387">
        <f t="shared" si="100"/>
        <v>1</v>
      </c>
      <c r="O805" s="442">
        <f t="shared" si="101"/>
        <v>0</v>
      </c>
      <c r="P805" s="387" t="s">
        <v>1358</v>
      </c>
      <c r="Q805" s="459">
        <v>0</v>
      </c>
      <c r="R805" s="459"/>
      <c r="S805" s="456">
        <v>0</v>
      </c>
      <c r="T805" s="456">
        <v>19.939</v>
      </c>
      <c r="U805" s="410"/>
      <c r="V805" s="411">
        <v>0</v>
      </c>
      <c r="W805" s="411">
        <v>0</v>
      </c>
      <c r="X805" s="411">
        <v>0</v>
      </c>
      <c r="Y805" s="411"/>
      <c r="Z805" s="411"/>
      <c r="AA805" s="412">
        <f t="shared" si="102"/>
        <v>0</v>
      </c>
      <c r="AB805" s="456">
        <f t="shared" si="103"/>
        <v>0</v>
      </c>
      <c r="AC805" s="456">
        <v>0</v>
      </c>
      <c r="AD805" s="2"/>
      <c r="AE805" s="4"/>
      <c r="AF805" s="5"/>
      <c r="AG805" s="428"/>
    </row>
    <row r="806" spans="2:33" hidden="1" x14ac:dyDescent="0.25">
      <c r="B806" s="1" t="s">
        <v>2886</v>
      </c>
      <c r="C806" s="3" t="s">
        <v>1368</v>
      </c>
      <c r="D806" s="3" t="s">
        <v>1247</v>
      </c>
      <c r="E806" s="407" t="s">
        <v>1397</v>
      </c>
      <c r="F806" s="3" t="s">
        <v>2196</v>
      </c>
      <c r="G806" s="407" t="s">
        <v>4493</v>
      </c>
      <c r="H806" s="440" t="s">
        <v>4109</v>
      </c>
      <c r="I806" s="407" t="s">
        <v>4314</v>
      </c>
      <c r="J806" s="407" t="s">
        <v>3795</v>
      </c>
      <c r="K806" s="387" t="s">
        <v>4647</v>
      </c>
      <c r="L806" s="387">
        <v>1</v>
      </c>
      <c r="M806" s="387">
        <v>0</v>
      </c>
      <c r="N806" s="387">
        <f t="shared" si="100"/>
        <v>1</v>
      </c>
      <c r="O806" s="442">
        <f t="shared" si="101"/>
        <v>1</v>
      </c>
      <c r="P806" s="387" t="s">
        <v>1358</v>
      </c>
      <c r="Q806" s="459">
        <v>0</v>
      </c>
      <c r="R806" s="459"/>
      <c r="S806" s="456">
        <v>0</v>
      </c>
      <c r="T806" s="456">
        <v>19.376000000000001</v>
      </c>
      <c r="U806" s="410"/>
      <c r="V806" s="411">
        <v>1</v>
      </c>
      <c r="W806" s="411">
        <v>1</v>
      </c>
      <c r="X806" s="411">
        <v>1</v>
      </c>
      <c r="Y806" s="411"/>
      <c r="Z806" s="411"/>
      <c r="AA806" s="412">
        <f t="shared" si="102"/>
        <v>1</v>
      </c>
      <c r="AB806" s="456">
        <f t="shared" si="103"/>
        <v>19.376000000000001</v>
      </c>
      <c r="AC806" s="456">
        <v>0</v>
      </c>
      <c r="AD806" s="2"/>
      <c r="AE806" s="4"/>
      <c r="AF806" s="5"/>
      <c r="AG806" s="428"/>
    </row>
    <row r="807" spans="2:33" hidden="1" x14ac:dyDescent="0.25">
      <c r="B807" s="1" t="s">
        <v>2887</v>
      </c>
      <c r="C807" s="3" t="s">
        <v>1368</v>
      </c>
      <c r="D807" s="3" t="s">
        <v>1247</v>
      </c>
      <c r="E807" s="407" t="s">
        <v>1398</v>
      </c>
      <c r="F807" s="3" t="s">
        <v>2197</v>
      </c>
      <c r="G807" s="407" t="s">
        <v>4496</v>
      </c>
      <c r="H807" s="440" t="s">
        <v>4109</v>
      </c>
      <c r="I807" s="407" t="s">
        <v>4317</v>
      </c>
      <c r="J807" s="407" t="s">
        <v>3796</v>
      </c>
      <c r="K807" s="387" t="s">
        <v>4650</v>
      </c>
      <c r="L807" s="387">
        <v>1</v>
      </c>
      <c r="M807" s="387">
        <v>0</v>
      </c>
      <c r="N807" s="387">
        <f t="shared" si="100"/>
        <v>1</v>
      </c>
      <c r="O807" s="442">
        <f t="shared" si="101"/>
        <v>1</v>
      </c>
      <c r="P807" s="387" t="s">
        <v>1358</v>
      </c>
      <c r="Q807" s="459">
        <v>0</v>
      </c>
      <c r="R807" s="459"/>
      <c r="S807" s="456">
        <v>0</v>
      </c>
      <c r="T807" s="456">
        <v>19.376000000000001</v>
      </c>
      <c r="U807" s="410"/>
      <c r="V807" s="411">
        <v>1</v>
      </c>
      <c r="W807" s="411">
        <v>1</v>
      </c>
      <c r="X807" s="411">
        <v>1</v>
      </c>
      <c r="Y807" s="411"/>
      <c r="Z807" s="411"/>
      <c r="AA807" s="412">
        <f t="shared" si="102"/>
        <v>1</v>
      </c>
      <c r="AB807" s="456">
        <f t="shared" si="103"/>
        <v>19.376000000000001</v>
      </c>
      <c r="AC807" s="456">
        <v>0</v>
      </c>
      <c r="AD807" s="2"/>
      <c r="AE807" s="4"/>
      <c r="AF807" s="5"/>
      <c r="AG807" s="428"/>
    </row>
    <row r="808" spans="2:33" hidden="1" x14ac:dyDescent="0.25">
      <c r="B808" s="1" t="s">
        <v>2888</v>
      </c>
      <c r="C808" s="3" t="s">
        <v>1368</v>
      </c>
      <c r="D808" s="3" t="s">
        <v>1247</v>
      </c>
      <c r="E808" s="407" t="s">
        <v>1425</v>
      </c>
      <c r="F808" s="3" t="s">
        <v>2198</v>
      </c>
      <c r="G808" s="407" t="s">
        <v>4479</v>
      </c>
      <c r="H808" s="440" t="s">
        <v>4109</v>
      </c>
      <c r="I808" s="407" t="s">
        <v>4300</v>
      </c>
      <c r="J808" s="407" t="s">
        <v>3781</v>
      </c>
      <c r="K808" s="387" t="s">
        <v>4643</v>
      </c>
      <c r="L808" s="387">
        <v>1</v>
      </c>
      <c r="M808" s="387">
        <v>0</v>
      </c>
      <c r="N808" s="387">
        <f t="shared" si="100"/>
        <v>1</v>
      </c>
      <c r="O808" s="442">
        <f t="shared" si="101"/>
        <v>1</v>
      </c>
      <c r="P808" s="387" t="s">
        <v>1358</v>
      </c>
      <c r="Q808" s="459">
        <v>0</v>
      </c>
      <c r="R808" s="459"/>
      <c r="S808" s="456">
        <v>0</v>
      </c>
      <c r="T808" s="456">
        <v>19.939</v>
      </c>
      <c r="U808" s="410"/>
      <c r="V808" s="411">
        <v>1</v>
      </c>
      <c r="W808" s="411">
        <v>1</v>
      </c>
      <c r="X808" s="411">
        <v>1</v>
      </c>
      <c r="Y808" s="411"/>
      <c r="Z808" s="411"/>
      <c r="AA808" s="412">
        <f t="shared" si="102"/>
        <v>1</v>
      </c>
      <c r="AB808" s="456">
        <f t="shared" si="103"/>
        <v>19.939</v>
      </c>
      <c r="AC808" s="456">
        <v>0</v>
      </c>
      <c r="AD808" s="2"/>
      <c r="AE808" s="4"/>
      <c r="AF808" s="5"/>
      <c r="AG808" s="428"/>
    </row>
    <row r="809" spans="2:33" hidden="1" x14ac:dyDescent="0.25">
      <c r="B809" s="1" t="s">
        <v>2889</v>
      </c>
      <c r="C809" s="3" t="s">
        <v>1368</v>
      </c>
      <c r="D809" s="3" t="s">
        <v>1247</v>
      </c>
      <c r="E809" s="407" t="s">
        <v>1426</v>
      </c>
      <c r="F809" s="3" t="s">
        <v>2199</v>
      </c>
      <c r="G809" s="407" t="s">
        <v>4480</v>
      </c>
      <c r="H809" s="440" t="s">
        <v>4109</v>
      </c>
      <c r="I809" s="407" t="s">
        <v>4301</v>
      </c>
      <c r="J809" s="407" t="s">
        <v>3782</v>
      </c>
      <c r="K809" s="387" t="s">
        <v>4637</v>
      </c>
      <c r="L809" s="387">
        <v>1</v>
      </c>
      <c r="M809" s="387">
        <v>0</v>
      </c>
      <c r="N809" s="387">
        <f t="shared" si="100"/>
        <v>1</v>
      </c>
      <c r="O809" s="442">
        <f t="shared" si="101"/>
        <v>0</v>
      </c>
      <c r="P809" s="387" t="s">
        <v>1358</v>
      </c>
      <c r="Q809" s="459">
        <v>0</v>
      </c>
      <c r="R809" s="459"/>
      <c r="S809" s="456">
        <v>0</v>
      </c>
      <c r="T809" s="456">
        <v>19.939</v>
      </c>
      <c r="U809" s="410"/>
      <c r="V809" s="411">
        <v>0</v>
      </c>
      <c r="W809" s="411">
        <v>0</v>
      </c>
      <c r="X809" s="411">
        <v>0</v>
      </c>
      <c r="Y809" s="411"/>
      <c r="Z809" s="411"/>
      <c r="AA809" s="412">
        <f t="shared" si="102"/>
        <v>0</v>
      </c>
      <c r="AB809" s="456">
        <f t="shared" si="103"/>
        <v>0</v>
      </c>
      <c r="AC809" s="456">
        <v>0</v>
      </c>
      <c r="AD809" s="2"/>
      <c r="AE809" s="4"/>
      <c r="AF809" s="5"/>
      <c r="AG809" s="428"/>
    </row>
    <row r="810" spans="2:33" hidden="1" x14ac:dyDescent="0.25">
      <c r="B810" s="1" t="s">
        <v>2890</v>
      </c>
      <c r="C810" s="3" t="s">
        <v>1368</v>
      </c>
      <c r="D810" s="3" t="s">
        <v>1247</v>
      </c>
      <c r="E810" s="407" t="s">
        <v>1428</v>
      </c>
      <c r="F810" s="3" t="s">
        <v>2200</v>
      </c>
      <c r="G810" s="407" t="s">
        <v>4486</v>
      </c>
      <c r="H810" s="440" t="s">
        <v>4109</v>
      </c>
      <c r="I810" s="407" t="s">
        <v>4307</v>
      </c>
      <c r="J810" s="407" t="s">
        <v>3788</v>
      </c>
      <c r="K810" s="387" t="s">
        <v>4639</v>
      </c>
      <c r="L810" s="387">
        <v>1</v>
      </c>
      <c r="M810" s="387">
        <v>0</v>
      </c>
      <c r="N810" s="387">
        <f t="shared" si="100"/>
        <v>1</v>
      </c>
      <c r="O810" s="442">
        <f t="shared" si="101"/>
        <v>0</v>
      </c>
      <c r="P810" s="387" t="s">
        <v>1358</v>
      </c>
      <c r="Q810" s="459">
        <v>0</v>
      </c>
      <c r="R810" s="459"/>
      <c r="S810" s="456">
        <v>0</v>
      </c>
      <c r="T810" s="456">
        <v>19.939</v>
      </c>
      <c r="U810" s="410"/>
      <c r="V810" s="411">
        <v>0</v>
      </c>
      <c r="W810" s="411">
        <v>0</v>
      </c>
      <c r="X810" s="411">
        <v>0</v>
      </c>
      <c r="Y810" s="411"/>
      <c r="Z810" s="411"/>
      <c r="AA810" s="412">
        <f t="shared" si="102"/>
        <v>0</v>
      </c>
      <c r="AB810" s="456">
        <f t="shared" si="103"/>
        <v>0</v>
      </c>
      <c r="AC810" s="456">
        <v>0</v>
      </c>
      <c r="AD810" s="2"/>
      <c r="AE810" s="4"/>
      <c r="AF810" s="5"/>
      <c r="AG810" s="428"/>
    </row>
    <row r="811" spans="2:33" hidden="1" x14ac:dyDescent="0.25">
      <c r="B811" s="1" t="s">
        <v>2891</v>
      </c>
      <c r="C811" s="3" t="s">
        <v>1368</v>
      </c>
      <c r="D811" s="3" t="s">
        <v>1247</v>
      </c>
      <c r="E811" s="407" t="s">
        <v>1429</v>
      </c>
      <c r="F811" s="3" t="s">
        <v>2201</v>
      </c>
      <c r="G811" s="407" t="s">
        <v>4487</v>
      </c>
      <c r="H811" s="440" t="s">
        <v>4109</v>
      </c>
      <c r="I811" s="407" t="s">
        <v>4308</v>
      </c>
      <c r="J811" s="407" t="s">
        <v>3789</v>
      </c>
      <c r="K811" s="387" t="s">
        <v>4640</v>
      </c>
      <c r="L811" s="387">
        <v>1</v>
      </c>
      <c r="M811" s="387">
        <v>0</v>
      </c>
      <c r="N811" s="387">
        <f t="shared" si="100"/>
        <v>1</v>
      </c>
      <c r="O811" s="442">
        <f t="shared" si="101"/>
        <v>0</v>
      </c>
      <c r="P811" s="387" t="s">
        <v>1358</v>
      </c>
      <c r="Q811" s="459">
        <v>0</v>
      </c>
      <c r="R811" s="459"/>
      <c r="S811" s="456">
        <v>0</v>
      </c>
      <c r="T811" s="456">
        <v>19.939</v>
      </c>
      <c r="U811" s="410"/>
      <c r="V811" s="411">
        <v>0</v>
      </c>
      <c r="W811" s="411">
        <v>0</v>
      </c>
      <c r="X811" s="411">
        <v>0</v>
      </c>
      <c r="Y811" s="411"/>
      <c r="Z811" s="411"/>
      <c r="AA811" s="412">
        <f t="shared" si="102"/>
        <v>0</v>
      </c>
      <c r="AB811" s="456">
        <f t="shared" si="103"/>
        <v>0</v>
      </c>
      <c r="AC811" s="456">
        <v>0</v>
      </c>
      <c r="AD811" s="2"/>
      <c r="AE811" s="4"/>
      <c r="AF811" s="5"/>
      <c r="AG811" s="428"/>
    </row>
    <row r="812" spans="2:33" hidden="1" x14ac:dyDescent="0.25">
      <c r="B812" s="1" t="s">
        <v>2892</v>
      </c>
      <c r="C812" s="3" t="s">
        <v>1368</v>
      </c>
      <c r="D812" s="3" t="s">
        <v>1247</v>
      </c>
      <c r="E812" s="407" t="s">
        <v>1430</v>
      </c>
      <c r="F812" s="3" t="s">
        <v>2202</v>
      </c>
      <c r="G812" s="407" t="s">
        <v>4488</v>
      </c>
      <c r="H812" s="440" t="s">
        <v>4109</v>
      </c>
      <c r="I812" s="407" t="s">
        <v>4309</v>
      </c>
      <c r="J812" s="407" t="s">
        <v>3790</v>
      </c>
      <c r="K812" s="387" t="s">
        <v>4641</v>
      </c>
      <c r="L812" s="387">
        <v>1</v>
      </c>
      <c r="M812" s="387">
        <v>0</v>
      </c>
      <c r="N812" s="387">
        <f t="shared" si="100"/>
        <v>1</v>
      </c>
      <c r="O812" s="442">
        <f t="shared" si="101"/>
        <v>0</v>
      </c>
      <c r="P812" s="387" t="s">
        <v>1358</v>
      </c>
      <c r="Q812" s="459">
        <v>0</v>
      </c>
      <c r="R812" s="459"/>
      <c r="S812" s="456">
        <v>0</v>
      </c>
      <c r="T812" s="456">
        <v>19.939</v>
      </c>
      <c r="U812" s="410"/>
      <c r="V812" s="411">
        <v>0</v>
      </c>
      <c r="W812" s="411">
        <v>0</v>
      </c>
      <c r="X812" s="411">
        <v>0</v>
      </c>
      <c r="Y812" s="411"/>
      <c r="Z812" s="411"/>
      <c r="AA812" s="412">
        <f t="shared" si="102"/>
        <v>0</v>
      </c>
      <c r="AB812" s="456">
        <f t="shared" si="103"/>
        <v>0</v>
      </c>
      <c r="AC812" s="456">
        <v>0</v>
      </c>
      <c r="AD812" s="2"/>
      <c r="AE812" s="4"/>
      <c r="AF812" s="5"/>
      <c r="AG812" s="428"/>
    </row>
    <row r="813" spans="2:33" hidden="1" x14ac:dyDescent="0.25">
      <c r="B813" s="1" t="s">
        <v>2893</v>
      </c>
      <c r="C813" s="3" t="s">
        <v>1368</v>
      </c>
      <c r="D813" s="3" t="s">
        <v>1247</v>
      </c>
      <c r="E813" s="407" t="s">
        <v>1431</v>
      </c>
      <c r="F813" s="3" t="s">
        <v>2203</v>
      </c>
      <c r="G813" s="407" t="s">
        <v>4489</v>
      </c>
      <c r="H813" s="440" t="s">
        <v>4109</v>
      </c>
      <c r="I813" s="407" t="s">
        <v>4310</v>
      </c>
      <c r="J813" s="407" t="s">
        <v>3791</v>
      </c>
      <c r="K813" s="387" t="s">
        <v>4642</v>
      </c>
      <c r="L813" s="387">
        <v>1</v>
      </c>
      <c r="M813" s="387">
        <v>0</v>
      </c>
      <c r="N813" s="387">
        <f t="shared" si="100"/>
        <v>1</v>
      </c>
      <c r="O813" s="442">
        <f t="shared" si="101"/>
        <v>0</v>
      </c>
      <c r="P813" s="387" t="s">
        <v>1358</v>
      </c>
      <c r="Q813" s="459">
        <v>0</v>
      </c>
      <c r="R813" s="459"/>
      <c r="S813" s="456">
        <v>0</v>
      </c>
      <c r="T813" s="456">
        <v>19.939</v>
      </c>
      <c r="U813" s="410"/>
      <c r="V813" s="411">
        <v>0</v>
      </c>
      <c r="W813" s="411">
        <v>0</v>
      </c>
      <c r="X813" s="411">
        <v>0</v>
      </c>
      <c r="Y813" s="411"/>
      <c r="Z813" s="411"/>
      <c r="AA813" s="412">
        <f t="shared" si="102"/>
        <v>0</v>
      </c>
      <c r="AB813" s="456">
        <f t="shared" si="103"/>
        <v>0</v>
      </c>
      <c r="AC813" s="456">
        <v>0</v>
      </c>
      <c r="AD813" s="2"/>
      <c r="AE813" s="4"/>
      <c r="AF813" s="5"/>
      <c r="AG813" s="428"/>
    </row>
    <row r="814" spans="2:33" hidden="1" x14ac:dyDescent="0.25">
      <c r="B814" s="1" t="s">
        <v>2894</v>
      </c>
      <c r="C814" s="3" t="s">
        <v>1368</v>
      </c>
      <c r="D814" s="3" t="s">
        <v>1247</v>
      </c>
      <c r="E814" s="407" t="s">
        <v>1432</v>
      </c>
      <c r="F814" s="3" t="s">
        <v>2204</v>
      </c>
      <c r="G814" s="407" t="s">
        <v>4483</v>
      </c>
      <c r="H814" s="440" t="s">
        <v>4109</v>
      </c>
      <c r="I814" s="407" t="s">
        <v>4304</v>
      </c>
      <c r="J814" s="407" t="s">
        <v>3785</v>
      </c>
      <c r="K814" s="387" t="s">
        <v>4635</v>
      </c>
      <c r="L814" s="387">
        <v>1</v>
      </c>
      <c r="M814" s="387">
        <v>0</v>
      </c>
      <c r="N814" s="387">
        <f t="shared" si="100"/>
        <v>1</v>
      </c>
      <c r="O814" s="442">
        <f t="shared" si="101"/>
        <v>0</v>
      </c>
      <c r="P814" s="387" t="s">
        <v>1358</v>
      </c>
      <c r="Q814" s="459">
        <v>0</v>
      </c>
      <c r="R814" s="459"/>
      <c r="S814" s="456">
        <v>0</v>
      </c>
      <c r="T814" s="456">
        <v>26.664000000000001</v>
      </c>
      <c r="U814" s="410"/>
      <c r="V814" s="411">
        <v>0</v>
      </c>
      <c r="W814" s="411">
        <v>0</v>
      </c>
      <c r="X814" s="411">
        <v>0</v>
      </c>
      <c r="Y814" s="411"/>
      <c r="Z814" s="411"/>
      <c r="AA814" s="412">
        <f t="shared" si="102"/>
        <v>0</v>
      </c>
      <c r="AB814" s="456">
        <f t="shared" si="103"/>
        <v>0</v>
      </c>
      <c r="AC814" s="456">
        <v>0</v>
      </c>
      <c r="AD814" s="2"/>
      <c r="AE814" s="4"/>
      <c r="AF814" s="5"/>
      <c r="AG814" s="428"/>
    </row>
    <row r="815" spans="2:33" hidden="1" x14ac:dyDescent="0.25">
      <c r="B815" s="1" t="s">
        <v>2895</v>
      </c>
      <c r="C815" s="3" t="s">
        <v>1368</v>
      </c>
      <c r="D815" s="3" t="s">
        <v>1247</v>
      </c>
      <c r="E815" s="407" t="s">
        <v>1397</v>
      </c>
      <c r="F815" s="3" t="s">
        <v>2205</v>
      </c>
      <c r="G815" s="407" t="s">
        <v>4493</v>
      </c>
      <c r="H815" s="440" t="s">
        <v>4109</v>
      </c>
      <c r="I815" s="407" t="s">
        <v>4314</v>
      </c>
      <c r="J815" s="407" t="s">
        <v>3795</v>
      </c>
      <c r="K815" s="387" t="s">
        <v>4647</v>
      </c>
      <c r="L815" s="387">
        <v>1</v>
      </c>
      <c r="M815" s="387">
        <v>0</v>
      </c>
      <c r="N815" s="387">
        <f t="shared" si="100"/>
        <v>1</v>
      </c>
      <c r="O815" s="442">
        <f t="shared" si="101"/>
        <v>1</v>
      </c>
      <c r="P815" s="387" t="s">
        <v>1358</v>
      </c>
      <c r="Q815" s="459">
        <v>0</v>
      </c>
      <c r="R815" s="459"/>
      <c r="S815" s="456">
        <v>0</v>
      </c>
      <c r="T815" s="456">
        <v>32.151000000000003</v>
      </c>
      <c r="U815" s="410"/>
      <c r="V815" s="411">
        <v>1</v>
      </c>
      <c r="W815" s="411">
        <v>1</v>
      </c>
      <c r="X815" s="411">
        <v>1</v>
      </c>
      <c r="Y815" s="411"/>
      <c r="Z815" s="411"/>
      <c r="AA815" s="412">
        <f t="shared" si="102"/>
        <v>1</v>
      </c>
      <c r="AB815" s="456">
        <f t="shared" si="103"/>
        <v>32.151000000000003</v>
      </c>
      <c r="AC815" s="456">
        <v>0</v>
      </c>
      <c r="AD815" s="2"/>
      <c r="AE815" s="4"/>
      <c r="AF815" s="5"/>
      <c r="AG815" s="428"/>
    </row>
    <row r="816" spans="2:33" hidden="1" x14ac:dyDescent="0.25">
      <c r="B816" s="1" t="s">
        <v>2896</v>
      </c>
      <c r="C816" s="3" t="s">
        <v>1368</v>
      </c>
      <c r="D816" s="3" t="s">
        <v>1247</v>
      </c>
      <c r="E816" s="407" t="s">
        <v>3306</v>
      </c>
      <c r="F816" s="3" t="s">
        <v>2206</v>
      </c>
      <c r="G816" s="407" t="s">
        <v>4484</v>
      </c>
      <c r="H816" s="440" t="s">
        <v>4109</v>
      </c>
      <c r="I816" s="407" t="s">
        <v>4305</v>
      </c>
      <c r="J816" s="407" t="s">
        <v>3786</v>
      </c>
      <c r="K816" s="387" t="s">
        <v>4636</v>
      </c>
      <c r="L816" s="387">
        <v>1</v>
      </c>
      <c r="M816" s="387">
        <v>0</v>
      </c>
      <c r="N816" s="387">
        <f t="shared" si="100"/>
        <v>1</v>
      </c>
      <c r="O816" s="442">
        <f t="shared" si="101"/>
        <v>0</v>
      </c>
      <c r="P816" s="387" t="s">
        <v>1358</v>
      </c>
      <c r="Q816" s="459">
        <v>0</v>
      </c>
      <c r="R816" s="459"/>
      <c r="S816" s="456">
        <v>0</v>
      </c>
      <c r="T816" s="456">
        <v>20.501000000000001</v>
      </c>
      <c r="U816" s="410"/>
      <c r="V816" s="411">
        <v>0</v>
      </c>
      <c r="W816" s="411">
        <v>0</v>
      </c>
      <c r="X816" s="411">
        <v>0</v>
      </c>
      <c r="Y816" s="411"/>
      <c r="Z816" s="411"/>
      <c r="AA816" s="412">
        <f t="shared" si="102"/>
        <v>0</v>
      </c>
      <c r="AB816" s="456">
        <f t="shared" si="103"/>
        <v>0</v>
      </c>
      <c r="AC816" s="456">
        <v>0</v>
      </c>
      <c r="AD816" s="2"/>
      <c r="AE816" s="4"/>
      <c r="AF816" s="5"/>
      <c r="AG816" s="428"/>
    </row>
    <row r="817" spans="2:33" hidden="1" x14ac:dyDescent="0.25">
      <c r="B817" s="1" t="s">
        <v>2897</v>
      </c>
      <c r="C817" s="3" t="s">
        <v>1368</v>
      </c>
      <c r="D817" s="3" t="s">
        <v>1247</v>
      </c>
      <c r="E817" s="407" t="s">
        <v>1425</v>
      </c>
      <c r="F817" s="3" t="s">
        <v>2207</v>
      </c>
      <c r="G817" s="407" t="s">
        <v>4479</v>
      </c>
      <c r="H817" s="440" t="s">
        <v>4109</v>
      </c>
      <c r="I817" s="407" t="s">
        <v>4300</v>
      </c>
      <c r="J817" s="407" t="s">
        <v>3781</v>
      </c>
      <c r="K817" s="387" t="s">
        <v>4643</v>
      </c>
      <c r="L817" s="387">
        <v>1</v>
      </c>
      <c r="M817" s="387">
        <v>0</v>
      </c>
      <c r="N817" s="387">
        <f t="shared" si="100"/>
        <v>1</v>
      </c>
      <c r="O817" s="442">
        <f t="shared" si="101"/>
        <v>1</v>
      </c>
      <c r="P817" s="387" t="s">
        <v>1358</v>
      </c>
      <c r="Q817" s="459">
        <v>0</v>
      </c>
      <c r="R817" s="459"/>
      <c r="S817" s="456">
        <v>0</v>
      </c>
      <c r="T817" s="456">
        <v>33.084000000000003</v>
      </c>
      <c r="U817" s="410"/>
      <c r="V817" s="411">
        <v>1</v>
      </c>
      <c r="W817" s="411">
        <v>1</v>
      </c>
      <c r="X817" s="411">
        <v>1</v>
      </c>
      <c r="Y817" s="411"/>
      <c r="Z817" s="411"/>
      <c r="AA817" s="412">
        <f t="shared" si="102"/>
        <v>1</v>
      </c>
      <c r="AB817" s="456">
        <f t="shared" si="103"/>
        <v>33.084000000000003</v>
      </c>
      <c r="AC817" s="456">
        <v>0</v>
      </c>
      <c r="AD817" s="2"/>
      <c r="AE817" s="4"/>
      <c r="AF817" s="5"/>
      <c r="AG817" s="428"/>
    </row>
    <row r="818" spans="2:33" hidden="1" x14ac:dyDescent="0.25">
      <c r="B818" s="1" t="s">
        <v>2898</v>
      </c>
      <c r="C818" s="3" t="s">
        <v>1368</v>
      </c>
      <c r="D818" s="3" t="s">
        <v>1247</v>
      </c>
      <c r="E818" s="407" t="s">
        <v>1426</v>
      </c>
      <c r="F818" s="3" t="s">
        <v>2208</v>
      </c>
      <c r="G818" s="407" t="s">
        <v>4480</v>
      </c>
      <c r="H818" s="440" t="s">
        <v>4109</v>
      </c>
      <c r="I818" s="407" t="s">
        <v>4301</v>
      </c>
      <c r="J818" s="407" t="s">
        <v>3782</v>
      </c>
      <c r="K818" s="387" t="s">
        <v>4637</v>
      </c>
      <c r="L818" s="387">
        <v>1</v>
      </c>
      <c r="M818" s="387">
        <v>0</v>
      </c>
      <c r="N818" s="387">
        <f t="shared" si="100"/>
        <v>1</v>
      </c>
      <c r="O818" s="442">
        <f t="shared" si="101"/>
        <v>1</v>
      </c>
      <c r="P818" s="387" t="s">
        <v>1358</v>
      </c>
      <c r="Q818" s="459">
        <v>0</v>
      </c>
      <c r="R818" s="459"/>
      <c r="S818" s="456">
        <v>0</v>
      </c>
      <c r="T818" s="456">
        <v>26.664000000000001</v>
      </c>
      <c r="U818" s="410"/>
      <c r="V818" s="411">
        <v>1</v>
      </c>
      <c r="W818" s="411">
        <v>1</v>
      </c>
      <c r="X818" s="411">
        <v>1</v>
      </c>
      <c r="Y818" s="411"/>
      <c r="Z818" s="411"/>
      <c r="AA818" s="412">
        <f t="shared" si="102"/>
        <v>1</v>
      </c>
      <c r="AB818" s="456">
        <f t="shared" si="103"/>
        <v>26.664000000000001</v>
      </c>
      <c r="AC818" s="456">
        <v>0</v>
      </c>
      <c r="AD818" s="2"/>
      <c r="AE818" s="4"/>
      <c r="AF818" s="5"/>
      <c r="AG818" s="428"/>
    </row>
    <row r="819" spans="2:33" hidden="1" x14ac:dyDescent="0.25">
      <c r="B819" s="1" t="s">
        <v>2899</v>
      </c>
      <c r="C819" s="3" t="s">
        <v>1368</v>
      </c>
      <c r="D819" s="3" t="s">
        <v>1247</v>
      </c>
      <c r="E819" s="407" t="s">
        <v>1427</v>
      </c>
      <c r="F819" s="3" t="s">
        <v>2209</v>
      </c>
      <c r="G819" s="407" t="s">
        <v>4485</v>
      </c>
      <c r="H819" s="440" t="s">
        <v>4109</v>
      </c>
      <c r="I819" s="407" t="s">
        <v>4306</v>
      </c>
      <c r="J819" s="407" t="s">
        <v>3787</v>
      </c>
      <c r="K819" s="387" t="s">
        <v>4638</v>
      </c>
      <c r="L819" s="387">
        <v>1</v>
      </c>
      <c r="M819" s="387">
        <v>0</v>
      </c>
      <c r="N819" s="387">
        <f t="shared" si="100"/>
        <v>1</v>
      </c>
      <c r="O819" s="442">
        <f t="shared" si="101"/>
        <v>0</v>
      </c>
      <c r="P819" s="387" t="s">
        <v>1358</v>
      </c>
      <c r="Q819" s="459">
        <v>0</v>
      </c>
      <c r="R819" s="459"/>
      <c r="S819" s="456">
        <v>0</v>
      </c>
      <c r="T819" s="456">
        <v>26.664000000000001</v>
      </c>
      <c r="U819" s="410"/>
      <c r="V819" s="411">
        <v>0</v>
      </c>
      <c r="W819" s="411">
        <v>0</v>
      </c>
      <c r="X819" s="411">
        <v>0</v>
      </c>
      <c r="Y819" s="411"/>
      <c r="Z819" s="411"/>
      <c r="AA819" s="412">
        <f t="shared" si="102"/>
        <v>0</v>
      </c>
      <c r="AB819" s="456">
        <f t="shared" si="103"/>
        <v>0</v>
      </c>
      <c r="AC819" s="456">
        <v>0</v>
      </c>
      <c r="AD819" s="2"/>
      <c r="AE819" s="4"/>
      <c r="AF819" s="5"/>
      <c r="AG819" s="428"/>
    </row>
    <row r="820" spans="2:33" hidden="1" x14ac:dyDescent="0.25">
      <c r="B820" s="1" t="s">
        <v>2900</v>
      </c>
      <c r="C820" s="3" t="s">
        <v>1368</v>
      </c>
      <c r="D820" s="3" t="s">
        <v>1247</v>
      </c>
      <c r="E820" s="407" t="s">
        <v>1428</v>
      </c>
      <c r="F820" s="3" t="s">
        <v>2210</v>
      </c>
      <c r="G820" s="407" t="s">
        <v>4486</v>
      </c>
      <c r="H820" s="440" t="s">
        <v>4109</v>
      </c>
      <c r="I820" s="407" t="s">
        <v>4307</v>
      </c>
      <c r="J820" s="407" t="s">
        <v>3788</v>
      </c>
      <c r="K820" s="387" t="s">
        <v>4639</v>
      </c>
      <c r="L820" s="387">
        <v>1</v>
      </c>
      <c r="M820" s="387">
        <v>0</v>
      </c>
      <c r="N820" s="387">
        <f t="shared" si="100"/>
        <v>1</v>
      </c>
      <c r="O820" s="442">
        <f t="shared" si="101"/>
        <v>0</v>
      </c>
      <c r="P820" s="387" t="s">
        <v>1358</v>
      </c>
      <c r="Q820" s="459">
        <v>0</v>
      </c>
      <c r="R820" s="459"/>
      <c r="S820" s="456">
        <v>0</v>
      </c>
      <c r="T820" s="456">
        <v>26.664000000000001</v>
      </c>
      <c r="U820" s="410"/>
      <c r="V820" s="411">
        <v>0</v>
      </c>
      <c r="W820" s="411">
        <v>0</v>
      </c>
      <c r="X820" s="411">
        <v>0</v>
      </c>
      <c r="Y820" s="411"/>
      <c r="Z820" s="411"/>
      <c r="AA820" s="412">
        <f t="shared" si="102"/>
        <v>0</v>
      </c>
      <c r="AB820" s="456">
        <f t="shared" si="103"/>
        <v>0</v>
      </c>
      <c r="AC820" s="456">
        <v>0</v>
      </c>
      <c r="AD820" s="2"/>
      <c r="AE820" s="4"/>
      <c r="AF820" s="5"/>
      <c r="AG820" s="428"/>
    </row>
    <row r="821" spans="2:33" hidden="1" x14ac:dyDescent="0.25">
      <c r="B821" s="1" t="s">
        <v>2901</v>
      </c>
      <c r="C821" s="3" t="s">
        <v>1368</v>
      </c>
      <c r="D821" s="3" t="s">
        <v>1247</v>
      </c>
      <c r="E821" s="407" t="s">
        <v>1429</v>
      </c>
      <c r="F821" s="3" t="s">
        <v>2211</v>
      </c>
      <c r="G821" s="407" t="s">
        <v>4487</v>
      </c>
      <c r="H821" s="440" t="s">
        <v>4109</v>
      </c>
      <c r="I821" s="407" t="s">
        <v>4308</v>
      </c>
      <c r="J821" s="407" t="s">
        <v>3789</v>
      </c>
      <c r="K821" s="387" t="s">
        <v>4640</v>
      </c>
      <c r="L821" s="387">
        <v>1</v>
      </c>
      <c r="M821" s="387">
        <v>0</v>
      </c>
      <c r="N821" s="387">
        <f t="shared" si="100"/>
        <v>1</v>
      </c>
      <c r="O821" s="442">
        <f t="shared" si="101"/>
        <v>0</v>
      </c>
      <c r="P821" s="387" t="s">
        <v>1358</v>
      </c>
      <c r="Q821" s="459">
        <v>0</v>
      </c>
      <c r="R821" s="459"/>
      <c r="S821" s="456">
        <v>0</v>
      </c>
      <c r="T821" s="456">
        <v>26.664000000000001</v>
      </c>
      <c r="U821" s="410"/>
      <c r="V821" s="411">
        <v>0</v>
      </c>
      <c r="W821" s="411">
        <v>0</v>
      </c>
      <c r="X821" s="411">
        <v>0</v>
      </c>
      <c r="Y821" s="411"/>
      <c r="Z821" s="411"/>
      <c r="AA821" s="412">
        <f t="shared" si="102"/>
        <v>0</v>
      </c>
      <c r="AB821" s="456">
        <f t="shared" si="103"/>
        <v>0</v>
      </c>
      <c r="AC821" s="456">
        <v>0</v>
      </c>
      <c r="AD821" s="2"/>
      <c r="AE821" s="4"/>
      <c r="AF821" s="5"/>
      <c r="AG821" s="428"/>
    </row>
    <row r="822" spans="2:33" hidden="1" x14ac:dyDescent="0.25">
      <c r="B822" s="1" t="s">
        <v>2902</v>
      </c>
      <c r="C822" s="3" t="s">
        <v>1368</v>
      </c>
      <c r="D822" s="3" t="s">
        <v>1247</v>
      </c>
      <c r="E822" s="407" t="s">
        <v>1430</v>
      </c>
      <c r="F822" s="3" t="s">
        <v>2212</v>
      </c>
      <c r="G822" s="407" t="s">
        <v>4488</v>
      </c>
      <c r="H822" s="440" t="s">
        <v>4109</v>
      </c>
      <c r="I822" s="407" t="s">
        <v>4309</v>
      </c>
      <c r="J822" s="407" t="s">
        <v>3790</v>
      </c>
      <c r="K822" s="387" t="s">
        <v>4641</v>
      </c>
      <c r="L822" s="387">
        <v>1</v>
      </c>
      <c r="M822" s="387">
        <v>0</v>
      </c>
      <c r="N822" s="387">
        <f t="shared" si="100"/>
        <v>1</v>
      </c>
      <c r="O822" s="442">
        <f t="shared" si="101"/>
        <v>0</v>
      </c>
      <c r="P822" s="387" t="s">
        <v>1358</v>
      </c>
      <c r="Q822" s="459">
        <v>0</v>
      </c>
      <c r="R822" s="459"/>
      <c r="S822" s="456">
        <v>0</v>
      </c>
      <c r="T822" s="456">
        <v>26.664000000000001</v>
      </c>
      <c r="U822" s="410"/>
      <c r="V822" s="411">
        <v>0</v>
      </c>
      <c r="W822" s="411">
        <v>0</v>
      </c>
      <c r="X822" s="411">
        <v>0</v>
      </c>
      <c r="Y822" s="411"/>
      <c r="Z822" s="411"/>
      <c r="AA822" s="412">
        <f t="shared" si="102"/>
        <v>0</v>
      </c>
      <c r="AB822" s="456">
        <f t="shared" si="103"/>
        <v>0</v>
      </c>
      <c r="AC822" s="456">
        <v>0</v>
      </c>
      <c r="AD822" s="2"/>
      <c r="AE822" s="4"/>
      <c r="AF822" s="5"/>
      <c r="AG822" s="428"/>
    </row>
    <row r="823" spans="2:33" hidden="1" x14ac:dyDescent="0.25">
      <c r="B823" s="1" t="s">
        <v>2903</v>
      </c>
      <c r="C823" s="3" t="s">
        <v>1368</v>
      </c>
      <c r="D823" s="3" t="s">
        <v>1247</v>
      </c>
      <c r="E823" s="407" t="s">
        <v>1433</v>
      </c>
      <c r="F823" s="3" t="s">
        <v>2213</v>
      </c>
      <c r="G823" s="407" t="s">
        <v>4490</v>
      </c>
      <c r="H823" s="440" t="s">
        <v>4109</v>
      </c>
      <c r="I823" s="407" t="s">
        <v>4311</v>
      </c>
      <c r="J823" s="407" t="s">
        <v>3792</v>
      </c>
      <c r="K823" s="387" t="s">
        <v>4644</v>
      </c>
      <c r="L823" s="387">
        <v>2</v>
      </c>
      <c r="M823" s="387">
        <v>0</v>
      </c>
      <c r="N823" s="387">
        <f t="shared" si="100"/>
        <v>2</v>
      </c>
      <c r="O823" s="442">
        <f t="shared" si="101"/>
        <v>0</v>
      </c>
      <c r="P823" s="387" t="s">
        <v>1358</v>
      </c>
      <c r="Q823" s="459">
        <v>0</v>
      </c>
      <c r="R823" s="459"/>
      <c r="S823" s="456">
        <v>0</v>
      </c>
      <c r="T823" s="456">
        <v>39.878</v>
      </c>
      <c r="U823" s="410"/>
      <c r="V823" s="411">
        <v>0</v>
      </c>
      <c r="W823" s="411">
        <v>0</v>
      </c>
      <c r="X823" s="411">
        <v>0</v>
      </c>
      <c r="Y823" s="411"/>
      <c r="Z823" s="411"/>
      <c r="AA823" s="412">
        <f t="shared" si="102"/>
        <v>0</v>
      </c>
      <c r="AB823" s="456">
        <f t="shared" si="103"/>
        <v>0</v>
      </c>
      <c r="AC823" s="456">
        <v>0</v>
      </c>
      <c r="AD823" s="2"/>
      <c r="AE823" s="4"/>
      <c r="AF823" s="5"/>
      <c r="AG823" s="428"/>
    </row>
    <row r="824" spans="2:33" hidden="1" x14ac:dyDescent="0.25">
      <c r="B824" s="1" t="s">
        <v>2904</v>
      </c>
      <c r="C824" s="3" t="s">
        <v>1368</v>
      </c>
      <c r="D824" s="3" t="s">
        <v>1247</v>
      </c>
      <c r="E824" s="407" t="s">
        <v>1374</v>
      </c>
      <c r="F824" s="3" t="s">
        <v>2214</v>
      </c>
      <c r="G824" s="407" t="s">
        <v>4495</v>
      </c>
      <c r="H824" s="440" t="s">
        <v>4109</v>
      </c>
      <c r="I824" s="407" t="s">
        <v>4316</v>
      </c>
      <c r="J824" s="407" t="s">
        <v>3757</v>
      </c>
      <c r="K824" s="387" t="s">
        <v>4665</v>
      </c>
      <c r="L824" s="387">
        <v>2</v>
      </c>
      <c r="M824" s="387">
        <v>0</v>
      </c>
      <c r="N824" s="387">
        <f t="shared" si="100"/>
        <v>2</v>
      </c>
      <c r="O824" s="442">
        <f t="shared" si="101"/>
        <v>2</v>
      </c>
      <c r="P824" s="387" t="s">
        <v>1358</v>
      </c>
      <c r="Q824" s="459">
        <v>0</v>
      </c>
      <c r="R824" s="459"/>
      <c r="S824" s="456">
        <v>0</v>
      </c>
      <c r="T824" s="456">
        <v>38.752000000000002</v>
      </c>
      <c r="U824" s="410"/>
      <c r="V824" s="411">
        <v>1</v>
      </c>
      <c r="W824" s="411">
        <v>1</v>
      </c>
      <c r="X824" s="411">
        <v>1</v>
      </c>
      <c r="Y824" s="411"/>
      <c r="Z824" s="411"/>
      <c r="AA824" s="412">
        <f t="shared" si="102"/>
        <v>1</v>
      </c>
      <c r="AB824" s="456">
        <f t="shared" si="103"/>
        <v>38.752000000000002</v>
      </c>
      <c r="AC824" s="456">
        <v>0</v>
      </c>
      <c r="AD824" s="2"/>
      <c r="AE824" s="4"/>
      <c r="AF824" s="5"/>
      <c r="AG824" s="428"/>
    </row>
    <row r="825" spans="2:33" hidden="1" x14ac:dyDescent="0.25">
      <c r="B825" s="1" t="s">
        <v>2905</v>
      </c>
      <c r="C825" s="3" t="s">
        <v>1368</v>
      </c>
      <c r="D825" s="3" t="s">
        <v>1247</v>
      </c>
      <c r="E825" s="407" t="s">
        <v>1377</v>
      </c>
      <c r="F825" s="3" t="s">
        <v>2215</v>
      </c>
      <c r="G825" s="407" t="s">
        <v>4494</v>
      </c>
      <c r="H825" s="440" t="s">
        <v>4109</v>
      </c>
      <c r="I825" s="407" t="s">
        <v>4315</v>
      </c>
      <c r="J825" s="407" t="s">
        <v>3749</v>
      </c>
      <c r="K825" s="387" t="s">
        <v>4648</v>
      </c>
      <c r="L825" s="387">
        <v>1</v>
      </c>
      <c r="M825" s="387">
        <v>0</v>
      </c>
      <c r="N825" s="387">
        <f t="shared" ref="N825:N889" si="104">L825+M825</f>
        <v>1</v>
      </c>
      <c r="O825" s="442">
        <f t="shared" ref="O825:O889" si="105">L825*AA825</f>
        <v>1</v>
      </c>
      <c r="P825" s="387" t="s">
        <v>1358</v>
      </c>
      <c r="Q825" s="459">
        <v>0</v>
      </c>
      <c r="R825" s="459"/>
      <c r="S825" s="456">
        <v>0</v>
      </c>
      <c r="T825" s="456">
        <v>19.376000000000001</v>
      </c>
      <c r="U825" s="410"/>
      <c r="V825" s="411">
        <v>1</v>
      </c>
      <c r="W825" s="411">
        <v>1</v>
      </c>
      <c r="X825" s="411">
        <v>1</v>
      </c>
      <c r="Y825" s="411"/>
      <c r="Z825" s="411"/>
      <c r="AA825" s="412">
        <f t="shared" ref="AA825:AA889" si="106">AB825/T825</f>
        <v>1</v>
      </c>
      <c r="AB825" s="456">
        <f t="shared" ref="AB825:AB889" si="107">(V825*V$369*T825)+(W825*W$369*T825)+(X825*X$369*T825)</f>
        <v>19.376000000000001</v>
      </c>
      <c r="AC825" s="456">
        <v>0</v>
      </c>
      <c r="AD825" s="2"/>
      <c r="AE825" s="4"/>
      <c r="AF825" s="5"/>
      <c r="AG825" s="428"/>
    </row>
    <row r="826" spans="2:33" hidden="1" x14ac:dyDescent="0.25">
      <c r="B826" s="1" t="s">
        <v>2906</v>
      </c>
      <c r="C826" s="3" t="s">
        <v>1368</v>
      </c>
      <c r="D826" s="3" t="s">
        <v>1247</v>
      </c>
      <c r="E826" s="407" t="s">
        <v>3291</v>
      </c>
      <c r="F826" s="3" t="s">
        <v>5141</v>
      </c>
      <c r="G826" s="407" t="s">
        <v>4476</v>
      </c>
      <c r="H826" s="440" t="s">
        <v>4109</v>
      </c>
      <c r="I826" s="407" t="s">
        <v>4297</v>
      </c>
      <c r="J826" s="407" t="s">
        <v>3753</v>
      </c>
      <c r="K826" s="387" t="s">
        <v>4651</v>
      </c>
      <c r="L826" s="387">
        <v>1</v>
      </c>
      <c r="M826" s="387">
        <v>0</v>
      </c>
      <c r="N826" s="387">
        <f t="shared" si="104"/>
        <v>1</v>
      </c>
      <c r="O826" s="442">
        <f t="shared" si="105"/>
        <v>1</v>
      </c>
      <c r="P826" s="387" t="s">
        <v>1358</v>
      </c>
      <c r="Q826" s="459">
        <v>0</v>
      </c>
      <c r="R826" s="459"/>
      <c r="S826" s="456">
        <v>0</v>
      </c>
      <c r="T826" s="456">
        <v>60.076999999999998</v>
      </c>
      <c r="U826" s="410"/>
      <c r="V826" s="411">
        <v>1</v>
      </c>
      <c r="W826" s="411">
        <v>1</v>
      </c>
      <c r="X826" s="411">
        <v>1</v>
      </c>
      <c r="Y826" s="411"/>
      <c r="Z826" s="411"/>
      <c r="AA826" s="412">
        <f t="shared" si="106"/>
        <v>1</v>
      </c>
      <c r="AB826" s="456">
        <f t="shared" si="107"/>
        <v>60.076999999999998</v>
      </c>
      <c r="AC826" s="456">
        <v>0</v>
      </c>
      <c r="AD826" s="2"/>
      <c r="AE826" s="4"/>
      <c r="AF826" s="5"/>
      <c r="AG826" s="428"/>
    </row>
    <row r="827" spans="2:33" hidden="1" x14ac:dyDescent="0.25">
      <c r="B827" s="1" t="s">
        <v>2907</v>
      </c>
      <c r="C827" s="3" t="s">
        <v>1368</v>
      </c>
      <c r="D827" s="3" t="s">
        <v>1247</v>
      </c>
      <c r="E827" s="407" t="s">
        <v>3293</v>
      </c>
      <c r="F827" s="3" t="s">
        <v>2216</v>
      </c>
      <c r="G827" s="407" t="s">
        <v>4503</v>
      </c>
      <c r="H827" s="440" t="s">
        <v>4109</v>
      </c>
      <c r="I827" s="407" t="s">
        <v>4324</v>
      </c>
      <c r="J827" s="407" t="s">
        <v>3798</v>
      </c>
      <c r="K827" s="387" t="s">
        <v>4658</v>
      </c>
      <c r="L827" s="387">
        <v>1</v>
      </c>
      <c r="M827" s="387">
        <v>0</v>
      </c>
      <c r="N827" s="387">
        <f t="shared" si="104"/>
        <v>1</v>
      </c>
      <c r="O827" s="442">
        <f t="shared" si="105"/>
        <v>1</v>
      </c>
      <c r="P827" s="387" t="s">
        <v>1358</v>
      </c>
      <c r="Q827" s="459">
        <v>0</v>
      </c>
      <c r="R827" s="459"/>
      <c r="S827" s="456">
        <v>0</v>
      </c>
      <c r="T827" s="456">
        <v>29.852</v>
      </c>
      <c r="U827" s="410"/>
      <c r="V827" s="411">
        <v>1</v>
      </c>
      <c r="W827" s="411">
        <v>1</v>
      </c>
      <c r="X827" s="411">
        <v>1</v>
      </c>
      <c r="Y827" s="411"/>
      <c r="Z827" s="411"/>
      <c r="AA827" s="412">
        <f t="shared" si="106"/>
        <v>1</v>
      </c>
      <c r="AB827" s="456">
        <f t="shared" si="107"/>
        <v>29.852</v>
      </c>
      <c r="AC827" s="456">
        <v>0</v>
      </c>
      <c r="AD827" s="2"/>
      <c r="AE827" s="4"/>
      <c r="AF827" s="5"/>
      <c r="AG827" s="428"/>
    </row>
    <row r="828" spans="2:33" hidden="1" x14ac:dyDescent="0.25">
      <c r="B828" s="1" t="s">
        <v>2908</v>
      </c>
      <c r="C828" s="3" t="s">
        <v>1368</v>
      </c>
      <c r="D828" s="3" t="s">
        <v>1247</v>
      </c>
      <c r="E828" s="407" t="s">
        <v>1398</v>
      </c>
      <c r="F828" s="3" t="s">
        <v>2217</v>
      </c>
      <c r="G828" s="407" t="s">
        <v>4496</v>
      </c>
      <c r="H828" s="440" t="s">
        <v>4109</v>
      </c>
      <c r="I828" s="407" t="s">
        <v>4317</v>
      </c>
      <c r="J828" s="407" t="s">
        <v>3796</v>
      </c>
      <c r="K828" s="387" t="s">
        <v>4650</v>
      </c>
      <c r="L828" s="387">
        <v>1</v>
      </c>
      <c r="M828" s="387">
        <v>0</v>
      </c>
      <c r="N828" s="387">
        <f t="shared" si="104"/>
        <v>1</v>
      </c>
      <c r="O828" s="442">
        <f t="shared" si="105"/>
        <v>1</v>
      </c>
      <c r="P828" s="387" t="s">
        <v>1358</v>
      </c>
      <c r="Q828" s="459">
        <v>0</v>
      </c>
      <c r="R828" s="459"/>
      <c r="S828" s="456">
        <v>0</v>
      </c>
      <c r="T828" s="456">
        <v>29.010999999999999</v>
      </c>
      <c r="U828" s="410"/>
      <c r="V828" s="411">
        <v>1</v>
      </c>
      <c r="W828" s="411">
        <v>1</v>
      </c>
      <c r="X828" s="411">
        <v>1</v>
      </c>
      <c r="Y828" s="411"/>
      <c r="Z828" s="411"/>
      <c r="AA828" s="412">
        <f t="shared" si="106"/>
        <v>1</v>
      </c>
      <c r="AB828" s="456">
        <f t="shared" si="107"/>
        <v>29.010999999999999</v>
      </c>
      <c r="AC828" s="456">
        <v>0</v>
      </c>
      <c r="AD828" s="2"/>
      <c r="AE828" s="4"/>
      <c r="AF828" s="5"/>
      <c r="AG828" s="428"/>
    </row>
    <row r="829" spans="2:33" hidden="1" x14ac:dyDescent="0.25">
      <c r="B829" s="1" t="s">
        <v>2909</v>
      </c>
      <c r="C829" s="3" t="s">
        <v>1368</v>
      </c>
      <c r="D829" s="3" t="s">
        <v>1247</v>
      </c>
      <c r="E829" s="407" t="s">
        <v>1397</v>
      </c>
      <c r="F829" s="3" t="s">
        <v>2218</v>
      </c>
      <c r="G829" s="407" t="s">
        <v>4493</v>
      </c>
      <c r="H829" s="440" t="s">
        <v>4109</v>
      </c>
      <c r="I829" s="407" t="s">
        <v>4314</v>
      </c>
      <c r="J829" s="407" t="s">
        <v>3795</v>
      </c>
      <c r="K829" s="387" t="s">
        <v>4647</v>
      </c>
      <c r="L829" s="387">
        <v>1</v>
      </c>
      <c r="M829" s="387">
        <v>0</v>
      </c>
      <c r="N829" s="387">
        <f t="shared" si="104"/>
        <v>1</v>
      </c>
      <c r="O829" s="442">
        <f t="shared" si="105"/>
        <v>0</v>
      </c>
      <c r="P829" s="387" t="s">
        <v>1358</v>
      </c>
      <c r="Q829" s="459">
        <v>0</v>
      </c>
      <c r="R829" s="459"/>
      <c r="S829" s="456">
        <v>0</v>
      </c>
      <c r="T829" s="456">
        <v>9.9380000000000006</v>
      </c>
      <c r="U829" s="410"/>
      <c r="V829" s="411">
        <v>0</v>
      </c>
      <c r="W829" s="411">
        <v>0</v>
      </c>
      <c r="X829" s="411">
        <v>0</v>
      </c>
      <c r="Y829" s="411"/>
      <c r="Z829" s="411"/>
      <c r="AA829" s="412">
        <f t="shared" si="106"/>
        <v>0</v>
      </c>
      <c r="AB829" s="456">
        <f t="shared" si="107"/>
        <v>0</v>
      </c>
      <c r="AC829" s="456">
        <v>0</v>
      </c>
      <c r="AD829" s="2"/>
      <c r="AE829" s="4"/>
      <c r="AF829" s="5"/>
      <c r="AG829" s="428"/>
    </row>
    <row r="830" spans="2:33" hidden="1" x14ac:dyDescent="0.25">
      <c r="B830" s="1" t="s">
        <v>2910</v>
      </c>
      <c r="C830" s="3" t="s">
        <v>1368</v>
      </c>
      <c r="D830" s="3" t="s">
        <v>1247</v>
      </c>
      <c r="E830" s="407" t="s">
        <v>1374</v>
      </c>
      <c r="F830" s="3" t="s">
        <v>2219</v>
      </c>
      <c r="G830" s="407" t="s">
        <v>4495</v>
      </c>
      <c r="H830" s="440" t="s">
        <v>4109</v>
      </c>
      <c r="I830" s="407" t="s">
        <v>4316</v>
      </c>
      <c r="J830" s="407" t="s">
        <v>3757</v>
      </c>
      <c r="K830" s="387" t="s">
        <v>4649</v>
      </c>
      <c r="L830" s="387">
        <v>2</v>
      </c>
      <c r="M830" s="387">
        <v>0</v>
      </c>
      <c r="N830" s="387">
        <f t="shared" si="104"/>
        <v>2</v>
      </c>
      <c r="O830" s="442">
        <f t="shared" si="105"/>
        <v>2</v>
      </c>
      <c r="P830" s="387" t="s">
        <v>1358</v>
      </c>
      <c r="Q830" s="459">
        <v>0</v>
      </c>
      <c r="R830" s="459"/>
      <c r="S830" s="456">
        <v>0</v>
      </c>
      <c r="T830" s="456">
        <v>58.15</v>
      </c>
      <c r="U830" s="410"/>
      <c r="V830" s="411">
        <v>1</v>
      </c>
      <c r="W830" s="411">
        <v>1</v>
      </c>
      <c r="X830" s="411">
        <v>1</v>
      </c>
      <c r="Y830" s="411"/>
      <c r="Z830" s="411"/>
      <c r="AA830" s="412">
        <f t="shared" si="106"/>
        <v>1</v>
      </c>
      <c r="AB830" s="456">
        <f t="shared" si="107"/>
        <v>58.15</v>
      </c>
      <c r="AC830" s="456">
        <v>0</v>
      </c>
      <c r="AD830" s="2"/>
      <c r="AE830" s="4"/>
      <c r="AF830" s="5"/>
      <c r="AG830" s="428"/>
    </row>
    <row r="831" spans="2:33" hidden="1" x14ac:dyDescent="0.25">
      <c r="B831" s="1" t="s">
        <v>2911</v>
      </c>
      <c r="C831" s="3" t="s">
        <v>1368</v>
      </c>
      <c r="D831" s="3" t="s">
        <v>1247</v>
      </c>
      <c r="E831" s="407" t="s">
        <v>1377</v>
      </c>
      <c r="F831" s="3" t="s">
        <v>2220</v>
      </c>
      <c r="G831" s="407" t="s">
        <v>4494</v>
      </c>
      <c r="H831" s="440" t="s">
        <v>4109</v>
      </c>
      <c r="I831" s="407" t="s">
        <v>4315</v>
      </c>
      <c r="J831" s="407" t="s">
        <v>3749</v>
      </c>
      <c r="K831" s="387" t="s">
        <v>4648</v>
      </c>
      <c r="L831" s="387">
        <v>1</v>
      </c>
      <c r="M831" s="387">
        <v>0</v>
      </c>
      <c r="N831" s="387">
        <f t="shared" si="104"/>
        <v>1</v>
      </c>
      <c r="O831" s="442">
        <f t="shared" si="105"/>
        <v>1.0000000000000002</v>
      </c>
      <c r="P831" s="387" t="s">
        <v>1358</v>
      </c>
      <c r="Q831" s="459">
        <v>0</v>
      </c>
      <c r="R831" s="459"/>
      <c r="S831" s="456">
        <v>0</v>
      </c>
      <c r="T831" s="456">
        <v>58.389000000000003</v>
      </c>
      <c r="U831" s="410"/>
      <c r="V831" s="411">
        <v>1</v>
      </c>
      <c r="W831" s="411">
        <v>1</v>
      </c>
      <c r="X831" s="411">
        <v>1</v>
      </c>
      <c r="Y831" s="411"/>
      <c r="Z831" s="411"/>
      <c r="AA831" s="412">
        <f t="shared" si="106"/>
        <v>1.0000000000000002</v>
      </c>
      <c r="AB831" s="456">
        <f t="shared" si="107"/>
        <v>58.38900000000001</v>
      </c>
      <c r="AC831" s="456">
        <v>0</v>
      </c>
      <c r="AD831" s="2"/>
      <c r="AE831" s="4"/>
      <c r="AF831" s="5"/>
      <c r="AG831" s="428"/>
    </row>
    <row r="832" spans="2:33" hidden="1" x14ac:dyDescent="0.25">
      <c r="B832" s="1" t="s">
        <v>2912</v>
      </c>
      <c r="C832" s="3" t="s">
        <v>1368</v>
      </c>
      <c r="D832" s="3" t="s">
        <v>1247</v>
      </c>
      <c r="E832" s="407" t="s">
        <v>1379</v>
      </c>
      <c r="F832" s="3" t="s">
        <v>2221</v>
      </c>
      <c r="G832" s="407" t="s">
        <v>4502</v>
      </c>
      <c r="H832" s="440" t="s">
        <v>4109</v>
      </c>
      <c r="I832" s="407" t="s">
        <v>4323</v>
      </c>
      <c r="J832" s="407" t="s">
        <v>3750</v>
      </c>
      <c r="K832" s="387" t="s">
        <v>4632</v>
      </c>
      <c r="L832" s="387">
        <v>1</v>
      </c>
      <c r="M832" s="387">
        <v>0</v>
      </c>
      <c r="N832" s="387">
        <f t="shared" si="104"/>
        <v>1</v>
      </c>
      <c r="O832" s="442">
        <f t="shared" si="105"/>
        <v>1.0000000000000002</v>
      </c>
      <c r="P832" s="387" t="s">
        <v>1358</v>
      </c>
      <c r="Q832" s="459">
        <v>0</v>
      </c>
      <c r="R832" s="459"/>
      <c r="S832" s="456">
        <v>0</v>
      </c>
      <c r="T832" s="456">
        <v>58.389000000000003</v>
      </c>
      <c r="U832" s="410"/>
      <c r="V832" s="411">
        <v>1</v>
      </c>
      <c r="W832" s="411">
        <v>1</v>
      </c>
      <c r="X832" s="411">
        <v>1</v>
      </c>
      <c r="Y832" s="411"/>
      <c r="Z832" s="411"/>
      <c r="AA832" s="412">
        <f t="shared" si="106"/>
        <v>1.0000000000000002</v>
      </c>
      <c r="AB832" s="456">
        <f t="shared" si="107"/>
        <v>58.38900000000001</v>
      </c>
      <c r="AC832" s="456">
        <v>0</v>
      </c>
      <c r="AD832" s="2"/>
      <c r="AE832" s="4"/>
      <c r="AF832" s="5"/>
      <c r="AG832" s="428"/>
    </row>
    <row r="833" spans="2:33" hidden="1" x14ac:dyDescent="0.25">
      <c r="B833" s="1" t="s">
        <v>2913</v>
      </c>
      <c r="C833" s="3" t="s">
        <v>1368</v>
      </c>
      <c r="D833" s="3" t="s">
        <v>1247</v>
      </c>
      <c r="E833" s="407" t="s">
        <v>1381</v>
      </c>
      <c r="F833" s="3" t="s">
        <v>2222</v>
      </c>
      <c r="G833" s="407" t="s">
        <v>4497</v>
      </c>
      <c r="H833" s="440" t="s">
        <v>4109</v>
      </c>
      <c r="I833" s="407" t="s">
        <v>4318</v>
      </c>
      <c r="J833" s="407" t="s">
        <v>3751</v>
      </c>
      <c r="K833" s="387" t="s">
        <v>4631</v>
      </c>
      <c r="L833" s="387">
        <v>1</v>
      </c>
      <c r="M833" s="387">
        <v>0</v>
      </c>
      <c r="N833" s="387">
        <f t="shared" si="104"/>
        <v>1</v>
      </c>
      <c r="O833" s="442">
        <f t="shared" si="105"/>
        <v>1.0000000000000002</v>
      </c>
      <c r="P833" s="387" t="s">
        <v>1358</v>
      </c>
      <c r="Q833" s="459">
        <v>0</v>
      </c>
      <c r="R833" s="459"/>
      <c r="S833" s="456">
        <v>0</v>
      </c>
      <c r="T833" s="456">
        <v>58.389000000000003</v>
      </c>
      <c r="U833" s="410"/>
      <c r="V833" s="411">
        <v>1</v>
      </c>
      <c r="W833" s="411">
        <v>1</v>
      </c>
      <c r="X833" s="411">
        <v>1</v>
      </c>
      <c r="Y833" s="411"/>
      <c r="Z833" s="411"/>
      <c r="AA833" s="412">
        <f t="shared" si="106"/>
        <v>1.0000000000000002</v>
      </c>
      <c r="AB833" s="456">
        <f t="shared" si="107"/>
        <v>58.38900000000001</v>
      </c>
      <c r="AC833" s="456">
        <v>0</v>
      </c>
      <c r="AD833" s="2"/>
      <c r="AE833" s="4"/>
      <c r="AF833" s="5"/>
      <c r="AG833" s="428"/>
    </row>
    <row r="834" spans="2:33" hidden="1" x14ac:dyDescent="0.25">
      <c r="B834" s="1" t="s">
        <v>2914</v>
      </c>
      <c r="C834" s="3" t="s">
        <v>1368</v>
      </c>
      <c r="D834" s="3" t="s">
        <v>1247</v>
      </c>
      <c r="E834" s="407" t="s">
        <v>1396</v>
      </c>
      <c r="F834" s="3" t="s">
        <v>2223</v>
      </c>
      <c r="G834" s="407" t="s">
        <v>4498</v>
      </c>
      <c r="H834" s="440" t="s">
        <v>4109</v>
      </c>
      <c r="I834" s="407" t="s">
        <v>4319</v>
      </c>
      <c r="J834" s="407" t="s">
        <v>3752</v>
      </c>
      <c r="K834" s="387" t="s">
        <v>4652</v>
      </c>
      <c r="L834" s="387">
        <v>1</v>
      </c>
      <c r="M834" s="387">
        <v>0</v>
      </c>
      <c r="N834" s="387">
        <f t="shared" si="104"/>
        <v>1</v>
      </c>
      <c r="O834" s="442">
        <f t="shared" si="105"/>
        <v>1.0000000000000002</v>
      </c>
      <c r="P834" s="387" t="s">
        <v>1358</v>
      </c>
      <c r="Q834" s="459">
        <v>0</v>
      </c>
      <c r="R834" s="459"/>
      <c r="S834" s="456">
        <v>0</v>
      </c>
      <c r="T834" s="456">
        <v>58.389000000000003</v>
      </c>
      <c r="U834" s="410"/>
      <c r="V834" s="411">
        <v>1</v>
      </c>
      <c r="W834" s="411">
        <v>1</v>
      </c>
      <c r="X834" s="411">
        <v>1</v>
      </c>
      <c r="Y834" s="411"/>
      <c r="Z834" s="411"/>
      <c r="AA834" s="412">
        <f t="shared" si="106"/>
        <v>1.0000000000000002</v>
      </c>
      <c r="AB834" s="456">
        <f t="shared" si="107"/>
        <v>58.38900000000001</v>
      </c>
      <c r="AC834" s="456">
        <v>0</v>
      </c>
      <c r="AD834" s="2"/>
      <c r="AE834" s="4"/>
      <c r="AF834" s="5"/>
      <c r="AG834" s="428"/>
    </row>
    <row r="835" spans="2:33" hidden="1" x14ac:dyDescent="0.25">
      <c r="B835" s="1" t="s">
        <v>2915</v>
      </c>
      <c r="C835" s="3" t="s">
        <v>1368</v>
      </c>
      <c r="D835" s="3" t="s">
        <v>1247</v>
      </c>
      <c r="E835" s="407" t="s">
        <v>1399</v>
      </c>
      <c r="F835" s="3" t="s">
        <v>2224</v>
      </c>
      <c r="G835" s="407" t="s">
        <v>4499</v>
      </c>
      <c r="H835" s="440" t="s">
        <v>4109</v>
      </c>
      <c r="I835" s="407" t="s">
        <v>4320</v>
      </c>
      <c r="J835" s="407" t="s">
        <v>3758</v>
      </c>
      <c r="K835" s="387" t="s">
        <v>4653</v>
      </c>
      <c r="L835" s="387">
        <v>1</v>
      </c>
      <c r="M835" s="387">
        <v>0</v>
      </c>
      <c r="N835" s="387">
        <f t="shared" si="104"/>
        <v>1</v>
      </c>
      <c r="O835" s="442">
        <f t="shared" si="105"/>
        <v>0</v>
      </c>
      <c r="P835" s="387" t="s">
        <v>1358</v>
      </c>
      <c r="Q835" s="459">
        <v>0</v>
      </c>
      <c r="R835" s="459"/>
      <c r="S835" s="456">
        <v>0</v>
      </c>
      <c r="T835" s="456">
        <v>58.389000000000003</v>
      </c>
      <c r="U835" s="410"/>
      <c r="V835" s="411">
        <v>0</v>
      </c>
      <c r="W835" s="411">
        <v>0</v>
      </c>
      <c r="X835" s="411">
        <v>0</v>
      </c>
      <c r="Y835" s="411"/>
      <c r="Z835" s="411"/>
      <c r="AA835" s="412">
        <f t="shared" si="106"/>
        <v>0</v>
      </c>
      <c r="AB835" s="456">
        <f t="shared" si="107"/>
        <v>0</v>
      </c>
      <c r="AC835" s="456">
        <v>0</v>
      </c>
      <c r="AD835" s="2"/>
      <c r="AE835" s="4"/>
      <c r="AF835" s="5"/>
      <c r="AG835" s="428"/>
    </row>
    <row r="836" spans="2:33" hidden="1" x14ac:dyDescent="0.25">
      <c r="B836" s="1" t="s">
        <v>2916</v>
      </c>
      <c r="C836" s="3" t="s">
        <v>1368</v>
      </c>
      <c r="D836" s="3" t="s">
        <v>1247</v>
      </c>
      <c r="E836" s="407" t="s">
        <v>1400</v>
      </c>
      <c r="F836" s="3" t="s">
        <v>2225</v>
      </c>
      <c r="G836" s="407" t="s">
        <v>4477</v>
      </c>
      <c r="H836" s="440" t="s">
        <v>4109</v>
      </c>
      <c r="I836" s="407" t="s">
        <v>4298</v>
      </c>
      <c r="J836" s="407" t="s">
        <v>3779</v>
      </c>
      <c r="K836" s="387" t="s">
        <v>4656</v>
      </c>
      <c r="L836" s="387">
        <v>1</v>
      </c>
      <c r="M836" s="387">
        <v>0</v>
      </c>
      <c r="N836" s="387">
        <f t="shared" si="104"/>
        <v>1</v>
      </c>
      <c r="O836" s="442">
        <f t="shared" si="105"/>
        <v>1.0000000000000002</v>
      </c>
      <c r="P836" s="387" t="s">
        <v>1358</v>
      </c>
      <c r="Q836" s="459">
        <v>0</v>
      </c>
      <c r="R836" s="459"/>
      <c r="S836" s="456">
        <v>0</v>
      </c>
      <c r="T836" s="456">
        <v>58.389000000000003</v>
      </c>
      <c r="U836" s="410"/>
      <c r="V836" s="411">
        <v>1</v>
      </c>
      <c r="W836" s="411">
        <v>1</v>
      </c>
      <c r="X836" s="411">
        <v>1</v>
      </c>
      <c r="Y836" s="411"/>
      <c r="Z836" s="411"/>
      <c r="AA836" s="412">
        <f t="shared" si="106"/>
        <v>1.0000000000000002</v>
      </c>
      <c r="AB836" s="456">
        <f t="shared" si="107"/>
        <v>58.38900000000001</v>
      </c>
      <c r="AC836" s="456">
        <v>0</v>
      </c>
      <c r="AD836" s="2"/>
      <c r="AE836" s="4"/>
      <c r="AF836" s="5"/>
      <c r="AG836" s="428"/>
    </row>
    <row r="837" spans="2:33" hidden="1" x14ac:dyDescent="0.25">
      <c r="B837" s="1" t="s">
        <v>2917</v>
      </c>
      <c r="C837" s="3" t="s">
        <v>1368</v>
      </c>
      <c r="D837" s="3" t="s">
        <v>1247</v>
      </c>
      <c r="E837" s="407" t="s">
        <v>1401</v>
      </c>
      <c r="F837" s="3" t="s">
        <v>2226</v>
      </c>
      <c r="G837" s="407" t="s">
        <v>4478</v>
      </c>
      <c r="H837" s="440" t="s">
        <v>4109</v>
      </c>
      <c r="I837" s="407" t="s">
        <v>4299</v>
      </c>
      <c r="J837" s="407" t="s">
        <v>3780</v>
      </c>
      <c r="K837" s="387" t="s">
        <v>4657</v>
      </c>
      <c r="L837" s="387">
        <v>1</v>
      </c>
      <c r="M837" s="387">
        <v>0</v>
      </c>
      <c r="N837" s="387">
        <f t="shared" si="104"/>
        <v>1</v>
      </c>
      <c r="O837" s="442">
        <f t="shared" si="105"/>
        <v>0</v>
      </c>
      <c r="P837" s="387" t="s">
        <v>1358</v>
      </c>
      <c r="Q837" s="459">
        <v>0</v>
      </c>
      <c r="R837" s="459"/>
      <c r="S837" s="456">
        <v>0</v>
      </c>
      <c r="T837" s="456">
        <v>58.389000000000003</v>
      </c>
      <c r="U837" s="410"/>
      <c r="V837" s="411">
        <v>0</v>
      </c>
      <c r="W837" s="411">
        <v>0</v>
      </c>
      <c r="X837" s="411">
        <v>0</v>
      </c>
      <c r="Y837" s="411"/>
      <c r="Z837" s="411"/>
      <c r="AA837" s="412">
        <f t="shared" si="106"/>
        <v>0</v>
      </c>
      <c r="AB837" s="456">
        <f t="shared" si="107"/>
        <v>0</v>
      </c>
      <c r="AC837" s="456">
        <v>0</v>
      </c>
      <c r="AD837" s="2"/>
      <c r="AE837" s="4"/>
      <c r="AF837" s="5"/>
      <c r="AG837" s="428"/>
    </row>
    <row r="838" spans="2:33" hidden="1" x14ac:dyDescent="0.25">
      <c r="B838" s="430" t="s">
        <v>5122</v>
      </c>
      <c r="C838" s="3" t="s">
        <v>1368</v>
      </c>
      <c r="D838" s="3" t="s">
        <v>1247</v>
      </c>
      <c r="E838" s="407" t="s">
        <v>1397</v>
      </c>
      <c r="F838" s="3" t="s">
        <v>5033</v>
      </c>
      <c r="G838" s="407"/>
      <c r="H838" s="440"/>
      <c r="I838" s="407"/>
      <c r="J838" s="407"/>
      <c r="K838" s="387" t="s">
        <v>4647</v>
      </c>
      <c r="L838" s="387">
        <v>1</v>
      </c>
      <c r="M838" s="387">
        <v>0</v>
      </c>
      <c r="N838" s="387">
        <f t="shared" si="104"/>
        <v>1</v>
      </c>
      <c r="O838" s="442">
        <f t="shared" si="105"/>
        <v>1</v>
      </c>
      <c r="P838" s="387" t="s">
        <v>1358</v>
      </c>
      <c r="Q838" s="459">
        <v>0</v>
      </c>
      <c r="R838" s="459"/>
      <c r="S838" s="456">
        <v>0</v>
      </c>
      <c r="T838" s="456">
        <v>9.9380000000000006</v>
      </c>
      <c r="U838" s="410"/>
      <c r="V838" s="411">
        <v>1</v>
      </c>
      <c r="W838" s="411">
        <v>1</v>
      </c>
      <c r="X838" s="411">
        <v>1</v>
      </c>
      <c r="Y838" s="411"/>
      <c r="Z838" s="411"/>
      <c r="AA838" s="412">
        <f t="shared" ref="AA838" si="108">AB838/T838</f>
        <v>1</v>
      </c>
      <c r="AB838" s="456">
        <f t="shared" si="107"/>
        <v>9.9380000000000006</v>
      </c>
      <c r="AC838" s="456">
        <v>0</v>
      </c>
      <c r="AD838" s="2"/>
      <c r="AE838" s="4"/>
      <c r="AF838" s="5"/>
      <c r="AG838" s="428"/>
    </row>
    <row r="839" spans="2:33" hidden="1" x14ac:dyDescent="0.25">
      <c r="B839" s="1" t="s">
        <v>2918</v>
      </c>
      <c r="C839" s="3" t="s">
        <v>1368</v>
      </c>
      <c r="D839" s="3" t="s">
        <v>1247</v>
      </c>
      <c r="E839" s="407" t="s">
        <v>1425</v>
      </c>
      <c r="F839" s="3" t="s">
        <v>2227</v>
      </c>
      <c r="G839" s="407" t="s">
        <v>4479</v>
      </c>
      <c r="H839" s="440" t="s">
        <v>4109</v>
      </c>
      <c r="I839" s="407" t="s">
        <v>4300</v>
      </c>
      <c r="J839" s="407" t="s">
        <v>3781</v>
      </c>
      <c r="K839" s="387" t="s">
        <v>4643</v>
      </c>
      <c r="L839" s="387">
        <v>1</v>
      </c>
      <c r="M839" s="387">
        <v>0</v>
      </c>
      <c r="N839" s="387">
        <f t="shared" si="104"/>
        <v>1</v>
      </c>
      <c r="O839" s="442">
        <f t="shared" si="105"/>
        <v>1</v>
      </c>
      <c r="P839" s="387" t="s">
        <v>1358</v>
      </c>
      <c r="Q839" s="459">
        <v>0</v>
      </c>
      <c r="R839" s="459"/>
      <c r="S839" s="456">
        <v>0</v>
      </c>
      <c r="T839" s="456">
        <v>9.3759999999999994</v>
      </c>
      <c r="U839" s="410"/>
      <c r="V839" s="411">
        <v>1</v>
      </c>
      <c r="W839" s="411">
        <v>1</v>
      </c>
      <c r="X839" s="411">
        <v>1</v>
      </c>
      <c r="Y839" s="411"/>
      <c r="Z839" s="411"/>
      <c r="AA839" s="412">
        <f t="shared" si="106"/>
        <v>1</v>
      </c>
      <c r="AB839" s="456">
        <f t="shared" si="107"/>
        <v>9.3759999999999994</v>
      </c>
      <c r="AC839" s="456">
        <v>0</v>
      </c>
      <c r="AD839" s="2"/>
      <c r="AE839" s="4"/>
      <c r="AF839" s="5"/>
      <c r="AG839" s="428"/>
    </row>
    <row r="840" spans="2:33" hidden="1" x14ac:dyDescent="0.25">
      <c r="B840" s="1" t="s">
        <v>2919</v>
      </c>
      <c r="C840" s="3" t="s">
        <v>1368</v>
      </c>
      <c r="D840" s="3" t="s">
        <v>1247</v>
      </c>
      <c r="E840" s="407" t="s">
        <v>1426</v>
      </c>
      <c r="F840" s="3" t="s">
        <v>2228</v>
      </c>
      <c r="G840" s="407" t="s">
        <v>4480</v>
      </c>
      <c r="H840" s="440" t="s">
        <v>4109</v>
      </c>
      <c r="I840" s="407" t="s">
        <v>4301</v>
      </c>
      <c r="J840" s="407" t="s">
        <v>3782</v>
      </c>
      <c r="K840" s="387" t="s">
        <v>4637</v>
      </c>
      <c r="L840" s="387">
        <v>1</v>
      </c>
      <c r="M840" s="387">
        <v>0</v>
      </c>
      <c r="N840" s="387">
        <f t="shared" si="104"/>
        <v>1</v>
      </c>
      <c r="O840" s="442">
        <f t="shared" si="105"/>
        <v>1</v>
      </c>
      <c r="P840" s="387" t="s">
        <v>1358</v>
      </c>
      <c r="Q840" s="459">
        <v>0</v>
      </c>
      <c r="R840" s="459"/>
      <c r="S840" s="456">
        <v>0</v>
      </c>
      <c r="T840" s="456">
        <v>9.3759999999999994</v>
      </c>
      <c r="U840" s="410"/>
      <c r="V840" s="411">
        <v>1</v>
      </c>
      <c r="W840" s="411">
        <v>1</v>
      </c>
      <c r="X840" s="411">
        <v>1</v>
      </c>
      <c r="Y840" s="411"/>
      <c r="Z840" s="411"/>
      <c r="AA840" s="412">
        <f t="shared" si="106"/>
        <v>1</v>
      </c>
      <c r="AB840" s="456">
        <f t="shared" si="107"/>
        <v>9.3759999999999994</v>
      </c>
      <c r="AC840" s="456">
        <v>0</v>
      </c>
      <c r="AD840" s="2"/>
      <c r="AE840" s="4"/>
      <c r="AF840" s="5"/>
      <c r="AG840" s="428"/>
    </row>
    <row r="841" spans="2:33" hidden="1" x14ac:dyDescent="0.25">
      <c r="B841" s="1" t="s">
        <v>2920</v>
      </c>
      <c r="C841" s="3" t="s">
        <v>1368</v>
      </c>
      <c r="D841" s="3" t="s">
        <v>1247</v>
      </c>
      <c r="E841" s="407" t="s">
        <v>1402</v>
      </c>
      <c r="F841" s="3" t="s">
        <v>2229</v>
      </c>
      <c r="G841" s="407" t="s">
        <v>4481</v>
      </c>
      <c r="H841" s="440" t="s">
        <v>4109</v>
      </c>
      <c r="I841" s="407" t="s">
        <v>4302</v>
      </c>
      <c r="J841" s="407" t="s">
        <v>3783</v>
      </c>
      <c r="K841" s="387" t="s">
        <v>4659</v>
      </c>
      <c r="L841" s="387">
        <v>1</v>
      </c>
      <c r="M841" s="387">
        <v>0</v>
      </c>
      <c r="N841" s="387">
        <f t="shared" si="104"/>
        <v>1</v>
      </c>
      <c r="O841" s="442">
        <f t="shared" si="105"/>
        <v>0</v>
      </c>
      <c r="P841" s="387" t="s">
        <v>1358</v>
      </c>
      <c r="Q841" s="459">
        <v>0</v>
      </c>
      <c r="R841" s="459"/>
      <c r="S841" s="456">
        <v>0</v>
      </c>
      <c r="T841" s="456">
        <v>9.657</v>
      </c>
      <c r="U841" s="410"/>
      <c r="V841" s="411">
        <v>0</v>
      </c>
      <c r="W841" s="411">
        <v>0</v>
      </c>
      <c r="X841" s="411">
        <v>0</v>
      </c>
      <c r="Y841" s="411"/>
      <c r="Z841" s="411"/>
      <c r="AA841" s="412">
        <f t="shared" si="106"/>
        <v>0</v>
      </c>
      <c r="AB841" s="456">
        <f t="shared" si="107"/>
        <v>0</v>
      </c>
      <c r="AC841" s="456">
        <v>0</v>
      </c>
      <c r="AD841" s="2"/>
      <c r="AE841" s="4"/>
      <c r="AF841" s="5"/>
      <c r="AG841" s="428"/>
    </row>
    <row r="842" spans="2:33" hidden="1" x14ac:dyDescent="0.25">
      <c r="B842" s="1" t="s">
        <v>2921</v>
      </c>
      <c r="C842" s="3" t="s">
        <v>1368</v>
      </c>
      <c r="D842" s="3" t="s">
        <v>1247</v>
      </c>
      <c r="E842" s="407" t="s">
        <v>3546</v>
      </c>
      <c r="F842" s="3" t="s">
        <v>2230</v>
      </c>
      <c r="G842" s="407" t="s">
        <v>4482</v>
      </c>
      <c r="H842" s="440" t="s">
        <v>4109</v>
      </c>
      <c r="I842" s="407" t="s">
        <v>4303</v>
      </c>
      <c r="J842" s="407" t="s">
        <v>3784</v>
      </c>
      <c r="K842" s="387" t="s">
        <v>4660</v>
      </c>
      <c r="L842" s="387">
        <v>1</v>
      </c>
      <c r="M842" s="387">
        <v>0</v>
      </c>
      <c r="N842" s="387">
        <f t="shared" si="104"/>
        <v>1</v>
      </c>
      <c r="O842" s="442">
        <f t="shared" si="105"/>
        <v>0</v>
      </c>
      <c r="P842" s="387" t="s">
        <v>1358</v>
      </c>
      <c r="Q842" s="459">
        <v>0</v>
      </c>
      <c r="R842" s="459"/>
      <c r="S842" s="456">
        <v>0</v>
      </c>
      <c r="T842" s="456">
        <v>9.657</v>
      </c>
      <c r="U842" s="410"/>
      <c r="V842" s="411">
        <v>0</v>
      </c>
      <c r="W842" s="411">
        <v>0</v>
      </c>
      <c r="X842" s="411">
        <v>0</v>
      </c>
      <c r="Y842" s="411"/>
      <c r="Z842" s="411"/>
      <c r="AA842" s="412">
        <f t="shared" si="106"/>
        <v>0</v>
      </c>
      <c r="AB842" s="456">
        <f t="shared" si="107"/>
        <v>0</v>
      </c>
      <c r="AC842" s="456">
        <v>0</v>
      </c>
      <c r="AD842" s="2"/>
      <c r="AE842" s="4"/>
      <c r="AF842" s="5"/>
      <c r="AG842" s="428"/>
    </row>
    <row r="843" spans="2:33" hidden="1" x14ac:dyDescent="0.25">
      <c r="B843" s="1" t="s">
        <v>2922</v>
      </c>
      <c r="C843" s="3" t="s">
        <v>1368</v>
      </c>
      <c r="D843" s="3" t="s">
        <v>1247</v>
      </c>
      <c r="E843" s="407" t="s">
        <v>3547</v>
      </c>
      <c r="F843" s="3" t="s">
        <v>2231</v>
      </c>
      <c r="G843" s="407" t="s">
        <v>4501</v>
      </c>
      <c r="H843" s="440" t="s">
        <v>4109</v>
      </c>
      <c r="I843" s="407" t="s">
        <v>4322</v>
      </c>
      <c r="J843" s="407" t="s">
        <v>3797</v>
      </c>
      <c r="K843" s="387" t="s">
        <v>4655</v>
      </c>
      <c r="L843" s="387">
        <v>1</v>
      </c>
      <c r="M843" s="387">
        <v>0</v>
      </c>
      <c r="N843" s="387">
        <f t="shared" si="104"/>
        <v>1</v>
      </c>
      <c r="O843" s="442">
        <f t="shared" si="105"/>
        <v>0</v>
      </c>
      <c r="P843" s="387" t="s">
        <v>1358</v>
      </c>
      <c r="Q843" s="459">
        <v>0</v>
      </c>
      <c r="R843" s="459"/>
      <c r="S843" s="456">
        <v>0</v>
      </c>
      <c r="T843" s="456">
        <v>9.657</v>
      </c>
      <c r="U843" s="410"/>
      <c r="V843" s="411">
        <v>0</v>
      </c>
      <c r="W843" s="411">
        <v>0</v>
      </c>
      <c r="X843" s="411">
        <v>0</v>
      </c>
      <c r="Y843" s="411"/>
      <c r="Z843" s="411"/>
      <c r="AA843" s="412">
        <f t="shared" si="106"/>
        <v>0</v>
      </c>
      <c r="AB843" s="456">
        <f t="shared" si="107"/>
        <v>0</v>
      </c>
      <c r="AC843" s="456">
        <v>0</v>
      </c>
      <c r="AD843" s="2"/>
      <c r="AE843" s="4"/>
      <c r="AF843" s="5"/>
      <c r="AG843" s="428"/>
    </row>
    <row r="844" spans="2:33" hidden="1" x14ac:dyDescent="0.25">
      <c r="B844" s="1" t="s">
        <v>2923</v>
      </c>
      <c r="C844" s="3" t="s">
        <v>1368</v>
      </c>
      <c r="D844" s="3" t="s">
        <v>1247</v>
      </c>
      <c r="E844" s="407" t="s">
        <v>3306</v>
      </c>
      <c r="F844" s="3" t="s">
        <v>2232</v>
      </c>
      <c r="G844" s="407" t="s">
        <v>4484</v>
      </c>
      <c r="H844" s="440" t="s">
        <v>4109</v>
      </c>
      <c r="I844" s="407" t="s">
        <v>4305</v>
      </c>
      <c r="J844" s="407" t="s">
        <v>3786</v>
      </c>
      <c r="K844" s="387" t="s">
        <v>4636</v>
      </c>
      <c r="L844" s="387">
        <v>1</v>
      </c>
      <c r="M844" s="387">
        <v>0</v>
      </c>
      <c r="N844" s="387">
        <f t="shared" si="104"/>
        <v>1</v>
      </c>
      <c r="O844" s="442">
        <f t="shared" si="105"/>
        <v>0</v>
      </c>
      <c r="P844" s="387" t="s">
        <v>1358</v>
      </c>
      <c r="Q844" s="459">
        <v>0</v>
      </c>
      <c r="R844" s="459"/>
      <c r="S844" s="456">
        <v>0</v>
      </c>
      <c r="T844" s="456">
        <v>29.010999999999999</v>
      </c>
      <c r="U844" s="410"/>
      <c r="V844" s="411">
        <v>0</v>
      </c>
      <c r="W844" s="411">
        <v>0</v>
      </c>
      <c r="X844" s="411">
        <v>0</v>
      </c>
      <c r="Y844" s="411"/>
      <c r="Z844" s="411"/>
      <c r="AA844" s="412">
        <f t="shared" si="106"/>
        <v>0</v>
      </c>
      <c r="AB844" s="456">
        <f t="shared" si="107"/>
        <v>0</v>
      </c>
      <c r="AC844" s="456">
        <v>0</v>
      </c>
      <c r="AD844" s="2"/>
      <c r="AE844" s="4"/>
      <c r="AF844" s="5"/>
      <c r="AG844" s="428"/>
    </row>
    <row r="845" spans="2:33" hidden="1" x14ac:dyDescent="0.25">
      <c r="B845" s="1" t="s">
        <v>2924</v>
      </c>
      <c r="C845" s="3" t="s">
        <v>1368</v>
      </c>
      <c r="D845" s="3" t="s">
        <v>1247</v>
      </c>
      <c r="E845" s="407" t="s">
        <v>1433</v>
      </c>
      <c r="F845" s="3" t="s">
        <v>2233</v>
      </c>
      <c r="G845" s="407" t="s">
        <v>4490</v>
      </c>
      <c r="H845" s="440" t="s">
        <v>4109</v>
      </c>
      <c r="I845" s="407" t="s">
        <v>4311</v>
      </c>
      <c r="J845" s="407" t="s">
        <v>3792</v>
      </c>
      <c r="K845" s="387" t="s">
        <v>4644</v>
      </c>
      <c r="L845" s="387">
        <v>1</v>
      </c>
      <c r="M845" s="387">
        <v>0</v>
      </c>
      <c r="N845" s="387">
        <f t="shared" si="104"/>
        <v>1</v>
      </c>
      <c r="O845" s="442">
        <f t="shared" si="105"/>
        <v>0</v>
      </c>
      <c r="P845" s="387" t="s">
        <v>1358</v>
      </c>
      <c r="Q845" s="459">
        <v>0</v>
      </c>
      <c r="R845" s="459"/>
      <c r="S845" s="456">
        <v>0</v>
      </c>
      <c r="T845" s="456">
        <v>42.463000000000001</v>
      </c>
      <c r="U845" s="410"/>
      <c r="V845" s="411">
        <v>0</v>
      </c>
      <c r="W845" s="411">
        <v>0</v>
      </c>
      <c r="X845" s="411">
        <v>0</v>
      </c>
      <c r="Y845" s="411"/>
      <c r="Z845" s="411"/>
      <c r="AA845" s="412">
        <f t="shared" si="106"/>
        <v>0</v>
      </c>
      <c r="AB845" s="456">
        <f t="shared" si="107"/>
        <v>0</v>
      </c>
      <c r="AC845" s="456">
        <v>0</v>
      </c>
      <c r="AD845" s="2"/>
      <c r="AE845" s="4"/>
      <c r="AF845" s="5"/>
      <c r="AG845" s="428"/>
    </row>
    <row r="846" spans="2:33" hidden="1" x14ac:dyDescent="0.25">
      <c r="B846" s="1" t="s">
        <v>2925</v>
      </c>
      <c r="C846" s="3" t="s">
        <v>1368</v>
      </c>
      <c r="D846" s="3" t="s">
        <v>1247</v>
      </c>
      <c r="E846" s="407" t="s">
        <v>1426</v>
      </c>
      <c r="F846" s="3" t="s">
        <v>2234</v>
      </c>
      <c r="G846" s="407" t="s">
        <v>4480</v>
      </c>
      <c r="H846" s="440" t="s">
        <v>4109</v>
      </c>
      <c r="I846" s="407" t="s">
        <v>4301</v>
      </c>
      <c r="J846" s="407" t="s">
        <v>3782</v>
      </c>
      <c r="K846" s="387" t="s">
        <v>4637</v>
      </c>
      <c r="L846" s="387">
        <v>1</v>
      </c>
      <c r="M846" s="387">
        <v>0</v>
      </c>
      <c r="N846" s="387">
        <f t="shared" si="104"/>
        <v>1</v>
      </c>
      <c r="O846" s="442">
        <f t="shared" si="105"/>
        <v>1</v>
      </c>
      <c r="P846" s="387" t="s">
        <v>1358</v>
      </c>
      <c r="Q846" s="459">
        <v>0</v>
      </c>
      <c r="R846" s="459"/>
      <c r="S846" s="456">
        <v>0</v>
      </c>
      <c r="T846" s="456">
        <v>42.463000000000001</v>
      </c>
      <c r="U846" s="410"/>
      <c r="V846" s="411">
        <v>1</v>
      </c>
      <c r="W846" s="411">
        <v>1</v>
      </c>
      <c r="X846" s="411">
        <v>1</v>
      </c>
      <c r="Y846" s="411"/>
      <c r="Z846" s="411"/>
      <c r="AA846" s="412">
        <f t="shared" si="106"/>
        <v>1</v>
      </c>
      <c r="AB846" s="456">
        <f t="shared" si="107"/>
        <v>42.463000000000001</v>
      </c>
      <c r="AC846" s="456">
        <v>0</v>
      </c>
      <c r="AD846" s="2"/>
      <c r="AE846" s="4"/>
      <c r="AF846" s="5"/>
      <c r="AG846" s="428"/>
    </row>
    <row r="847" spans="2:33" hidden="1" x14ac:dyDescent="0.25">
      <c r="B847" s="1" t="s">
        <v>2926</v>
      </c>
      <c r="C847" s="3" t="s">
        <v>1368</v>
      </c>
      <c r="D847" s="3" t="s">
        <v>1247</v>
      </c>
      <c r="E847" s="407" t="s">
        <v>1427</v>
      </c>
      <c r="F847" s="3" t="s">
        <v>2235</v>
      </c>
      <c r="G847" s="407" t="s">
        <v>4485</v>
      </c>
      <c r="H847" s="440" t="s">
        <v>4109</v>
      </c>
      <c r="I847" s="407" t="s">
        <v>4306</v>
      </c>
      <c r="J847" s="407" t="s">
        <v>3787</v>
      </c>
      <c r="K847" s="387" t="s">
        <v>4638</v>
      </c>
      <c r="L847" s="387">
        <v>1</v>
      </c>
      <c r="M847" s="387">
        <v>0</v>
      </c>
      <c r="N847" s="387">
        <f t="shared" si="104"/>
        <v>1</v>
      </c>
      <c r="O847" s="442">
        <f t="shared" si="105"/>
        <v>0</v>
      </c>
      <c r="P847" s="387" t="s">
        <v>1358</v>
      </c>
      <c r="Q847" s="459">
        <v>0</v>
      </c>
      <c r="R847" s="459"/>
      <c r="S847" s="456">
        <v>0</v>
      </c>
      <c r="T847" s="456">
        <v>42.463000000000001</v>
      </c>
      <c r="U847" s="410"/>
      <c r="V847" s="411">
        <v>0</v>
      </c>
      <c r="W847" s="411">
        <v>0</v>
      </c>
      <c r="X847" s="411">
        <v>0</v>
      </c>
      <c r="Y847" s="411"/>
      <c r="Z847" s="411"/>
      <c r="AA847" s="412">
        <f t="shared" si="106"/>
        <v>0</v>
      </c>
      <c r="AB847" s="456">
        <f t="shared" si="107"/>
        <v>0</v>
      </c>
      <c r="AC847" s="456">
        <v>0</v>
      </c>
      <c r="AD847" s="2"/>
      <c r="AE847" s="4"/>
      <c r="AF847" s="5"/>
      <c r="AG847" s="428"/>
    </row>
    <row r="848" spans="2:33" hidden="1" x14ac:dyDescent="0.25">
      <c r="B848" s="1" t="s">
        <v>2927</v>
      </c>
      <c r="C848" s="3" t="s">
        <v>1368</v>
      </c>
      <c r="D848" s="3" t="s">
        <v>1247</v>
      </c>
      <c r="E848" s="407" t="s">
        <v>1428</v>
      </c>
      <c r="F848" s="3" t="s">
        <v>2236</v>
      </c>
      <c r="G848" s="407" t="s">
        <v>4486</v>
      </c>
      <c r="H848" s="440" t="s">
        <v>4109</v>
      </c>
      <c r="I848" s="407" t="s">
        <v>4307</v>
      </c>
      <c r="J848" s="407" t="s">
        <v>3788</v>
      </c>
      <c r="K848" s="387" t="s">
        <v>4639</v>
      </c>
      <c r="L848" s="387">
        <v>1</v>
      </c>
      <c r="M848" s="387">
        <v>0</v>
      </c>
      <c r="N848" s="387">
        <f t="shared" si="104"/>
        <v>1</v>
      </c>
      <c r="O848" s="442">
        <f t="shared" si="105"/>
        <v>0</v>
      </c>
      <c r="P848" s="387" t="s">
        <v>1358</v>
      </c>
      <c r="Q848" s="459">
        <v>0</v>
      </c>
      <c r="R848" s="459"/>
      <c r="S848" s="456">
        <v>0</v>
      </c>
      <c r="T848" s="456">
        <v>42.463000000000001</v>
      </c>
      <c r="U848" s="410"/>
      <c r="V848" s="411">
        <v>0</v>
      </c>
      <c r="W848" s="411">
        <v>0</v>
      </c>
      <c r="X848" s="411">
        <v>0</v>
      </c>
      <c r="Y848" s="411"/>
      <c r="Z848" s="411"/>
      <c r="AA848" s="412">
        <f t="shared" si="106"/>
        <v>0</v>
      </c>
      <c r="AB848" s="456">
        <f t="shared" si="107"/>
        <v>0</v>
      </c>
      <c r="AC848" s="456">
        <v>0</v>
      </c>
      <c r="AD848" s="2"/>
      <c r="AE848" s="4"/>
      <c r="AF848" s="5"/>
      <c r="AG848" s="428"/>
    </row>
    <row r="849" spans="2:33" hidden="1" x14ac:dyDescent="0.25">
      <c r="B849" s="1" t="s">
        <v>2928</v>
      </c>
      <c r="C849" s="3" t="s">
        <v>1368</v>
      </c>
      <c r="D849" s="3" t="s">
        <v>1247</v>
      </c>
      <c r="E849" s="407" t="s">
        <v>1429</v>
      </c>
      <c r="F849" s="3" t="s">
        <v>2237</v>
      </c>
      <c r="G849" s="407" t="s">
        <v>4487</v>
      </c>
      <c r="H849" s="440" t="s">
        <v>4109</v>
      </c>
      <c r="I849" s="407" t="s">
        <v>4308</v>
      </c>
      <c r="J849" s="407" t="s">
        <v>3789</v>
      </c>
      <c r="K849" s="387" t="s">
        <v>4640</v>
      </c>
      <c r="L849" s="387">
        <v>1</v>
      </c>
      <c r="M849" s="387">
        <v>0</v>
      </c>
      <c r="N849" s="387">
        <f t="shared" si="104"/>
        <v>1</v>
      </c>
      <c r="O849" s="442">
        <f t="shared" si="105"/>
        <v>0</v>
      </c>
      <c r="P849" s="387" t="s">
        <v>1358</v>
      </c>
      <c r="Q849" s="459">
        <v>0</v>
      </c>
      <c r="R849" s="459"/>
      <c r="S849" s="456">
        <v>0</v>
      </c>
      <c r="T849" s="456">
        <v>42.463000000000001</v>
      </c>
      <c r="U849" s="410"/>
      <c r="V849" s="411">
        <v>0</v>
      </c>
      <c r="W849" s="411">
        <v>0</v>
      </c>
      <c r="X849" s="411">
        <v>0</v>
      </c>
      <c r="Y849" s="411"/>
      <c r="Z849" s="411"/>
      <c r="AA849" s="412">
        <f t="shared" si="106"/>
        <v>0</v>
      </c>
      <c r="AB849" s="456">
        <f t="shared" si="107"/>
        <v>0</v>
      </c>
      <c r="AC849" s="456">
        <v>0</v>
      </c>
      <c r="AD849" s="2"/>
      <c r="AE849" s="4"/>
      <c r="AF849" s="5"/>
      <c r="AG849" s="428"/>
    </row>
    <row r="850" spans="2:33" hidden="1" x14ac:dyDescent="0.25">
      <c r="B850" s="1" t="s">
        <v>2929</v>
      </c>
      <c r="C850" s="3" t="s">
        <v>1368</v>
      </c>
      <c r="D850" s="3" t="s">
        <v>1247</v>
      </c>
      <c r="E850" s="407" t="s">
        <v>1430</v>
      </c>
      <c r="F850" s="3" t="s">
        <v>2238</v>
      </c>
      <c r="G850" s="407" t="s">
        <v>4488</v>
      </c>
      <c r="H850" s="440" t="s">
        <v>4109</v>
      </c>
      <c r="I850" s="407" t="s">
        <v>4309</v>
      </c>
      <c r="J850" s="407" t="s">
        <v>3790</v>
      </c>
      <c r="K850" s="387" t="s">
        <v>4641</v>
      </c>
      <c r="L850" s="387">
        <v>1</v>
      </c>
      <c r="M850" s="387">
        <v>0</v>
      </c>
      <c r="N850" s="387">
        <f t="shared" si="104"/>
        <v>1</v>
      </c>
      <c r="O850" s="442">
        <f t="shared" si="105"/>
        <v>0</v>
      </c>
      <c r="P850" s="387" t="s">
        <v>1358</v>
      </c>
      <c r="Q850" s="459">
        <v>0</v>
      </c>
      <c r="R850" s="459"/>
      <c r="S850" s="456">
        <v>0</v>
      </c>
      <c r="T850" s="456">
        <v>42.463000000000001</v>
      </c>
      <c r="U850" s="410"/>
      <c r="V850" s="411">
        <v>0</v>
      </c>
      <c r="W850" s="411">
        <v>0</v>
      </c>
      <c r="X850" s="411">
        <v>0</v>
      </c>
      <c r="Y850" s="411"/>
      <c r="Z850" s="411"/>
      <c r="AA850" s="412">
        <f t="shared" si="106"/>
        <v>0</v>
      </c>
      <c r="AB850" s="456">
        <f t="shared" si="107"/>
        <v>0</v>
      </c>
      <c r="AC850" s="456">
        <v>0</v>
      </c>
      <c r="AD850" s="2"/>
      <c r="AE850" s="4"/>
      <c r="AF850" s="5"/>
      <c r="AG850" s="428"/>
    </row>
    <row r="851" spans="2:33" hidden="1" x14ac:dyDescent="0.25">
      <c r="B851" s="1" t="s">
        <v>2930</v>
      </c>
      <c r="C851" s="3" t="s">
        <v>1368</v>
      </c>
      <c r="D851" s="3" t="s">
        <v>1247</v>
      </c>
      <c r="E851" s="407" t="s">
        <v>1431</v>
      </c>
      <c r="F851" s="3" t="s">
        <v>2239</v>
      </c>
      <c r="G851" s="407" t="s">
        <v>4489</v>
      </c>
      <c r="H851" s="440" t="s">
        <v>4109</v>
      </c>
      <c r="I851" s="407" t="s">
        <v>4310</v>
      </c>
      <c r="J851" s="407" t="s">
        <v>3791</v>
      </c>
      <c r="K851" s="387" t="s">
        <v>4642</v>
      </c>
      <c r="L851" s="387">
        <v>1</v>
      </c>
      <c r="M851" s="387">
        <v>0</v>
      </c>
      <c r="N851" s="387">
        <f t="shared" si="104"/>
        <v>1</v>
      </c>
      <c r="O851" s="442">
        <f t="shared" si="105"/>
        <v>0</v>
      </c>
      <c r="P851" s="387" t="s">
        <v>1358</v>
      </c>
      <c r="Q851" s="459">
        <v>0</v>
      </c>
      <c r="R851" s="459"/>
      <c r="S851" s="456">
        <v>0</v>
      </c>
      <c r="T851" s="456">
        <v>42.463000000000001</v>
      </c>
      <c r="U851" s="410"/>
      <c r="V851" s="411">
        <v>0</v>
      </c>
      <c r="W851" s="411">
        <v>0</v>
      </c>
      <c r="X851" s="411">
        <v>0</v>
      </c>
      <c r="Y851" s="411"/>
      <c r="Z851" s="411"/>
      <c r="AA851" s="412">
        <f t="shared" si="106"/>
        <v>0</v>
      </c>
      <c r="AB851" s="456">
        <f t="shared" si="107"/>
        <v>0</v>
      </c>
      <c r="AC851" s="456">
        <v>0</v>
      </c>
      <c r="AD851" s="2"/>
      <c r="AE851" s="4"/>
      <c r="AF851" s="5"/>
      <c r="AG851" s="428"/>
    </row>
    <row r="852" spans="2:33" hidden="1" x14ac:dyDescent="0.25">
      <c r="B852" s="1" t="s">
        <v>2931</v>
      </c>
      <c r="C852" s="3" t="s">
        <v>1368</v>
      </c>
      <c r="D852" s="3" t="s">
        <v>1247</v>
      </c>
      <c r="E852" s="407" t="s">
        <v>1432</v>
      </c>
      <c r="F852" s="3" t="s">
        <v>2240</v>
      </c>
      <c r="G852" s="407" t="s">
        <v>4483</v>
      </c>
      <c r="H852" s="440" t="s">
        <v>4109</v>
      </c>
      <c r="I852" s="407" t="s">
        <v>4304</v>
      </c>
      <c r="J852" s="407" t="s">
        <v>3785</v>
      </c>
      <c r="K852" s="387" t="s">
        <v>4635</v>
      </c>
      <c r="L852" s="387">
        <v>1</v>
      </c>
      <c r="M852" s="387">
        <v>0</v>
      </c>
      <c r="N852" s="387">
        <f t="shared" si="104"/>
        <v>1</v>
      </c>
      <c r="O852" s="442">
        <f t="shared" si="105"/>
        <v>0</v>
      </c>
      <c r="P852" s="387" t="s">
        <v>1358</v>
      </c>
      <c r="Q852" s="459">
        <v>0</v>
      </c>
      <c r="R852" s="459"/>
      <c r="S852" s="456">
        <v>0</v>
      </c>
      <c r="T852" s="456">
        <v>42.463000000000001</v>
      </c>
      <c r="U852" s="410"/>
      <c r="V852" s="411">
        <v>0</v>
      </c>
      <c r="W852" s="411">
        <v>0</v>
      </c>
      <c r="X852" s="411">
        <v>0</v>
      </c>
      <c r="Y852" s="411"/>
      <c r="Z852" s="411"/>
      <c r="AA852" s="412">
        <f t="shared" si="106"/>
        <v>0</v>
      </c>
      <c r="AB852" s="456">
        <f t="shared" si="107"/>
        <v>0</v>
      </c>
      <c r="AC852" s="456">
        <v>0</v>
      </c>
      <c r="AD852" s="2"/>
      <c r="AE852" s="4"/>
      <c r="AF852" s="5"/>
      <c r="AG852" s="428"/>
    </row>
    <row r="853" spans="2:33" hidden="1" x14ac:dyDescent="0.25">
      <c r="B853" s="1" t="s">
        <v>2932</v>
      </c>
      <c r="C853" s="3" t="s">
        <v>1368</v>
      </c>
      <c r="D853" s="3" t="s">
        <v>1247</v>
      </c>
      <c r="E853" s="407" t="s">
        <v>3236</v>
      </c>
      <c r="F853" s="3" t="s">
        <v>2241</v>
      </c>
      <c r="G853" s="407" t="s">
        <v>4491</v>
      </c>
      <c r="H853" s="440" t="s">
        <v>4109</v>
      </c>
      <c r="I853" s="407" t="s">
        <v>4312</v>
      </c>
      <c r="J853" s="407" t="s">
        <v>3793</v>
      </c>
      <c r="K853" s="387" t="s">
        <v>4645</v>
      </c>
      <c r="L853" s="387">
        <v>1</v>
      </c>
      <c r="M853" s="387">
        <v>0</v>
      </c>
      <c r="N853" s="387">
        <f t="shared" si="104"/>
        <v>1</v>
      </c>
      <c r="O853" s="442">
        <f t="shared" si="105"/>
        <v>0</v>
      </c>
      <c r="P853" s="387" t="s">
        <v>1358</v>
      </c>
      <c r="Q853" s="459">
        <v>0</v>
      </c>
      <c r="R853" s="459"/>
      <c r="S853" s="456">
        <v>0</v>
      </c>
      <c r="T853" s="456">
        <v>43.728999999999999</v>
      </c>
      <c r="U853" s="410"/>
      <c r="V853" s="411">
        <v>0</v>
      </c>
      <c r="W853" s="411">
        <v>0</v>
      </c>
      <c r="X853" s="411">
        <v>0</v>
      </c>
      <c r="Y853" s="411"/>
      <c r="Z853" s="411"/>
      <c r="AA853" s="412">
        <f t="shared" si="106"/>
        <v>0</v>
      </c>
      <c r="AB853" s="456">
        <f t="shared" si="107"/>
        <v>0</v>
      </c>
      <c r="AC853" s="456">
        <v>0</v>
      </c>
      <c r="AD853" s="2"/>
      <c r="AE853" s="4"/>
      <c r="AF853" s="5"/>
      <c r="AG853" s="428"/>
    </row>
    <row r="854" spans="2:33" hidden="1" x14ac:dyDescent="0.25">
      <c r="B854" s="1" t="s">
        <v>2933</v>
      </c>
      <c r="C854" s="3" t="s">
        <v>1368</v>
      </c>
      <c r="D854" s="3" t="s">
        <v>1247</v>
      </c>
      <c r="E854" s="407" t="s">
        <v>3234</v>
      </c>
      <c r="F854" s="3" t="s">
        <v>2242</v>
      </c>
      <c r="G854" s="407" t="s">
        <v>4492</v>
      </c>
      <c r="H854" s="440" t="s">
        <v>4109</v>
      </c>
      <c r="I854" s="407" t="s">
        <v>4313</v>
      </c>
      <c r="J854" s="407" t="s">
        <v>3794</v>
      </c>
      <c r="K854" s="387" t="s">
        <v>4646</v>
      </c>
      <c r="L854" s="387">
        <v>1</v>
      </c>
      <c r="M854" s="387">
        <v>0</v>
      </c>
      <c r="N854" s="387">
        <f t="shared" si="104"/>
        <v>1</v>
      </c>
      <c r="O854" s="442">
        <f t="shared" si="105"/>
        <v>1.0000000000000002</v>
      </c>
      <c r="P854" s="387" t="s">
        <v>1358</v>
      </c>
      <c r="Q854" s="459">
        <v>0</v>
      </c>
      <c r="R854" s="459"/>
      <c r="S854" s="456">
        <v>0</v>
      </c>
      <c r="T854" s="456">
        <v>15.609</v>
      </c>
      <c r="U854" s="410"/>
      <c r="V854" s="411">
        <v>1</v>
      </c>
      <c r="W854" s="411">
        <v>1</v>
      </c>
      <c r="X854" s="411">
        <v>1</v>
      </c>
      <c r="Y854" s="411"/>
      <c r="Z854" s="411"/>
      <c r="AA854" s="412">
        <f t="shared" si="106"/>
        <v>1.0000000000000002</v>
      </c>
      <c r="AB854" s="456">
        <f t="shared" si="107"/>
        <v>15.609000000000002</v>
      </c>
      <c r="AC854" s="456">
        <v>0</v>
      </c>
      <c r="AD854" s="2"/>
      <c r="AE854" s="4"/>
      <c r="AF854" s="5"/>
      <c r="AG854" s="428"/>
    </row>
    <row r="855" spans="2:33" hidden="1" x14ac:dyDescent="0.25">
      <c r="B855" s="1" t="s">
        <v>2934</v>
      </c>
      <c r="C855" s="3" t="s">
        <v>1368</v>
      </c>
      <c r="D855" s="3" t="s">
        <v>1247</v>
      </c>
      <c r="E855" s="407" t="s">
        <v>1432</v>
      </c>
      <c r="F855" s="3" t="s">
        <v>2243</v>
      </c>
      <c r="G855" s="407" t="s">
        <v>4483</v>
      </c>
      <c r="H855" s="440" t="s">
        <v>4109</v>
      </c>
      <c r="I855" s="407" t="s">
        <v>4304</v>
      </c>
      <c r="J855" s="407" t="s">
        <v>3785</v>
      </c>
      <c r="K855" s="387" t="s">
        <v>4635</v>
      </c>
      <c r="L855" s="387">
        <v>1</v>
      </c>
      <c r="M855" s="387">
        <v>0</v>
      </c>
      <c r="N855" s="387">
        <f t="shared" si="104"/>
        <v>1</v>
      </c>
      <c r="O855" s="442">
        <f t="shared" si="105"/>
        <v>0</v>
      </c>
      <c r="P855" s="387" t="s">
        <v>1358</v>
      </c>
      <c r="Q855" s="459">
        <v>0</v>
      </c>
      <c r="R855" s="459"/>
      <c r="S855" s="456">
        <v>0</v>
      </c>
      <c r="T855" s="456">
        <v>9.3580000000000005</v>
      </c>
      <c r="U855" s="410"/>
      <c r="V855" s="411">
        <v>0</v>
      </c>
      <c r="W855" s="411">
        <v>0</v>
      </c>
      <c r="X855" s="411">
        <v>0</v>
      </c>
      <c r="Y855" s="411"/>
      <c r="Z855" s="411"/>
      <c r="AA855" s="412">
        <f t="shared" si="106"/>
        <v>0</v>
      </c>
      <c r="AB855" s="456">
        <f t="shared" si="107"/>
        <v>0</v>
      </c>
      <c r="AC855" s="456">
        <v>0</v>
      </c>
      <c r="AD855" s="2"/>
      <c r="AE855" s="4"/>
      <c r="AF855" s="5"/>
      <c r="AG855" s="428"/>
    </row>
    <row r="856" spans="2:33" hidden="1" x14ac:dyDescent="0.25">
      <c r="B856" s="1" t="s">
        <v>2935</v>
      </c>
      <c r="C856" s="3" t="s">
        <v>1368</v>
      </c>
      <c r="D856" s="3" t="s">
        <v>1247</v>
      </c>
      <c r="E856" s="407" t="s">
        <v>1427</v>
      </c>
      <c r="F856" s="3" t="s">
        <v>2244</v>
      </c>
      <c r="G856" s="407" t="s">
        <v>4485</v>
      </c>
      <c r="H856" s="440" t="s">
        <v>4109</v>
      </c>
      <c r="I856" s="407" t="s">
        <v>4306</v>
      </c>
      <c r="J856" s="407" t="s">
        <v>3787</v>
      </c>
      <c r="K856" s="387" t="s">
        <v>4638</v>
      </c>
      <c r="L856" s="387">
        <v>2</v>
      </c>
      <c r="M856" s="387">
        <v>0</v>
      </c>
      <c r="N856" s="387">
        <f t="shared" si="104"/>
        <v>2</v>
      </c>
      <c r="O856" s="442">
        <f t="shared" si="105"/>
        <v>0</v>
      </c>
      <c r="P856" s="387" t="s">
        <v>1358</v>
      </c>
      <c r="Q856" s="459">
        <v>0</v>
      </c>
      <c r="R856" s="459"/>
      <c r="S856" s="456">
        <v>0</v>
      </c>
      <c r="T856" s="456">
        <v>37.506</v>
      </c>
      <c r="U856" s="410"/>
      <c r="V856" s="411">
        <v>0</v>
      </c>
      <c r="W856" s="411">
        <v>0</v>
      </c>
      <c r="X856" s="411">
        <v>0</v>
      </c>
      <c r="Y856" s="411"/>
      <c r="Z856" s="411"/>
      <c r="AA856" s="412">
        <f t="shared" si="106"/>
        <v>0</v>
      </c>
      <c r="AB856" s="456">
        <f t="shared" si="107"/>
        <v>0</v>
      </c>
      <c r="AC856" s="456">
        <v>0</v>
      </c>
      <c r="AD856" s="2"/>
      <c r="AE856" s="4"/>
      <c r="AF856" s="5"/>
      <c r="AG856" s="428"/>
    </row>
    <row r="857" spans="2:33" hidden="1" x14ac:dyDescent="0.25">
      <c r="B857" s="1" t="s">
        <v>2936</v>
      </c>
      <c r="C857" s="3" t="s">
        <v>1368</v>
      </c>
      <c r="D857" s="3" t="s">
        <v>1247</v>
      </c>
      <c r="E857" s="407" t="s">
        <v>1432</v>
      </c>
      <c r="F857" s="3" t="s">
        <v>2245</v>
      </c>
      <c r="G857" s="407" t="s">
        <v>4483</v>
      </c>
      <c r="H857" s="440" t="s">
        <v>4109</v>
      </c>
      <c r="I857" s="407" t="s">
        <v>4304</v>
      </c>
      <c r="J857" s="407" t="s">
        <v>3785</v>
      </c>
      <c r="K857" s="387" t="s">
        <v>4635</v>
      </c>
      <c r="L857" s="387">
        <v>9</v>
      </c>
      <c r="M857" s="387">
        <v>0</v>
      </c>
      <c r="N857" s="387">
        <f t="shared" si="104"/>
        <v>9</v>
      </c>
      <c r="O857" s="442">
        <f t="shared" si="105"/>
        <v>0</v>
      </c>
      <c r="P857" s="387" t="s">
        <v>1358</v>
      </c>
      <c r="Q857" s="459">
        <v>0</v>
      </c>
      <c r="R857" s="459"/>
      <c r="S857" s="456">
        <v>0</v>
      </c>
      <c r="T857" s="456">
        <v>253.52100000000004</v>
      </c>
      <c r="U857" s="410"/>
      <c r="V857" s="411">
        <v>0</v>
      </c>
      <c r="W857" s="411">
        <v>0</v>
      </c>
      <c r="X857" s="411">
        <v>0</v>
      </c>
      <c r="Y857" s="411"/>
      <c r="Z857" s="411"/>
      <c r="AA857" s="412">
        <f t="shared" si="106"/>
        <v>0</v>
      </c>
      <c r="AB857" s="456">
        <f t="shared" si="107"/>
        <v>0</v>
      </c>
      <c r="AC857" s="456">
        <v>0</v>
      </c>
      <c r="AD857" s="2"/>
      <c r="AE857" s="4"/>
      <c r="AF857" s="5"/>
      <c r="AG857" s="428"/>
    </row>
    <row r="858" spans="2:33" hidden="1" x14ac:dyDescent="0.25">
      <c r="B858" s="1" t="s">
        <v>2937</v>
      </c>
      <c r="C858" s="3" t="s">
        <v>1368</v>
      </c>
      <c r="D858" s="3" t="s">
        <v>1247</v>
      </c>
      <c r="E858" s="407" t="s">
        <v>1433</v>
      </c>
      <c r="F858" s="3" t="s">
        <v>2246</v>
      </c>
      <c r="G858" s="407" t="s">
        <v>4490</v>
      </c>
      <c r="H858" s="440" t="s">
        <v>4109</v>
      </c>
      <c r="I858" s="407" t="s">
        <v>4311</v>
      </c>
      <c r="J858" s="407" t="s">
        <v>3792</v>
      </c>
      <c r="K858" s="387" t="s">
        <v>4644</v>
      </c>
      <c r="L858" s="387">
        <v>10</v>
      </c>
      <c r="M858" s="387">
        <v>0</v>
      </c>
      <c r="N858" s="387">
        <f t="shared" si="104"/>
        <v>10</v>
      </c>
      <c r="O858" s="442">
        <f t="shared" si="105"/>
        <v>0</v>
      </c>
      <c r="P858" s="387" t="s">
        <v>1358</v>
      </c>
      <c r="Q858" s="459">
        <v>0</v>
      </c>
      <c r="R858" s="459"/>
      <c r="S858" s="456">
        <v>0</v>
      </c>
      <c r="T858" s="456">
        <v>255.85700000000006</v>
      </c>
      <c r="U858" s="410"/>
      <c r="V858" s="411">
        <v>0</v>
      </c>
      <c r="W858" s="411">
        <v>0</v>
      </c>
      <c r="X858" s="411">
        <v>0</v>
      </c>
      <c r="Y858" s="411"/>
      <c r="Z858" s="411"/>
      <c r="AA858" s="412">
        <f t="shared" si="106"/>
        <v>0</v>
      </c>
      <c r="AB858" s="456">
        <f t="shared" si="107"/>
        <v>0</v>
      </c>
      <c r="AC858" s="456">
        <v>0</v>
      </c>
      <c r="AD858" s="2"/>
      <c r="AE858" s="4"/>
      <c r="AF858" s="5"/>
      <c r="AG858" s="428"/>
    </row>
    <row r="859" spans="2:33" hidden="1" x14ac:dyDescent="0.25">
      <c r="B859" s="1" t="s">
        <v>2938</v>
      </c>
      <c r="C859" s="3" t="s">
        <v>1368</v>
      </c>
      <c r="D859" s="3" t="s">
        <v>1247</v>
      </c>
      <c r="E859" s="407" t="s">
        <v>3306</v>
      </c>
      <c r="F859" s="3" t="s">
        <v>2247</v>
      </c>
      <c r="G859" s="407" t="s">
        <v>4484</v>
      </c>
      <c r="H859" s="440" t="s">
        <v>4109</v>
      </c>
      <c r="I859" s="407" t="s">
        <v>4305</v>
      </c>
      <c r="J859" s="407" t="s">
        <v>3786</v>
      </c>
      <c r="K859" s="387" t="s">
        <v>4636</v>
      </c>
      <c r="L859" s="387">
        <v>10</v>
      </c>
      <c r="M859" s="387">
        <v>0</v>
      </c>
      <c r="N859" s="387">
        <f t="shared" si="104"/>
        <v>10</v>
      </c>
      <c r="O859" s="442">
        <f t="shared" si="105"/>
        <v>0</v>
      </c>
      <c r="P859" s="387" t="s">
        <v>1358</v>
      </c>
      <c r="Q859" s="459">
        <v>0</v>
      </c>
      <c r="R859" s="459"/>
      <c r="S859" s="456">
        <v>0</v>
      </c>
      <c r="T859" s="456">
        <v>285.4500000000001</v>
      </c>
      <c r="U859" s="410"/>
      <c r="V859" s="411">
        <v>0</v>
      </c>
      <c r="W859" s="411">
        <v>0</v>
      </c>
      <c r="X859" s="411">
        <v>0</v>
      </c>
      <c r="Y859" s="411"/>
      <c r="Z859" s="411"/>
      <c r="AA859" s="412">
        <f t="shared" si="106"/>
        <v>0</v>
      </c>
      <c r="AB859" s="456">
        <f t="shared" si="107"/>
        <v>0</v>
      </c>
      <c r="AC859" s="456">
        <v>0</v>
      </c>
      <c r="AD859" s="2"/>
      <c r="AE859" s="4"/>
      <c r="AF859" s="5"/>
      <c r="AG859" s="428"/>
    </row>
    <row r="860" spans="2:33" hidden="1" x14ac:dyDescent="0.25">
      <c r="B860" s="1" t="s">
        <v>2939</v>
      </c>
      <c r="C860" s="3" t="s">
        <v>1368</v>
      </c>
      <c r="D860" s="3" t="s">
        <v>1247</v>
      </c>
      <c r="E860" s="407" t="s">
        <v>1431</v>
      </c>
      <c r="F860" s="3" t="s">
        <v>2248</v>
      </c>
      <c r="G860" s="407" t="s">
        <v>4489</v>
      </c>
      <c r="H860" s="440" t="s">
        <v>4109</v>
      </c>
      <c r="I860" s="407" t="s">
        <v>4310</v>
      </c>
      <c r="J860" s="407" t="s">
        <v>3791</v>
      </c>
      <c r="K860" s="387" t="s">
        <v>4642</v>
      </c>
      <c r="L860" s="387">
        <v>4</v>
      </c>
      <c r="M860" s="387">
        <v>0</v>
      </c>
      <c r="N860" s="387">
        <f t="shared" si="104"/>
        <v>4</v>
      </c>
      <c r="O860" s="442">
        <f t="shared" si="105"/>
        <v>0</v>
      </c>
      <c r="P860" s="387" t="s">
        <v>1358</v>
      </c>
      <c r="Q860" s="459">
        <v>0</v>
      </c>
      <c r="R860" s="459"/>
      <c r="S860" s="456">
        <v>0</v>
      </c>
      <c r="T860" s="456">
        <v>112.676</v>
      </c>
      <c r="U860" s="410"/>
      <c r="V860" s="411">
        <v>0</v>
      </c>
      <c r="W860" s="411">
        <v>0</v>
      </c>
      <c r="X860" s="411">
        <v>0</v>
      </c>
      <c r="Y860" s="411"/>
      <c r="Z860" s="411"/>
      <c r="AA860" s="412">
        <f t="shared" si="106"/>
        <v>0</v>
      </c>
      <c r="AB860" s="456">
        <f t="shared" si="107"/>
        <v>0</v>
      </c>
      <c r="AC860" s="456">
        <v>0</v>
      </c>
      <c r="AD860" s="2"/>
      <c r="AE860" s="4"/>
      <c r="AF860" s="5"/>
      <c r="AG860" s="428"/>
    </row>
    <row r="861" spans="2:33" hidden="1" x14ac:dyDescent="0.25">
      <c r="B861" s="1" t="s">
        <v>2940</v>
      </c>
      <c r="C861" s="3" t="s">
        <v>1368</v>
      </c>
      <c r="D861" s="3" t="s">
        <v>1247</v>
      </c>
      <c r="E861" s="407" t="s">
        <v>1431</v>
      </c>
      <c r="F861" s="3" t="s">
        <v>2249</v>
      </c>
      <c r="G861" s="407" t="s">
        <v>4489</v>
      </c>
      <c r="H861" s="440" t="s">
        <v>4109</v>
      </c>
      <c r="I861" s="407" t="s">
        <v>4310</v>
      </c>
      <c r="J861" s="407" t="s">
        <v>3791</v>
      </c>
      <c r="K861" s="387" t="s">
        <v>4642</v>
      </c>
      <c r="L861" s="387">
        <v>2</v>
      </c>
      <c r="M861" s="387">
        <v>0</v>
      </c>
      <c r="N861" s="387">
        <f t="shared" si="104"/>
        <v>2</v>
      </c>
      <c r="O861" s="442">
        <f t="shared" si="105"/>
        <v>0</v>
      </c>
      <c r="P861" s="387" t="s">
        <v>1358</v>
      </c>
      <c r="Q861" s="459">
        <v>0</v>
      </c>
      <c r="R861" s="459"/>
      <c r="S861" s="456">
        <v>0</v>
      </c>
      <c r="T861" s="456">
        <v>37.625999999999998</v>
      </c>
      <c r="U861" s="410"/>
      <c r="V861" s="411">
        <v>0</v>
      </c>
      <c r="W861" s="411">
        <v>0</v>
      </c>
      <c r="X861" s="411">
        <v>0</v>
      </c>
      <c r="Y861" s="411"/>
      <c r="Z861" s="411"/>
      <c r="AA861" s="412">
        <f t="shared" si="106"/>
        <v>0</v>
      </c>
      <c r="AB861" s="456">
        <f t="shared" si="107"/>
        <v>0</v>
      </c>
      <c r="AC861" s="456">
        <v>0</v>
      </c>
      <c r="AD861" s="2"/>
      <c r="AE861" s="4"/>
      <c r="AF861" s="5"/>
      <c r="AG861" s="428"/>
    </row>
    <row r="862" spans="2:33" hidden="1" x14ac:dyDescent="0.25">
      <c r="B862" s="1" t="s">
        <v>2941</v>
      </c>
      <c r="C862" s="3" t="s">
        <v>1368</v>
      </c>
      <c r="D862" s="3" t="s">
        <v>1247</v>
      </c>
      <c r="E862" s="407" t="s">
        <v>3293</v>
      </c>
      <c r="F862" s="3" t="s">
        <v>2250</v>
      </c>
      <c r="G862" s="407" t="s">
        <v>4503</v>
      </c>
      <c r="H862" s="440" t="s">
        <v>4109</v>
      </c>
      <c r="I862" s="407" t="s">
        <v>4324</v>
      </c>
      <c r="J862" s="407" t="s">
        <v>3798</v>
      </c>
      <c r="K862" s="387" t="s">
        <v>4658</v>
      </c>
      <c r="L862" s="387">
        <v>1</v>
      </c>
      <c r="M862" s="387">
        <v>0</v>
      </c>
      <c r="N862" s="387">
        <f t="shared" si="104"/>
        <v>1</v>
      </c>
      <c r="O862" s="442">
        <f t="shared" si="105"/>
        <v>0</v>
      </c>
      <c r="P862" s="387" t="s">
        <v>1358</v>
      </c>
      <c r="Q862" s="459">
        <v>0</v>
      </c>
      <c r="R862" s="459"/>
      <c r="S862" s="456">
        <v>0</v>
      </c>
      <c r="T862" s="456">
        <v>25.16</v>
      </c>
      <c r="U862" s="410"/>
      <c r="V862" s="411">
        <v>0</v>
      </c>
      <c r="W862" s="411">
        <v>0</v>
      </c>
      <c r="X862" s="411">
        <v>0</v>
      </c>
      <c r="Y862" s="411"/>
      <c r="Z862" s="411"/>
      <c r="AA862" s="412">
        <f t="shared" si="106"/>
        <v>0</v>
      </c>
      <c r="AB862" s="456">
        <f t="shared" si="107"/>
        <v>0</v>
      </c>
      <c r="AC862" s="456">
        <v>0</v>
      </c>
      <c r="AD862" s="2"/>
      <c r="AE862" s="4"/>
      <c r="AF862" s="5"/>
      <c r="AG862" s="428"/>
    </row>
    <row r="863" spans="2:33" hidden="1" x14ac:dyDescent="0.25">
      <c r="B863" s="1" t="s">
        <v>2942</v>
      </c>
      <c r="C863" s="3" t="s">
        <v>1368</v>
      </c>
      <c r="D863" s="3" t="s">
        <v>1247</v>
      </c>
      <c r="E863" s="407" t="s">
        <v>1398</v>
      </c>
      <c r="F863" s="3" t="s">
        <v>2251</v>
      </c>
      <c r="G863" s="407" t="s">
        <v>4496</v>
      </c>
      <c r="H863" s="440" t="s">
        <v>4109</v>
      </c>
      <c r="I863" s="407" t="s">
        <v>4317</v>
      </c>
      <c r="J863" s="407" t="s">
        <v>3796</v>
      </c>
      <c r="K863" s="387" t="s">
        <v>4650</v>
      </c>
      <c r="L863" s="387">
        <v>1</v>
      </c>
      <c r="M863" s="387">
        <v>0</v>
      </c>
      <c r="N863" s="387">
        <f t="shared" si="104"/>
        <v>1</v>
      </c>
      <c r="O863" s="442">
        <f t="shared" si="105"/>
        <v>1.0000000000000002</v>
      </c>
      <c r="P863" s="387" t="s">
        <v>1358</v>
      </c>
      <c r="Q863" s="459">
        <v>0</v>
      </c>
      <c r="R863" s="459"/>
      <c r="S863" s="456">
        <v>0</v>
      </c>
      <c r="T863" s="456">
        <v>25.911999999999999</v>
      </c>
      <c r="U863" s="410"/>
      <c r="V863" s="411">
        <v>1</v>
      </c>
      <c r="W863" s="411">
        <v>1</v>
      </c>
      <c r="X863" s="411">
        <v>1</v>
      </c>
      <c r="Y863" s="411"/>
      <c r="Z863" s="411"/>
      <c r="AA863" s="412">
        <f t="shared" si="106"/>
        <v>1.0000000000000002</v>
      </c>
      <c r="AB863" s="456">
        <f t="shared" si="107"/>
        <v>25.912000000000003</v>
      </c>
      <c r="AC863" s="456">
        <v>0</v>
      </c>
      <c r="AD863" s="2"/>
      <c r="AE863" s="4"/>
      <c r="AF863" s="5"/>
      <c r="AG863" s="428"/>
    </row>
    <row r="864" spans="2:33" hidden="1" x14ac:dyDescent="0.25">
      <c r="B864" s="1" t="s">
        <v>2943</v>
      </c>
      <c r="C864" s="3" t="s">
        <v>1368</v>
      </c>
      <c r="D864" s="3" t="s">
        <v>1247</v>
      </c>
      <c r="E864" s="407" t="s">
        <v>1374</v>
      </c>
      <c r="F864" s="3" t="s">
        <v>2252</v>
      </c>
      <c r="G864" s="407" t="s">
        <v>4495</v>
      </c>
      <c r="H864" s="440" t="s">
        <v>4109</v>
      </c>
      <c r="I864" s="407" t="s">
        <v>4316</v>
      </c>
      <c r="J864" s="407" t="s">
        <v>3757</v>
      </c>
      <c r="K864" s="387" t="s">
        <v>4665</v>
      </c>
      <c r="L864" s="387">
        <v>2</v>
      </c>
      <c r="M864" s="387">
        <v>0</v>
      </c>
      <c r="N864" s="387">
        <f t="shared" si="104"/>
        <v>2</v>
      </c>
      <c r="O864" s="442">
        <f t="shared" si="105"/>
        <v>2.0000000000000004</v>
      </c>
      <c r="P864" s="387" t="s">
        <v>1358</v>
      </c>
      <c r="Q864" s="459">
        <v>0</v>
      </c>
      <c r="R864" s="459"/>
      <c r="S864" s="456">
        <v>0</v>
      </c>
      <c r="T864" s="456">
        <v>51.82</v>
      </c>
      <c r="U864" s="410"/>
      <c r="V864" s="411">
        <v>1</v>
      </c>
      <c r="W864" s="411">
        <v>1</v>
      </c>
      <c r="X864" s="411">
        <v>1</v>
      </c>
      <c r="Y864" s="411"/>
      <c r="Z864" s="411"/>
      <c r="AA864" s="412">
        <f t="shared" si="106"/>
        <v>1.0000000000000002</v>
      </c>
      <c r="AB864" s="456">
        <f t="shared" si="107"/>
        <v>51.820000000000007</v>
      </c>
      <c r="AC864" s="456">
        <v>0</v>
      </c>
      <c r="AD864" s="2"/>
      <c r="AE864" s="4"/>
      <c r="AF864" s="5"/>
      <c r="AG864" s="428"/>
    </row>
    <row r="865" spans="2:33" hidden="1" x14ac:dyDescent="0.25">
      <c r="B865" s="1" t="s">
        <v>2944</v>
      </c>
      <c r="C865" s="3" t="s">
        <v>1368</v>
      </c>
      <c r="D865" s="3" t="s">
        <v>1247</v>
      </c>
      <c r="E865" s="407" t="s">
        <v>1377</v>
      </c>
      <c r="F865" s="3" t="s">
        <v>2253</v>
      </c>
      <c r="G865" s="407" t="s">
        <v>4494</v>
      </c>
      <c r="H865" s="440" t="s">
        <v>4109</v>
      </c>
      <c r="I865" s="407" t="s">
        <v>4315</v>
      </c>
      <c r="J865" s="407" t="s">
        <v>3749</v>
      </c>
      <c r="K865" s="387" t="s">
        <v>4648</v>
      </c>
      <c r="L865" s="387">
        <v>1</v>
      </c>
      <c r="M865" s="387">
        <v>0</v>
      </c>
      <c r="N865" s="387">
        <f t="shared" si="104"/>
        <v>1</v>
      </c>
      <c r="O865" s="442">
        <f t="shared" si="105"/>
        <v>1.0000000000000002</v>
      </c>
      <c r="P865" s="387" t="s">
        <v>1358</v>
      </c>
      <c r="Q865" s="459">
        <v>0</v>
      </c>
      <c r="R865" s="459"/>
      <c r="S865" s="456">
        <v>0</v>
      </c>
      <c r="T865" s="456">
        <v>25.911999999999999</v>
      </c>
      <c r="U865" s="410"/>
      <c r="V865" s="411">
        <v>1</v>
      </c>
      <c r="W865" s="411">
        <v>1</v>
      </c>
      <c r="X865" s="411">
        <v>1</v>
      </c>
      <c r="Y865" s="411"/>
      <c r="Z865" s="411"/>
      <c r="AA865" s="412">
        <f t="shared" si="106"/>
        <v>1.0000000000000002</v>
      </c>
      <c r="AB865" s="456">
        <f t="shared" si="107"/>
        <v>25.912000000000003</v>
      </c>
      <c r="AC865" s="456">
        <v>0</v>
      </c>
      <c r="AD865" s="2"/>
      <c r="AE865" s="4"/>
      <c r="AF865" s="5"/>
      <c r="AG865" s="428"/>
    </row>
    <row r="866" spans="2:33" hidden="1" x14ac:dyDescent="0.25">
      <c r="B866" s="1" t="s">
        <v>2945</v>
      </c>
      <c r="C866" s="3" t="s">
        <v>1368</v>
      </c>
      <c r="D866" s="3" t="s">
        <v>1247</v>
      </c>
      <c r="E866" s="407" t="s">
        <v>1379</v>
      </c>
      <c r="F866" s="3" t="s">
        <v>2254</v>
      </c>
      <c r="G866" s="407" t="s">
        <v>4502</v>
      </c>
      <c r="H866" s="440" t="s">
        <v>4109</v>
      </c>
      <c r="I866" s="407" t="s">
        <v>4323</v>
      </c>
      <c r="J866" s="407" t="s">
        <v>3750</v>
      </c>
      <c r="K866" s="387" t="s">
        <v>4632</v>
      </c>
      <c r="L866" s="387">
        <v>1</v>
      </c>
      <c r="M866" s="387">
        <v>0</v>
      </c>
      <c r="N866" s="387">
        <f t="shared" si="104"/>
        <v>1</v>
      </c>
      <c r="O866" s="442">
        <f t="shared" si="105"/>
        <v>1.0000000000000002</v>
      </c>
      <c r="P866" s="387" t="s">
        <v>1358</v>
      </c>
      <c r="Q866" s="459">
        <v>0</v>
      </c>
      <c r="R866" s="459"/>
      <c r="S866" s="456">
        <v>0</v>
      </c>
      <c r="T866" s="456">
        <v>25.911999999999999</v>
      </c>
      <c r="U866" s="410"/>
      <c r="V866" s="411">
        <v>1</v>
      </c>
      <c r="W866" s="411">
        <v>1</v>
      </c>
      <c r="X866" s="411">
        <v>1</v>
      </c>
      <c r="Y866" s="411"/>
      <c r="Z866" s="411"/>
      <c r="AA866" s="412">
        <f t="shared" si="106"/>
        <v>1.0000000000000002</v>
      </c>
      <c r="AB866" s="456">
        <f t="shared" si="107"/>
        <v>25.912000000000003</v>
      </c>
      <c r="AC866" s="456">
        <v>0</v>
      </c>
      <c r="AD866" s="2"/>
      <c r="AE866" s="4"/>
      <c r="AF866" s="5"/>
      <c r="AG866" s="428"/>
    </row>
    <row r="867" spans="2:33" hidden="1" x14ac:dyDescent="0.25">
      <c r="B867" s="1" t="s">
        <v>2946</v>
      </c>
      <c r="C867" s="3" t="s">
        <v>1368</v>
      </c>
      <c r="D867" s="3" t="s">
        <v>1247</v>
      </c>
      <c r="E867" s="407" t="s">
        <v>1381</v>
      </c>
      <c r="F867" s="3" t="s">
        <v>2255</v>
      </c>
      <c r="G867" s="407" t="s">
        <v>4497</v>
      </c>
      <c r="H867" s="440" t="s">
        <v>4109</v>
      </c>
      <c r="I867" s="407" t="s">
        <v>4318</v>
      </c>
      <c r="J867" s="407" t="s">
        <v>3751</v>
      </c>
      <c r="K867" s="387" t="s">
        <v>4631</v>
      </c>
      <c r="L867" s="387">
        <v>1</v>
      </c>
      <c r="M867" s="387">
        <v>0</v>
      </c>
      <c r="N867" s="387">
        <f t="shared" si="104"/>
        <v>1</v>
      </c>
      <c r="O867" s="442">
        <f t="shared" si="105"/>
        <v>1</v>
      </c>
      <c r="P867" s="387" t="s">
        <v>1358</v>
      </c>
      <c r="Q867" s="459">
        <v>0</v>
      </c>
      <c r="R867" s="459"/>
      <c r="S867" s="456">
        <v>0</v>
      </c>
      <c r="T867" s="456">
        <v>25.92</v>
      </c>
      <c r="U867" s="410"/>
      <c r="V867" s="411">
        <v>1</v>
      </c>
      <c r="W867" s="411">
        <v>1</v>
      </c>
      <c r="X867" s="411">
        <v>1</v>
      </c>
      <c r="Y867" s="411"/>
      <c r="Z867" s="411"/>
      <c r="AA867" s="412">
        <f t="shared" si="106"/>
        <v>1</v>
      </c>
      <c r="AB867" s="456">
        <f t="shared" si="107"/>
        <v>25.92</v>
      </c>
      <c r="AC867" s="456">
        <v>0</v>
      </c>
      <c r="AD867" s="2"/>
      <c r="AE867" s="4"/>
      <c r="AF867" s="5"/>
      <c r="AG867" s="428"/>
    </row>
    <row r="868" spans="2:33" hidden="1" x14ac:dyDescent="0.25">
      <c r="B868" s="1" t="s">
        <v>2947</v>
      </c>
      <c r="C868" s="3" t="s">
        <v>1368</v>
      </c>
      <c r="D868" s="3" t="s">
        <v>1247</v>
      </c>
      <c r="E868" s="407" t="s">
        <v>1396</v>
      </c>
      <c r="F868" s="3" t="s">
        <v>2256</v>
      </c>
      <c r="G868" s="407" t="s">
        <v>4498</v>
      </c>
      <c r="H868" s="440" t="s">
        <v>4109</v>
      </c>
      <c r="I868" s="407" t="s">
        <v>4319</v>
      </c>
      <c r="J868" s="407" t="s">
        <v>3752</v>
      </c>
      <c r="K868" s="387" t="s">
        <v>4652</v>
      </c>
      <c r="L868" s="387">
        <v>1</v>
      </c>
      <c r="M868" s="387">
        <v>0</v>
      </c>
      <c r="N868" s="387">
        <f t="shared" si="104"/>
        <v>1</v>
      </c>
      <c r="O868" s="442">
        <f t="shared" si="105"/>
        <v>1</v>
      </c>
      <c r="P868" s="387" t="s">
        <v>1358</v>
      </c>
      <c r="Q868" s="459">
        <v>0</v>
      </c>
      <c r="R868" s="459"/>
      <c r="S868" s="456">
        <v>0</v>
      </c>
      <c r="T868" s="456">
        <v>32.151000000000003</v>
      </c>
      <c r="U868" s="410"/>
      <c r="V868" s="411">
        <v>1</v>
      </c>
      <c r="W868" s="411">
        <v>1</v>
      </c>
      <c r="X868" s="411">
        <v>1</v>
      </c>
      <c r="Y868" s="411"/>
      <c r="Z868" s="411"/>
      <c r="AA868" s="412">
        <f t="shared" si="106"/>
        <v>1</v>
      </c>
      <c r="AB868" s="456">
        <f t="shared" si="107"/>
        <v>32.151000000000003</v>
      </c>
      <c r="AC868" s="456">
        <v>0</v>
      </c>
      <c r="AD868" s="2"/>
      <c r="AE868" s="4"/>
      <c r="AF868" s="5"/>
      <c r="AG868" s="428"/>
    </row>
    <row r="869" spans="2:33" hidden="1" x14ac:dyDescent="0.25">
      <c r="B869" s="1" t="s">
        <v>2948</v>
      </c>
      <c r="C869" s="3" t="s">
        <v>1368</v>
      </c>
      <c r="D869" s="3" t="s">
        <v>1247</v>
      </c>
      <c r="E869" s="407" t="s">
        <v>1396</v>
      </c>
      <c r="F869" s="3" t="s">
        <v>2257</v>
      </c>
      <c r="G869" s="407" t="s">
        <v>4498</v>
      </c>
      <c r="H869" s="440" t="s">
        <v>4109</v>
      </c>
      <c r="I869" s="407" t="s">
        <v>4319</v>
      </c>
      <c r="J869" s="407" t="s">
        <v>3752</v>
      </c>
      <c r="K869" s="387" t="s">
        <v>4652</v>
      </c>
      <c r="L869" s="387">
        <v>1</v>
      </c>
      <c r="M869" s="387">
        <v>0</v>
      </c>
      <c r="N869" s="387">
        <f t="shared" si="104"/>
        <v>1</v>
      </c>
      <c r="O869" s="442">
        <f t="shared" si="105"/>
        <v>1</v>
      </c>
      <c r="P869" s="387" t="s">
        <v>1358</v>
      </c>
      <c r="Q869" s="459">
        <v>0</v>
      </c>
      <c r="R869" s="459"/>
      <c r="S869" s="456">
        <v>0</v>
      </c>
      <c r="T869" s="456">
        <v>19.376000000000001</v>
      </c>
      <c r="U869" s="410"/>
      <c r="V869" s="411">
        <v>1</v>
      </c>
      <c r="W869" s="411">
        <v>1</v>
      </c>
      <c r="X869" s="411">
        <v>1</v>
      </c>
      <c r="Y869" s="411"/>
      <c r="Z869" s="411"/>
      <c r="AA869" s="412">
        <f t="shared" si="106"/>
        <v>1</v>
      </c>
      <c r="AB869" s="456">
        <f t="shared" si="107"/>
        <v>19.376000000000001</v>
      </c>
      <c r="AC869" s="456">
        <v>0</v>
      </c>
      <c r="AD869" s="2"/>
      <c r="AE869" s="4"/>
      <c r="AF869" s="5"/>
      <c r="AG869" s="428"/>
    </row>
    <row r="870" spans="2:33" hidden="1" x14ac:dyDescent="0.25">
      <c r="B870" s="1" t="s">
        <v>2949</v>
      </c>
      <c r="C870" s="3" t="s">
        <v>1368</v>
      </c>
      <c r="D870" s="3" t="s">
        <v>1247</v>
      </c>
      <c r="E870" s="407" t="s">
        <v>1425</v>
      </c>
      <c r="F870" s="3" t="s">
        <v>2258</v>
      </c>
      <c r="G870" s="407" t="s">
        <v>4479</v>
      </c>
      <c r="H870" s="440" t="s">
        <v>4109</v>
      </c>
      <c r="I870" s="407" t="s">
        <v>4300</v>
      </c>
      <c r="J870" s="407" t="s">
        <v>3781</v>
      </c>
      <c r="K870" s="387" t="s">
        <v>4643</v>
      </c>
      <c r="L870" s="387">
        <v>1</v>
      </c>
      <c r="M870" s="387">
        <v>0</v>
      </c>
      <c r="N870" s="387">
        <f t="shared" si="104"/>
        <v>1</v>
      </c>
      <c r="O870" s="442">
        <f t="shared" si="105"/>
        <v>1.0000000000000002</v>
      </c>
      <c r="P870" s="387" t="s">
        <v>1358</v>
      </c>
      <c r="Q870" s="459">
        <v>0</v>
      </c>
      <c r="R870" s="459"/>
      <c r="S870" s="456">
        <v>0</v>
      </c>
      <c r="T870" s="456">
        <v>25.07</v>
      </c>
      <c r="U870" s="410"/>
      <c r="V870" s="411">
        <v>1</v>
      </c>
      <c r="W870" s="411">
        <v>1</v>
      </c>
      <c r="X870" s="411">
        <v>1</v>
      </c>
      <c r="Y870" s="411"/>
      <c r="Z870" s="411"/>
      <c r="AA870" s="412">
        <f t="shared" si="106"/>
        <v>1.0000000000000002</v>
      </c>
      <c r="AB870" s="456">
        <f t="shared" si="107"/>
        <v>25.070000000000004</v>
      </c>
      <c r="AC870" s="456">
        <v>0</v>
      </c>
      <c r="AD870" s="2"/>
      <c r="AE870" s="4"/>
      <c r="AF870" s="5"/>
      <c r="AG870" s="428"/>
    </row>
    <row r="871" spans="2:33" hidden="1" x14ac:dyDescent="0.25">
      <c r="B871" s="1" t="s">
        <v>2950</v>
      </c>
      <c r="C871" s="3" t="s">
        <v>1368</v>
      </c>
      <c r="D871" s="3" t="s">
        <v>1247</v>
      </c>
      <c r="E871" s="407" t="s">
        <v>1397</v>
      </c>
      <c r="F871" s="3" t="s">
        <v>2259</v>
      </c>
      <c r="G871" s="407" t="s">
        <v>4493</v>
      </c>
      <c r="H871" s="440" t="s">
        <v>4109</v>
      </c>
      <c r="I871" s="407" t="s">
        <v>4314</v>
      </c>
      <c r="J871" s="407" t="s">
        <v>3795</v>
      </c>
      <c r="K871" s="387" t="s">
        <v>4647</v>
      </c>
      <c r="L871" s="387">
        <v>1</v>
      </c>
      <c r="M871" s="387">
        <v>0</v>
      </c>
      <c r="N871" s="387">
        <f t="shared" si="104"/>
        <v>1</v>
      </c>
      <c r="O871" s="442">
        <f t="shared" si="105"/>
        <v>1.0000000000000002</v>
      </c>
      <c r="P871" s="387" t="s">
        <v>1358</v>
      </c>
      <c r="Q871" s="459">
        <v>0</v>
      </c>
      <c r="R871" s="459"/>
      <c r="S871" s="456">
        <v>0</v>
      </c>
      <c r="T871" s="456">
        <v>25.07</v>
      </c>
      <c r="U871" s="410"/>
      <c r="V871" s="411">
        <v>1</v>
      </c>
      <c r="W871" s="411">
        <v>1</v>
      </c>
      <c r="X871" s="411">
        <v>1</v>
      </c>
      <c r="Y871" s="411"/>
      <c r="Z871" s="411"/>
      <c r="AA871" s="412">
        <f t="shared" si="106"/>
        <v>1.0000000000000002</v>
      </c>
      <c r="AB871" s="456">
        <f t="shared" si="107"/>
        <v>25.070000000000004</v>
      </c>
      <c r="AC871" s="456">
        <v>0</v>
      </c>
      <c r="AD871" s="2"/>
      <c r="AE871" s="4"/>
      <c r="AF871" s="5"/>
      <c r="AG871" s="428"/>
    </row>
    <row r="872" spans="2:33" hidden="1" x14ac:dyDescent="0.25">
      <c r="B872" s="1" t="s">
        <v>2951</v>
      </c>
      <c r="C872" s="3" t="s">
        <v>1368</v>
      </c>
      <c r="D872" s="3" t="s">
        <v>1247</v>
      </c>
      <c r="E872" s="407" t="s">
        <v>1374</v>
      </c>
      <c r="F872" s="3" t="s">
        <v>2260</v>
      </c>
      <c r="G872" s="407" t="s">
        <v>4495</v>
      </c>
      <c r="H872" s="440" t="s">
        <v>4109</v>
      </c>
      <c r="I872" s="407" t="s">
        <v>4316</v>
      </c>
      <c r="J872" s="407" t="s">
        <v>3757</v>
      </c>
      <c r="K872" s="387" t="s">
        <v>4649</v>
      </c>
      <c r="L872" s="387">
        <v>1</v>
      </c>
      <c r="M872" s="387">
        <v>0</v>
      </c>
      <c r="N872" s="387">
        <f t="shared" si="104"/>
        <v>1</v>
      </c>
      <c r="O872" s="442">
        <f t="shared" si="105"/>
        <v>1.0000000000000002</v>
      </c>
      <c r="P872" s="387" t="s">
        <v>1358</v>
      </c>
      <c r="Q872" s="459">
        <v>0</v>
      </c>
      <c r="R872" s="459"/>
      <c r="S872" s="456">
        <v>0</v>
      </c>
      <c r="T872" s="456">
        <v>25.07</v>
      </c>
      <c r="U872" s="410"/>
      <c r="V872" s="411">
        <v>1</v>
      </c>
      <c r="W872" s="411">
        <v>1</v>
      </c>
      <c r="X872" s="411">
        <v>1</v>
      </c>
      <c r="Y872" s="411"/>
      <c r="Z872" s="411"/>
      <c r="AA872" s="412">
        <f t="shared" si="106"/>
        <v>1.0000000000000002</v>
      </c>
      <c r="AB872" s="456">
        <f t="shared" si="107"/>
        <v>25.070000000000004</v>
      </c>
      <c r="AC872" s="456">
        <v>0</v>
      </c>
      <c r="AD872" s="2"/>
      <c r="AE872" s="4"/>
      <c r="AF872" s="5"/>
      <c r="AG872" s="428"/>
    </row>
    <row r="873" spans="2:33" hidden="1" x14ac:dyDescent="0.25">
      <c r="B873" s="1" t="s">
        <v>2952</v>
      </c>
      <c r="C873" s="3" t="s">
        <v>1368</v>
      </c>
      <c r="D873" s="3" t="s">
        <v>1247</v>
      </c>
      <c r="E873" s="407" t="s">
        <v>1377</v>
      </c>
      <c r="F873" s="3" t="s">
        <v>2261</v>
      </c>
      <c r="G873" s="407" t="s">
        <v>4494</v>
      </c>
      <c r="H873" s="440" t="s">
        <v>4109</v>
      </c>
      <c r="I873" s="407" t="s">
        <v>4315</v>
      </c>
      <c r="J873" s="407" t="s">
        <v>3749</v>
      </c>
      <c r="K873" s="387" t="s">
        <v>4648</v>
      </c>
      <c r="L873" s="387">
        <v>1</v>
      </c>
      <c r="M873" s="387">
        <v>0</v>
      </c>
      <c r="N873" s="387">
        <f t="shared" si="104"/>
        <v>1</v>
      </c>
      <c r="O873" s="442">
        <f t="shared" si="105"/>
        <v>1.0000000000000002</v>
      </c>
      <c r="P873" s="387" t="s">
        <v>1358</v>
      </c>
      <c r="Q873" s="459">
        <v>0</v>
      </c>
      <c r="R873" s="459"/>
      <c r="S873" s="456">
        <v>0</v>
      </c>
      <c r="T873" s="456">
        <v>25.07</v>
      </c>
      <c r="U873" s="410"/>
      <c r="V873" s="411">
        <v>1</v>
      </c>
      <c r="W873" s="411">
        <v>1</v>
      </c>
      <c r="X873" s="411">
        <v>1</v>
      </c>
      <c r="Y873" s="411"/>
      <c r="Z873" s="411"/>
      <c r="AA873" s="412">
        <f t="shared" si="106"/>
        <v>1.0000000000000002</v>
      </c>
      <c r="AB873" s="456">
        <f t="shared" si="107"/>
        <v>25.070000000000004</v>
      </c>
      <c r="AC873" s="456">
        <v>0</v>
      </c>
      <c r="AD873" s="2"/>
      <c r="AE873" s="4"/>
      <c r="AF873" s="5"/>
      <c r="AG873" s="428"/>
    </row>
    <row r="874" spans="2:33" hidden="1" x14ac:dyDescent="0.25">
      <c r="B874" s="1" t="s">
        <v>2953</v>
      </c>
      <c r="C874" s="3" t="s">
        <v>1368</v>
      </c>
      <c r="D874" s="3" t="s">
        <v>1247</v>
      </c>
      <c r="E874" s="407" t="s">
        <v>1379</v>
      </c>
      <c r="F874" s="3" t="s">
        <v>2262</v>
      </c>
      <c r="G874" s="407" t="s">
        <v>4502</v>
      </c>
      <c r="H874" s="440" t="s">
        <v>4109</v>
      </c>
      <c r="I874" s="407" t="s">
        <v>4323</v>
      </c>
      <c r="J874" s="407" t="s">
        <v>3750</v>
      </c>
      <c r="K874" s="387" t="s">
        <v>4632</v>
      </c>
      <c r="L874" s="387">
        <v>1</v>
      </c>
      <c r="M874" s="387">
        <v>0</v>
      </c>
      <c r="N874" s="387">
        <f t="shared" si="104"/>
        <v>1</v>
      </c>
      <c r="O874" s="442">
        <f t="shared" si="105"/>
        <v>1.0000000000000002</v>
      </c>
      <c r="P874" s="387" t="s">
        <v>1358</v>
      </c>
      <c r="Q874" s="459">
        <v>0</v>
      </c>
      <c r="R874" s="459"/>
      <c r="S874" s="456">
        <v>0</v>
      </c>
      <c r="T874" s="456">
        <v>25.07</v>
      </c>
      <c r="U874" s="410"/>
      <c r="V874" s="411">
        <v>1</v>
      </c>
      <c r="W874" s="411">
        <v>1</v>
      </c>
      <c r="X874" s="411">
        <v>1</v>
      </c>
      <c r="Y874" s="411"/>
      <c r="Z874" s="411"/>
      <c r="AA874" s="412">
        <f t="shared" si="106"/>
        <v>1.0000000000000002</v>
      </c>
      <c r="AB874" s="456">
        <f t="shared" si="107"/>
        <v>25.070000000000004</v>
      </c>
      <c r="AC874" s="456">
        <v>0</v>
      </c>
      <c r="AD874" s="2"/>
      <c r="AE874" s="4"/>
      <c r="AF874" s="5"/>
      <c r="AG874" s="428"/>
    </row>
    <row r="875" spans="2:33" hidden="1" x14ac:dyDescent="0.25">
      <c r="B875" s="1" t="s">
        <v>2954</v>
      </c>
      <c r="C875" s="3" t="s">
        <v>1368</v>
      </c>
      <c r="D875" s="3" t="s">
        <v>1247</v>
      </c>
      <c r="E875" s="407" t="s">
        <v>1381</v>
      </c>
      <c r="F875" s="3" t="s">
        <v>2263</v>
      </c>
      <c r="G875" s="407" t="s">
        <v>4497</v>
      </c>
      <c r="H875" s="440" t="s">
        <v>4109</v>
      </c>
      <c r="I875" s="407" t="s">
        <v>4318</v>
      </c>
      <c r="J875" s="407" t="s">
        <v>3751</v>
      </c>
      <c r="K875" s="387" t="s">
        <v>4631</v>
      </c>
      <c r="L875" s="387">
        <v>1</v>
      </c>
      <c r="M875" s="387">
        <v>0</v>
      </c>
      <c r="N875" s="387">
        <f t="shared" si="104"/>
        <v>1</v>
      </c>
      <c r="O875" s="442">
        <f t="shared" si="105"/>
        <v>1.0000000000000002</v>
      </c>
      <c r="P875" s="387" t="s">
        <v>1358</v>
      </c>
      <c r="Q875" s="459">
        <v>0</v>
      </c>
      <c r="R875" s="459"/>
      <c r="S875" s="456">
        <v>0</v>
      </c>
      <c r="T875" s="456">
        <v>25.07</v>
      </c>
      <c r="U875" s="410"/>
      <c r="V875" s="411">
        <v>1</v>
      </c>
      <c r="W875" s="411">
        <v>1</v>
      </c>
      <c r="X875" s="411">
        <v>1</v>
      </c>
      <c r="Y875" s="411"/>
      <c r="Z875" s="411"/>
      <c r="AA875" s="412">
        <f t="shared" si="106"/>
        <v>1.0000000000000002</v>
      </c>
      <c r="AB875" s="456">
        <f t="shared" si="107"/>
        <v>25.070000000000004</v>
      </c>
      <c r="AC875" s="456">
        <v>0</v>
      </c>
      <c r="AD875" s="2"/>
      <c r="AE875" s="4"/>
      <c r="AF875" s="5"/>
      <c r="AG875" s="428"/>
    </row>
    <row r="876" spans="2:33" hidden="1" x14ac:dyDescent="0.25">
      <c r="B876" s="1" t="s">
        <v>2955</v>
      </c>
      <c r="C876" s="3" t="s">
        <v>1368</v>
      </c>
      <c r="D876" s="3" t="s">
        <v>1247</v>
      </c>
      <c r="E876" s="407" t="s">
        <v>1396</v>
      </c>
      <c r="F876" s="3" t="s">
        <v>2264</v>
      </c>
      <c r="G876" s="407" t="s">
        <v>4498</v>
      </c>
      <c r="H876" s="440" t="s">
        <v>4109</v>
      </c>
      <c r="I876" s="407" t="s">
        <v>4319</v>
      </c>
      <c r="J876" s="407" t="s">
        <v>3752</v>
      </c>
      <c r="K876" s="387" t="s">
        <v>4652</v>
      </c>
      <c r="L876" s="387">
        <v>1</v>
      </c>
      <c r="M876" s="387">
        <v>0</v>
      </c>
      <c r="N876" s="387">
        <f t="shared" si="104"/>
        <v>1</v>
      </c>
      <c r="O876" s="442">
        <f t="shared" si="105"/>
        <v>1.0000000000000002</v>
      </c>
      <c r="P876" s="387" t="s">
        <v>1358</v>
      </c>
      <c r="Q876" s="459">
        <v>0</v>
      </c>
      <c r="R876" s="459"/>
      <c r="S876" s="456">
        <v>0</v>
      </c>
      <c r="T876" s="456">
        <v>25.07</v>
      </c>
      <c r="U876" s="410"/>
      <c r="V876" s="411">
        <v>1</v>
      </c>
      <c r="W876" s="411">
        <v>1</v>
      </c>
      <c r="X876" s="411">
        <v>1</v>
      </c>
      <c r="Y876" s="411"/>
      <c r="Z876" s="411"/>
      <c r="AA876" s="412">
        <f t="shared" si="106"/>
        <v>1.0000000000000002</v>
      </c>
      <c r="AB876" s="456">
        <f t="shared" si="107"/>
        <v>25.070000000000004</v>
      </c>
      <c r="AC876" s="456">
        <v>0</v>
      </c>
      <c r="AD876" s="2"/>
      <c r="AE876" s="4"/>
      <c r="AF876" s="5"/>
      <c r="AG876" s="428"/>
    </row>
    <row r="877" spans="2:33" hidden="1" x14ac:dyDescent="0.25">
      <c r="B877" s="1" t="s">
        <v>2956</v>
      </c>
      <c r="C877" s="3" t="s">
        <v>1368</v>
      </c>
      <c r="D877" s="3" t="s">
        <v>1247</v>
      </c>
      <c r="E877" s="407" t="s">
        <v>1399</v>
      </c>
      <c r="F877" s="3" t="s">
        <v>2265</v>
      </c>
      <c r="G877" s="407" t="s">
        <v>4499</v>
      </c>
      <c r="H877" s="440" t="s">
        <v>4109</v>
      </c>
      <c r="I877" s="407" t="s">
        <v>4320</v>
      </c>
      <c r="J877" s="407" t="s">
        <v>3758</v>
      </c>
      <c r="K877" s="387" t="s">
        <v>4653</v>
      </c>
      <c r="L877" s="387">
        <v>1</v>
      </c>
      <c r="M877" s="387">
        <v>0</v>
      </c>
      <c r="N877" s="387">
        <f t="shared" si="104"/>
        <v>1</v>
      </c>
      <c r="O877" s="442">
        <f t="shared" si="105"/>
        <v>1.0000000000000002</v>
      </c>
      <c r="P877" s="387" t="s">
        <v>1358</v>
      </c>
      <c r="Q877" s="459">
        <v>0</v>
      </c>
      <c r="R877" s="459"/>
      <c r="S877" s="456">
        <v>0</v>
      </c>
      <c r="T877" s="456">
        <v>25.07</v>
      </c>
      <c r="U877" s="410"/>
      <c r="V877" s="411">
        <v>1</v>
      </c>
      <c r="W877" s="411">
        <v>1</v>
      </c>
      <c r="X877" s="411">
        <v>1</v>
      </c>
      <c r="Y877" s="411"/>
      <c r="Z877" s="411"/>
      <c r="AA877" s="412">
        <f t="shared" si="106"/>
        <v>1.0000000000000002</v>
      </c>
      <c r="AB877" s="456">
        <f t="shared" si="107"/>
        <v>25.070000000000004</v>
      </c>
      <c r="AC877" s="456">
        <v>0</v>
      </c>
      <c r="AD877" s="2"/>
      <c r="AE877" s="4"/>
      <c r="AF877" s="5"/>
      <c r="AG877" s="428"/>
    </row>
    <row r="878" spans="2:33" hidden="1" x14ac:dyDescent="0.25">
      <c r="B878" s="1" t="s">
        <v>2957</v>
      </c>
      <c r="C878" s="3" t="s">
        <v>1368</v>
      </c>
      <c r="D878" s="3" t="s">
        <v>1247</v>
      </c>
      <c r="E878" s="407" t="s">
        <v>1400</v>
      </c>
      <c r="F878" s="3" t="s">
        <v>2266</v>
      </c>
      <c r="G878" s="407" t="s">
        <v>4477</v>
      </c>
      <c r="H878" s="440" t="s">
        <v>4109</v>
      </c>
      <c r="I878" s="407" t="s">
        <v>4298</v>
      </c>
      <c r="J878" s="407" t="s">
        <v>3779</v>
      </c>
      <c r="K878" s="387" t="s">
        <v>4656</v>
      </c>
      <c r="L878" s="387">
        <v>1</v>
      </c>
      <c r="M878" s="387">
        <v>0</v>
      </c>
      <c r="N878" s="387">
        <f t="shared" si="104"/>
        <v>1</v>
      </c>
      <c r="O878" s="442">
        <f t="shared" si="105"/>
        <v>0</v>
      </c>
      <c r="P878" s="387" t="s">
        <v>1358</v>
      </c>
      <c r="Q878" s="459">
        <v>0</v>
      </c>
      <c r="R878" s="459"/>
      <c r="S878" s="456">
        <v>0</v>
      </c>
      <c r="T878" s="456">
        <v>25.07</v>
      </c>
      <c r="U878" s="410"/>
      <c r="V878" s="411">
        <v>0</v>
      </c>
      <c r="W878" s="411">
        <v>0</v>
      </c>
      <c r="X878" s="411">
        <v>0</v>
      </c>
      <c r="Y878" s="411"/>
      <c r="Z878" s="411"/>
      <c r="AA878" s="412">
        <f t="shared" si="106"/>
        <v>0</v>
      </c>
      <c r="AB878" s="456">
        <f t="shared" si="107"/>
        <v>0</v>
      </c>
      <c r="AC878" s="456">
        <v>0</v>
      </c>
      <c r="AD878" s="2"/>
      <c r="AE878" s="4"/>
      <c r="AF878" s="5"/>
      <c r="AG878" s="428"/>
    </row>
    <row r="879" spans="2:33" hidden="1" x14ac:dyDescent="0.25">
      <c r="B879" s="1" t="s">
        <v>2958</v>
      </c>
      <c r="C879" s="3" t="s">
        <v>1368</v>
      </c>
      <c r="D879" s="3" t="s">
        <v>1247</v>
      </c>
      <c r="E879" s="407" t="s">
        <v>1401</v>
      </c>
      <c r="F879" s="3" t="s">
        <v>2267</v>
      </c>
      <c r="G879" s="407" t="s">
        <v>4478</v>
      </c>
      <c r="H879" s="440" t="s">
        <v>4109</v>
      </c>
      <c r="I879" s="407" t="s">
        <v>4299</v>
      </c>
      <c r="J879" s="407" t="s">
        <v>3780</v>
      </c>
      <c r="K879" s="387" t="s">
        <v>4657</v>
      </c>
      <c r="L879" s="387">
        <v>1</v>
      </c>
      <c r="M879" s="387">
        <v>0</v>
      </c>
      <c r="N879" s="387">
        <f t="shared" si="104"/>
        <v>1</v>
      </c>
      <c r="O879" s="442">
        <f t="shared" si="105"/>
        <v>0</v>
      </c>
      <c r="P879" s="387" t="s">
        <v>1358</v>
      </c>
      <c r="Q879" s="459">
        <v>0</v>
      </c>
      <c r="R879" s="459"/>
      <c r="S879" s="456">
        <v>0</v>
      </c>
      <c r="T879" s="456">
        <v>25.07</v>
      </c>
      <c r="U879" s="410"/>
      <c r="V879" s="411">
        <v>0</v>
      </c>
      <c r="W879" s="411">
        <v>0</v>
      </c>
      <c r="X879" s="411">
        <v>0</v>
      </c>
      <c r="Y879" s="411"/>
      <c r="Z879" s="411"/>
      <c r="AA879" s="412">
        <f t="shared" si="106"/>
        <v>0</v>
      </c>
      <c r="AB879" s="456">
        <f t="shared" si="107"/>
        <v>0</v>
      </c>
      <c r="AC879" s="456">
        <v>0</v>
      </c>
      <c r="AD879" s="2"/>
      <c r="AE879" s="4"/>
      <c r="AF879" s="5"/>
      <c r="AG879" s="428"/>
    </row>
    <row r="880" spans="2:33" hidden="1" x14ac:dyDescent="0.25">
      <c r="B880" s="1" t="s">
        <v>2959</v>
      </c>
      <c r="C880" s="3" t="s">
        <v>1368</v>
      </c>
      <c r="D880" s="3" t="s">
        <v>1247</v>
      </c>
      <c r="E880" s="407" t="s">
        <v>1432</v>
      </c>
      <c r="F880" s="3" t="s">
        <v>2268</v>
      </c>
      <c r="G880" s="407" t="s">
        <v>4483</v>
      </c>
      <c r="H880" s="440" t="s">
        <v>4109</v>
      </c>
      <c r="I880" s="407" t="s">
        <v>4304</v>
      </c>
      <c r="J880" s="407" t="s">
        <v>3785</v>
      </c>
      <c r="K880" s="387" t="s">
        <v>4635</v>
      </c>
      <c r="L880" s="387">
        <v>1</v>
      </c>
      <c r="M880" s="387">
        <v>0</v>
      </c>
      <c r="N880" s="387">
        <f t="shared" si="104"/>
        <v>1</v>
      </c>
      <c r="O880" s="442">
        <f t="shared" si="105"/>
        <v>0</v>
      </c>
      <c r="P880" s="387" t="s">
        <v>1358</v>
      </c>
      <c r="Q880" s="459">
        <v>0</v>
      </c>
      <c r="R880" s="459"/>
      <c r="S880" s="456">
        <v>0</v>
      </c>
      <c r="T880" s="456">
        <v>19.939</v>
      </c>
      <c r="U880" s="410"/>
      <c r="V880" s="411">
        <v>0</v>
      </c>
      <c r="W880" s="411">
        <v>0</v>
      </c>
      <c r="X880" s="411">
        <v>0</v>
      </c>
      <c r="Y880" s="411"/>
      <c r="Z880" s="411"/>
      <c r="AA880" s="412">
        <f t="shared" si="106"/>
        <v>0</v>
      </c>
      <c r="AB880" s="456">
        <f t="shared" si="107"/>
        <v>0</v>
      </c>
      <c r="AC880" s="456">
        <v>0</v>
      </c>
      <c r="AD880" s="2"/>
      <c r="AE880" s="4"/>
      <c r="AF880" s="5"/>
      <c r="AG880" s="428"/>
    </row>
    <row r="881" spans="2:33" hidden="1" x14ac:dyDescent="0.25">
      <c r="B881" s="1" t="s">
        <v>2960</v>
      </c>
      <c r="C881" s="3" t="s">
        <v>1368</v>
      </c>
      <c r="D881" s="3" t="s">
        <v>1247</v>
      </c>
      <c r="E881" s="407" t="s">
        <v>1433</v>
      </c>
      <c r="F881" s="3" t="s">
        <v>2269</v>
      </c>
      <c r="G881" s="407" t="s">
        <v>4490</v>
      </c>
      <c r="H881" s="440" t="s">
        <v>4109</v>
      </c>
      <c r="I881" s="407" t="s">
        <v>4311</v>
      </c>
      <c r="J881" s="407" t="s">
        <v>3792</v>
      </c>
      <c r="K881" s="387" t="s">
        <v>4644</v>
      </c>
      <c r="L881" s="387">
        <v>1</v>
      </c>
      <c r="M881" s="387">
        <v>0</v>
      </c>
      <c r="N881" s="387">
        <f t="shared" si="104"/>
        <v>1</v>
      </c>
      <c r="O881" s="442">
        <f t="shared" si="105"/>
        <v>0</v>
      </c>
      <c r="P881" s="387" t="s">
        <v>1358</v>
      </c>
      <c r="Q881" s="459">
        <v>0</v>
      </c>
      <c r="R881" s="459"/>
      <c r="S881" s="456">
        <v>0</v>
      </c>
      <c r="T881" s="456">
        <v>19.939</v>
      </c>
      <c r="U881" s="410"/>
      <c r="V881" s="411">
        <v>0</v>
      </c>
      <c r="W881" s="411">
        <v>0</v>
      </c>
      <c r="X881" s="411">
        <v>0</v>
      </c>
      <c r="Y881" s="411"/>
      <c r="Z881" s="411"/>
      <c r="AA881" s="412">
        <f t="shared" si="106"/>
        <v>0</v>
      </c>
      <c r="AB881" s="456">
        <f t="shared" si="107"/>
        <v>0</v>
      </c>
      <c r="AC881" s="456">
        <v>0</v>
      </c>
      <c r="AD881" s="2"/>
      <c r="AE881" s="4"/>
      <c r="AF881" s="5"/>
      <c r="AG881" s="428"/>
    </row>
    <row r="882" spans="2:33" hidden="1" x14ac:dyDescent="0.25">
      <c r="B882" s="1" t="s">
        <v>2961</v>
      </c>
      <c r="C882" s="3" t="s">
        <v>1368</v>
      </c>
      <c r="D882" s="3" t="s">
        <v>1247</v>
      </c>
      <c r="E882" s="407" t="s">
        <v>1426</v>
      </c>
      <c r="F882" s="3" t="s">
        <v>2270</v>
      </c>
      <c r="G882" s="407" t="s">
        <v>4480</v>
      </c>
      <c r="H882" s="440" t="s">
        <v>4109</v>
      </c>
      <c r="I882" s="407" t="s">
        <v>4301</v>
      </c>
      <c r="J882" s="407" t="s">
        <v>3782</v>
      </c>
      <c r="K882" s="387" t="s">
        <v>4637</v>
      </c>
      <c r="L882" s="387">
        <v>1</v>
      </c>
      <c r="M882" s="387">
        <v>0</v>
      </c>
      <c r="N882" s="387">
        <f t="shared" si="104"/>
        <v>1</v>
      </c>
      <c r="O882" s="442">
        <f t="shared" si="105"/>
        <v>1</v>
      </c>
      <c r="P882" s="387" t="s">
        <v>1358</v>
      </c>
      <c r="Q882" s="459">
        <v>0</v>
      </c>
      <c r="R882" s="459"/>
      <c r="S882" s="456">
        <v>0</v>
      </c>
      <c r="T882" s="456">
        <v>19.939</v>
      </c>
      <c r="U882" s="410"/>
      <c r="V882" s="411">
        <v>1</v>
      </c>
      <c r="W882" s="411">
        <v>1</v>
      </c>
      <c r="X882" s="411">
        <v>1</v>
      </c>
      <c r="Y882" s="411"/>
      <c r="Z882" s="411"/>
      <c r="AA882" s="412">
        <f t="shared" si="106"/>
        <v>1</v>
      </c>
      <c r="AB882" s="456">
        <f t="shared" si="107"/>
        <v>19.939</v>
      </c>
      <c r="AC882" s="456">
        <v>0</v>
      </c>
      <c r="AD882" s="2"/>
      <c r="AE882" s="4"/>
      <c r="AF882" s="5"/>
      <c r="AG882" s="428"/>
    </row>
    <row r="883" spans="2:33" hidden="1" x14ac:dyDescent="0.25">
      <c r="B883" s="1" t="s">
        <v>2962</v>
      </c>
      <c r="C883" s="3" t="s">
        <v>1368</v>
      </c>
      <c r="D883" s="3" t="s">
        <v>1247</v>
      </c>
      <c r="E883" s="407" t="s">
        <v>1427</v>
      </c>
      <c r="F883" s="3" t="s">
        <v>2271</v>
      </c>
      <c r="G883" s="407" t="s">
        <v>4485</v>
      </c>
      <c r="H883" s="440" t="s">
        <v>4109</v>
      </c>
      <c r="I883" s="407" t="s">
        <v>4306</v>
      </c>
      <c r="J883" s="407" t="s">
        <v>3787</v>
      </c>
      <c r="K883" s="387" t="s">
        <v>4638</v>
      </c>
      <c r="L883" s="387">
        <v>1</v>
      </c>
      <c r="M883" s="387">
        <v>0</v>
      </c>
      <c r="N883" s="387">
        <f t="shared" si="104"/>
        <v>1</v>
      </c>
      <c r="O883" s="442">
        <f t="shared" si="105"/>
        <v>0</v>
      </c>
      <c r="P883" s="387" t="s">
        <v>1358</v>
      </c>
      <c r="Q883" s="459">
        <v>0</v>
      </c>
      <c r="R883" s="459"/>
      <c r="S883" s="456">
        <v>0</v>
      </c>
      <c r="T883" s="456">
        <v>19.939</v>
      </c>
      <c r="U883" s="410"/>
      <c r="V883" s="411">
        <v>0</v>
      </c>
      <c r="W883" s="411">
        <v>0</v>
      </c>
      <c r="X883" s="411">
        <v>0</v>
      </c>
      <c r="Y883" s="411"/>
      <c r="Z883" s="411"/>
      <c r="AA883" s="412">
        <f t="shared" si="106"/>
        <v>0</v>
      </c>
      <c r="AB883" s="456">
        <f t="shared" si="107"/>
        <v>0</v>
      </c>
      <c r="AC883" s="456">
        <v>0</v>
      </c>
      <c r="AD883" s="2"/>
      <c r="AE883" s="4"/>
      <c r="AF883" s="5"/>
      <c r="AG883" s="428"/>
    </row>
    <row r="884" spans="2:33" hidden="1" x14ac:dyDescent="0.25">
      <c r="B884" s="1" t="s">
        <v>2963</v>
      </c>
      <c r="C884" s="3" t="s">
        <v>1368</v>
      </c>
      <c r="D884" s="3" t="s">
        <v>1247</v>
      </c>
      <c r="E884" s="407" t="s">
        <v>1431</v>
      </c>
      <c r="F884" s="3" t="s">
        <v>2272</v>
      </c>
      <c r="G884" s="407" t="s">
        <v>4489</v>
      </c>
      <c r="H884" s="440" t="s">
        <v>4109</v>
      </c>
      <c r="I884" s="407" t="s">
        <v>4310</v>
      </c>
      <c r="J884" s="407" t="s">
        <v>3791</v>
      </c>
      <c r="K884" s="387" t="s">
        <v>4642</v>
      </c>
      <c r="L884" s="387">
        <v>1</v>
      </c>
      <c r="M884" s="387">
        <v>0</v>
      </c>
      <c r="N884" s="387">
        <f t="shared" si="104"/>
        <v>1</v>
      </c>
      <c r="O884" s="442">
        <f t="shared" si="105"/>
        <v>0</v>
      </c>
      <c r="P884" s="387" t="s">
        <v>1358</v>
      </c>
      <c r="Q884" s="459">
        <v>0</v>
      </c>
      <c r="R884" s="459"/>
      <c r="S884" s="456">
        <v>0</v>
      </c>
      <c r="T884" s="456">
        <v>19.939</v>
      </c>
      <c r="U884" s="410"/>
      <c r="V884" s="411">
        <v>0</v>
      </c>
      <c r="W884" s="411">
        <v>0</v>
      </c>
      <c r="X884" s="411">
        <v>0</v>
      </c>
      <c r="Y884" s="411"/>
      <c r="Z884" s="411"/>
      <c r="AA884" s="412">
        <f t="shared" si="106"/>
        <v>0</v>
      </c>
      <c r="AB884" s="456">
        <f t="shared" si="107"/>
        <v>0</v>
      </c>
      <c r="AC884" s="456">
        <v>0</v>
      </c>
      <c r="AD884" s="2"/>
      <c r="AE884" s="4"/>
      <c r="AF884" s="5"/>
      <c r="AG884" s="428"/>
    </row>
    <row r="885" spans="2:33" hidden="1" x14ac:dyDescent="0.25">
      <c r="B885" s="1" t="s">
        <v>2964</v>
      </c>
      <c r="C885" s="3" t="s">
        <v>1368</v>
      </c>
      <c r="D885" s="3" t="s">
        <v>1247</v>
      </c>
      <c r="E885" s="407" t="s">
        <v>1428</v>
      </c>
      <c r="F885" s="3" t="s">
        <v>2273</v>
      </c>
      <c r="G885" s="407" t="s">
        <v>4486</v>
      </c>
      <c r="H885" s="440" t="s">
        <v>4109</v>
      </c>
      <c r="I885" s="407" t="s">
        <v>4307</v>
      </c>
      <c r="J885" s="407" t="s">
        <v>3788</v>
      </c>
      <c r="K885" s="387" t="s">
        <v>4639</v>
      </c>
      <c r="L885" s="387">
        <v>1</v>
      </c>
      <c r="M885" s="387">
        <v>0</v>
      </c>
      <c r="N885" s="387">
        <f t="shared" si="104"/>
        <v>1</v>
      </c>
      <c r="O885" s="442">
        <f t="shared" si="105"/>
        <v>0</v>
      </c>
      <c r="P885" s="387" t="s">
        <v>1358</v>
      </c>
      <c r="Q885" s="459">
        <v>0</v>
      </c>
      <c r="R885" s="459"/>
      <c r="S885" s="456">
        <v>0</v>
      </c>
      <c r="T885" s="456">
        <v>19.939</v>
      </c>
      <c r="U885" s="410"/>
      <c r="V885" s="411">
        <v>0</v>
      </c>
      <c r="W885" s="411">
        <v>0</v>
      </c>
      <c r="X885" s="411">
        <v>0</v>
      </c>
      <c r="Y885" s="411"/>
      <c r="Z885" s="411"/>
      <c r="AA885" s="412">
        <f t="shared" si="106"/>
        <v>0</v>
      </c>
      <c r="AB885" s="456">
        <f t="shared" si="107"/>
        <v>0</v>
      </c>
      <c r="AC885" s="456">
        <v>0</v>
      </c>
      <c r="AD885" s="2"/>
      <c r="AE885" s="4"/>
      <c r="AF885" s="5"/>
      <c r="AG885" s="428"/>
    </row>
    <row r="886" spans="2:33" hidden="1" x14ac:dyDescent="0.25">
      <c r="B886" s="1" t="s">
        <v>2965</v>
      </c>
      <c r="C886" s="3" t="s">
        <v>1368</v>
      </c>
      <c r="D886" s="3" t="s">
        <v>1247</v>
      </c>
      <c r="E886" s="407" t="s">
        <v>1429</v>
      </c>
      <c r="F886" s="3" t="s">
        <v>2274</v>
      </c>
      <c r="G886" s="407" t="s">
        <v>4487</v>
      </c>
      <c r="H886" s="440" t="s">
        <v>4109</v>
      </c>
      <c r="I886" s="407" t="s">
        <v>4308</v>
      </c>
      <c r="J886" s="407" t="s">
        <v>3789</v>
      </c>
      <c r="K886" s="387" t="s">
        <v>4640</v>
      </c>
      <c r="L886" s="387">
        <v>1</v>
      </c>
      <c r="M886" s="387">
        <v>0</v>
      </c>
      <c r="N886" s="387">
        <f t="shared" si="104"/>
        <v>1</v>
      </c>
      <c r="O886" s="442">
        <f t="shared" si="105"/>
        <v>0</v>
      </c>
      <c r="P886" s="387" t="s">
        <v>1358</v>
      </c>
      <c r="Q886" s="459">
        <v>0</v>
      </c>
      <c r="R886" s="459"/>
      <c r="S886" s="456">
        <v>0</v>
      </c>
      <c r="T886" s="456">
        <v>19.939</v>
      </c>
      <c r="U886" s="410"/>
      <c r="V886" s="411">
        <v>0</v>
      </c>
      <c r="W886" s="411">
        <v>0</v>
      </c>
      <c r="X886" s="411">
        <v>0</v>
      </c>
      <c r="Y886" s="411"/>
      <c r="Z886" s="411"/>
      <c r="AA886" s="412">
        <f t="shared" si="106"/>
        <v>0</v>
      </c>
      <c r="AB886" s="456">
        <f t="shared" si="107"/>
        <v>0</v>
      </c>
      <c r="AC886" s="456">
        <v>0</v>
      </c>
      <c r="AD886" s="2"/>
      <c r="AE886" s="4"/>
      <c r="AF886" s="5"/>
      <c r="AG886" s="428"/>
    </row>
    <row r="887" spans="2:33" hidden="1" x14ac:dyDescent="0.25">
      <c r="B887" s="1" t="s">
        <v>2966</v>
      </c>
      <c r="C887" s="3" t="s">
        <v>1368</v>
      </c>
      <c r="D887" s="3" t="s">
        <v>1247</v>
      </c>
      <c r="E887" s="407" t="s">
        <v>1430</v>
      </c>
      <c r="F887" s="3" t="s">
        <v>2275</v>
      </c>
      <c r="G887" s="407" t="s">
        <v>4488</v>
      </c>
      <c r="H887" s="440" t="s">
        <v>4109</v>
      </c>
      <c r="I887" s="407" t="s">
        <v>4309</v>
      </c>
      <c r="J887" s="407" t="s">
        <v>3790</v>
      </c>
      <c r="K887" s="387" t="s">
        <v>4641</v>
      </c>
      <c r="L887" s="387">
        <v>1</v>
      </c>
      <c r="M887" s="387">
        <v>0</v>
      </c>
      <c r="N887" s="387">
        <f t="shared" si="104"/>
        <v>1</v>
      </c>
      <c r="O887" s="442">
        <f t="shared" si="105"/>
        <v>0</v>
      </c>
      <c r="P887" s="387" t="s">
        <v>1358</v>
      </c>
      <c r="Q887" s="459">
        <v>0</v>
      </c>
      <c r="R887" s="459"/>
      <c r="S887" s="456">
        <v>0</v>
      </c>
      <c r="T887" s="456">
        <v>19.939</v>
      </c>
      <c r="U887" s="410"/>
      <c r="V887" s="411">
        <v>0</v>
      </c>
      <c r="W887" s="411">
        <v>0</v>
      </c>
      <c r="X887" s="411">
        <v>0</v>
      </c>
      <c r="Y887" s="411"/>
      <c r="Z887" s="411"/>
      <c r="AA887" s="412">
        <f t="shared" si="106"/>
        <v>0</v>
      </c>
      <c r="AB887" s="456">
        <f t="shared" si="107"/>
        <v>0</v>
      </c>
      <c r="AC887" s="456">
        <v>0</v>
      </c>
      <c r="AD887" s="2"/>
      <c r="AE887" s="4"/>
      <c r="AF887" s="5"/>
      <c r="AG887" s="428"/>
    </row>
    <row r="888" spans="2:33" hidden="1" x14ac:dyDescent="0.25">
      <c r="B888" s="1" t="s">
        <v>2967</v>
      </c>
      <c r="C888" s="3" t="s">
        <v>1368</v>
      </c>
      <c r="D888" s="3" t="s">
        <v>1247</v>
      </c>
      <c r="E888" s="407" t="s">
        <v>3306</v>
      </c>
      <c r="F888" s="3" t="s">
        <v>2276</v>
      </c>
      <c r="G888" s="407" t="s">
        <v>4484</v>
      </c>
      <c r="H888" s="440" t="s">
        <v>4109</v>
      </c>
      <c r="I888" s="407" t="s">
        <v>4305</v>
      </c>
      <c r="J888" s="407" t="s">
        <v>3786</v>
      </c>
      <c r="K888" s="387" t="s">
        <v>4636</v>
      </c>
      <c r="L888" s="387">
        <v>1</v>
      </c>
      <c r="M888" s="387">
        <v>0</v>
      </c>
      <c r="N888" s="387">
        <f t="shared" si="104"/>
        <v>1</v>
      </c>
      <c r="O888" s="442">
        <f t="shared" si="105"/>
        <v>0</v>
      </c>
      <c r="P888" s="387" t="s">
        <v>1358</v>
      </c>
      <c r="Q888" s="459">
        <v>0</v>
      </c>
      <c r="R888" s="459"/>
      <c r="S888" s="456">
        <v>0</v>
      </c>
      <c r="T888" s="456">
        <v>20.501000000000001</v>
      </c>
      <c r="U888" s="410"/>
      <c r="V888" s="411">
        <v>0</v>
      </c>
      <c r="W888" s="411">
        <v>0</v>
      </c>
      <c r="X888" s="411">
        <v>0</v>
      </c>
      <c r="Y888" s="411"/>
      <c r="Z888" s="411"/>
      <c r="AA888" s="412">
        <f t="shared" si="106"/>
        <v>0</v>
      </c>
      <c r="AB888" s="456">
        <f t="shared" si="107"/>
        <v>0</v>
      </c>
      <c r="AC888" s="456">
        <v>0</v>
      </c>
      <c r="AD888" s="2"/>
      <c r="AE888" s="4"/>
      <c r="AF888" s="5"/>
      <c r="AG888" s="428"/>
    </row>
    <row r="889" spans="2:33" hidden="1" x14ac:dyDescent="0.25">
      <c r="B889" s="1" t="s">
        <v>2968</v>
      </c>
      <c r="C889" s="3" t="s">
        <v>1368</v>
      </c>
      <c r="D889" s="3" t="s">
        <v>1247</v>
      </c>
      <c r="E889" s="407" t="s">
        <v>1398</v>
      </c>
      <c r="F889" s="3" t="s">
        <v>2277</v>
      </c>
      <c r="G889" s="407" t="s">
        <v>4496</v>
      </c>
      <c r="H889" s="440" t="s">
        <v>4109</v>
      </c>
      <c r="I889" s="407" t="s">
        <v>4317</v>
      </c>
      <c r="J889" s="407" t="s">
        <v>3796</v>
      </c>
      <c r="K889" s="387" t="s">
        <v>4650</v>
      </c>
      <c r="L889" s="387">
        <v>1</v>
      </c>
      <c r="M889" s="387">
        <v>0</v>
      </c>
      <c r="N889" s="387">
        <f t="shared" si="104"/>
        <v>1</v>
      </c>
      <c r="O889" s="442">
        <f t="shared" si="105"/>
        <v>1.0000000000000002</v>
      </c>
      <c r="P889" s="387" t="s">
        <v>1358</v>
      </c>
      <c r="Q889" s="459">
        <v>0</v>
      </c>
      <c r="R889" s="459"/>
      <c r="S889" s="456">
        <v>0</v>
      </c>
      <c r="T889" s="456">
        <v>25.105</v>
      </c>
      <c r="U889" s="410"/>
      <c r="V889" s="411">
        <v>1</v>
      </c>
      <c r="W889" s="411">
        <v>1</v>
      </c>
      <c r="X889" s="411">
        <v>1</v>
      </c>
      <c r="Y889" s="411"/>
      <c r="Z889" s="411"/>
      <c r="AA889" s="412">
        <f t="shared" si="106"/>
        <v>1.0000000000000002</v>
      </c>
      <c r="AB889" s="456">
        <f t="shared" si="107"/>
        <v>25.105000000000004</v>
      </c>
      <c r="AC889" s="456">
        <v>0</v>
      </c>
      <c r="AD889" s="2"/>
      <c r="AE889" s="4"/>
      <c r="AF889" s="5"/>
      <c r="AG889" s="428"/>
    </row>
    <row r="890" spans="2:33" hidden="1" x14ac:dyDescent="0.25">
      <c r="B890" s="1" t="s">
        <v>2969</v>
      </c>
      <c r="C890" s="3" t="s">
        <v>1368</v>
      </c>
      <c r="D890" s="3" t="s">
        <v>1247</v>
      </c>
      <c r="E890" s="407" t="s">
        <v>1379</v>
      </c>
      <c r="F890" s="3" t="s">
        <v>2278</v>
      </c>
      <c r="G890" s="407" t="s">
        <v>4502</v>
      </c>
      <c r="H890" s="440" t="s">
        <v>4109</v>
      </c>
      <c r="I890" s="407" t="s">
        <v>4323</v>
      </c>
      <c r="J890" s="407" t="s">
        <v>3750</v>
      </c>
      <c r="K890" s="387" t="s">
        <v>4632</v>
      </c>
      <c r="L890" s="387">
        <v>1</v>
      </c>
      <c r="M890" s="387">
        <v>0</v>
      </c>
      <c r="N890" s="387">
        <f t="shared" ref="N890:N954" si="109">L890+M890</f>
        <v>1</v>
      </c>
      <c r="O890" s="442">
        <f t="shared" ref="O890:O954" si="110">L890*AA890</f>
        <v>0.99999999999999978</v>
      </c>
      <c r="P890" s="387" t="s">
        <v>1358</v>
      </c>
      <c r="Q890" s="459">
        <v>0</v>
      </c>
      <c r="R890" s="459"/>
      <c r="S890" s="456">
        <v>0</v>
      </c>
      <c r="T890" s="456">
        <v>40.854999999999997</v>
      </c>
      <c r="U890" s="410"/>
      <c r="V890" s="411">
        <v>1</v>
      </c>
      <c r="W890" s="411">
        <v>1</v>
      </c>
      <c r="X890" s="411">
        <v>1</v>
      </c>
      <c r="Y890" s="411"/>
      <c r="Z890" s="411"/>
      <c r="AA890" s="412">
        <f t="shared" ref="AA890:AA954" si="111">AB890/T890</f>
        <v>0.99999999999999978</v>
      </c>
      <c r="AB890" s="456">
        <f t="shared" ref="AB890:AB954" si="112">(V890*V$369*T890)+(W890*W$369*T890)+(X890*X$369*T890)</f>
        <v>40.85499999999999</v>
      </c>
      <c r="AC890" s="456">
        <v>0</v>
      </c>
      <c r="AD890" s="2"/>
      <c r="AE890" s="4"/>
      <c r="AF890" s="5"/>
      <c r="AG890" s="428"/>
    </row>
    <row r="891" spans="2:33" hidden="1" x14ac:dyDescent="0.25">
      <c r="B891" s="1" t="s">
        <v>2970</v>
      </c>
      <c r="C891" s="3" t="s">
        <v>1368</v>
      </c>
      <c r="D891" s="3" t="s">
        <v>1247</v>
      </c>
      <c r="E891" s="407" t="s">
        <v>1377</v>
      </c>
      <c r="F891" s="3" t="s">
        <v>2279</v>
      </c>
      <c r="G891" s="407" t="s">
        <v>4494</v>
      </c>
      <c r="H891" s="440" t="s">
        <v>4109</v>
      </c>
      <c r="I891" s="407" t="s">
        <v>4315</v>
      </c>
      <c r="J891" s="407" t="s">
        <v>3749</v>
      </c>
      <c r="K891" s="387" t="s">
        <v>4648</v>
      </c>
      <c r="L891" s="387">
        <v>1</v>
      </c>
      <c r="M891" s="387">
        <v>0</v>
      </c>
      <c r="N891" s="387">
        <f t="shared" si="109"/>
        <v>1</v>
      </c>
      <c r="O891" s="442">
        <f t="shared" si="110"/>
        <v>0.99999999999999978</v>
      </c>
      <c r="P891" s="387" t="s">
        <v>1358</v>
      </c>
      <c r="Q891" s="459">
        <v>0</v>
      </c>
      <c r="R891" s="459"/>
      <c r="S891" s="456">
        <v>0</v>
      </c>
      <c r="T891" s="456">
        <v>40.854999999999997</v>
      </c>
      <c r="U891" s="410"/>
      <c r="V891" s="411">
        <v>1</v>
      </c>
      <c r="W891" s="411">
        <v>1</v>
      </c>
      <c r="X891" s="411">
        <v>1</v>
      </c>
      <c r="Y891" s="411"/>
      <c r="Z891" s="411"/>
      <c r="AA891" s="412">
        <f t="shared" si="111"/>
        <v>0.99999999999999978</v>
      </c>
      <c r="AB891" s="456">
        <f t="shared" si="112"/>
        <v>40.85499999999999</v>
      </c>
      <c r="AC891" s="456">
        <v>0</v>
      </c>
      <c r="AD891" s="2"/>
      <c r="AE891" s="4"/>
      <c r="AF891" s="5"/>
      <c r="AG891" s="428"/>
    </row>
    <row r="892" spans="2:33" hidden="1" x14ac:dyDescent="0.25">
      <c r="B892" s="1" t="s">
        <v>2971</v>
      </c>
      <c r="C892" s="3" t="s">
        <v>1368</v>
      </c>
      <c r="D892" s="3" t="s">
        <v>1247</v>
      </c>
      <c r="E892" s="407" t="s">
        <v>1374</v>
      </c>
      <c r="F892" s="3" t="s">
        <v>2280</v>
      </c>
      <c r="G892" s="407" t="s">
        <v>4495</v>
      </c>
      <c r="H892" s="440" t="s">
        <v>4109</v>
      </c>
      <c r="I892" s="407" t="s">
        <v>4316</v>
      </c>
      <c r="J892" s="407" t="s">
        <v>3757</v>
      </c>
      <c r="K892" s="387" t="s">
        <v>4649</v>
      </c>
      <c r="L892" s="387">
        <v>1</v>
      </c>
      <c r="M892" s="387">
        <v>0</v>
      </c>
      <c r="N892" s="387">
        <f t="shared" si="109"/>
        <v>1</v>
      </c>
      <c r="O892" s="442">
        <f t="shared" si="110"/>
        <v>0.99999999999999978</v>
      </c>
      <c r="P892" s="387" t="s">
        <v>1358</v>
      </c>
      <c r="Q892" s="459">
        <v>0</v>
      </c>
      <c r="R892" s="459"/>
      <c r="S892" s="456">
        <v>0</v>
      </c>
      <c r="T892" s="456">
        <v>40.854999999999997</v>
      </c>
      <c r="U892" s="410"/>
      <c r="V892" s="411">
        <v>1</v>
      </c>
      <c r="W892" s="411">
        <v>1</v>
      </c>
      <c r="X892" s="411">
        <v>1</v>
      </c>
      <c r="Y892" s="411"/>
      <c r="Z892" s="411"/>
      <c r="AA892" s="412">
        <f t="shared" si="111"/>
        <v>0.99999999999999978</v>
      </c>
      <c r="AB892" s="456">
        <f t="shared" si="112"/>
        <v>40.85499999999999</v>
      </c>
      <c r="AC892" s="456">
        <v>0</v>
      </c>
      <c r="AD892" s="2"/>
      <c r="AE892" s="4"/>
      <c r="AF892" s="5"/>
      <c r="AG892" s="428"/>
    </row>
    <row r="893" spans="2:33" hidden="1" x14ac:dyDescent="0.25">
      <c r="B893" s="1" t="s">
        <v>2972</v>
      </c>
      <c r="C893" s="3" t="s">
        <v>1368</v>
      </c>
      <c r="D893" s="3" t="s">
        <v>1247</v>
      </c>
      <c r="E893" s="407" t="s">
        <v>1401</v>
      </c>
      <c r="F893" s="3" t="s">
        <v>2281</v>
      </c>
      <c r="G893" s="407" t="s">
        <v>4478</v>
      </c>
      <c r="H893" s="440" t="s">
        <v>4109</v>
      </c>
      <c r="I893" s="407" t="s">
        <v>4299</v>
      </c>
      <c r="J893" s="407" t="s">
        <v>3780</v>
      </c>
      <c r="K893" s="387" t="s">
        <v>4657</v>
      </c>
      <c r="L893" s="387">
        <v>2</v>
      </c>
      <c r="M893" s="387">
        <v>0</v>
      </c>
      <c r="N893" s="387">
        <f t="shared" si="109"/>
        <v>2</v>
      </c>
      <c r="O893" s="442">
        <f t="shared" si="110"/>
        <v>0</v>
      </c>
      <c r="P893" s="387" t="s">
        <v>1358</v>
      </c>
      <c r="Q893" s="459">
        <v>0</v>
      </c>
      <c r="R893" s="459"/>
      <c r="S893" s="456">
        <v>0</v>
      </c>
      <c r="T893" s="456">
        <v>37.506</v>
      </c>
      <c r="U893" s="410"/>
      <c r="V893" s="411">
        <v>0</v>
      </c>
      <c r="W893" s="411">
        <v>0</v>
      </c>
      <c r="X893" s="411">
        <v>0</v>
      </c>
      <c r="Y893" s="411"/>
      <c r="Z893" s="411"/>
      <c r="AA893" s="412">
        <f t="shared" si="111"/>
        <v>0</v>
      </c>
      <c r="AB893" s="456">
        <f t="shared" si="112"/>
        <v>0</v>
      </c>
      <c r="AC893" s="456">
        <v>0</v>
      </c>
      <c r="AD893" s="2"/>
      <c r="AE893" s="4"/>
      <c r="AF893" s="5"/>
      <c r="AG893" s="428"/>
    </row>
    <row r="894" spans="2:33" hidden="1" x14ac:dyDescent="0.25">
      <c r="B894" s="1" t="s">
        <v>2973</v>
      </c>
      <c r="C894" s="3" t="s">
        <v>1368</v>
      </c>
      <c r="D894" s="3" t="s">
        <v>1247</v>
      </c>
      <c r="E894" s="407" t="s">
        <v>1400</v>
      </c>
      <c r="F894" s="3" t="s">
        <v>2282</v>
      </c>
      <c r="G894" s="407" t="s">
        <v>4477</v>
      </c>
      <c r="H894" s="440" t="s">
        <v>4109</v>
      </c>
      <c r="I894" s="407" t="s">
        <v>4298</v>
      </c>
      <c r="J894" s="407" t="s">
        <v>3779</v>
      </c>
      <c r="K894" s="387" t="s">
        <v>4656</v>
      </c>
      <c r="L894" s="387">
        <v>2</v>
      </c>
      <c r="M894" s="387">
        <v>0</v>
      </c>
      <c r="N894" s="387">
        <f t="shared" si="109"/>
        <v>2</v>
      </c>
      <c r="O894" s="442">
        <f t="shared" si="110"/>
        <v>0</v>
      </c>
      <c r="P894" s="387" t="s">
        <v>1358</v>
      </c>
      <c r="Q894" s="459">
        <v>0</v>
      </c>
      <c r="R894" s="459"/>
      <c r="S894" s="456">
        <v>0</v>
      </c>
      <c r="T894" s="456">
        <v>37.506</v>
      </c>
      <c r="U894" s="410"/>
      <c r="V894" s="411">
        <v>0</v>
      </c>
      <c r="W894" s="411">
        <v>0</v>
      </c>
      <c r="X894" s="411">
        <v>0</v>
      </c>
      <c r="Y894" s="411"/>
      <c r="Z894" s="411"/>
      <c r="AA894" s="412">
        <f t="shared" si="111"/>
        <v>0</v>
      </c>
      <c r="AB894" s="456">
        <f t="shared" si="112"/>
        <v>0</v>
      </c>
      <c r="AC894" s="456">
        <v>0</v>
      </c>
      <c r="AD894" s="2"/>
      <c r="AE894" s="4"/>
      <c r="AF894" s="5"/>
      <c r="AG894" s="428"/>
    </row>
    <row r="895" spans="2:33" hidden="1" x14ac:dyDescent="0.25">
      <c r="B895" s="1" t="s">
        <v>2974</v>
      </c>
      <c r="C895" s="3" t="s">
        <v>1368</v>
      </c>
      <c r="D895" s="3" t="s">
        <v>1247</v>
      </c>
      <c r="E895" s="407" t="s">
        <v>1377</v>
      </c>
      <c r="F895" s="3" t="s">
        <v>2283</v>
      </c>
      <c r="G895" s="407" t="s">
        <v>4494</v>
      </c>
      <c r="H895" s="440" t="s">
        <v>4109</v>
      </c>
      <c r="I895" s="407" t="s">
        <v>4315</v>
      </c>
      <c r="J895" s="407" t="s">
        <v>3749</v>
      </c>
      <c r="K895" s="387" t="s">
        <v>4648</v>
      </c>
      <c r="L895" s="387">
        <v>1</v>
      </c>
      <c r="M895" s="387">
        <v>0</v>
      </c>
      <c r="N895" s="387">
        <f t="shared" si="109"/>
        <v>1</v>
      </c>
      <c r="O895" s="442">
        <f t="shared" si="110"/>
        <v>1</v>
      </c>
      <c r="P895" s="387" t="s">
        <v>1358</v>
      </c>
      <c r="Q895" s="459">
        <v>0</v>
      </c>
      <c r="R895" s="459"/>
      <c r="S895" s="456">
        <v>0</v>
      </c>
      <c r="T895" s="456">
        <v>18.753</v>
      </c>
      <c r="U895" s="410"/>
      <c r="V895" s="411">
        <v>1</v>
      </c>
      <c r="W895" s="411">
        <v>1</v>
      </c>
      <c r="X895" s="411">
        <v>1</v>
      </c>
      <c r="Y895" s="411"/>
      <c r="Z895" s="411"/>
      <c r="AA895" s="412">
        <f t="shared" si="111"/>
        <v>1</v>
      </c>
      <c r="AB895" s="456">
        <f t="shared" si="112"/>
        <v>18.753</v>
      </c>
      <c r="AC895" s="456">
        <v>0</v>
      </c>
      <c r="AD895" s="2"/>
      <c r="AE895" s="4"/>
      <c r="AF895" s="5"/>
      <c r="AG895" s="428"/>
    </row>
    <row r="896" spans="2:33" hidden="1" x14ac:dyDescent="0.25">
      <c r="B896" s="1" t="s">
        <v>2975</v>
      </c>
      <c r="C896" s="3" t="s">
        <v>1368</v>
      </c>
      <c r="D896" s="3" t="s">
        <v>1247</v>
      </c>
      <c r="E896" s="407" t="s">
        <v>1374</v>
      </c>
      <c r="F896" s="3" t="s">
        <v>2284</v>
      </c>
      <c r="G896" s="407" t="s">
        <v>4495</v>
      </c>
      <c r="H896" s="440" t="s">
        <v>4109</v>
      </c>
      <c r="I896" s="407" t="s">
        <v>4316</v>
      </c>
      <c r="J896" s="407" t="s">
        <v>3757</v>
      </c>
      <c r="K896" s="387" t="s">
        <v>4665</v>
      </c>
      <c r="L896" s="387">
        <v>2</v>
      </c>
      <c r="M896" s="387">
        <v>0</v>
      </c>
      <c r="N896" s="387">
        <f t="shared" si="109"/>
        <v>2</v>
      </c>
      <c r="O896" s="442">
        <f t="shared" si="110"/>
        <v>2</v>
      </c>
      <c r="P896" s="387" t="s">
        <v>1358</v>
      </c>
      <c r="Q896" s="459">
        <v>0</v>
      </c>
      <c r="R896" s="459"/>
      <c r="S896" s="456">
        <v>0</v>
      </c>
      <c r="T896" s="456">
        <v>37.51</v>
      </c>
      <c r="U896" s="410"/>
      <c r="V896" s="411">
        <v>1</v>
      </c>
      <c r="W896" s="411">
        <v>1</v>
      </c>
      <c r="X896" s="411">
        <v>1</v>
      </c>
      <c r="Y896" s="411"/>
      <c r="Z896" s="411"/>
      <c r="AA896" s="412">
        <f t="shared" si="111"/>
        <v>1</v>
      </c>
      <c r="AB896" s="456">
        <f t="shared" si="112"/>
        <v>37.51</v>
      </c>
      <c r="AC896" s="456">
        <v>0</v>
      </c>
      <c r="AD896" s="2"/>
      <c r="AE896" s="4"/>
      <c r="AF896" s="5"/>
      <c r="AG896" s="428"/>
    </row>
    <row r="897" spans="2:33" hidden="1" x14ac:dyDescent="0.25">
      <c r="B897" s="1" t="s">
        <v>2976</v>
      </c>
      <c r="C897" s="3" t="s">
        <v>1368</v>
      </c>
      <c r="D897" s="3" t="s">
        <v>1247</v>
      </c>
      <c r="E897" s="407" t="s">
        <v>1377</v>
      </c>
      <c r="F897" s="3" t="s">
        <v>2285</v>
      </c>
      <c r="G897" s="407" t="s">
        <v>4494</v>
      </c>
      <c r="H897" s="440" t="s">
        <v>4109</v>
      </c>
      <c r="I897" s="407" t="s">
        <v>4315</v>
      </c>
      <c r="J897" s="407" t="s">
        <v>3749</v>
      </c>
      <c r="K897" s="387" t="s">
        <v>4648</v>
      </c>
      <c r="L897" s="387">
        <v>1</v>
      </c>
      <c r="M897" s="387">
        <v>0</v>
      </c>
      <c r="N897" s="387">
        <f t="shared" si="109"/>
        <v>1</v>
      </c>
      <c r="O897" s="442">
        <f t="shared" si="110"/>
        <v>1</v>
      </c>
      <c r="P897" s="387" t="s">
        <v>1358</v>
      </c>
      <c r="Q897" s="459">
        <v>0</v>
      </c>
      <c r="R897" s="459"/>
      <c r="S897" s="456">
        <v>0</v>
      </c>
      <c r="T897" s="456">
        <v>18.753</v>
      </c>
      <c r="U897" s="410"/>
      <c r="V897" s="411">
        <v>1</v>
      </c>
      <c r="W897" s="411">
        <v>1</v>
      </c>
      <c r="X897" s="411">
        <v>1</v>
      </c>
      <c r="Y897" s="411"/>
      <c r="Z897" s="411"/>
      <c r="AA897" s="412">
        <f t="shared" si="111"/>
        <v>1</v>
      </c>
      <c r="AB897" s="456">
        <f t="shared" si="112"/>
        <v>18.753</v>
      </c>
      <c r="AC897" s="456">
        <v>0</v>
      </c>
      <c r="AD897" s="2"/>
      <c r="AE897" s="4"/>
      <c r="AF897" s="5"/>
      <c r="AG897" s="428"/>
    </row>
    <row r="898" spans="2:33" hidden="1" x14ac:dyDescent="0.25">
      <c r="B898" s="1" t="s">
        <v>2977</v>
      </c>
      <c r="C898" s="3" t="s">
        <v>1368</v>
      </c>
      <c r="D898" s="3" t="s">
        <v>1247</v>
      </c>
      <c r="E898" s="407" t="s">
        <v>1374</v>
      </c>
      <c r="F898" s="3" t="s">
        <v>2286</v>
      </c>
      <c r="G898" s="407" t="s">
        <v>4495</v>
      </c>
      <c r="H898" s="440" t="s">
        <v>4109</v>
      </c>
      <c r="I898" s="407" t="s">
        <v>4316</v>
      </c>
      <c r="J898" s="407" t="s">
        <v>3757</v>
      </c>
      <c r="K898" s="387" t="s">
        <v>4665</v>
      </c>
      <c r="L898" s="387">
        <v>2</v>
      </c>
      <c r="M898" s="387">
        <v>0</v>
      </c>
      <c r="N898" s="387">
        <f t="shared" si="109"/>
        <v>2</v>
      </c>
      <c r="O898" s="442">
        <f t="shared" si="110"/>
        <v>2</v>
      </c>
      <c r="P898" s="387" t="s">
        <v>1358</v>
      </c>
      <c r="Q898" s="459">
        <v>0</v>
      </c>
      <c r="R898" s="459"/>
      <c r="S898" s="456">
        <v>0</v>
      </c>
      <c r="T898" s="456">
        <v>37.51</v>
      </c>
      <c r="U898" s="410"/>
      <c r="V898" s="411">
        <v>1</v>
      </c>
      <c r="W898" s="411">
        <v>1</v>
      </c>
      <c r="X898" s="411">
        <v>1</v>
      </c>
      <c r="Y898" s="411"/>
      <c r="Z898" s="411"/>
      <c r="AA898" s="412">
        <f t="shared" si="111"/>
        <v>1</v>
      </c>
      <c r="AB898" s="456">
        <f t="shared" si="112"/>
        <v>37.51</v>
      </c>
      <c r="AC898" s="456">
        <v>0</v>
      </c>
      <c r="AD898" s="2"/>
      <c r="AE898" s="4"/>
      <c r="AF898" s="5"/>
      <c r="AG898" s="428"/>
    </row>
    <row r="899" spans="2:33" hidden="1" x14ac:dyDescent="0.25">
      <c r="B899" s="1" t="s">
        <v>2978</v>
      </c>
      <c r="C899" s="3" t="s">
        <v>1368</v>
      </c>
      <c r="D899" s="3" t="s">
        <v>1247</v>
      </c>
      <c r="E899" s="407" t="s">
        <v>3293</v>
      </c>
      <c r="F899" s="3" t="s">
        <v>2287</v>
      </c>
      <c r="G899" s="407" t="s">
        <v>4503</v>
      </c>
      <c r="H899" s="440" t="s">
        <v>4109</v>
      </c>
      <c r="I899" s="407" t="s">
        <v>4324</v>
      </c>
      <c r="J899" s="407" t="s">
        <v>3798</v>
      </c>
      <c r="K899" s="387" t="s">
        <v>4658</v>
      </c>
      <c r="L899" s="387">
        <v>1</v>
      </c>
      <c r="M899" s="387">
        <v>0</v>
      </c>
      <c r="N899" s="387">
        <f t="shared" si="109"/>
        <v>1</v>
      </c>
      <c r="O899" s="442">
        <f t="shared" si="110"/>
        <v>1</v>
      </c>
      <c r="P899" s="387" t="s">
        <v>1358</v>
      </c>
      <c r="Q899" s="459">
        <v>0</v>
      </c>
      <c r="R899" s="459"/>
      <c r="S899" s="456">
        <v>0</v>
      </c>
      <c r="T899" s="456">
        <v>41.042000000000002</v>
      </c>
      <c r="U899" s="410"/>
      <c r="V899" s="411">
        <v>1</v>
      </c>
      <c r="W899" s="411">
        <v>1</v>
      </c>
      <c r="X899" s="411">
        <v>1</v>
      </c>
      <c r="Y899" s="411"/>
      <c r="Z899" s="411"/>
      <c r="AA899" s="412">
        <f t="shared" si="111"/>
        <v>1</v>
      </c>
      <c r="AB899" s="456">
        <f t="shared" si="112"/>
        <v>41.042000000000002</v>
      </c>
      <c r="AC899" s="456">
        <v>0</v>
      </c>
      <c r="AD899" s="2"/>
      <c r="AE899" s="4"/>
      <c r="AF899" s="5"/>
      <c r="AG899" s="428"/>
    </row>
    <row r="900" spans="2:33" hidden="1" x14ac:dyDescent="0.25">
      <c r="B900" s="1" t="s">
        <v>2979</v>
      </c>
      <c r="C900" s="3" t="s">
        <v>1368</v>
      </c>
      <c r="D900" s="3" t="s">
        <v>1247</v>
      </c>
      <c r="E900" s="407" t="s">
        <v>1398</v>
      </c>
      <c r="F900" s="3" t="s">
        <v>2288</v>
      </c>
      <c r="G900" s="407" t="s">
        <v>4496</v>
      </c>
      <c r="H900" s="440" t="s">
        <v>4109</v>
      </c>
      <c r="I900" s="407" t="s">
        <v>4317</v>
      </c>
      <c r="J900" s="407" t="s">
        <v>3796</v>
      </c>
      <c r="K900" s="387" t="s">
        <v>4650</v>
      </c>
      <c r="L900" s="387">
        <v>1</v>
      </c>
      <c r="M900" s="387">
        <v>0</v>
      </c>
      <c r="N900" s="387">
        <f t="shared" si="109"/>
        <v>1</v>
      </c>
      <c r="O900" s="442">
        <f t="shared" si="110"/>
        <v>1.0000000000000002</v>
      </c>
      <c r="P900" s="387" t="s">
        <v>1358</v>
      </c>
      <c r="Q900" s="459">
        <v>0</v>
      </c>
      <c r="R900" s="459"/>
      <c r="S900" s="456">
        <v>0</v>
      </c>
      <c r="T900" s="456">
        <v>31.096</v>
      </c>
      <c r="U900" s="410"/>
      <c r="V900" s="411">
        <v>1</v>
      </c>
      <c r="W900" s="411">
        <v>1</v>
      </c>
      <c r="X900" s="411">
        <v>1</v>
      </c>
      <c r="Y900" s="411"/>
      <c r="Z900" s="411"/>
      <c r="AA900" s="412">
        <f t="shared" si="111"/>
        <v>1.0000000000000002</v>
      </c>
      <c r="AB900" s="456">
        <f t="shared" si="112"/>
        <v>31.096000000000004</v>
      </c>
      <c r="AC900" s="456">
        <v>0</v>
      </c>
      <c r="AD900" s="2"/>
      <c r="AE900" s="4"/>
      <c r="AF900" s="5"/>
      <c r="AG900" s="428"/>
    </row>
    <row r="901" spans="2:33" hidden="1" x14ac:dyDescent="0.25">
      <c r="B901" s="1" t="s">
        <v>2980</v>
      </c>
      <c r="C901" s="3" t="s">
        <v>1368</v>
      </c>
      <c r="D901" s="3" t="s">
        <v>1247</v>
      </c>
      <c r="E901" s="407" t="s">
        <v>3294</v>
      </c>
      <c r="F901" s="3" t="s">
        <v>2289</v>
      </c>
      <c r="G901" s="407" t="s">
        <v>4500</v>
      </c>
      <c r="H901" s="440" t="s">
        <v>4109</v>
      </c>
      <c r="I901" s="407" t="s">
        <v>4321</v>
      </c>
      <c r="J901" s="407" t="s">
        <v>3755</v>
      </c>
      <c r="K901" s="387" t="s">
        <v>4654</v>
      </c>
      <c r="L901" s="387">
        <v>1</v>
      </c>
      <c r="M901" s="387">
        <v>0</v>
      </c>
      <c r="N901" s="387">
        <f t="shared" si="109"/>
        <v>1</v>
      </c>
      <c r="O901" s="442">
        <f t="shared" si="110"/>
        <v>1</v>
      </c>
      <c r="P901" s="387" t="s">
        <v>1358</v>
      </c>
      <c r="Q901" s="459">
        <v>0</v>
      </c>
      <c r="R901" s="459"/>
      <c r="S901" s="456">
        <v>0</v>
      </c>
      <c r="T901" s="456">
        <v>18.812999999999999</v>
      </c>
      <c r="U901" s="410"/>
      <c r="V901" s="411">
        <v>1</v>
      </c>
      <c r="W901" s="411">
        <v>1</v>
      </c>
      <c r="X901" s="411">
        <v>1</v>
      </c>
      <c r="Y901" s="411"/>
      <c r="Z901" s="411"/>
      <c r="AA901" s="412">
        <f t="shared" si="111"/>
        <v>1</v>
      </c>
      <c r="AB901" s="456">
        <f t="shared" si="112"/>
        <v>18.812999999999999</v>
      </c>
      <c r="AC901" s="456">
        <v>0</v>
      </c>
      <c r="AD901" s="2"/>
      <c r="AE901" s="4"/>
      <c r="AF901" s="5"/>
      <c r="AG901" s="428"/>
    </row>
    <row r="902" spans="2:33" hidden="1" x14ac:dyDescent="0.25">
      <c r="B902" s="1" t="s">
        <v>2981</v>
      </c>
      <c r="C902" s="3" t="s">
        <v>1368</v>
      </c>
      <c r="D902" s="3" t="s">
        <v>1247</v>
      </c>
      <c r="E902" s="407" t="s">
        <v>1432</v>
      </c>
      <c r="F902" s="3" t="s">
        <v>2290</v>
      </c>
      <c r="G902" s="407" t="s">
        <v>4483</v>
      </c>
      <c r="H902" s="440" t="s">
        <v>4109</v>
      </c>
      <c r="I902" s="407" t="s">
        <v>4304</v>
      </c>
      <c r="J902" s="407" t="s">
        <v>3785</v>
      </c>
      <c r="K902" s="387" t="s">
        <v>4635</v>
      </c>
      <c r="L902" s="387">
        <v>2</v>
      </c>
      <c r="M902" s="387">
        <v>0</v>
      </c>
      <c r="N902" s="387">
        <f t="shared" si="109"/>
        <v>2</v>
      </c>
      <c r="O902" s="442">
        <f t="shared" si="110"/>
        <v>0</v>
      </c>
      <c r="P902" s="387" t="s">
        <v>1358</v>
      </c>
      <c r="Q902" s="459">
        <v>0</v>
      </c>
      <c r="R902" s="459"/>
      <c r="S902" s="456">
        <v>0</v>
      </c>
      <c r="T902" s="456">
        <v>39.878</v>
      </c>
      <c r="U902" s="410"/>
      <c r="V902" s="411">
        <v>0</v>
      </c>
      <c r="W902" s="411">
        <v>0</v>
      </c>
      <c r="X902" s="411">
        <v>0</v>
      </c>
      <c r="Y902" s="411"/>
      <c r="Z902" s="411"/>
      <c r="AA902" s="412">
        <f t="shared" si="111"/>
        <v>0</v>
      </c>
      <c r="AB902" s="456">
        <f t="shared" si="112"/>
        <v>0</v>
      </c>
      <c r="AC902" s="456">
        <v>0</v>
      </c>
      <c r="AD902" s="2"/>
      <c r="AE902" s="4"/>
      <c r="AF902" s="5"/>
      <c r="AG902" s="428"/>
    </row>
    <row r="903" spans="2:33" hidden="1" x14ac:dyDescent="0.25">
      <c r="B903" s="1" t="s">
        <v>2982</v>
      </c>
      <c r="C903" s="3" t="s">
        <v>1368</v>
      </c>
      <c r="D903" s="3" t="s">
        <v>1247</v>
      </c>
      <c r="E903" s="407" t="s">
        <v>1397</v>
      </c>
      <c r="F903" s="3" t="s">
        <v>2291</v>
      </c>
      <c r="G903" s="407" t="s">
        <v>4493</v>
      </c>
      <c r="H903" s="440" t="s">
        <v>4109</v>
      </c>
      <c r="I903" s="407" t="s">
        <v>4314</v>
      </c>
      <c r="J903" s="407" t="s">
        <v>3795</v>
      </c>
      <c r="K903" s="387" t="s">
        <v>4647</v>
      </c>
      <c r="L903" s="387">
        <v>1</v>
      </c>
      <c r="M903" s="387">
        <v>0</v>
      </c>
      <c r="N903" s="387">
        <f t="shared" si="109"/>
        <v>1</v>
      </c>
      <c r="O903" s="442">
        <f t="shared" si="110"/>
        <v>1</v>
      </c>
      <c r="P903" s="387" t="s">
        <v>1358</v>
      </c>
      <c r="Q903" s="459">
        <v>0</v>
      </c>
      <c r="R903" s="459"/>
      <c r="S903" s="456">
        <v>0</v>
      </c>
      <c r="T903" s="456">
        <v>19.376000000000001</v>
      </c>
      <c r="U903" s="410"/>
      <c r="V903" s="411">
        <v>1</v>
      </c>
      <c r="W903" s="411">
        <v>1</v>
      </c>
      <c r="X903" s="411">
        <v>1</v>
      </c>
      <c r="Y903" s="411"/>
      <c r="Z903" s="411"/>
      <c r="AA903" s="412">
        <f t="shared" si="111"/>
        <v>1</v>
      </c>
      <c r="AB903" s="456">
        <f t="shared" si="112"/>
        <v>19.376000000000001</v>
      </c>
      <c r="AC903" s="456">
        <v>0</v>
      </c>
      <c r="AD903" s="2"/>
      <c r="AE903" s="4"/>
      <c r="AF903" s="5"/>
      <c r="AG903" s="428"/>
    </row>
    <row r="904" spans="2:33" hidden="1" x14ac:dyDescent="0.25">
      <c r="B904" s="1" t="s">
        <v>2983</v>
      </c>
      <c r="C904" s="3" t="s">
        <v>1368</v>
      </c>
      <c r="D904" s="3" t="s">
        <v>1247</v>
      </c>
      <c r="E904" s="407" t="s">
        <v>1398</v>
      </c>
      <c r="F904" s="3" t="s">
        <v>2292</v>
      </c>
      <c r="G904" s="407" t="s">
        <v>4496</v>
      </c>
      <c r="H904" s="440" t="s">
        <v>4109</v>
      </c>
      <c r="I904" s="407" t="s">
        <v>4317</v>
      </c>
      <c r="J904" s="407" t="s">
        <v>3796</v>
      </c>
      <c r="K904" s="387" t="s">
        <v>4650</v>
      </c>
      <c r="L904" s="387">
        <v>1</v>
      </c>
      <c r="M904" s="387">
        <v>0</v>
      </c>
      <c r="N904" s="387">
        <f t="shared" si="109"/>
        <v>1</v>
      </c>
      <c r="O904" s="442">
        <f t="shared" si="110"/>
        <v>1</v>
      </c>
      <c r="P904" s="387" t="s">
        <v>1358</v>
      </c>
      <c r="Q904" s="459">
        <v>0</v>
      </c>
      <c r="R904" s="459"/>
      <c r="S904" s="456">
        <v>0</v>
      </c>
      <c r="T904" s="456">
        <v>19.376000000000001</v>
      </c>
      <c r="U904" s="410"/>
      <c r="V904" s="411">
        <v>1</v>
      </c>
      <c r="W904" s="411">
        <v>1</v>
      </c>
      <c r="X904" s="411">
        <v>1</v>
      </c>
      <c r="Y904" s="411"/>
      <c r="Z904" s="411"/>
      <c r="AA904" s="412">
        <f t="shared" si="111"/>
        <v>1</v>
      </c>
      <c r="AB904" s="456">
        <f t="shared" si="112"/>
        <v>19.376000000000001</v>
      </c>
      <c r="AC904" s="456">
        <v>0</v>
      </c>
      <c r="AD904" s="2"/>
      <c r="AE904" s="4"/>
      <c r="AF904" s="5"/>
      <c r="AG904" s="428"/>
    </row>
    <row r="905" spans="2:33" hidden="1" x14ac:dyDescent="0.25">
      <c r="B905" s="1" t="s">
        <v>2984</v>
      </c>
      <c r="C905" s="3" t="s">
        <v>1368</v>
      </c>
      <c r="D905" s="3" t="s">
        <v>1247</v>
      </c>
      <c r="E905" s="407" t="s">
        <v>1425</v>
      </c>
      <c r="F905" s="3" t="s">
        <v>2293</v>
      </c>
      <c r="G905" s="407" t="s">
        <v>4479</v>
      </c>
      <c r="H905" s="440" t="s">
        <v>4109</v>
      </c>
      <c r="I905" s="407" t="s">
        <v>4300</v>
      </c>
      <c r="J905" s="407" t="s">
        <v>3781</v>
      </c>
      <c r="K905" s="387" t="s">
        <v>4643</v>
      </c>
      <c r="L905" s="387">
        <v>1</v>
      </c>
      <c r="M905" s="387">
        <v>0</v>
      </c>
      <c r="N905" s="387">
        <f t="shared" si="109"/>
        <v>1</v>
      </c>
      <c r="O905" s="442">
        <f t="shared" si="110"/>
        <v>1</v>
      </c>
      <c r="P905" s="387" t="s">
        <v>1358</v>
      </c>
      <c r="Q905" s="459">
        <v>0</v>
      </c>
      <c r="R905" s="459"/>
      <c r="S905" s="456">
        <v>0</v>
      </c>
      <c r="T905" s="456">
        <v>19.939</v>
      </c>
      <c r="U905" s="410"/>
      <c r="V905" s="411">
        <v>1</v>
      </c>
      <c r="W905" s="411">
        <v>1</v>
      </c>
      <c r="X905" s="411">
        <v>1</v>
      </c>
      <c r="Y905" s="411"/>
      <c r="Z905" s="411"/>
      <c r="AA905" s="412">
        <f t="shared" si="111"/>
        <v>1</v>
      </c>
      <c r="AB905" s="456">
        <f t="shared" si="112"/>
        <v>19.939</v>
      </c>
      <c r="AC905" s="456">
        <v>0</v>
      </c>
      <c r="AD905" s="2"/>
      <c r="AE905" s="4"/>
      <c r="AF905" s="5"/>
      <c r="AG905" s="428"/>
    </row>
    <row r="906" spans="2:33" hidden="1" x14ac:dyDescent="0.25">
      <c r="B906" s="1" t="s">
        <v>2985</v>
      </c>
      <c r="C906" s="3" t="s">
        <v>1368</v>
      </c>
      <c r="D906" s="3" t="s">
        <v>1247</v>
      </c>
      <c r="E906" s="407" t="s">
        <v>1426</v>
      </c>
      <c r="F906" s="3" t="s">
        <v>2294</v>
      </c>
      <c r="G906" s="407" t="s">
        <v>4480</v>
      </c>
      <c r="H906" s="440" t="s">
        <v>4109</v>
      </c>
      <c r="I906" s="407" t="s">
        <v>4301</v>
      </c>
      <c r="J906" s="407" t="s">
        <v>3782</v>
      </c>
      <c r="K906" s="387" t="s">
        <v>4637</v>
      </c>
      <c r="L906" s="387">
        <v>2</v>
      </c>
      <c r="M906" s="387">
        <v>0</v>
      </c>
      <c r="N906" s="387">
        <f t="shared" si="109"/>
        <v>2</v>
      </c>
      <c r="O906" s="442">
        <f t="shared" si="110"/>
        <v>0</v>
      </c>
      <c r="P906" s="387" t="s">
        <v>1358</v>
      </c>
      <c r="Q906" s="459">
        <v>0</v>
      </c>
      <c r="R906" s="459"/>
      <c r="S906" s="456">
        <v>0</v>
      </c>
      <c r="T906" s="456">
        <v>39.878</v>
      </c>
      <c r="U906" s="410"/>
      <c r="V906" s="411">
        <v>0</v>
      </c>
      <c r="W906" s="411">
        <v>0</v>
      </c>
      <c r="X906" s="411">
        <v>0</v>
      </c>
      <c r="Y906" s="411"/>
      <c r="Z906" s="411"/>
      <c r="AA906" s="412">
        <f t="shared" si="111"/>
        <v>0</v>
      </c>
      <c r="AB906" s="456">
        <f t="shared" si="112"/>
        <v>0</v>
      </c>
      <c r="AC906" s="456">
        <v>0</v>
      </c>
      <c r="AD906" s="2"/>
      <c r="AE906" s="4"/>
      <c r="AF906" s="5"/>
      <c r="AG906" s="428"/>
    </row>
    <row r="907" spans="2:33" hidden="1" x14ac:dyDescent="0.25">
      <c r="B907" s="1" t="s">
        <v>2986</v>
      </c>
      <c r="C907" s="3" t="s">
        <v>1368</v>
      </c>
      <c r="D907" s="3" t="s">
        <v>1247</v>
      </c>
      <c r="E907" s="407" t="s">
        <v>1428</v>
      </c>
      <c r="F907" s="3" t="s">
        <v>2295</v>
      </c>
      <c r="G907" s="407" t="s">
        <v>4486</v>
      </c>
      <c r="H907" s="440" t="s">
        <v>4109</v>
      </c>
      <c r="I907" s="407" t="s">
        <v>4307</v>
      </c>
      <c r="J907" s="407" t="s">
        <v>3788</v>
      </c>
      <c r="K907" s="387" t="s">
        <v>4639</v>
      </c>
      <c r="L907" s="387">
        <v>2</v>
      </c>
      <c r="M907" s="387">
        <v>0</v>
      </c>
      <c r="N907" s="387">
        <f t="shared" si="109"/>
        <v>2</v>
      </c>
      <c r="O907" s="442">
        <f t="shared" si="110"/>
        <v>0</v>
      </c>
      <c r="P907" s="387" t="s">
        <v>1358</v>
      </c>
      <c r="Q907" s="459">
        <v>0</v>
      </c>
      <c r="R907" s="459"/>
      <c r="S907" s="456">
        <v>0</v>
      </c>
      <c r="T907" s="456">
        <v>39.878</v>
      </c>
      <c r="U907" s="410"/>
      <c r="V907" s="411">
        <v>0</v>
      </c>
      <c r="W907" s="411">
        <v>0</v>
      </c>
      <c r="X907" s="411">
        <v>0</v>
      </c>
      <c r="Y907" s="411"/>
      <c r="Z907" s="411"/>
      <c r="AA907" s="412">
        <f t="shared" si="111"/>
        <v>0</v>
      </c>
      <c r="AB907" s="456">
        <f t="shared" si="112"/>
        <v>0</v>
      </c>
      <c r="AC907" s="456">
        <v>0</v>
      </c>
      <c r="AD907" s="2"/>
      <c r="AE907" s="4"/>
      <c r="AF907" s="5"/>
      <c r="AG907" s="428"/>
    </row>
    <row r="908" spans="2:33" hidden="1" x14ac:dyDescent="0.25">
      <c r="B908" s="1" t="s">
        <v>2987</v>
      </c>
      <c r="C908" s="3" t="s">
        <v>1368</v>
      </c>
      <c r="D908" s="3" t="s">
        <v>1247</v>
      </c>
      <c r="E908" s="407" t="s">
        <v>1430</v>
      </c>
      <c r="F908" s="3" t="s">
        <v>2296</v>
      </c>
      <c r="G908" s="407" t="s">
        <v>4488</v>
      </c>
      <c r="H908" s="440" t="s">
        <v>4109</v>
      </c>
      <c r="I908" s="407" t="s">
        <v>4309</v>
      </c>
      <c r="J908" s="407" t="s">
        <v>3790</v>
      </c>
      <c r="K908" s="387" t="s">
        <v>4641</v>
      </c>
      <c r="L908" s="387">
        <v>2</v>
      </c>
      <c r="M908" s="387">
        <v>0</v>
      </c>
      <c r="N908" s="387">
        <f t="shared" si="109"/>
        <v>2</v>
      </c>
      <c r="O908" s="442">
        <f t="shared" si="110"/>
        <v>0</v>
      </c>
      <c r="P908" s="387" t="s">
        <v>1358</v>
      </c>
      <c r="Q908" s="459">
        <v>0</v>
      </c>
      <c r="R908" s="459"/>
      <c r="S908" s="456">
        <v>0</v>
      </c>
      <c r="T908" s="456">
        <v>39.878</v>
      </c>
      <c r="U908" s="410"/>
      <c r="V908" s="411">
        <v>0</v>
      </c>
      <c r="W908" s="411">
        <v>0</v>
      </c>
      <c r="X908" s="411">
        <v>0</v>
      </c>
      <c r="Y908" s="411"/>
      <c r="Z908" s="411"/>
      <c r="AA908" s="412">
        <f t="shared" si="111"/>
        <v>0</v>
      </c>
      <c r="AB908" s="456">
        <f t="shared" si="112"/>
        <v>0</v>
      </c>
      <c r="AC908" s="456">
        <v>0</v>
      </c>
      <c r="AD908" s="2"/>
      <c r="AE908" s="4"/>
      <c r="AF908" s="5"/>
      <c r="AG908" s="428"/>
    </row>
    <row r="909" spans="2:33" hidden="1" x14ac:dyDescent="0.25">
      <c r="B909" s="1" t="s">
        <v>2988</v>
      </c>
      <c r="C909" s="3" t="s">
        <v>1368</v>
      </c>
      <c r="D909" s="3" t="s">
        <v>1247</v>
      </c>
      <c r="E909" s="407" t="s">
        <v>1431</v>
      </c>
      <c r="F909" s="3" t="s">
        <v>2297</v>
      </c>
      <c r="G909" s="407" t="s">
        <v>4489</v>
      </c>
      <c r="H909" s="440" t="s">
        <v>4109</v>
      </c>
      <c r="I909" s="407" t="s">
        <v>4310</v>
      </c>
      <c r="J909" s="407" t="s">
        <v>3791</v>
      </c>
      <c r="K909" s="387" t="s">
        <v>4642</v>
      </c>
      <c r="L909" s="387">
        <v>2</v>
      </c>
      <c r="M909" s="387">
        <v>0</v>
      </c>
      <c r="N909" s="387">
        <f t="shared" si="109"/>
        <v>2</v>
      </c>
      <c r="O909" s="442">
        <f t="shared" si="110"/>
        <v>0</v>
      </c>
      <c r="P909" s="387" t="s">
        <v>1358</v>
      </c>
      <c r="Q909" s="459">
        <v>0</v>
      </c>
      <c r="R909" s="459"/>
      <c r="S909" s="456">
        <v>0</v>
      </c>
      <c r="T909" s="456">
        <v>39.878</v>
      </c>
      <c r="U909" s="410"/>
      <c r="V909" s="411">
        <v>0</v>
      </c>
      <c r="W909" s="411">
        <v>0</v>
      </c>
      <c r="X909" s="411">
        <v>0</v>
      </c>
      <c r="Y909" s="411"/>
      <c r="Z909" s="411"/>
      <c r="AA909" s="412">
        <f t="shared" si="111"/>
        <v>0</v>
      </c>
      <c r="AB909" s="456">
        <f t="shared" si="112"/>
        <v>0</v>
      </c>
      <c r="AC909" s="456">
        <v>0</v>
      </c>
      <c r="AD909" s="2"/>
      <c r="AE909" s="4"/>
      <c r="AF909" s="5"/>
      <c r="AG909" s="428"/>
    </row>
    <row r="910" spans="2:33" hidden="1" x14ac:dyDescent="0.25">
      <c r="B910" s="1" t="s">
        <v>2989</v>
      </c>
      <c r="C910" s="3" t="s">
        <v>1368</v>
      </c>
      <c r="D910" s="3" t="s">
        <v>1247</v>
      </c>
      <c r="E910" s="407" t="s">
        <v>1397</v>
      </c>
      <c r="F910" s="3" t="s">
        <v>2298</v>
      </c>
      <c r="G910" s="407" t="s">
        <v>4493</v>
      </c>
      <c r="H910" s="440" t="s">
        <v>4109</v>
      </c>
      <c r="I910" s="407" t="s">
        <v>4314</v>
      </c>
      <c r="J910" s="407" t="s">
        <v>3795</v>
      </c>
      <c r="K910" s="387" t="s">
        <v>4647</v>
      </c>
      <c r="L910" s="387">
        <v>1</v>
      </c>
      <c r="M910" s="387">
        <v>0</v>
      </c>
      <c r="N910" s="387">
        <f t="shared" si="109"/>
        <v>1</v>
      </c>
      <c r="O910" s="442">
        <f t="shared" si="110"/>
        <v>1</v>
      </c>
      <c r="P910" s="387" t="s">
        <v>1358</v>
      </c>
      <c r="Q910" s="459">
        <v>0</v>
      </c>
      <c r="R910" s="459"/>
      <c r="S910" s="456">
        <v>0</v>
      </c>
      <c r="T910" s="456">
        <v>19.376000000000001</v>
      </c>
      <c r="U910" s="410"/>
      <c r="V910" s="411">
        <v>1</v>
      </c>
      <c r="W910" s="411">
        <v>1</v>
      </c>
      <c r="X910" s="411">
        <v>1</v>
      </c>
      <c r="Y910" s="411"/>
      <c r="Z910" s="411"/>
      <c r="AA910" s="412">
        <f t="shared" si="111"/>
        <v>1</v>
      </c>
      <c r="AB910" s="456">
        <f t="shared" si="112"/>
        <v>19.376000000000001</v>
      </c>
      <c r="AC910" s="456">
        <v>0</v>
      </c>
      <c r="AD910" s="2"/>
      <c r="AE910" s="4"/>
      <c r="AF910" s="5"/>
      <c r="AG910" s="428"/>
    </row>
    <row r="911" spans="2:33" hidden="1" x14ac:dyDescent="0.25">
      <c r="B911" s="1" t="s">
        <v>2990</v>
      </c>
      <c r="C911" s="3" t="s">
        <v>1368</v>
      </c>
      <c r="D911" s="3" t="s">
        <v>1247</v>
      </c>
      <c r="E911" s="407" t="s">
        <v>1398</v>
      </c>
      <c r="F911" s="3" t="s">
        <v>2299</v>
      </c>
      <c r="G911" s="407" t="s">
        <v>4496</v>
      </c>
      <c r="H911" s="440" t="s">
        <v>4109</v>
      </c>
      <c r="I911" s="407" t="s">
        <v>4317</v>
      </c>
      <c r="J911" s="407" t="s">
        <v>3796</v>
      </c>
      <c r="K911" s="387" t="s">
        <v>4650</v>
      </c>
      <c r="L911" s="387">
        <v>1</v>
      </c>
      <c r="M911" s="387">
        <v>0</v>
      </c>
      <c r="N911" s="387">
        <f t="shared" si="109"/>
        <v>1</v>
      </c>
      <c r="O911" s="442">
        <f t="shared" si="110"/>
        <v>1</v>
      </c>
      <c r="P911" s="387" t="s">
        <v>1358</v>
      </c>
      <c r="Q911" s="459">
        <v>0</v>
      </c>
      <c r="R911" s="459"/>
      <c r="S911" s="456">
        <v>0</v>
      </c>
      <c r="T911" s="456">
        <v>19.376000000000001</v>
      </c>
      <c r="U911" s="410"/>
      <c r="V911" s="411">
        <v>1</v>
      </c>
      <c r="W911" s="411">
        <v>1</v>
      </c>
      <c r="X911" s="411">
        <v>1</v>
      </c>
      <c r="Y911" s="411"/>
      <c r="Z911" s="411"/>
      <c r="AA911" s="412">
        <f t="shared" si="111"/>
        <v>1</v>
      </c>
      <c r="AB911" s="456">
        <f t="shared" si="112"/>
        <v>19.376000000000001</v>
      </c>
      <c r="AC911" s="456">
        <v>0</v>
      </c>
      <c r="AD911" s="2"/>
      <c r="AE911" s="4"/>
      <c r="AF911" s="5"/>
      <c r="AG911" s="428"/>
    </row>
    <row r="912" spans="2:33" hidden="1" x14ac:dyDescent="0.25">
      <c r="B912" s="1" t="s">
        <v>2991</v>
      </c>
      <c r="C912" s="3" t="s">
        <v>1368</v>
      </c>
      <c r="D912" s="3" t="s">
        <v>1247</v>
      </c>
      <c r="E912" s="407" t="s">
        <v>1425</v>
      </c>
      <c r="F912" s="3" t="s">
        <v>2300</v>
      </c>
      <c r="G912" s="407" t="s">
        <v>4479</v>
      </c>
      <c r="H912" s="440" t="s">
        <v>4109</v>
      </c>
      <c r="I912" s="407" t="s">
        <v>4300</v>
      </c>
      <c r="J912" s="407" t="s">
        <v>3781</v>
      </c>
      <c r="K912" s="387" t="s">
        <v>4643</v>
      </c>
      <c r="L912" s="387">
        <v>1</v>
      </c>
      <c r="M912" s="387">
        <v>0</v>
      </c>
      <c r="N912" s="387">
        <f t="shared" si="109"/>
        <v>1</v>
      </c>
      <c r="O912" s="442">
        <f t="shared" si="110"/>
        <v>1</v>
      </c>
      <c r="P912" s="387" t="s">
        <v>1358</v>
      </c>
      <c r="Q912" s="459">
        <v>0</v>
      </c>
      <c r="R912" s="459"/>
      <c r="S912" s="456">
        <v>0</v>
      </c>
      <c r="T912" s="456">
        <v>19.939</v>
      </c>
      <c r="U912" s="410"/>
      <c r="V912" s="411">
        <v>1</v>
      </c>
      <c r="W912" s="411">
        <v>1</v>
      </c>
      <c r="X912" s="411">
        <v>1</v>
      </c>
      <c r="Y912" s="411"/>
      <c r="Z912" s="411"/>
      <c r="AA912" s="412">
        <f t="shared" si="111"/>
        <v>1</v>
      </c>
      <c r="AB912" s="456">
        <f t="shared" si="112"/>
        <v>19.939</v>
      </c>
      <c r="AC912" s="456">
        <v>0</v>
      </c>
      <c r="AD912" s="2"/>
      <c r="AE912" s="4"/>
      <c r="AF912" s="5"/>
      <c r="AG912" s="428"/>
    </row>
    <row r="913" spans="2:33" hidden="1" x14ac:dyDescent="0.25">
      <c r="B913" s="1" t="s">
        <v>2992</v>
      </c>
      <c r="C913" s="3" t="s">
        <v>1368</v>
      </c>
      <c r="D913" s="3" t="s">
        <v>1247</v>
      </c>
      <c r="E913" s="407" t="s">
        <v>1429</v>
      </c>
      <c r="F913" s="3" t="s">
        <v>2301</v>
      </c>
      <c r="G913" s="407" t="s">
        <v>4487</v>
      </c>
      <c r="H913" s="440" t="s">
        <v>4109</v>
      </c>
      <c r="I913" s="407" t="s">
        <v>4308</v>
      </c>
      <c r="J913" s="407" t="s">
        <v>3789</v>
      </c>
      <c r="K913" s="387" t="s">
        <v>4640</v>
      </c>
      <c r="L913" s="387">
        <v>2</v>
      </c>
      <c r="M913" s="387">
        <v>0</v>
      </c>
      <c r="N913" s="387">
        <f t="shared" si="109"/>
        <v>2</v>
      </c>
      <c r="O913" s="442">
        <f t="shared" si="110"/>
        <v>0</v>
      </c>
      <c r="P913" s="387" t="s">
        <v>1358</v>
      </c>
      <c r="Q913" s="459">
        <v>0</v>
      </c>
      <c r="R913" s="459"/>
      <c r="S913" s="456">
        <v>0</v>
      </c>
      <c r="T913" s="456">
        <v>39.878</v>
      </c>
      <c r="U913" s="410"/>
      <c r="V913" s="411">
        <v>0</v>
      </c>
      <c r="W913" s="411">
        <v>0</v>
      </c>
      <c r="X913" s="411">
        <v>0</v>
      </c>
      <c r="Y913" s="411"/>
      <c r="Z913" s="411"/>
      <c r="AA913" s="412">
        <f t="shared" si="111"/>
        <v>0</v>
      </c>
      <c r="AB913" s="456">
        <f t="shared" si="112"/>
        <v>0</v>
      </c>
      <c r="AC913" s="456">
        <v>0</v>
      </c>
      <c r="AD913" s="2"/>
      <c r="AE913" s="4"/>
      <c r="AF913" s="5"/>
      <c r="AG913" s="428"/>
    </row>
    <row r="914" spans="2:33" hidden="1" x14ac:dyDescent="0.25">
      <c r="B914" s="1" t="s">
        <v>2993</v>
      </c>
      <c r="C914" s="3" t="s">
        <v>1368</v>
      </c>
      <c r="D914" s="3" t="s">
        <v>1247</v>
      </c>
      <c r="E914" s="407" t="s">
        <v>1397</v>
      </c>
      <c r="F914" s="3" t="s">
        <v>2302</v>
      </c>
      <c r="G914" s="407" t="s">
        <v>4493</v>
      </c>
      <c r="H914" s="440" t="s">
        <v>4109</v>
      </c>
      <c r="I914" s="407" t="s">
        <v>4314</v>
      </c>
      <c r="J914" s="407" t="s">
        <v>3795</v>
      </c>
      <c r="K914" s="387" t="s">
        <v>4647</v>
      </c>
      <c r="L914" s="387">
        <v>1</v>
      </c>
      <c r="M914" s="387">
        <v>0</v>
      </c>
      <c r="N914" s="387">
        <f t="shared" si="109"/>
        <v>1</v>
      </c>
      <c r="O914" s="442">
        <f t="shared" si="110"/>
        <v>1</v>
      </c>
      <c r="P914" s="387" t="s">
        <v>1358</v>
      </c>
      <c r="Q914" s="459">
        <v>0</v>
      </c>
      <c r="R914" s="459"/>
      <c r="S914" s="456">
        <v>0</v>
      </c>
      <c r="T914" s="456">
        <v>32.151000000000003</v>
      </c>
      <c r="U914" s="410"/>
      <c r="V914" s="411">
        <v>1</v>
      </c>
      <c r="W914" s="411">
        <v>1</v>
      </c>
      <c r="X914" s="411">
        <v>1</v>
      </c>
      <c r="Y914" s="411"/>
      <c r="Z914" s="411"/>
      <c r="AA914" s="412">
        <f t="shared" si="111"/>
        <v>1</v>
      </c>
      <c r="AB914" s="456">
        <f t="shared" si="112"/>
        <v>32.151000000000003</v>
      </c>
      <c r="AC914" s="456">
        <v>0</v>
      </c>
      <c r="AD914" s="2"/>
      <c r="AE914" s="4"/>
      <c r="AF914" s="5"/>
      <c r="AG914" s="428"/>
    </row>
    <row r="915" spans="2:33" hidden="1" x14ac:dyDescent="0.25">
      <c r="B915" s="1" t="s">
        <v>2994</v>
      </c>
      <c r="C915" s="3" t="s">
        <v>1368</v>
      </c>
      <c r="D915" s="3" t="s">
        <v>1247</v>
      </c>
      <c r="E915" s="407" t="s">
        <v>1398</v>
      </c>
      <c r="F915" s="3" t="s">
        <v>2303</v>
      </c>
      <c r="G915" s="407" t="s">
        <v>4496</v>
      </c>
      <c r="H915" s="440" t="s">
        <v>4109</v>
      </c>
      <c r="I915" s="407" t="s">
        <v>4317</v>
      </c>
      <c r="J915" s="407" t="s">
        <v>3796</v>
      </c>
      <c r="K915" s="387" t="s">
        <v>4650</v>
      </c>
      <c r="L915" s="387">
        <v>1</v>
      </c>
      <c r="M915" s="387">
        <v>0</v>
      </c>
      <c r="N915" s="387">
        <f t="shared" si="109"/>
        <v>1</v>
      </c>
      <c r="O915" s="442">
        <f t="shared" si="110"/>
        <v>1.0000000000000002</v>
      </c>
      <c r="P915" s="387" t="s">
        <v>1358</v>
      </c>
      <c r="Q915" s="459">
        <v>0</v>
      </c>
      <c r="R915" s="459"/>
      <c r="S915" s="456">
        <v>0</v>
      </c>
      <c r="T915" s="456">
        <v>42.24</v>
      </c>
      <c r="U915" s="410"/>
      <c r="V915" s="411">
        <v>1</v>
      </c>
      <c r="W915" s="411">
        <v>1</v>
      </c>
      <c r="X915" s="411">
        <v>1</v>
      </c>
      <c r="Y915" s="411"/>
      <c r="Z915" s="411"/>
      <c r="AA915" s="412">
        <f t="shared" si="111"/>
        <v>1.0000000000000002</v>
      </c>
      <c r="AB915" s="456">
        <f t="shared" si="112"/>
        <v>42.240000000000009</v>
      </c>
      <c r="AC915" s="456">
        <v>0</v>
      </c>
      <c r="AD915" s="2"/>
      <c r="AE915" s="4"/>
      <c r="AF915" s="5"/>
      <c r="AG915" s="428"/>
    </row>
    <row r="916" spans="2:33" hidden="1" x14ac:dyDescent="0.25">
      <c r="B916" s="1" t="s">
        <v>2995</v>
      </c>
      <c r="C916" s="3" t="s">
        <v>1368</v>
      </c>
      <c r="D916" s="3" t="s">
        <v>1247</v>
      </c>
      <c r="E916" s="407" t="s">
        <v>3306</v>
      </c>
      <c r="F916" s="3" t="s">
        <v>2304</v>
      </c>
      <c r="G916" s="407" t="s">
        <v>4484</v>
      </c>
      <c r="H916" s="440" t="s">
        <v>4109</v>
      </c>
      <c r="I916" s="407" t="s">
        <v>4305</v>
      </c>
      <c r="J916" s="407" t="s">
        <v>3786</v>
      </c>
      <c r="K916" s="387" t="s">
        <v>4636</v>
      </c>
      <c r="L916" s="387">
        <v>1</v>
      </c>
      <c r="M916" s="387">
        <v>0</v>
      </c>
      <c r="N916" s="387">
        <f t="shared" si="109"/>
        <v>1</v>
      </c>
      <c r="O916" s="442">
        <f t="shared" si="110"/>
        <v>0</v>
      </c>
      <c r="P916" s="387" t="s">
        <v>1358</v>
      </c>
      <c r="Q916" s="459">
        <v>0</v>
      </c>
      <c r="R916" s="459"/>
      <c r="S916" s="456">
        <v>0</v>
      </c>
      <c r="T916" s="456">
        <v>46.124000000000002</v>
      </c>
      <c r="U916" s="410"/>
      <c r="V916" s="411">
        <v>0</v>
      </c>
      <c r="W916" s="411">
        <v>0</v>
      </c>
      <c r="X916" s="411">
        <v>0</v>
      </c>
      <c r="Y916" s="411"/>
      <c r="Z916" s="411"/>
      <c r="AA916" s="412">
        <f t="shared" si="111"/>
        <v>0</v>
      </c>
      <c r="AB916" s="456">
        <f t="shared" si="112"/>
        <v>0</v>
      </c>
      <c r="AC916" s="456">
        <v>0</v>
      </c>
      <c r="AD916" s="2"/>
      <c r="AE916" s="4"/>
      <c r="AF916" s="5"/>
      <c r="AG916" s="428"/>
    </row>
    <row r="917" spans="2:33" hidden="1" x14ac:dyDescent="0.25">
      <c r="B917" s="1" t="s">
        <v>2996</v>
      </c>
      <c r="C917" s="3" t="s">
        <v>1368</v>
      </c>
      <c r="D917" s="3" t="s">
        <v>1247</v>
      </c>
      <c r="E917" s="407" t="s">
        <v>1425</v>
      </c>
      <c r="F917" s="3" t="s">
        <v>2305</v>
      </c>
      <c r="G917" s="407" t="s">
        <v>4479</v>
      </c>
      <c r="H917" s="440" t="s">
        <v>4109</v>
      </c>
      <c r="I917" s="407" t="s">
        <v>4300</v>
      </c>
      <c r="J917" s="407" t="s">
        <v>3781</v>
      </c>
      <c r="K917" s="387" t="s">
        <v>4643</v>
      </c>
      <c r="L917" s="387">
        <v>1</v>
      </c>
      <c r="M917" s="387">
        <v>0</v>
      </c>
      <c r="N917" s="387">
        <f t="shared" si="109"/>
        <v>1</v>
      </c>
      <c r="O917" s="442">
        <f t="shared" si="110"/>
        <v>1</v>
      </c>
      <c r="P917" s="387" t="s">
        <v>1358</v>
      </c>
      <c r="Q917" s="459">
        <v>0</v>
      </c>
      <c r="R917" s="459"/>
      <c r="S917" s="456">
        <v>0</v>
      </c>
      <c r="T917" s="456">
        <v>33.084000000000003</v>
      </c>
      <c r="U917" s="410"/>
      <c r="V917" s="411">
        <v>1</v>
      </c>
      <c r="W917" s="411">
        <v>1</v>
      </c>
      <c r="X917" s="411">
        <v>1</v>
      </c>
      <c r="Y917" s="411"/>
      <c r="Z917" s="411"/>
      <c r="AA917" s="412">
        <f t="shared" si="111"/>
        <v>1</v>
      </c>
      <c r="AB917" s="456">
        <f t="shared" si="112"/>
        <v>33.084000000000003</v>
      </c>
      <c r="AC917" s="456">
        <v>0</v>
      </c>
      <c r="AD917" s="2"/>
      <c r="AE917" s="4"/>
      <c r="AF917" s="5"/>
      <c r="AG917" s="428"/>
    </row>
    <row r="918" spans="2:33" hidden="1" x14ac:dyDescent="0.25">
      <c r="B918" s="1" t="s">
        <v>2997</v>
      </c>
      <c r="C918" s="3" t="s">
        <v>1368</v>
      </c>
      <c r="D918" s="3" t="s">
        <v>1247</v>
      </c>
      <c r="E918" s="407" t="s">
        <v>1426</v>
      </c>
      <c r="F918" s="3" t="s">
        <v>2306</v>
      </c>
      <c r="G918" s="407" t="s">
        <v>4480</v>
      </c>
      <c r="H918" s="440" t="s">
        <v>4109</v>
      </c>
      <c r="I918" s="407" t="s">
        <v>4301</v>
      </c>
      <c r="J918" s="407" t="s">
        <v>3782</v>
      </c>
      <c r="K918" s="387" t="s">
        <v>4637</v>
      </c>
      <c r="L918" s="387">
        <v>1</v>
      </c>
      <c r="M918" s="387">
        <v>0</v>
      </c>
      <c r="N918" s="387">
        <f t="shared" si="109"/>
        <v>1</v>
      </c>
      <c r="O918" s="442">
        <f t="shared" si="110"/>
        <v>0</v>
      </c>
      <c r="P918" s="387" t="s">
        <v>1358</v>
      </c>
      <c r="Q918" s="459">
        <v>0</v>
      </c>
      <c r="R918" s="459"/>
      <c r="S918" s="456">
        <v>0</v>
      </c>
      <c r="T918" s="456">
        <v>26.664000000000001</v>
      </c>
      <c r="U918" s="410"/>
      <c r="V918" s="411">
        <v>0</v>
      </c>
      <c r="W918" s="411">
        <v>0</v>
      </c>
      <c r="X918" s="411">
        <v>0</v>
      </c>
      <c r="Y918" s="411"/>
      <c r="Z918" s="411"/>
      <c r="AA918" s="412">
        <f t="shared" si="111"/>
        <v>0</v>
      </c>
      <c r="AB918" s="456">
        <f t="shared" si="112"/>
        <v>0</v>
      </c>
      <c r="AC918" s="456">
        <v>0</v>
      </c>
      <c r="AD918" s="2"/>
      <c r="AE918" s="4"/>
      <c r="AF918" s="5"/>
      <c r="AG918" s="428"/>
    </row>
    <row r="919" spans="2:33" hidden="1" x14ac:dyDescent="0.25">
      <c r="B919" s="1" t="s">
        <v>2998</v>
      </c>
      <c r="C919" s="3" t="s">
        <v>1368</v>
      </c>
      <c r="D919" s="3" t="s">
        <v>1247</v>
      </c>
      <c r="E919" s="407" t="s">
        <v>1427</v>
      </c>
      <c r="F919" s="3" t="s">
        <v>2307</v>
      </c>
      <c r="G919" s="407" t="s">
        <v>4485</v>
      </c>
      <c r="H919" s="440" t="s">
        <v>4109</v>
      </c>
      <c r="I919" s="407" t="s">
        <v>4306</v>
      </c>
      <c r="J919" s="407" t="s">
        <v>3787</v>
      </c>
      <c r="K919" s="387" t="s">
        <v>4638</v>
      </c>
      <c r="L919" s="387">
        <v>1</v>
      </c>
      <c r="M919" s="387">
        <v>0</v>
      </c>
      <c r="N919" s="387">
        <f t="shared" si="109"/>
        <v>1</v>
      </c>
      <c r="O919" s="442">
        <f t="shared" si="110"/>
        <v>0</v>
      </c>
      <c r="P919" s="387" t="s">
        <v>1358</v>
      </c>
      <c r="Q919" s="459">
        <v>0</v>
      </c>
      <c r="R919" s="459"/>
      <c r="S919" s="456">
        <v>0</v>
      </c>
      <c r="T919" s="456">
        <v>26.664000000000001</v>
      </c>
      <c r="U919" s="410"/>
      <c r="V919" s="411">
        <v>0</v>
      </c>
      <c r="W919" s="411">
        <v>0</v>
      </c>
      <c r="X919" s="411">
        <v>0</v>
      </c>
      <c r="Y919" s="411"/>
      <c r="Z919" s="411"/>
      <c r="AA919" s="412">
        <f t="shared" si="111"/>
        <v>0</v>
      </c>
      <c r="AB919" s="456">
        <f t="shared" si="112"/>
        <v>0</v>
      </c>
      <c r="AC919" s="456">
        <v>0</v>
      </c>
      <c r="AD919" s="2"/>
      <c r="AE919" s="4"/>
      <c r="AF919" s="5"/>
      <c r="AG919" s="428"/>
    </row>
    <row r="920" spans="2:33" hidden="1" x14ac:dyDescent="0.25">
      <c r="B920" s="1" t="s">
        <v>2999</v>
      </c>
      <c r="C920" s="3" t="s">
        <v>1368</v>
      </c>
      <c r="D920" s="3" t="s">
        <v>1247</v>
      </c>
      <c r="E920" s="407" t="s">
        <v>1428</v>
      </c>
      <c r="F920" s="3" t="s">
        <v>2308</v>
      </c>
      <c r="G920" s="407" t="s">
        <v>4486</v>
      </c>
      <c r="H920" s="440" t="s">
        <v>4109</v>
      </c>
      <c r="I920" s="407" t="s">
        <v>4307</v>
      </c>
      <c r="J920" s="407" t="s">
        <v>3788</v>
      </c>
      <c r="K920" s="387" t="s">
        <v>4639</v>
      </c>
      <c r="L920" s="387">
        <v>1</v>
      </c>
      <c r="M920" s="387">
        <v>0</v>
      </c>
      <c r="N920" s="387">
        <f t="shared" si="109"/>
        <v>1</v>
      </c>
      <c r="O920" s="442">
        <f t="shared" si="110"/>
        <v>0</v>
      </c>
      <c r="P920" s="387" t="s">
        <v>1358</v>
      </c>
      <c r="Q920" s="459">
        <v>0</v>
      </c>
      <c r="R920" s="459"/>
      <c r="S920" s="456">
        <v>0</v>
      </c>
      <c r="T920" s="456">
        <v>26.664000000000001</v>
      </c>
      <c r="U920" s="410"/>
      <c r="V920" s="411">
        <v>0</v>
      </c>
      <c r="W920" s="411">
        <v>0</v>
      </c>
      <c r="X920" s="411">
        <v>0</v>
      </c>
      <c r="Y920" s="411"/>
      <c r="Z920" s="411"/>
      <c r="AA920" s="412">
        <f t="shared" si="111"/>
        <v>0</v>
      </c>
      <c r="AB920" s="456">
        <f t="shared" si="112"/>
        <v>0</v>
      </c>
      <c r="AC920" s="456">
        <v>0</v>
      </c>
      <c r="AD920" s="2"/>
      <c r="AE920" s="4"/>
      <c r="AF920" s="5"/>
      <c r="AG920" s="428"/>
    </row>
    <row r="921" spans="2:33" hidden="1" x14ac:dyDescent="0.25">
      <c r="B921" s="1" t="s">
        <v>3000</v>
      </c>
      <c r="C921" s="3" t="s">
        <v>1368</v>
      </c>
      <c r="D921" s="3" t="s">
        <v>1247</v>
      </c>
      <c r="E921" s="407" t="s">
        <v>1429</v>
      </c>
      <c r="F921" s="3" t="s">
        <v>2309</v>
      </c>
      <c r="G921" s="407" t="s">
        <v>4487</v>
      </c>
      <c r="H921" s="440" t="s">
        <v>4109</v>
      </c>
      <c r="I921" s="407" t="s">
        <v>4308</v>
      </c>
      <c r="J921" s="407" t="s">
        <v>3789</v>
      </c>
      <c r="K921" s="387" t="s">
        <v>4640</v>
      </c>
      <c r="L921" s="387">
        <v>1</v>
      </c>
      <c r="M921" s="387">
        <v>0</v>
      </c>
      <c r="N921" s="387">
        <f t="shared" si="109"/>
        <v>1</v>
      </c>
      <c r="O921" s="442">
        <f t="shared" si="110"/>
        <v>0</v>
      </c>
      <c r="P921" s="387" t="s">
        <v>1358</v>
      </c>
      <c r="Q921" s="459">
        <v>0</v>
      </c>
      <c r="R921" s="459"/>
      <c r="S921" s="456">
        <v>0</v>
      </c>
      <c r="T921" s="456">
        <v>26.664000000000001</v>
      </c>
      <c r="U921" s="410"/>
      <c r="V921" s="411">
        <v>0</v>
      </c>
      <c r="W921" s="411">
        <v>0</v>
      </c>
      <c r="X921" s="411">
        <v>0</v>
      </c>
      <c r="Y921" s="411"/>
      <c r="Z921" s="411"/>
      <c r="AA921" s="412">
        <f t="shared" si="111"/>
        <v>0</v>
      </c>
      <c r="AB921" s="456">
        <f t="shared" si="112"/>
        <v>0</v>
      </c>
      <c r="AC921" s="456">
        <v>0</v>
      </c>
      <c r="AD921" s="2"/>
      <c r="AE921" s="4"/>
      <c r="AF921" s="5"/>
      <c r="AG921" s="428"/>
    </row>
    <row r="922" spans="2:33" hidden="1" x14ac:dyDescent="0.25">
      <c r="B922" s="1" t="s">
        <v>3001</v>
      </c>
      <c r="C922" s="3" t="s">
        <v>1368</v>
      </c>
      <c r="D922" s="3" t="s">
        <v>1247</v>
      </c>
      <c r="E922" s="407" t="s">
        <v>1430</v>
      </c>
      <c r="F922" s="3" t="s">
        <v>2310</v>
      </c>
      <c r="G922" s="407" t="s">
        <v>4488</v>
      </c>
      <c r="H922" s="440" t="s">
        <v>4109</v>
      </c>
      <c r="I922" s="407" t="s">
        <v>4309</v>
      </c>
      <c r="J922" s="407" t="s">
        <v>3790</v>
      </c>
      <c r="K922" s="387" t="s">
        <v>4641</v>
      </c>
      <c r="L922" s="387">
        <v>1</v>
      </c>
      <c r="M922" s="387">
        <v>0</v>
      </c>
      <c r="N922" s="387">
        <f t="shared" si="109"/>
        <v>1</v>
      </c>
      <c r="O922" s="442">
        <f t="shared" si="110"/>
        <v>0</v>
      </c>
      <c r="P922" s="387" t="s">
        <v>1358</v>
      </c>
      <c r="Q922" s="459">
        <v>0</v>
      </c>
      <c r="R922" s="459"/>
      <c r="S922" s="456">
        <v>0</v>
      </c>
      <c r="T922" s="456">
        <v>26.664000000000001</v>
      </c>
      <c r="U922" s="410"/>
      <c r="V922" s="411">
        <v>0</v>
      </c>
      <c r="W922" s="411">
        <v>0</v>
      </c>
      <c r="X922" s="411">
        <v>0</v>
      </c>
      <c r="Y922" s="411"/>
      <c r="Z922" s="411"/>
      <c r="AA922" s="412">
        <f t="shared" si="111"/>
        <v>0</v>
      </c>
      <c r="AB922" s="456">
        <f t="shared" si="112"/>
        <v>0</v>
      </c>
      <c r="AC922" s="456">
        <v>0</v>
      </c>
      <c r="AD922" s="2"/>
      <c r="AE922" s="4"/>
      <c r="AF922" s="5"/>
      <c r="AG922" s="428"/>
    </row>
    <row r="923" spans="2:33" hidden="1" x14ac:dyDescent="0.25">
      <c r="B923" s="1" t="s">
        <v>3002</v>
      </c>
      <c r="C923" s="3" t="s">
        <v>1368</v>
      </c>
      <c r="D923" s="3" t="s">
        <v>1247</v>
      </c>
      <c r="E923" s="407" t="s">
        <v>1431</v>
      </c>
      <c r="F923" s="3" t="s">
        <v>2311</v>
      </c>
      <c r="G923" s="407" t="s">
        <v>4489</v>
      </c>
      <c r="H923" s="440" t="s">
        <v>4109</v>
      </c>
      <c r="I923" s="407" t="s">
        <v>4310</v>
      </c>
      <c r="J923" s="407" t="s">
        <v>3791</v>
      </c>
      <c r="K923" s="387" t="s">
        <v>4642</v>
      </c>
      <c r="L923" s="387">
        <v>1</v>
      </c>
      <c r="M923" s="387">
        <v>0</v>
      </c>
      <c r="N923" s="387">
        <f t="shared" si="109"/>
        <v>1</v>
      </c>
      <c r="O923" s="442">
        <f t="shared" si="110"/>
        <v>0</v>
      </c>
      <c r="P923" s="387" t="s">
        <v>1358</v>
      </c>
      <c r="Q923" s="459">
        <v>0</v>
      </c>
      <c r="R923" s="459"/>
      <c r="S923" s="456">
        <v>0</v>
      </c>
      <c r="T923" s="456">
        <v>26.664000000000001</v>
      </c>
      <c r="U923" s="410"/>
      <c r="V923" s="411">
        <v>0</v>
      </c>
      <c r="W923" s="411">
        <v>0</v>
      </c>
      <c r="X923" s="411">
        <v>0</v>
      </c>
      <c r="Y923" s="411"/>
      <c r="Z923" s="411"/>
      <c r="AA923" s="412">
        <f t="shared" si="111"/>
        <v>0</v>
      </c>
      <c r="AB923" s="456">
        <f t="shared" si="112"/>
        <v>0</v>
      </c>
      <c r="AC923" s="456">
        <v>0</v>
      </c>
      <c r="AD923" s="2"/>
      <c r="AE923" s="4"/>
      <c r="AF923" s="5"/>
      <c r="AG923" s="428"/>
    </row>
    <row r="924" spans="2:33" hidden="1" x14ac:dyDescent="0.25">
      <c r="B924" s="1" t="s">
        <v>3003</v>
      </c>
      <c r="C924" s="3" t="s">
        <v>1368</v>
      </c>
      <c r="D924" s="3" t="s">
        <v>1247</v>
      </c>
      <c r="E924" s="407" t="s">
        <v>1433</v>
      </c>
      <c r="F924" s="3" t="s">
        <v>2312</v>
      </c>
      <c r="G924" s="407" t="s">
        <v>4490</v>
      </c>
      <c r="H924" s="440" t="s">
        <v>4109</v>
      </c>
      <c r="I924" s="407" t="s">
        <v>4311</v>
      </c>
      <c r="J924" s="407" t="s">
        <v>3792</v>
      </c>
      <c r="K924" s="387" t="s">
        <v>4644</v>
      </c>
      <c r="L924" s="387">
        <v>3</v>
      </c>
      <c r="M924" s="387">
        <v>0</v>
      </c>
      <c r="N924" s="387">
        <f t="shared" si="109"/>
        <v>3</v>
      </c>
      <c r="O924" s="442">
        <f t="shared" si="110"/>
        <v>0</v>
      </c>
      <c r="P924" s="387" t="s">
        <v>1358</v>
      </c>
      <c r="Q924" s="459">
        <v>0</v>
      </c>
      <c r="R924" s="459"/>
      <c r="S924" s="456">
        <v>0</v>
      </c>
      <c r="T924" s="456">
        <v>59.817</v>
      </c>
      <c r="U924" s="410"/>
      <c r="V924" s="411">
        <v>0</v>
      </c>
      <c r="W924" s="411">
        <v>0</v>
      </c>
      <c r="X924" s="411">
        <v>0</v>
      </c>
      <c r="Y924" s="411"/>
      <c r="Z924" s="411"/>
      <c r="AA924" s="412">
        <f t="shared" si="111"/>
        <v>0</v>
      </c>
      <c r="AB924" s="456">
        <f t="shared" si="112"/>
        <v>0</v>
      </c>
      <c r="AC924" s="456">
        <v>0</v>
      </c>
      <c r="AD924" s="2"/>
      <c r="AE924" s="4"/>
      <c r="AF924" s="5"/>
      <c r="AG924" s="428"/>
    </row>
    <row r="925" spans="2:33" hidden="1" x14ac:dyDescent="0.25">
      <c r="B925" s="1" t="s">
        <v>3004</v>
      </c>
      <c r="C925" s="3" t="s">
        <v>1368</v>
      </c>
      <c r="D925" s="3" t="s">
        <v>1247</v>
      </c>
      <c r="E925" s="407" t="s">
        <v>1432</v>
      </c>
      <c r="F925" s="3" t="s">
        <v>2313</v>
      </c>
      <c r="G925" s="407" t="s">
        <v>4483</v>
      </c>
      <c r="H925" s="440" t="s">
        <v>4109</v>
      </c>
      <c r="I925" s="407" t="s">
        <v>4304</v>
      </c>
      <c r="J925" s="407" t="s">
        <v>3785</v>
      </c>
      <c r="K925" s="387" t="s">
        <v>4635</v>
      </c>
      <c r="L925" s="387">
        <v>1</v>
      </c>
      <c r="M925" s="387">
        <v>0</v>
      </c>
      <c r="N925" s="387">
        <f t="shared" si="109"/>
        <v>1</v>
      </c>
      <c r="O925" s="442">
        <f t="shared" si="110"/>
        <v>0</v>
      </c>
      <c r="P925" s="387" t="s">
        <v>1358</v>
      </c>
      <c r="Q925" s="459">
        <v>0</v>
      </c>
      <c r="R925" s="459"/>
      <c r="S925" s="456">
        <v>0</v>
      </c>
      <c r="T925" s="456">
        <v>26.664000000000001</v>
      </c>
      <c r="U925" s="410"/>
      <c r="V925" s="411">
        <v>0</v>
      </c>
      <c r="W925" s="411">
        <v>0</v>
      </c>
      <c r="X925" s="411">
        <v>0</v>
      </c>
      <c r="Y925" s="411"/>
      <c r="Z925" s="411"/>
      <c r="AA925" s="412">
        <f t="shared" si="111"/>
        <v>0</v>
      </c>
      <c r="AB925" s="456">
        <f t="shared" si="112"/>
        <v>0</v>
      </c>
      <c r="AC925" s="456">
        <v>0</v>
      </c>
      <c r="AD925" s="2"/>
      <c r="AE925" s="4"/>
      <c r="AF925" s="5"/>
      <c r="AG925" s="428"/>
    </row>
    <row r="926" spans="2:33" hidden="1" x14ac:dyDescent="0.25">
      <c r="B926" s="1" t="s">
        <v>3005</v>
      </c>
      <c r="C926" s="3" t="s">
        <v>1368</v>
      </c>
      <c r="D926" s="3" t="s">
        <v>1247</v>
      </c>
      <c r="E926" s="407" t="s">
        <v>3306</v>
      </c>
      <c r="F926" s="3" t="s">
        <v>2314</v>
      </c>
      <c r="G926" s="407" t="s">
        <v>4484</v>
      </c>
      <c r="H926" s="440" t="s">
        <v>4109</v>
      </c>
      <c r="I926" s="407" t="s">
        <v>4305</v>
      </c>
      <c r="J926" s="407" t="s">
        <v>3786</v>
      </c>
      <c r="K926" s="387" t="s">
        <v>4636</v>
      </c>
      <c r="L926" s="387">
        <v>2</v>
      </c>
      <c r="M926" s="387">
        <v>0</v>
      </c>
      <c r="N926" s="387">
        <f t="shared" si="109"/>
        <v>2</v>
      </c>
      <c r="O926" s="442">
        <f t="shared" si="110"/>
        <v>0</v>
      </c>
      <c r="P926" s="387" t="s">
        <v>1358</v>
      </c>
      <c r="Q926" s="459">
        <v>0</v>
      </c>
      <c r="R926" s="459"/>
      <c r="S926" s="456">
        <v>0</v>
      </c>
      <c r="T926" s="456">
        <v>41.002000000000002</v>
      </c>
      <c r="U926" s="410"/>
      <c r="V926" s="411">
        <v>0</v>
      </c>
      <c r="W926" s="411">
        <v>0</v>
      </c>
      <c r="X926" s="411">
        <v>0</v>
      </c>
      <c r="Y926" s="411"/>
      <c r="Z926" s="411"/>
      <c r="AA926" s="412">
        <f t="shared" si="111"/>
        <v>0</v>
      </c>
      <c r="AB926" s="456">
        <f t="shared" si="112"/>
        <v>0</v>
      </c>
      <c r="AC926" s="456">
        <v>0</v>
      </c>
      <c r="AD926" s="2"/>
      <c r="AE926" s="4"/>
      <c r="AF926" s="5"/>
      <c r="AG926" s="428"/>
    </row>
    <row r="927" spans="2:33" hidden="1" x14ac:dyDescent="0.25">
      <c r="B927" s="1" t="s">
        <v>3006</v>
      </c>
      <c r="C927" s="3" t="s">
        <v>1368</v>
      </c>
      <c r="D927" s="3" t="s">
        <v>1247</v>
      </c>
      <c r="E927" s="407" t="s">
        <v>1425</v>
      </c>
      <c r="F927" s="3" t="s">
        <v>2315</v>
      </c>
      <c r="G927" s="407" t="s">
        <v>4479</v>
      </c>
      <c r="H927" s="440" t="s">
        <v>4109</v>
      </c>
      <c r="I927" s="407" t="s">
        <v>4300</v>
      </c>
      <c r="J927" s="407" t="s">
        <v>3781</v>
      </c>
      <c r="K927" s="387" t="s">
        <v>4643</v>
      </c>
      <c r="L927" s="387">
        <v>1</v>
      </c>
      <c r="M927" s="387">
        <v>0</v>
      </c>
      <c r="N927" s="387">
        <f t="shared" si="109"/>
        <v>1</v>
      </c>
      <c r="O927" s="442">
        <f t="shared" si="110"/>
        <v>1</v>
      </c>
      <c r="P927" s="387" t="s">
        <v>1358</v>
      </c>
      <c r="Q927" s="459">
        <v>0</v>
      </c>
      <c r="R927" s="459"/>
      <c r="S927" s="456">
        <v>0</v>
      </c>
      <c r="T927" s="456">
        <v>26.664000000000001</v>
      </c>
      <c r="U927" s="410"/>
      <c r="V927" s="411">
        <v>1</v>
      </c>
      <c r="W927" s="411">
        <v>1</v>
      </c>
      <c r="X927" s="411">
        <v>1</v>
      </c>
      <c r="Y927" s="411"/>
      <c r="Z927" s="411"/>
      <c r="AA927" s="412">
        <f t="shared" si="111"/>
        <v>1</v>
      </c>
      <c r="AB927" s="456">
        <f t="shared" si="112"/>
        <v>26.664000000000001</v>
      </c>
      <c r="AC927" s="456">
        <v>0</v>
      </c>
      <c r="AD927" s="2"/>
      <c r="AE927" s="4"/>
      <c r="AF927" s="5"/>
      <c r="AG927" s="428"/>
    </row>
    <row r="928" spans="2:33" hidden="1" x14ac:dyDescent="0.25">
      <c r="B928" s="1" t="s">
        <v>3007</v>
      </c>
      <c r="C928" s="3" t="s">
        <v>1368</v>
      </c>
      <c r="D928" s="3" t="s">
        <v>1247</v>
      </c>
      <c r="E928" s="407" t="s">
        <v>1397</v>
      </c>
      <c r="F928" s="3" t="s">
        <v>2316</v>
      </c>
      <c r="G928" s="407" t="s">
        <v>4493</v>
      </c>
      <c r="H928" s="440" t="s">
        <v>4109</v>
      </c>
      <c r="I928" s="407" t="s">
        <v>4314</v>
      </c>
      <c r="J928" s="407" t="s">
        <v>3795</v>
      </c>
      <c r="K928" s="387" t="s">
        <v>4647</v>
      </c>
      <c r="L928" s="387">
        <v>1</v>
      </c>
      <c r="M928" s="387">
        <v>0</v>
      </c>
      <c r="N928" s="387">
        <f t="shared" si="109"/>
        <v>1</v>
      </c>
      <c r="O928" s="442">
        <f t="shared" si="110"/>
        <v>1.0000000000000002</v>
      </c>
      <c r="P928" s="387" t="s">
        <v>1358</v>
      </c>
      <c r="Q928" s="459">
        <v>0</v>
      </c>
      <c r="R928" s="459"/>
      <c r="S928" s="456">
        <v>0</v>
      </c>
      <c r="T928" s="456">
        <v>25.911999999999999</v>
      </c>
      <c r="U928" s="410"/>
      <c r="V928" s="411">
        <v>1</v>
      </c>
      <c r="W928" s="411">
        <v>1</v>
      </c>
      <c r="X928" s="411">
        <v>1</v>
      </c>
      <c r="Y928" s="411"/>
      <c r="Z928" s="411"/>
      <c r="AA928" s="412">
        <f t="shared" si="111"/>
        <v>1.0000000000000002</v>
      </c>
      <c r="AB928" s="456">
        <f t="shared" si="112"/>
        <v>25.912000000000003</v>
      </c>
      <c r="AC928" s="456">
        <v>0</v>
      </c>
      <c r="AD928" s="2"/>
      <c r="AE928" s="4"/>
      <c r="AF928" s="5"/>
      <c r="AG928" s="428"/>
    </row>
    <row r="929" spans="2:33" hidden="1" x14ac:dyDescent="0.25">
      <c r="B929" s="1" t="s">
        <v>3008</v>
      </c>
      <c r="C929" s="3" t="s">
        <v>1368</v>
      </c>
      <c r="D929" s="3" t="s">
        <v>1247</v>
      </c>
      <c r="E929" s="407" t="s">
        <v>1398</v>
      </c>
      <c r="F929" s="3" t="s">
        <v>2317</v>
      </c>
      <c r="G929" s="407" t="s">
        <v>4496</v>
      </c>
      <c r="H929" s="440" t="s">
        <v>4109</v>
      </c>
      <c r="I929" s="407" t="s">
        <v>4317</v>
      </c>
      <c r="J929" s="407" t="s">
        <v>3796</v>
      </c>
      <c r="K929" s="387" t="s">
        <v>4650</v>
      </c>
      <c r="L929" s="387">
        <v>1</v>
      </c>
      <c r="M929" s="387">
        <v>0</v>
      </c>
      <c r="N929" s="387">
        <f t="shared" si="109"/>
        <v>1</v>
      </c>
      <c r="O929" s="442">
        <f t="shared" si="110"/>
        <v>0</v>
      </c>
      <c r="P929" s="387" t="s">
        <v>1358</v>
      </c>
      <c r="Q929" s="459">
        <v>0</v>
      </c>
      <c r="R929" s="459"/>
      <c r="S929" s="456">
        <v>0</v>
      </c>
      <c r="T929" s="456">
        <v>25.07</v>
      </c>
      <c r="U929" s="410"/>
      <c r="V929" s="411">
        <v>0</v>
      </c>
      <c r="W929" s="411">
        <v>0</v>
      </c>
      <c r="X929" s="411">
        <v>0</v>
      </c>
      <c r="Y929" s="411"/>
      <c r="Z929" s="411"/>
      <c r="AA929" s="412">
        <f t="shared" si="111"/>
        <v>0</v>
      </c>
      <c r="AB929" s="456">
        <f t="shared" si="112"/>
        <v>0</v>
      </c>
      <c r="AC929" s="456">
        <v>0</v>
      </c>
      <c r="AD929" s="2"/>
      <c r="AE929" s="4"/>
      <c r="AF929" s="5"/>
      <c r="AG929" s="428"/>
    </row>
    <row r="930" spans="2:33" hidden="1" x14ac:dyDescent="0.25">
      <c r="B930" s="1" t="s">
        <v>3009</v>
      </c>
      <c r="C930" s="3" t="s">
        <v>1368</v>
      </c>
      <c r="D930" s="3" t="s">
        <v>1247</v>
      </c>
      <c r="E930" s="407" t="s">
        <v>1399</v>
      </c>
      <c r="F930" s="3" t="s">
        <v>2318</v>
      </c>
      <c r="G930" s="407" t="s">
        <v>4499</v>
      </c>
      <c r="H930" s="440" t="s">
        <v>4109</v>
      </c>
      <c r="I930" s="407" t="s">
        <v>4320</v>
      </c>
      <c r="J930" s="407" t="s">
        <v>3758</v>
      </c>
      <c r="K930" s="387" t="s">
        <v>4653</v>
      </c>
      <c r="L930" s="387">
        <v>3</v>
      </c>
      <c r="M930" s="387">
        <v>0</v>
      </c>
      <c r="N930" s="387">
        <f t="shared" si="109"/>
        <v>3</v>
      </c>
      <c r="O930" s="442">
        <f t="shared" si="110"/>
        <v>3.0000000000000009</v>
      </c>
      <c r="P930" s="387" t="s">
        <v>1358</v>
      </c>
      <c r="Q930" s="459">
        <v>0</v>
      </c>
      <c r="R930" s="459"/>
      <c r="S930" s="456">
        <v>0</v>
      </c>
      <c r="T930" s="456">
        <v>56.259</v>
      </c>
      <c r="U930" s="410"/>
      <c r="V930" s="411">
        <v>1</v>
      </c>
      <c r="W930" s="411">
        <v>1</v>
      </c>
      <c r="X930" s="411">
        <v>1</v>
      </c>
      <c r="Y930" s="411"/>
      <c r="Z930" s="411"/>
      <c r="AA930" s="412">
        <f t="shared" si="111"/>
        <v>1.0000000000000002</v>
      </c>
      <c r="AB930" s="456">
        <f t="shared" si="112"/>
        <v>56.259000000000007</v>
      </c>
      <c r="AC930" s="456">
        <v>0</v>
      </c>
      <c r="AD930" s="2"/>
      <c r="AE930" s="4"/>
      <c r="AF930" s="5"/>
      <c r="AG930" s="428"/>
    </row>
    <row r="931" spans="2:33" hidden="1" x14ac:dyDescent="0.25">
      <c r="B931" s="1" t="s">
        <v>3010</v>
      </c>
      <c r="C931" s="3" t="s">
        <v>1368</v>
      </c>
      <c r="D931" s="3" t="s">
        <v>1247</v>
      </c>
      <c r="E931" s="407" t="s">
        <v>1396</v>
      </c>
      <c r="F931" s="3" t="s">
        <v>2319</v>
      </c>
      <c r="G931" s="407" t="s">
        <v>4498</v>
      </c>
      <c r="H931" s="440" t="s">
        <v>4109</v>
      </c>
      <c r="I931" s="407" t="s">
        <v>4319</v>
      </c>
      <c r="J931" s="407" t="s">
        <v>3752</v>
      </c>
      <c r="K931" s="387" t="s">
        <v>4652</v>
      </c>
      <c r="L931" s="387">
        <v>3</v>
      </c>
      <c r="M931" s="387">
        <v>0</v>
      </c>
      <c r="N931" s="387">
        <f t="shared" si="109"/>
        <v>3</v>
      </c>
      <c r="O931" s="442">
        <f t="shared" si="110"/>
        <v>3.0000000000000009</v>
      </c>
      <c r="P931" s="387" t="s">
        <v>1358</v>
      </c>
      <c r="Q931" s="459">
        <v>0</v>
      </c>
      <c r="R931" s="459"/>
      <c r="S931" s="456">
        <v>0</v>
      </c>
      <c r="T931" s="456">
        <v>56.259</v>
      </c>
      <c r="U931" s="410"/>
      <c r="V931" s="411">
        <v>1</v>
      </c>
      <c r="W931" s="411">
        <v>1</v>
      </c>
      <c r="X931" s="411">
        <v>1</v>
      </c>
      <c r="Y931" s="411"/>
      <c r="Z931" s="411"/>
      <c r="AA931" s="412">
        <f t="shared" si="111"/>
        <v>1.0000000000000002</v>
      </c>
      <c r="AB931" s="456">
        <f t="shared" si="112"/>
        <v>56.259000000000007</v>
      </c>
      <c r="AC931" s="456">
        <v>0</v>
      </c>
      <c r="AD931" s="2"/>
      <c r="AE931" s="4"/>
      <c r="AF931" s="5"/>
      <c r="AG931" s="428"/>
    </row>
    <row r="932" spans="2:33" hidden="1" x14ac:dyDescent="0.25">
      <c r="B932" s="1" t="s">
        <v>3011</v>
      </c>
      <c r="C932" s="3" t="s">
        <v>1368</v>
      </c>
      <c r="D932" s="3" t="s">
        <v>1247</v>
      </c>
      <c r="E932" s="407" t="s">
        <v>1381</v>
      </c>
      <c r="F932" s="3" t="s">
        <v>2320</v>
      </c>
      <c r="G932" s="407" t="s">
        <v>4497</v>
      </c>
      <c r="H932" s="440" t="s">
        <v>4109</v>
      </c>
      <c r="I932" s="407" t="s">
        <v>4318</v>
      </c>
      <c r="J932" s="407" t="s">
        <v>3751</v>
      </c>
      <c r="K932" s="387" t="s">
        <v>4631</v>
      </c>
      <c r="L932" s="387">
        <v>3</v>
      </c>
      <c r="M932" s="387">
        <v>0</v>
      </c>
      <c r="N932" s="387">
        <f t="shared" si="109"/>
        <v>3</v>
      </c>
      <c r="O932" s="442">
        <f t="shared" si="110"/>
        <v>3.0000000000000009</v>
      </c>
      <c r="P932" s="387" t="s">
        <v>1358</v>
      </c>
      <c r="Q932" s="459">
        <v>0</v>
      </c>
      <c r="R932" s="459"/>
      <c r="S932" s="456">
        <v>0</v>
      </c>
      <c r="T932" s="456">
        <v>56.259</v>
      </c>
      <c r="U932" s="410"/>
      <c r="V932" s="411">
        <v>1</v>
      </c>
      <c r="W932" s="411">
        <v>1</v>
      </c>
      <c r="X932" s="411">
        <v>1</v>
      </c>
      <c r="Y932" s="411"/>
      <c r="Z932" s="411"/>
      <c r="AA932" s="412">
        <f t="shared" si="111"/>
        <v>1.0000000000000002</v>
      </c>
      <c r="AB932" s="456">
        <f t="shared" si="112"/>
        <v>56.259000000000007</v>
      </c>
      <c r="AC932" s="456">
        <v>0</v>
      </c>
      <c r="AD932" s="2"/>
      <c r="AE932" s="4"/>
      <c r="AF932" s="5"/>
      <c r="AG932" s="428"/>
    </row>
    <row r="933" spans="2:33" hidden="1" x14ac:dyDescent="0.25">
      <c r="B933" s="1" t="s">
        <v>3012</v>
      </c>
      <c r="C933" s="3" t="s">
        <v>1368</v>
      </c>
      <c r="D933" s="3" t="s">
        <v>1247</v>
      </c>
      <c r="E933" s="407" t="s">
        <v>1379</v>
      </c>
      <c r="F933" s="3" t="s">
        <v>2321</v>
      </c>
      <c r="G933" s="407" t="s">
        <v>4502</v>
      </c>
      <c r="H933" s="440" t="s">
        <v>4109</v>
      </c>
      <c r="I933" s="407" t="s">
        <v>4323</v>
      </c>
      <c r="J933" s="407" t="s">
        <v>3750</v>
      </c>
      <c r="K933" s="387" t="s">
        <v>4632</v>
      </c>
      <c r="L933" s="387">
        <v>4</v>
      </c>
      <c r="M933" s="387">
        <v>0</v>
      </c>
      <c r="N933" s="387">
        <f t="shared" si="109"/>
        <v>4</v>
      </c>
      <c r="O933" s="442">
        <f t="shared" si="110"/>
        <v>4</v>
      </c>
      <c r="P933" s="387" t="s">
        <v>1358</v>
      </c>
      <c r="Q933" s="459">
        <v>0</v>
      </c>
      <c r="R933" s="459"/>
      <c r="S933" s="456">
        <v>0</v>
      </c>
      <c r="T933" s="456">
        <v>75.012</v>
      </c>
      <c r="U933" s="410"/>
      <c r="V933" s="411">
        <v>1</v>
      </c>
      <c r="W933" s="411">
        <v>1</v>
      </c>
      <c r="X933" s="411">
        <v>1</v>
      </c>
      <c r="Y933" s="411"/>
      <c r="Z933" s="411"/>
      <c r="AA933" s="412">
        <f t="shared" si="111"/>
        <v>1</v>
      </c>
      <c r="AB933" s="456">
        <f t="shared" si="112"/>
        <v>75.012</v>
      </c>
      <c r="AC933" s="456">
        <v>0</v>
      </c>
      <c r="AD933" s="2"/>
      <c r="AE933" s="4"/>
      <c r="AF933" s="5"/>
      <c r="AG933" s="428"/>
    </row>
    <row r="934" spans="2:33" hidden="1" x14ac:dyDescent="0.25">
      <c r="B934" s="1" t="s">
        <v>3013</v>
      </c>
      <c r="C934" s="3" t="s">
        <v>1368</v>
      </c>
      <c r="D934" s="3" t="s">
        <v>1247</v>
      </c>
      <c r="E934" s="407" t="s">
        <v>1377</v>
      </c>
      <c r="F934" s="3" t="s">
        <v>2322</v>
      </c>
      <c r="G934" s="407" t="s">
        <v>4494</v>
      </c>
      <c r="H934" s="440" t="s">
        <v>4109</v>
      </c>
      <c r="I934" s="407" t="s">
        <v>4315</v>
      </c>
      <c r="J934" s="407" t="s">
        <v>3749</v>
      </c>
      <c r="K934" s="387" t="s">
        <v>4648</v>
      </c>
      <c r="L934" s="387">
        <v>1</v>
      </c>
      <c r="M934" s="387">
        <v>0</v>
      </c>
      <c r="N934" s="387">
        <f t="shared" si="109"/>
        <v>1</v>
      </c>
      <c r="O934" s="442">
        <f t="shared" si="110"/>
        <v>1</v>
      </c>
      <c r="P934" s="387" t="s">
        <v>1358</v>
      </c>
      <c r="Q934" s="459">
        <v>0</v>
      </c>
      <c r="R934" s="459"/>
      <c r="S934" s="456">
        <v>0</v>
      </c>
      <c r="T934" s="456">
        <v>18.753</v>
      </c>
      <c r="U934" s="410"/>
      <c r="V934" s="411">
        <v>1</v>
      </c>
      <c r="W934" s="411">
        <v>1</v>
      </c>
      <c r="X934" s="411">
        <v>1</v>
      </c>
      <c r="Y934" s="411"/>
      <c r="Z934" s="411"/>
      <c r="AA934" s="412">
        <f t="shared" si="111"/>
        <v>1</v>
      </c>
      <c r="AB934" s="456">
        <f t="shared" si="112"/>
        <v>18.753</v>
      </c>
      <c r="AC934" s="456">
        <v>0</v>
      </c>
      <c r="AD934" s="2"/>
      <c r="AE934" s="4"/>
      <c r="AF934" s="5"/>
      <c r="AG934" s="428"/>
    </row>
    <row r="935" spans="2:33" hidden="1" x14ac:dyDescent="0.25">
      <c r="B935" s="1" t="s">
        <v>3014</v>
      </c>
      <c r="C935" s="3" t="s">
        <v>1368</v>
      </c>
      <c r="D935" s="3" t="s">
        <v>1247</v>
      </c>
      <c r="E935" s="407" t="s">
        <v>1374</v>
      </c>
      <c r="F935" s="3" t="s">
        <v>2323</v>
      </c>
      <c r="G935" s="407" t="s">
        <v>4495</v>
      </c>
      <c r="H935" s="440" t="s">
        <v>4109</v>
      </c>
      <c r="I935" s="407" t="s">
        <v>4316</v>
      </c>
      <c r="J935" s="407" t="s">
        <v>3757</v>
      </c>
      <c r="K935" s="387" t="s">
        <v>4649</v>
      </c>
      <c r="L935" s="387">
        <v>2</v>
      </c>
      <c r="M935" s="387">
        <v>0</v>
      </c>
      <c r="N935" s="387">
        <f t="shared" si="109"/>
        <v>2</v>
      </c>
      <c r="O935" s="442">
        <f t="shared" si="110"/>
        <v>2</v>
      </c>
      <c r="P935" s="387" t="s">
        <v>1358</v>
      </c>
      <c r="Q935" s="459">
        <v>0</v>
      </c>
      <c r="R935" s="459"/>
      <c r="S935" s="456">
        <v>0</v>
      </c>
      <c r="T935" s="456">
        <v>38</v>
      </c>
      <c r="U935" s="410"/>
      <c r="V935" s="411">
        <v>1</v>
      </c>
      <c r="W935" s="411">
        <v>1</v>
      </c>
      <c r="X935" s="411">
        <v>1</v>
      </c>
      <c r="Y935" s="411"/>
      <c r="Z935" s="411"/>
      <c r="AA935" s="412">
        <f t="shared" si="111"/>
        <v>1</v>
      </c>
      <c r="AB935" s="456">
        <f t="shared" si="112"/>
        <v>38</v>
      </c>
      <c r="AC935" s="456">
        <v>0</v>
      </c>
      <c r="AD935" s="2"/>
      <c r="AE935" s="4"/>
      <c r="AF935" s="5"/>
      <c r="AG935" s="428"/>
    </row>
    <row r="936" spans="2:33" hidden="1" x14ac:dyDescent="0.25">
      <c r="B936" s="1" t="s">
        <v>3015</v>
      </c>
      <c r="C936" s="3" t="s">
        <v>1368</v>
      </c>
      <c r="D936" s="3" t="s">
        <v>1247</v>
      </c>
      <c r="E936" s="407" t="s">
        <v>1377</v>
      </c>
      <c r="F936" s="3" t="s">
        <v>2324</v>
      </c>
      <c r="G936" s="407" t="s">
        <v>4494</v>
      </c>
      <c r="H936" s="440" t="s">
        <v>4109</v>
      </c>
      <c r="I936" s="407" t="s">
        <v>4315</v>
      </c>
      <c r="J936" s="407" t="s">
        <v>3749</v>
      </c>
      <c r="K936" s="387" t="s">
        <v>4648</v>
      </c>
      <c r="L936" s="387">
        <v>1</v>
      </c>
      <c r="M936" s="387">
        <v>0</v>
      </c>
      <c r="N936" s="387">
        <f t="shared" si="109"/>
        <v>1</v>
      </c>
      <c r="O936" s="442">
        <f t="shared" si="110"/>
        <v>1</v>
      </c>
      <c r="P936" s="387" t="s">
        <v>1358</v>
      </c>
      <c r="Q936" s="459">
        <v>0</v>
      </c>
      <c r="R936" s="459"/>
      <c r="S936" s="456">
        <v>0</v>
      </c>
      <c r="T936" s="456">
        <v>19.376000000000001</v>
      </c>
      <c r="U936" s="410"/>
      <c r="V936" s="411">
        <v>1</v>
      </c>
      <c r="W936" s="411">
        <v>1</v>
      </c>
      <c r="X936" s="411">
        <v>1</v>
      </c>
      <c r="Y936" s="411"/>
      <c r="Z936" s="411"/>
      <c r="AA936" s="412">
        <f t="shared" si="111"/>
        <v>1</v>
      </c>
      <c r="AB936" s="456">
        <f t="shared" si="112"/>
        <v>19.376000000000001</v>
      </c>
      <c r="AC936" s="456">
        <v>0</v>
      </c>
      <c r="AD936" s="2"/>
      <c r="AE936" s="4"/>
      <c r="AF936" s="5"/>
      <c r="AG936" s="428"/>
    </row>
    <row r="937" spans="2:33" hidden="1" x14ac:dyDescent="0.25">
      <c r="B937" s="1" t="s">
        <v>3016</v>
      </c>
      <c r="C937" s="3" t="s">
        <v>1368</v>
      </c>
      <c r="D937" s="3" t="s">
        <v>1247</v>
      </c>
      <c r="E937" s="407" t="s">
        <v>1374</v>
      </c>
      <c r="F937" s="3" t="s">
        <v>2325</v>
      </c>
      <c r="G937" s="407" t="s">
        <v>4495</v>
      </c>
      <c r="H937" s="440" t="s">
        <v>4109</v>
      </c>
      <c r="I937" s="407" t="s">
        <v>4316</v>
      </c>
      <c r="J937" s="407" t="s">
        <v>3757</v>
      </c>
      <c r="K937" s="387" t="s">
        <v>4665</v>
      </c>
      <c r="L937" s="387">
        <v>2</v>
      </c>
      <c r="M937" s="387">
        <v>0</v>
      </c>
      <c r="N937" s="387">
        <f t="shared" si="109"/>
        <v>2</v>
      </c>
      <c r="O937" s="442">
        <f t="shared" si="110"/>
        <v>2</v>
      </c>
      <c r="P937" s="387" t="s">
        <v>1358</v>
      </c>
      <c r="Q937" s="459">
        <v>0</v>
      </c>
      <c r="R937" s="459"/>
      <c r="S937" s="456">
        <v>0</v>
      </c>
      <c r="T937" s="456">
        <v>38.752000000000002</v>
      </c>
      <c r="U937" s="410"/>
      <c r="V937" s="411">
        <v>1</v>
      </c>
      <c r="W937" s="411">
        <v>1</v>
      </c>
      <c r="X937" s="411">
        <v>1</v>
      </c>
      <c r="Y937" s="411"/>
      <c r="Z937" s="411"/>
      <c r="AA937" s="412">
        <f t="shared" si="111"/>
        <v>1</v>
      </c>
      <c r="AB937" s="456">
        <f t="shared" si="112"/>
        <v>38.752000000000002</v>
      </c>
      <c r="AC937" s="456">
        <v>0</v>
      </c>
      <c r="AD937" s="2"/>
      <c r="AE937" s="4"/>
      <c r="AF937" s="5"/>
      <c r="AG937" s="428"/>
    </row>
    <row r="938" spans="2:33" hidden="1" x14ac:dyDescent="0.25">
      <c r="B938" s="1" t="s">
        <v>3017</v>
      </c>
      <c r="C938" s="3" t="s">
        <v>1368</v>
      </c>
      <c r="D938" s="3" t="s">
        <v>1247</v>
      </c>
      <c r="E938" s="407" t="s">
        <v>3294</v>
      </c>
      <c r="F938" s="3" t="s">
        <v>2326</v>
      </c>
      <c r="G938" s="407" t="s">
        <v>4500</v>
      </c>
      <c r="H938" s="440" t="s">
        <v>4109</v>
      </c>
      <c r="I938" s="407" t="s">
        <v>4321</v>
      </c>
      <c r="J938" s="407" t="s">
        <v>3755</v>
      </c>
      <c r="K938" s="387" t="s">
        <v>4654</v>
      </c>
      <c r="L938" s="387">
        <v>1</v>
      </c>
      <c r="M938" s="387">
        <v>0</v>
      </c>
      <c r="N938" s="387">
        <f t="shared" si="109"/>
        <v>1</v>
      </c>
      <c r="O938" s="442">
        <f t="shared" si="110"/>
        <v>1</v>
      </c>
      <c r="P938" s="387" t="s">
        <v>1358</v>
      </c>
      <c r="Q938" s="459">
        <v>0</v>
      </c>
      <c r="R938" s="459"/>
      <c r="S938" s="456">
        <v>0</v>
      </c>
      <c r="T938" s="456">
        <v>19.471</v>
      </c>
      <c r="U938" s="410"/>
      <c r="V938" s="411">
        <v>1</v>
      </c>
      <c r="W938" s="411">
        <v>1</v>
      </c>
      <c r="X938" s="411">
        <v>1</v>
      </c>
      <c r="Y938" s="411"/>
      <c r="Z938" s="411"/>
      <c r="AA938" s="412">
        <f t="shared" si="111"/>
        <v>1</v>
      </c>
      <c r="AB938" s="456">
        <f t="shared" si="112"/>
        <v>19.471</v>
      </c>
      <c r="AC938" s="456">
        <v>0</v>
      </c>
      <c r="AD938" s="2"/>
      <c r="AE938" s="4"/>
      <c r="AF938" s="5"/>
      <c r="AG938" s="428"/>
    </row>
    <row r="939" spans="2:33" hidden="1" x14ac:dyDescent="0.25">
      <c r="B939" s="1" t="s">
        <v>3018</v>
      </c>
      <c r="C939" s="3" t="s">
        <v>1368</v>
      </c>
      <c r="D939" s="3" t="s">
        <v>1247</v>
      </c>
      <c r="E939" s="407" t="s">
        <v>1374</v>
      </c>
      <c r="F939" s="3" t="s">
        <v>2327</v>
      </c>
      <c r="G939" s="407" t="s">
        <v>4495</v>
      </c>
      <c r="H939" s="440" t="s">
        <v>4109</v>
      </c>
      <c r="I939" s="407" t="s">
        <v>4316</v>
      </c>
      <c r="J939" s="407" t="s">
        <v>3757</v>
      </c>
      <c r="K939" s="387" t="s">
        <v>4665</v>
      </c>
      <c r="L939" s="387">
        <v>2</v>
      </c>
      <c r="M939" s="387">
        <v>0</v>
      </c>
      <c r="N939" s="387">
        <f t="shared" si="109"/>
        <v>2</v>
      </c>
      <c r="O939" s="442">
        <f t="shared" si="110"/>
        <v>2</v>
      </c>
      <c r="P939" s="387" t="s">
        <v>1358</v>
      </c>
      <c r="Q939" s="459">
        <v>0</v>
      </c>
      <c r="R939" s="459"/>
      <c r="S939" s="456">
        <v>0</v>
      </c>
      <c r="T939" s="456">
        <v>38.82</v>
      </c>
      <c r="U939" s="410"/>
      <c r="V939" s="411">
        <v>1</v>
      </c>
      <c r="W939" s="411">
        <v>1</v>
      </c>
      <c r="X939" s="411">
        <v>1</v>
      </c>
      <c r="Y939" s="411"/>
      <c r="Z939" s="411"/>
      <c r="AA939" s="412">
        <f t="shared" si="111"/>
        <v>1</v>
      </c>
      <c r="AB939" s="456">
        <f t="shared" si="112"/>
        <v>38.82</v>
      </c>
      <c r="AC939" s="456">
        <v>0</v>
      </c>
      <c r="AD939" s="2"/>
      <c r="AE939" s="4"/>
      <c r="AF939" s="5"/>
      <c r="AG939" s="428"/>
    </row>
    <row r="940" spans="2:33" ht="12.75" hidden="1" customHeight="1" x14ac:dyDescent="0.25">
      <c r="B940" s="1" t="s">
        <v>3019</v>
      </c>
      <c r="C940" s="3" t="s">
        <v>1368</v>
      </c>
      <c r="D940" s="3" t="s">
        <v>1247</v>
      </c>
      <c r="E940" s="407" t="s">
        <v>1377</v>
      </c>
      <c r="F940" s="3" t="s">
        <v>2328</v>
      </c>
      <c r="G940" s="407" t="s">
        <v>4494</v>
      </c>
      <c r="H940" s="440" t="s">
        <v>4109</v>
      </c>
      <c r="I940" s="407" t="s">
        <v>4315</v>
      </c>
      <c r="J940" s="407" t="s">
        <v>3749</v>
      </c>
      <c r="K940" s="387" t="s">
        <v>4648</v>
      </c>
      <c r="L940" s="387">
        <v>1</v>
      </c>
      <c r="M940" s="387">
        <v>0</v>
      </c>
      <c r="N940" s="387">
        <f t="shared" si="109"/>
        <v>1</v>
      </c>
      <c r="O940" s="442">
        <f t="shared" si="110"/>
        <v>1</v>
      </c>
      <c r="P940" s="387" t="s">
        <v>1358</v>
      </c>
      <c r="Q940" s="459">
        <v>0</v>
      </c>
      <c r="R940" s="459"/>
      <c r="S940" s="456">
        <v>0</v>
      </c>
      <c r="T940" s="456">
        <v>19.408000000000001</v>
      </c>
      <c r="U940" s="410"/>
      <c r="V940" s="411">
        <v>1</v>
      </c>
      <c r="W940" s="411">
        <v>1</v>
      </c>
      <c r="X940" s="411">
        <v>1</v>
      </c>
      <c r="Y940" s="411"/>
      <c r="Z940" s="411"/>
      <c r="AA940" s="412">
        <f t="shared" si="111"/>
        <v>1</v>
      </c>
      <c r="AB940" s="456">
        <f t="shared" si="112"/>
        <v>19.408000000000001</v>
      </c>
      <c r="AC940" s="456">
        <v>0</v>
      </c>
      <c r="AD940" s="2"/>
      <c r="AE940" s="4"/>
      <c r="AF940" s="5"/>
      <c r="AG940" s="428"/>
    </row>
    <row r="941" spans="2:33" hidden="1" x14ac:dyDescent="0.25">
      <c r="B941" s="1" t="s">
        <v>3020</v>
      </c>
      <c r="C941" s="3" t="s">
        <v>1368</v>
      </c>
      <c r="D941" s="3" t="s">
        <v>1247</v>
      </c>
      <c r="E941" s="407" t="s">
        <v>3294</v>
      </c>
      <c r="F941" s="3" t="s">
        <v>2329</v>
      </c>
      <c r="G941" s="407" t="s">
        <v>4500</v>
      </c>
      <c r="H941" s="440" t="s">
        <v>4109</v>
      </c>
      <c r="I941" s="407" t="s">
        <v>4321</v>
      </c>
      <c r="J941" s="407" t="s">
        <v>3755</v>
      </c>
      <c r="K941" s="387" t="s">
        <v>4654</v>
      </c>
      <c r="L941" s="387">
        <v>1</v>
      </c>
      <c r="M941" s="387">
        <v>0</v>
      </c>
      <c r="N941" s="387">
        <f t="shared" si="109"/>
        <v>1</v>
      </c>
      <c r="O941" s="442">
        <f t="shared" si="110"/>
        <v>1</v>
      </c>
      <c r="P941" s="387" t="s">
        <v>1358</v>
      </c>
      <c r="Q941" s="459">
        <v>0</v>
      </c>
      <c r="R941" s="459"/>
      <c r="S941" s="456">
        <v>0</v>
      </c>
      <c r="T941" s="456">
        <v>19.471</v>
      </c>
      <c r="U941" s="410"/>
      <c r="V941" s="411">
        <v>1</v>
      </c>
      <c r="W941" s="411">
        <v>1</v>
      </c>
      <c r="X941" s="411">
        <v>1</v>
      </c>
      <c r="Y941" s="411"/>
      <c r="Z941" s="411"/>
      <c r="AA941" s="412">
        <f t="shared" si="111"/>
        <v>1</v>
      </c>
      <c r="AB941" s="456">
        <f t="shared" si="112"/>
        <v>19.471</v>
      </c>
      <c r="AC941" s="456">
        <v>0</v>
      </c>
      <c r="AD941" s="2"/>
      <c r="AE941" s="4"/>
      <c r="AF941" s="5"/>
      <c r="AG941" s="428"/>
    </row>
    <row r="942" spans="2:33" hidden="1" x14ac:dyDescent="0.25">
      <c r="B942" s="1" t="s">
        <v>3021</v>
      </c>
      <c r="C942" s="3" t="s">
        <v>1368</v>
      </c>
      <c r="D942" s="3" t="s">
        <v>1247</v>
      </c>
      <c r="E942" s="407" t="s">
        <v>1374</v>
      </c>
      <c r="F942" s="3" t="s">
        <v>2330</v>
      </c>
      <c r="G942" s="407" t="s">
        <v>4495</v>
      </c>
      <c r="H942" s="440" t="s">
        <v>4109</v>
      </c>
      <c r="I942" s="407" t="s">
        <v>4316</v>
      </c>
      <c r="J942" s="407" t="s">
        <v>3757</v>
      </c>
      <c r="K942" s="387" t="s">
        <v>4649</v>
      </c>
      <c r="L942" s="387">
        <v>1</v>
      </c>
      <c r="M942" s="387">
        <v>0</v>
      </c>
      <c r="N942" s="387">
        <f t="shared" si="109"/>
        <v>1</v>
      </c>
      <c r="O942" s="442">
        <f t="shared" si="110"/>
        <v>1</v>
      </c>
      <c r="P942" s="387" t="s">
        <v>1358</v>
      </c>
      <c r="Q942" s="459">
        <v>0</v>
      </c>
      <c r="R942" s="459"/>
      <c r="S942" s="456">
        <v>0</v>
      </c>
      <c r="T942" s="456">
        <v>19.408000000000001</v>
      </c>
      <c r="U942" s="410"/>
      <c r="V942" s="411">
        <v>1</v>
      </c>
      <c r="W942" s="411">
        <v>1</v>
      </c>
      <c r="X942" s="411">
        <v>1</v>
      </c>
      <c r="Y942" s="411"/>
      <c r="Z942" s="411"/>
      <c r="AA942" s="412">
        <f t="shared" si="111"/>
        <v>1</v>
      </c>
      <c r="AB942" s="456">
        <f t="shared" si="112"/>
        <v>19.408000000000001</v>
      </c>
      <c r="AC942" s="456">
        <v>0</v>
      </c>
      <c r="AD942" s="2"/>
      <c r="AE942" s="4"/>
      <c r="AF942" s="5"/>
      <c r="AG942" s="428"/>
    </row>
    <row r="943" spans="2:33" hidden="1" x14ac:dyDescent="0.25">
      <c r="B943" s="1" t="s">
        <v>3022</v>
      </c>
      <c r="C943" s="3" t="s">
        <v>1368</v>
      </c>
      <c r="D943" s="3" t="s">
        <v>1247</v>
      </c>
      <c r="E943" s="407" t="s">
        <v>1377</v>
      </c>
      <c r="F943" s="3" t="s">
        <v>2331</v>
      </c>
      <c r="G943" s="407" t="s">
        <v>4494</v>
      </c>
      <c r="H943" s="440" t="s">
        <v>4109</v>
      </c>
      <c r="I943" s="407" t="s">
        <v>4315</v>
      </c>
      <c r="J943" s="407" t="s">
        <v>3749</v>
      </c>
      <c r="K943" s="387" t="s">
        <v>4648</v>
      </c>
      <c r="L943" s="387">
        <v>1</v>
      </c>
      <c r="M943" s="387">
        <v>0</v>
      </c>
      <c r="N943" s="387">
        <f t="shared" si="109"/>
        <v>1</v>
      </c>
      <c r="O943" s="442">
        <f t="shared" si="110"/>
        <v>1</v>
      </c>
      <c r="P943" s="387" t="s">
        <v>1358</v>
      </c>
      <c r="Q943" s="459">
        <v>0</v>
      </c>
      <c r="R943" s="459"/>
      <c r="S943" s="456">
        <v>0</v>
      </c>
      <c r="T943" s="456">
        <v>19.408000000000001</v>
      </c>
      <c r="U943" s="410"/>
      <c r="V943" s="411">
        <v>1</v>
      </c>
      <c r="W943" s="411">
        <v>1</v>
      </c>
      <c r="X943" s="411">
        <v>1</v>
      </c>
      <c r="Y943" s="411"/>
      <c r="Z943" s="411"/>
      <c r="AA943" s="412">
        <f t="shared" si="111"/>
        <v>1</v>
      </c>
      <c r="AB943" s="456">
        <f t="shared" si="112"/>
        <v>19.408000000000001</v>
      </c>
      <c r="AC943" s="456">
        <v>0</v>
      </c>
      <c r="AD943" s="2"/>
      <c r="AE943" s="4"/>
      <c r="AF943" s="5"/>
      <c r="AG943" s="428"/>
    </row>
    <row r="944" spans="2:33" hidden="1" x14ac:dyDescent="0.25">
      <c r="B944" s="1" t="s">
        <v>3023</v>
      </c>
      <c r="C944" s="3" t="s">
        <v>1368</v>
      </c>
      <c r="D944" s="3" t="s">
        <v>1247</v>
      </c>
      <c r="E944" s="407" t="s">
        <v>1379</v>
      </c>
      <c r="F944" s="3" t="s">
        <v>2332</v>
      </c>
      <c r="G944" s="407" t="s">
        <v>4502</v>
      </c>
      <c r="H944" s="440" t="s">
        <v>4109</v>
      </c>
      <c r="I944" s="407" t="s">
        <v>4323</v>
      </c>
      <c r="J944" s="407" t="s">
        <v>3750</v>
      </c>
      <c r="K944" s="387" t="s">
        <v>4632</v>
      </c>
      <c r="L944" s="387">
        <v>2</v>
      </c>
      <c r="M944" s="387">
        <v>0</v>
      </c>
      <c r="N944" s="387">
        <f t="shared" si="109"/>
        <v>2</v>
      </c>
      <c r="O944" s="442">
        <f t="shared" si="110"/>
        <v>2</v>
      </c>
      <c r="P944" s="387" t="s">
        <v>1358</v>
      </c>
      <c r="Q944" s="459">
        <v>0</v>
      </c>
      <c r="R944" s="459"/>
      <c r="S944" s="456">
        <v>0</v>
      </c>
      <c r="T944" s="456">
        <v>38.816000000000003</v>
      </c>
      <c r="U944" s="410"/>
      <c r="V944" s="411">
        <v>1</v>
      </c>
      <c r="W944" s="411">
        <v>1</v>
      </c>
      <c r="X944" s="411">
        <v>1</v>
      </c>
      <c r="Y944" s="411"/>
      <c r="Z944" s="411"/>
      <c r="AA944" s="412">
        <f t="shared" si="111"/>
        <v>1</v>
      </c>
      <c r="AB944" s="456">
        <f t="shared" si="112"/>
        <v>38.816000000000003</v>
      </c>
      <c r="AC944" s="456">
        <v>0</v>
      </c>
      <c r="AD944" s="2"/>
      <c r="AE944" s="4"/>
      <c r="AF944" s="5"/>
      <c r="AG944" s="428"/>
    </row>
    <row r="945" spans="2:33" hidden="1" x14ac:dyDescent="0.25">
      <c r="B945" s="1" t="s">
        <v>3024</v>
      </c>
      <c r="C945" s="3" t="s">
        <v>1368</v>
      </c>
      <c r="D945" s="3" t="s">
        <v>1247</v>
      </c>
      <c r="E945" s="407" t="s">
        <v>1381</v>
      </c>
      <c r="F945" s="3" t="s">
        <v>2333</v>
      </c>
      <c r="G945" s="407" t="s">
        <v>4497</v>
      </c>
      <c r="H945" s="440" t="s">
        <v>4109</v>
      </c>
      <c r="I945" s="407" t="s">
        <v>4318</v>
      </c>
      <c r="J945" s="407" t="s">
        <v>3751</v>
      </c>
      <c r="K945" s="387" t="s">
        <v>4631</v>
      </c>
      <c r="L945" s="387">
        <v>2</v>
      </c>
      <c r="M945" s="387">
        <v>0</v>
      </c>
      <c r="N945" s="387">
        <f t="shared" si="109"/>
        <v>2</v>
      </c>
      <c r="O945" s="442">
        <f t="shared" si="110"/>
        <v>2</v>
      </c>
      <c r="P945" s="387" t="s">
        <v>1358</v>
      </c>
      <c r="Q945" s="459">
        <v>0</v>
      </c>
      <c r="R945" s="459"/>
      <c r="S945" s="456">
        <v>0</v>
      </c>
      <c r="T945" s="456">
        <v>38.816000000000003</v>
      </c>
      <c r="U945" s="410"/>
      <c r="V945" s="411">
        <v>1</v>
      </c>
      <c r="W945" s="411">
        <v>1</v>
      </c>
      <c r="X945" s="411">
        <v>1</v>
      </c>
      <c r="Y945" s="411"/>
      <c r="Z945" s="411"/>
      <c r="AA945" s="412">
        <f t="shared" si="111"/>
        <v>1</v>
      </c>
      <c r="AB945" s="456">
        <f t="shared" si="112"/>
        <v>38.816000000000003</v>
      </c>
      <c r="AC945" s="456">
        <v>0</v>
      </c>
      <c r="AD945" s="2"/>
      <c r="AE945" s="4"/>
      <c r="AF945" s="5"/>
      <c r="AG945" s="428"/>
    </row>
    <row r="946" spans="2:33" hidden="1" x14ac:dyDescent="0.25">
      <c r="B946" s="1" t="s">
        <v>3025</v>
      </c>
      <c r="C946" s="3" t="s">
        <v>1368</v>
      </c>
      <c r="D946" s="3" t="s">
        <v>1247</v>
      </c>
      <c r="E946" s="407" t="s">
        <v>1396</v>
      </c>
      <c r="F946" s="3" t="s">
        <v>2334</v>
      </c>
      <c r="G946" s="407" t="s">
        <v>4498</v>
      </c>
      <c r="H946" s="440" t="s">
        <v>4109</v>
      </c>
      <c r="I946" s="407" t="s">
        <v>4319</v>
      </c>
      <c r="J946" s="407" t="s">
        <v>3752</v>
      </c>
      <c r="K946" s="387" t="s">
        <v>4652</v>
      </c>
      <c r="L946" s="387">
        <v>2</v>
      </c>
      <c r="M946" s="387">
        <v>0</v>
      </c>
      <c r="N946" s="387">
        <f t="shared" si="109"/>
        <v>2</v>
      </c>
      <c r="O946" s="442">
        <f t="shared" si="110"/>
        <v>2</v>
      </c>
      <c r="P946" s="387" t="s">
        <v>1358</v>
      </c>
      <c r="Q946" s="459">
        <v>0</v>
      </c>
      <c r="R946" s="459"/>
      <c r="S946" s="456">
        <v>0</v>
      </c>
      <c r="T946" s="456">
        <v>38.816000000000003</v>
      </c>
      <c r="U946" s="410"/>
      <c r="V946" s="411">
        <v>1</v>
      </c>
      <c r="W946" s="411">
        <v>1</v>
      </c>
      <c r="X946" s="411">
        <v>1</v>
      </c>
      <c r="Y946" s="411"/>
      <c r="Z946" s="411"/>
      <c r="AA946" s="412">
        <f t="shared" si="111"/>
        <v>1</v>
      </c>
      <c r="AB946" s="456">
        <f t="shared" si="112"/>
        <v>38.816000000000003</v>
      </c>
      <c r="AC946" s="456">
        <v>0</v>
      </c>
      <c r="AD946" s="2"/>
      <c r="AE946" s="4"/>
      <c r="AF946" s="5"/>
      <c r="AG946" s="428"/>
    </row>
    <row r="947" spans="2:33" hidden="1" x14ac:dyDescent="0.25">
      <c r="B947" s="1" t="s">
        <v>3026</v>
      </c>
      <c r="C947" s="3" t="s">
        <v>1368</v>
      </c>
      <c r="D947" s="3" t="s">
        <v>1247</v>
      </c>
      <c r="E947" s="407" t="s">
        <v>1399</v>
      </c>
      <c r="F947" s="3" t="s">
        <v>2335</v>
      </c>
      <c r="G947" s="407" t="s">
        <v>4499</v>
      </c>
      <c r="H947" s="440" t="s">
        <v>4109</v>
      </c>
      <c r="I947" s="407" t="s">
        <v>4320</v>
      </c>
      <c r="J947" s="407" t="s">
        <v>3758</v>
      </c>
      <c r="K947" s="387" t="s">
        <v>4653</v>
      </c>
      <c r="L947" s="387">
        <v>2</v>
      </c>
      <c r="M947" s="387">
        <v>0</v>
      </c>
      <c r="N947" s="387">
        <f t="shared" si="109"/>
        <v>2</v>
      </c>
      <c r="O947" s="442">
        <f t="shared" si="110"/>
        <v>2</v>
      </c>
      <c r="P947" s="387" t="s">
        <v>1358</v>
      </c>
      <c r="Q947" s="459">
        <v>0</v>
      </c>
      <c r="R947" s="459"/>
      <c r="S947" s="456">
        <v>0</v>
      </c>
      <c r="T947" s="456">
        <v>38.816000000000003</v>
      </c>
      <c r="U947" s="410"/>
      <c r="V947" s="411">
        <v>1</v>
      </c>
      <c r="W947" s="411">
        <v>1</v>
      </c>
      <c r="X947" s="411">
        <v>1</v>
      </c>
      <c r="Y947" s="411"/>
      <c r="Z947" s="411"/>
      <c r="AA947" s="412">
        <f t="shared" si="111"/>
        <v>1</v>
      </c>
      <c r="AB947" s="456">
        <f t="shared" si="112"/>
        <v>38.816000000000003</v>
      </c>
      <c r="AC947" s="456">
        <v>0</v>
      </c>
      <c r="AD947" s="2"/>
      <c r="AE947" s="4"/>
      <c r="AF947" s="5"/>
      <c r="AG947" s="428"/>
    </row>
    <row r="948" spans="2:33" hidden="1" x14ac:dyDescent="0.25">
      <c r="B948" s="571" t="s">
        <v>5219</v>
      </c>
      <c r="C948" s="3" t="s">
        <v>1368</v>
      </c>
      <c r="D948" s="3" t="s">
        <v>1247</v>
      </c>
      <c r="E948" s="407" t="s">
        <v>1396</v>
      </c>
      <c r="F948" s="3" t="s">
        <v>5210</v>
      </c>
      <c r="G948" s="407" t="s">
        <v>4499</v>
      </c>
      <c r="H948" s="440" t="s">
        <v>4109</v>
      </c>
      <c r="I948" s="407" t="s">
        <v>4320</v>
      </c>
      <c r="J948" s="407" t="s">
        <v>3758</v>
      </c>
      <c r="K948" s="387" t="s">
        <v>4653</v>
      </c>
      <c r="L948" s="387">
        <v>1</v>
      </c>
      <c r="M948" s="387">
        <v>0</v>
      </c>
      <c r="N948" s="387">
        <f t="shared" si="109"/>
        <v>1</v>
      </c>
      <c r="O948" s="442"/>
      <c r="P948" s="387" t="s">
        <v>1358</v>
      </c>
      <c r="Q948" s="459">
        <v>0</v>
      </c>
      <c r="R948" s="459"/>
      <c r="S948" s="456">
        <v>0</v>
      </c>
      <c r="T948" s="456">
        <v>19</v>
      </c>
      <c r="U948" s="410"/>
      <c r="V948" s="411">
        <v>1</v>
      </c>
      <c r="W948" s="411">
        <v>1</v>
      </c>
      <c r="X948" s="411">
        <v>1</v>
      </c>
      <c r="Y948" s="411"/>
      <c r="Z948" s="411"/>
      <c r="AA948" s="412">
        <f t="shared" ref="AA948" si="113">AB948/T948</f>
        <v>1</v>
      </c>
      <c r="AB948" s="456">
        <f t="shared" ref="AB948" si="114">(V948*V$369*T948)+(W948*W$369*T948)+(X948*X$369*T948)</f>
        <v>19</v>
      </c>
      <c r="AC948" s="456"/>
      <c r="AD948" s="2"/>
      <c r="AE948" s="4"/>
      <c r="AF948" s="5"/>
      <c r="AG948" s="428"/>
    </row>
    <row r="949" spans="2:33" hidden="1" x14ac:dyDescent="0.25">
      <c r="B949" s="1" t="s">
        <v>3027</v>
      </c>
      <c r="C949" s="3" t="s">
        <v>1368</v>
      </c>
      <c r="D949" s="3" t="s">
        <v>1247</v>
      </c>
      <c r="E949" s="407" t="s">
        <v>3291</v>
      </c>
      <c r="F949" s="3" t="s">
        <v>2336</v>
      </c>
      <c r="G949" s="407" t="s">
        <v>4476</v>
      </c>
      <c r="H949" s="440" t="s">
        <v>4109</v>
      </c>
      <c r="I949" s="407" t="s">
        <v>4297</v>
      </c>
      <c r="J949" s="407" t="s">
        <v>3753</v>
      </c>
      <c r="K949" s="387" t="s">
        <v>4651</v>
      </c>
      <c r="L949" s="387">
        <v>1</v>
      </c>
      <c r="M949" s="387">
        <v>0</v>
      </c>
      <c r="N949" s="387">
        <f t="shared" si="109"/>
        <v>1</v>
      </c>
      <c r="O949" s="442">
        <f t="shared" si="110"/>
        <v>1</v>
      </c>
      <c r="P949" s="387" t="s">
        <v>1358</v>
      </c>
      <c r="Q949" s="459">
        <v>0</v>
      </c>
      <c r="R949" s="459"/>
      <c r="S949" s="456">
        <v>0</v>
      </c>
      <c r="T949" s="456">
        <v>118.822</v>
      </c>
      <c r="U949" s="410"/>
      <c r="V949" s="411">
        <v>1</v>
      </c>
      <c r="W949" s="411">
        <v>1</v>
      </c>
      <c r="X949" s="411">
        <v>1</v>
      </c>
      <c r="Y949" s="411"/>
      <c r="Z949" s="411"/>
      <c r="AA949" s="412">
        <f t="shared" si="111"/>
        <v>1</v>
      </c>
      <c r="AB949" s="456">
        <f t="shared" si="112"/>
        <v>118.822</v>
      </c>
      <c r="AC949" s="456">
        <v>0</v>
      </c>
      <c r="AD949" s="2"/>
      <c r="AE949" s="4"/>
      <c r="AF949" s="5"/>
      <c r="AG949" s="428"/>
    </row>
    <row r="950" spans="2:33" hidden="1" x14ac:dyDescent="0.25">
      <c r="B950" s="1" t="s">
        <v>3028</v>
      </c>
      <c r="C950" s="3" t="s">
        <v>1368</v>
      </c>
      <c r="D950" s="3" t="s">
        <v>1247</v>
      </c>
      <c r="E950" s="407" t="s">
        <v>3293</v>
      </c>
      <c r="F950" s="3" t="s">
        <v>2337</v>
      </c>
      <c r="G950" s="407" t="s">
        <v>4503</v>
      </c>
      <c r="H950" s="440" t="s">
        <v>4109</v>
      </c>
      <c r="I950" s="407" t="s">
        <v>4324</v>
      </c>
      <c r="J950" s="407" t="s">
        <v>3798</v>
      </c>
      <c r="K950" s="387" t="s">
        <v>4658</v>
      </c>
      <c r="L950" s="387">
        <v>1</v>
      </c>
      <c r="M950" s="387">
        <v>0</v>
      </c>
      <c r="N950" s="387">
        <f t="shared" si="109"/>
        <v>1</v>
      </c>
      <c r="O950" s="442">
        <f t="shared" si="110"/>
        <v>1</v>
      </c>
      <c r="P950" s="387" t="s">
        <v>1358</v>
      </c>
      <c r="Q950" s="459">
        <v>0</v>
      </c>
      <c r="R950" s="459"/>
      <c r="S950" s="456">
        <v>0</v>
      </c>
      <c r="T950" s="456">
        <v>75.204999999999998</v>
      </c>
      <c r="U950" s="410"/>
      <c r="V950" s="411">
        <v>1</v>
      </c>
      <c r="W950" s="411">
        <v>1</v>
      </c>
      <c r="X950" s="411">
        <v>1</v>
      </c>
      <c r="Y950" s="411"/>
      <c r="Z950" s="411"/>
      <c r="AA950" s="412">
        <f t="shared" si="111"/>
        <v>1</v>
      </c>
      <c r="AB950" s="456">
        <f t="shared" si="112"/>
        <v>75.204999999999998</v>
      </c>
      <c r="AC950" s="456">
        <v>0</v>
      </c>
      <c r="AD950" s="2"/>
      <c r="AE950" s="4"/>
      <c r="AF950" s="5"/>
      <c r="AG950" s="428"/>
    </row>
    <row r="951" spans="2:33" hidden="1" x14ac:dyDescent="0.25">
      <c r="B951" s="1" t="s">
        <v>3029</v>
      </c>
      <c r="C951" s="3" t="s">
        <v>1368</v>
      </c>
      <c r="D951" s="3" t="s">
        <v>1247</v>
      </c>
      <c r="E951" s="407" t="s">
        <v>1398</v>
      </c>
      <c r="F951" s="3" t="s">
        <v>2338</v>
      </c>
      <c r="G951" s="407" t="s">
        <v>4496</v>
      </c>
      <c r="H951" s="440" t="s">
        <v>4109</v>
      </c>
      <c r="I951" s="407" t="s">
        <v>4317</v>
      </c>
      <c r="J951" s="407" t="s">
        <v>3796</v>
      </c>
      <c r="K951" s="387" t="s">
        <v>4650</v>
      </c>
      <c r="L951" s="387">
        <v>1</v>
      </c>
      <c r="M951" s="387">
        <v>0</v>
      </c>
      <c r="N951" s="387">
        <f t="shared" si="109"/>
        <v>1</v>
      </c>
      <c r="O951" s="442">
        <f t="shared" si="110"/>
        <v>1</v>
      </c>
      <c r="P951" s="387" t="s">
        <v>1358</v>
      </c>
      <c r="Q951" s="459">
        <v>0</v>
      </c>
      <c r="R951" s="459"/>
      <c r="S951" s="456">
        <v>0</v>
      </c>
      <c r="T951" s="456">
        <v>77.316000000000003</v>
      </c>
      <c r="U951" s="410"/>
      <c r="V951" s="411">
        <v>1</v>
      </c>
      <c r="W951" s="411">
        <v>1</v>
      </c>
      <c r="X951" s="411">
        <v>1</v>
      </c>
      <c r="Y951" s="411"/>
      <c r="Z951" s="411"/>
      <c r="AA951" s="412">
        <f t="shared" si="111"/>
        <v>1</v>
      </c>
      <c r="AB951" s="456">
        <f t="shared" si="112"/>
        <v>77.316000000000003</v>
      </c>
      <c r="AC951" s="456">
        <v>0</v>
      </c>
      <c r="AD951" s="2"/>
      <c r="AE951" s="4"/>
      <c r="AF951" s="5"/>
      <c r="AG951" s="428"/>
    </row>
    <row r="952" spans="2:33" hidden="1" x14ac:dyDescent="0.25">
      <c r="B952" s="1" t="s">
        <v>3030</v>
      </c>
      <c r="C952" s="3" t="s">
        <v>1368</v>
      </c>
      <c r="D952" s="3" t="s">
        <v>1247</v>
      </c>
      <c r="E952" s="407" t="s">
        <v>1377</v>
      </c>
      <c r="F952" s="3" t="s">
        <v>2339</v>
      </c>
      <c r="G952" s="407" t="s">
        <v>4494</v>
      </c>
      <c r="H952" s="440" t="s">
        <v>4109</v>
      </c>
      <c r="I952" s="407" t="s">
        <v>4315</v>
      </c>
      <c r="J952" s="407" t="s">
        <v>3749</v>
      </c>
      <c r="K952" s="387" t="s">
        <v>4648</v>
      </c>
      <c r="L952" s="387">
        <v>1</v>
      </c>
      <c r="M952" s="387">
        <v>0</v>
      </c>
      <c r="N952" s="387">
        <f t="shared" si="109"/>
        <v>1</v>
      </c>
      <c r="O952" s="442">
        <f t="shared" si="110"/>
        <v>1</v>
      </c>
      <c r="P952" s="387" t="s">
        <v>1358</v>
      </c>
      <c r="Q952" s="459">
        <v>0</v>
      </c>
      <c r="R952" s="459"/>
      <c r="S952" s="456">
        <v>0</v>
      </c>
      <c r="T952" s="456">
        <v>121.925</v>
      </c>
      <c r="U952" s="410"/>
      <c r="V952" s="411">
        <v>1</v>
      </c>
      <c r="W952" s="411">
        <v>1</v>
      </c>
      <c r="X952" s="411">
        <v>1</v>
      </c>
      <c r="Y952" s="411"/>
      <c r="Z952" s="411"/>
      <c r="AA952" s="412">
        <f t="shared" si="111"/>
        <v>1</v>
      </c>
      <c r="AB952" s="456">
        <f t="shared" si="112"/>
        <v>121.925</v>
      </c>
      <c r="AC952" s="456">
        <v>0</v>
      </c>
      <c r="AD952" s="2"/>
      <c r="AE952" s="4"/>
      <c r="AF952" s="5"/>
      <c r="AG952" s="428"/>
    </row>
    <row r="953" spans="2:33" hidden="1" x14ac:dyDescent="0.25">
      <c r="B953" s="1" t="s">
        <v>3031</v>
      </c>
      <c r="C953" s="3" t="s">
        <v>1368</v>
      </c>
      <c r="D953" s="3" t="s">
        <v>1247</v>
      </c>
      <c r="E953" s="407" t="s">
        <v>1379</v>
      </c>
      <c r="F953" s="3" t="s">
        <v>2340</v>
      </c>
      <c r="G953" s="407" t="s">
        <v>4502</v>
      </c>
      <c r="H953" s="440" t="s">
        <v>4109</v>
      </c>
      <c r="I953" s="407" t="s">
        <v>4323</v>
      </c>
      <c r="J953" s="407" t="s">
        <v>3750</v>
      </c>
      <c r="K953" s="387" t="s">
        <v>4666</v>
      </c>
      <c r="L953" s="387">
        <v>1</v>
      </c>
      <c r="M953" s="387">
        <v>0</v>
      </c>
      <c r="N953" s="387">
        <f t="shared" si="109"/>
        <v>1</v>
      </c>
      <c r="O953" s="442">
        <f t="shared" si="110"/>
        <v>1</v>
      </c>
      <c r="P953" s="387" t="s">
        <v>1358</v>
      </c>
      <c r="Q953" s="459">
        <v>0</v>
      </c>
      <c r="R953" s="459"/>
      <c r="S953" s="456">
        <v>0</v>
      </c>
      <c r="T953" s="456">
        <v>243.851</v>
      </c>
      <c r="U953" s="410"/>
      <c r="V953" s="411">
        <v>1</v>
      </c>
      <c r="W953" s="411">
        <v>1</v>
      </c>
      <c r="X953" s="411">
        <v>1</v>
      </c>
      <c r="Y953" s="411"/>
      <c r="Z953" s="411"/>
      <c r="AA953" s="412">
        <f t="shared" si="111"/>
        <v>1</v>
      </c>
      <c r="AB953" s="456">
        <f t="shared" si="112"/>
        <v>243.851</v>
      </c>
      <c r="AC953" s="456">
        <v>0</v>
      </c>
      <c r="AD953" s="2"/>
      <c r="AE953" s="4"/>
      <c r="AF953" s="5"/>
      <c r="AG953" s="428"/>
    </row>
    <row r="954" spans="2:33" hidden="1" x14ac:dyDescent="0.25">
      <c r="B954" s="1" t="s">
        <v>3032</v>
      </c>
      <c r="C954" s="3" t="s">
        <v>1368</v>
      </c>
      <c r="D954" s="3" t="s">
        <v>1247</v>
      </c>
      <c r="E954" s="407" t="s">
        <v>1381</v>
      </c>
      <c r="F954" s="3" t="s">
        <v>2341</v>
      </c>
      <c r="G954" s="407" t="s">
        <v>4497</v>
      </c>
      <c r="H954" s="440" t="s">
        <v>4109</v>
      </c>
      <c r="I954" s="407" t="s">
        <v>4318</v>
      </c>
      <c r="J954" s="407" t="s">
        <v>3751</v>
      </c>
      <c r="K954" s="387" t="s">
        <v>4631</v>
      </c>
      <c r="L954" s="387">
        <v>1</v>
      </c>
      <c r="M954" s="387">
        <v>0</v>
      </c>
      <c r="N954" s="387">
        <f t="shared" si="109"/>
        <v>1</v>
      </c>
      <c r="O954" s="442">
        <f t="shared" si="110"/>
        <v>1.0000000000000002</v>
      </c>
      <c r="P954" s="387" t="s">
        <v>1358</v>
      </c>
      <c r="Q954" s="459">
        <v>0</v>
      </c>
      <c r="R954" s="459"/>
      <c r="S954" s="456">
        <v>0</v>
      </c>
      <c r="T954" s="456">
        <v>121.718</v>
      </c>
      <c r="U954" s="410"/>
      <c r="V954" s="411">
        <v>1</v>
      </c>
      <c r="W954" s="411">
        <v>1</v>
      </c>
      <c r="X954" s="411">
        <v>1</v>
      </c>
      <c r="Y954" s="411"/>
      <c r="Z954" s="411"/>
      <c r="AA954" s="412">
        <f t="shared" si="111"/>
        <v>1.0000000000000002</v>
      </c>
      <c r="AB954" s="456">
        <f t="shared" si="112"/>
        <v>121.71800000000002</v>
      </c>
      <c r="AC954" s="456">
        <v>0</v>
      </c>
      <c r="AD954" s="2"/>
      <c r="AE954" s="4"/>
      <c r="AF954" s="5"/>
      <c r="AG954" s="428"/>
    </row>
    <row r="955" spans="2:33" hidden="1" x14ac:dyDescent="0.25">
      <c r="B955" s="1" t="s">
        <v>3033</v>
      </c>
      <c r="C955" s="3" t="s">
        <v>1368</v>
      </c>
      <c r="D955" s="3" t="s">
        <v>1247</v>
      </c>
      <c r="E955" s="407" t="s">
        <v>1374</v>
      </c>
      <c r="F955" s="3" t="s">
        <v>2342</v>
      </c>
      <c r="G955" s="407" t="s">
        <v>4495</v>
      </c>
      <c r="H955" s="440" t="s">
        <v>4109</v>
      </c>
      <c r="I955" s="407" t="s">
        <v>4316</v>
      </c>
      <c r="J955" s="407" t="s">
        <v>3757</v>
      </c>
      <c r="K955" s="387" t="s">
        <v>4649</v>
      </c>
      <c r="L955" s="387">
        <v>1</v>
      </c>
      <c r="M955" s="387">
        <v>0</v>
      </c>
      <c r="N955" s="387">
        <f t="shared" ref="N955:N1018" si="115">L955+M955</f>
        <v>1</v>
      </c>
      <c r="O955" s="442">
        <f t="shared" ref="O955:O1018" si="116">L955*AA955</f>
        <v>1</v>
      </c>
      <c r="P955" s="387" t="s">
        <v>1358</v>
      </c>
      <c r="Q955" s="459">
        <v>0</v>
      </c>
      <c r="R955" s="459"/>
      <c r="S955" s="456">
        <v>0</v>
      </c>
      <c r="T955" s="456">
        <v>77.316000000000003</v>
      </c>
      <c r="U955" s="410"/>
      <c r="V955" s="411">
        <v>1</v>
      </c>
      <c r="W955" s="411">
        <v>1</v>
      </c>
      <c r="X955" s="411">
        <v>1</v>
      </c>
      <c r="Y955" s="411"/>
      <c r="Z955" s="411"/>
      <c r="AA955" s="412">
        <f t="shared" ref="AA955:AA1018" si="117">AB955/T955</f>
        <v>1</v>
      </c>
      <c r="AB955" s="456">
        <f t="shared" ref="AB955:AB1018" si="118">(V955*V$369*T955)+(W955*W$369*T955)+(X955*X$369*T955)</f>
        <v>77.316000000000003</v>
      </c>
      <c r="AC955" s="456">
        <v>0</v>
      </c>
      <c r="AD955" s="2"/>
      <c r="AE955" s="4"/>
      <c r="AF955" s="5"/>
      <c r="AG955" s="428"/>
    </row>
    <row r="956" spans="2:33" hidden="1" x14ac:dyDescent="0.25">
      <c r="B956" s="1" t="s">
        <v>3034</v>
      </c>
      <c r="C956" s="3" t="s">
        <v>1368</v>
      </c>
      <c r="D956" s="3" t="s">
        <v>1247</v>
      </c>
      <c r="E956" s="407" t="s">
        <v>1432</v>
      </c>
      <c r="F956" s="3" t="s">
        <v>2343</v>
      </c>
      <c r="G956" s="407" t="s">
        <v>4483</v>
      </c>
      <c r="H956" s="440" t="s">
        <v>4109</v>
      </c>
      <c r="I956" s="407" t="s">
        <v>4304</v>
      </c>
      <c r="J956" s="407" t="s">
        <v>3785</v>
      </c>
      <c r="K956" s="387" t="s">
        <v>4635</v>
      </c>
      <c r="L956" s="387">
        <v>1</v>
      </c>
      <c r="M956" s="387">
        <v>0</v>
      </c>
      <c r="N956" s="387">
        <f t="shared" si="115"/>
        <v>1</v>
      </c>
      <c r="O956" s="442">
        <f t="shared" si="116"/>
        <v>0</v>
      </c>
      <c r="P956" s="387" t="s">
        <v>1358</v>
      </c>
      <c r="Q956" s="459">
        <v>0</v>
      </c>
      <c r="R956" s="459"/>
      <c r="S956" s="456">
        <v>0</v>
      </c>
      <c r="T956" s="456">
        <v>75.204999999999998</v>
      </c>
      <c r="U956" s="410"/>
      <c r="V956" s="411">
        <v>0</v>
      </c>
      <c r="W956" s="411">
        <v>0</v>
      </c>
      <c r="X956" s="411">
        <v>0</v>
      </c>
      <c r="Y956" s="411"/>
      <c r="Z956" s="411"/>
      <c r="AA956" s="412">
        <f t="shared" si="117"/>
        <v>0</v>
      </c>
      <c r="AB956" s="456">
        <f t="shared" si="118"/>
        <v>0</v>
      </c>
      <c r="AC956" s="456">
        <v>0</v>
      </c>
      <c r="AD956" s="2"/>
      <c r="AE956" s="4"/>
      <c r="AF956" s="5"/>
      <c r="AG956" s="428"/>
    </row>
    <row r="957" spans="2:33" hidden="1" x14ac:dyDescent="0.25">
      <c r="B957" s="1" t="s">
        <v>3035</v>
      </c>
      <c r="C957" s="3" t="s">
        <v>1368</v>
      </c>
      <c r="D957" s="3" t="s">
        <v>1247</v>
      </c>
      <c r="E957" s="407" t="s">
        <v>1433</v>
      </c>
      <c r="F957" s="3" t="s">
        <v>2344</v>
      </c>
      <c r="G957" s="407" t="s">
        <v>4490</v>
      </c>
      <c r="H957" s="440" t="s">
        <v>4109</v>
      </c>
      <c r="I957" s="407" t="s">
        <v>4311</v>
      </c>
      <c r="J957" s="407" t="s">
        <v>3792</v>
      </c>
      <c r="K957" s="387" t="s">
        <v>4644</v>
      </c>
      <c r="L957" s="387">
        <v>1</v>
      </c>
      <c r="M957" s="387">
        <v>0</v>
      </c>
      <c r="N957" s="387">
        <f t="shared" si="115"/>
        <v>1</v>
      </c>
      <c r="O957" s="442">
        <f t="shared" si="116"/>
        <v>0</v>
      </c>
      <c r="P957" s="387" t="s">
        <v>1358</v>
      </c>
      <c r="Q957" s="459">
        <v>0</v>
      </c>
      <c r="R957" s="459"/>
      <c r="S957" s="456">
        <v>0</v>
      </c>
      <c r="T957" s="456">
        <v>13.833</v>
      </c>
      <c r="U957" s="410"/>
      <c r="V957" s="411">
        <v>0</v>
      </c>
      <c r="W957" s="411">
        <v>0</v>
      </c>
      <c r="X957" s="411">
        <v>0</v>
      </c>
      <c r="Y957" s="411"/>
      <c r="Z957" s="411"/>
      <c r="AA957" s="412">
        <f t="shared" si="117"/>
        <v>0</v>
      </c>
      <c r="AB957" s="456">
        <f t="shared" si="118"/>
        <v>0</v>
      </c>
      <c r="AC957" s="456">
        <v>0</v>
      </c>
      <c r="AD957" s="2"/>
      <c r="AE957" s="4"/>
      <c r="AF957" s="5"/>
      <c r="AG957" s="428"/>
    </row>
    <row r="958" spans="2:33" hidden="1" x14ac:dyDescent="0.25">
      <c r="B958" s="1" t="s">
        <v>3036</v>
      </c>
      <c r="C958" s="3" t="s">
        <v>1368</v>
      </c>
      <c r="D958" s="3" t="s">
        <v>1247</v>
      </c>
      <c r="E958" s="407" t="s">
        <v>1430</v>
      </c>
      <c r="F958" s="3" t="s">
        <v>2345</v>
      </c>
      <c r="G958" s="407" t="s">
        <v>4488</v>
      </c>
      <c r="H958" s="440" t="s">
        <v>4109</v>
      </c>
      <c r="I958" s="407" t="s">
        <v>4309</v>
      </c>
      <c r="J958" s="407" t="s">
        <v>3790</v>
      </c>
      <c r="K958" s="387" t="s">
        <v>4641</v>
      </c>
      <c r="L958" s="387">
        <v>1</v>
      </c>
      <c r="M958" s="387">
        <v>0</v>
      </c>
      <c r="N958" s="387">
        <f t="shared" si="115"/>
        <v>1</v>
      </c>
      <c r="O958" s="442">
        <f t="shared" si="116"/>
        <v>0</v>
      </c>
      <c r="P958" s="387" t="s">
        <v>1358</v>
      </c>
      <c r="Q958" s="459">
        <v>0</v>
      </c>
      <c r="R958" s="459"/>
      <c r="S958" s="456">
        <v>0</v>
      </c>
      <c r="T958" s="456">
        <v>90.286000000000001</v>
      </c>
      <c r="U958" s="410"/>
      <c r="V958" s="411">
        <v>0</v>
      </c>
      <c r="W958" s="411">
        <v>0</v>
      </c>
      <c r="X958" s="411">
        <v>0</v>
      </c>
      <c r="Y958" s="411"/>
      <c r="Z958" s="411"/>
      <c r="AA958" s="412">
        <f t="shared" si="117"/>
        <v>0</v>
      </c>
      <c r="AB958" s="456">
        <f t="shared" si="118"/>
        <v>0</v>
      </c>
      <c r="AC958" s="456">
        <v>0</v>
      </c>
      <c r="AD958" s="2"/>
      <c r="AE958" s="4"/>
      <c r="AF958" s="5"/>
      <c r="AG958" s="428"/>
    </row>
    <row r="959" spans="2:33" hidden="1" x14ac:dyDescent="0.25">
      <c r="B959" s="1" t="s">
        <v>3037</v>
      </c>
      <c r="C959" s="3" t="s">
        <v>1368</v>
      </c>
      <c r="D959" s="3" t="s">
        <v>1247</v>
      </c>
      <c r="E959" s="407" t="s">
        <v>1431</v>
      </c>
      <c r="F959" s="3" t="s">
        <v>2346</v>
      </c>
      <c r="G959" s="407" t="s">
        <v>4489</v>
      </c>
      <c r="H959" s="440" t="s">
        <v>4109</v>
      </c>
      <c r="I959" s="407" t="s">
        <v>4310</v>
      </c>
      <c r="J959" s="407" t="s">
        <v>3791</v>
      </c>
      <c r="K959" s="387" t="s">
        <v>4642</v>
      </c>
      <c r="L959" s="387">
        <v>1</v>
      </c>
      <c r="M959" s="387">
        <v>0</v>
      </c>
      <c r="N959" s="387">
        <f t="shared" si="115"/>
        <v>1</v>
      </c>
      <c r="O959" s="442">
        <f t="shared" si="116"/>
        <v>0</v>
      </c>
      <c r="P959" s="387" t="s">
        <v>1358</v>
      </c>
      <c r="Q959" s="459">
        <v>0</v>
      </c>
      <c r="R959" s="459"/>
      <c r="S959" s="456">
        <v>0</v>
      </c>
      <c r="T959" s="456">
        <v>75.204999999999998</v>
      </c>
      <c r="U959" s="410"/>
      <c r="V959" s="411">
        <v>0</v>
      </c>
      <c r="W959" s="411">
        <v>0</v>
      </c>
      <c r="X959" s="411">
        <v>0</v>
      </c>
      <c r="Y959" s="411"/>
      <c r="Z959" s="411"/>
      <c r="AA959" s="412">
        <f t="shared" si="117"/>
        <v>0</v>
      </c>
      <c r="AB959" s="456">
        <f t="shared" si="118"/>
        <v>0</v>
      </c>
      <c r="AC959" s="456">
        <v>0</v>
      </c>
      <c r="AD959" s="2"/>
      <c r="AE959" s="4"/>
      <c r="AF959" s="5"/>
      <c r="AG959" s="428"/>
    </row>
    <row r="960" spans="2:33" hidden="1" x14ac:dyDescent="0.25">
      <c r="B960" s="1" t="s">
        <v>3038</v>
      </c>
      <c r="C960" s="3" t="s">
        <v>1368</v>
      </c>
      <c r="D960" s="3" t="s">
        <v>1247</v>
      </c>
      <c r="E960" s="407" t="s">
        <v>1396</v>
      </c>
      <c r="F960" s="3" t="s">
        <v>2347</v>
      </c>
      <c r="G960" s="407" t="s">
        <v>4498</v>
      </c>
      <c r="H960" s="440" t="s">
        <v>4109</v>
      </c>
      <c r="I960" s="407" t="s">
        <v>4319</v>
      </c>
      <c r="J960" s="407" t="s">
        <v>3752</v>
      </c>
      <c r="K960" s="387" t="s">
        <v>4652</v>
      </c>
      <c r="L960" s="387">
        <v>1</v>
      </c>
      <c r="M960" s="387">
        <v>0</v>
      </c>
      <c r="N960" s="387">
        <f t="shared" si="115"/>
        <v>1</v>
      </c>
      <c r="O960" s="442">
        <f t="shared" si="116"/>
        <v>1</v>
      </c>
      <c r="P960" s="387" t="s">
        <v>1358</v>
      </c>
      <c r="Q960" s="459">
        <v>0</v>
      </c>
      <c r="R960" s="459"/>
      <c r="S960" s="456">
        <v>0</v>
      </c>
      <c r="T960" s="456">
        <v>13.44</v>
      </c>
      <c r="U960" s="410"/>
      <c r="V960" s="411">
        <v>1</v>
      </c>
      <c r="W960" s="411">
        <v>1</v>
      </c>
      <c r="X960" s="411">
        <v>1</v>
      </c>
      <c r="Y960" s="411"/>
      <c r="Z960" s="411"/>
      <c r="AA960" s="412">
        <f t="shared" si="117"/>
        <v>1</v>
      </c>
      <c r="AB960" s="456">
        <f t="shared" si="118"/>
        <v>13.44</v>
      </c>
      <c r="AC960" s="456">
        <v>0</v>
      </c>
      <c r="AD960" s="2"/>
      <c r="AE960" s="4"/>
      <c r="AF960" s="5"/>
      <c r="AG960" s="428"/>
    </row>
    <row r="961" spans="2:33" hidden="1" x14ac:dyDescent="0.25">
      <c r="B961" s="1" t="s">
        <v>3039</v>
      </c>
      <c r="C961" s="3" t="s">
        <v>1368</v>
      </c>
      <c r="D961" s="3" t="s">
        <v>1247</v>
      </c>
      <c r="E961" s="407" t="s">
        <v>1399</v>
      </c>
      <c r="F961" s="3" t="s">
        <v>2348</v>
      </c>
      <c r="G961" s="407" t="s">
        <v>4499</v>
      </c>
      <c r="H961" s="440" t="s">
        <v>4109</v>
      </c>
      <c r="I961" s="407" t="s">
        <v>4320</v>
      </c>
      <c r="J961" s="407" t="s">
        <v>3758</v>
      </c>
      <c r="K961" s="387" t="s">
        <v>4653</v>
      </c>
      <c r="L961" s="387">
        <v>1</v>
      </c>
      <c r="M961" s="387">
        <v>0</v>
      </c>
      <c r="N961" s="387">
        <f t="shared" si="115"/>
        <v>1</v>
      </c>
      <c r="O961" s="442">
        <f t="shared" si="116"/>
        <v>1</v>
      </c>
      <c r="P961" s="387" t="s">
        <v>1358</v>
      </c>
      <c r="Q961" s="459">
        <v>0</v>
      </c>
      <c r="R961" s="459"/>
      <c r="S961" s="456">
        <v>0</v>
      </c>
      <c r="T961" s="456">
        <v>13.44</v>
      </c>
      <c r="U961" s="410"/>
      <c r="V961" s="411">
        <v>1</v>
      </c>
      <c r="W961" s="411">
        <v>1</v>
      </c>
      <c r="X961" s="411">
        <v>1</v>
      </c>
      <c r="Y961" s="411"/>
      <c r="Z961" s="411"/>
      <c r="AA961" s="412">
        <f t="shared" si="117"/>
        <v>1</v>
      </c>
      <c r="AB961" s="456">
        <f t="shared" si="118"/>
        <v>13.44</v>
      </c>
      <c r="AC961" s="456">
        <v>0</v>
      </c>
      <c r="AD961" s="2"/>
      <c r="AE961" s="4"/>
      <c r="AF961" s="5"/>
      <c r="AG961" s="428"/>
    </row>
    <row r="962" spans="2:33" hidden="1" x14ac:dyDescent="0.25">
      <c r="B962" s="1" t="s">
        <v>3040</v>
      </c>
      <c r="C962" s="3" t="s">
        <v>1368</v>
      </c>
      <c r="D962" s="3" t="s">
        <v>1247</v>
      </c>
      <c r="E962" s="407" t="s">
        <v>3291</v>
      </c>
      <c r="F962" s="3" t="s">
        <v>2349</v>
      </c>
      <c r="G962" s="407" t="s">
        <v>4476</v>
      </c>
      <c r="H962" s="440" t="s">
        <v>4109</v>
      </c>
      <c r="I962" s="407" t="s">
        <v>4297</v>
      </c>
      <c r="J962" s="407" t="s">
        <v>3753</v>
      </c>
      <c r="K962" s="387" t="s">
        <v>4651</v>
      </c>
      <c r="L962" s="387">
        <v>1</v>
      </c>
      <c r="M962" s="387">
        <v>0</v>
      </c>
      <c r="N962" s="387">
        <f t="shared" si="115"/>
        <v>1</v>
      </c>
      <c r="O962" s="442">
        <f t="shared" si="116"/>
        <v>1</v>
      </c>
      <c r="P962" s="387" t="s">
        <v>1358</v>
      </c>
      <c r="Q962" s="459">
        <v>0</v>
      </c>
      <c r="R962" s="459"/>
      <c r="S962" s="456">
        <v>0</v>
      </c>
      <c r="T962" s="456">
        <v>118.822</v>
      </c>
      <c r="U962" s="410"/>
      <c r="V962" s="411">
        <v>1</v>
      </c>
      <c r="W962" s="411">
        <v>1</v>
      </c>
      <c r="X962" s="411">
        <v>1</v>
      </c>
      <c r="Y962" s="411"/>
      <c r="Z962" s="411"/>
      <c r="AA962" s="412">
        <f t="shared" si="117"/>
        <v>1</v>
      </c>
      <c r="AB962" s="456">
        <f t="shared" si="118"/>
        <v>118.822</v>
      </c>
      <c r="AC962" s="456">
        <v>0</v>
      </c>
      <c r="AD962" s="2"/>
      <c r="AE962" s="4"/>
      <c r="AF962" s="5"/>
      <c r="AG962" s="428"/>
    </row>
    <row r="963" spans="2:33" hidden="1" x14ac:dyDescent="0.25">
      <c r="B963" s="1" t="s">
        <v>3041</v>
      </c>
      <c r="C963" s="3" t="s">
        <v>1368</v>
      </c>
      <c r="D963" s="3" t="s">
        <v>1247</v>
      </c>
      <c r="E963" s="407" t="s">
        <v>3293</v>
      </c>
      <c r="F963" s="3" t="s">
        <v>2350</v>
      </c>
      <c r="G963" s="407" t="s">
        <v>4503</v>
      </c>
      <c r="H963" s="440" t="s">
        <v>4109</v>
      </c>
      <c r="I963" s="407" t="s">
        <v>4324</v>
      </c>
      <c r="J963" s="407" t="s">
        <v>3798</v>
      </c>
      <c r="K963" s="387" t="s">
        <v>4658</v>
      </c>
      <c r="L963" s="387">
        <v>1</v>
      </c>
      <c r="M963" s="387">
        <v>0</v>
      </c>
      <c r="N963" s="387">
        <f t="shared" si="115"/>
        <v>1</v>
      </c>
      <c r="O963" s="442">
        <f t="shared" si="116"/>
        <v>1</v>
      </c>
      <c r="P963" s="387" t="s">
        <v>1358</v>
      </c>
      <c r="Q963" s="459">
        <v>0</v>
      </c>
      <c r="R963" s="459"/>
      <c r="S963" s="456">
        <v>0</v>
      </c>
      <c r="T963" s="456">
        <v>75.204999999999998</v>
      </c>
      <c r="U963" s="410"/>
      <c r="V963" s="411">
        <v>1</v>
      </c>
      <c r="W963" s="411">
        <v>1</v>
      </c>
      <c r="X963" s="411">
        <v>1</v>
      </c>
      <c r="Y963" s="411"/>
      <c r="Z963" s="411"/>
      <c r="AA963" s="412">
        <f t="shared" si="117"/>
        <v>1</v>
      </c>
      <c r="AB963" s="456">
        <f t="shared" si="118"/>
        <v>75.204999999999998</v>
      </c>
      <c r="AC963" s="456">
        <v>0</v>
      </c>
      <c r="AD963" s="2"/>
      <c r="AE963" s="4"/>
      <c r="AF963" s="5"/>
      <c r="AG963" s="428"/>
    </row>
    <row r="964" spans="2:33" hidden="1" x14ac:dyDescent="0.25">
      <c r="B964" s="1" t="s">
        <v>3042</v>
      </c>
      <c r="C964" s="3" t="s">
        <v>1368</v>
      </c>
      <c r="D964" s="3" t="s">
        <v>1247</v>
      </c>
      <c r="E964" s="407" t="s">
        <v>1398</v>
      </c>
      <c r="F964" s="3" t="s">
        <v>2351</v>
      </c>
      <c r="G964" s="407" t="s">
        <v>4496</v>
      </c>
      <c r="H964" s="440" t="s">
        <v>4109</v>
      </c>
      <c r="I964" s="407" t="s">
        <v>4317</v>
      </c>
      <c r="J964" s="407" t="s">
        <v>3796</v>
      </c>
      <c r="K964" s="387" t="s">
        <v>4771</v>
      </c>
      <c r="L964" s="387">
        <v>1</v>
      </c>
      <c r="M964" s="387">
        <v>0</v>
      </c>
      <c r="N964" s="387">
        <f t="shared" si="115"/>
        <v>1</v>
      </c>
      <c r="O964" s="442">
        <f t="shared" si="116"/>
        <v>1</v>
      </c>
      <c r="P964" s="387" t="s">
        <v>1358</v>
      </c>
      <c r="Q964" s="459">
        <v>0</v>
      </c>
      <c r="R964" s="459"/>
      <c r="S964" s="456">
        <v>0</v>
      </c>
      <c r="T964" s="456">
        <v>77.316000000000003</v>
      </c>
      <c r="U964" s="410"/>
      <c r="V964" s="411">
        <v>1</v>
      </c>
      <c r="W964" s="411">
        <v>1</v>
      </c>
      <c r="X964" s="411">
        <v>1</v>
      </c>
      <c r="Y964" s="411"/>
      <c r="Z964" s="411"/>
      <c r="AA964" s="412">
        <f t="shared" si="117"/>
        <v>1</v>
      </c>
      <c r="AB964" s="456">
        <f t="shared" si="118"/>
        <v>77.316000000000003</v>
      </c>
      <c r="AC964" s="456">
        <v>0</v>
      </c>
      <c r="AD964" s="2"/>
      <c r="AE964" s="4"/>
      <c r="AF964" s="5"/>
      <c r="AG964" s="428"/>
    </row>
    <row r="965" spans="2:33" hidden="1" x14ac:dyDescent="0.25">
      <c r="B965" s="1" t="s">
        <v>3043</v>
      </c>
      <c r="C965" s="3" t="s">
        <v>1368</v>
      </c>
      <c r="D965" s="3" t="s">
        <v>1247</v>
      </c>
      <c r="E965" s="407" t="s">
        <v>1374</v>
      </c>
      <c r="F965" s="3" t="s">
        <v>2352</v>
      </c>
      <c r="G965" s="407" t="s">
        <v>4495</v>
      </c>
      <c r="H965" s="440" t="s">
        <v>4109</v>
      </c>
      <c r="I965" s="407" t="s">
        <v>4316</v>
      </c>
      <c r="J965" s="407" t="s">
        <v>3757</v>
      </c>
      <c r="K965" s="387" t="s">
        <v>4649</v>
      </c>
      <c r="L965" s="387">
        <v>2</v>
      </c>
      <c r="M965" s="387">
        <v>0</v>
      </c>
      <c r="N965" s="387">
        <f t="shared" si="115"/>
        <v>2</v>
      </c>
      <c r="O965" s="442">
        <f t="shared" si="116"/>
        <v>2</v>
      </c>
      <c r="P965" s="387" t="s">
        <v>1358</v>
      </c>
      <c r="Q965" s="459">
        <v>0</v>
      </c>
      <c r="R965" s="459"/>
      <c r="S965" s="456">
        <v>0</v>
      </c>
      <c r="T965" s="456">
        <v>77</v>
      </c>
      <c r="U965" s="410"/>
      <c r="V965" s="411">
        <v>1</v>
      </c>
      <c r="W965" s="411">
        <v>1</v>
      </c>
      <c r="X965" s="411">
        <v>1</v>
      </c>
      <c r="Y965" s="411"/>
      <c r="Z965" s="411"/>
      <c r="AA965" s="412">
        <f t="shared" si="117"/>
        <v>1</v>
      </c>
      <c r="AB965" s="456">
        <f>(V965*V$369*T965)+(W965*W$369*T965)+(X965*X$369*T965)</f>
        <v>77</v>
      </c>
      <c r="AC965" s="456">
        <v>0</v>
      </c>
      <c r="AD965" s="2"/>
      <c r="AE965" s="4"/>
      <c r="AF965" s="5"/>
      <c r="AG965" s="428"/>
    </row>
    <row r="966" spans="2:33" hidden="1" x14ac:dyDescent="0.25">
      <c r="B966" s="1" t="s">
        <v>3044</v>
      </c>
      <c r="C966" s="3" t="s">
        <v>1368</v>
      </c>
      <c r="D966" s="3" t="s">
        <v>1247</v>
      </c>
      <c r="E966" s="407" t="s">
        <v>1377</v>
      </c>
      <c r="F966" s="3" t="s">
        <v>2353</v>
      </c>
      <c r="G966" s="407" t="s">
        <v>4494</v>
      </c>
      <c r="H966" s="440" t="s">
        <v>4109</v>
      </c>
      <c r="I966" s="407" t="s">
        <v>4315</v>
      </c>
      <c r="J966" s="407" t="s">
        <v>3749</v>
      </c>
      <c r="K966" s="387" t="s">
        <v>4648</v>
      </c>
      <c r="L966" s="387">
        <v>1</v>
      </c>
      <c r="M966" s="387">
        <v>0</v>
      </c>
      <c r="N966" s="387">
        <f t="shared" si="115"/>
        <v>1</v>
      </c>
      <c r="O966" s="442">
        <f t="shared" si="116"/>
        <v>1</v>
      </c>
      <c r="P966" s="387" t="s">
        <v>1358</v>
      </c>
      <c r="Q966" s="459">
        <v>0</v>
      </c>
      <c r="R966" s="459"/>
      <c r="S966" s="456">
        <v>0</v>
      </c>
      <c r="T966" s="456">
        <v>121.925</v>
      </c>
      <c r="U966" s="410"/>
      <c r="V966" s="411">
        <v>1</v>
      </c>
      <c r="W966" s="411">
        <v>1</v>
      </c>
      <c r="X966" s="411">
        <v>1</v>
      </c>
      <c r="Y966" s="411"/>
      <c r="Z966" s="411"/>
      <c r="AA966" s="412">
        <f t="shared" si="117"/>
        <v>1</v>
      </c>
      <c r="AB966" s="456">
        <f t="shared" si="118"/>
        <v>121.925</v>
      </c>
      <c r="AC966" s="456">
        <v>0</v>
      </c>
      <c r="AD966" s="2"/>
      <c r="AE966" s="4"/>
      <c r="AF966" s="5"/>
      <c r="AG966" s="428"/>
    </row>
    <row r="967" spans="2:33" hidden="1" x14ac:dyDescent="0.25">
      <c r="B967" s="1" t="s">
        <v>3045</v>
      </c>
      <c r="C967" s="3" t="s">
        <v>1368</v>
      </c>
      <c r="D967" s="3" t="s">
        <v>1247</v>
      </c>
      <c r="E967" s="407" t="s">
        <v>1379</v>
      </c>
      <c r="F967" s="3" t="s">
        <v>2354</v>
      </c>
      <c r="G967" s="407" t="s">
        <v>4502</v>
      </c>
      <c r="H967" s="440" t="s">
        <v>4109</v>
      </c>
      <c r="I967" s="407" t="s">
        <v>4323</v>
      </c>
      <c r="J967" s="407" t="s">
        <v>3750</v>
      </c>
      <c r="K967" s="387" t="s">
        <v>4632</v>
      </c>
      <c r="L967" s="387">
        <v>1</v>
      </c>
      <c r="M967" s="387">
        <v>0</v>
      </c>
      <c r="N967" s="387">
        <f t="shared" si="115"/>
        <v>1</v>
      </c>
      <c r="O967" s="442">
        <f t="shared" si="116"/>
        <v>1</v>
      </c>
      <c r="P967" s="387" t="s">
        <v>1358</v>
      </c>
      <c r="Q967" s="459">
        <v>0</v>
      </c>
      <c r="R967" s="459"/>
      <c r="S967" s="456">
        <v>0</v>
      </c>
      <c r="T967" s="456">
        <v>121.925</v>
      </c>
      <c r="U967" s="410"/>
      <c r="V967" s="411">
        <v>1</v>
      </c>
      <c r="W967" s="411">
        <v>1</v>
      </c>
      <c r="X967" s="411">
        <v>1</v>
      </c>
      <c r="Y967" s="411"/>
      <c r="Z967" s="411"/>
      <c r="AA967" s="412">
        <f t="shared" si="117"/>
        <v>1</v>
      </c>
      <c r="AB967" s="456">
        <f t="shared" si="118"/>
        <v>121.925</v>
      </c>
      <c r="AC967" s="456">
        <v>0</v>
      </c>
      <c r="AD967" s="2"/>
      <c r="AE967" s="4"/>
      <c r="AF967" s="5"/>
      <c r="AG967" s="428"/>
    </row>
    <row r="968" spans="2:33" hidden="1" x14ac:dyDescent="0.25">
      <c r="B968" s="1" t="s">
        <v>3046</v>
      </c>
      <c r="C968" s="3" t="s">
        <v>1368</v>
      </c>
      <c r="D968" s="3" t="s">
        <v>1247</v>
      </c>
      <c r="E968" s="407" t="s">
        <v>1381</v>
      </c>
      <c r="F968" s="3" t="s">
        <v>2355</v>
      </c>
      <c r="G968" s="407" t="s">
        <v>4497</v>
      </c>
      <c r="H968" s="440" t="s">
        <v>4109</v>
      </c>
      <c r="I968" s="407" t="s">
        <v>4318</v>
      </c>
      <c r="J968" s="407" t="s">
        <v>3751</v>
      </c>
      <c r="K968" s="387" t="s">
        <v>4631</v>
      </c>
      <c r="L968" s="387">
        <v>1</v>
      </c>
      <c r="M968" s="387">
        <v>0</v>
      </c>
      <c r="N968" s="387">
        <f t="shared" si="115"/>
        <v>1</v>
      </c>
      <c r="O968" s="442">
        <f t="shared" si="116"/>
        <v>1.0000000000000002</v>
      </c>
      <c r="P968" s="387" t="s">
        <v>1358</v>
      </c>
      <c r="Q968" s="459">
        <v>0</v>
      </c>
      <c r="R968" s="459"/>
      <c r="S968" s="456">
        <v>0</v>
      </c>
      <c r="T968" s="456">
        <v>121.718</v>
      </c>
      <c r="U968" s="410"/>
      <c r="V968" s="411">
        <v>1</v>
      </c>
      <c r="W968" s="411">
        <v>1</v>
      </c>
      <c r="X968" s="411">
        <v>1</v>
      </c>
      <c r="Y968" s="411"/>
      <c r="Z968" s="411"/>
      <c r="AA968" s="412">
        <f t="shared" si="117"/>
        <v>1.0000000000000002</v>
      </c>
      <c r="AB968" s="456">
        <f t="shared" si="118"/>
        <v>121.71800000000002</v>
      </c>
      <c r="AC968" s="456">
        <v>0</v>
      </c>
      <c r="AD968" s="2"/>
      <c r="AE968" s="4"/>
      <c r="AF968" s="5"/>
      <c r="AG968" s="428"/>
    </row>
    <row r="969" spans="2:33" hidden="1" x14ac:dyDescent="0.25">
      <c r="B969" s="1" t="s">
        <v>3047</v>
      </c>
      <c r="C969" s="3" t="s">
        <v>1368</v>
      </c>
      <c r="D969" s="3" t="s">
        <v>1247</v>
      </c>
      <c r="E969" s="407" t="s">
        <v>1396</v>
      </c>
      <c r="F969" s="3" t="s">
        <v>2356</v>
      </c>
      <c r="G969" s="407" t="s">
        <v>4498</v>
      </c>
      <c r="H969" s="440" t="s">
        <v>4109</v>
      </c>
      <c r="I969" s="407" t="s">
        <v>4319</v>
      </c>
      <c r="J969" s="407" t="s">
        <v>3752</v>
      </c>
      <c r="K969" s="387" t="s">
        <v>4652</v>
      </c>
      <c r="L969" s="387">
        <v>1</v>
      </c>
      <c r="M969" s="387">
        <v>0</v>
      </c>
      <c r="N969" s="387">
        <f t="shared" si="115"/>
        <v>1</v>
      </c>
      <c r="O969" s="442">
        <f t="shared" si="116"/>
        <v>1</v>
      </c>
      <c r="P969" s="387" t="s">
        <v>1358</v>
      </c>
      <c r="Q969" s="459">
        <v>0</v>
      </c>
      <c r="R969" s="459"/>
      <c r="S969" s="456">
        <v>0</v>
      </c>
      <c r="T969" s="456">
        <v>13.44</v>
      </c>
      <c r="U969" s="410"/>
      <c r="V969" s="411">
        <v>1</v>
      </c>
      <c r="W969" s="411">
        <v>1</v>
      </c>
      <c r="X969" s="411">
        <v>1</v>
      </c>
      <c r="Y969" s="411"/>
      <c r="Z969" s="411"/>
      <c r="AA969" s="412">
        <f t="shared" si="117"/>
        <v>1</v>
      </c>
      <c r="AB969" s="456">
        <f t="shared" si="118"/>
        <v>13.44</v>
      </c>
      <c r="AC969" s="456">
        <v>0</v>
      </c>
      <c r="AD969" s="2"/>
      <c r="AE969" s="4"/>
      <c r="AF969" s="5"/>
      <c r="AG969" s="428"/>
    </row>
    <row r="970" spans="2:33" hidden="1" x14ac:dyDescent="0.25">
      <c r="B970" s="1" t="s">
        <v>3048</v>
      </c>
      <c r="C970" s="3" t="s">
        <v>1368</v>
      </c>
      <c r="D970" s="3" t="s">
        <v>1247</v>
      </c>
      <c r="E970" s="407" t="s">
        <v>1399</v>
      </c>
      <c r="F970" s="3" t="s">
        <v>2357</v>
      </c>
      <c r="G970" s="407" t="s">
        <v>4499</v>
      </c>
      <c r="H970" s="440" t="s">
        <v>4109</v>
      </c>
      <c r="I970" s="407" t="s">
        <v>4320</v>
      </c>
      <c r="J970" s="407" t="s">
        <v>3758</v>
      </c>
      <c r="K970" s="387" t="s">
        <v>4653</v>
      </c>
      <c r="L970" s="387">
        <v>1</v>
      </c>
      <c r="M970" s="387">
        <v>0</v>
      </c>
      <c r="N970" s="387">
        <f t="shared" si="115"/>
        <v>1</v>
      </c>
      <c r="O970" s="442">
        <f t="shared" si="116"/>
        <v>1</v>
      </c>
      <c r="P970" s="387" t="s">
        <v>1358</v>
      </c>
      <c r="Q970" s="459">
        <v>0</v>
      </c>
      <c r="R970" s="459"/>
      <c r="S970" s="456">
        <v>0</v>
      </c>
      <c r="T970" s="456">
        <v>13.44</v>
      </c>
      <c r="U970" s="410"/>
      <c r="V970" s="411">
        <v>1</v>
      </c>
      <c r="W970" s="411">
        <v>1</v>
      </c>
      <c r="X970" s="411">
        <v>1</v>
      </c>
      <c r="Y970" s="411"/>
      <c r="Z970" s="411"/>
      <c r="AA970" s="412">
        <f t="shared" si="117"/>
        <v>1</v>
      </c>
      <c r="AB970" s="456">
        <f t="shared" si="118"/>
        <v>13.44</v>
      </c>
      <c r="AC970" s="456">
        <v>0</v>
      </c>
      <c r="AD970" s="2"/>
      <c r="AE970" s="4"/>
      <c r="AF970" s="5"/>
      <c r="AG970" s="428"/>
    </row>
    <row r="971" spans="2:33" hidden="1" x14ac:dyDescent="0.25">
      <c r="B971" s="1" t="s">
        <v>3049</v>
      </c>
      <c r="C971" s="3" t="s">
        <v>1368</v>
      </c>
      <c r="D971" s="3" t="s">
        <v>1247</v>
      </c>
      <c r="E971" s="407" t="s">
        <v>3306</v>
      </c>
      <c r="F971" s="3" t="s">
        <v>2358</v>
      </c>
      <c r="G971" s="407" t="s">
        <v>4484</v>
      </c>
      <c r="H971" s="440" t="s">
        <v>4109</v>
      </c>
      <c r="I971" s="407" t="s">
        <v>4305</v>
      </c>
      <c r="J971" s="407" t="s">
        <v>3786</v>
      </c>
      <c r="K971" s="387" t="s">
        <v>4636</v>
      </c>
      <c r="L971" s="387">
        <v>1</v>
      </c>
      <c r="M971" s="387">
        <v>0</v>
      </c>
      <c r="N971" s="387">
        <f t="shared" si="115"/>
        <v>1</v>
      </c>
      <c r="O971" s="442">
        <f t="shared" si="116"/>
        <v>0</v>
      </c>
      <c r="P971" s="387" t="s">
        <v>1358</v>
      </c>
      <c r="Q971" s="459">
        <v>0</v>
      </c>
      <c r="R971" s="459"/>
      <c r="S971" s="456">
        <v>0</v>
      </c>
      <c r="T971" s="456">
        <v>46.26</v>
      </c>
      <c r="U971" s="410"/>
      <c r="V971" s="411">
        <v>0</v>
      </c>
      <c r="W971" s="411">
        <v>0</v>
      </c>
      <c r="X971" s="411">
        <v>0</v>
      </c>
      <c r="Y971" s="411"/>
      <c r="Z971" s="411"/>
      <c r="AA971" s="412">
        <f t="shared" si="117"/>
        <v>0</v>
      </c>
      <c r="AB971" s="456">
        <f t="shared" si="118"/>
        <v>0</v>
      </c>
      <c r="AC971" s="456">
        <v>0</v>
      </c>
      <c r="AD971" s="2"/>
      <c r="AE971" s="4"/>
      <c r="AF971" s="5"/>
      <c r="AG971" s="428"/>
    </row>
    <row r="972" spans="2:33" hidden="1" x14ac:dyDescent="0.25">
      <c r="B972" s="1" t="s">
        <v>3050</v>
      </c>
      <c r="C972" s="3" t="s">
        <v>1368</v>
      </c>
      <c r="D972" s="3" t="s">
        <v>1247</v>
      </c>
      <c r="E972" s="407" t="s">
        <v>1432</v>
      </c>
      <c r="F972" s="3" t="s">
        <v>2359</v>
      </c>
      <c r="G972" s="407" t="s">
        <v>4483</v>
      </c>
      <c r="H972" s="440" t="s">
        <v>4109</v>
      </c>
      <c r="I972" s="407" t="s">
        <v>4304</v>
      </c>
      <c r="J972" s="407" t="s">
        <v>3785</v>
      </c>
      <c r="K972" s="387" t="s">
        <v>4635</v>
      </c>
      <c r="L972" s="387">
        <v>1</v>
      </c>
      <c r="M972" s="387">
        <v>0</v>
      </c>
      <c r="N972" s="387">
        <f t="shared" si="115"/>
        <v>1</v>
      </c>
      <c r="O972" s="442">
        <f t="shared" si="116"/>
        <v>0</v>
      </c>
      <c r="P972" s="387" t="s">
        <v>1358</v>
      </c>
      <c r="Q972" s="459">
        <v>0</v>
      </c>
      <c r="R972" s="459"/>
      <c r="S972" s="456">
        <v>0</v>
      </c>
      <c r="T972" s="456">
        <v>75.204999999999998</v>
      </c>
      <c r="U972" s="410"/>
      <c r="V972" s="411">
        <v>0</v>
      </c>
      <c r="W972" s="411">
        <v>0</v>
      </c>
      <c r="X972" s="411">
        <v>0</v>
      </c>
      <c r="Y972" s="411"/>
      <c r="Z972" s="411"/>
      <c r="AA972" s="412">
        <f t="shared" si="117"/>
        <v>0</v>
      </c>
      <c r="AB972" s="456">
        <f t="shared" si="118"/>
        <v>0</v>
      </c>
      <c r="AC972" s="456">
        <v>0</v>
      </c>
      <c r="AD972" s="2"/>
      <c r="AE972" s="4"/>
      <c r="AF972" s="5"/>
      <c r="AG972" s="428"/>
    </row>
    <row r="973" spans="2:33" hidden="1" x14ac:dyDescent="0.25">
      <c r="B973" s="1" t="s">
        <v>3051</v>
      </c>
      <c r="C973" s="3" t="s">
        <v>1368</v>
      </c>
      <c r="D973" s="3" t="s">
        <v>1247</v>
      </c>
      <c r="E973" s="407" t="s">
        <v>1433</v>
      </c>
      <c r="F973" s="3" t="s">
        <v>2360</v>
      </c>
      <c r="G973" s="407" t="s">
        <v>4490</v>
      </c>
      <c r="H973" s="440" t="s">
        <v>4109</v>
      </c>
      <c r="I973" s="407" t="s">
        <v>4311</v>
      </c>
      <c r="J973" s="407" t="s">
        <v>3792</v>
      </c>
      <c r="K973" s="387" t="s">
        <v>4644</v>
      </c>
      <c r="L973" s="387">
        <v>1</v>
      </c>
      <c r="M973" s="387">
        <v>0</v>
      </c>
      <c r="N973" s="387">
        <f t="shared" si="115"/>
        <v>1</v>
      </c>
      <c r="O973" s="442">
        <f t="shared" si="116"/>
        <v>0</v>
      </c>
      <c r="P973" s="387" t="s">
        <v>1358</v>
      </c>
      <c r="Q973" s="459">
        <v>0</v>
      </c>
      <c r="R973" s="459"/>
      <c r="S973" s="456">
        <v>0</v>
      </c>
      <c r="T973" s="456">
        <v>13.833</v>
      </c>
      <c r="U973" s="410"/>
      <c r="V973" s="411">
        <v>0</v>
      </c>
      <c r="W973" s="411">
        <v>0</v>
      </c>
      <c r="X973" s="411">
        <v>0</v>
      </c>
      <c r="Y973" s="411"/>
      <c r="Z973" s="411"/>
      <c r="AA973" s="412">
        <f t="shared" si="117"/>
        <v>0</v>
      </c>
      <c r="AB973" s="456">
        <f t="shared" si="118"/>
        <v>0</v>
      </c>
      <c r="AC973" s="456">
        <v>0</v>
      </c>
      <c r="AD973" s="2"/>
      <c r="AE973" s="4"/>
      <c r="AF973" s="5"/>
      <c r="AG973" s="428"/>
    </row>
    <row r="974" spans="2:33" hidden="1" x14ac:dyDescent="0.25">
      <c r="B974" s="1" t="s">
        <v>3052</v>
      </c>
      <c r="C974" s="3" t="s">
        <v>1368</v>
      </c>
      <c r="D974" s="3" t="s">
        <v>1247</v>
      </c>
      <c r="E974" s="407" t="s">
        <v>1430</v>
      </c>
      <c r="F974" s="3" t="s">
        <v>2361</v>
      </c>
      <c r="G974" s="407" t="s">
        <v>4488</v>
      </c>
      <c r="H974" s="440" t="s">
        <v>4109</v>
      </c>
      <c r="I974" s="407" t="s">
        <v>4309</v>
      </c>
      <c r="J974" s="407" t="s">
        <v>3790</v>
      </c>
      <c r="K974" s="387" t="s">
        <v>4641</v>
      </c>
      <c r="L974" s="387">
        <v>1</v>
      </c>
      <c r="M974" s="387">
        <v>0</v>
      </c>
      <c r="N974" s="387">
        <f t="shared" si="115"/>
        <v>1</v>
      </c>
      <c r="O974" s="442">
        <f t="shared" si="116"/>
        <v>0</v>
      </c>
      <c r="P974" s="387" t="s">
        <v>1358</v>
      </c>
      <c r="Q974" s="459">
        <v>0</v>
      </c>
      <c r="R974" s="459"/>
      <c r="S974" s="456">
        <v>0</v>
      </c>
      <c r="T974" s="456">
        <v>90.286000000000001</v>
      </c>
      <c r="U974" s="410"/>
      <c r="V974" s="411">
        <v>0</v>
      </c>
      <c r="W974" s="411">
        <v>0</v>
      </c>
      <c r="X974" s="411">
        <v>0</v>
      </c>
      <c r="Y974" s="411"/>
      <c r="Z974" s="411"/>
      <c r="AA974" s="412">
        <f t="shared" si="117"/>
        <v>0</v>
      </c>
      <c r="AB974" s="456">
        <f t="shared" si="118"/>
        <v>0</v>
      </c>
      <c r="AC974" s="456">
        <v>0</v>
      </c>
      <c r="AD974" s="2"/>
      <c r="AE974" s="4"/>
      <c r="AF974" s="5"/>
      <c r="AG974" s="428"/>
    </row>
    <row r="975" spans="2:33" hidden="1" x14ac:dyDescent="0.25">
      <c r="B975" s="1" t="s">
        <v>3053</v>
      </c>
      <c r="C975" s="3" t="s">
        <v>1368</v>
      </c>
      <c r="D975" s="3" t="s">
        <v>1247</v>
      </c>
      <c r="E975" s="407" t="s">
        <v>1431</v>
      </c>
      <c r="F975" s="3" t="s">
        <v>2362</v>
      </c>
      <c r="G975" s="407" t="s">
        <v>4489</v>
      </c>
      <c r="H975" s="440" t="s">
        <v>4109</v>
      </c>
      <c r="I975" s="407" t="s">
        <v>4310</v>
      </c>
      <c r="J975" s="407" t="s">
        <v>3791</v>
      </c>
      <c r="K975" s="387" t="s">
        <v>4642</v>
      </c>
      <c r="L975" s="387">
        <v>1</v>
      </c>
      <c r="M975" s="387">
        <v>0</v>
      </c>
      <c r="N975" s="387">
        <f t="shared" si="115"/>
        <v>1</v>
      </c>
      <c r="O975" s="442">
        <f t="shared" si="116"/>
        <v>0</v>
      </c>
      <c r="P975" s="387" t="s">
        <v>1358</v>
      </c>
      <c r="Q975" s="459">
        <v>0</v>
      </c>
      <c r="R975" s="459"/>
      <c r="S975" s="456">
        <v>0</v>
      </c>
      <c r="T975" s="456">
        <v>75.204999999999998</v>
      </c>
      <c r="U975" s="410"/>
      <c r="V975" s="411">
        <v>0</v>
      </c>
      <c r="W975" s="411">
        <v>0</v>
      </c>
      <c r="X975" s="411">
        <v>0</v>
      </c>
      <c r="Y975" s="411"/>
      <c r="Z975" s="411"/>
      <c r="AA975" s="412">
        <f t="shared" si="117"/>
        <v>0</v>
      </c>
      <c r="AB975" s="456">
        <f t="shared" si="118"/>
        <v>0</v>
      </c>
      <c r="AC975" s="456">
        <v>0</v>
      </c>
      <c r="AD975" s="2"/>
      <c r="AE975" s="4"/>
      <c r="AF975" s="5"/>
      <c r="AG975" s="428"/>
    </row>
    <row r="976" spans="2:33" hidden="1" x14ac:dyDescent="0.25">
      <c r="B976" s="1" t="s">
        <v>3054</v>
      </c>
      <c r="C976" s="3" t="s">
        <v>1368</v>
      </c>
      <c r="D976" s="3" t="s">
        <v>1247</v>
      </c>
      <c r="E976" s="407" t="s">
        <v>3546</v>
      </c>
      <c r="F976" s="3" t="s">
        <v>2363</v>
      </c>
      <c r="G976" s="407" t="s">
        <v>4482</v>
      </c>
      <c r="H976" s="440" t="s">
        <v>4109</v>
      </c>
      <c r="I976" s="407" t="s">
        <v>4303</v>
      </c>
      <c r="J976" s="407" t="s">
        <v>3784</v>
      </c>
      <c r="K976" s="387" t="s">
        <v>4660</v>
      </c>
      <c r="L976" s="387">
        <v>1</v>
      </c>
      <c r="M976" s="387">
        <v>0</v>
      </c>
      <c r="N976" s="387">
        <f t="shared" si="115"/>
        <v>1</v>
      </c>
      <c r="O976" s="442">
        <f t="shared" si="116"/>
        <v>0</v>
      </c>
      <c r="P976" s="387" t="s">
        <v>1358</v>
      </c>
      <c r="Q976" s="459">
        <v>0</v>
      </c>
      <c r="R976" s="459"/>
      <c r="S976" s="456">
        <v>0</v>
      </c>
      <c r="T976" s="456">
        <v>2.1480000000000001</v>
      </c>
      <c r="U976" s="410"/>
      <c r="V976" s="411">
        <v>0</v>
      </c>
      <c r="W976" s="411">
        <v>0</v>
      </c>
      <c r="X976" s="411">
        <v>0</v>
      </c>
      <c r="Y976" s="411"/>
      <c r="Z976" s="411"/>
      <c r="AA976" s="412">
        <f t="shared" si="117"/>
        <v>0</v>
      </c>
      <c r="AB976" s="456">
        <f t="shared" si="118"/>
        <v>0</v>
      </c>
      <c r="AC976" s="456">
        <v>0</v>
      </c>
      <c r="AD976" s="2"/>
      <c r="AE976" s="4"/>
      <c r="AF976" s="5"/>
      <c r="AG976" s="428"/>
    </row>
    <row r="977" spans="2:33" hidden="1" x14ac:dyDescent="0.25">
      <c r="B977" s="1" t="s">
        <v>3055</v>
      </c>
      <c r="C977" s="3" t="s">
        <v>1368</v>
      </c>
      <c r="D977" s="3" t="s">
        <v>1247</v>
      </c>
      <c r="E977" s="407" t="s">
        <v>3547</v>
      </c>
      <c r="F977" s="3" t="s">
        <v>2364</v>
      </c>
      <c r="G977" s="407" t="s">
        <v>4501</v>
      </c>
      <c r="H977" s="440" t="s">
        <v>4109</v>
      </c>
      <c r="I977" s="407" t="s">
        <v>4322</v>
      </c>
      <c r="J977" s="407" t="s">
        <v>3797</v>
      </c>
      <c r="K977" s="387" t="s">
        <v>4655</v>
      </c>
      <c r="L977" s="387">
        <v>1</v>
      </c>
      <c r="M977" s="387">
        <v>0</v>
      </c>
      <c r="N977" s="387">
        <f t="shared" si="115"/>
        <v>1</v>
      </c>
      <c r="O977" s="442">
        <f t="shared" si="116"/>
        <v>0</v>
      </c>
      <c r="P977" s="387" t="s">
        <v>1358</v>
      </c>
      <c r="Q977" s="459">
        <v>0</v>
      </c>
      <c r="R977" s="459"/>
      <c r="S977" s="456">
        <v>0</v>
      </c>
      <c r="T977" s="456">
        <v>2.1480000000000001</v>
      </c>
      <c r="U977" s="410"/>
      <c r="V977" s="411">
        <v>0</v>
      </c>
      <c r="W977" s="411">
        <v>0</v>
      </c>
      <c r="X977" s="411">
        <v>0</v>
      </c>
      <c r="Y977" s="411"/>
      <c r="Z977" s="411"/>
      <c r="AA977" s="412">
        <f t="shared" si="117"/>
        <v>0</v>
      </c>
      <c r="AB977" s="456">
        <f t="shared" si="118"/>
        <v>0</v>
      </c>
      <c r="AC977" s="456">
        <v>0</v>
      </c>
      <c r="AD977" s="2"/>
      <c r="AE977" s="4"/>
      <c r="AF977" s="5"/>
      <c r="AG977" s="428"/>
    </row>
    <row r="978" spans="2:33" hidden="1" x14ac:dyDescent="0.25">
      <c r="B978" s="1" t="s">
        <v>3056</v>
      </c>
      <c r="C978" s="3" t="s">
        <v>1368</v>
      </c>
      <c r="D978" s="3" t="s">
        <v>1247</v>
      </c>
      <c r="E978" s="407" t="s">
        <v>1433</v>
      </c>
      <c r="F978" s="3" t="s">
        <v>2365</v>
      </c>
      <c r="G978" s="407" t="s">
        <v>4490</v>
      </c>
      <c r="H978" s="440" t="s">
        <v>4109</v>
      </c>
      <c r="I978" s="407" t="s">
        <v>4311</v>
      </c>
      <c r="J978" s="407" t="s">
        <v>3792</v>
      </c>
      <c r="K978" s="387" t="s">
        <v>4644</v>
      </c>
      <c r="L978" s="387">
        <v>2</v>
      </c>
      <c r="M978" s="387">
        <v>0</v>
      </c>
      <c r="N978" s="387">
        <f t="shared" si="115"/>
        <v>2</v>
      </c>
      <c r="O978" s="442">
        <f t="shared" si="116"/>
        <v>0</v>
      </c>
      <c r="P978" s="387" t="s">
        <v>1358</v>
      </c>
      <c r="Q978" s="459">
        <v>0</v>
      </c>
      <c r="R978" s="459"/>
      <c r="S978" s="456">
        <v>0</v>
      </c>
      <c r="T978" s="456">
        <v>39.878</v>
      </c>
      <c r="U978" s="410"/>
      <c r="V978" s="411">
        <v>0</v>
      </c>
      <c r="W978" s="411">
        <v>0</v>
      </c>
      <c r="X978" s="411">
        <v>0</v>
      </c>
      <c r="Y978" s="411"/>
      <c r="Z978" s="411"/>
      <c r="AA978" s="412">
        <f t="shared" si="117"/>
        <v>0</v>
      </c>
      <c r="AB978" s="456">
        <f t="shared" si="118"/>
        <v>0</v>
      </c>
      <c r="AC978" s="456">
        <v>0</v>
      </c>
      <c r="AD978" s="2"/>
      <c r="AE978" s="4"/>
      <c r="AF978" s="5"/>
      <c r="AG978" s="428"/>
    </row>
    <row r="979" spans="2:33" hidden="1" x14ac:dyDescent="0.25">
      <c r="B979" s="1" t="s">
        <v>3057</v>
      </c>
      <c r="C979" s="3" t="s">
        <v>1368</v>
      </c>
      <c r="D979" s="3" t="s">
        <v>1247</v>
      </c>
      <c r="E979" s="407" t="s">
        <v>3306</v>
      </c>
      <c r="F979" s="3" t="s">
        <v>2366</v>
      </c>
      <c r="G979" s="407" t="s">
        <v>4484</v>
      </c>
      <c r="H979" s="440" t="s">
        <v>4109</v>
      </c>
      <c r="I979" s="407" t="s">
        <v>4305</v>
      </c>
      <c r="J979" s="407" t="s">
        <v>3786</v>
      </c>
      <c r="K979" s="387" t="s">
        <v>4636</v>
      </c>
      <c r="L979" s="387">
        <v>1</v>
      </c>
      <c r="M979" s="387">
        <v>0</v>
      </c>
      <c r="N979" s="387">
        <f t="shared" si="115"/>
        <v>1</v>
      </c>
      <c r="O979" s="442">
        <f t="shared" si="116"/>
        <v>0</v>
      </c>
      <c r="P979" s="387" t="s">
        <v>1358</v>
      </c>
      <c r="Q979" s="459">
        <v>0</v>
      </c>
      <c r="R979" s="459"/>
      <c r="S979" s="456">
        <v>0</v>
      </c>
      <c r="T979" s="456">
        <v>19.376000000000001</v>
      </c>
      <c r="U979" s="410"/>
      <c r="V979" s="411">
        <v>0</v>
      </c>
      <c r="W979" s="411">
        <v>0</v>
      </c>
      <c r="X979" s="411">
        <v>0</v>
      </c>
      <c r="Y979" s="411"/>
      <c r="Z979" s="411"/>
      <c r="AA979" s="412">
        <f t="shared" si="117"/>
        <v>0</v>
      </c>
      <c r="AB979" s="456">
        <f t="shared" si="118"/>
        <v>0</v>
      </c>
      <c r="AC979" s="456">
        <v>0</v>
      </c>
      <c r="AD979" s="2"/>
      <c r="AE979" s="4"/>
      <c r="AF979" s="5"/>
      <c r="AG979" s="428"/>
    </row>
    <row r="980" spans="2:33" hidden="1" x14ac:dyDescent="0.25">
      <c r="B980" s="1" t="s">
        <v>3058</v>
      </c>
      <c r="C980" s="3" t="s">
        <v>1368</v>
      </c>
      <c r="D980" s="3" t="s">
        <v>1247</v>
      </c>
      <c r="E980" s="407" t="s">
        <v>1397</v>
      </c>
      <c r="F980" s="3" t="s">
        <v>2367</v>
      </c>
      <c r="G980" s="407" t="s">
        <v>4493</v>
      </c>
      <c r="H980" s="440" t="s">
        <v>4109</v>
      </c>
      <c r="I980" s="407" t="s">
        <v>4314</v>
      </c>
      <c r="J980" s="407" t="s">
        <v>3795</v>
      </c>
      <c r="K980" s="387" t="s">
        <v>4647</v>
      </c>
      <c r="L980" s="387">
        <v>1</v>
      </c>
      <c r="M980" s="387">
        <v>0</v>
      </c>
      <c r="N980" s="387">
        <f t="shared" si="115"/>
        <v>1</v>
      </c>
      <c r="O980" s="442">
        <f t="shared" si="116"/>
        <v>0</v>
      </c>
      <c r="P980" s="387" t="s">
        <v>1358</v>
      </c>
      <c r="Q980" s="459">
        <v>0</v>
      </c>
      <c r="R980" s="459"/>
      <c r="S980" s="456">
        <v>0</v>
      </c>
      <c r="T980" s="456">
        <v>2.149</v>
      </c>
      <c r="U980" s="410"/>
      <c r="V980" s="411">
        <v>0</v>
      </c>
      <c r="W980" s="411">
        <v>0</v>
      </c>
      <c r="X980" s="411">
        <v>0</v>
      </c>
      <c r="Y980" s="411"/>
      <c r="Z980" s="411"/>
      <c r="AA980" s="412">
        <f t="shared" si="117"/>
        <v>0</v>
      </c>
      <c r="AB980" s="456">
        <f t="shared" si="118"/>
        <v>0</v>
      </c>
      <c r="AC980" s="456">
        <v>0</v>
      </c>
      <c r="AD980" s="2"/>
      <c r="AE980" s="4"/>
      <c r="AF980" s="5"/>
      <c r="AG980" s="428"/>
    </row>
    <row r="981" spans="2:33" hidden="1" x14ac:dyDescent="0.25">
      <c r="B981" s="1" t="s">
        <v>3059</v>
      </c>
      <c r="C981" s="3" t="s">
        <v>1368</v>
      </c>
      <c r="D981" s="3" t="s">
        <v>1247</v>
      </c>
      <c r="E981" s="407" t="s">
        <v>1398</v>
      </c>
      <c r="F981" s="3" t="s">
        <v>2368</v>
      </c>
      <c r="G981" s="407" t="s">
        <v>4496</v>
      </c>
      <c r="H981" s="440" t="s">
        <v>4109</v>
      </c>
      <c r="I981" s="407" t="s">
        <v>4317</v>
      </c>
      <c r="J981" s="407" t="s">
        <v>3796</v>
      </c>
      <c r="K981" s="387" t="s">
        <v>4650</v>
      </c>
      <c r="L981" s="387">
        <v>1</v>
      </c>
      <c r="M981" s="387">
        <v>0</v>
      </c>
      <c r="N981" s="387">
        <f t="shared" si="115"/>
        <v>1</v>
      </c>
      <c r="O981" s="442">
        <f t="shared" si="116"/>
        <v>1</v>
      </c>
      <c r="P981" s="387" t="s">
        <v>1358</v>
      </c>
      <c r="Q981" s="459">
        <v>0</v>
      </c>
      <c r="R981" s="459"/>
      <c r="S981" s="456">
        <v>0</v>
      </c>
      <c r="T981" s="456">
        <v>2.0619999999999998</v>
      </c>
      <c r="U981" s="410"/>
      <c r="V981" s="411">
        <v>1</v>
      </c>
      <c r="W981" s="411">
        <v>1</v>
      </c>
      <c r="X981" s="411">
        <v>1</v>
      </c>
      <c r="Y981" s="411"/>
      <c r="Z981" s="411"/>
      <c r="AA981" s="412">
        <f t="shared" si="117"/>
        <v>1</v>
      </c>
      <c r="AB981" s="456">
        <f t="shared" si="118"/>
        <v>2.0619999999999998</v>
      </c>
      <c r="AC981" s="456">
        <v>0</v>
      </c>
      <c r="AD981" s="2"/>
      <c r="AE981" s="4"/>
      <c r="AF981" s="5"/>
      <c r="AG981" s="428"/>
    </row>
    <row r="982" spans="2:33" hidden="1" x14ac:dyDescent="0.25">
      <c r="B982" s="1" t="s">
        <v>3060</v>
      </c>
      <c r="C982" s="3" t="s">
        <v>1368</v>
      </c>
      <c r="D982" s="3" t="s">
        <v>1247</v>
      </c>
      <c r="E982" s="407" t="s">
        <v>1374</v>
      </c>
      <c r="F982" s="3" t="s">
        <v>2369</v>
      </c>
      <c r="G982" s="407" t="s">
        <v>4495</v>
      </c>
      <c r="H982" s="440" t="s">
        <v>4109</v>
      </c>
      <c r="I982" s="407" t="s">
        <v>4316</v>
      </c>
      <c r="J982" s="407" t="s">
        <v>3757</v>
      </c>
      <c r="K982" s="387" t="s">
        <v>4649</v>
      </c>
      <c r="L982" s="387">
        <v>1</v>
      </c>
      <c r="M982" s="387">
        <v>0</v>
      </c>
      <c r="N982" s="387">
        <f t="shared" si="115"/>
        <v>1</v>
      </c>
      <c r="O982" s="442">
        <f t="shared" si="116"/>
        <v>0</v>
      </c>
      <c r="P982" s="387" t="s">
        <v>1358</v>
      </c>
      <c r="Q982" s="459">
        <v>0</v>
      </c>
      <c r="R982" s="459"/>
      <c r="S982" s="456">
        <v>0</v>
      </c>
      <c r="T982" s="456">
        <v>2.0619999999999998</v>
      </c>
      <c r="U982" s="410"/>
      <c r="V982" s="411">
        <v>0</v>
      </c>
      <c r="W982" s="411">
        <v>0</v>
      </c>
      <c r="X982" s="411">
        <v>0</v>
      </c>
      <c r="Y982" s="411"/>
      <c r="Z982" s="411"/>
      <c r="AA982" s="412">
        <f t="shared" si="117"/>
        <v>0</v>
      </c>
      <c r="AB982" s="456">
        <f t="shared" si="118"/>
        <v>0</v>
      </c>
      <c r="AC982" s="456">
        <v>0</v>
      </c>
      <c r="AD982" s="2"/>
      <c r="AE982" s="4"/>
      <c r="AF982" s="5"/>
      <c r="AG982" s="428"/>
    </row>
    <row r="983" spans="2:33" hidden="1" x14ac:dyDescent="0.25">
      <c r="B983" s="1" t="s">
        <v>3061</v>
      </c>
      <c r="C983" s="3" t="s">
        <v>1368</v>
      </c>
      <c r="D983" s="3" t="s">
        <v>1247</v>
      </c>
      <c r="E983" s="407" t="s">
        <v>1377</v>
      </c>
      <c r="F983" s="3" t="s">
        <v>2370</v>
      </c>
      <c r="G983" s="407" t="s">
        <v>4494</v>
      </c>
      <c r="H983" s="440" t="s">
        <v>4109</v>
      </c>
      <c r="I983" s="407" t="s">
        <v>4315</v>
      </c>
      <c r="J983" s="407" t="s">
        <v>3749</v>
      </c>
      <c r="K983" s="387" t="s">
        <v>4648</v>
      </c>
      <c r="L983" s="387">
        <v>1</v>
      </c>
      <c r="M983" s="387">
        <v>0</v>
      </c>
      <c r="N983" s="387">
        <f t="shared" si="115"/>
        <v>1</v>
      </c>
      <c r="O983" s="442">
        <f t="shared" si="116"/>
        <v>0</v>
      </c>
      <c r="P983" s="387" t="s">
        <v>1358</v>
      </c>
      <c r="Q983" s="459">
        <v>0</v>
      </c>
      <c r="R983" s="459"/>
      <c r="S983" s="456">
        <v>0</v>
      </c>
      <c r="T983" s="456">
        <v>2.0619999999999998</v>
      </c>
      <c r="U983" s="410"/>
      <c r="V983" s="411">
        <v>0</v>
      </c>
      <c r="W983" s="411">
        <v>0</v>
      </c>
      <c r="X983" s="411">
        <v>0</v>
      </c>
      <c r="Y983" s="411"/>
      <c r="Z983" s="411"/>
      <c r="AA983" s="412">
        <f t="shared" si="117"/>
        <v>0</v>
      </c>
      <c r="AB983" s="456">
        <f t="shared" si="118"/>
        <v>0</v>
      </c>
      <c r="AC983" s="456">
        <v>0</v>
      </c>
      <c r="AD983" s="2"/>
      <c r="AE983" s="4"/>
      <c r="AF983" s="5"/>
      <c r="AG983" s="428"/>
    </row>
    <row r="984" spans="2:33" hidden="1" x14ac:dyDescent="0.25">
      <c r="B984" s="1" t="s">
        <v>3062</v>
      </c>
      <c r="C984" s="3" t="s">
        <v>1368</v>
      </c>
      <c r="D984" s="3" t="s">
        <v>1247</v>
      </c>
      <c r="E984" s="407" t="s">
        <v>1379</v>
      </c>
      <c r="F984" s="3" t="s">
        <v>2371</v>
      </c>
      <c r="G984" s="407" t="s">
        <v>4502</v>
      </c>
      <c r="H984" s="440" t="s">
        <v>4109</v>
      </c>
      <c r="I984" s="407" t="s">
        <v>4323</v>
      </c>
      <c r="J984" s="407" t="s">
        <v>3750</v>
      </c>
      <c r="K984" s="387" t="s">
        <v>4632</v>
      </c>
      <c r="L984" s="387">
        <v>1</v>
      </c>
      <c r="M984" s="387">
        <v>0</v>
      </c>
      <c r="N984" s="387">
        <f t="shared" si="115"/>
        <v>1</v>
      </c>
      <c r="O984" s="442">
        <f t="shared" si="116"/>
        <v>0</v>
      </c>
      <c r="P984" s="387" t="s">
        <v>1358</v>
      </c>
      <c r="Q984" s="459">
        <v>0</v>
      </c>
      <c r="R984" s="459"/>
      <c r="S984" s="456">
        <v>0</v>
      </c>
      <c r="T984" s="456">
        <v>2.0619999999999998</v>
      </c>
      <c r="U984" s="410"/>
      <c r="V984" s="411">
        <v>0</v>
      </c>
      <c r="W984" s="411">
        <v>0</v>
      </c>
      <c r="X984" s="411">
        <v>0</v>
      </c>
      <c r="Y984" s="411"/>
      <c r="Z984" s="411"/>
      <c r="AA984" s="412">
        <f t="shared" si="117"/>
        <v>0</v>
      </c>
      <c r="AB984" s="456">
        <f t="shared" si="118"/>
        <v>0</v>
      </c>
      <c r="AC984" s="456">
        <v>0</v>
      </c>
      <c r="AD984" s="2"/>
      <c r="AE984" s="4"/>
      <c r="AF984" s="5"/>
      <c r="AG984" s="428"/>
    </row>
    <row r="985" spans="2:33" hidden="1" x14ac:dyDescent="0.25">
      <c r="B985" s="1" t="s">
        <v>3063</v>
      </c>
      <c r="C985" s="3" t="s">
        <v>1368</v>
      </c>
      <c r="D985" s="3" t="s">
        <v>1247</v>
      </c>
      <c r="E985" s="407" t="s">
        <v>1381</v>
      </c>
      <c r="F985" s="3" t="s">
        <v>2372</v>
      </c>
      <c r="G985" s="407" t="s">
        <v>4497</v>
      </c>
      <c r="H985" s="440" t="s">
        <v>4109</v>
      </c>
      <c r="I985" s="407" t="s">
        <v>4318</v>
      </c>
      <c r="J985" s="407" t="s">
        <v>3751</v>
      </c>
      <c r="K985" s="387" t="s">
        <v>4631</v>
      </c>
      <c r="L985" s="387">
        <v>1</v>
      </c>
      <c r="M985" s="387">
        <v>0</v>
      </c>
      <c r="N985" s="387">
        <f t="shared" si="115"/>
        <v>1</v>
      </c>
      <c r="O985" s="442">
        <f t="shared" si="116"/>
        <v>0</v>
      </c>
      <c r="P985" s="387" t="s">
        <v>1358</v>
      </c>
      <c r="Q985" s="459">
        <v>0</v>
      </c>
      <c r="R985" s="459"/>
      <c r="S985" s="456">
        <v>0</v>
      </c>
      <c r="T985" s="456">
        <v>2.0619999999999998</v>
      </c>
      <c r="U985" s="410"/>
      <c r="V985" s="411">
        <v>0</v>
      </c>
      <c r="W985" s="411">
        <v>0</v>
      </c>
      <c r="X985" s="411">
        <v>0</v>
      </c>
      <c r="Y985" s="411"/>
      <c r="Z985" s="411"/>
      <c r="AA985" s="412">
        <f t="shared" si="117"/>
        <v>0</v>
      </c>
      <c r="AB985" s="456">
        <f t="shared" si="118"/>
        <v>0</v>
      </c>
      <c r="AC985" s="456">
        <v>0</v>
      </c>
      <c r="AD985" s="2"/>
      <c r="AE985" s="4"/>
      <c r="AF985" s="5"/>
      <c r="AG985" s="428"/>
    </row>
    <row r="986" spans="2:33" hidden="1" x14ac:dyDescent="0.25">
      <c r="B986" s="1" t="s">
        <v>3064</v>
      </c>
      <c r="C986" s="3" t="s">
        <v>1368</v>
      </c>
      <c r="D986" s="3" t="s">
        <v>1247</v>
      </c>
      <c r="E986" s="407" t="s">
        <v>1396</v>
      </c>
      <c r="F986" s="3" t="s">
        <v>2373</v>
      </c>
      <c r="G986" s="407" t="s">
        <v>4498</v>
      </c>
      <c r="H986" s="440" t="s">
        <v>4109</v>
      </c>
      <c r="I986" s="407" t="s">
        <v>4319</v>
      </c>
      <c r="J986" s="407" t="s">
        <v>3752</v>
      </c>
      <c r="K986" s="387" t="s">
        <v>4652</v>
      </c>
      <c r="L986" s="387">
        <v>1</v>
      </c>
      <c r="M986" s="387">
        <v>0</v>
      </c>
      <c r="N986" s="387">
        <f t="shared" si="115"/>
        <v>1</v>
      </c>
      <c r="O986" s="442">
        <f t="shared" si="116"/>
        <v>1</v>
      </c>
      <c r="P986" s="387" t="s">
        <v>1358</v>
      </c>
      <c r="Q986" s="459">
        <v>0</v>
      </c>
      <c r="R986" s="459"/>
      <c r="S986" s="456">
        <v>0</v>
      </c>
      <c r="T986" s="456">
        <v>2.0619999999999998</v>
      </c>
      <c r="U986" s="410"/>
      <c r="V986" s="411">
        <v>1</v>
      </c>
      <c r="W986" s="411">
        <v>1</v>
      </c>
      <c r="X986" s="411">
        <v>1</v>
      </c>
      <c r="Y986" s="411"/>
      <c r="Z986" s="411"/>
      <c r="AA986" s="412">
        <f t="shared" si="117"/>
        <v>1</v>
      </c>
      <c r="AB986" s="456">
        <f t="shared" si="118"/>
        <v>2.0619999999999998</v>
      </c>
      <c r="AC986" s="456">
        <v>0</v>
      </c>
      <c r="AD986" s="2"/>
      <c r="AE986" s="4"/>
      <c r="AF986" s="5"/>
      <c r="AG986" s="428"/>
    </row>
    <row r="987" spans="2:33" hidden="1" x14ac:dyDescent="0.25">
      <c r="B987" s="1" t="s">
        <v>3065</v>
      </c>
      <c r="C987" s="3" t="s">
        <v>1368</v>
      </c>
      <c r="D987" s="3" t="s">
        <v>1247</v>
      </c>
      <c r="E987" s="407" t="s">
        <v>1399</v>
      </c>
      <c r="F987" s="3" t="s">
        <v>5236</v>
      </c>
      <c r="G987" s="407" t="s">
        <v>4499</v>
      </c>
      <c r="H987" s="440" t="s">
        <v>4109</v>
      </c>
      <c r="I987" s="407" t="s">
        <v>4320</v>
      </c>
      <c r="J987" s="407" t="s">
        <v>3758</v>
      </c>
      <c r="K987" s="387" t="s">
        <v>4653</v>
      </c>
      <c r="L987" s="387">
        <v>1</v>
      </c>
      <c r="M987" s="387">
        <v>0</v>
      </c>
      <c r="N987" s="387">
        <f t="shared" si="115"/>
        <v>1</v>
      </c>
      <c r="O987" s="442">
        <f t="shared" si="116"/>
        <v>1</v>
      </c>
      <c r="P987" s="387" t="s">
        <v>1358</v>
      </c>
      <c r="Q987" s="459">
        <v>0</v>
      </c>
      <c r="R987" s="459"/>
      <c r="S987" s="456">
        <v>0</v>
      </c>
      <c r="T987" s="456">
        <v>2.0619999999999998</v>
      </c>
      <c r="U987" s="410"/>
      <c r="V987" s="411">
        <v>1</v>
      </c>
      <c r="W987" s="411">
        <v>1</v>
      </c>
      <c r="X987" s="411">
        <v>1</v>
      </c>
      <c r="Y987" s="411"/>
      <c r="Z987" s="411"/>
      <c r="AA987" s="412">
        <f t="shared" si="117"/>
        <v>1</v>
      </c>
      <c r="AB987" s="456">
        <f t="shared" si="118"/>
        <v>2.0619999999999998</v>
      </c>
      <c r="AC987" s="456">
        <v>0</v>
      </c>
      <c r="AD987" s="2"/>
      <c r="AE987" s="4"/>
      <c r="AF987" s="5"/>
      <c r="AG987" s="428"/>
    </row>
    <row r="988" spans="2:33" hidden="1" x14ac:dyDescent="0.25">
      <c r="B988" s="1" t="s">
        <v>3066</v>
      </c>
      <c r="C988" s="3" t="s">
        <v>1368</v>
      </c>
      <c r="D988" s="3" t="s">
        <v>1247</v>
      </c>
      <c r="E988" s="407" t="s">
        <v>1400</v>
      </c>
      <c r="F988" s="3" t="s">
        <v>2374</v>
      </c>
      <c r="G988" s="407" t="s">
        <v>4477</v>
      </c>
      <c r="H988" s="440" t="s">
        <v>4109</v>
      </c>
      <c r="I988" s="407" t="s">
        <v>4298</v>
      </c>
      <c r="J988" s="407" t="s">
        <v>3779</v>
      </c>
      <c r="K988" s="387" t="s">
        <v>4656</v>
      </c>
      <c r="L988" s="387">
        <v>1</v>
      </c>
      <c r="M988" s="387">
        <v>0</v>
      </c>
      <c r="N988" s="387">
        <f t="shared" si="115"/>
        <v>1</v>
      </c>
      <c r="O988" s="442">
        <f t="shared" si="116"/>
        <v>0</v>
      </c>
      <c r="P988" s="387" t="s">
        <v>1358</v>
      </c>
      <c r="Q988" s="459">
        <v>0</v>
      </c>
      <c r="R988" s="459"/>
      <c r="S988" s="456">
        <v>0</v>
      </c>
      <c r="T988" s="456">
        <v>2.0619999999999998</v>
      </c>
      <c r="U988" s="410"/>
      <c r="V988" s="411">
        <v>0</v>
      </c>
      <c r="W988" s="411">
        <v>0</v>
      </c>
      <c r="X988" s="411">
        <v>0</v>
      </c>
      <c r="Y988" s="411"/>
      <c r="Z988" s="411"/>
      <c r="AA988" s="412">
        <f t="shared" si="117"/>
        <v>0</v>
      </c>
      <c r="AB988" s="456">
        <f t="shared" si="118"/>
        <v>0</v>
      </c>
      <c r="AC988" s="456">
        <v>0</v>
      </c>
      <c r="AD988" s="2"/>
      <c r="AE988" s="4"/>
      <c r="AF988" s="5"/>
      <c r="AG988" s="428"/>
    </row>
    <row r="989" spans="2:33" hidden="1" x14ac:dyDescent="0.25">
      <c r="B989" s="1" t="s">
        <v>3067</v>
      </c>
      <c r="C989" s="3" t="s">
        <v>1368</v>
      </c>
      <c r="D989" s="3" t="s">
        <v>1247</v>
      </c>
      <c r="E989" s="407" t="s">
        <v>1401</v>
      </c>
      <c r="F989" s="3" t="s">
        <v>2375</v>
      </c>
      <c r="G989" s="407" t="s">
        <v>4478</v>
      </c>
      <c r="H989" s="440" t="s">
        <v>4109</v>
      </c>
      <c r="I989" s="407" t="s">
        <v>4299</v>
      </c>
      <c r="J989" s="407" t="s">
        <v>3780</v>
      </c>
      <c r="K989" s="387" t="s">
        <v>4657</v>
      </c>
      <c r="L989" s="387">
        <v>1</v>
      </c>
      <c r="M989" s="387">
        <v>0</v>
      </c>
      <c r="N989" s="387">
        <f t="shared" si="115"/>
        <v>1</v>
      </c>
      <c r="O989" s="442">
        <f t="shared" si="116"/>
        <v>0</v>
      </c>
      <c r="P989" s="387" t="s">
        <v>1358</v>
      </c>
      <c r="Q989" s="459">
        <v>0</v>
      </c>
      <c r="R989" s="459"/>
      <c r="S989" s="456">
        <v>0</v>
      </c>
      <c r="T989" s="456">
        <v>2.0609999999999999</v>
      </c>
      <c r="U989" s="410"/>
      <c r="V989" s="411">
        <v>0</v>
      </c>
      <c r="W989" s="411">
        <v>0</v>
      </c>
      <c r="X989" s="411">
        <v>0</v>
      </c>
      <c r="Y989" s="411"/>
      <c r="Z989" s="411"/>
      <c r="AA989" s="412">
        <f t="shared" si="117"/>
        <v>0</v>
      </c>
      <c r="AB989" s="456">
        <f t="shared" si="118"/>
        <v>0</v>
      </c>
      <c r="AC989" s="456">
        <v>0</v>
      </c>
      <c r="AD989" s="2"/>
      <c r="AE989" s="4"/>
      <c r="AF989" s="5"/>
      <c r="AG989" s="428"/>
    </row>
    <row r="990" spans="2:33" hidden="1" x14ac:dyDescent="0.25">
      <c r="B990" s="1" t="s">
        <v>3068</v>
      </c>
      <c r="C990" s="3" t="s">
        <v>1368</v>
      </c>
      <c r="D990" s="3" t="s">
        <v>1247</v>
      </c>
      <c r="E990" s="407" t="s">
        <v>1402</v>
      </c>
      <c r="F990" s="3" t="s">
        <v>2376</v>
      </c>
      <c r="G990" s="407" t="s">
        <v>4481</v>
      </c>
      <c r="H990" s="440" t="s">
        <v>4109</v>
      </c>
      <c r="I990" s="407" t="s">
        <v>4302</v>
      </c>
      <c r="J990" s="407" t="s">
        <v>3783</v>
      </c>
      <c r="K990" s="387" t="s">
        <v>4659</v>
      </c>
      <c r="L990" s="387">
        <v>1</v>
      </c>
      <c r="M990" s="387">
        <v>0</v>
      </c>
      <c r="N990" s="387">
        <f t="shared" si="115"/>
        <v>1</v>
      </c>
      <c r="O990" s="442">
        <f t="shared" si="116"/>
        <v>0</v>
      </c>
      <c r="P990" s="387" t="s">
        <v>1358</v>
      </c>
      <c r="Q990" s="459">
        <v>0</v>
      </c>
      <c r="R990" s="459"/>
      <c r="S990" s="456">
        <v>0</v>
      </c>
      <c r="T990" s="456">
        <v>2.1480000000000001</v>
      </c>
      <c r="U990" s="410"/>
      <c r="V990" s="411">
        <v>0</v>
      </c>
      <c r="W990" s="411">
        <v>0</v>
      </c>
      <c r="X990" s="411">
        <v>0</v>
      </c>
      <c r="Y990" s="411"/>
      <c r="Z990" s="411"/>
      <c r="AA990" s="412">
        <f t="shared" si="117"/>
        <v>0</v>
      </c>
      <c r="AB990" s="456">
        <f t="shared" si="118"/>
        <v>0</v>
      </c>
      <c r="AC990" s="456">
        <v>0</v>
      </c>
      <c r="AD990" s="2"/>
      <c r="AE990" s="4"/>
      <c r="AF990" s="5"/>
      <c r="AG990" s="428"/>
    </row>
    <row r="991" spans="2:33" hidden="1" x14ac:dyDescent="0.25">
      <c r="B991" s="1" t="s">
        <v>3069</v>
      </c>
      <c r="C991" s="3" t="s">
        <v>1368</v>
      </c>
      <c r="D991" s="3" t="s">
        <v>1247</v>
      </c>
      <c r="E991" s="407" t="s">
        <v>1395</v>
      </c>
      <c r="F991" s="3" t="s">
        <v>5252</v>
      </c>
      <c r="G991" s="407" t="s">
        <v>4479</v>
      </c>
      <c r="H991" s="440" t="s">
        <v>4109</v>
      </c>
      <c r="I991" s="407" t="s">
        <v>4300</v>
      </c>
      <c r="J991" s="407" t="s">
        <v>3781</v>
      </c>
      <c r="K991" s="387" t="s">
        <v>4643</v>
      </c>
      <c r="L991" s="387">
        <v>1</v>
      </c>
      <c r="M991" s="387">
        <v>0</v>
      </c>
      <c r="N991" s="387">
        <f t="shared" si="115"/>
        <v>1</v>
      </c>
      <c r="O991" s="442">
        <f t="shared" si="116"/>
        <v>1</v>
      </c>
      <c r="P991" s="387" t="s">
        <v>1358</v>
      </c>
      <c r="Q991" s="459">
        <v>0</v>
      </c>
      <c r="R991" s="459"/>
      <c r="S991" s="456">
        <v>0</v>
      </c>
      <c r="T991" s="456">
        <v>2.21</v>
      </c>
      <c r="U991" s="410"/>
      <c r="V991" s="411">
        <v>1</v>
      </c>
      <c r="W991" s="411">
        <v>1</v>
      </c>
      <c r="X991" s="411">
        <v>1</v>
      </c>
      <c r="Y991" s="411"/>
      <c r="Z991" s="411"/>
      <c r="AA991" s="412">
        <f t="shared" si="117"/>
        <v>1</v>
      </c>
      <c r="AB991" s="456">
        <f t="shared" si="118"/>
        <v>2.21</v>
      </c>
      <c r="AC991" s="456">
        <v>0</v>
      </c>
      <c r="AD991" s="2"/>
      <c r="AE991" s="4"/>
      <c r="AF991" s="5"/>
      <c r="AG991" s="428"/>
    </row>
    <row r="992" spans="2:33" hidden="1" x14ac:dyDescent="0.25">
      <c r="B992" s="1" t="s">
        <v>3070</v>
      </c>
      <c r="C992" s="3" t="s">
        <v>1368</v>
      </c>
      <c r="D992" s="3" t="s">
        <v>1247</v>
      </c>
      <c r="E992" s="407" t="s">
        <v>1426</v>
      </c>
      <c r="F992" s="3" t="s">
        <v>2377</v>
      </c>
      <c r="G992" s="407" t="s">
        <v>4480</v>
      </c>
      <c r="H992" s="440" t="s">
        <v>4109</v>
      </c>
      <c r="I992" s="407" t="s">
        <v>4301</v>
      </c>
      <c r="J992" s="407" t="s">
        <v>3782</v>
      </c>
      <c r="K992" s="387" t="s">
        <v>4637</v>
      </c>
      <c r="L992" s="387">
        <v>1</v>
      </c>
      <c r="M992" s="387">
        <v>0</v>
      </c>
      <c r="N992" s="387">
        <f t="shared" si="115"/>
        <v>1</v>
      </c>
      <c r="O992" s="442">
        <f t="shared" si="116"/>
        <v>0</v>
      </c>
      <c r="P992" s="387" t="s">
        <v>1358</v>
      </c>
      <c r="Q992" s="459">
        <v>0</v>
      </c>
      <c r="R992" s="459"/>
      <c r="S992" s="456">
        <v>0</v>
      </c>
      <c r="T992" s="456">
        <v>2.21</v>
      </c>
      <c r="U992" s="410"/>
      <c r="V992" s="411">
        <v>0</v>
      </c>
      <c r="W992" s="411">
        <v>0</v>
      </c>
      <c r="X992" s="411">
        <v>0</v>
      </c>
      <c r="Y992" s="411"/>
      <c r="Z992" s="411"/>
      <c r="AA992" s="412">
        <f t="shared" si="117"/>
        <v>0</v>
      </c>
      <c r="AB992" s="456">
        <f t="shared" si="118"/>
        <v>0</v>
      </c>
      <c r="AC992" s="456">
        <v>0</v>
      </c>
      <c r="AD992" s="2"/>
      <c r="AE992" s="4"/>
      <c r="AF992" s="5"/>
      <c r="AG992" s="428"/>
    </row>
    <row r="993" spans="2:33" hidden="1" x14ac:dyDescent="0.25">
      <c r="B993" s="1" t="s">
        <v>3071</v>
      </c>
      <c r="C993" s="3" t="s">
        <v>1368</v>
      </c>
      <c r="D993" s="3" t="s">
        <v>1247</v>
      </c>
      <c r="E993" s="407" t="s">
        <v>1432</v>
      </c>
      <c r="F993" s="3" t="s">
        <v>2378</v>
      </c>
      <c r="G993" s="407" t="s">
        <v>4483</v>
      </c>
      <c r="H993" s="440" t="s">
        <v>4109</v>
      </c>
      <c r="I993" s="407" t="s">
        <v>4304</v>
      </c>
      <c r="J993" s="407" t="s">
        <v>3785</v>
      </c>
      <c r="K993" s="387" t="s">
        <v>4635</v>
      </c>
      <c r="L993" s="387">
        <v>1</v>
      </c>
      <c r="M993" s="387">
        <v>0</v>
      </c>
      <c r="N993" s="387">
        <f t="shared" si="115"/>
        <v>1</v>
      </c>
      <c r="O993" s="442">
        <f t="shared" si="116"/>
        <v>0</v>
      </c>
      <c r="P993" s="387" t="s">
        <v>1358</v>
      </c>
      <c r="Q993" s="459">
        <v>0</v>
      </c>
      <c r="R993" s="459"/>
      <c r="S993" s="456">
        <v>0</v>
      </c>
      <c r="T993" s="456">
        <v>2.0859999999999999</v>
      </c>
      <c r="U993" s="410"/>
      <c r="V993" s="411">
        <v>0</v>
      </c>
      <c r="W993" s="411">
        <v>0</v>
      </c>
      <c r="X993" s="411">
        <v>0</v>
      </c>
      <c r="Y993" s="411"/>
      <c r="Z993" s="411"/>
      <c r="AA993" s="412">
        <f t="shared" si="117"/>
        <v>0</v>
      </c>
      <c r="AB993" s="456">
        <f t="shared" si="118"/>
        <v>0</v>
      </c>
      <c r="AC993" s="456">
        <v>0</v>
      </c>
      <c r="AD993" s="2"/>
      <c r="AE993" s="4"/>
      <c r="AF993" s="5"/>
      <c r="AG993" s="428"/>
    </row>
    <row r="994" spans="2:33" hidden="1" x14ac:dyDescent="0.25">
      <c r="B994" s="1" t="s">
        <v>3072</v>
      </c>
      <c r="C994" s="3" t="s">
        <v>1368</v>
      </c>
      <c r="D994" s="3" t="s">
        <v>1247</v>
      </c>
      <c r="E994" s="407" t="s">
        <v>1433</v>
      </c>
      <c r="F994" s="3" t="s">
        <v>2379</v>
      </c>
      <c r="G994" s="407" t="s">
        <v>4490</v>
      </c>
      <c r="H994" s="440" t="s">
        <v>4109</v>
      </c>
      <c r="I994" s="407" t="s">
        <v>4311</v>
      </c>
      <c r="J994" s="407" t="s">
        <v>3792</v>
      </c>
      <c r="K994" s="387" t="s">
        <v>4644</v>
      </c>
      <c r="L994" s="387">
        <v>1</v>
      </c>
      <c r="M994" s="387">
        <v>0</v>
      </c>
      <c r="N994" s="387">
        <f t="shared" si="115"/>
        <v>1</v>
      </c>
      <c r="O994" s="442">
        <f t="shared" si="116"/>
        <v>0</v>
      </c>
      <c r="P994" s="387" t="s">
        <v>1358</v>
      </c>
      <c r="Q994" s="459">
        <v>0</v>
      </c>
      <c r="R994" s="459"/>
      <c r="S994" s="456">
        <v>0</v>
      </c>
      <c r="T994" s="456">
        <v>2.0859999999999999</v>
      </c>
      <c r="U994" s="410"/>
      <c r="V994" s="411">
        <v>0</v>
      </c>
      <c r="W994" s="411">
        <v>0</v>
      </c>
      <c r="X994" s="411">
        <v>0</v>
      </c>
      <c r="Y994" s="411"/>
      <c r="Z994" s="411"/>
      <c r="AA994" s="412">
        <f t="shared" si="117"/>
        <v>0</v>
      </c>
      <c r="AB994" s="456">
        <f t="shared" si="118"/>
        <v>0</v>
      </c>
      <c r="AC994" s="456">
        <v>0</v>
      </c>
      <c r="AD994" s="2"/>
      <c r="AE994" s="4"/>
      <c r="AF994" s="5"/>
      <c r="AG994" s="428"/>
    </row>
    <row r="995" spans="2:33" hidden="1" x14ac:dyDescent="0.25">
      <c r="B995" s="1" t="s">
        <v>3073</v>
      </c>
      <c r="C995" s="3" t="s">
        <v>1368</v>
      </c>
      <c r="D995" s="3" t="s">
        <v>1247</v>
      </c>
      <c r="E995" s="407" t="s">
        <v>1428</v>
      </c>
      <c r="F995" s="3" t="s">
        <v>2380</v>
      </c>
      <c r="G995" s="407" t="s">
        <v>4486</v>
      </c>
      <c r="H995" s="440" t="s">
        <v>4109</v>
      </c>
      <c r="I995" s="407" t="s">
        <v>4307</v>
      </c>
      <c r="J995" s="407" t="s">
        <v>3788</v>
      </c>
      <c r="K995" s="387" t="s">
        <v>4639</v>
      </c>
      <c r="L995" s="387">
        <v>1</v>
      </c>
      <c r="M995" s="387">
        <v>0</v>
      </c>
      <c r="N995" s="387">
        <f t="shared" si="115"/>
        <v>1</v>
      </c>
      <c r="O995" s="442">
        <f t="shared" si="116"/>
        <v>0</v>
      </c>
      <c r="P995" s="387" t="s">
        <v>1358</v>
      </c>
      <c r="Q995" s="459">
        <v>0</v>
      </c>
      <c r="R995" s="459"/>
      <c r="S995" s="456">
        <v>0</v>
      </c>
      <c r="T995" s="456">
        <v>2.0859999999999999</v>
      </c>
      <c r="U995" s="410"/>
      <c r="V995" s="411">
        <v>0</v>
      </c>
      <c r="W995" s="411">
        <v>0</v>
      </c>
      <c r="X995" s="411">
        <v>0</v>
      </c>
      <c r="Y995" s="411"/>
      <c r="Z995" s="411"/>
      <c r="AA995" s="412">
        <f t="shared" si="117"/>
        <v>0</v>
      </c>
      <c r="AB995" s="456">
        <f t="shared" si="118"/>
        <v>0</v>
      </c>
      <c r="AC995" s="456">
        <v>0</v>
      </c>
      <c r="AD995" s="2"/>
      <c r="AE995" s="4"/>
      <c r="AF995" s="5"/>
      <c r="AG995" s="428"/>
    </row>
    <row r="996" spans="2:33" hidden="1" x14ac:dyDescent="0.25">
      <c r="B996" s="1" t="s">
        <v>3074</v>
      </c>
      <c r="C996" s="3" t="s">
        <v>1368</v>
      </c>
      <c r="D996" s="3" t="s">
        <v>1247</v>
      </c>
      <c r="E996" s="407" t="s">
        <v>1429</v>
      </c>
      <c r="F996" s="3" t="s">
        <v>2381</v>
      </c>
      <c r="G996" s="407" t="s">
        <v>4487</v>
      </c>
      <c r="H996" s="440" t="s">
        <v>4109</v>
      </c>
      <c r="I996" s="407" t="s">
        <v>4308</v>
      </c>
      <c r="J996" s="407" t="s">
        <v>3789</v>
      </c>
      <c r="K996" s="387" t="s">
        <v>4640</v>
      </c>
      <c r="L996" s="387">
        <v>1</v>
      </c>
      <c r="M996" s="387">
        <v>0</v>
      </c>
      <c r="N996" s="387">
        <f t="shared" si="115"/>
        <v>1</v>
      </c>
      <c r="O996" s="442">
        <f t="shared" si="116"/>
        <v>0</v>
      </c>
      <c r="P996" s="387" t="s">
        <v>1358</v>
      </c>
      <c r="Q996" s="459">
        <v>0</v>
      </c>
      <c r="R996" s="459"/>
      <c r="S996" s="456">
        <v>0</v>
      </c>
      <c r="T996" s="456">
        <v>2.0859999999999999</v>
      </c>
      <c r="U996" s="410"/>
      <c r="V996" s="411">
        <v>0</v>
      </c>
      <c r="W996" s="411">
        <v>0</v>
      </c>
      <c r="X996" s="411">
        <v>0</v>
      </c>
      <c r="Y996" s="411"/>
      <c r="Z996" s="411"/>
      <c r="AA996" s="412">
        <f t="shared" si="117"/>
        <v>0</v>
      </c>
      <c r="AB996" s="456">
        <f t="shared" si="118"/>
        <v>0</v>
      </c>
      <c r="AC996" s="456">
        <v>0</v>
      </c>
      <c r="AD996" s="2"/>
      <c r="AE996" s="4"/>
      <c r="AF996" s="5"/>
      <c r="AG996" s="428"/>
    </row>
    <row r="997" spans="2:33" hidden="1" x14ac:dyDescent="0.25">
      <c r="B997" s="1" t="s">
        <v>3075</v>
      </c>
      <c r="C997" s="3" t="s">
        <v>1368</v>
      </c>
      <c r="D997" s="3" t="s">
        <v>1247</v>
      </c>
      <c r="E997" s="407" t="s">
        <v>1430</v>
      </c>
      <c r="F997" s="3" t="s">
        <v>2382</v>
      </c>
      <c r="G997" s="407" t="s">
        <v>4488</v>
      </c>
      <c r="H997" s="440" t="s">
        <v>4109</v>
      </c>
      <c r="I997" s="407" t="s">
        <v>4309</v>
      </c>
      <c r="J997" s="407" t="s">
        <v>3790</v>
      </c>
      <c r="K997" s="387" t="s">
        <v>4641</v>
      </c>
      <c r="L997" s="387">
        <v>1</v>
      </c>
      <c r="M997" s="387">
        <v>0</v>
      </c>
      <c r="N997" s="387">
        <f t="shared" si="115"/>
        <v>1</v>
      </c>
      <c r="O997" s="442">
        <f t="shared" si="116"/>
        <v>0</v>
      </c>
      <c r="P997" s="387" t="s">
        <v>1358</v>
      </c>
      <c r="Q997" s="459">
        <v>0</v>
      </c>
      <c r="R997" s="459"/>
      <c r="S997" s="456">
        <v>0</v>
      </c>
      <c r="T997" s="456">
        <v>2.0859999999999999</v>
      </c>
      <c r="U997" s="410"/>
      <c r="V997" s="411">
        <v>0</v>
      </c>
      <c r="W997" s="411">
        <v>0</v>
      </c>
      <c r="X997" s="411">
        <v>0</v>
      </c>
      <c r="Y997" s="411"/>
      <c r="Z997" s="411"/>
      <c r="AA997" s="412">
        <f t="shared" si="117"/>
        <v>0</v>
      </c>
      <c r="AB997" s="456">
        <f t="shared" si="118"/>
        <v>0</v>
      </c>
      <c r="AC997" s="456">
        <v>0</v>
      </c>
      <c r="AD997" s="2"/>
      <c r="AE997" s="4"/>
      <c r="AF997" s="5"/>
      <c r="AG997" s="428"/>
    </row>
    <row r="998" spans="2:33" hidden="1" x14ac:dyDescent="0.25">
      <c r="B998" s="1" t="s">
        <v>3076</v>
      </c>
      <c r="C998" s="3" t="s">
        <v>1368</v>
      </c>
      <c r="D998" s="3" t="s">
        <v>1247</v>
      </c>
      <c r="E998" s="407" t="s">
        <v>1431</v>
      </c>
      <c r="F998" s="3" t="s">
        <v>2383</v>
      </c>
      <c r="G998" s="407" t="s">
        <v>4489</v>
      </c>
      <c r="H998" s="440" t="s">
        <v>4109</v>
      </c>
      <c r="I998" s="407" t="s">
        <v>4310</v>
      </c>
      <c r="J998" s="407" t="s">
        <v>3791</v>
      </c>
      <c r="K998" s="387" t="s">
        <v>4642</v>
      </c>
      <c r="L998" s="387">
        <v>1</v>
      </c>
      <c r="M998" s="387">
        <v>0</v>
      </c>
      <c r="N998" s="387">
        <f t="shared" si="115"/>
        <v>1</v>
      </c>
      <c r="O998" s="442">
        <f t="shared" si="116"/>
        <v>0</v>
      </c>
      <c r="P998" s="387" t="s">
        <v>1358</v>
      </c>
      <c r="Q998" s="459">
        <v>0</v>
      </c>
      <c r="R998" s="459"/>
      <c r="S998" s="456">
        <v>0</v>
      </c>
      <c r="T998" s="456">
        <v>2.0859999999999999</v>
      </c>
      <c r="U998" s="410"/>
      <c r="V998" s="411">
        <v>0</v>
      </c>
      <c r="W998" s="411">
        <v>0</v>
      </c>
      <c r="X998" s="411">
        <v>0</v>
      </c>
      <c r="Y998" s="411"/>
      <c r="Z998" s="411"/>
      <c r="AA998" s="412">
        <f t="shared" si="117"/>
        <v>0</v>
      </c>
      <c r="AB998" s="456">
        <f t="shared" si="118"/>
        <v>0</v>
      </c>
      <c r="AC998" s="456">
        <v>0</v>
      </c>
      <c r="AD998" s="2"/>
      <c r="AE998" s="4"/>
      <c r="AF998" s="5"/>
      <c r="AG998" s="428"/>
    </row>
    <row r="999" spans="2:33" hidden="1" x14ac:dyDescent="0.25">
      <c r="B999" s="1" t="s">
        <v>3077</v>
      </c>
      <c r="C999" s="3" t="s">
        <v>1368</v>
      </c>
      <c r="D999" s="3" t="s">
        <v>1247</v>
      </c>
      <c r="E999" s="407" t="s">
        <v>1432</v>
      </c>
      <c r="F999" s="3" t="s">
        <v>2384</v>
      </c>
      <c r="G999" s="407" t="s">
        <v>4483</v>
      </c>
      <c r="H999" s="440" t="s">
        <v>4109</v>
      </c>
      <c r="I999" s="407" t="s">
        <v>4304</v>
      </c>
      <c r="J999" s="407" t="s">
        <v>3785</v>
      </c>
      <c r="K999" s="387" t="s">
        <v>4635</v>
      </c>
      <c r="L999" s="387">
        <v>1</v>
      </c>
      <c r="M999" s="387">
        <v>0</v>
      </c>
      <c r="N999" s="387">
        <f t="shared" si="115"/>
        <v>1</v>
      </c>
      <c r="O999" s="442">
        <f t="shared" si="116"/>
        <v>0</v>
      </c>
      <c r="P999" s="387" t="s">
        <v>1358</v>
      </c>
      <c r="Q999" s="459">
        <v>0</v>
      </c>
      <c r="R999" s="459"/>
      <c r="S999" s="456">
        <v>0</v>
      </c>
      <c r="T999" s="456">
        <v>2.08</v>
      </c>
      <c r="U999" s="410"/>
      <c r="V999" s="411">
        <v>0</v>
      </c>
      <c r="W999" s="411">
        <v>0</v>
      </c>
      <c r="X999" s="411">
        <v>0</v>
      </c>
      <c r="Y999" s="411"/>
      <c r="Z999" s="411"/>
      <c r="AA999" s="412">
        <f t="shared" si="117"/>
        <v>0</v>
      </c>
      <c r="AB999" s="456">
        <f t="shared" si="118"/>
        <v>0</v>
      </c>
      <c r="AC999" s="456">
        <v>0</v>
      </c>
      <c r="AD999" s="2"/>
      <c r="AE999" s="4"/>
      <c r="AF999" s="5"/>
      <c r="AG999" s="428"/>
    </row>
    <row r="1000" spans="2:33" hidden="1" x14ac:dyDescent="0.25">
      <c r="B1000" s="1" t="s">
        <v>3078</v>
      </c>
      <c r="C1000" s="3" t="s">
        <v>1368</v>
      </c>
      <c r="D1000" s="3" t="s">
        <v>1247</v>
      </c>
      <c r="E1000" s="407" t="s">
        <v>3293</v>
      </c>
      <c r="F1000" s="3" t="s">
        <v>2385</v>
      </c>
      <c r="G1000" s="407" t="s">
        <v>4503</v>
      </c>
      <c r="H1000" s="440" t="s">
        <v>4109</v>
      </c>
      <c r="I1000" s="407" t="s">
        <v>4324</v>
      </c>
      <c r="J1000" s="407" t="s">
        <v>3798</v>
      </c>
      <c r="K1000" s="387" t="s">
        <v>4658</v>
      </c>
      <c r="L1000" s="387">
        <v>1</v>
      </c>
      <c r="M1000" s="387">
        <v>0</v>
      </c>
      <c r="N1000" s="387">
        <f t="shared" si="115"/>
        <v>1</v>
      </c>
      <c r="O1000" s="442">
        <f t="shared" si="116"/>
        <v>1</v>
      </c>
      <c r="P1000" s="387" t="s">
        <v>1358</v>
      </c>
      <c r="Q1000" s="459">
        <v>0</v>
      </c>
      <c r="R1000" s="459"/>
      <c r="S1000" s="456">
        <v>0</v>
      </c>
      <c r="T1000" s="456">
        <v>2.1219999999999999</v>
      </c>
      <c r="U1000" s="410"/>
      <c r="V1000" s="411">
        <v>1</v>
      </c>
      <c r="W1000" s="411">
        <v>1</v>
      </c>
      <c r="X1000" s="411">
        <v>1</v>
      </c>
      <c r="Y1000" s="411"/>
      <c r="Z1000" s="411"/>
      <c r="AA1000" s="412">
        <f t="shared" si="117"/>
        <v>1</v>
      </c>
      <c r="AB1000" s="456">
        <f t="shared" si="118"/>
        <v>2.1219999999999999</v>
      </c>
      <c r="AC1000" s="456">
        <v>0</v>
      </c>
      <c r="AD1000" s="2"/>
      <c r="AE1000" s="4"/>
      <c r="AF1000" s="5"/>
      <c r="AG1000" s="428"/>
    </row>
    <row r="1001" spans="2:33" hidden="1" x14ac:dyDescent="0.25">
      <c r="B1001" s="1" t="s">
        <v>3079</v>
      </c>
      <c r="C1001" s="3" t="s">
        <v>1368</v>
      </c>
      <c r="D1001" s="3" t="s">
        <v>1247</v>
      </c>
      <c r="E1001" s="407" t="s">
        <v>3546</v>
      </c>
      <c r="F1001" s="3" t="s">
        <v>2386</v>
      </c>
      <c r="G1001" s="407" t="s">
        <v>4482</v>
      </c>
      <c r="H1001" s="440" t="s">
        <v>4109</v>
      </c>
      <c r="I1001" s="407" t="s">
        <v>4303</v>
      </c>
      <c r="J1001" s="407" t="s">
        <v>3784</v>
      </c>
      <c r="K1001" s="387" t="s">
        <v>4660</v>
      </c>
      <c r="L1001" s="387">
        <v>1</v>
      </c>
      <c r="M1001" s="387">
        <v>0</v>
      </c>
      <c r="N1001" s="387">
        <f t="shared" si="115"/>
        <v>1</v>
      </c>
      <c r="O1001" s="442">
        <f t="shared" si="116"/>
        <v>0</v>
      </c>
      <c r="P1001" s="387" t="s">
        <v>1358</v>
      </c>
      <c r="Q1001" s="459">
        <v>0</v>
      </c>
      <c r="R1001" s="459"/>
      <c r="S1001" s="456">
        <v>0</v>
      </c>
      <c r="T1001" s="456">
        <v>2.1480000000000001</v>
      </c>
      <c r="U1001" s="410"/>
      <c r="V1001" s="411">
        <v>0</v>
      </c>
      <c r="W1001" s="411">
        <v>0</v>
      </c>
      <c r="X1001" s="411">
        <v>0</v>
      </c>
      <c r="Y1001" s="411"/>
      <c r="Z1001" s="411"/>
      <c r="AA1001" s="412">
        <f t="shared" si="117"/>
        <v>0</v>
      </c>
      <c r="AB1001" s="456">
        <f t="shared" si="118"/>
        <v>0</v>
      </c>
      <c r="AC1001" s="456">
        <v>0</v>
      </c>
      <c r="AD1001" s="2"/>
      <c r="AE1001" s="4"/>
      <c r="AF1001" s="5"/>
      <c r="AG1001" s="428"/>
    </row>
    <row r="1002" spans="2:33" hidden="1" x14ac:dyDescent="0.25">
      <c r="B1002" s="1" t="s">
        <v>3080</v>
      </c>
      <c r="C1002" s="3" t="s">
        <v>1368</v>
      </c>
      <c r="D1002" s="3" t="s">
        <v>1247</v>
      </c>
      <c r="E1002" s="407" t="s">
        <v>3547</v>
      </c>
      <c r="F1002" s="3" t="s">
        <v>2387</v>
      </c>
      <c r="G1002" s="407" t="s">
        <v>4501</v>
      </c>
      <c r="H1002" s="440" t="s">
        <v>4109</v>
      </c>
      <c r="I1002" s="407" t="s">
        <v>4322</v>
      </c>
      <c r="J1002" s="407" t="s">
        <v>3797</v>
      </c>
      <c r="K1002" s="387" t="s">
        <v>4655</v>
      </c>
      <c r="L1002" s="387">
        <v>1</v>
      </c>
      <c r="M1002" s="387">
        <v>0</v>
      </c>
      <c r="N1002" s="387">
        <f t="shared" si="115"/>
        <v>1</v>
      </c>
      <c r="O1002" s="442">
        <f t="shared" si="116"/>
        <v>0</v>
      </c>
      <c r="P1002" s="387" t="s">
        <v>1358</v>
      </c>
      <c r="Q1002" s="459">
        <v>0</v>
      </c>
      <c r="R1002" s="459"/>
      <c r="S1002" s="456">
        <v>0</v>
      </c>
      <c r="T1002" s="456">
        <v>2.1480000000000001</v>
      </c>
      <c r="U1002" s="410"/>
      <c r="V1002" s="411">
        <v>0</v>
      </c>
      <c r="W1002" s="411">
        <v>0</v>
      </c>
      <c r="X1002" s="411">
        <v>0</v>
      </c>
      <c r="Y1002" s="411"/>
      <c r="Z1002" s="411"/>
      <c r="AA1002" s="412">
        <f t="shared" si="117"/>
        <v>0</v>
      </c>
      <c r="AB1002" s="456">
        <f t="shared" si="118"/>
        <v>0</v>
      </c>
      <c r="AC1002" s="456">
        <v>0</v>
      </c>
      <c r="AD1002" s="2"/>
      <c r="AE1002" s="4"/>
      <c r="AF1002" s="5"/>
      <c r="AG1002" s="428"/>
    </row>
    <row r="1003" spans="2:33" hidden="1" x14ac:dyDescent="0.25">
      <c r="B1003" s="1" t="s">
        <v>3081</v>
      </c>
      <c r="C1003" s="3" t="s">
        <v>1368</v>
      </c>
      <c r="D1003" s="3" t="s">
        <v>1247</v>
      </c>
      <c r="E1003" s="407" t="s">
        <v>1426</v>
      </c>
      <c r="F1003" s="3" t="s">
        <v>2388</v>
      </c>
      <c r="G1003" s="407" t="s">
        <v>4480</v>
      </c>
      <c r="H1003" s="440" t="s">
        <v>4109</v>
      </c>
      <c r="I1003" s="407" t="s">
        <v>4301</v>
      </c>
      <c r="J1003" s="407" t="s">
        <v>3782</v>
      </c>
      <c r="K1003" s="387" t="s">
        <v>4637</v>
      </c>
      <c r="L1003" s="387">
        <v>1</v>
      </c>
      <c r="M1003" s="387">
        <v>0</v>
      </c>
      <c r="N1003" s="387">
        <f t="shared" si="115"/>
        <v>1</v>
      </c>
      <c r="O1003" s="442">
        <f t="shared" si="116"/>
        <v>1</v>
      </c>
      <c r="P1003" s="387" t="s">
        <v>1358</v>
      </c>
      <c r="Q1003" s="459">
        <v>0</v>
      </c>
      <c r="R1003" s="459"/>
      <c r="S1003" s="456">
        <v>0</v>
      </c>
      <c r="T1003" s="456">
        <v>2.085</v>
      </c>
      <c r="U1003" s="410"/>
      <c r="V1003" s="411">
        <v>1</v>
      </c>
      <c r="W1003" s="411">
        <v>1</v>
      </c>
      <c r="X1003" s="411">
        <v>1</v>
      </c>
      <c r="Y1003" s="411"/>
      <c r="Z1003" s="411"/>
      <c r="AA1003" s="412">
        <f t="shared" si="117"/>
        <v>1</v>
      </c>
      <c r="AB1003" s="456">
        <f t="shared" si="118"/>
        <v>2.085</v>
      </c>
      <c r="AC1003" s="456">
        <v>0</v>
      </c>
      <c r="AD1003" s="2"/>
      <c r="AE1003" s="4"/>
      <c r="AF1003" s="5"/>
      <c r="AG1003" s="428"/>
    </row>
    <row r="1004" spans="2:33" hidden="1" x14ac:dyDescent="0.25">
      <c r="B1004" s="1" t="s">
        <v>3082</v>
      </c>
      <c r="C1004" s="3" t="s">
        <v>1368</v>
      </c>
      <c r="D1004" s="3" t="s">
        <v>1247</v>
      </c>
      <c r="E1004" s="407" t="s">
        <v>1397</v>
      </c>
      <c r="F1004" s="3" t="s">
        <v>2389</v>
      </c>
      <c r="G1004" s="407" t="s">
        <v>4493</v>
      </c>
      <c r="H1004" s="440" t="s">
        <v>4109</v>
      </c>
      <c r="I1004" s="407" t="s">
        <v>4314</v>
      </c>
      <c r="J1004" s="407" t="s">
        <v>3795</v>
      </c>
      <c r="K1004" s="387" t="s">
        <v>4647</v>
      </c>
      <c r="L1004" s="387">
        <v>1</v>
      </c>
      <c r="M1004" s="387">
        <v>0</v>
      </c>
      <c r="N1004" s="387">
        <f t="shared" si="115"/>
        <v>1</v>
      </c>
      <c r="O1004" s="442">
        <f t="shared" si="116"/>
        <v>0</v>
      </c>
      <c r="P1004" s="387" t="s">
        <v>1358</v>
      </c>
      <c r="Q1004" s="459">
        <v>0</v>
      </c>
      <c r="R1004" s="459"/>
      <c r="S1004" s="456">
        <v>0</v>
      </c>
      <c r="T1004" s="456">
        <v>2.0790000000000002</v>
      </c>
      <c r="U1004" s="410"/>
      <c r="V1004" s="411">
        <v>0</v>
      </c>
      <c r="W1004" s="411">
        <v>0</v>
      </c>
      <c r="X1004" s="411">
        <v>0</v>
      </c>
      <c r="Y1004" s="411"/>
      <c r="Z1004" s="411"/>
      <c r="AA1004" s="412">
        <f t="shared" si="117"/>
        <v>0</v>
      </c>
      <c r="AB1004" s="456">
        <f t="shared" si="118"/>
        <v>0</v>
      </c>
      <c r="AC1004" s="456">
        <v>0</v>
      </c>
      <c r="AD1004" s="2"/>
      <c r="AE1004" s="4"/>
      <c r="AF1004" s="5"/>
      <c r="AG1004" s="428"/>
    </row>
    <row r="1005" spans="2:33" hidden="1" x14ac:dyDescent="0.25">
      <c r="B1005" s="1" t="s">
        <v>3083</v>
      </c>
      <c r="C1005" s="3" t="s">
        <v>1368</v>
      </c>
      <c r="D1005" s="3" t="s">
        <v>1247</v>
      </c>
      <c r="E1005" s="407" t="s">
        <v>1398</v>
      </c>
      <c r="F1005" s="3" t="s">
        <v>2390</v>
      </c>
      <c r="G1005" s="407" t="s">
        <v>4496</v>
      </c>
      <c r="H1005" s="440" t="s">
        <v>4109</v>
      </c>
      <c r="I1005" s="407" t="s">
        <v>4317</v>
      </c>
      <c r="J1005" s="407" t="s">
        <v>3796</v>
      </c>
      <c r="K1005" s="387" t="s">
        <v>4650</v>
      </c>
      <c r="L1005" s="387">
        <v>1</v>
      </c>
      <c r="M1005" s="387">
        <v>0</v>
      </c>
      <c r="N1005" s="387">
        <f t="shared" si="115"/>
        <v>1</v>
      </c>
      <c r="O1005" s="442">
        <f t="shared" si="116"/>
        <v>1.0000000000000002</v>
      </c>
      <c r="P1005" s="387" t="s">
        <v>1358</v>
      </c>
      <c r="Q1005" s="459">
        <v>0</v>
      </c>
      <c r="R1005" s="459"/>
      <c r="S1005" s="456">
        <v>0</v>
      </c>
      <c r="T1005" s="456">
        <v>1.994</v>
      </c>
      <c r="U1005" s="410"/>
      <c r="V1005" s="411">
        <v>1</v>
      </c>
      <c r="W1005" s="411">
        <v>1</v>
      </c>
      <c r="X1005" s="411">
        <v>1</v>
      </c>
      <c r="Y1005" s="411"/>
      <c r="Z1005" s="411"/>
      <c r="AA1005" s="412">
        <f t="shared" si="117"/>
        <v>1.0000000000000002</v>
      </c>
      <c r="AB1005" s="456">
        <f t="shared" si="118"/>
        <v>1.9940000000000002</v>
      </c>
      <c r="AC1005" s="456">
        <v>0</v>
      </c>
      <c r="AD1005" s="2"/>
      <c r="AE1005" s="4"/>
      <c r="AF1005" s="5"/>
      <c r="AG1005" s="428"/>
    </row>
    <row r="1006" spans="2:33" hidden="1" x14ac:dyDescent="0.25">
      <c r="B1006" s="1" t="s">
        <v>3084</v>
      </c>
      <c r="C1006" s="3" t="s">
        <v>1368</v>
      </c>
      <c r="D1006" s="3" t="s">
        <v>1247</v>
      </c>
      <c r="E1006" s="407" t="s">
        <v>1374</v>
      </c>
      <c r="F1006" s="3" t="s">
        <v>2391</v>
      </c>
      <c r="G1006" s="407" t="s">
        <v>4495</v>
      </c>
      <c r="H1006" s="440" t="s">
        <v>4109</v>
      </c>
      <c r="I1006" s="407" t="s">
        <v>4316</v>
      </c>
      <c r="J1006" s="407" t="s">
        <v>3757</v>
      </c>
      <c r="K1006" s="387" t="s">
        <v>4649</v>
      </c>
      <c r="L1006" s="387">
        <v>1</v>
      </c>
      <c r="M1006" s="387">
        <v>0</v>
      </c>
      <c r="N1006" s="387">
        <f t="shared" si="115"/>
        <v>1</v>
      </c>
      <c r="O1006" s="442">
        <f t="shared" si="116"/>
        <v>0</v>
      </c>
      <c r="P1006" s="387" t="s">
        <v>1358</v>
      </c>
      <c r="Q1006" s="459">
        <v>0</v>
      </c>
      <c r="R1006" s="459"/>
      <c r="S1006" s="456">
        <v>0</v>
      </c>
      <c r="T1006" s="456">
        <v>1.994</v>
      </c>
      <c r="U1006" s="410"/>
      <c r="V1006" s="411">
        <v>0</v>
      </c>
      <c r="W1006" s="411">
        <v>0</v>
      </c>
      <c r="X1006" s="411">
        <v>0</v>
      </c>
      <c r="Y1006" s="411"/>
      <c r="Z1006" s="411"/>
      <c r="AA1006" s="412">
        <f t="shared" si="117"/>
        <v>0</v>
      </c>
      <c r="AB1006" s="456">
        <f t="shared" si="118"/>
        <v>0</v>
      </c>
      <c r="AC1006" s="456">
        <v>0</v>
      </c>
      <c r="AD1006" s="2"/>
      <c r="AE1006" s="4"/>
      <c r="AF1006" s="5"/>
      <c r="AG1006" s="428"/>
    </row>
    <row r="1007" spans="2:33" hidden="1" x14ac:dyDescent="0.25">
      <c r="B1007" s="1" t="s">
        <v>3085</v>
      </c>
      <c r="C1007" s="3" t="s">
        <v>1368</v>
      </c>
      <c r="D1007" s="3" t="s">
        <v>1247</v>
      </c>
      <c r="E1007" s="407" t="s">
        <v>1377</v>
      </c>
      <c r="F1007" s="3" t="s">
        <v>2392</v>
      </c>
      <c r="G1007" s="407" t="s">
        <v>4494</v>
      </c>
      <c r="H1007" s="440" t="s">
        <v>4109</v>
      </c>
      <c r="I1007" s="407" t="s">
        <v>4315</v>
      </c>
      <c r="J1007" s="407" t="s">
        <v>3749</v>
      </c>
      <c r="K1007" s="387" t="s">
        <v>4648</v>
      </c>
      <c r="L1007" s="387">
        <v>1</v>
      </c>
      <c r="M1007" s="387">
        <v>0</v>
      </c>
      <c r="N1007" s="387">
        <f t="shared" si="115"/>
        <v>1</v>
      </c>
      <c r="O1007" s="442">
        <f t="shared" si="116"/>
        <v>0</v>
      </c>
      <c r="P1007" s="387" t="s">
        <v>1358</v>
      </c>
      <c r="Q1007" s="459">
        <v>0</v>
      </c>
      <c r="R1007" s="459"/>
      <c r="S1007" s="456">
        <v>0</v>
      </c>
      <c r="T1007" s="456">
        <v>1.994</v>
      </c>
      <c r="U1007" s="410"/>
      <c r="V1007" s="411">
        <v>0</v>
      </c>
      <c r="W1007" s="411">
        <v>0</v>
      </c>
      <c r="X1007" s="411">
        <v>0</v>
      </c>
      <c r="Y1007" s="411"/>
      <c r="Z1007" s="411"/>
      <c r="AA1007" s="412">
        <f t="shared" si="117"/>
        <v>0</v>
      </c>
      <c r="AB1007" s="456">
        <f t="shared" si="118"/>
        <v>0</v>
      </c>
      <c r="AC1007" s="456">
        <v>0</v>
      </c>
      <c r="AD1007" s="2"/>
      <c r="AE1007" s="4"/>
      <c r="AF1007" s="5"/>
      <c r="AG1007" s="428"/>
    </row>
    <row r="1008" spans="2:33" hidden="1" x14ac:dyDescent="0.25">
      <c r="B1008" s="1" t="s">
        <v>3086</v>
      </c>
      <c r="C1008" s="3" t="s">
        <v>1368</v>
      </c>
      <c r="D1008" s="3" t="s">
        <v>1247</v>
      </c>
      <c r="E1008" s="407" t="s">
        <v>1379</v>
      </c>
      <c r="F1008" s="3" t="s">
        <v>2393</v>
      </c>
      <c r="G1008" s="407" t="s">
        <v>4502</v>
      </c>
      <c r="H1008" s="440" t="s">
        <v>4109</v>
      </c>
      <c r="I1008" s="407" t="s">
        <v>4323</v>
      </c>
      <c r="J1008" s="407" t="s">
        <v>3750</v>
      </c>
      <c r="K1008" s="387" t="s">
        <v>4632</v>
      </c>
      <c r="L1008" s="387">
        <v>1</v>
      </c>
      <c r="M1008" s="387">
        <v>0</v>
      </c>
      <c r="N1008" s="387">
        <f t="shared" si="115"/>
        <v>1</v>
      </c>
      <c r="O1008" s="442">
        <f t="shared" si="116"/>
        <v>1.0000000000000002</v>
      </c>
      <c r="P1008" s="387" t="s">
        <v>1358</v>
      </c>
      <c r="Q1008" s="459">
        <v>0</v>
      </c>
      <c r="R1008" s="459"/>
      <c r="S1008" s="456">
        <v>0</v>
      </c>
      <c r="T1008" s="456">
        <v>1.994</v>
      </c>
      <c r="U1008" s="410"/>
      <c r="V1008" s="411">
        <v>1</v>
      </c>
      <c r="W1008" s="411">
        <v>1</v>
      </c>
      <c r="X1008" s="411">
        <v>1</v>
      </c>
      <c r="Y1008" s="411"/>
      <c r="Z1008" s="411"/>
      <c r="AA1008" s="412">
        <f t="shared" si="117"/>
        <v>1.0000000000000002</v>
      </c>
      <c r="AB1008" s="456">
        <f t="shared" si="118"/>
        <v>1.9940000000000002</v>
      </c>
      <c r="AC1008" s="456">
        <v>0</v>
      </c>
      <c r="AD1008" s="2"/>
      <c r="AE1008" s="4"/>
      <c r="AF1008" s="5"/>
      <c r="AG1008" s="428"/>
    </row>
    <row r="1009" spans="2:33" hidden="1" x14ac:dyDescent="0.25">
      <c r="B1009" s="1" t="s">
        <v>3087</v>
      </c>
      <c r="C1009" s="3" t="s">
        <v>1368</v>
      </c>
      <c r="D1009" s="3" t="s">
        <v>1247</v>
      </c>
      <c r="E1009" s="407" t="s">
        <v>1381</v>
      </c>
      <c r="F1009" s="3" t="s">
        <v>2394</v>
      </c>
      <c r="G1009" s="407" t="s">
        <v>4497</v>
      </c>
      <c r="H1009" s="440" t="s">
        <v>4109</v>
      </c>
      <c r="I1009" s="407" t="s">
        <v>4318</v>
      </c>
      <c r="J1009" s="407" t="s">
        <v>3751</v>
      </c>
      <c r="K1009" s="387" t="s">
        <v>4631</v>
      </c>
      <c r="L1009" s="387">
        <v>1</v>
      </c>
      <c r="M1009" s="387">
        <v>0</v>
      </c>
      <c r="N1009" s="387">
        <f t="shared" si="115"/>
        <v>1</v>
      </c>
      <c r="O1009" s="442">
        <f t="shared" si="116"/>
        <v>1</v>
      </c>
      <c r="P1009" s="387" t="s">
        <v>1358</v>
      </c>
      <c r="Q1009" s="459">
        <v>0</v>
      </c>
      <c r="R1009" s="459"/>
      <c r="S1009" s="456">
        <v>0</v>
      </c>
      <c r="T1009" s="456">
        <v>2.1219999999999999</v>
      </c>
      <c r="U1009" s="410"/>
      <c r="V1009" s="411">
        <v>1</v>
      </c>
      <c r="W1009" s="411">
        <v>1</v>
      </c>
      <c r="X1009" s="411">
        <v>1</v>
      </c>
      <c r="Y1009" s="411"/>
      <c r="Z1009" s="411"/>
      <c r="AA1009" s="412">
        <f t="shared" si="117"/>
        <v>1</v>
      </c>
      <c r="AB1009" s="456">
        <f t="shared" si="118"/>
        <v>2.1219999999999999</v>
      </c>
      <c r="AC1009" s="456">
        <v>0</v>
      </c>
      <c r="AD1009" s="2"/>
      <c r="AE1009" s="4"/>
      <c r="AF1009" s="5"/>
      <c r="AG1009" s="428"/>
    </row>
    <row r="1010" spans="2:33" hidden="1" x14ac:dyDescent="0.25">
      <c r="B1010" s="1" t="s">
        <v>3088</v>
      </c>
      <c r="C1010" s="3" t="s">
        <v>1368</v>
      </c>
      <c r="D1010" s="3" t="s">
        <v>1247</v>
      </c>
      <c r="E1010" s="407" t="s">
        <v>1396</v>
      </c>
      <c r="F1010" s="3" t="s">
        <v>2395</v>
      </c>
      <c r="G1010" s="407" t="s">
        <v>4498</v>
      </c>
      <c r="H1010" s="440" t="s">
        <v>4109</v>
      </c>
      <c r="I1010" s="407" t="s">
        <v>4319</v>
      </c>
      <c r="J1010" s="407" t="s">
        <v>3752</v>
      </c>
      <c r="K1010" s="387" t="s">
        <v>4652</v>
      </c>
      <c r="L1010" s="387">
        <v>1</v>
      </c>
      <c r="M1010" s="387">
        <v>0</v>
      </c>
      <c r="N1010" s="387">
        <f t="shared" si="115"/>
        <v>1</v>
      </c>
      <c r="O1010" s="442">
        <f t="shared" si="116"/>
        <v>1.0000000000000002</v>
      </c>
      <c r="P1010" s="387" t="s">
        <v>1358</v>
      </c>
      <c r="Q1010" s="459">
        <v>0</v>
      </c>
      <c r="R1010" s="459"/>
      <c r="S1010" s="456">
        <v>0</v>
      </c>
      <c r="T1010" s="456">
        <v>1.994</v>
      </c>
      <c r="U1010" s="410"/>
      <c r="V1010" s="411">
        <v>1</v>
      </c>
      <c r="W1010" s="411">
        <v>1</v>
      </c>
      <c r="X1010" s="411">
        <v>1</v>
      </c>
      <c r="Y1010" s="411"/>
      <c r="Z1010" s="411"/>
      <c r="AA1010" s="412">
        <f t="shared" si="117"/>
        <v>1.0000000000000002</v>
      </c>
      <c r="AB1010" s="456">
        <f t="shared" si="118"/>
        <v>1.9940000000000002</v>
      </c>
      <c r="AC1010" s="456">
        <v>0</v>
      </c>
      <c r="AD1010" s="2"/>
      <c r="AE1010" s="4"/>
      <c r="AF1010" s="5"/>
      <c r="AG1010" s="428"/>
    </row>
    <row r="1011" spans="2:33" hidden="1" x14ac:dyDescent="0.25">
      <c r="B1011" s="1" t="s">
        <v>3089</v>
      </c>
      <c r="C1011" s="3" t="s">
        <v>1368</v>
      </c>
      <c r="D1011" s="3" t="s">
        <v>1247</v>
      </c>
      <c r="E1011" s="407" t="s">
        <v>1399</v>
      </c>
      <c r="F1011" s="3" t="s">
        <v>2396</v>
      </c>
      <c r="G1011" s="407" t="s">
        <v>4499</v>
      </c>
      <c r="H1011" s="440" t="s">
        <v>4109</v>
      </c>
      <c r="I1011" s="407" t="s">
        <v>4320</v>
      </c>
      <c r="J1011" s="407" t="s">
        <v>3758</v>
      </c>
      <c r="K1011" s="387" t="s">
        <v>4653</v>
      </c>
      <c r="L1011" s="387">
        <v>1</v>
      </c>
      <c r="M1011" s="387">
        <v>0</v>
      </c>
      <c r="N1011" s="387">
        <f t="shared" si="115"/>
        <v>1</v>
      </c>
      <c r="O1011" s="442">
        <f t="shared" si="116"/>
        <v>1.0000000000000002</v>
      </c>
      <c r="P1011" s="387" t="s">
        <v>1358</v>
      </c>
      <c r="Q1011" s="459">
        <v>0</v>
      </c>
      <c r="R1011" s="459"/>
      <c r="S1011" s="456">
        <v>0</v>
      </c>
      <c r="T1011" s="456">
        <v>1.994</v>
      </c>
      <c r="U1011" s="410"/>
      <c r="V1011" s="411">
        <v>1</v>
      </c>
      <c r="W1011" s="411">
        <v>1</v>
      </c>
      <c r="X1011" s="411">
        <v>1</v>
      </c>
      <c r="Y1011" s="411"/>
      <c r="Z1011" s="411"/>
      <c r="AA1011" s="412">
        <f t="shared" si="117"/>
        <v>1.0000000000000002</v>
      </c>
      <c r="AB1011" s="456">
        <f t="shared" si="118"/>
        <v>1.9940000000000002</v>
      </c>
      <c r="AC1011" s="456">
        <v>0</v>
      </c>
      <c r="AD1011" s="2"/>
      <c r="AE1011" s="4"/>
      <c r="AF1011" s="5"/>
      <c r="AG1011" s="428"/>
    </row>
    <row r="1012" spans="2:33" hidden="1" x14ac:dyDescent="0.25">
      <c r="B1012" s="1" t="s">
        <v>3090</v>
      </c>
      <c r="C1012" s="3" t="s">
        <v>1368</v>
      </c>
      <c r="D1012" s="3" t="s">
        <v>1247</v>
      </c>
      <c r="E1012" s="407" t="s">
        <v>1400</v>
      </c>
      <c r="F1012" s="3" t="s">
        <v>2397</v>
      </c>
      <c r="G1012" s="407" t="s">
        <v>4477</v>
      </c>
      <c r="H1012" s="440" t="s">
        <v>4109</v>
      </c>
      <c r="I1012" s="407" t="s">
        <v>4298</v>
      </c>
      <c r="J1012" s="407" t="s">
        <v>3779</v>
      </c>
      <c r="K1012" s="387" t="s">
        <v>4656</v>
      </c>
      <c r="L1012" s="387">
        <v>1</v>
      </c>
      <c r="M1012" s="387">
        <v>0</v>
      </c>
      <c r="N1012" s="387">
        <f t="shared" si="115"/>
        <v>1</v>
      </c>
      <c r="O1012" s="442">
        <f t="shared" si="116"/>
        <v>0</v>
      </c>
      <c r="P1012" s="387" t="s">
        <v>1358</v>
      </c>
      <c r="Q1012" s="459">
        <v>0</v>
      </c>
      <c r="R1012" s="459"/>
      <c r="S1012" s="456">
        <v>0</v>
      </c>
      <c r="T1012" s="456">
        <v>1.994</v>
      </c>
      <c r="U1012" s="410"/>
      <c r="V1012" s="411">
        <v>0</v>
      </c>
      <c r="W1012" s="411">
        <v>0</v>
      </c>
      <c r="X1012" s="411">
        <v>0</v>
      </c>
      <c r="Y1012" s="411"/>
      <c r="Z1012" s="411"/>
      <c r="AA1012" s="412">
        <f t="shared" si="117"/>
        <v>0</v>
      </c>
      <c r="AB1012" s="456">
        <f t="shared" si="118"/>
        <v>0</v>
      </c>
      <c r="AC1012" s="456">
        <v>0</v>
      </c>
      <c r="AD1012" s="2"/>
      <c r="AE1012" s="4"/>
      <c r="AF1012" s="5"/>
      <c r="AG1012" s="428"/>
    </row>
    <row r="1013" spans="2:33" hidden="1" x14ac:dyDescent="0.25">
      <c r="B1013" s="1" t="s">
        <v>3091</v>
      </c>
      <c r="C1013" s="3" t="s">
        <v>1368</v>
      </c>
      <c r="D1013" s="3" t="s">
        <v>1247</v>
      </c>
      <c r="E1013" s="407" t="s">
        <v>1401</v>
      </c>
      <c r="F1013" s="3" t="s">
        <v>2398</v>
      </c>
      <c r="G1013" s="407" t="s">
        <v>4478</v>
      </c>
      <c r="H1013" s="440" t="s">
        <v>4109</v>
      </c>
      <c r="I1013" s="407" t="s">
        <v>4299</v>
      </c>
      <c r="J1013" s="407" t="s">
        <v>3780</v>
      </c>
      <c r="K1013" s="387" t="s">
        <v>4657</v>
      </c>
      <c r="L1013" s="387">
        <v>1</v>
      </c>
      <c r="M1013" s="387">
        <v>0</v>
      </c>
      <c r="N1013" s="387">
        <f t="shared" si="115"/>
        <v>1</v>
      </c>
      <c r="O1013" s="442">
        <f t="shared" si="116"/>
        <v>0</v>
      </c>
      <c r="P1013" s="387" t="s">
        <v>1358</v>
      </c>
      <c r="Q1013" s="459">
        <v>0</v>
      </c>
      <c r="R1013" s="459"/>
      <c r="S1013" s="456">
        <v>0</v>
      </c>
      <c r="T1013" s="456">
        <v>1.994</v>
      </c>
      <c r="U1013" s="410"/>
      <c r="V1013" s="411">
        <v>0</v>
      </c>
      <c r="W1013" s="411">
        <v>0</v>
      </c>
      <c r="X1013" s="411">
        <v>0</v>
      </c>
      <c r="Y1013" s="411"/>
      <c r="Z1013" s="411"/>
      <c r="AA1013" s="412">
        <f t="shared" si="117"/>
        <v>0</v>
      </c>
      <c r="AB1013" s="456">
        <f t="shared" si="118"/>
        <v>0</v>
      </c>
      <c r="AC1013" s="456">
        <v>0</v>
      </c>
      <c r="AD1013" s="2"/>
      <c r="AE1013" s="4"/>
      <c r="AF1013" s="5"/>
      <c r="AG1013" s="428"/>
    </row>
    <row r="1014" spans="2:33" hidden="1" x14ac:dyDescent="0.25">
      <c r="B1014" s="1" t="s">
        <v>3092</v>
      </c>
      <c r="C1014" s="3" t="s">
        <v>1368</v>
      </c>
      <c r="D1014" s="3" t="s">
        <v>1247</v>
      </c>
      <c r="E1014" s="407" t="s">
        <v>1402</v>
      </c>
      <c r="F1014" s="3" t="s">
        <v>2399</v>
      </c>
      <c r="G1014" s="407" t="s">
        <v>4481</v>
      </c>
      <c r="H1014" s="440" t="s">
        <v>4109</v>
      </c>
      <c r="I1014" s="407" t="s">
        <v>4302</v>
      </c>
      <c r="J1014" s="407" t="s">
        <v>3783</v>
      </c>
      <c r="K1014" s="387" t="s">
        <v>4659</v>
      </c>
      <c r="L1014" s="387">
        <v>1</v>
      </c>
      <c r="M1014" s="387">
        <v>0</v>
      </c>
      <c r="N1014" s="387">
        <f t="shared" si="115"/>
        <v>1</v>
      </c>
      <c r="O1014" s="442">
        <f t="shared" si="116"/>
        <v>0</v>
      </c>
      <c r="P1014" s="387" t="s">
        <v>1358</v>
      </c>
      <c r="Q1014" s="459">
        <v>0</v>
      </c>
      <c r="R1014" s="459"/>
      <c r="S1014" s="456">
        <v>0</v>
      </c>
      <c r="T1014" s="456">
        <v>2.0619999999999998</v>
      </c>
      <c r="U1014" s="410"/>
      <c r="V1014" s="411">
        <v>0</v>
      </c>
      <c r="W1014" s="411">
        <v>0</v>
      </c>
      <c r="X1014" s="411">
        <v>0</v>
      </c>
      <c r="Y1014" s="411"/>
      <c r="Z1014" s="411"/>
      <c r="AA1014" s="412">
        <f t="shared" si="117"/>
        <v>0</v>
      </c>
      <c r="AB1014" s="456">
        <f t="shared" si="118"/>
        <v>0</v>
      </c>
      <c r="AC1014" s="456">
        <v>0</v>
      </c>
      <c r="AD1014" s="2"/>
      <c r="AE1014" s="4"/>
      <c r="AF1014" s="5"/>
      <c r="AG1014" s="428"/>
    </row>
    <row r="1015" spans="2:33" hidden="1" x14ac:dyDescent="0.25">
      <c r="B1015" s="1" t="s">
        <v>3093</v>
      </c>
      <c r="C1015" s="3" t="s">
        <v>1368</v>
      </c>
      <c r="D1015" s="3" t="s">
        <v>1247</v>
      </c>
      <c r="E1015" s="407" t="s">
        <v>3291</v>
      </c>
      <c r="F1015" s="3" t="s">
        <v>2400</v>
      </c>
      <c r="G1015" s="407" t="s">
        <v>4476</v>
      </c>
      <c r="H1015" s="440" t="s">
        <v>4109</v>
      </c>
      <c r="I1015" s="407" t="s">
        <v>4297</v>
      </c>
      <c r="J1015" s="407" t="s">
        <v>3753</v>
      </c>
      <c r="K1015" s="387" t="s">
        <v>4651</v>
      </c>
      <c r="L1015" s="387">
        <v>1</v>
      </c>
      <c r="M1015" s="387">
        <v>0</v>
      </c>
      <c r="N1015" s="387">
        <f t="shared" si="115"/>
        <v>1</v>
      </c>
      <c r="O1015" s="442">
        <f t="shared" si="116"/>
        <v>1</v>
      </c>
      <c r="P1015" s="387" t="s">
        <v>1358</v>
      </c>
      <c r="Q1015" s="459">
        <v>0</v>
      </c>
      <c r="R1015" s="459"/>
      <c r="S1015" s="456">
        <v>0</v>
      </c>
      <c r="T1015" s="456">
        <v>2.1219999999999999</v>
      </c>
      <c r="U1015" s="410"/>
      <c r="V1015" s="411">
        <v>1</v>
      </c>
      <c r="W1015" s="411">
        <v>1</v>
      </c>
      <c r="X1015" s="411">
        <v>1</v>
      </c>
      <c r="Y1015" s="411"/>
      <c r="Z1015" s="411"/>
      <c r="AA1015" s="412">
        <f t="shared" si="117"/>
        <v>1</v>
      </c>
      <c r="AB1015" s="456">
        <f t="shared" si="118"/>
        <v>2.1219999999999999</v>
      </c>
      <c r="AC1015" s="456">
        <v>0</v>
      </c>
      <c r="AD1015" s="2"/>
      <c r="AE1015" s="4"/>
      <c r="AF1015" s="5"/>
      <c r="AG1015" s="428"/>
    </row>
    <row r="1016" spans="2:33" hidden="1" x14ac:dyDescent="0.25">
      <c r="B1016" s="1" t="s">
        <v>3094</v>
      </c>
      <c r="C1016" s="3" t="s">
        <v>1368</v>
      </c>
      <c r="D1016" s="3" t="s">
        <v>1247</v>
      </c>
      <c r="E1016" s="407" t="s">
        <v>3306</v>
      </c>
      <c r="F1016" s="3" t="s">
        <v>2401</v>
      </c>
      <c r="G1016" s="407" t="s">
        <v>4484</v>
      </c>
      <c r="H1016" s="440" t="s">
        <v>4109</v>
      </c>
      <c r="I1016" s="407" t="s">
        <v>4305</v>
      </c>
      <c r="J1016" s="407" t="s">
        <v>3786</v>
      </c>
      <c r="K1016" s="387" t="s">
        <v>4636</v>
      </c>
      <c r="L1016" s="387">
        <v>1</v>
      </c>
      <c r="M1016" s="387">
        <v>0</v>
      </c>
      <c r="N1016" s="387">
        <f t="shared" si="115"/>
        <v>1</v>
      </c>
      <c r="O1016" s="442">
        <f t="shared" si="116"/>
        <v>0</v>
      </c>
      <c r="P1016" s="387" t="s">
        <v>1358</v>
      </c>
      <c r="Q1016" s="459">
        <v>0</v>
      </c>
      <c r="R1016" s="459"/>
      <c r="S1016" s="456">
        <v>0</v>
      </c>
      <c r="T1016" s="456">
        <v>2.2730000000000001</v>
      </c>
      <c r="U1016" s="410"/>
      <c r="V1016" s="411">
        <v>0</v>
      </c>
      <c r="W1016" s="411">
        <v>0</v>
      </c>
      <c r="X1016" s="411">
        <v>0</v>
      </c>
      <c r="Y1016" s="411"/>
      <c r="Z1016" s="411"/>
      <c r="AA1016" s="412">
        <f t="shared" si="117"/>
        <v>0</v>
      </c>
      <c r="AB1016" s="456">
        <f t="shared" si="118"/>
        <v>0</v>
      </c>
      <c r="AC1016" s="456">
        <v>0</v>
      </c>
      <c r="AD1016" s="2"/>
      <c r="AE1016" s="4"/>
      <c r="AF1016" s="5"/>
      <c r="AG1016" s="428"/>
    </row>
    <row r="1017" spans="2:33" hidden="1" x14ac:dyDescent="0.25">
      <c r="B1017" s="1" t="s">
        <v>3095</v>
      </c>
      <c r="C1017" s="3" t="s">
        <v>1368</v>
      </c>
      <c r="D1017" s="3" t="s">
        <v>1247</v>
      </c>
      <c r="E1017" s="407" t="s">
        <v>1432</v>
      </c>
      <c r="F1017" s="3" t="s">
        <v>2402</v>
      </c>
      <c r="G1017" s="407" t="s">
        <v>4483</v>
      </c>
      <c r="H1017" s="440" t="s">
        <v>4109</v>
      </c>
      <c r="I1017" s="407" t="s">
        <v>4304</v>
      </c>
      <c r="J1017" s="407" t="s">
        <v>3785</v>
      </c>
      <c r="K1017" s="387" t="s">
        <v>4635</v>
      </c>
      <c r="L1017" s="387">
        <v>1</v>
      </c>
      <c r="M1017" s="387">
        <v>0</v>
      </c>
      <c r="N1017" s="387">
        <f t="shared" si="115"/>
        <v>1</v>
      </c>
      <c r="O1017" s="442">
        <f t="shared" si="116"/>
        <v>0</v>
      </c>
      <c r="P1017" s="387" t="s">
        <v>1358</v>
      </c>
      <c r="Q1017" s="459">
        <v>0</v>
      </c>
      <c r="R1017" s="459"/>
      <c r="S1017" s="456">
        <v>0</v>
      </c>
      <c r="T1017" s="456">
        <v>4.2050000000000001</v>
      </c>
      <c r="U1017" s="410"/>
      <c r="V1017" s="411">
        <v>0</v>
      </c>
      <c r="W1017" s="411">
        <v>0</v>
      </c>
      <c r="X1017" s="411">
        <v>0</v>
      </c>
      <c r="Y1017" s="411"/>
      <c r="Z1017" s="411"/>
      <c r="AA1017" s="412">
        <f t="shared" si="117"/>
        <v>0</v>
      </c>
      <c r="AB1017" s="456">
        <f t="shared" si="118"/>
        <v>0</v>
      </c>
      <c r="AC1017" s="456">
        <v>0</v>
      </c>
      <c r="AD1017" s="2"/>
      <c r="AE1017" s="4"/>
      <c r="AF1017" s="5"/>
      <c r="AG1017" s="428"/>
    </row>
    <row r="1018" spans="2:33" hidden="1" x14ac:dyDescent="0.25">
      <c r="B1018" s="1" t="s">
        <v>3096</v>
      </c>
      <c r="C1018" s="3" t="s">
        <v>1368</v>
      </c>
      <c r="D1018" s="3" t="s">
        <v>1247</v>
      </c>
      <c r="E1018" s="407" t="s">
        <v>1433</v>
      </c>
      <c r="F1018" s="3" t="s">
        <v>2403</v>
      </c>
      <c r="G1018" s="407" t="s">
        <v>4490</v>
      </c>
      <c r="H1018" s="440" t="s">
        <v>4109</v>
      </c>
      <c r="I1018" s="407" t="s">
        <v>4311</v>
      </c>
      <c r="J1018" s="407" t="s">
        <v>3792</v>
      </c>
      <c r="K1018" s="387" t="s">
        <v>4644</v>
      </c>
      <c r="L1018" s="387">
        <v>1</v>
      </c>
      <c r="M1018" s="387">
        <v>0</v>
      </c>
      <c r="N1018" s="387">
        <f t="shared" si="115"/>
        <v>1</v>
      </c>
      <c r="O1018" s="442">
        <f t="shared" si="116"/>
        <v>0</v>
      </c>
      <c r="P1018" s="387" t="s">
        <v>1358</v>
      </c>
      <c r="Q1018" s="459">
        <v>0</v>
      </c>
      <c r="R1018" s="459"/>
      <c r="S1018" s="456">
        <v>0</v>
      </c>
      <c r="T1018" s="456">
        <v>4.2050000000000001</v>
      </c>
      <c r="U1018" s="410"/>
      <c r="V1018" s="411">
        <v>0</v>
      </c>
      <c r="W1018" s="411">
        <v>0</v>
      </c>
      <c r="X1018" s="411">
        <v>0</v>
      </c>
      <c r="Y1018" s="411"/>
      <c r="Z1018" s="411"/>
      <c r="AA1018" s="412">
        <f t="shared" si="117"/>
        <v>0</v>
      </c>
      <c r="AB1018" s="456">
        <f t="shared" si="118"/>
        <v>0</v>
      </c>
      <c r="AC1018" s="456">
        <v>0</v>
      </c>
      <c r="AD1018" s="2"/>
      <c r="AE1018" s="4"/>
      <c r="AF1018" s="5"/>
      <c r="AG1018" s="428"/>
    </row>
    <row r="1019" spans="2:33" hidden="1" x14ac:dyDescent="0.25">
      <c r="B1019" s="1" t="s">
        <v>3097</v>
      </c>
      <c r="C1019" s="3" t="s">
        <v>1368</v>
      </c>
      <c r="D1019" s="3" t="s">
        <v>1247</v>
      </c>
      <c r="E1019" s="407" t="s">
        <v>1426</v>
      </c>
      <c r="F1019" s="3" t="s">
        <v>2404</v>
      </c>
      <c r="G1019" s="407" t="s">
        <v>4480</v>
      </c>
      <c r="H1019" s="440" t="s">
        <v>4109</v>
      </c>
      <c r="I1019" s="407" t="s">
        <v>4301</v>
      </c>
      <c r="J1019" s="407" t="s">
        <v>3782</v>
      </c>
      <c r="K1019" s="387" t="s">
        <v>4637</v>
      </c>
      <c r="L1019" s="387">
        <v>1</v>
      </c>
      <c r="M1019" s="387">
        <v>0</v>
      </c>
      <c r="N1019" s="387">
        <f t="shared" ref="N1019:N1068" si="119">L1019+M1019</f>
        <v>1</v>
      </c>
      <c r="O1019" s="442">
        <f t="shared" ref="O1019:O1068" si="120">L1019*AA1019</f>
        <v>0</v>
      </c>
      <c r="P1019" s="387" t="s">
        <v>1358</v>
      </c>
      <c r="Q1019" s="459">
        <v>0</v>
      </c>
      <c r="R1019" s="459"/>
      <c r="S1019" s="456">
        <v>0</v>
      </c>
      <c r="T1019" s="456">
        <v>4.2050000000000001</v>
      </c>
      <c r="U1019" s="410"/>
      <c r="V1019" s="411">
        <v>0</v>
      </c>
      <c r="W1019" s="411">
        <v>0</v>
      </c>
      <c r="X1019" s="411">
        <v>0</v>
      </c>
      <c r="Y1019" s="411"/>
      <c r="Z1019" s="411"/>
      <c r="AA1019" s="412">
        <f t="shared" ref="AA1019:AA1068" si="121">AB1019/T1019</f>
        <v>0</v>
      </c>
      <c r="AB1019" s="456">
        <f t="shared" ref="AB1019:AB1068" si="122">(V1019*V$369*T1019)+(W1019*W$369*T1019)+(X1019*X$369*T1019)</f>
        <v>0</v>
      </c>
      <c r="AC1019" s="456">
        <v>0</v>
      </c>
      <c r="AD1019" s="2"/>
      <c r="AE1019" s="4"/>
      <c r="AF1019" s="5"/>
      <c r="AG1019" s="428"/>
    </row>
    <row r="1020" spans="2:33" hidden="1" x14ac:dyDescent="0.25">
      <c r="B1020" s="1" t="s">
        <v>3098</v>
      </c>
      <c r="C1020" s="3" t="s">
        <v>1368</v>
      </c>
      <c r="D1020" s="3" t="s">
        <v>1247</v>
      </c>
      <c r="E1020" s="407" t="s">
        <v>1427</v>
      </c>
      <c r="F1020" s="3" t="s">
        <v>2405</v>
      </c>
      <c r="G1020" s="407" t="s">
        <v>4485</v>
      </c>
      <c r="H1020" s="440" t="s">
        <v>4109</v>
      </c>
      <c r="I1020" s="407" t="s">
        <v>4306</v>
      </c>
      <c r="J1020" s="407" t="s">
        <v>3787</v>
      </c>
      <c r="K1020" s="387" t="s">
        <v>4638</v>
      </c>
      <c r="L1020" s="387">
        <v>1</v>
      </c>
      <c r="M1020" s="387">
        <v>0</v>
      </c>
      <c r="N1020" s="387">
        <f t="shared" si="119"/>
        <v>1</v>
      </c>
      <c r="O1020" s="442">
        <f t="shared" si="120"/>
        <v>0</v>
      </c>
      <c r="P1020" s="387" t="s">
        <v>1358</v>
      </c>
      <c r="Q1020" s="459">
        <v>0</v>
      </c>
      <c r="R1020" s="459"/>
      <c r="S1020" s="456">
        <v>0</v>
      </c>
      <c r="T1020" s="456">
        <v>4.2050000000000001</v>
      </c>
      <c r="U1020" s="410"/>
      <c r="V1020" s="411">
        <v>0</v>
      </c>
      <c r="W1020" s="411">
        <v>0</v>
      </c>
      <c r="X1020" s="411">
        <v>0</v>
      </c>
      <c r="Y1020" s="411"/>
      <c r="Z1020" s="411"/>
      <c r="AA1020" s="412">
        <f t="shared" si="121"/>
        <v>0</v>
      </c>
      <c r="AB1020" s="456">
        <f t="shared" si="122"/>
        <v>0</v>
      </c>
      <c r="AC1020" s="456">
        <v>0</v>
      </c>
      <c r="AD1020" s="2"/>
      <c r="AE1020" s="4"/>
      <c r="AF1020" s="5"/>
      <c r="AG1020" s="428"/>
    </row>
    <row r="1021" spans="2:33" hidden="1" x14ac:dyDescent="0.25">
      <c r="B1021" s="1" t="s">
        <v>3099</v>
      </c>
      <c r="C1021" s="3" t="s">
        <v>1368</v>
      </c>
      <c r="D1021" s="3" t="s">
        <v>1247</v>
      </c>
      <c r="E1021" s="407" t="s">
        <v>1428</v>
      </c>
      <c r="F1021" s="3" t="s">
        <v>2406</v>
      </c>
      <c r="G1021" s="407" t="s">
        <v>4486</v>
      </c>
      <c r="H1021" s="440" t="s">
        <v>4109</v>
      </c>
      <c r="I1021" s="407" t="s">
        <v>4307</v>
      </c>
      <c r="J1021" s="407" t="s">
        <v>3788</v>
      </c>
      <c r="K1021" s="387" t="s">
        <v>4639</v>
      </c>
      <c r="L1021" s="387">
        <v>1</v>
      </c>
      <c r="M1021" s="387">
        <v>0</v>
      </c>
      <c r="N1021" s="387">
        <f t="shared" si="119"/>
        <v>1</v>
      </c>
      <c r="O1021" s="442">
        <f t="shared" si="120"/>
        <v>0</v>
      </c>
      <c r="P1021" s="387" t="s">
        <v>1358</v>
      </c>
      <c r="Q1021" s="459">
        <v>0</v>
      </c>
      <c r="R1021" s="459"/>
      <c r="S1021" s="456">
        <v>0</v>
      </c>
      <c r="T1021" s="456">
        <v>4.2050000000000001</v>
      </c>
      <c r="U1021" s="410"/>
      <c r="V1021" s="411">
        <v>0</v>
      </c>
      <c r="W1021" s="411">
        <v>0</v>
      </c>
      <c r="X1021" s="411">
        <v>0</v>
      </c>
      <c r="Y1021" s="411"/>
      <c r="Z1021" s="411"/>
      <c r="AA1021" s="412">
        <f t="shared" si="121"/>
        <v>0</v>
      </c>
      <c r="AB1021" s="456">
        <f t="shared" si="122"/>
        <v>0</v>
      </c>
      <c r="AC1021" s="456">
        <v>0</v>
      </c>
      <c r="AD1021" s="2"/>
      <c r="AE1021" s="4"/>
      <c r="AF1021" s="5"/>
      <c r="AG1021" s="428"/>
    </row>
    <row r="1022" spans="2:33" hidden="1" x14ac:dyDescent="0.25">
      <c r="B1022" s="1" t="s">
        <v>3100</v>
      </c>
      <c r="C1022" s="3" t="s">
        <v>1368</v>
      </c>
      <c r="D1022" s="3" t="s">
        <v>1247</v>
      </c>
      <c r="E1022" s="407" t="s">
        <v>1429</v>
      </c>
      <c r="F1022" s="3" t="s">
        <v>2407</v>
      </c>
      <c r="G1022" s="407" t="s">
        <v>4487</v>
      </c>
      <c r="H1022" s="440" t="s">
        <v>4109</v>
      </c>
      <c r="I1022" s="407" t="s">
        <v>4308</v>
      </c>
      <c r="J1022" s="407" t="s">
        <v>3789</v>
      </c>
      <c r="K1022" s="387" t="s">
        <v>4640</v>
      </c>
      <c r="L1022" s="387">
        <v>1</v>
      </c>
      <c r="M1022" s="387">
        <v>0</v>
      </c>
      <c r="N1022" s="387">
        <f t="shared" si="119"/>
        <v>1</v>
      </c>
      <c r="O1022" s="442">
        <f t="shared" si="120"/>
        <v>0</v>
      </c>
      <c r="P1022" s="387" t="s">
        <v>1358</v>
      </c>
      <c r="Q1022" s="459">
        <v>0</v>
      </c>
      <c r="R1022" s="459"/>
      <c r="S1022" s="456">
        <v>0</v>
      </c>
      <c r="T1022" s="456">
        <v>4.2050000000000001</v>
      </c>
      <c r="U1022" s="410"/>
      <c r="V1022" s="411">
        <v>0</v>
      </c>
      <c r="W1022" s="411">
        <v>0</v>
      </c>
      <c r="X1022" s="411">
        <v>0</v>
      </c>
      <c r="Y1022" s="411"/>
      <c r="Z1022" s="411"/>
      <c r="AA1022" s="412">
        <f t="shared" si="121"/>
        <v>0</v>
      </c>
      <c r="AB1022" s="456">
        <f t="shared" si="122"/>
        <v>0</v>
      </c>
      <c r="AC1022" s="456">
        <v>0</v>
      </c>
      <c r="AD1022" s="2"/>
      <c r="AE1022" s="4"/>
      <c r="AF1022" s="5"/>
      <c r="AG1022" s="428"/>
    </row>
    <row r="1023" spans="2:33" hidden="1" x14ac:dyDescent="0.25">
      <c r="B1023" s="1" t="s">
        <v>3101</v>
      </c>
      <c r="C1023" s="3" t="s">
        <v>1368</v>
      </c>
      <c r="D1023" s="3" t="s">
        <v>1247</v>
      </c>
      <c r="E1023" s="407" t="s">
        <v>1430</v>
      </c>
      <c r="F1023" s="3" t="s">
        <v>2408</v>
      </c>
      <c r="G1023" s="407" t="s">
        <v>4488</v>
      </c>
      <c r="H1023" s="440" t="s">
        <v>4109</v>
      </c>
      <c r="I1023" s="407" t="s">
        <v>4309</v>
      </c>
      <c r="J1023" s="407" t="s">
        <v>3790</v>
      </c>
      <c r="K1023" s="387" t="s">
        <v>4641</v>
      </c>
      <c r="L1023" s="387">
        <v>1</v>
      </c>
      <c r="M1023" s="387">
        <v>0</v>
      </c>
      <c r="N1023" s="387">
        <f t="shared" si="119"/>
        <v>1</v>
      </c>
      <c r="O1023" s="442">
        <f t="shared" si="120"/>
        <v>0</v>
      </c>
      <c r="P1023" s="387" t="s">
        <v>1358</v>
      </c>
      <c r="Q1023" s="459">
        <v>0</v>
      </c>
      <c r="R1023" s="459"/>
      <c r="S1023" s="456">
        <v>0</v>
      </c>
      <c r="T1023" s="456">
        <v>4.2050000000000001</v>
      </c>
      <c r="U1023" s="410"/>
      <c r="V1023" s="411">
        <v>0</v>
      </c>
      <c r="W1023" s="411">
        <v>0</v>
      </c>
      <c r="X1023" s="411">
        <v>0</v>
      </c>
      <c r="Y1023" s="411"/>
      <c r="Z1023" s="411"/>
      <c r="AA1023" s="412">
        <f t="shared" si="121"/>
        <v>0</v>
      </c>
      <c r="AB1023" s="456">
        <f t="shared" si="122"/>
        <v>0</v>
      </c>
      <c r="AC1023" s="456">
        <v>0</v>
      </c>
      <c r="AD1023" s="2"/>
      <c r="AE1023" s="4"/>
      <c r="AF1023" s="5"/>
      <c r="AG1023" s="428"/>
    </row>
    <row r="1024" spans="2:33" hidden="1" x14ac:dyDescent="0.25">
      <c r="B1024" s="1" t="s">
        <v>3102</v>
      </c>
      <c r="C1024" s="3" t="s">
        <v>1368</v>
      </c>
      <c r="D1024" s="3" t="s">
        <v>1247</v>
      </c>
      <c r="E1024" s="407" t="s">
        <v>1431</v>
      </c>
      <c r="F1024" s="3" t="s">
        <v>2409</v>
      </c>
      <c r="G1024" s="407" t="s">
        <v>4489</v>
      </c>
      <c r="H1024" s="440" t="s">
        <v>4109</v>
      </c>
      <c r="I1024" s="407" t="s">
        <v>4310</v>
      </c>
      <c r="J1024" s="407" t="s">
        <v>3791</v>
      </c>
      <c r="K1024" s="387" t="s">
        <v>4642</v>
      </c>
      <c r="L1024" s="387">
        <v>1</v>
      </c>
      <c r="M1024" s="387">
        <v>0</v>
      </c>
      <c r="N1024" s="387">
        <f t="shared" si="119"/>
        <v>1</v>
      </c>
      <c r="O1024" s="442">
        <f t="shared" si="120"/>
        <v>0</v>
      </c>
      <c r="P1024" s="387" t="s">
        <v>1358</v>
      </c>
      <c r="Q1024" s="459">
        <v>0</v>
      </c>
      <c r="R1024" s="459"/>
      <c r="S1024" s="456">
        <v>0</v>
      </c>
      <c r="T1024" s="456">
        <v>4.2050000000000001</v>
      </c>
      <c r="U1024" s="410"/>
      <c r="V1024" s="411">
        <v>0</v>
      </c>
      <c r="W1024" s="411">
        <v>0</v>
      </c>
      <c r="X1024" s="411">
        <v>0</v>
      </c>
      <c r="Y1024" s="411"/>
      <c r="Z1024" s="411"/>
      <c r="AA1024" s="412">
        <f t="shared" si="121"/>
        <v>0</v>
      </c>
      <c r="AB1024" s="456">
        <f t="shared" si="122"/>
        <v>0</v>
      </c>
      <c r="AC1024" s="456">
        <v>0</v>
      </c>
      <c r="AD1024" s="2"/>
      <c r="AE1024" s="4"/>
      <c r="AF1024" s="5"/>
      <c r="AG1024" s="428"/>
    </row>
    <row r="1025" spans="2:33" hidden="1" x14ac:dyDescent="0.25">
      <c r="B1025" s="1" t="s">
        <v>3103</v>
      </c>
      <c r="C1025" s="3" t="s">
        <v>1368</v>
      </c>
      <c r="D1025" s="3" t="s">
        <v>1247</v>
      </c>
      <c r="E1025" s="407" t="s">
        <v>3236</v>
      </c>
      <c r="F1025" s="3" t="s">
        <v>2410</v>
      </c>
      <c r="G1025" s="407" t="s">
        <v>4491</v>
      </c>
      <c r="H1025" s="440" t="s">
        <v>4109</v>
      </c>
      <c r="I1025" s="407" t="s">
        <v>4312</v>
      </c>
      <c r="J1025" s="407" t="s">
        <v>3793</v>
      </c>
      <c r="K1025" s="387" t="s">
        <v>4645</v>
      </c>
      <c r="L1025" s="387">
        <v>1</v>
      </c>
      <c r="M1025" s="387">
        <v>0</v>
      </c>
      <c r="N1025" s="387">
        <f t="shared" si="119"/>
        <v>1</v>
      </c>
      <c r="O1025" s="442">
        <f t="shared" si="120"/>
        <v>0</v>
      </c>
      <c r="P1025" s="387" t="s">
        <v>1358</v>
      </c>
      <c r="Q1025" s="459">
        <v>0</v>
      </c>
      <c r="R1025" s="459"/>
      <c r="S1025" s="456">
        <v>0</v>
      </c>
      <c r="T1025" s="456">
        <v>4.4489999999999998</v>
      </c>
      <c r="U1025" s="410"/>
      <c r="V1025" s="411">
        <v>0</v>
      </c>
      <c r="W1025" s="411">
        <v>0</v>
      </c>
      <c r="X1025" s="411">
        <v>0</v>
      </c>
      <c r="Y1025" s="411"/>
      <c r="Z1025" s="411"/>
      <c r="AA1025" s="412">
        <f t="shared" si="121"/>
        <v>0</v>
      </c>
      <c r="AB1025" s="456">
        <f t="shared" si="122"/>
        <v>0</v>
      </c>
      <c r="AC1025" s="456">
        <v>0</v>
      </c>
      <c r="AD1025" s="2"/>
      <c r="AE1025" s="4"/>
      <c r="AF1025" s="5"/>
      <c r="AG1025" s="428"/>
    </row>
    <row r="1026" spans="2:33" hidden="1" x14ac:dyDescent="0.25">
      <c r="B1026" s="1" t="s">
        <v>3104</v>
      </c>
      <c r="C1026" s="3" t="s">
        <v>1368</v>
      </c>
      <c r="D1026" s="3" t="s">
        <v>1247</v>
      </c>
      <c r="E1026" s="407" t="s">
        <v>3234</v>
      </c>
      <c r="F1026" s="3" t="s">
        <v>2411</v>
      </c>
      <c r="G1026" s="407" t="s">
        <v>4492</v>
      </c>
      <c r="H1026" s="440" t="s">
        <v>4109</v>
      </c>
      <c r="I1026" s="407" t="s">
        <v>4313</v>
      </c>
      <c r="J1026" s="407" t="s">
        <v>3794</v>
      </c>
      <c r="K1026" s="387" t="s">
        <v>4646</v>
      </c>
      <c r="L1026" s="387">
        <v>1</v>
      </c>
      <c r="M1026" s="387">
        <v>0</v>
      </c>
      <c r="N1026" s="387">
        <f t="shared" si="119"/>
        <v>1</v>
      </c>
      <c r="O1026" s="442">
        <f t="shared" si="120"/>
        <v>0</v>
      </c>
      <c r="P1026" s="387" t="s">
        <v>1358</v>
      </c>
      <c r="Q1026" s="459">
        <v>0</v>
      </c>
      <c r="R1026" s="459"/>
      <c r="S1026" s="456">
        <v>0</v>
      </c>
      <c r="T1026" s="456">
        <v>4.2050000000000001</v>
      </c>
      <c r="U1026" s="410"/>
      <c r="V1026" s="411">
        <v>0</v>
      </c>
      <c r="W1026" s="411">
        <v>0</v>
      </c>
      <c r="X1026" s="411">
        <v>0</v>
      </c>
      <c r="Y1026" s="411"/>
      <c r="Z1026" s="411"/>
      <c r="AA1026" s="412">
        <f t="shared" si="121"/>
        <v>0</v>
      </c>
      <c r="AB1026" s="456">
        <f t="shared" si="122"/>
        <v>0</v>
      </c>
      <c r="AC1026" s="456">
        <v>0</v>
      </c>
      <c r="AD1026" s="2"/>
      <c r="AE1026" s="4"/>
      <c r="AF1026" s="5"/>
      <c r="AG1026" s="428"/>
    </row>
    <row r="1027" spans="2:33" hidden="1" x14ac:dyDescent="0.25">
      <c r="B1027" s="1" t="s">
        <v>3105</v>
      </c>
      <c r="C1027" s="3" t="s">
        <v>1368</v>
      </c>
      <c r="D1027" s="3" t="s">
        <v>1247</v>
      </c>
      <c r="E1027" s="407" t="s">
        <v>3291</v>
      </c>
      <c r="F1027" s="3" t="s">
        <v>2412</v>
      </c>
      <c r="G1027" s="407" t="s">
        <v>4476</v>
      </c>
      <c r="H1027" s="440" t="s">
        <v>4109</v>
      </c>
      <c r="I1027" s="407" t="s">
        <v>4297</v>
      </c>
      <c r="J1027" s="407" t="s">
        <v>3753</v>
      </c>
      <c r="K1027" s="387" t="s">
        <v>4651</v>
      </c>
      <c r="L1027" s="387">
        <v>1</v>
      </c>
      <c r="M1027" s="387">
        <v>0</v>
      </c>
      <c r="N1027" s="387">
        <f t="shared" si="119"/>
        <v>1</v>
      </c>
      <c r="O1027" s="442">
        <f t="shared" si="120"/>
        <v>1</v>
      </c>
      <c r="P1027" s="387" t="s">
        <v>1358</v>
      </c>
      <c r="Q1027" s="459">
        <v>0</v>
      </c>
      <c r="R1027" s="459"/>
      <c r="S1027" s="456">
        <v>0</v>
      </c>
      <c r="T1027" s="456">
        <v>4.4560000000000004</v>
      </c>
      <c r="U1027" s="410"/>
      <c r="V1027" s="411">
        <v>1</v>
      </c>
      <c r="W1027" s="411">
        <v>1</v>
      </c>
      <c r="X1027" s="411">
        <v>1</v>
      </c>
      <c r="Y1027" s="411"/>
      <c r="Z1027" s="411"/>
      <c r="AA1027" s="412">
        <f t="shared" si="121"/>
        <v>1</v>
      </c>
      <c r="AB1027" s="456">
        <f t="shared" si="122"/>
        <v>4.4560000000000004</v>
      </c>
      <c r="AC1027" s="456">
        <v>0</v>
      </c>
      <c r="AD1027" s="2"/>
      <c r="AE1027" s="4"/>
      <c r="AF1027" s="5"/>
      <c r="AG1027" s="428"/>
    </row>
    <row r="1028" spans="2:33" hidden="1" x14ac:dyDescent="0.25">
      <c r="B1028" s="1" t="s">
        <v>3106</v>
      </c>
      <c r="C1028" s="3" t="s">
        <v>1368</v>
      </c>
      <c r="D1028" s="3" t="s">
        <v>1247</v>
      </c>
      <c r="E1028" s="407" t="s">
        <v>1377</v>
      </c>
      <c r="F1028" s="3" t="s">
        <v>2413</v>
      </c>
      <c r="G1028" s="407" t="s">
        <v>4494</v>
      </c>
      <c r="H1028" s="440" t="s">
        <v>4109</v>
      </c>
      <c r="I1028" s="407" t="s">
        <v>4315</v>
      </c>
      <c r="J1028" s="407" t="s">
        <v>3749</v>
      </c>
      <c r="K1028" s="387" t="s">
        <v>4648</v>
      </c>
      <c r="L1028" s="387">
        <v>1</v>
      </c>
      <c r="M1028" s="387">
        <v>0</v>
      </c>
      <c r="N1028" s="387">
        <f t="shared" si="119"/>
        <v>1</v>
      </c>
      <c r="O1028" s="442">
        <f t="shared" si="120"/>
        <v>0</v>
      </c>
      <c r="P1028" s="387" t="s">
        <v>1358</v>
      </c>
      <c r="Q1028" s="459">
        <v>0</v>
      </c>
      <c r="R1028" s="459"/>
      <c r="S1028" s="456">
        <v>0</v>
      </c>
      <c r="T1028" s="456">
        <v>4.33</v>
      </c>
      <c r="U1028" s="410"/>
      <c r="V1028" s="411">
        <v>0</v>
      </c>
      <c r="W1028" s="411">
        <v>0</v>
      </c>
      <c r="X1028" s="411">
        <v>0</v>
      </c>
      <c r="Y1028" s="411"/>
      <c r="Z1028" s="411"/>
      <c r="AA1028" s="412">
        <f t="shared" si="121"/>
        <v>0</v>
      </c>
      <c r="AB1028" s="456">
        <f t="shared" si="122"/>
        <v>0</v>
      </c>
      <c r="AC1028" s="456">
        <v>0</v>
      </c>
      <c r="AD1028" s="2"/>
      <c r="AE1028" s="4"/>
      <c r="AF1028" s="5"/>
      <c r="AG1028" s="428"/>
    </row>
    <row r="1029" spans="2:33" hidden="1" x14ac:dyDescent="0.25">
      <c r="B1029" s="1" t="s">
        <v>3107</v>
      </c>
      <c r="C1029" s="3" t="s">
        <v>1368</v>
      </c>
      <c r="D1029" s="3" t="s">
        <v>1247</v>
      </c>
      <c r="E1029" s="407" t="s">
        <v>1379</v>
      </c>
      <c r="F1029" s="3" t="s">
        <v>2414</v>
      </c>
      <c r="G1029" s="407" t="s">
        <v>4502</v>
      </c>
      <c r="H1029" s="440" t="s">
        <v>4109</v>
      </c>
      <c r="I1029" s="407" t="s">
        <v>4323</v>
      </c>
      <c r="J1029" s="407" t="s">
        <v>3750</v>
      </c>
      <c r="K1029" s="387" t="s">
        <v>4632</v>
      </c>
      <c r="L1029" s="387">
        <v>2</v>
      </c>
      <c r="M1029" s="387">
        <v>0</v>
      </c>
      <c r="N1029" s="387">
        <f t="shared" si="119"/>
        <v>2</v>
      </c>
      <c r="O1029" s="442">
        <f t="shared" si="120"/>
        <v>2</v>
      </c>
      <c r="P1029" s="387" t="s">
        <v>1358</v>
      </c>
      <c r="Q1029" s="459">
        <v>0</v>
      </c>
      <c r="R1029" s="459"/>
      <c r="S1029" s="456">
        <v>0</v>
      </c>
      <c r="T1029" s="456">
        <v>8.66</v>
      </c>
      <c r="U1029" s="410"/>
      <c r="V1029" s="411">
        <v>1</v>
      </c>
      <c r="W1029" s="411">
        <v>1</v>
      </c>
      <c r="X1029" s="411">
        <v>1</v>
      </c>
      <c r="Y1029" s="411"/>
      <c r="Z1029" s="411"/>
      <c r="AA1029" s="412">
        <f t="shared" si="121"/>
        <v>1</v>
      </c>
      <c r="AB1029" s="456">
        <f t="shared" si="122"/>
        <v>8.66</v>
      </c>
      <c r="AC1029" s="456">
        <v>0</v>
      </c>
      <c r="AD1029" s="2"/>
      <c r="AE1029" s="4"/>
      <c r="AF1029" s="5"/>
      <c r="AG1029" s="428"/>
    </row>
    <row r="1030" spans="2:33" hidden="1" x14ac:dyDescent="0.25">
      <c r="B1030" s="1" t="s">
        <v>3108</v>
      </c>
      <c r="C1030" s="3" t="s">
        <v>1368</v>
      </c>
      <c r="D1030" s="3" t="s">
        <v>1247</v>
      </c>
      <c r="E1030" s="407" t="s">
        <v>1381</v>
      </c>
      <c r="F1030" s="3" t="s">
        <v>2415</v>
      </c>
      <c r="G1030" s="407" t="s">
        <v>4497</v>
      </c>
      <c r="H1030" s="440" t="s">
        <v>4109</v>
      </c>
      <c r="I1030" s="407" t="s">
        <v>4318</v>
      </c>
      <c r="J1030" s="407" t="s">
        <v>3751</v>
      </c>
      <c r="K1030" s="387" t="s">
        <v>4631</v>
      </c>
      <c r="L1030" s="387">
        <v>2</v>
      </c>
      <c r="M1030" s="387">
        <v>0</v>
      </c>
      <c r="N1030" s="387">
        <f t="shared" si="119"/>
        <v>2</v>
      </c>
      <c r="O1030" s="442">
        <f t="shared" si="120"/>
        <v>2</v>
      </c>
      <c r="P1030" s="387" t="s">
        <v>1358</v>
      </c>
      <c r="Q1030" s="459">
        <v>0</v>
      </c>
      <c r="R1030" s="459"/>
      <c r="S1030" s="456">
        <v>0</v>
      </c>
      <c r="T1030" s="456">
        <v>8.66</v>
      </c>
      <c r="U1030" s="410"/>
      <c r="V1030" s="411">
        <v>1</v>
      </c>
      <c r="W1030" s="411">
        <v>1</v>
      </c>
      <c r="X1030" s="411">
        <v>1</v>
      </c>
      <c r="Y1030" s="411"/>
      <c r="Z1030" s="411"/>
      <c r="AA1030" s="412">
        <f t="shared" si="121"/>
        <v>1</v>
      </c>
      <c r="AB1030" s="456">
        <f t="shared" si="122"/>
        <v>8.66</v>
      </c>
      <c r="AC1030" s="456">
        <v>0</v>
      </c>
      <c r="AD1030" s="2"/>
      <c r="AE1030" s="4"/>
      <c r="AF1030" s="5"/>
      <c r="AG1030" s="428"/>
    </row>
    <row r="1031" spans="2:33" hidden="1" x14ac:dyDescent="0.25">
      <c r="B1031" s="1" t="s">
        <v>3109</v>
      </c>
      <c r="C1031" s="3" t="s">
        <v>1368</v>
      </c>
      <c r="D1031" s="3" t="s">
        <v>1247</v>
      </c>
      <c r="E1031" s="407" t="s">
        <v>3294</v>
      </c>
      <c r="F1031" s="3" t="s">
        <v>2416</v>
      </c>
      <c r="G1031" s="407" t="s">
        <v>4500</v>
      </c>
      <c r="H1031" s="440" t="s">
        <v>4109</v>
      </c>
      <c r="I1031" s="407" t="s">
        <v>4321</v>
      </c>
      <c r="J1031" s="407" t="s">
        <v>3755</v>
      </c>
      <c r="K1031" s="387" t="s">
        <v>4654</v>
      </c>
      <c r="L1031" s="387">
        <v>1</v>
      </c>
      <c r="M1031" s="387">
        <v>0</v>
      </c>
      <c r="N1031" s="387">
        <f t="shared" si="119"/>
        <v>1</v>
      </c>
      <c r="O1031" s="442">
        <f t="shared" si="120"/>
        <v>1</v>
      </c>
      <c r="P1031" s="387" t="s">
        <v>1358</v>
      </c>
      <c r="Q1031" s="459">
        <v>0</v>
      </c>
      <c r="R1031" s="459"/>
      <c r="S1031" s="456">
        <v>0</v>
      </c>
      <c r="T1031" s="456">
        <v>4.2050000000000001</v>
      </c>
      <c r="U1031" s="410"/>
      <c r="V1031" s="411">
        <v>1</v>
      </c>
      <c r="W1031" s="411">
        <v>1</v>
      </c>
      <c r="X1031" s="411">
        <v>1</v>
      </c>
      <c r="Y1031" s="411"/>
      <c r="Z1031" s="411"/>
      <c r="AA1031" s="412">
        <f t="shared" si="121"/>
        <v>1</v>
      </c>
      <c r="AB1031" s="456">
        <f t="shared" si="122"/>
        <v>4.2050000000000001</v>
      </c>
      <c r="AC1031" s="456">
        <v>0</v>
      </c>
      <c r="AD1031" s="2"/>
      <c r="AE1031" s="4"/>
      <c r="AF1031" s="5"/>
      <c r="AG1031" s="428"/>
    </row>
    <row r="1032" spans="2:33" hidden="1" x14ac:dyDescent="0.25">
      <c r="B1032" s="1" t="s">
        <v>3110</v>
      </c>
      <c r="C1032" s="3" t="s">
        <v>1368</v>
      </c>
      <c r="D1032" s="3" t="s">
        <v>1247</v>
      </c>
      <c r="E1032" s="407" t="s">
        <v>1425</v>
      </c>
      <c r="F1032" s="3" t="s">
        <v>2417</v>
      </c>
      <c r="G1032" s="407" t="s">
        <v>4479</v>
      </c>
      <c r="H1032" s="440" t="s">
        <v>4109</v>
      </c>
      <c r="I1032" s="407" t="s">
        <v>4300</v>
      </c>
      <c r="J1032" s="407" t="s">
        <v>3781</v>
      </c>
      <c r="K1032" s="387" t="s">
        <v>4643</v>
      </c>
      <c r="L1032" s="387">
        <v>1</v>
      </c>
      <c r="M1032" s="387">
        <v>0</v>
      </c>
      <c r="N1032" s="387">
        <f t="shared" si="119"/>
        <v>1</v>
      </c>
      <c r="O1032" s="442">
        <f t="shared" si="120"/>
        <v>1</v>
      </c>
      <c r="P1032" s="387" t="s">
        <v>1358</v>
      </c>
      <c r="Q1032" s="459">
        <v>0</v>
      </c>
      <c r="R1032" s="459"/>
      <c r="S1032" s="456">
        <v>0</v>
      </c>
      <c r="T1032" s="456">
        <v>4.4550000000000001</v>
      </c>
      <c r="U1032" s="410"/>
      <c r="V1032" s="411">
        <v>1</v>
      </c>
      <c r="W1032" s="411">
        <v>1</v>
      </c>
      <c r="X1032" s="411">
        <v>1</v>
      </c>
      <c r="Y1032" s="411"/>
      <c r="Z1032" s="411"/>
      <c r="AA1032" s="412">
        <f t="shared" si="121"/>
        <v>1</v>
      </c>
      <c r="AB1032" s="456">
        <f t="shared" si="122"/>
        <v>4.4550000000000001</v>
      </c>
      <c r="AC1032" s="456">
        <v>0</v>
      </c>
      <c r="AD1032" s="2"/>
      <c r="AE1032" s="4"/>
      <c r="AF1032" s="5"/>
      <c r="AG1032" s="428"/>
    </row>
    <row r="1033" spans="2:33" hidden="1" x14ac:dyDescent="0.25">
      <c r="B1033" s="1" t="s">
        <v>3111</v>
      </c>
      <c r="C1033" s="3" t="s">
        <v>1368</v>
      </c>
      <c r="D1033" s="3" t="s">
        <v>1247</v>
      </c>
      <c r="E1033" s="407" t="s">
        <v>3294</v>
      </c>
      <c r="F1033" s="3" t="s">
        <v>2418</v>
      </c>
      <c r="G1033" s="407" t="s">
        <v>4500</v>
      </c>
      <c r="H1033" s="440" t="s">
        <v>4109</v>
      </c>
      <c r="I1033" s="407" t="s">
        <v>4321</v>
      </c>
      <c r="J1033" s="407" t="s">
        <v>3755</v>
      </c>
      <c r="K1033" s="387" t="s">
        <v>4654</v>
      </c>
      <c r="L1033" s="387">
        <v>1</v>
      </c>
      <c r="M1033" s="387">
        <v>0</v>
      </c>
      <c r="N1033" s="387">
        <f t="shared" si="119"/>
        <v>1</v>
      </c>
      <c r="O1033" s="442">
        <f t="shared" si="120"/>
        <v>1</v>
      </c>
      <c r="P1033" s="387" t="s">
        <v>1358</v>
      </c>
      <c r="Q1033" s="459">
        <v>0</v>
      </c>
      <c r="R1033" s="459"/>
      <c r="S1033" s="456">
        <v>0</v>
      </c>
      <c r="T1033" s="456">
        <v>4.2050000000000001</v>
      </c>
      <c r="U1033" s="410"/>
      <c r="V1033" s="411">
        <v>1</v>
      </c>
      <c r="W1033" s="411">
        <v>1</v>
      </c>
      <c r="X1033" s="411">
        <v>1</v>
      </c>
      <c r="Y1033" s="411"/>
      <c r="Z1033" s="411"/>
      <c r="AA1033" s="412">
        <f t="shared" si="121"/>
        <v>1</v>
      </c>
      <c r="AB1033" s="456">
        <f t="shared" si="122"/>
        <v>4.2050000000000001</v>
      </c>
      <c r="AC1033" s="456">
        <v>0</v>
      </c>
      <c r="AD1033" s="2"/>
      <c r="AE1033" s="4"/>
      <c r="AF1033" s="5"/>
      <c r="AG1033" s="428"/>
    </row>
    <row r="1034" spans="2:33" hidden="1" x14ac:dyDescent="0.25">
      <c r="B1034" s="1" t="s">
        <v>3112</v>
      </c>
      <c r="C1034" s="3" t="s">
        <v>1368</v>
      </c>
      <c r="D1034" s="3" t="s">
        <v>1247</v>
      </c>
      <c r="E1034" s="407" t="s">
        <v>1398</v>
      </c>
      <c r="F1034" s="3" t="s">
        <v>2419</v>
      </c>
      <c r="G1034" s="407" t="s">
        <v>4496</v>
      </c>
      <c r="H1034" s="440" t="s">
        <v>4109</v>
      </c>
      <c r="I1034" s="407" t="s">
        <v>4317</v>
      </c>
      <c r="J1034" s="407" t="s">
        <v>3796</v>
      </c>
      <c r="K1034" s="387" t="s">
        <v>4650</v>
      </c>
      <c r="L1034" s="387">
        <v>1</v>
      </c>
      <c r="M1034" s="387">
        <v>0</v>
      </c>
      <c r="N1034" s="387">
        <f t="shared" si="119"/>
        <v>1</v>
      </c>
      <c r="O1034" s="442">
        <f t="shared" si="120"/>
        <v>1</v>
      </c>
      <c r="P1034" s="387" t="s">
        <v>1358</v>
      </c>
      <c r="Q1034" s="459">
        <v>0</v>
      </c>
      <c r="R1034" s="459"/>
      <c r="S1034" s="456">
        <v>0</v>
      </c>
      <c r="T1034" s="456">
        <v>4.33</v>
      </c>
      <c r="U1034" s="410"/>
      <c r="V1034" s="411">
        <v>1</v>
      </c>
      <c r="W1034" s="411">
        <v>1</v>
      </c>
      <c r="X1034" s="411">
        <v>1</v>
      </c>
      <c r="Y1034" s="411"/>
      <c r="Z1034" s="411"/>
      <c r="AA1034" s="412">
        <f t="shared" si="121"/>
        <v>1</v>
      </c>
      <c r="AB1034" s="456">
        <f t="shared" si="122"/>
        <v>4.33</v>
      </c>
      <c r="AC1034" s="456">
        <v>0</v>
      </c>
      <c r="AD1034" s="2"/>
      <c r="AE1034" s="4"/>
      <c r="AF1034" s="5"/>
      <c r="AG1034" s="428"/>
    </row>
    <row r="1035" spans="2:33" hidden="1" x14ac:dyDescent="0.25">
      <c r="B1035" s="1" t="s">
        <v>3113</v>
      </c>
      <c r="C1035" s="3" t="s">
        <v>1368</v>
      </c>
      <c r="D1035" s="3" t="s">
        <v>1247</v>
      </c>
      <c r="E1035" s="407" t="s">
        <v>1374</v>
      </c>
      <c r="F1035" s="3" t="s">
        <v>2420</v>
      </c>
      <c r="G1035" s="407" t="s">
        <v>4495</v>
      </c>
      <c r="H1035" s="440" t="s">
        <v>4109</v>
      </c>
      <c r="I1035" s="407" t="s">
        <v>4316</v>
      </c>
      <c r="J1035" s="407" t="s">
        <v>3757</v>
      </c>
      <c r="K1035" s="387" t="s">
        <v>4649</v>
      </c>
      <c r="L1035" s="387">
        <v>1</v>
      </c>
      <c r="M1035" s="387">
        <v>0</v>
      </c>
      <c r="N1035" s="387">
        <f t="shared" si="119"/>
        <v>1</v>
      </c>
      <c r="O1035" s="442">
        <f t="shared" si="120"/>
        <v>1</v>
      </c>
      <c r="P1035" s="387" t="s">
        <v>1358</v>
      </c>
      <c r="Q1035" s="459">
        <v>0</v>
      </c>
      <c r="R1035" s="459"/>
      <c r="S1035" s="456">
        <v>0</v>
      </c>
      <c r="T1035" s="456">
        <v>4.33</v>
      </c>
      <c r="U1035" s="410"/>
      <c r="V1035" s="411">
        <v>1</v>
      </c>
      <c r="W1035" s="411">
        <v>1</v>
      </c>
      <c r="X1035" s="411">
        <v>1</v>
      </c>
      <c r="Y1035" s="411"/>
      <c r="Z1035" s="411"/>
      <c r="AA1035" s="412">
        <f t="shared" si="121"/>
        <v>1</v>
      </c>
      <c r="AB1035" s="456">
        <f t="shared" si="122"/>
        <v>4.33</v>
      </c>
      <c r="AC1035" s="456">
        <v>0</v>
      </c>
      <c r="AD1035" s="2"/>
      <c r="AE1035" s="4"/>
      <c r="AF1035" s="5"/>
      <c r="AG1035" s="428"/>
    </row>
    <row r="1036" spans="2:33" hidden="1" x14ac:dyDescent="0.25">
      <c r="B1036" s="1" t="s">
        <v>3114</v>
      </c>
      <c r="C1036" s="3" t="s">
        <v>1368</v>
      </c>
      <c r="D1036" s="3" t="s">
        <v>1247</v>
      </c>
      <c r="E1036" s="407" t="s">
        <v>1377</v>
      </c>
      <c r="F1036" s="3" t="s">
        <v>2421</v>
      </c>
      <c r="G1036" s="407" t="s">
        <v>4494</v>
      </c>
      <c r="H1036" s="440" t="s">
        <v>4109</v>
      </c>
      <c r="I1036" s="407" t="s">
        <v>4315</v>
      </c>
      <c r="J1036" s="407" t="s">
        <v>3749</v>
      </c>
      <c r="K1036" s="387" t="s">
        <v>4648</v>
      </c>
      <c r="L1036" s="387">
        <v>1</v>
      </c>
      <c r="M1036" s="387">
        <v>0</v>
      </c>
      <c r="N1036" s="387">
        <f t="shared" si="119"/>
        <v>1</v>
      </c>
      <c r="O1036" s="442">
        <f t="shared" si="120"/>
        <v>0</v>
      </c>
      <c r="P1036" s="387" t="s">
        <v>1358</v>
      </c>
      <c r="Q1036" s="459">
        <v>0</v>
      </c>
      <c r="R1036" s="459"/>
      <c r="S1036" s="456">
        <v>0</v>
      </c>
      <c r="T1036" s="456">
        <v>4.33</v>
      </c>
      <c r="U1036" s="410"/>
      <c r="V1036" s="411">
        <v>0</v>
      </c>
      <c r="W1036" s="411">
        <v>0</v>
      </c>
      <c r="X1036" s="411">
        <v>0</v>
      </c>
      <c r="Y1036" s="411"/>
      <c r="Z1036" s="411"/>
      <c r="AA1036" s="412">
        <f t="shared" si="121"/>
        <v>0</v>
      </c>
      <c r="AB1036" s="456">
        <f t="shared" si="122"/>
        <v>0</v>
      </c>
      <c r="AC1036" s="456">
        <v>0</v>
      </c>
      <c r="AD1036" s="2"/>
      <c r="AE1036" s="4"/>
      <c r="AF1036" s="5"/>
      <c r="AG1036" s="428"/>
    </row>
    <row r="1037" spans="2:33" hidden="1" x14ac:dyDescent="0.25">
      <c r="B1037" s="1" t="s">
        <v>3115</v>
      </c>
      <c r="C1037" s="3" t="s">
        <v>1368</v>
      </c>
      <c r="D1037" s="3" t="s">
        <v>1247</v>
      </c>
      <c r="E1037" s="407" t="s">
        <v>1396</v>
      </c>
      <c r="F1037" s="3" t="s">
        <v>2422</v>
      </c>
      <c r="G1037" s="407" t="s">
        <v>4498</v>
      </c>
      <c r="H1037" s="440" t="s">
        <v>4109</v>
      </c>
      <c r="I1037" s="407" t="s">
        <v>4319</v>
      </c>
      <c r="J1037" s="407" t="s">
        <v>3752</v>
      </c>
      <c r="K1037" s="387" t="s">
        <v>4652</v>
      </c>
      <c r="L1037" s="387">
        <v>2</v>
      </c>
      <c r="M1037" s="387">
        <v>0</v>
      </c>
      <c r="N1037" s="387">
        <f t="shared" si="119"/>
        <v>2</v>
      </c>
      <c r="O1037" s="442">
        <f t="shared" si="120"/>
        <v>2</v>
      </c>
      <c r="P1037" s="387" t="s">
        <v>1358</v>
      </c>
      <c r="Q1037" s="459">
        <v>0</v>
      </c>
      <c r="R1037" s="459"/>
      <c r="S1037" s="456">
        <v>0</v>
      </c>
      <c r="T1037" s="456">
        <v>8.66</v>
      </c>
      <c r="U1037" s="410"/>
      <c r="V1037" s="411">
        <v>1</v>
      </c>
      <c r="W1037" s="411">
        <v>1</v>
      </c>
      <c r="X1037" s="411">
        <v>1</v>
      </c>
      <c r="Y1037" s="411"/>
      <c r="Z1037" s="411"/>
      <c r="AA1037" s="412">
        <f t="shared" si="121"/>
        <v>1</v>
      </c>
      <c r="AB1037" s="456">
        <f t="shared" si="122"/>
        <v>8.66</v>
      </c>
      <c r="AC1037" s="456">
        <v>0</v>
      </c>
      <c r="AD1037" s="2"/>
      <c r="AE1037" s="4"/>
      <c r="AF1037" s="5"/>
      <c r="AG1037" s="428"/>
    </row>
    <row r="1038" spans="2:33" hidden="1" x14ac:dyDescent="0.25">
      <c r="B1038" s="1" t="s">
        <v>3116</v>
      </c>
      <c r="C1038" s="3" t="s">
        <v>1368</v>
      </c>
      <c r="D1038" s="3" t="s">
        <v>1247</v>
      </c>
      <c r="E1038" s="407" t="s">
        <v>1432</v>
      </c>
      <c r="F1038" s="3" t="s">
        <v>2423</v>
      </c>
      <c r="G1038" s="407" t="s">
        <v>4483</v>
      </c>
      <c r="H1038" s="440" t="s">
        <v>4109</v>
      </c>
      <c r="I1038" s="407" t="s">
        <v>4304</v>
      </c>
      <c r="J1038" s="407" t="s">
        <v>3785</v>
      </c>
      <c r="K1038" s="387" t="s">
        <v>4635</v>
      </c>
      <c r="L1038" s="387">
        <v>1</v>
      </c>
      <c r="M1038" s="387">
        <v>0</v>
      </c>
      <c r="N1038" s="387">
        <f t="shared" si="119"/>
        <v>1</v>
      </c>
      <c r="O1038" s="442">
        <f t="shared" si="120"/>
        <v>0</v>
      </c>
      <c r="P1038" s="387" t="s">
        <v>1358</v>
      </c>
      <c r="Q1038" s="459">
        <v>0</v>
      </c>
      <c r="R1038" s="459"/>
      <c r="S1038" s="456">
        <v>0</v>
      </c>
      <c r="T1038" s="456">
        <v>2.0019999999999998</v>
      </c>
      <c r="U1038" s="410"/>
      <c r="V1038" s="411">
        <v>0</v>
      </c>
      <c r="W1038" s="411">
        <v>0</v>
      </c>
      <c r="X1038" s="411">
        <v>0</v>
      </c>
      <c r="Y1038" s="411"/>
      <c r="Z1038" s="411"/>
      <c r="AA1038" s="412">
        <f t="shared" si="121"/>
        <v>0</v>
      </c>
      <c r="AB1038" s="456">
        <f t="shared" si="122"/>
        <v>0</v>
      </c>
      <c r="AC1038" s="456">
        <v>0</v>
      </c>
      <c r="AD1038" s="2"/>
      <c r="AE1038" s="4"/>
      <c r="AF1038" s="5"/>
      <c r="AG1038" s="428"/>
    </row>
    <row r="1039" spans="2:33" hidden="1" x14ac:dyDescent="0.25">
      <c r="B1039" s="1" t="s">
        <v>3117</v>
      </c>
      <c r="C1039" s="3" t="s">
        <v>1368</v>
      </c>
      <c r="D1039" s="3" t="s">
        <v>1247</v>
      </c>
      <c r="E1039" s="407" t="s">
        <v>1431</v>
      </c>
      <c r="F1039" s="3" t="s">
        <v>2424</v>
      </c>
      <c r="G1039" s="407" t="s">
        <v>4489</v>
      </c>
      <c r="H1039" s="440" t="s">
        <v>4109</v>
      </c>
      <c r="I1039" s="407" t="s">
        <v>4310</v>
      </c>
      <c r="J1039" s="407" t="s">
        <v>3791</v>
      </c>
      <c r="K1039" s="387" t="s">
        <v>4642</v>
      </c>
      <c r="L1039" s="387">
        <v>1</v>
      </c>
      <c r="M1039" s="387">
        <v>0</v>
      </c>
      <c r="N1039" s="387">
        <f t="shared" si="119"/>
        <v>1</v>
      </c>
      <c r="O1039" s="442">
        <f t="shared" si="120"/>
        <v>0</v>
      </c>
      <c r="P1039" s="387" t="s">
        <v>1358</v>
      </c>
      <c r="Q1039" s="459">
        <v>0</v>
      </c>
      <c r="R1039" s="459"/>
      <c r="S1039" s="456">
        <v>0</v>
      </c>
      <c r="T1039" s="456">
        <v>2.0019999999999998</v>
      </c>
      <c r="U1039" s="410"/>
      <c r="V1039" s="411">
        <v>0</v>
      </c>
      <c r="W1039" s="411">
        <v>0</v>
      </c>
      <c r="X1039" s="411">
        <v>0</v>
      </c>
      <c r="Y1039" s="411"/>
      <c r="Z1039" s="411"/>
      <c r="AA1039" s="412">
        <f t="shared" si="121"/>
        <v>0</v>
      </c>
      <c r="AB1039" s="456">
        <f t="shared" si="122"/>
        <v>0</v>
      </c>
      <c r="AC1039" s="456">
        <v>0</v>
      </c>
      <c r="AD1039" s="2"/>
      <c r="AE1039" s="4"/>
      <c r="AF1039" s="5"/>
      <c r="AG1039" s="428"/>
    </row>
    <row r="1040" spans="2:33" hidden="1" x14ac:dyDescent="0.25">
      <c r="B1040" s="1" t="s">
        <v>3118</v>
      </c>
      <c r="C1040" s="3" t="s">
        <v>1368</v>
      </c>
      <c r="D1040" s="3" t="s">
        <v>1247</v>
      </c>
      <c r="E1040" s="407" t="s">
        <v>1433</v>
      </c>
      <c r="F1040" s="3" t="s">
        <v>2425</v>
      </c>
      <c r="G1040" s="407" t="s">
        <v>4490</v>
      </c>
      <c r="H1040" s="440" t="s">
        <v>4109</v>
      </c>
      <c r="I1040" s="407" t="s">
        <v>4311</v>
      </c>
      <c r="J1040" s="407" t="s">
        <v>3792</v>
      </c>
      <c r="K1040" s="387" t="s">
        <v>4644</v>
      </c>
      <c r="L1040" s="387">
        <v>1</v>
      </c>
      <c r="M1040" s="387">
        <v>0</v>
      </c>
      <c r="N1040" s="387">
        <f t="shared" si="119"/>
        <v>1</v>
      </c>
      <c r="O1040" s="442">
        <f t="shared" si="120"/>
        <v>0</v>
      </c>
      <c r="P1040" s="387" t="s">
        <v>1358</v>
      </c>
      <c r="Q1040" s="459">
        <v>0</v>
      </c>
      <c r="R1040" s="459"/>
      <c r="S1040" s="456">
        <v>0</v>
      </c>
      <c r="T1040" s="456">
        <v>2.0019999999999998</v>
      </c>
      <c r="U1040" s="410"/>
      <c r="V1040" s="411">
        <v>0</v>
      </c>
      <c r="W1040" s="411">
        <v>0</v>
      </c>
      <c r="X1040" s="411">
        <v>0</v>
      </c>
      <c r="Y1040" s="411"/>
      <c r="Z1040" s="411"/>
      <c r="AA1040" s="412">
        <f t="shared" si="121"/>
        <v>0</v>
      </c>
      <c r="AB1040" s="456">
        <f t="shared" si="122"/>
        <v>0</v>
      </c>
      <c r="AC1040" s="456">
        <v>0</v>
      </c>
      <c r="AD1040" s="2"/>
      <c r="AE1040" s="4"/>
      <c r="AF1040" s="5"/>
      <c r="AG1040" s="428"/>
    </row>
    <row r="1041" spans="2:33" hidden="1" x14ac:dyDescent="0.25">
      <c r="B1041" s="1" t="s">
        <v>3119</v>
      </c>
      <c r="C1041" s="3" t="s">
        <v>1368</v>
      </c>
      <c r="D1041" s="3" t="s">
        <v>1247</v>
      </c>
      <c r="E1041" s="407" t="s">
        <v>1433</v>
      </c>
      <c r="F1041" s="3" t="s">
        <v>2426</v>
      </c>
      <c r="G1041" s="407" t="s">
        <v>4490</v>
      </c>
      <c r="H1041" s="440" t="s">
        <v>4109</v>
      </c>
      <c r="I1041" s="407" t="s">
        <v>4311</v>
      </c>
      <c r="J1041" s="407" t="s">
        <v>3792</v>
      </c>
      <c r="K1041" s="387" t="s">
        <v>4644</v>
      </c>
      <c r="L1041" s="387">
        <v>1</v>
      </c>
      <c r="M1041" s="387">
        <v>0</v>
      </c>
      <c r="N1041" s="387">
        <f t="shared" si="119"/>
        <v>1</v>
      </c>
      <c r="O1041" s="442">
        <f t="shared" si="120"/>
        <v>0</v>
      </c>
      <c r="P1041" s="387" t="s">
        <v>1358</v>
      </c>
      <c r="Q1041" s="459">
        <v>0</v>
      </c>
      <c r="R1041" s="459"/>
      <c r="S1041" s="456">
        <v>0</v>
      </c>
      <c r="T1041" s="456">
        <v>4.2050000000000001</v>
      </c>
      <c r="U1041" s="410"/>
      <c r="V1041" s="411">
        <v>0</v>
      </c>
      <c r="W1041" s="411">
        <v>0</v>
      </c>
      <c r="X1041" s="411">
        <v>0</v>
      </c>
      <c r="Y1041" s="411"/>
      <c r="Z1041" s="411"/>
      <c r="AA1041" s="412">
        <f t="shared" si="121"/>
        <v>0</v>
      </c>
      <c r="AB1041" s="456">
        <f t="shared" si="122"/>
        <v>0</v>
      </c>
      <c r="AC1041" s="456">
        <v>0</v>
      </c>
      <c r="AD1041" s="2"/>
      <c r="AE1041" s="4"/>
      <c r="AF1041" s="5"/>
      <c r="AG1041" s="428"/>
    </row>
    <row r="1042" spans="2:33" hidden="1" x14ac:dyDescent="0.25">
      <c r="B1042" s="1" t="s">
        <v>3120</v>
      </c>
      <c r="C1042" s="3" t="s">
        <v>1368</v>
      </c>
      <c r="D1042" s="3" t="s">
        <v>1247</v>
      </c>
      <c r="E1042" s="407" t="s">
        <v>1432</v>
      </c>
      <c r="F1042" s="3" t="s">
        <v>2427</v>
      </c>
      <c r="G1042" s="407" t="s">
        <v>4483</v>
      </c>
      <c r="H1042" s="440" t="s">
        <v>4109</v>
      </c>
      <c r="I1042" s="407" t="s">
        <v>4304</v>
      </c>
      <c r="J1042" s="407" t="s">
        <v>3785</v>
      </c>
      <c r="K1042" s="387" t="s">
        <v>4635</v>
      </c>
      <c r="L1042" s="387">
        <v>1</v>
      </c>
      <c r="M1042" s="387">
        <v>0</v>
      </c>
      <c r="N1042" s="387">
        <f t="shared" si="119"/>
        <v>1</v>
      </c>
      <c r="O1042" s="442">
        <f t="shared" si="120"/>
        <v>0</v>
      </c>
      <c r="P1042" s="387" t="s">
        <v>1358</v>
      </c>
      <c r="Q1042" s="459">
        <v>0</v>
      </c>
      <c r="R1042" s="459"/>
      <c r="S1042" s="456">
        <v>0</v>
      </c>
      <c r="T1042" s="456">
        <v>4.2050000000000001</v>
      </c>
      <c r="U1042" s="410"/>
      <c r="V1042" s="411">
        <v>0</v>
      </c>
      <c r="W1042" s="411">
        <v>0</v>
      </c>
      <c r="X1042" s="411">
        <v>0</v>
      </c>
      <c r="Y1042" s="411"/>
      <c r="Z1042" s="411"/>
      <c r="AA1042" s="412">
        <f t="shared" si="121"/>
        <v>0</v>
      </c>
      <c r="AB1042" s="456">
        <f t="shared" si="122"/>
        <v>0</v>
      </c>
      <c r="AC1042" s="456">
        <v>0</v>
      </c>
      <c r="AD1042" s="2"/>
      <c r="AE1042" s="4"/>
      <c r="AF1042" s="5"/>
      <c r="AG1042" s="428"/>
    </row>
    <row r="1043" spans="2:33" hidden="1" x14ac:dyDescent="0.25">
      <c r="B1043" s="1" t="s">
        <v>3121</v>
      </c>
      <c r="C1043" s="3" t="s">
        <v>1368</v>
      </c>
      <c r="D1043" s="3" t="s">
        <v>1247</v>
      </c>
      <c r="E1043" s="407" t="s">
        <v>3306</v>
      </c>
      <c r="F1043" s="3" t="s">
        <v>2428</v>
      </c>
      <c r="G1043" s="407" t="s">
        <v>4484</v>
      </c>
      <c r="H1043" s="440" t="s">
        <v>4109</v>
      </c>
      <c r="I1043" s="407" t="s">
        <v>4305</v>
      </c>
      <c r="J1043" s="407" t="s">
        <v>3786</v>
      </c>
      <c r="K1043" s="387" t="s">
        <v>4636</v>
      </c>
      <c r="L1043" s="387">
        <v>2</v>
      </c>
      <c r="M1043" s="387">
        <v>0</v>
      </c>
      <c r="N1043" s="387">
        <f t="shared" si="119"/>
        <v>2</v>
      </c>
      <c r="O1043" s="442">
        <f t="shared" si="120"/>
        <v>0</v>
      </c>
      <c r="P1043" s="387" t="s">
        <v>1358</v>
      </c>
      <c r="Q1043" s="459">
        <v>0</v>
      </c>
      <c r="R1043" s="459"/>
      <c r="S1043" s="456">
        <v>0</v>
      </c>
      <c r="T1043" s="456">
        <v>8.66</v>
      </c>
      <c r="U1043" s="410"/>
      <c r="V1043" s="411">
        <v>0</v>
      </c>
      <c r="W1043" s="411">
        <v>0</v>
      </c>
      <c r="X1043" s="411">
        <v>0</v>
      </c>
      <c r="Y1043" s="411"/>
      <c r="Z1043" s="411"/>
      <c r="AA1043" s="412">
        <f t="shared" si="121"/>
        <v>0</v>
      </c>
      <c r="AB1043" s="456">
        <f t="shared" si="122"/>
        <v>0</v>
      </c>
      <c r="AC1043" s="456">
        <v>0</v>
      </c>
      <c r="AD1043" s="2"/>
      <c r="AE1043" s="4"/>
      <c r="AF1043" s="5"/>
      <c r="AG1043" s="428"/>
    </row>
    <row r="1044" spans="2:33" hidden="1" x14ac:dyDescent="0.25">
      <c r="B1044" s="1" t="s">
        <v>3122</v>
      </c>
      <c r="C1044" s="3" t="s">
        <v>1368</v>
      </c>
      <c r="D1044" s="3" t="s">
        <v>1247</v>
      </c>
      <c r="E1044" s="407" t="s">
        <v>1430</v>
      </c>
      <c r="F1044" s="3" t="s">
        <v>2429</v>
      </c>
      <c r="G1044" s="407" t="s">
        <v>4488</v>
      </c>
      <c r="H1044" s="440" t="s">
        <v>4109</v>
      </c>
      <c r="I1044" s="407" t="s">
        <v>4309</v>
      </c>
      <c r="J1044" s="407" t="s">
        <v>3790</v>
      </c>
      <c r="K1044" s="387" t="s">
        <v>4641</v>
      </c>
      <c r="L1044" s="387">
        <v>1</v>
      </c>
      <c r="M1044" s="387">
        <v>0</v>
      </c>
      <c r="N1044" s="387">
        <f t="shared" si="119"/>
        <v>1</v>
      </c>
      <c r="O1044" s="442">
        <f t="shared" si="120"/>
        <v>0</v>
      </c>
      <c r="P1044" s="387" t="s">
        <v>1358</v>
      </c>
      <c r="Q1044" s="459">
        <v>0</v>
      </c>
      <c r="R1044" s="459"/>
      <c r="S1044" s="456">
        <v>0</v>
      </c>
      <c r="T1044" s="456">
        <v>4.2050000000000001</v>
      </c>
      <c r="U1044" s="410"/>
      <c r="V1044" s="411">
        <v>0</v>
      </c>
      <c r="W1044" s="411">
        <v>0</v>
      </c>
      <c r="X1044" s="411">
        <v>0</v>
      </c>
      <c r="Y1044" s="411"/>
      <c r="Z1044" s="411"/>
      <c r="AA1044" s="412">
        <f t="shared" si="121"/>
        <v>0</v>
      </c>
      <c r="AB1044" s="456">
        <f t="shared" si="122"/>
        <v>0</v>
      </c>
      <c r="AC1044" s="456">
        <v>0</v>
      </c>
      <c r="AD1044" s="2"/>
      <c r="AE1044" s="4"/>
      <c r="AF1044" s="5"/>
      <c r="AG1044" s="428"/>
    </row>
    <row r="1045" spans="2:33" hidden="1" x14ac:dyDescent="0.25">
      <c r="B1045" s="1" t="s">
        <v>3123</v>
      </c>
      <c r="C1045" s="3" t="s">
        <v>1368</v>
      </c>
      <c r="D1045" s="3" t="s">
        <v>1247</v>
      </c>
      <c r="E1045" s="407" t="s">
        <v>1431</v>
      </c>
      <c r="F1045" s="3" t="s">
        <v>2430</v>
      </c>
      <c r="G1045" s="407" t="s">
        <v>4489</v>
      </c>
      <c r="H1045" s="440" t="s">
        <v>4109</v>
      </c>
      <c r="I1045" s="407" t="s">
        <v>4310</v>
      </c>
      <c r="J1045" s="407" t="s">
        <v>3791</v>
      </c>
      <c r="K1045" s="387" t="s">
        <v>4642</v>
      </c>
      <c r="L1045" s="387">
        <v>1</v>
      </c>
      <c r="M1045" s="387">
        <v>0</v>
      </c>
      <c r="N1045" s="387">
        <f t="shared" si="119"/>
        <v>1</v>
      </c>
      <c r="O1045" s="442">
        <f t="shared" si="120"/>
        <v>0</v>
      </c>
      <c r="P1045" s="387" t="s">
        <v>1358</v>
      </c>
      <c r="Q1045" s="459">
        <v>0</v>
      </c>
      <c r="R1045" s="459"/>
      <c r="S1045" s="456">
        <v>0</v>
      </c>
      <c r="T1045" s="456">
        <v>4.2050000000000001</v>
      </c>
      <c r="U1045" s="410"/>
      <c r="V1045" s="411">
        <v>0</v>
      </c>
      <c r="W1045" s="411">
        <v>0</v>
      </c>
      <c r="X1045" s="411">
        <v>0</v>
      </c>
      <c r="Y1045" s="411"/>
      <c r="Z1045" s="411"/>
      <c r="AA1045" s="412">
        <f t="shared" si="121"/>
        <v>0</v>
      </c>
      <c r="AB1045" s="456">
        <f t="shared" si="122"/>
        <v>0</v>
      </c>
      <c r="AC1045" s="456">
        <v>0</v>
      </c>
      <c r="AD1045" s="2"/>
      <c r="AE1045" s="4"/>
      <c r="AF1045" s="5"/>
      <c r="AG1045" s="428"/>
    </row>
    <row r="1046" spans="2:33" hidden="1" x14ac:dyDescent="0.25">
      <c r="B1046" s="1" t="s">
        <v>3124</v>
      </c>
      <c r="C1046" s="3" t="s">
        <v>1368</v>
      </c>
      <c r="D1046" s="3" t="s">
        <v>1247</v>
      </c>
      <c r="E1046" s="407" t="s">
        <v>1429</v>
      </c>
      <c r="F1046" s="3" t="s">
        <v>2431</v>
      </c>
      <c r="G1046" s="407" t="s">
        <v>4487</v>
      </c>
      <c r="H1046" s="440" t="s">
        <v>4109</v>
      </c>
      <c r="I1046" s="407" t="s">
        <v>4308</v>
      </c>
      <c r="J1046" s="407" t="s">
        <v>3789</v>
      </c>
      <c r="K1046" s="387" t="s">
        <v>4640</v>
      </c>
      <c r="L1046" s="387">
        <v>1</v>
      </c>
      <c r="M1046" s="387">
        <v>0</v>
      </c>
      <c r="N1046" s="387">
        <f t="shared" si="119"/>
        <v>1</v>
      </c>
      <c r="O1046" s="442">
        <f t="shared" si="120"/>
        <v>0</v>
      </c>
      <c r="P1046" s="387" t="s">
        <v>1358</v>
      </c>
      <c r="Q1046" s="459">
        <v>0</v>
      </c>
      <c r="R1046" s="459"/>
      <c r="S1046" s="456">
        <v>0</v>
      </c>
      <c r="T1046" s="456">
        <v>4.33</v>
      </c>
      <c r="U1046" s="410"/>
      <c r="V1046" s="411">
        <v>0</v>
      </c>
      <c r="W1046" s="411">
        <v>0</v>
      </c>
      <c r="X1046" s="411">
        <v>0</v>
      </c>
      <c r="Y1046" s="411"/>
      <c r="Z1046" s="411"/>
      <c r="AA1046" s="412">
        <f t="shared" si="121"/>
        <v>0</v>
      </c>
      <c r="AB1046" s="456">
        <f t="shared" si="122"/>
        <v>0</v>
      </c>
      <c r="AC1046" s="456">
        <v>0</v>
      </c>
      <c r="AD1046" s="2"/>
      <c r="AE1046" s="4"/>
      <c r="AF1046" s="5"/>
      <c r="AG1046" s="428"/>
    </row>
    <row r="1047" spans="2:33" hidden="1" x14ac:dyDescent="0.25">
      <c r="B1047" s="1" t="s">
        <v>3125</v>
      </c>
      <c r="C1047" s="3" t="s">
        <v>1368</v>
      </c>
      <c r="D1047" s="3" t="s">
        <v>1247</v>
      </c>
      <c r="E1047" s="407" t="s">
        <v>1426</v>
      </c>
      <c r="F1047" s="3" t="s">
        <v>2432</v>
      </c>
      <c r="G1047" s="407" t="s">
        <v>4480</v>
      </c>
      <c r="H1047" s="440" t="s">
        <v>4109</v>
      </c>
      <c r="I1047" s="407" t="s">
        <v>4301</v>
      </c>
      <c r="J1047" s="407" t="s">
        <v>3782</v>
      </c>
      <c r="K1047" s="387" t="s">
        <v>4637</v>
      </c>
      <c r="L1047" s="387">
        <v>1</v>
      </c>
      <c r="M1047" s="387">
        <v>0</v>
      </c>
      <c r="N1047" s="387">
        <f t="shared" si="119"/>
        <v>1</v>
      </c>
      <c r="O1047" s="442">
        <f t="shared" si="120"/>
        <v>1</v>
      </c>
      <c r="P1047" s="387" t="s">
        <v>1358</v>
      </c>
      <c r="Q1047" s="459">
        <v>0</v>
      </c>
      <c r="R1047" s="459"/>
      <c r="S1047" s="456">
        <v>0</v>
      </c>
      <c r="T1047" s="456">
        <v>4.2050000000000001</v>
      </c>
      <c r="U1047" s="410"/>
      <c r="V1047" s="411">
        <v>1</v>
      </c>
      <c r="W1047" s="411">
        <v>1</v>
      </c>
      <c r="X1047" s="411">
        <v>1</v>
      </c>
      <c r="Y1047" s="411"/>
      <c r="Z1047" s="411"/>
      <c r="AA1047" s="412">
        <f t="shared" si="121"/>
        <v>1</v>
      </c>
      <c r="AB1047" s="456">
        <f t="shared" si="122"/>
        <v>4.2050000000000001</v>
      </c>
      <c r="AC1047" s="456">
        <v>0</v>
      </c>
      <c r="AD1047" s="2"/>
      <c r="AE1047" s="4"/>
      <c r="AF1047" s="5"/>
      <c r="AG1047" s="428"/>
    </row>
    <row r="1048" spans="2:33" hidden="1" x14ac:dyDescent="0.25">
      <c r="B1048" s="1" t="s">
        <v>3126</v>
      </c>
      <c r="C1048" s="3" t="s">
        <v>1368</v>
      </c>
      <c r="D1048" s="3" t="s">
        <v>1247</v>
      </c>
      <c r="E1048" s="407" t="s">
        <v>1427</v>
      </c>
      <c r="F1048" s="3" t="s">
        <v>2433</v>
      </c>
      <c r="G1048" s="407" t="s">
        <v>4485</v>
      </c>
      <c r="H1048" s="440" t="s">
        <v>4109</v>
      </c>
      <c r="I1048" s="407" t="s">
        <v>4306</v>
      </c>
      <c r="J1048" s="407" t="s">
        <v>3787</v>
      </c>
      <c r="K1048" s="387" t="s">
        <v>4638</v>
      </c>
      <c r="L1048" s="387">
        <v>1</v>
      </c>
      <c r="M1048" s="387">
        <v>0</v>
      </c>
      <c r="N1048" s="387">
        <f t="shared" si="119"/>
        <v>1</v>
      </c>
      <c r="O1048" s="442">
        <f t="shared" si="120"/>
        <v>0</v>
      </c>
      <c r="P1048" s="387" t="s">
        <v>1358</v>
      </c>
      <c r="Q1048" s="459">
        <v>0</v>
      </c>
      <c r="R1048" s="459"/>
      <c r="S1048" s="456">
        <v>0</v>
      </c>
      <c r="T1048" s="456">
        <v>4.2050000000000001</v>
      </c>
      <c r="U1048" s="410"/>
      <c r="V1048" s="411">
        <v>0</v>
      </c>
      <c r="W1048" s="411">
        <v>0</v>
      </c>
      <c r="X1048" s="411">
        <v>0</v>
      </c>
      <c r="Y1048" s="411"/>
      <c r="Z1048" s="411"/>
      <c r="AA1048" s="412">
        <f t="shared" si="121"/>
        <v>0</v>
      </c>
      <c r="AB1048" s="456">
        <f t="shared" si="122"/>
        <v>0</v>
      </c>
      <c r="AC1048" s="456">
        <v>0</v>
      </c>
      <c r="AD1048" s="2"/>
      <c r="AE1048" s="4"/>
      <c r="AF1048" s="5"/>
      <c r="AG1048" s="428"/>
    </row>
    <row r="1049" spans="2:33" hidden="1" x14ac:dyDescent="0.25">
      <c r="B1049" s="1" t="s">
        <v>3127</v>
      </c>
      <c r="C1049" s="3" t="s">
        <v>1368</v>
      </c>
      <c r="D1049" s="3" t="s">
        <v>1247</v>
      </c>
      <c r="E1049" s="407" t="s">
        <v>1428</v>
      </c>
      <c r="F1049" s="3" t="s">
        <v>2434</v>
      </c>
      <c r="G1049" s="407" t="s">
        <v>4486</v>
      </c>
      <c r="H1049" s="440" t="s">
        <v>4109</v>
      </c>
      <c r="I1049" s="407" t="s">
        <v>4307</v>
      </c>
      <c r="J1049" s="407" t="s">
        <v>3788</v>
      </c>
      <c r="K1049" s="387" t="s">
        <v>4639</v>
      </c>
      <c r="L1049" s="387">
        <v>1</v>
      </c>
      <c r="M1049" s="387">
        <v>0</v>
      </c>
      <c r="N1049" s="387">
        <f t="shared" si="119"/>
        <v>1</v>
      </c>
      <c r="O1049" s="442">
        <f t="shared" si="120"/>
        <v>0</v>
      </c>
      <c r="P1049" s="387" t="s">
        <v>1358</v>
      </c>
      <c r="Q1049" s="459">
        <v>0</v>
      </c>
      <c r="R1049" s="459"/>
      <c r="S1049" s="456">
        <v>0</v>
      </c>
      <c r="T1049" s="456">
        <v>4.2050000000000001</v>
      </c>
      <c r="U1049" s="410"/>
      <c r="V1049" s="411">
        <v>0</v>
      </c>
      <c r="W1049" s="411">
        <v>0</v>
      </c>
      <c r="X1049" s="411">
        <v>0</v>
      </c>
      <c r="Y1049" s="411"/>
      <c r="Z1049" s="411"/>
      <c r="AA1049" s="412">
        <f t="shared" si="121"/>
        <v>0</v>
      </c>
      <c r="AB1049" s="456">
        <f t="shared" si="122"/>
        <v>0</v>
      </c>
      <c r="AC1049" s="456">
        <v>0</v>
      </c>
      <c r="AD1049" s="2"/>
      <c r="AE1049" s="4"/>
      <c r="AF1049" s="5"/>
      <c r="AG1049" s="428"/>
    </row>
    <row r="1050" spans="2:33" hidden="1" x14ac:dyDescent="0.25">
      <c r="B1050" s="1" t="s">
        <v>3128</v>
      </c>
      <c r="C1050" s="3" t="s">
        <v>1368</v>
      </c>
      <c r="D1050" s="3" t="s">
        <v>1247</v>
      </c>
      <c r="E1050" s="407" t="s">
        <v>3294</v>
      </c>
      <c r="F1050" s="3" t="s">
        <v>2435</v>
      </c>
      <c r="G1050" s="407" t="s">
        <v>4500</v>
      </c>
      <c r="H1050" s="440" t="s">
        <v>4109</v>
      </c>
      <c r="I1050" s="407" t="s">
        <v>4321</v>
      </c>
      <c r="J1050" s="407" t="s">
        <v>3755</v>
      </c>
      <c r="K1050" s="387" t="s">
        <v>4654</v>
      </c>
      <c r="L1050" s="387">
        <v>1</v>
      </c>
      <c r="M1050" s="387">
        <v>0</v>
      </c>
      <c r="N1050" s="387">
        <f t="shared" si="119"/>
        <v>1</v>
      </c>
      <c r="O1050" s="442">
        <f t="shared" si="120"/>
        <v>0.99999999999999989</v>
      </c>
      <c r="P1050" s="387" t="s">
        <v>1358</v>
      </c>
      <c r="Q1050" s="459">
        <v>0</v>
      </c>
      <c r="R1050" s="459"/>
      <c r="S1050" s="456">
        <v>0</v>
      </c>
      <c r="T1050" s="456">
        <v>25.16</v>
      </c>
      <c r="U1050" s="410"/>
      <c r="V1050" s="411">
        <v>1</v>
      </c>
      <c r="W1050" s="411">
        <v>1</v>
      </c>
      <c r="X1050" s="411">
        <v>1</v>
      </c>
      <c r="Y1050" s="411"/>
      <c r="Z1050" s="411"/>
      <c r="AA1050" s="412">
        <f t="shared" si="121"/>
        <v>0.99999999999999989</v>
      </c>
      <c r="AB1050" s="456">
        <f t="shared" si="122"/>
        <v>25.159999999999997</v>
      </c>
      <c r="AC1050" s="456">
        <v>0</v>
      </c>
      <c r="AD1050" s="2"/>
      <c r="AE1050" s="4"/>
      <c r="AF1050" s="5"/>
      <c r="AG1050" s="428"/>
    </row>
    <row r="1051" spans="2:33" hidden="1" x14ac:dyDescent="0.25">
      <c r="B1051" s="1" t="s">
        <v>3129</v>
      </c>
      <c r="C1051" s="3" t="s">
        <v>1368</v>
      </c>
      <c r="D1051" s="3" t="s">
        <v>1247</v>
      </c>
      <c r="E1051" s="407" t="s">
        <v>1374</v>
      </c>
      <c r="F1051" s="3" t="s">
        <v>2436</v>
      </c>
      <c r="G1051" s="407" t="s">
        <v>4495</v>
      </c>
      <c r="H1051" s="440" t="s">
        <v>4109</v>
      </c>
      <c r="I1051" s="407" t="s">
        <v>4316</v>
      </c>
      <c r="J1051" s="407" t="s">
        <v>3757</v>
      </c>
      <c r="K1051" s="387" t="s">
        <v>4665</v>
      </c>
      <c r="L1051" s="387">
        <v>2</v>
      </c>
      <c r="M1051" s="387">
        <v>0</v>
      </c>
      <c r="N1051" s="387">
        <f t="shared" si="119"/>
        <v>2</v>
      </c>
      <c r="O1051" s="442">
        <f t="shared" si="120"/>
        <v>2.0000000000000004</v>
      </c>
      <c r="P1051" s="387" t="s">
        <v>1358</v>
      </c>
      <c r="Q1051" s="459">
        <v>0</v>
      </c>
      <c r="R1051" s="459"/>
      <c r="S1051" s="456">
        <v>0</v>
      </c>
      <c r="T1051" s="456">
        <v>50.14</v>
      </c>
      <c r="U1051" s="410"/>
      <c r="V1051" s="411">
        <v>1</v>
      </c>
      <c r="W1051" s="411">
        <v>1</v>
      </c>
      <c r="X1051" s="411">
        <v>1</v>
      </c>
      <c r="Y1051" s="411"/>
      <c r="Z1051" s="411"/>
      <c r="AA1051" s="412">
        <f t="shared" si="121"/>
        <v>1.0000000000000002</v>
      </c>
      <c r="AB1051" s="456">
        <f t="shared" si="122"/>
        <v>50.140000000000008</v>
      </c>
      <c r="AC1051" s="456">
        <v>0</v>
      </c>
      <c r="AD1051" s="2"/>
      <c r="AE1051" s="4"/>
      <c r="AF1051" s="5"/>
      <c r="AG1051" s="428"/>
    </row>
    <row r="1052" spans="2:33" hidden="1" x14ac:dyDescent="0.25">
      <c r="B1052" s="1" t="s">
        <v>3130</v>
      </c>
      <c r="C1052" s="3" t="s">
        <v>1368</v>
      </c>
      <c r="D1052" s="3" t="s">
        <v>1247</v>
      </c>
      <c r="E1052" s="407" t="s">
        <v>1377</v>
      </c>
      <c r="F1052" s="3" t="s">
        <v>2437</v>
      </c>
      <c r="G1052" s="407" t="s">
        <v>4494</v>
      </c>
      <c r="H1052" s="440" t="s">
        <v>4109</v>
      </c>
      <c r="I1052" s="407" t="s">
        <v>4315</v>
      </c>
      <c r="J1052" s="407" t="s">
        <v>3749</v>
      </c>
      <c r="K1052" s="387" t="s">
        <v>4648</v>
      </c>
      <c r="L1052" s="387">
        <v>1</v>
      </c>
      <c r="M1052" s="387">
        <v>0</v>
      </c>
      <c r="N1052" s="387">
        <f t="shared" si="119"/>
        <v>1</v>
      </c>
      <c r="O1052" s="442">
        <f t="shared" si="120"/>
        <v>1.0000000000000002</v>
      </c>
      <c r="P1052" s="387" t="s">
        <v>1358</v>
      </c>
      <c r="Q1052" s="459">
        <v>0</v>
      </c>
      <c r="R1052" s="459"/>
      <c r="S1052" s="456">
        <v>0</v>
      </c>
      <c r="T1052" s="456">
        <v>25.07</v>
      </c>
      <c r="U1052" s="410"/>
      <c r="V1052" s="411">
        <v>1</v>
      </c>
      <c r="W1052" s="411">
        <v>1</v>
      </c>
      <c r="X1052" s="411">
        <v>1</v>
      </c>
      <c r="Y1052" s="411"/>
      <c r="Z1052" s="411"/>
      <c r="AA1052" s="412">
        <f t="shared" si="121"/>
        <v>1.0000000000000002</v>
      </c>
      <c r="AB1052" s="456">
        <f t="shared" si="122"/>
        <v>25.070000000000004</v>
      </c>
      <c r="AC1052" s="456">
        <v>0</v>
      </c>
      <c r="AD1052" s="2"/>
      <c r="AE1052" s="4"/>
      <c r="AF1052" s="5"/>
      <c r="AG1052" s="428"/>
    </row>
    <row r="1053" spans="2:33" hidden="1" x14ac:dyDescent="0.25">
      <c r="B1053" s="1" t="s">
        <v>3131</v>
      </c>
      <c r="C1053" s="3" t="s">
        <v>1368</v>
      </c>
      <c r="D1053" s="3" t="s">
        <v>1247</v>
      </c>
      <c r="E1053" s="407" t="s">
        <v>1379</v>
      </c>
      <c r="F1053" s="3" t="s">
        <v>2438</v>
      </c>
      <c r="G1053" s="407" t="s">
        <v>4502</v>
      </c>
      <c r="H1053" s="440" t="s">
        <v>4109</v>
      </c>
      <c r="I1053" s="407" t="s">
        <v>4323</v>
      </c>
      <c r="J1053" s="407" t="s">
        <v>3750</v>
      </c>
      <c r="K1053" s="387" t="s">
        <v>4632</v>
      </c>
      <c r="L1053" s="387">
        <v>1</v>
      </c>
      <c r="M1053" s="387">
        <v>0</v>
      </c>
      <c r="N1053" s="387">
        <f t="shared" si="119"/>
        <v>1</v>
      </c>
      <c r="O1053" s="442">
        <f t="shared" si="120"/>
        <v>1.0000000000000002</v>
      </c>
      <c r="P1053" s="387" t="s">
        <v>1358</v>
      </c>
      <c r="Q1053" s="459">
        <v>0</v>
      </c>
      <c r="R1053" s="459"/>
      <c r="S1053" s="456">
        <v>0</v>
      </c>
      <c r="T1053" s="456">
        <v>25.07</v>
      </c>
      <c r="U1053" s="410"/>
      <c r="V1053" s="411">
        <v>1</v>
      </c>
      <c r="W1053" s="411">
        <v>1</v>
      </c>
      <c r="X1053" s="411">
        <v>1</v>
      </c>
      <c r="Y1053" s="411"/>
      <c r="Z1053" s="411"/>
      <c r="AA1053" s="412">
        <f t="shared" si="121"/>
        <v>1.0000000000000002</v>
      </c>
      <c r="AB1053" s="456">
        <f t="shared" si="122"/>
        <v>25.070000000000004</v>
      </c>
      <c r="AC1053" s="456">
        <v>0</v>
      </c>
      <c r="AD1053" s="2"/>
      <c r="AE1053" s="4"/>
      <c r="AF1053" s="5"/>
      <c r="AG1053" s="428"/>
    </row>
    <row r="1054" spans="2:33" hidden="1" x14ac:dyDescent="0.25">
      <c r="B1054" s="1" t="s">
        <v>3132</v>
      </c>
      <c r="C1054" s="3" t="s">
        <v>1368</v>
      </c>
      <c r="D1054" s="3" t="s">
        <v>1247</v>
      </c>
      <c r="E1054" s="407" t="s">
        <v>1381</v>
      </c>
      <c r="F1054" s="3" t="s">
        <v>2439</v>
      </c>
      <c r="G1054" s="407" t="s">
        <v>4497</v>
      </c>
      <c r="H1054" s="440" t="s">
        <v>4109</v>
      </c>
      <c r="I1054" s="407" t="s">
        <v>4318</v>
      </c>
      <c r="J1054" s="407" t="s">
        <v>3751</v>
      </c>
      <c r="K1054" s="387" t="s">
        <v>4631</v>
      </c>
      <c r="L1054" s="387">
        <v>1</v>
      </c>
      <c r="M1054" s="387">
        <v>0</v>
      </c>
      <c r="N1054" s="387">
        <f t="shared" si="119"/>
        <v>1</v>
      </c>
      <c r="O1054" s="442">
        <f t="shared" si="120"/>
        <v>1.0000000000000002</v>
      </c>
      <c r="P1054" s="387" t="s">
        <v>1358</v>
      </c>
      <c r="Q1054" s="459">
        <v>0</v>
      </c>
      <c r="R1054" s="459"/>
      <c r="S1054" s="456">
        <v>0</v>
      </c>
      <c r="T1054" s="456">
        <v>25.07</v>
      </c>
      <c r="U1054" s="410"/>
      <c r="V1054" s="411">
        <v>1</v>
      </c>
      <c r="W1054" s="411">
        <v>1</v>
      </c>
      <c r="X1054" s="411">
        <v>1</v>
      </c>
      <c r="Y1054" s="411"/>
      <c r="Z1054" s="411"/>
      <c r="AA1054" s="412">
        <f t="shared" si="121"/>
        <v>1.0000000000000002</v>
      </c>
      <c r="AB1054" s="456">
        <f t="shared" si="122"/>
        <v>25.070000000000004</v>
      </c>
      <c r="AC1054" s="456">
        <v>0</v>
      </c>
      <c r="AD1054" s="2"/>
      <c r="AE1054" s="4"/>
      <c r="AF1054" s="5"/>
      <c r="AG1054" s="428"/>
    </row>
    <row r="1055" spans="2:33" hidden="1" x14ac:dyDescent="0.25">
      <c r="B1055" s="1" t="s">
        <v>3133</v>
      </c>
      <c r="C1055" s="3" t="s">
        <v>1368</v>
      </c>
      <c r="D1055" s="3" t="s">
        <v>1247</v>
      </c>
      <c r="E1055" s="407" t="s">
        <v>1396</v>
      </c>
      <c r="F1055" s="3" t="s">
        <v>2440</v>
      </c>
      <c r="G1055" s="407" t="s">
        <v>4498</v>
      </c>
      <c r="H1055" s="440" t="s">
        <v>4109</v>
      </c>
      <c r="I1055" s="407" t="s">
        <v>4319</v>
      </c>
      <c r="J1055" s="407" t="s">
        <v>3752</v>
      </c>
      <c r="K1055" s="387" t="s">
        <v>4652</v>
      </c>
      <c r="L1055" s="387">
        <v>1</v>
      </c>
      <c r="M1055" s="387">
        <v>0</v>
      </c>
      <c r="N1055" s="387">
        <f t="shared" si="119"/>
        <v>1</v>
      </c>
      <c r="O1055" s="442">
        <f t="shared" si="120"/>
        <v>1.0000000000000002</v>
      </c>
      <c r="P1055" s="387" t="s">
        <v>1358</v>
      </c>
      <c r="Q1055" s="459">
        <v>0</v>
      </c>
      <c r="R1055" s="459"/>
      <c r="S1055" s="456">
        <v>0</v>
      </c>
      <c r="T1055" s="456">
        <v>25.07</v>
      </c>
      <c r="U1055" s="410"/>
      <c r="V1055" s="411">
        <v>1</v>
      </c>
      <c r="W1055" s="411">
        <v>1</v>
      </c>
      <c r="X1055" s="411">
        <v>1</v>
      </c>
      <c r="Y1055" s="411"/>
      <c r="Z1055" s="411"/>
      <c r="AA1055" s="412">
        <f t="shared" si="121"/>
        <v>1.0000000000000002</v>
      </c>
      <c r="AB1055" s="456">
        <f t="shared" si="122"/>
        <v>25.070000000000004</v>
      </c>
      <c r="AC1055" s="456">
        <v>0</v>
      </c>
      <c r="AD1055" s="2"/>
      <c r="AE1055" s="4"/>
      <c r="AF1055" s="5"/>
      <c r="AG1055" s="428"/>
    </row>
    <row r="1056" spans="2:33" hidden="1" x14ac:dyDescent="0.25">
      <c r="B1056" s="1" t="s">
        <v>3134</v>
      </c>
      <c r="C1056" s="3" t="s">
        <v>1368</v>
      </c>
      <c r="D1056" s="3" t="s">
        <v>1247</v>
      </c>
      <c r="E1056" s="407" t="s">
        <v>1399</v>
      </c>
      <c r="F1056" s="3" t="s">
        <v>2441</v>
      </c>
      <c r="G1056" s="407" t="s">
        <v>4499</v>
      </c>
      <c r="H1056" s="440" t="s">
        <v>4109</v>
      </c>
      <c r="I1056" s="407" t="s">
        <v>4320</v>
      </c>
      <c r="J1056" s="407" t="s">
        <v>3758</v>
      </c>
      <c r="K1056" s="387" t="s">
        <v>4653</v>
      </c>
      <c r="L1056" s="387">
        <v>1</v>
      </c>
      <c r="M1056" s="387">
        <v>0</v>
      </c>
      <c r="N1056" s="387">
        <f t="shared" si="119"/>
        <v>1</v>
      </c>
      <c r="O1056" s="442">
        <f t="shared" si="120"/>
        <v>1.0000000000000002</v>
      </c>
      <c r="P1056" s="387" t="s">
        <v>1358</v>
      </c>
      <c r="Q1056" s="459">
        <v>0</v>
      </c>
      <c r="R1056" s="459"/>
      <c r="S1056" s="456">
        <v>0</v>
      </c>
      <c r="T1056" s="456">
        <v>31.167000000000002</v>
      </c>
      <c r="U1056" s="410"/>
      <c r="V1056" s="411">
        <v>1</v>
      </c>
      <c r="W1056" s="411">
        <v>1</v>
      </c>
      <c r="X1056" s="411">
        <v>1</v>
      </c>
      <c r="Y1056" s="411"/>
      <c r="Z1056" s="411"/>
      <c r="AA1056" s="412">
        <f t="shared" si="121"/>
        <v>1.0000000000000002</v>
      </c>
      <c r="AB1056" s="456">
        <f t="shared" si="122"/>
        <v>31.167000000000005</v>
      </c>
      <c r="AC1056" s="456">
        <v>0</v>
      </c>
      <c r="AD1056" s="2"/>
      <c r="AE1056" s="4"/>
      <c r="AF1056" s="5"/>
      <c r="AG1056" s="428"/>
    </row>
    <row r="1057" spans="2:33" hidden="1" x14ac:dyDescent="0.25">
      <c r="B1057" s="1" t="s">
        <v>3135</v>
      </c>
      <c r="C1057" s="3" t="s">
        <v>1368</v>
      </c>
      <c r="D1057" s="3" t="s">
        <v>1247</v>
      </c>
      <c r="E1057" s="407" t="s">
        <v>3547</v>
      </c>
      <c r="F1057" s="3" t="s">
        <v>2442</v>
      </c>
      <c r="G1057" s="407" t="s">
        <v>4501</v>
      </c>
      <c r="H1057" s="440" t="s">
        <v>4109</v>
      </c>
      <c r="I1057" s="407" t="s">
        <v>4322</v>
      </c>
      <c r="J1057" s="407" t="s">
        <v>3797</v>
      </c>
      <c r="K1057" s="387" t="s">
        <v>4655</v>
      </c>
      <c r="L1057" s="387">
        <v>1</v>
      </c>
      <c r="M1057" s="387">
        <v>0</v>
      </c>
      <c r="N1057" s="387">
        <f t="shared" si="119"/>
        <v>1</v>
      </c>
      <c r="O1057" s="442">
        <f t="shared" si="120"/>
        <v>0</v>
      </c>
      <c r="P1057" s="387" t="s">
        <v>1358</v>
      </c>
      <c r="Q1057" s="459">
        <v>0</v>
      </c>
      <c r="R1057" s="459"/>
      <c r="S1057" s="456">
        <v>0</v>
      </c>
      <c r="T1057" s="456">
        <v>26.664000000000001</v>
      </c>
      <c r="U1057" s="410"/>
      <c r="V1057" s="411">
        <v>0</v>
      </c>
      <c r="W1057" s="411">
        <v>0</v>
      </c>
      <c r="X1057" s="411">
        <v>0</v>
      </c>
      <c r="Y1057" s="411"/>
      <c r="Z1057" s="411"/>
      <c r="AA1057" s="412">
        <f t="shared" si="121"/>
        <v>0</v>
      </c>
      <c r="AB1057" s="456">
        <f t="shared" si="122"/>
        <v>0</v>
      </c>
      <c r="AC1057" s="456">
        <v>0</v>
      </c>
      <c r="AD1057" s="2"/>
      <c r="AE1057" s="4"/>
      <c r="AF1057" s="5"/>
      <c r="AG1057" s="428"/>
    </row>
    <row r="1058" spans="2:33" hidden="1" x14ac:dyDescent="0.25">
      <c r="B1058" s="1" t="s">
        <v>3136</v>
      </c>
      <c r="C1058" s="3" t="s">
        <v>1368</v>
      </c>
      <c r="D1058" s="3" t="s">
        <v>1247</v>
      </c>
      <c r="E1058" s="407" t="s">
        <v>3546</v>
      </c>
      <c r="F1058" s="3" t="s">
        <v>2443</v>
      </c>
      <c r="G1058" s="407" t="s">
        <v>4482</v>
      </c>
      <c r="H1058" s="440" t="s">
        <v>4109</v>
      </c>
      <c r="I1058" s="407" t="s">
        <v>4303</v>
      </c>
      <c r="J1058" s="407" t="s">
        <v>3784</v>
      </c>
      <c r="K1058" s="387" t="s">
        <v>4660</v>
      </c>
      <c r="L1058" s="387">
        <v>1</v>
      </c>
      <c r="M1058" s="387">
        <v>0</v>
      </c>
      <c r="N1058" s="387">
        <f t="shared" si="119"/>
        <v>1</v>
      </c>
      <c r="O1058" s="442">
        <f t="shared" si="120"/>
        <v>0</v>
      </c>
      <c r="P1058" s="387" t="s">
        <v>1358</v>
      </c>
      <c r="Q1058" s="459">
        <v>0</v>
      </c>
      <c r="R1058" s="459"/>
      <c r="S1058" s="456">
        <v>0</v>
      </c>
      <c r="T1058" s="456">
        <v>26.664000000000001</v>
      </c>
      <c r="U1058" s="410"/>
      <c r="V1058" s="411">
        <v>0</v>
      </c>
      <c r="W1058" s="411">
        <v>0</v>
      </c>
      <c r="X1058" s="411">
        <v>0</v>
      </c>
      <c r="Y1058" s="411"/>
      <c r="Z1058" s="411"/>
      <c r="AA1058" s="412">
        <f t="shared" si="121"/>
        <v>0</v>
      </c>
      <c r="AB1058" s="456">
        <f t="shared" si="122"/>
        <v>0</v>
      </c>
      <c r="AC1058" s="456">
        <v>0</v>
      </c>
      <c r="AD1058" s="2"/>
      <c r="AE1058" s="4"/>
      <c r="AF1058" s="5"/>
      <c r="AG1058" s="428"/>
    </row>
    <row r="1059" spans="2:33" hidden="1" x14ac:dyDescent="0.25">
      <c r="B1059" s="1" t="s">
        <v>3137</v>
      </c>
      <c r="C1059" s="3" t="s">
        <v>1368</v>
      </c>
      <c r="D1059" s="3" t="s">
        <v>1247</v>
      </c>
      <c r="E1059" s="407" t="s">
        <v>1402</v>
      </c>
      <c r="F1059" s="3" t="s">
        <v>2444</v>
      </c>
      <c r="G1059" s="407" t="s">
        <v>4481</v>
      </c>
      <c r="H1059" s="440" t="s">
        <v>4109</v>
      </c>
      <c r="I1059" s="407" t="s">
        <v>4302</v>
      </c>
      <c r="J1059" s="407" t="s">
        <v>3783</v>
      </c>
      <c r="K1059" s="387" t="s">
        <v>4659</v>
      </c>
      <c r="L1059" s="387">
        <v>1</v>
      </c>
      <c r="M1059" s="387">
        <v>0</v>
      </c>
      <c r="N1059" s="387">
        <f t="shared" si="119"/>
        <v>1</v>
      </c>
      <c r="O1059" s="442">
        <f t="shared" si="120"/>
        <v>0</v>
      </c>
      <c r="P1059" s="387" t="s">
        <v>1358</v>
      </c>
      <c r="Q1059" s="459">
        <v>0</v>
      </c>
      <c r="R1059" s="459"/>
      <c r="S1059" s="456">
        <v>0</v>
      </c>
      <c r="T1059" s="456">
        <v>27.417000000000002</v>
      </c>
      <c r="U1059" s="410"/>
      <c r="V1059" s="411">
        <v>0</v>
      </c>
      <c r="W1059" s="411">
        <v>0</v>
      </c>
      <c r="X1059" s="411">
        <v>0</v>
      </c>
      <c r="Y1059" s="411"/>
      <c r="Z1059" s="411"/>
      <c r="AA1059" s="412">
        <f t="shared" si="121"/>
        <v>0</v>
      </c>
      <c r="AB1059" s="456">
        <f t="shared" si="122"/>
        <v>0</v>
      </c>
      <c r="AC1059" s="456">
        <v>0</v>
      </c>
      <c r="AD1059" s="2"/>
      <c r="AE1059" s="4"/>
      <c r="AF1059" s="5"/>
      <c r="AG1059" s="428"/>
    </row>
    <row r="1060" spans="2:33" hidden="1" x14ac:dyDescent="0.25">
      <c r="B1060" s="1" t="s">
        <v>3138</v>
      </c>
      <c r="C1060" s="3" t="s">
        <v>1368</v>
      </c>
      <c r="D1060" s="3" t="s">
        <v>1247</v>
      </c>
      <c r="E1060" s="407" t="s">
        <v>1401</v>
      </c>
      <c r="F1060" s="3" t="s">
        <v>2445</v>
      </c>
      <c r="G1060" s="407" t="s">
        <v>4478</v>
      </c>
      <c r="H1060" s="440" t="s">
        <v>4109</v>
      </c>
      <c r="I1060" s="407" t="s">
        <v>4299</v>
      </c>
      <c r="J1060" s="407" t="s">
        <v>3780</v>
      </c>
      <c r="K1060" s="387" t="s">
        <v>4657</v>
      </c>
      <c r="L1060" s="387">
        <v>1</v>
      </c>
      <c r="M1060" s="387">
        <v>0</v>
      </c>
      <c r="N1060" s="387">
        <f t="shared" si="119"/>
        <v>1</v>
      </c>
      <c r="O1060" s="442">
        <f t="shared" si="120"/>
        <v>0</v>
      </c>
      <c r="P1060" s="387" t="s">
        <v>1358</v>
      </c>
      <c r="Q1060" s="459">
        <v>0</v>
      </c>
      <c r="R1060" s="459"/>
      <c r="S1060" s="456">
        <v>0</v>
      </c>
      <c r="T1060" s="456">
        <v>27.417000000000002</v>
      </c>
      <c r="U1060" s="410"/>
      <c r="V1060" s="411">
        <v>0</v>
      </c>
      <c r="W1060" s="411">
        <v>0</v>
      </c>
      <c r="X1060" s="411">
        <v>0</v>
      </c>
      <c r="Y1060" s="411"/>
      <c r="Z1060" s="411"/>
      <c r="AA1060" s="412">
        <f t="shared" si="121"/>
        <v>0</v>
      </c>
      <c r="AB1060" s="456">
        <f t="shared" si="122"/>
        <v>0</v>
      </c>
      <c r="AC1060" s="456">
        <v>0</v>
      </c>
      <c r="AD1060" s="2"/>
      <c r="AE1060" s="4"/>
      <c r="AF1060" s="5"/>
      <c r="AG1060" s="428"/>
    </row>
    <row r="1061" spans="2:33" hidden="1" x14ac:dyDescent="0.25">
      <c r="B1061" s="1" t="s">
        <v>3139</v>
      </c>
      <c r="C1061" s="3" t="s">
        <v>1368</v>
      </c>
      <c r="D1061" s="3" t="s">
        <v>1247</v>
      </c>
      <c r="E1061" s="407" t="s">
        <v>1400</v>
      </c>
      <c r="F1061" s="3" t="s">
        <v>2446</v>
      </c>
      <c r="G1061" s="407" t="s">
        <v>4477</v>
      </c>
      <c r="H1061" s="440" t="s">
        <v>4109</v>
      </c>
      <c r="I1061" s="407" t="s">
        <v>4298</v>
      </c>
      <c r="J1061" s="407" t="s">
        <v>3779</v>
      </c>
      <c r="K1061" s="387" t="s">
        <v>4656</v>
      </c>
      <c r="L1061" s="387">
        <v>1</v>
      </c>
      <c r="M1061" s="387">
        <v>0</v>
      </c>
      <c r="N1061" s="387">
        <f t="shared" si="119"/>
        <v>1</v>
      </c>
      <c r="O1061" s="442">
        <f t="shared" si="120"/>
        <v>1.0000000000000002</v>
      </c>
      <c r="P1061" s="387" t="s">
        <v>1358</v>
      </c>
      <c r="Q1061" s="459">
        <v>0</v>
      </c>
      <c r="R1061" s="459"/>
      <c r="S1061" s="456">
        <v>0</v>
      </c>
      <c r="T1061" s="456">
        <v>27.417000000000002</v>
      </c>
      <c r="U1061" s="410"/>
      <c r="V1061" s="411">
        <v>1</v>
      </c>
      <c r="W1061" s="411">
        <v>1</v>
      </c>
      <c r="X1061" s="411">
        <v>1</v>
      </c>
      <c r="Y1061" s="411"/>
      <c r="Z1061" s="411"/>
      <c r="AA1061" s="412">
        <f t="shared" si="121"/>
        <v>1.0000000000000002</v>
      </c>
      <c r="AB1061" s="456">
        <f t="shared" si="122"/>
        <v>27.417000000000005</v>
      </c>
      <c r="AC1061" s="456">
        <v>0</v>
      </c>
      <c r="AD1061" s="2"/>
      <c r="AE1061" s="4"/>
      <c r="AF1061" s="5"/>
      <c r="AG1061" s="428"/>
    </row>
    <row r="1062" spans="2:33" hidden="1" x14ac:dyDescent="0.25">
      <c r="B1062" s="1" t="s">
        <v>3140</v>
      </c>
      <c r="C1062" s="3" t="s">
        <v>1368</v>
      </c>
      <c r="D1062" s="3" t="s">
        <v>1247</v>
      </c>
      <c r="E1062" s="407" t="s">
        <v>1399</v>
      </c>
      <c r="F1062" s="3" t="s">
        <v>2447</v>
      </c>
      <c r="G1062" s="407" t="s">
        <v>4499</v>
      </c>
      <c r="H1062" s="440" t="s">
        <v>4109</v>
      </c>
      <c r="I1062" s="407" t="s">
        <v>4320</v>
      </c>
      <c r="J1062" s="407" t="s">
        <v>3758</v>
      </c>
      <c r="K1062" s="387" t="s">
        <v>4653</v>
      </c>
      <c r="L1062" s="387">
        <v>1</v>
      </c>
      <c r="M1062" s="387">
        <v>0</v>
      </c>
      <c r="N1062" s="387">
        <f t="shared" si="119"/>
        <v>1</v>
      </c>
      <c r="O1062" s="442">
        <f t="shared" si="120"/>
        <v>1.0000000000000002</v>
      </c>
      <c r="P1062" s="387" t="s">
        <v>1358</v>
      </c>
      <c r="Q1062" s="459">
        <v>0</v>
      </c>
      <c r="R1062" s="459"/>
      <c r="S1062" s="456">
        <v>0</v>
      </c>
      <c r="T1062" s="456">
        <v>27.417000000000002</v>
      </c>
      <c r="U1062" s="410"/>
      <c r="V1062" s="411">
        <v>1</v>
      </c>
      <c r="W1062" s="411">
        <v>1</v>
      </c>
      <c r="X1062" s="411">
        <v>1</v>
      </c>
      <c r="Y1062" s="411"/>
      <c r="Z1062" s="411"/>
      <c r="AA1062" s="412">
        <f t="shared" si="121"/>
        <v>1.0000000000000002</v>
      </c>
      <c r="AB1062" s="456">
        <f t="shared" si="122"/>
        <v>27.417000000000005</v>
      </c>
      <c r="AC1062" s="456">
        <v>0</v>
      </c>
      <c r="AD1062" s="2"/>
      <c r="AE1062" s="4"/>
      <c r="AF1062" s="5"/>
      <c r="AG1062" s="428"/>
    </row>
    <row r="1063" spans="2:33" hidden="1" x14ac:dyDescent="0.25">
      <c r="B1063" s="1" t="s">
        <v>3141</v>
      </c>
      <c r="C1063" s="3" t="s">
        <v>1368</v>
      </c>
      <c r="D1063" s="3" t="s">
        <v>1247</v>
      </c>
      <c r="E1063" s="407" t="s">
        <v>1396</v>
      </c>
      <c r="F1063" s="3" t="s">
        <v>2448</v>
      </c>
      <c r="G1063" s="407" t="s">
        <v>4498</v>
      </c>
      <c r="H1063" s="440" t="s">
        <v>4109</v>
      </c>
      <c r="I1063" s="407" t="s">
        <v>4319</v>
      </c>
      <c r="J1063" s="407" t="s">
        <v>3752</v>
      </c>
      <c r="K1063" s="387" t="s">
        <v>4652</v>
      </c>
      <c r="L1063" s="387">
        <v>1</v>
      </c>
      <c r="M1063" s="387">
        <v>0</v>
      </c>
      <c r="N1063" s="387">
        <f t="shared" si="119"/>
        <v>1</v>
      </c>
      <c r="O1063" s="442">
        <f t="shared" si="120"/>
        <v>1.0000000000000002</v>
      </c>
      <c r="P1063" s="387" t="s">
        <v>1358</v>
      </c>
      <c r="Q1063" s="459">
        <v>0</v>
      </c>
      <c r="R1063" s="459"/>
      <c r="S1063" s="456">
        <v>0</v>
      </c>
      <c r="T1063" s="456">
        <v>27.417000000000002</v>
      </c>
      <c r="U1063" s="410"/>
      <c r="V1063" s="411">
        <v>1</v>
      </c>
      <c r="W1063" s="411">
        <v>1</v>
      </c>
      <c r="X1063" s="411">
        <v>1</v>
      </c>
      <c r="Y1063" s="411"/>
      <c r="Z1063" s="411"/>
      <c r="AA1063" s="412">
        <f t="shared" si="121"/>
        <v>1.0000000000000002</v>
      </c>
      <c r="AB1063" s="456">
        <f t="shared" si="122"/>
        <v>27.417000000000005</v>
      </c>
      <c r="AC1063" s="456">
        <v>0</v>
      </c>
      <c r="AD1063" s="2"/>
      <c r="AE1063" s="4"/>
      <c r="AF1063" s="5"/>
      <c r="AG1063" s="428"/>
    </row>
    <row r="1064" spans="2:33" hidden="1" x14ac:dyDescent="0.25">
      <c r="B1064" s="1" t="s">
        <v>3142</v>
      </c>
      <c r="C1064" s="3" t="s">
        <v>1368</v>
      </c>
      <c r="D1064" s="3" t="s">
        <v>1247</v>
      </c>
      <c r="E1064" s="407" t="s">
        <v>1381</v>
      </c>
      <c r="F1064" s="3" t="s">
        <v>2449</v>
      </c>
      <c r="G1064" s="407" t="s">
        <v>4497</v>
      </c>
      <c r="H1064" s="440" t="s">
        <v>4109</v>
      </c>
      <c r="I1064" s="407" t="s">
        <v>4318</v>
      </c>
      <c r="J1064" s="407" t="s">
        <v>3751</v>
      </c>
      <c r="K1064" s="387" t="s">
        <v>4631</v>
      </c>
      <c r="L1064" s="387">
        <v>1</v>
      </c>
      <c r="M1064" s="387">
        <v>0</v>
      </c>
      <c r="N1064" s="387">
        <f t="shared" si="119"/>
        <v>1</v>
      </c>
      <c r="O1064" s="442">
        <f t="shared" si="120"/>
        <v>1.0000000000000002</v>
      </c>
      <c r="P1064" s="387" t="s">
        <v>1358</v>
      </c>
      <c r="Q1064" s="459">
        <v>0</v>
      </c>
      <c r="R1064" s="459"/>
      <c r="S1064" s="456">
        <v>0</v>
      </c>
      <c r="T1064" s="456">
        <v>27.417000000000002</v>
      </c>
      <c r="U1064" s="410"/>
      <c r="V1064" s="411">
        <v>1</v>
      </c>
      <c r="W1064" s="411">
        <v>1</v>
      </c>
      <c r="X1064" s="411">
        <v>1</v>
      </c>
      <c r="Y1064" s="411"/>
      <c r="Z1064" s="411"/>
      <c r="AA1064" s="412">
        <f t="shared" si="121"/>
        <v>1.0000000000000002</v>
      </c>
      <c r="AB1064" s="456">
        <f t="shared" si="122"/>
        <v>27.417000000000005</v>
      </c>
      <c r="AC1064" s="456">
        <v>0</v>
      </c>
      <c r="AD1064" s="2"/>
      <c r="AE1064" s="4"/>
      <c r="AF1064" s="5"/>
      <c r="AG1064" s="428"/>
    </row>
    <row r="1065" spans="2:33" hidden="1" x14ac:dyDescent="0.25">
      <c r="B1065" s="1" t="s">
        <v>3143</v>
      </c>
      <c r="C1065" s="3" t="s">
        <v>1368</v>
      </c>
      <c r="D1065" s="3" t="s">
        <v>1247</v>
      </c>
      <c r="E1065" s="407" t="s">
        <v>1379</v>
      </c>
      <c r="F1065" s="3" t="s">
        <v>2450</v>
      </c>
      <c r="G1065" s="407" t="s">
        <v>4502</v>
      </c>
      <c r="H1065" s="440" t="s">
        <v>4109</v>
      </c>
      <c r="I1065" s="407" t="s">
        <v>4323</v>
      </c>
      <c r="J1065" s="407" t="s">
        <v>3750</v>
      </c>
      <c r="K1065" s="387" t="s">
        <v>4632</v>
      </c>
      <c r="L1065" s="387">
        <v>1</v>
      </c>
      <c r="M1065" s="387">
        <v>0</v>
      </c>
      <c r="N1065" s="387">
        <f t="shared" si="119"/>
        <v>1</v>
      </c>
      <c r="O1065" s="442">
        <f t="shared" si="120"/>
        <v>1.0000000000000002</v>
      </c>
      <c r="P1065" s="387" t="s">
        <v>1358</v>
      </c>
      <c r="Q1065" s="459">
        <v>0</v>
      </c>
      <c r="R1065" s="459"/>
      <c r="S1065" s="456">
        <v>0</v>
      </c>
      <c r="T1065" s="456">
        <v>27.417000000000002</v>
      </c>
      <c r="U1065" s="410"/>
      <c r="V1065" s="411">
        <v>1</v>
      </c>
      <c r="W1065" s="411">
        <v>1</v>
      </c>
      <c r="X1065" s="411">
        <v>1</v>
      </c>
      <c r="Y1065" s="411"/>
      <c r="Z1065" s="411"/>
      <c r="AA1065" s="412">
        <f t="shared" si="121"/>
        <v>1.0000000000000002</v>
      </c>
      <c r="AB1065" s="456">
        <f t="shared" si="122"/>
        <v>27.417000000000005</v>
      </c>
      <c r="AC1065" s="456">
        <v>0</v>
      </c>
      <c r="AD1065" s="2"/>
      <c r="AE1065" s="4"/>
      <c r="AF1065" s="5"/>
      <c r="AG1065" s="428"/>
    </row>
    <row r="1066" spans="2:33" hidden="1" x14ac:dyDescent="0.25">
      <c r="B1066" s="1" t="s">
        <v>3144</v>
      </c>
      <c r="C1066" s="3" t="s">
        <v>1368</v>
      </c>
      <c r="D1066" s="3" t="s">
        <v>1247</v>
      </c>
      <c r="E1066" s="407" t="s">
        <v>1377</v>
      </c>
      <c r="F1066" s="3" t="s">
        <v>2451</v>
      </c>
      <c r="G1066" s="407" t="s">
        <v>4494</v>
      </c>
      <c r="H1066" s="440" t="s">
        <v>4109</v>
      </c>
      <c r="I1066" s="407" t="s">
        <v>4315</v>
      </c>
      <c r="J1066" s="407" t="s">
        <v>3749</v>
      </c>
      <c r="K1066" s="387" t="s">
        <v>4648</v>
      </c>
      <c r="L1066" s="387">
        <v>1</v>
      </c>
      <c r="M1066" s="387">
        <v>0</v>
      </c>
      <c r="N1066" s="387">
        <f t="shared" si="119"/>
        <v>1</v>
      </c>
      <c r="O1066" s="442">
        <f t="shared" si="120"/>
        <v>1.0000000000000002</v>
      </c>
      <c r="P1066" s="387" t="s">
        <v>1358</v>
      </c>
      <c r="Q1066" s="459">
        <v>0</v>
      </c>
      <c r="R1066" s="459"/>
      <c r="S1066" s="456">
        <v>0</v>
      </c>
      <c r="T1066" s="456">
        <v>27.417000000000002</v>
      </c>
      <c r="U1066" s="410"/>
      <c r="V1066" s="411">
        <v>1</v>
      </c>
      <c r="W1066" s="411">
        <v>1</v>
      </c>
      <c r="X1066" s="411">
        <v>1</v>
      </c>
      <c r="Y1066" s="411"/>
      <c r="Z1066" s="411"/>
      <c r="AA1066" s="412">
        <f t="shared" si="121"/>
        <v>1.0000000000000002</v>
      </c>
      <c r="AB1066" s="456">
        <f t="shared" si="122"/>
        <v>27.417000000000005</v>
      </c>
      <c r="AC1066" s="456">
        <v>0</v>
      </c>
      <c r="AD1066" s="2"/>
      <c r="AE1066" s="4"/>
      <c r="AF1066" s="5"/>
      <c r="AG1066" s="428"/>
    </row>
    <row r="1067" spans="2:33" hidden="1" x14ac:dyDescent="0.25">
      <c r="B1067" s="1" t="s">
        <v>3145</v>
      </c>
      <c r="C1067" s="3" t="s">
        <v>1368</v>
      </c>
      <c r="D1067" s="3" t="s">
        <v>1247</v>
      </c>
      <c r="E1067" s="407" t="s">
        <v>1374</v>
      </c>
      <c r="F1067" s="3" t="s">
        <v>2452</v>
      </c>
      <c r="G1067" s="407" t="s">
        <v>4495</v>
      </c>
      <c r="H1067" s="440" t="s">
        <v>4109</v>
      </c>
      <c r="I1067" s="407" t="s">
        <v>4316</v>
      </c>
      <c r="J1067" s="407" t="s">
        <v>3757</v>
      </c>
      <c r="K1067" s="387" t="s">
        <v>4649</v>
      </c>
      <c r="L1067" s="387">
        <v>1</v>
      </c>
      <c r="M1067" s="387">
        <v>0</v>
      </c>
      <c r="N1067" s="387">
        <f t="shared" si="119"/>
        <v>1</v>
      </c>
      <c r="O1067" s="442">
        <f t="shared" si="120"/>
        <v>1.0000000000000002</v>
      </c>
      <c r="P1067" s="387" t="s">
        <v>1358</v>
      </c>
      <c r="Q1067" s="459">
        <v>0</v>
      </c>
      <c r="R1067" s="459"/>
      <c r="S1067" s="456">
        <v>0</v>
      </c>
      <c r="T1067" s="456">
        <v>27.417000000000002</v>
      </c>
      <c r="U1067" s="410"/>
      <c r="V1067" s="411">
        <v>1</v>
      </c>
      <c r="W1067" s="411">
        <v>1</v>
      </c>
      <c r="X1067" s="411">
        <v>1</v>
      </c>
      <c r="Y1067" s="411"/>
      <c r="Z1067" s="411"/>
      <c r="AA1067" s="412">
        <f t="shared" si="121"/>
        <v>1.0000000000000002</v>
      </c>
      <c r="AB1067" s="456">
        <f t="shared" si="122"/>
        <v>27.417000000000005</v>
      </c>
      <c r="AC1067" s="456">
        <v>0</v>
      </c>
      <c r="AD1067" s="2"/>
      <c r="AE1067" s="4"/>
      <c r="AF1067" s="5"/>
      <c r="AG1067" s="428"/>
    </row>
    <row r="1068" spans="2:33" hidden="1" x14ac:dyDescent="0.25">
      <c r="B1068" s="1" t="s">
        <v>3146</v>
      </c>
      <c r="C1068" s="3" t="s">
        <v>1368</v>
      </c>
      <c r="D1068" s="3" t="s">
        <v>1247</v>
      </c>
      <c r="E1068" s="407" t="s">
        <v>1433</v>
      </c>
      <c r="F1068" s="3" t="s">
        <v>2453</v>
      </c>
      <c r="G1068" s="407" t="s">
        <v>4490</v>
      </c>
      <c r="H1068" s="440" t="s">
        <v>4109</v>
      </c>
      <c r="I1068" s="407" t="s">
        <v>4311</v>
      </c>
      <c r="J1068" s="407" t="s">
        <v>3792</v>
      </c>
      <c r="K1068" s="387" t="s">
        <v>4644</v>
      </c>
      <c r="L1068" s="387">
        <v>1</v>
      </c>
      <c r="M1068" s="387">
        <v>0</v>
      </c>
      <c r="N1068" s="387">
        <f t="shared" si="119"/>
        <v>1</v>
      </c>
      <c r="O1068" s="442">
        <f t="shared" si="120"/>
        <v>0</v>
      </c>
      <c r="P1068" s="387" t="s">
        <v>1358</v>
      </c>
      <c r="Q1068" s="459">
        <v>0</v>
      </c>
      <c r="R1068" s="459"/>
      <c r="S1068" s="456">
        <v>0</v>
      </c>
      <c r="T1068" s="456">
        <v>19.939</v>
      </c>
      <c r="U1068" s="410"/>
      <c r="V1068" s="411">
        <v>0</v>
      </c>
      <c r="W1068" s="411">
        <v>0</v>
      </c>
      <c r="X1068" s="411">
        <v>0</v>
      </c>
      <c r="Y1068" s="411"/>
      <c r="Z1068" s="411"/>
      <c r="AA1068" s="412">
        <f t="shared" si="121"/>
        <v>0</v>
      </c>
      <c r="AB1068" s="456">
        <f t="shared" si="122"/>
        <v>0</v>
      </c>
      <c r="AC1068" s="456">
        <v>0</v>
      </c>
      <c r="AD1068" s="2"/>
      <c r="AE1068" s="4"/>
      <c r="AF1068" s="5"/>
      <c r="AG1068" s="428"/>
    </row>
    <row r="1069" spans="2:33" hidden="1" x14ac:dyDescent="0.25">
      <c r="B1069" s="567" t="s">
        <v>4821</v>
      </c>
      <c r="C1069" s="3" t="s">
        <v>1368</v>
      </c>
      <c r="D1069" s="3" t="s">
        <v>1247</v>
      </c>
      <c r="E1069" s="407" t="s">
        <v>1374</v>
      </c>
      <c r="F1069" s="407" t="s">
        <v>4768</v>
      </c>
      <c r="G1069" s="407"/>
      <c r="H1069" s="440"/>
      <c r="I1069" s="407"/>
      <c r="J1069" s="407"/>
      <c r="K1069" s="387" t="s">
        <v>4648</v>
      </c>
      <c r="L1069" s="387">
        <v>1</v>
      </c>
      <c r="M1069" s="387">
        <v>0</v>
      </c>
      <c r="N1069" s="387">
        <f t="shared" ref="N1069" si="123">L1069+M1069</f>
        <v>1</v>
      </c>
      <c r="O1069" s="442">
        <f t="shared" ref="O1069" si="124">L1069*AA1069</f>
        <v>1</v>
      </c>
      <c r="P1069" s="387" t="s">
        <v>1358</v>
      </c>
      <c r="Q1069" s="459">
        <v>0</v>
      </c>
      <c r="R1069" s="459"/>
      <c r="S1069" s="456">
        <v>0</v>
      </c>
      <c r="T1069" s="456">
        <v>120</v>
      </c>
      <c r="U1069" s="410"/>
      <c r="V1069" s="411">
        <v>1</v>
      </c>
      <c r="W1069" s="411">
        <v>1</v>
      </c>
      <c r="X1069" s="411">
        <v>1</v>
      </c>
      <c r="Y1069" s="411"/>
      <c r="Z1069" s="411"/>
      <c r="AA1069" s="412">
        <f t="shared" ref="AA1069" si="125">AB1069/T1069</f>
        <v>1</v>
      </c>
      <c r="AB1069" s="456">
        <f t="shared" ref="AB1069" si="126">(V1069*V$369*T1069)+(W1069*W$369*T1069)+(X1069*X$369*T1069)</f>
        <v>120</v>
      </c>
      <c r="AC1069" s="456">
        <v>1</v>
      </c>
      <c r="AD1069" s="2"/>
      <c r="AE1069" s="4"/>
      <c r="AF1069" s="5"/>
      <c r="AG1069" s="428"/>
    </row>
    <row r="1070" spans="2:33" hidden="1" x14ac:dyDescent="0.25">
      <c r="B1070" s="1" t="s">
        <v>4822</v>
      </c>
      <c r="C1070" s="3" t="s">
        <v>1368</v>
      </c>
      <c r="D1070" s="3" t="s">
        <v>1247</v>
      </c>
      <c r="E1070" s="407" t="s">
        <v>4770</v>
      </c>
      <c r="F1070" s="407" t="s">
        <v>4769</v>
      </c>
      <c r="G1070" s="407"/>
      <c r="H1070" s="440"/>
      <c r="I1070" s="407"/>
      <c r="J1070" s="407"/>
      <c r="K1070" s="387" t="s">
        <v>4665</v>
      </c>
      <c r="L1070" s="387">
        <v>2</v>
      </c>
      <c r="M1070" s="387">
        <v>0</v>
      </c>
      <c r="N1070" s="387">
        <f t="shared" ref="N1070:N1077" si="127">L1070+M1070</f>
        <v>2</v>
      </c>
      <c r="O1070" s="442">
        <f t="shared" ref="O1070:O1075" si="128">L1070*AA1070</f>
        <v>2</v>
      </c>
      <c r="P1070" s="387" t="s">
        <v>1358</v>
      </c>
      <c r="Q1070" s="459">
        <v>0</v>
      </c>
      <c r="R1070" s="459"/>
      <c r="S1070" s="456">
        <v>0</v>
      </c>
      <c r="T1070" s="456">
        <v>44</v>
      </c>
      <c r="U1070" s="410"/>
      <c r="V1070" s="411">
        <v>1</v>
      </c>
      <c r="W1070" s="411">
        <v>1</v>
      </c>
      <c r="X1070" s="411">
        <v>1</v>
      </c>
      <c r="Y1070" s="411"/>
      <c r="Z1070" s="411"/>
      <c r="AA1070" s="412">
        <f t="shared" ref="AA1070" si="129">AB1070/T1070</f>
        <v>1</v>
      </c>
      <c r="AB1070" s="456">
        <f>(V1070*V$369*T1070)+(W1070*W$369*T1070)+(X1070*X$369*T1070)</f>
        <v>44</v>
      </c>
      <c r="AC1070" s="456">
        <v>2</v>
      </c>
      <c r="AD1070" s="2"/>
      <c r="AE1070" s="4"/>
      <c r="AF1070" s="5"/>
      <c r="AG1070" s="428"/>
    </row>
    <row r="1071" spans="2:33" hidden="1" x14ac:dyDescent="0.25">
      <c r="B1071" s="1" t="s">
        <v>4969</v>
      </c>
      <c r="C1071" s="3" t="s">
        <v>1368</v>
      </c>
      <c r="D1071" s="3" t="s">
        <v>1247</v>
      </c>
      <c r="E1071" s="407" t="s">
        <v>3292</v>
      </c>
      <c r="F1071" s="407" t="s">
        <v>4937</v>
      </c>
      <c r="G1071" s="407"/>
      <c r="H1071" s="440"/>
      <c r="I1071" s="407"/>
      <c r="J1071" s="407"/>
      <c r="K1071" s="387" t="s">
        <v>4936</v>
      </c>
      <c r="L1071" s="387">
        <v>1</v>
      </c>
      <c r="M1071" s="387">
        <v>0</v>
      </c>
      <c r="N1071" s="387">
        <f t="shared" si="127"/>
        <v>1</v>
      </c>
      <c r="O1071" s="442">
        <f t="shared" si="128"/>
        <v>1</v>
      </c>
      <c r="P1071" s="387" t="s">
        <v>1358</v>
      </c>
      <c r="Q1071" s="459">
        <v>0</v>
      </c>
      <c r="R1071" s="459"/>
      <c r="S1071" s="456">
        <v>0</v>
      </c>
      <c r="T1071" s="456">
        <v>21.62</v>
      </c>
      <c r="U1071" s="410"/>
      <c r="V1071" s="411">
        <v>1</v>
      </c>
      <c r="W1071" s="411">
        <v>1</v>
      </c>
      <c r="X1071" s="411">
        <v>1</v>
      </c>
      <c r="Y1071" s="411"/>
      <c r="Z1071" s="411"/>
      <c r="AA1071" s="412">
        <f t="shared" ref="AA1071:AA1074" si="130">AB1071/T1071</f>
        <v>1</v>
      </c>
      <c r="AB1071" s="456">
        <f t="shared" ref="AB1071:AB1077" si="131">(V1071*V$369*T1071)+(W1071*W$369*T1071)+(X1071*X$369*T1071)</f>
        <v>21.62</v>
      </c>
      <c r="AC1071" s="456">
        <v>0</v>
      </c>
      <c r="AD1071" s="2"/>
      <c r="AE1071" s="4"/>
      <c r="AF1071" s="5"/>
      <c r="AG1071" s="428"/>
    </row>
    <row r="1072" spans="2:33" hidden="1" x14ac:dyDescent="0.25">
      <c r="B1072" s="1" t="s">
        <v>4970</v>
      </c>
      <c r="C1072" s="3" t="s">
        <v>1368</v>
      </c>
      <c r="D1072" s="3" t="s">
        <v>1247</v>
      </c>
      <c r="E1072" s="407" t="s">
        <v>3292</v>
      </c>
      <c r="F1072" s="407" t="s">
        <v>4938</v>
      </c>
      <c r="G1072" s="407"/>
      <c r="H1072" s="440"/>
      <c r="I1072" s="407"/>
      <c r="J1072" s="407"/>
      <c r="K1072" s="387" t="s">
        <v>4936</v>
      </c>
      <c r="L1072" s="387">
        <v>1</v>
      </c>
      <c r="M1072" s="387">
        <v>0</v>
      </c>
      <c r="N1072" s="387">
        <f t="shared" ref="N1072" si="132">L1072+M1072</f>
        <v>1</v>
      </c>
      <c r="O1072" s="442">
        <f t="shared" si="128"/>
        <v>1.0000000000000002</v>
      </c>
      <c r="P1072" s="387" t="s">
        <v>1358</v>
      </c>
      <c r="Q1072" s="459">
        <v>0</v>
      </c>
      <c r="R1072" s="459"/>
      <c r="S1072" s="456">
        <v>0</v>
      </c>
      <c r="T1072" s="456">
        <v>77.3</v>
      </c>
      <c r="U1072" s="410"/>
      <c r="V1072" s="411">
        <v>1</v>
      </c>
      <c r="W1072" s="411">
        <v>1</v>
      </c>
      <c r="X1072" s="411">
        <v>1</v>
      </c>
      <c r="Y1072" s="411"/>
      <c r="Z1072" s="411"/>
      <c r="AA1072" s="412">
        <f t="shared" si="130"/>
        <v>1.0000000000000002</v>
      </c>
      <c r="AB1072" s="456">
        <f t="shared" si="131"/>
        <v>77.300000000000011</v>
      </c>
      <c r="AC1072" s="456">
        <v>0</v>
      </c>
      <c r="AD1072" s="2"/>
      <c r="AE1072" s="4"/>
      <c r="AF1072" s="5"/>
      <c r="AG1072" s="428"/>
    </row>
    <row r="1073" spans="2:33" hidden="1" x14ac:dyDescent="0.25">
      <c r="B1073" s="1" t="s">
        <v>4971</v>
      </c>
      <c r="C1073" s="3" t="s">
        <v>1368</v>
      </c>
      <c r="D1073" s="3" t="s">
        <v>1247</v>
      </c>
      <c r="E1073" s="407" t="s">
        <v>3292</v>
      </c>
      <c r="F1073" s="407" t="s">
        <v>4939</v>
      </c>
      <c r="G1073" s="407"/>
      <c r="H1073" s="440"/>
      <c r="I1073" s="407"/>
      <c r="J1073" s="407"/>
      <c r="K1073" s="387" t="s">
        <v>4936</v>
      </c>
      <c r="L1073" s="387">
        <v>1</v>
      </c>
      <c r="M1073" s="387">
        <v>0</v>
      </c>
      <c r="N1073" s="387">
        <f t="shared" ref="N1073" si="133">L1073+M1073</f>
        <v>1</v>
      </c>
      <c r="O1073" s="442">
        <f t="shared" si="128"/>
        <v>1.0000000000000002</v>
      </c>
      <c r="P1073" s="387" t="s">
        <v>1358</v>
      </c>
      <c r="Q1073" s="459">
        <v>0</v>
      </c>
      <c r="R1073" s="459"/>
      <c r="S1073" s="456">
        <v>0</v>
      </c>
      <c r="T1073" s="456">
        <v>77.3</v>
      </c>
      <c r="U1073" s="410"/>
      <c r="V1073" s="411">
        <v>1</v>
      </c>
      <c r="W1073" s="411">
        <v>1</v>
      </c>
      <c r="X1073" s="411">
        <v>1</v>
      </c>
      <c r="Y1073" s="411"/>
      <c r="Z1073" s="411"/>
      <c r="AA1073" s="412">
        <f t="shared" si="130"/>
        <v>1.0000000000000002</v>
      </c>
      <c r="AB1073" s="456">
        <f t="shared" si="131"/>
        <v>77.300000000000011</v>
      </c>
      <c r="AC1073" s="456">
        <v>0</v>
      </c>
      <c r="AD1073" s="2"/>
      <c r="AE1073" s="4"/>
      <c r="AF1073" s="5"/>
      <c r="AG1073" s="428"/>
    </row>
    <row r="1074" spans="2:33" hidden="1" x14ac:dyDescent="0.25">
      <c r="B1074" s="1" t="s">
        <v>4972</v>
      </c>
      <c r="C1074" s="3" t="s">
        <v>1368</v>
      </c>
      <c r="D1074" s="3" t="s">
        <v>1247</v>
      </c>
      <c r="E1074" s="407" t="s">
        <v>3292</v>
      </c>
      <c r="F1074" s="407" t="s">
        <v>4940</v>
      </c>
      <c r="G1074" s="407"/>
      <c r="H1074" s="440"/>
      <c r="I1074" s="407"/>
      <c r="J1074" s="407"/>
      <c r="K1074" s="387" t="s">
        <v>4936</v>
      </c>
      <c r="L1074" s="387">
        <v>1</v>
      </c>
      <c r="M1074" s="387">
        <v>0</v>
      </c>
      <c r="N1074" s="387">
        <f t="shared" si="127"/>
        <v>1</v>
      </c>
      <c r="O1074" s="442">
        <f t="shared" si="128"/>
        <v>1.0000000000000002</v>
      </c>
      <c r="P1074" s="387" t="s">
        <v>1358</v>
      </c>
      <c r="Q1074" s="459">
        <v>0</v>
      </c>
      <c r="R1074" s="459"/>
      <c r="S1074" s="456">
        <v>0</v>
      </c>
      <c r="T1074" s="456">
        <v>13.41</v>
      </c>
      <c r="U1074" s="410"/>
      <c r="V1074" s="411">
        <v>1</v>
      </c>
      <c r="W1074" s="411">
        <v>1</v>
      </c>
      <c r="X1074" s="411">
        <v>1</v>
      </c>
      <c r="Y1074" s="411"/>
      <c r="Z1074" s="411"/>
      <c r="AA1074" s="412">
        <f t="shared" si="130"/>
        <v>1.0000000000000002</v>
      </c>
      <c r="AB1074" s="456">
        <f t="shared" si="131"/>
        <v>13.410000000000004</v>
      </c>
      <c r="AC1074" s="456">
        <v>0</v>
      </c>
      <c r="AD1074" s="2"/>
      <c r="AE1074" s="4"/>
      <c r="AF1074" s="5"/>
      <c r="AG1074" s="428"/>
    </row>
    <row r="1075" spans="2:33" hidden="1" x14ac:dyDescent="0.25">
      <c r="B1075" s="1"/>
      <c r="C1075" s="3" t="s">
        <v>1368</v>
      </c>
      <c r="D1075" s="3" t="s">
        <v>1247</v>
      </c>
      <c r="E1075" s="407" t="s">
        <v>3291</v>
      </c>
      <c r="F1075" s="407" t="s">
        <v>3771</v>
      </c>
      <c r="G1075" s="407"/>
      <c r="H1075" s="440"/>
      <c r="I1075" s="407"/>
      <c r="J1075" s="407"/>
      <c r="K1075" s="387" t="s">
        <v>4936</v>
      </c>
      <c r="L1075" s="387">
        <v>1</v>
      </c>
      <c r="M1075" s="387">
        <v>0</v>
      </c>
      <c r="N1075" s="387">
        <f t="shared" si="127"/>
        <v>1</v>
      </c>
      <c r="O1075" s="442">
        <f t="shared" si="128"/>
        <v>1.0000000000000002</v>
      </c>
      <c r="P1075" s="387" t="s">
        <v>1358</v>
      </c>
      <c r="Q1075" s="459">
        <v>0</v>
      </c>
      <c r="R1075" s="459"/>
      <c r="S1075" s="456">
        <v>0</v>
      </c>
      <c r="T1075" s="456">
        <v>15.609</v>
      </c>
      <c r="U1075" s="410"/>
      <c r="V1075" s="411">
        <v>1</v>
      </c>
      <c r="W1075" s="411">
        <v>1</v>
      </c>
      <c r="X1075" s="411">
        <v>1</v>
      </c>
      <c r="Y1075" s="411"/>
      <c r="Z1075" s="411"/>
      <c r="AA1075" s="412">
        <f t="shared" ref="AA1075" si="134">AB1075/T1075</f>
        <v>1.0000000000000002</v>
      </c>
      <c r="AB1075" s="456">
        <f t="shared" ref="AB1075" si="135">(V1075*V$369*T1075)+(W1075*W$369*T1075)+(X1075*X$369*T1075)</f>
        <v>15.609000000000002</v>
      </c>
      <c r="AC1075" s="456"/>
      <c r="AD1075" s="2"/>
      <c r="AE1075" s="4"/>
      <c r="AF1075" s="5"/>
      <c r="AG1075" s="428"/>
    </row>
    <row r="1076" spans="2:33" hidden="1" x14ac:dyDescent="0.25">
      <c r="B1076" s="1" t="s">
        <v>5146</v>
      </c>
      <c r="C1076" s="3" t="s">
        <v>1368</v>
      </c>
      <c r="D1076" s="3" t="s">
        <v>1247</v>
      </c>
      <c r="E1076" s="407" t="s">
        <v>3292</v>
      </c>
      <c r="F1076" s="407" t="s">
        <v>5140</v>
      </c>
      <c r="G1076" s="407"/>
      <c r="H1076" s="440"/>
      <c r="I1076" s="407"/>
      <c r="J1076" s="407"/>
      <c r="K1076" s="387" t="s">
        <v>4936</v>
      </c>
      <c r="L1076" s="387">
        <v>1</v>
      </c>
      <c r="M1076" s="387">
        <v>0</v>
      </c>
      <c r="N1076" s="387">
        <f t="shared" si="127"/>
        <v>1</v>
      </c>
      <c r="O1076" s="442">
        <f t="shared" ref="O1076:O1077" si="136">L1076*AA1076</f>
        <v>1.0000000000000002</v>
      </c>
      <c r="P1076" s="387" t="s">
        <v>1358</v>
      </c>
      <c r="Q1076" s="459">
        <v>0</v>
      </c>
      <c r="R1076" s="459"/>
      <c r="S1076" s="456">
        <v>0</v>
      </c>
      <c r="T1076" s="456">
        <v>118.82</v>
      </c>
      <c r="U1076" s="410"/>
      <c r="V1076" s="411">
        <v>1</v>
      </c>
      <c r="W1076" s="411">
        <v>1</v>
      </c>
      <c r="X1076" s="411">
        <v>1</v>
      </c>
      <c r="Y1076" s="411"/>
      <c r="Z1076" s="411"/>
      <c r="AA1076" s="412">
        <f t="shared" ref="AA1076:AA1077" si="137">AB1076/T1076</f>
        <v>1.0000000000000002</v>
      </c>
      <c r="AB1076" s="456">
        <f t="shared" si="131"/>
        <v>118.82000000000001</v>
      </c>
      <c r="AC1076" s="456"/>
      <c r="AD1076" s="2"/>
      <c r="AE1076" s="4"/>
      <c r="AF1076" s="5"/>
      <c r="AG1076" s="428"/>
    </row>
    <row r="1077" spans="2:33" hidden="1" x14ac:dyDescent="0.25">
      <c r="B1077" s="571" t="s">
        <v>5220</v>
      </c>
      <c r="C1077" s="3" t="s">
        <v>1368</v>
      </c>
      <c r="D1077" s="3" t="s">
        <v>1247</v>
      </c>
      <c r="E1077" s="407" t="s">
        <v>3292</v>
      </c>
      <c r="F1077" s="407" t="s">
        <v>5160</v>
      </c>
      <c r="G1077" s="407"/>
      <c r="H1077" s="440"/>
      <c r="I1077" s="407"/>
      <c r="J1077" s="407"/>
      <c r="K1077" s="387" t="s">
        <v>4936</v>
      </c>
      <c r="L1077" s="387">
        <v>1</v>
      </c>
      <c r="M1077" s="387">
        <v>0</v>
      </c>
      <c r="N1077" s="387">
        <f t="shared" si="127"/>
        <v>1</v>
      </c>
      <c r="O1077" s="442">
        <f t="shared" si="136"/>
        <v>1.0000000000000002</v>
      </c>
      <c r="P1077" s="387" t="s">
        <v>1358</v>
      </c>
      <c r="Q1077" s="459">
        <v>0</v>
      </c>
      <c r="R1077" s="459"/>
      <c r="S1077" s="456">
        <v>0</v>
      </c>
      <c r="T1077" s="456">
        <v>118.82</v>
      </c>
      <c r="U1077" s="410"/>
      <c r="V1077" s="411">
        <v>1</v>
      </c>
      <c r="W1077" s="411">
        <v>1</v>
      </c>
      <c r="X1077" s="411">
        <v>1</v>
      </c>
      <c r="Y1077" s="411"/>
      <c r="Z1077" s="411"/>
      <c r="AA1077" s="412">
        <f t="shared" si="137"/>
        <v>1.0000000000000002</v>
      </c>
      <c r="AB1077" s="456">
        <f t="shared" si="131"/>
        <v>118.82000000000001</v>
      </c>
      <c r="AC1077" s="456"/>
      <c r="AD1077" s="2"/>
      <c r="AE1077" s="4"/>
      <c r="AF1077" s="5"/>
      <c r="AG1077" s="428"/>
    </row>
    <row r="1078" spans="2:33" hidden="1" x14ac:dyDescent="0.25">
      <c r="B1078" s="1" t="s">
        <v>4703</v>
      </c>
      <c r="C1078" s="3" t="s">
        <v>1368</v>
      </c>
      <c r="D1078" s="3" t="s">
        <v>1247</v>
      </c>
      <c r="E1078" s="407" t="s">
        <v>3759</v>
      </c>
      <c r="F1078" s="407"/>
      <c r="G1078" s="407" t="s">
        <v>4504</v>
      </c>
      <c r="H1078" s="440" t="s">
        <v>4109</v>
      </c>
      <c r="I1078" s="407" t="s">
        <v>4325</v>
      </c>
      <c r="J1078" s="407" t="s">
        <v>3748</v>
      </c>
      <c r="K1078" s="387" t="s">
        <v>3171</v>
      </c>
      <c r="L1078" s="387">
        <v>557.71500000000003</v>
      </c>
      <c r="M1078" s="387">
        <v>0</v>
      </c>
      <c r="N1078" s="387">
        <f t="shared" ref="N1078:N1126" si="138">L1078+M1078</f>
        <v>557.71500000000003</v>
      </c>
      <c r="O1078" s="442">
        <f t="shared" ref="O1078:O1126" si="139">L1078*AA1078</f>
        <v>72.502950000000013</v>
      </c>
      <c r="P1078" s="387" t="s">
        <v>1361</v>
      </c>
      <c r="Q1078" s="456">
        <v>1698.6</v>
      </c>
      <c r="R1078" s="459"/>
      <c r="S1078" s="456">
        <v>0</v>
      </c>
      <c r="T1078" s="456">
        <v>1698.6</v>
      </c>
      <c r="U1078" s="410"/>
      <c r="V1078" s="411">
        <v>0.13</v>
      </c>
      <c r="W1078" s="411">
        <v>0.13</v>
      </c>
      <c r="X1078" s="411">
        <v>0.13</v>
      </c>
      <c r="Y1078" s="411"/>
      <c r="Z1078" s="411"/>
      <c r="AA1078" s="412">
        <f t="shared" ref="AA1078" si="140">AB1078/T1078</f>
        <v>0.13</v>
      </c>
      <c r="AB1078" s="456">
        <f t="shared" ref="AB1078:AB1093" si="141">(V1078*V$369*T1078)+(W1078*W$369*T1078)+(X1078*X$369*T1078)</f>
        <v>220.81799999999998</v>
      </c>
      <c r="AC1078" s="456">
        <v>0</v>
      </c>
      <c r="AD1078" s="2"/>
      <c r="AE1078" s="4"/>
      <c r="AF1078" s="5"/>
      <c r="AG1078" s="428"/>
    </row>
    <row r="1079" spans="2:33" hidden="1" x14ac:dyDescent="0.25">
      <c r="B1079" s="430" t="s">
        <v>5123</v>
      </c>
      <c r="C1079" s="3" t="s">
        <v>1368</v>
      </c>
      <c r="D1079" s="3" t="s">
        <v>1247</v>
      </c>
      <c r="E1079" s="407" t="s">
        <v>5100</v>
      </c>
      <c r="F1079" s="407"/>
      <c r="G1079" s="407"/>
      <c r="H1079" s="440"/>
      <c r="I1079" s="407"/>
      <c r="J1079" s="407"/>
      <c r="K1079" s="387" t="s">
        <v>5037</v>
      </c>
      <c r="L1079" s="387">
        <v>68.923000000000002</v>
      </c>
      <c r="M1079" s="387">
        <v>0</v>
      </c>
      <c r="N1079" s="387">
        <f>L1079+M1079</f>
        <v>68.923000000000002</v>
      </c>
      <c r="O1079" s="442">
        <f>L1079*AA1079</f>
        <v>45.764871999999997</v>
      </c>
      <c r="P1079" s="387" t="s">
        <v>1361</v>
      </c>
      <c r="Q1079" s="459">
        <v>1101.7</v>
      </c>
      <c r="R1079" s="459"/>
      <c r="S1079" s="456">
        <v>0</v>
      </c>
      <c r="T1079" s="459">
        <v>1101.7</v>
      </c>
      <c r="U1079" s="410"/>
      <c r="V1079" s="411">
        <v>1</v>
      </c>
      <c r="W1079" s="411">
        <v>0.63</v>
      </c>
      <c r="X1079" s="411">
        <v>0.6</v>
      </c>
      <c r="Y1079" s="411"/>
      <c r="Z1079" s="411"/>
      <c r="AA1079" s="412">
        <f>AB1079/T1079</f>
        <v>0.66399999999999992</v>
      </c>
      <c r="AB1079" s="456">
        <f>(V1079*V$369*T1079)+(W1079*W$369*T1079)+(X1079*X$369*T1079)</f>
        <v>731.52879999999993</v>
      </c>
      <c r="AC1079" s="456">
        <v>0</v>
      </c>
      <c r="AD1079" s="2"/>
      <c r="AE1079" s="4"/>
      <c r="AF1079" s="5"/>
      <c r="AG1079" s="428"/>
    </row>
    <row r="1080" spans="2:33" hidden="1" x14ac:dyDescent="0.25">
      <c r="B1080" s="430" t="s">
        <v>4955</v>
      </c>
      <c r="C1080" s="3" t="s">
        <v>1368</v>
      </c>
      <c r="D1080" s="3" t="s">
        <v>1247</v>
      </c>
      <c r="E1080" s="407" t="s">
        <v>4956</v>
      </c>
      <c r="F1080" s="407"/>
      <c r="G1080" s="407"/>
      <c r="H1080" s="440"/>
      <c r="I1080" s="407"/>
      <c r="J1080" s="407"/>
      <c r="K1080" s="387" t="s">
        <v>4885</v>
      </c>
      <c r="L1080" s="387">
        <v>438.25399999999991</v>
      </c>
      <c r="M1080" s="387">
        <v>0</v>
      </c>
      <c r="N1080" s="387">
        <v>0</v>
      </c>
      <c r="O1080" s="442">
        <f>L1080*AA1080</f>
        <v>238.84842999999998</v>
      </c>
      <c r="P1080" s="387" t="s">
        <v>1361</v>
      </c>
      <c r="Q1080" s="459">
        <v>1552</v>
      </c>
      <c r="R1080" s="459"/>
      <c r="S1080" s="456">
        <v>0</v>
      </c>
      <c r="T1080" s="459">
        <v>1552</v>
      </c>
      <c r="U1080" s="410"/>
      <c r="V1080" s="411">
        <v>1</v>
      </c>
      <c r="W1080" s="411">
        <v>0.5</v>
      </c>
      <c r="X1080" s="411">
        <v>0.45</v>
      </c>
      <c r="Y1080" s="411"/>
      <c r="Z1080" s="411"/>
      <c r="AA1080" s="412">
        <f t="shared" ref="AA1080" si="142">AB1080/T1080</f>
        <v>0.54500000000000004</v>
      </c>
      <c r="AB1080" s="456">
        <f>(V1080*V$369*T1080)+(W1080*W$369*T1080)+(X1080*X$369*T1080)</f>
        <v>845.84000000000015</v>
      </c>
      <c r="AC1080" s="456">
        <v>1</v>
      </c>
      <c r="AD1080" s="2"/>
      <c r="AE1080" s="4"/>
      <c r="AF1080" s="5"/>
      <c r="AG1080" s="428"/>
    </row>
    <row r="1081" spans="2:33" hidden="1" x14ac:dyDescent="0.25">
      <c r="B1081" s="1" t="s">
        <v>4712</v>
      </c>
      <c r="C1081" s="3" t="s">
        <v>1368</v>
      </c>
      <c r="D1081" s="3" t="s">
        <v>1247</v>
      </c>
      <c r="E1081" s="407" t="s">
        <v>3768</v>
      </c>
      <c r="F1081" s="407"/>
      <c r="G1081" s="407" t="s">
        <v>4513</v>
      </c>
      <c r="H1081" s="440" t="s">
        <v>4109</v>
      </c>
      <c r="I1081" s="407" t="s">
        <v>4334</v>
      </c>
      <c r="J1081" s="407" t="s">
        <v>3757</v>
      </c>
      <c r="K1081" s="387" t="s">
        <v>3180</v>
      </c>
      <c r="L1081" s="387">
        <v>874.01</v>
      </c>
      <c r="M1081" s="387">
        <v>0</v>
      </c>
      <c r="N1081" s="387">
        <f>L1081+M1081</f>
        <v>874.01</v>
      </c>
      <c r="O1081" s="442">
        <f>L1081*AA1081</f>
        <v>201.02229999999997</v>
      </c>
      <c r="P1081" s="387" t="s">
        <v>1361</v>
      </c>
      <c r="Q1081" s="459">
        <v>1119.1879999999994</v>
      </c>
      <c r="R1081" s="459"/>
      <c r="S1081" s="456">
        <v>0</v>
      </c>
      <c r="T1081" s="459">
        <v>1119.1879999999994</v>
      </c>
      <c r="U1081" s="410"/>
      <c r="V1081" s="411">
        <v>1</v>
      </c>
      <c r="W1081" s="411">
        <v>0.15</v>
      </c>
      <c r="X1081" s="411">
        <v>0.1</v>
      </c>
      <c r="Y1081" s="411"/>
      <c r="Z1081" s="411"/>
      <c r="AA1081" s="412">
        <f>AB1081/T1081</f>
        <v>0.22999999999999998</v>
      </c>
      <c r="AB1081" s="456">
        <f>(V1081*V$369*T1081)+(W1081*W$369*T1081)+(X1081*X$369*T1081)</f>
        <v>257.41323999999986</v>
      </c>
      <c r="AC1081" s="456">
        <v>0</v>
      </c>
      <c r="AD1081" s="2"/>
      <c r="AE1081" s="4"/>
      <c r="AF1081" s="5"/>
      <c r="AG1081" s="428"/>
    </row>
    <row r="1082" spans="2:33" hidden="1" x14ac:dyDescent="0.25">
      <c r="B1082" s="1" t="s">
        <v>4704</v>
      </c>
      <c r="C1082" s="3" t="s">
        <v>1368</v>
      </c>
      <c r="D1082" s="3" t="s">
        <v>1247</v>
      </c>
      <c r="E1082" s="407" t="s">
        <v>3760</v>
      </c>
      <c r="F1082" s="407"/>
      <c r="G1082" s="407" t="s">
        <v>4505</v>
      </c>
      <c r="H1082" s="440" t="s">
        <v>4109</v>
      </c>
      <c r="I1082" s="407" t="s">
        <v>4326</v>
      </c>
      <c r="J1082" s="407" t="s">
        <v>3749</v>
      </c>
      <c r="K1082" s="387" t="s">
        <v>3172</v>
      </c>
      <c r="L1082" s="387">
        <v>638.73</v>
      </c>
      <c r="M1082" s="387">
        <v>0</v>
      </c>
      <c r="N1082" s="387">
        <f t="shared" si="138"/>
        <v>638.73</v>
      </c>
      <c r="O1082" s="442">
        <f t="shared" si="139"/>
        <v>424.11671999999999</v>
      </c>
      <c r="P1082" s="387" t="s">
        <v>1361</v>
      </c>
      <c r="Q1082" s="459">
        <v>2191.1069999999982</v>
      </c>
      <c r="R1082" s="459"/>
      <c r="S1082" s="456">
        <v>0</v>
      </c>
      <c r="T1082" s="459">
        <v>2191.1069999999982</v>
      </c>
      <c r="U1082" s="410"/>
      <c r="V1082" s="411">
        <v>1</v>
      </c>
      <c r="W1082" s="411">
        <v>0.63</v>
      </c>
      <c r="X1082" s="411">
        <v>0.6</v>
      </c>
      <c r="Y1082" s="411"/>
      <c r="Z1082" s="411"/>
      <c r="AA1082" s="412">
        <f t="shared" ref="AA1082:AA1104" si="143">AB1082/T1082</f>
        <v>0.66399999999999992</v>
      </c>
      <c r="AB1082" s="456">
        <f t="shared" si="141"/>
        <v>1454.8950479999987</v>
      </c>
      <c r="AC1082" s="456">
        <v>0</v>
      </c>
      <c r="AD1082" s="2"/>
      <c r="AE1082" s="4"/>
      <c r="AF1082" s="5"/>
      <c r="AG1082" s="428"/>
    </row>
    <row r="1083" spans="2:33" hidden="1" x14ac:dyDescent="0.25">
      <c r="B1083" s="1" t="s">
        <v>4705</v>
      </c>
      <c r="C1083" s="3" t="s">
        <v>1368</v>
      </c>
      <c r="D1083" s="3" t="s">
        <v>1247</v>
      </c>
      <c r="E1083" s="407" t="s">
        <v>3761</v>
      </c>
      <c r="F1083" s="407"/>
      <c r="G1083" s="407" t="s">
        <v>4506</v>
      </c>
      <c r="H1083" s="440" t="s">
        <v>4109</v>
      </c>
      <c r="I1083" s="407" t="s">
        <v>4327</v>
      </c>
      <c r="J1083" s="407" t="s">
        <v>3750</v>
      </c>
      <c r="K1083" s="387" t="s">
        <v>3173</v>
      </c>
      <c r="L1083" s="387">
        <v>882.92199999999991</v>
      </c>
      <c r="M1083" s="387">
        <v>0</v>
      </c>
      <c r="N1083" s="387">
        <f t="shared" si="138"/>
        <v>882.92199999999991</v>
      </c>
      <c r="O1083" s="442">
        <f t="shared" si="139"/>
        <v>644.53305999999986</v>
      </c>
      <c r="P1083" s="387" t="s">
        <v>1361</v>
      </c>
      <c r="Q1083" s="459">
        <v>3348.9789999999966</v>
      </c>
      <c r="R1083" s="459"/>
      <c r="S1083" s="456">
        <v>0</v>
      </c>
      <c r="T1083" s="459">
        <v>3348.9789999999966</v>
      </c>
      <c r="U1083" s="410"/>
      <c r="V1083" s="411">
        <v>1</v>
      </c>
      <c r="W1083" s="411">
        <v>0.7</v>
      </c>
      <c r="X1083" s="411">
        <v>0.7</v>
      </c>
      <c r="Y1083" s="411"/>
      <c r="Z1083" s="411"/>
      <c r="AA1083" s="412">
        <f t="shared" si="143"/>
        <v>0.72999999999999987</v>
      </c>
      <c r="AB1083" s="456">
        <f t="shared" si="141"/>
        <v>2444.7546699999971</v>
      </c>
      <c r="AC1083" s="456">
        <v>0</v>
      </c>
      <c r="AD1083" s="2"/>
      <c r="AE1083" s="4"/>
      <c r="AF1083" s="5"/>
      <c r="AG1083" s="428"/>
    </row>
    <row r="1084" spans="2:33" hidden="1" x14ac:dyDescent="0.25">
      <c r="B1084" s="1" t="s">
        <v>4706</v>
      </c>
      <c r="C1084" s="3" t="s">
        <v>1368</v>
      </c>
      <c r="D1084" s="3" t="s">
        <v>1247</v>
      </c>
      <c r="E1084" s="407" t="s">
        <v>3762</v>
      </c>
      <c r="F1084" s="407"/>
      <c r="G1084" s="407" t="s">
        <v>4507</v>
      </c>
      <c r="H1084" s="440" t="s">
        <v>4109</v>
      </c>
      <c r="I1084" s="407" t="s">
        <v>4328</v>
      </c>
      <c r="J1084" s="407" t="s">
        <v>3751</v>
      </c>
      <c r="K1084" s="387" t="s">
        <v>3174</v>
      </c>
      <c r="L1084" s="387">
        <v>502.35999999999996</v>
      </c>
      <c r="M1084" s="387">
        <v>0</v>
      </c>
      <c r="N1084" s="387">
        <f t="shared" si="138"/>
        <v>502.35999999999996</v>
      </c>
      <c r="O1084" s="442">
        <f t="shared" si="139"/>
        <v>366.72279999999995</v>
      </c>
      <c r="P1084" s="387" t="s">
        <v>1361</v>
      </c>
      <c r="Q1084" s="459">
        <v>1035.6220000000001</v>
      </c>
      <c r="R1084" s="459"/>
      <c r="S1084" s="456">
        <v>0</v>
      </c>
      <c r="T1084" s="459">
        <v>1035.6220000000001</v>
      </c>
      <c r="U1084" s="410"/>
      <c r="V1084" s="411">
        <v>1</v>
      </c>
      <c r="W1084" s="411">
        <v>0.7</v>
      </c>
      <c r="X1084" s="411">
        <v>0.7</v>
      </c>
      <c r="Y1084" s="411"/>
      <c r="Z1084" s="411"/>
      <c r="AA1084" s="412">
        <f t="shared" si="143"/>
        <v>0.73</v>
      </c>
      <c r="AB1084" s="456">
        <f t="shared" si="141"/>
        <v>756.00405999999998</v>
      </c>
      <c r="AC1084" s="456">
        <v>0</v>
      </c>
      <c r="AD1084" s="2"/>
      <c r="AE1084" s="4"/>
      <c r="AF1084" s="5"/>
      <c r="AG1084" s="428"/>
    </row>
    <row r="1085" spans="2:33" hidden="1" x14ac:dyDescent="0.25">
      <c r="B1085" s="1" t="s">
        <v>4707</v>
      </c>
      <c r="C1085" s="3" t="s">
        <v>1368</v>
      </c>
      <c r="D1085" s="3" t="s">
        <v>1247</v>
      </c>
      <c r="E1085" s="407" t="s">
        <v>3763</v>
      </c>
      <c r="F1085" s="407"/>
      <c r="G1085" s="407" t="s">
        <v>4508</v>
      </c>
      <c r="H1085" s="440" t="s">
        <v>4109</v>
      </c>
      <c r="I1085" s="407" t="s">
        <v>4329</v>
      </c>
      <c r="J1085" s="407" t="s">
        <v>3752</v>
      </c>
      <c r="K1085" s="387" t="s">
        <v>3175</v>
      </c>
      <c r="L1085" s="387">
        <v>797.26999999999907</v>
      </c>
      <c r="M1085" s="387">
        <v>0</v>
      </c>
      <c r="N1085" s="387">
        <f t="shared" si="138"/>
        <v>797.26999999999907</v>
      </c>
      <c r="O1085" s="442">
        <f t="shared" si="139"/>
        <v>510.25279999999941</v>
      </c>
      <c r="P1085" s="387" t="s">
        <v>1361</v>
      </c>
      <c r="Q1085" s="459">
        <v>1902.8</v>
      </c>
      <c r="R1085" s="459"/>
      <c r="S1085" s="456">
        <v>0</v>
      </c>
      <c r="T1085" s="459">
        <v>1902.8</v>
      </c>
      <c r="U1085" s="410"/>
      <c r="V1085" s="411">
        <v>1</v>
      </c>
      <c r="W1085" s="411">
        <v>0.6</v>
      </c>
      <c r="X1085" s="411">
        <v>0.6</v>
      </c>
      <c r="Y1085" s="411"/>
      <c r="Z1085" s="411"/>
      <c r="AA1085" s="412">
        <f t="shared" si="143"/>
        <v>0.64</v>
      </c>
      <c r="AB1085" s="456">
        <f t="shared" si="141"/>
        <v>1217.7919999999999</v>
      </c>
      <c r="AC1085" s="456">
        <v>0</v>
      </c>
      <c r="AD1085" s="2"/>
      <c r="AE1085" s="4"/>
      <c r="AF1085" s="5"/>
      <c r="AG1085" s="428"/>
    </row>
    <row r="1086" spans="2:33" hidden="1" x14ac:dyDescent="0.25">
      <c r="B1086" s="1" t="s">
        <v>4713</v>
      </c>
      <c r="C1086" s="3" t="s">
        <v>1368</v>
      </c>
      <c r="D1086" s="3" t="s">
        <v>1247</v>
      </c>
      <c r="E1086" s="407" t="s">
        <v>3769</v>
      </c>
      <c r="F1086" s="407"/>
      <c r="G1086" s="407" t="s">
        <v>4514</v>
      </c>
      <c r="H1086" s="440" t="s">
        <v>4109</v>
      </c>
      <c r="I1086" s="407" t="s">
        <v>4335</v>
      </c>
      <c r="J1086" s="407" t="s">
        <v>3758</v>
      </c>
      <c r="K1086" s="387" t="s">
        <v>3181</v>
      </c>
      <c r="L1086" s="387">
        <v>726.55000000000007</v>
      </c>
      <c r="M1086" s="387">
        <v>0</v>
      </c>
      <c r="N1086" s="387">
        <f>L1086+M1086</f>
        <v>726.55000000000007</v>
      </c>
      <c r="O1086" s="442">
        <f>L1086*AA1086</f>
        <v>32.694750000000006</v>
      </c>
      <c r="P1086" s="387" t="s">
        <v>1361</v>
      </c>
      <c r="Q1086" s="459">
        <v>2615</v>
      </c>
      <c r="R1086" s="459"/>
      <c r="S1086" s="456">
        <v>0</v>
      </c>
      <c r="T1086" s="459">
        <v>2615</v>
      </c>
      <c r="U1086" s="410"/>
      <c r="V1086" s="411">
        <v>0.45</v>
      </c>
      <c r="W1086" s="411">
        <v>0</v>
      </c>
      <c r="X1086" s="411">
        <v>0</v>
      </c>
      <c r="Y1086" s="411"/>
      <c r="Z1086" s="411"/>
      <c r="AA1086" s="412">
        <f>AB1086/T1086</f>
        <v>4.5000000000000005E-2</v>
      </c>
      <c r="AB1086" s="456">
        <f>(V1086*V$369*T1086)+(W1086*W$369*T1086)+(X1086*X$369*T1086)</f>
        <v>117.67500000000001</v>
      </c>
      <c r="AC1086" s="456">
        <v>0</v>
      </c>
      <c r="AD1086" s="2"/>
      <c r="AE1086" s="4"/>
      <c r="AF1086" s="5"/>
      <c r="AG1086" s="428"/>
    </row>
    <row r="1087" spans="2:33" hidden="1" x14ac:dyDescent="0.25">
      <c r="B1087" s="1"/>
      <c r="C1087" s="3"/>
      <c r="D1087" s="3"/>
      <c r="E1087" s="407"/>
      <c r="F1087" s="407"/>
      <c r="G1087" s="407"/>
      <c r="H1087" s="440"/>
      <c r="I1087" s="407"/>
      <c r="J1087" s="407"/>
      <c r="K1087" s="387" t="s">
        <v>5419</v>
      </c>
      <c r="L1087" s="387">
        <v>1140.7910000000002</v>
      </c>
      <c r="M1087" s="387">
        <v>0</v>
      </c>
      <c r="N1087" s="387">
        <f>L1087+M1087</f>
        <v>1140.7910000000002</v>
      </c>
      <c r="O1087" s="442"/>
      <c r="P1087" s="387" t="s">
        <v>1361</v>
      </c>
      <c r="Q1087" s="459">
        <v>5801.3389999999918</v>
      </c>
      <c r="R1087" s="459"/>
      <c r="S1087" s="456"/>
      <c r="T1087" s="459"/>
      <c r="U1087" s="410"/>
      <c r="V1087" s="411"/>
      <c r="W1087" s="411"/>
      <c r="X1087" s="411"/>
      <c r="Y1087" s="411"/>
      <c r="Z1087" s="411"/>
      <c r="AA1087" s="412"/>
      <c r="AB1087" s="456"/>
      <c r="AC1087" s="456"/>
      <c r="AD1087" s="2"/>
      <c r="AE1087" s="4"/>
      <c r="AF1087" s="5"/>
      <c r="AG1087" s="428"/>
    </row>
    <row r="1088" spans="2:33" hidden="1" x14ac:dyDescent="0.25">
      <c r="B1088" s="1"/>
      <c r="C1088" s="3"/>
      <c r="D1088" s="3"/>
      <c r="E1088" s="407"/>
      <c r="F1088" s="407"/>
      <c r="G1088" s="407"/>
      <c r="H1088" s="440"/>
      <c r="I1088" s="407"/>
      <c r="J1088" s="407"/>
      <c r="K1088" s="387" t="s">
        <v>5420</v>
      </c>
      <c r="L1088" s="387">
        <v>481.99400000000003</v>
      </c>
      <c r="M1088" s="387">
        <v>0</v>
      </c>
      <c r="N1088" s="387">
        <f>L1088+M1088</f>
        <v>481.99400000000003</v>
      </c>
      <c r="O1088" s="442"/>
      <c r="P1088" s="387" t="s">
        <v>1361</v>
      </c>
      <c r="Q1088" s="459">
        <v>3597.9439999999959</v>
      </c>
      <c r="R1088" s="459"/>
      <c r="S1088" s="456"/>
      <c r="T1088" s="459"/>
      <c r="U1088" s="410"/>
      <c r="V1088" s="411"/>
      <c r="W1088" s="411"/>
      <c r="X1088" s="411"/>
      <c r="Y1088" s="411"/>
      <c r="Z1088" s="411"/>
      <c r="AA1088" s="412"/>
      <c r="AB1088" s="456"/>
      <c r="AC1088" s="456"/>
      <c r="AD1088" s="2"/>
      <c r="AE1088" s="4"/>
      <c r="AF1088" s="5"/>
      <c r="AG1088" s="428"/>
    </row>
    <row r="1089" spans="2:33" hidden="1" x14ac:dyDescent="0.25">
      <c r="B1089" s="1"/>
      <c r="C1089" s="3"/>
      <c r="D1089" s="3"/>
      <c r="E1089" s="407"/>
      <c r="F1089" s="407"/>
      <c r="G1089" s="407"/>
      <c r="H1089" s="440"/>
      <c r="I1089" s="407"/>
      <c r="J1089" s="407"/>
      <c r="K1089" s="387" t="s">
        <v>5421</v>
      </c>
      <c r="L1089" s="387">
        <v>429.05999999999995</v>
      </c>
      <c r="M1089" s="387">
        <v>0</v>
      </c>
      <c r="N1089" s="387">
        <f>L1089+M1089</f>
        <v>429.05999999999995</v>
      </c>
      <c r="O1089" s="442"/>
      <c r="P1089" s="387" t="s">
        <v>1361</v>
      </c>
      <c r="Q1089" s="459">
        <v>2361.244999999994</v>
      </c>
      <c r="R1089" s="459"/>
      <c r="S1089" s="456"/>
      <c r="T1089" s="459"/>
      <c r="U1089" s="410"/>
      <c r="V1089" s="411"/>
      <c r="W1089" s="411"/>
      <c r="X1089" s="411"/>
      <c r="Y1089" s="411"/>
      <c r="Z1089" s="411"/>
      <c r="AA1089" s="412"/>
      <c r="AB1089" s="456"/>
      <c r="AC1089" s="456"/>
      <c r="AD1089" s="2"/>
      <c r="AE1089" s="4"/>
      <c r="AF1089" s="5"/>
      <c r="AG1089" s="428"/>
    </row>
    <row r="1090" spans="2:33" hidden="1" x14ac:dyDescent="0.25">
      <c r="B1090" s="1" t="s">
        <v>4708</v>
      </c>
      <c r="C1090" s="3" t="s">
        <v>1368</v>
      </c>
      <c r="D1090" s="3" t="s">
        <v>1247</v>
      </c>
      <c r="E1090" s="407" t="s">
        <v>3764</v>
      </c>
      <c r="F1090" s="407"/>
      <c r="G1090" s="407" t="s">
        <v>4509</v>
      </c>
      <c r="H1090" s="440" t="s">
        <v>4109</v>
      </c>
      <c r="I1090" s="407" t="s">
        <v>4330</v>
      </c>
      <c r="J1090" s="407" t="s">
        <v>3753</v>
      </c>
      <c r="K1090" s="387" t="s">
        <v>3176</v>
      </c>
      <c r="L1090" s="387">
        <v>176</v>
      </c>
      <c r="M1090" s="387">
        <v>0</v>
      </c>
      <c r="N1090" s="387">
        <f t="shared" si="138"/>
        <v>176</v>
      </c>
      <c r="O1090" s="442">
        <f t="shared" si="139"/>
        <v>96.800000000000026</v>
      </c>
      <c r="P1090" s="387" t="s">
        <v>1361</v>
      </c>
      <c r="Q1090" s="459">
        <v>1292</v>
      </c>
      <c r="R1090" s="459"/>
      <c r="S1090" s="456">
        <v>0</v>
      </c>
      <c r="T1090" s="459">
        <v>1292</v>
      </c>
      <c r="U1090" s="410"/>
      <c r="V1090" s="411">
        <v>1</v>
      </c>
      <c r="W1090" s="411">
        <v>0.5</v>
      </c>
      <c r="X1090" s="411">
        <v>0.5</v>
      </c>
      <c r="Y1090" s="411"/>
      <c r="Z1090" s="411"/>
      <c r="AA1090" s="412">
        <f t="shared" si="143"/>
        <v>0.55000000000000016</v>
      </c>
      <c r="AB1090" s="456">
        <f t="shared" si="141"/>
        <v>710.60000000000014</v>
      </c>
      <c r="AC1090" s="456">
        <v>0</v>
      </c>
      <c r="AD1090" s="2"/>
      <c r="AE1090" s="4"/>
      <c r="AF1090" s="5"/>
      <c r="AG1090" s="428"/>
    </row>
    <row r="1091" spans="2:33" hidden="1" x14ac:dyDescent="0.25">
      <c r="B1091" s="1" t="s">
        <v>4709</v>
      </c>
      <c r="C1091" s="3" t="s">
        <v>1368</v>
      </c>
      <c r="D1091" s="3" t="s">
        <v>1247</v>
      </c>
      <c r="E1091" s="407" t="s">
        <v>3765</v>
      </c>
      <c r="F1091" s="407"/>
      <c r="G1091" s="407" t="s">
        <v>4510</v>
      </c>
      <c r="H1091" s="440" t="s">
        <v>4109</v>
      </c>
      <c r="I1091" s="407" t="s">
        <v>4331</v>
      </c>
      <c r="J1091" s="407" t="s">
        <v>3754</v>
      </c>
      <c r="K1091" s="387" t="s">
        <v>3177</v>
      </c>
      <c r="L1091" s="387">
        <v>39</v>
      </c>
      <c r="M1091" s="387">
        <v>0</v>
      </c>
      <c r="N1091" s="387">
        <f t="shared" si="138"/>
        <v>39</v>
      </c>
      <c r="O1091" s="442">
        <f t="shared" si="139"/>
        <v>14.430000000000001</v>
      </c>
      <c r="P1091" s="387" t="s">
        <v>1361</v>
      </c>
      <c r="Q1091" s="459">
        <v>529</v>
      </c>
      <c r="R1091" s="459"/>
      <c r="S1091" s="456">
        <v>0</v>
      </c>
      <c r="T1091" s="459">
        <v>529</v>
      </c>
      <c r="U1091" s="410"/>
      <c r="V1091" s="411">
        <v>1</v>
      </c>
      <c r="W1091" s="411">
        <v>0.3</v>
      </c>
      <c r="X1091" s="411">
        <v>0.3</v>
      </c>
      <c r="Y1091" s="411"/>
      <c r="Z1091" s="411"/>
      <c r="AA1091" s="412">
        <f t="shared" si="143"/>
        <v>0.37000000000000005</v>
      </c>
      <c r="AB1091" s="456">
        <f t="shared" si="141"/>
        <v>195.73000000000002</v>
      </c>
      <c r="AC1091" s="456">
        <v>0</v>
      </c>
      <c r="AD1091" s="2"/>
      <c r="AE1091" s="4"/>
      <c r="AF1091" s="5"/>
      <c r="AG1091" s="428"/>
    </row>
    <row r="1092" spans="2:33" hidden="1" x14ac:dyDescent="0.25">
      <c r="B1092" s="1" t="s">
        <v>4710</v>
      </c>
      <c r="C1092" s="3" t="s">
        <v>1368</v>
      </c>
      <c r="D1092" s="3" t="s">
        <v>1247</v>
      </c>
      <c r="E1092" s="407" t="s">
        <v>3766</v>
      </c>
      <c r="F1092" s="407"/>
      <c r="G1092" s="407" t="s">
        <v>4511</v>
      </c>
      <c r="H1092" s="440" t="s">
        <v>4109</v>
      </c>
      <c r="I1092" s="407" t="s">
        <v>4332</v>
      </c>
      <c r="J1092" s="407" t="s">
        <v>3755</v>
      </c>
      <c r="K1092" s="387" t="s">
        <v>3178</v>
      </c>
      <c r="L1092" s="387">
        <v>15</v>
      </c>
      <c r="M1092" s="387">
        <v>0</v>
      </c>
      <c r="N1092" s="387">
        <f t="shared" si="138"/>
        <v>15</v>
      </c>
      <c r="O1092" s="442">
        <f t="shared" si="139"/>
        <v>14.999999999999996</v>
      </c>
      <c r="P1092" s="387" t="s">
        <v>1358</v>
      </c>
      <c r="Q1092" s="459">
        <v>334</v>
      </c>
      <c r="R1092" s="459"/>
      <c r="S1092" s="456">
        <v>0</v>
      </c>
      <c r="T1092" s="459">
        <v>334</v>
      </c>
      <c r="U1092" s="410"/>
      <c r="V1092" s="411">
        <v>1</v>
      </c>
      <c r="W1092" s="411">
        <v>1</v>
      </c>
      <c r="X1092" s="411">
        <v>1</v>
      </c>
      <c r="Y1092" s="411"/>
      <c r="Z1092" s="411"/>
      <c r="AA1092" s="412">
        <f t="shared" si="143"/>
        <v>0.99999999999999978</v>
      </c>
      <c r="AB1092" s="456">
        <f t="shared" si="141"/>
        <v>333.99999999999994</v>
      </c>
      <c r="AC1092" s="456">
        <v>0</v>
      </c>
      <c r="AD1092" s="2"/>
      <c r="AE1092" s="4"/>
      <c r="AF1092" s="5"/>
      <c r="AG1092" s="428"/>
    </row>
    <row r="1093" spans="2:33" hidden="1" x14ac:dyDescent="0.25">
      <c r="B1093" s="1" t="s">
        <v>4711</v>
      </c>
      <c r="C1093" s="3" t="s">
        <v>1368</v>
      </c>
      <c r="D1093" s="3" t="s">
        <v>1247</v>
      </c>
      <c r="E1093" s="407" t="s">
        <v>3767</v>
      </c>
      <c r="F1093" s="407"/>
      <c r="G1093" s="407" t="s">
        <v>4512</v>
      </c>
      <c r="H1093" s="440" t="s">
        <v>4109</v>
      </c>
      <c r="I1093" s="407" t="s">
        <v>4333</v>
      </c>
      <c r="J1093" s="407" t="s">
        <v>3756</v>
      </c>
      <c r="K1093" s="387" t="s">
        <v>3179</v>
      </c>
      <c r="L1093" s="387">
        <v>3</v>
      </c>
      <c r="M1093" s="387">
        <v>0</v>
      </c>
      <c r="N1093" s="387">
        <f t="shared" si="138"/>
        <v>3</v>
      </c>
      <c r="O1093" s="442">
        <v>3</v>
      </c>
      <c r="P1093" s="387" t="s">
        <v>1358</v>
      </c>
      <c r="Q1093" s="459">
        <v>52.31</v>
      </c>
      <c r="R1093" s="459"/>
      <c r="S1093" s="456">
        <v>0</v>
      </c>
      <c r="T1093" s="459">
        <v>52</v>
      </c>
      <c r="U1093" s="410"/>
      <c r="V1093" s="411">
        <v>0</v>
      </c>
      <c r="W1093" s="411">
        <v>0</v>
      </c>
      <c r="X1093" s="411">
        <v>0</v>
      </c>
      <c r="Y1093" s="411"/>
      <c r="Z1093" s="411"/>
      <c r="AA1093" s="412">
        <f t="shared" si="143"/>
        <v>0</v>
      </c>
      <c r="AB1093" s="456">
        <f t="shared" si="141"/>
        <v>0</v>
      </c>
      <c r="AC1093" s="456">
        <v>0</v>
      </c>
      <c r="AD1093" s="2"/>
      <c r="AE1093" s="4"/>
      <c r="AF1093" s="5"/>
      <c r="AG1093" s="428"/>
    </row>
    <row r="1094" spans="2:33" hidden="1" x14ac:dyDescent="0.25">
      <c r="B1094" s="1" t="s">
        <v>4823</v>
      </c>
      <c r="C1094" s="3" t="s">
        <v>1368</v>
      </c>
      <c r="D1094" s="3" t="s">
        <v>1247</v>
      </c>
      <c r="E1094" s="407" t="s">
        <v>3219</v>
      </c>
      <c r="F1094" s="407"/>
      <c r="G1094" s="407"/>
      <c r="H1094" s="440"/>
      <c r="I1094" s="407"/>
      <c r="J1094" s="407"/>
      <c r="K1094" s="387" t="s">
        <v>4765</v>
      </c>
      <c r="L1094" s="387">
        <v>2</v>
      </c>
      <c r="M1094" s="387">
        <v>0</v>
      </c>
      <c r="N1094" s="387">
        <f t="shared" ref="N1094:N1095" si="144">L1094+M1094</f>
        <v>2</v>
      </c>
      <c r="O1094" s="442">
        <f t="shared" si="139"/>
        <v>2</v>
      </c>
      <c r="P1094" s="387" t="s">
        <v>1358</v>
      </c>
      <c r="Q1094" s="459">
        <v>127.392</v>
      </c>
      <c r="R1094" s="459"/>
      <c r="S1094" s="456">
        <v>0</v>
      </c>
      <c r="T1094" s="459">
        <v>127.392</v>
      </c>
      <c r="U1094" s="410"/>
      <c r="V1094" s="411">
        <v>1</v>
      </c>
      <c r="W1094" s="411">
        <v>1</v>
      </c>
      <c r="X1094" s="411">
        <v>1</v>
      </c>
      <c r="Y1094" s="411"/>
      <c r="Z1094" s="411"/>
      <c r="AA1094" s="412">
        <f t="shared" ref="AA1094:AA1095" si="145">AB1094/T1094</f>
        <v>1</v>
      </c>
      <c r="AB1094" s="456">
        <f t="shared" ref="AB1094:AB1095" si="146">(V1094*V$369*T1094)+(W1094*W$369*T1094)+(X1094*X$369*T1094)</f>
        <v>127.392</v>
      </c>
      <c r="AC1094" s="456">
        <v>0</v>
      </c>
      <c r="AD1094" s="2"/>
      <c r="AE1094" s="4"/>
      <c r="AF1094" s="5"/>
      <c r="AG1094" s="428"/>
    </row>
    <row r="1095" spans="2:33" hidden="1" x14ac:dyDescent="0.25">
      <c r="B1095" s="1" t="s">
        <v>4824</v>
      </c>
      <c r="C1095" s="3" t="s">
        <v>1368</v>
      </c>
      <c r="D1095" s="3" t="s">
        <v>1247</v>
      </c>
      <c r="E1095" s="407" t="s">
        <v>3221</v>
      </c>
      <c r="F1095" s="407"/>
      <c r="G1095" s="407"/>
      <c r="H1095" s="440"/>
      <c r="I1095" s="407"/>
      <c r="J1095" s="407"/>
      <c r="K1095" s="387" t="s">
        <v>4766</v>
      </c>
      <c r="L1095" s="387">
        <v>2</v>
      </c>
      <c r="M1095" s="387">
        <v>0</v>
      </c>
      <c r="N1095" s="387">
        <f t="shared" si="144"/>
        <v>2</v>
      </c>
      <c r="O1095" s="442">
        <f t="shared" si="139"/>
        <v>2</v>
      </c>
      <c r="P1095" s="387" t="s">
        <v>1358</v>
      </c>
      <c r="Q1095" s="459">
        <v>127.392</v>
      </c>
      <c r="R1095" s="459"/>
      <c r="S1095" s="456">
        <v>0</v>
      </c>
      <c r="T1095" s="459">
        <v>127.392</v>
      </c>
      <c r="U1095" s="410"/>
      <c r="V1095" s="411">
        <v>1</v>
      </c>
      <c r="W1095" s="411">
        <v>1</v>
      </c>
      <c r="X1095" s="411">
        <v>1</v>
      </c>
      <c r="Y1095" s="411"/>
      <c r="Z1095" s="411"/>
      <c r="AA1095" s="412">
        <f t="shared" si="145"/>
        <v>1</v>
      </c>
      <c r="AB1095" s="456">
        <f t="shared" si="146"/>
        <v>127.392</v>
      </c>
      <c r="AC1095" s="456">
        <v>0</v>
      </c>
      <c r="AD1095" s="2"/>
      <c r="AE1095" s="4"/>
      <c r="AF1095" s="5"/>
      <c r="AG1095" s="428"/>
    </row>
    <row r="1096" spans="2:33" hidden="1" x14ac:dyDescent="0.25">
      <c r="B1096" s="1" t="s">
        <v>4714</v>
      </c>
      <c r="C1096" s="3" t="s">
        <v>1368</v>
      </c>
      <c r="D1096" s="3" t="s">
        <v>1247</v>
      </c>
      <c r="E1096" s="407" t="s">
        <v>3219</v>
      </c>
      <c r="F1096" s="407" t="s">
        <v>4669</v>
      </c>
      <c r="G1096" s="407"/>
      <c r="H1096" s="407"/>
      <c r="I1096" s="407"/>
      <c r="J1096" s="407"/>
      <c r="K1096" s="3" t="s">
        <v>4702</v>
      </c>
      <c r="L1096" s="387">
        <v>1</v>
      </c>
      <c r="M1096" s="387">
        <v>0</v>
      </c>
      <c r="N1096" s="387">
        <f t="shared" si="138"/>
        <v>1</v>
      </c>
      <c r="O1096" s="442">
        <f t="shared" si="139"/>
        <v>0</v>
      </c>
      <c r="P1096" s="387" t="s">
        <v>1358</v>
      </c>
      <c r="Q1096" s="459">
        <v>32</v>
      </c>
      <c r="R1096" s="459"/>
      <c r="S1096" s="456">
        <v>0</v>
      </c>
      <c r="T1096" s="459">
        <v>32</v>
      </c>
      <c r="U1096" s="410"/>
      <c r="V1096" s="411">
        <v>0</v>
      </c>
      <c r="W1096" s="411">
        <v>0</v>
      </c>
      <c r="X1096" s="411">
        <v>0</v>
      </c>
      <c r="Y1096" s="411"/>
      <c r="Z1096" s="411"/>
      <c r="AA1096" s="412">
        <f t="shared" si="143"/>
        <v>0</v>
      </c>
      <c r="AB1096" s="456">
        <f>(V1096*V$369*T1096)+(W1096*W$369*T1096)+(X1096*X$369*T1096)</f>
        <v>0</v>
      </c>
      <c r="AC1096" s="456">
        <v>0</v>
      </c>
      <c r="AD1096" s="2"/>
      <c r="AE1096" s="4"/>
      <c r="AF1096" s="5"/>
    </row>
    <row r="1097" spans="2:33" hidden="1" x14ac:dyDescent="0.25">
      <c r="B1097" s="1" t="s">
        <v>4715</v>
      </c>
      <c r="C1097" s="3" t="s">
        <v>1368</v>
      </c>
      <c r="D1097" s="3" t="s">
        <v>1247</v>
      </c>
      <c r="E1097" s="407" t="s">
        <v>3219</v>
      </c>
      <c r="F1097" s="407" t="s">
        <v>4670</v>
      </c>
      <c r="G1097" s="415"/>
      <c r="H1097" s="415"/>
      <c r="I1097" s="415"/>
      <c r="J1097" s="415"/>
      <c r="K1097" s="3" t="s">
        <v>4702</v>
      </c>
      <c r="L1097" s="387">
        <v>1</v>
      </c>
      <c r="M1097" s="387">
        <v>0</v>
      </c>
      <c r="N1097" s="387">
        <f t="shared" si="138"/>
        <v>1</v>
      </c>
      <c r="O1097" s="442">
        <f t="shared" si="139"/>
        <v>0</v>
      </c>
      <c r="P1097" s="387" t="s">
        <v>1358</v>
      </c>
      <c r="Q1097" s="459">
        <v>95.543999999999997</v>
      </c>
      <c r="R1097" s="459"/>
      <c r="S1097" s="456">
        <v>0</v>
      </c>
      <c r="T1097" s="459">
        <v>95.543999999999997</v>
      </c>
      <c r="U1097" s="555"/>
      <c r="V1097" s="411">
        <v>0</v>
      </c>
      <c r="W1097" s="411">
        <v>0</v>
      </c>
      <c r="X1097" s="411">
        <v>0</v>
      </c>
      <c r="Y1097" s="411"/>
      <c r="Z1097" s="411"/>
      <c r="AA1097" s="412">
        <f t="shared" si="143"/>
        <v>0</v>
      </c>
      <c r="AB1097" s="456">
        <f t="shared" ref="AB1097:AB1104" si="147">(V1097*V$369*T1097)+(W1097*W$369*T1097)+(X1097*X$369*T1097)</f>
        <v>0</v>
      </c>
      <c r="AC1097" s="456">
        <v>0</v>
      </c>
      <c r="AD1097" s="2"/>
      <c r="AE1097" s="4"/>
      <c r="AF1097" s="5"/>
    </row>
    <row r="1098" spans="2:33" hidden="1" x14ac:dyDescent="0.25">
      <c r="B1098" s="1" t="s">
        <v>4716</v>
      </c>
      <c r="C1098" s="3" t="s">
        <v>1368</v>
      </c>
      <c r="D1098" s="3" t="s">
        <v>1247</v>
      </c>
      <c r="E1098" s="407" t="s">
        <v>3219</v>
      </c>
      <c r="F1098" s="407" t="s">
        <v>4671</v>
      </c>
      <c r="G1098" s="415"/>
      <c r="H1098" s="415"/>
      <c r="I1098" s="415"/>
      <c r="J1098" s="415"/>
      <c r="K1098" s="3" t="s">
        <v>4702</v>
      </c>
      <c r="L1098" s="387">
        <v>1</v>
      </c>
      <c r="M1098" s="387">
        <v>0</v>
      </c>
      <c r="N1098" s="387">
        <f t="shared" si="138"/>
        <v>1</v>
      </c>
      <c r="O1098" s="442">
        <f t="shared" si="139"/>
        <v>0</v>
      </c>
      <c r="P1098" s="387" t="s">
        <v>1358</v>
      </c>
      <c r="Q1098" s="459">
        <v>95.543999999999997</v>
      </c>
      <c r="R1098" s="459"/>
      <c r="S1098" s="456">
        <v>0</v>
      </c>
      <c r="T1098" s="459">
        <v>95.543999999999997</v>
      </c>
      <c r="U1098" s="555"/>
      <c r="V1098" s="411">
        <v>0</v>
      </c>
      <c r="W1098" s="411">
        <v>0</v>
      </c>
      <c r="X1098" s="411">
        <v>0</v>
      </c>
      <c r="Y1098" s="411"/>
      <c r="Z1098" s="411"/>
      <c r="AA1098" s="412">
        <f t="shared" si="143"/>
        <v>0</v>
      </c>
      <c r="AB1098" s="456">
        <f t="shared" si="147"/>
        <v>0</v>
      </c>
      <c r="AC1098" s="456">
        <v>0</v>
      </c>
      <c r="AD1098" s="2"/>
      <c r="AE1098" s="4"/>
      <c r="AF1098" s="5"/>
    </row>
    <row r="1099" spans="2:33" hidden="1" x14ac:dyDescent="0.25">
      <c r="B1099" s="1" t="s">
        <v>4717</v>
      </c>
      <c r="C1099" s="3" t="s">
        <v>1368</v>
      </c>
      <c r="D1099" s="3" t="s">
        <v>1247</v>
      </c>
      <c r="E1099" s="407" t="s">
        <v>3219</v>
      </c>
      <c r="F1099" s="407" t="s">
        <v>4668</v>
      </c>
      <c r="G1099" s="407"/>
      <c r="H1099" s="407"/>
      <c r="I1099" s="407"/>
      <c r="J1099" s="407"/>
      <c r="K1099" s="3" t="s">
        <v>4667</v>
      </c>
      <c r="L1099" s="387">
        <v>1</v>
      </c>
      <c r="M1099" s="387">
        <v>0</v>
      </c>
      <c r="N1099" s="387">
        <f t="shared" ref="N1099" si="148">L1099+M1099</f>
        <v>1</v>
      </c>
      <c r="O1099" s="442">
        <f t="shared" ref="O1099" si="149">L1099*AA1099</f>
        <v>1</v>
      </c>
      <c r="P1099" s="387" t="s">
        <v>1358</v>
      </c>
      <c r="Q1099" s="459">
        <v>23.885999999999999</v>
      </c>
      <c r="R1099" s="459"/>
      <c r="S1099" s="456">
        <v>0</v>
      </c>
      <c r="T1099" s="459">
        <v>23.885999999999999</v>
      </c>
      <c r="U1099" s="410"/>
      <c r="V1099" s="411">
        <v>1</v>
      </c>
      <c r="W1099" s="411">
        <v>1</v>
      </c>
      <c r="X1099" s="411">
        <v>1</v>
      </c>
      <c r="Y1099" s="411"/>
      <c r="Z1099" s="411"/>
      <c r="AA1099" s="412">
        <f t="shared" ref="AA1099" si="150">AB1099/T1099</f>
        <v>1</v>
      </c>
      <c r="AB1099" s="456">
        <f t="shared" si="147"/>
        <v>23.885999999999999</v>
      </c>
      <c r="AC1099" s="456">
        <v>0</v>
      </c>
      <c r="AD1099" s="2"/>
      <c r="AE1099" s="4"/>
      <c r="AF1099" s="5"/>
    </row>
    <row r="1100" spans="2:33" hidden="1" x14ac:dyDescent="0.25">
      <c r="B1100" s="1" t="s">
        <v>4718</v>
      </c>
      <c r="C1100" s="3" t="s">
        <v>1368</v>
      </c>
      <c r="D1100" s="3" t="s">
        <v>1247</v>
      </c>
      <c r="E1100" s="407" t="s">
        <v>3219</v>
      </c>
      <c r="F1100" s="407" t="s">
        <v>4672</v>
      </c>
      <c r="G1100" s="415"/>
      <c r="H1100" s="415"/>
      <c r="I1100" s="415"/>
      <c r="J1100" s="415"/>
      <c r="K1100" s="3" t="s">
        <v>4667</v>
      </c>
      <c r="L1100" s="387">
        <v>1</v>
      </c>
      <c r="M1100" s="387">
        <v>0</v>
      </c>
      <c r="N1100" s="387">
        <f t="shared" si="138"/>
        <v>1</v>
      </c>
      <c r="O1100" s="442">
        <f t="shared" si="139"/>
        <v>1</v>
      </c>
      <c r="P1100" s="387" t="s">
        <v>1358</v>
      </c>
      <c r="Q1100" s="459">
        <v>23.885999999999999</v>
      </c>
      <c r="R1100" s="459"/>
      <c r="S1100" s="456">
        <v>0</v>
      </c>
      <c r="T1100" s="459">
        <v>23.885999999999999</v>
      </c>
      <c r="U1100" s="555"/>
      <c r="V1100" s="411">
        <v>1</v>
      </c>
      <c r="W1100" s="411">
        <v>1</v>
      </c>
      <c r="X1100" s="411">
        <v>1</v>
      </c>
      <c r="Y1100" s="411"/>
      <c r="Z1100" s="411"/>
      <c r="AA1100" s="412">
        <f t="shared" si="143"/>
        <v>1</v>
      </c>
      <c r="AB1100" s="456">
        <f t="shared" si="147"/>
        <v>23.885999999999999</v>
      </c>
      <c r="AC1100" s="456">
        <v>0</v>
      </c>
      <c r="AD1100" s="2"/>
      <c r="AE1100" s="4"/>
      <c r="AF1100" s="5"/>
    </row>
    <row r="1101" spans="2:33" hidden="1" x14ac:dyDescent="0.25">
      <c r="B1101" s="1" t="s">
        <v>4719</v>
      </c>
      <c r="C1101" s="3" t="s">
        <v>1368</v>
      </c>
      <c r="D1101" s="3" t="s">
        <v>1247</v>
      </c>
      <c r="E1101" s="407" t="s">
        <v>3219</v>
      </c>
      <c r="F1101" s="407" t="s">
        <v>4673</v>
      </c>
      <c r="G1101" s="415"/>
      <c r="H1101" s="415"/>
      <c r="I1101" s="415"/>
      <c r="J1101" s="415"/>
      <c r="K1101" s="3" t="s">
        <v>4667</v>
      </c>
      <c r="L1101" s="387">
        <v>1</v>
      </c>
      <c r="M1101" s="387">
        <v>0</v>
      </c>
      <c r="N1101" s="387">
        <f t="shared" si="138"/>
        <v>1</v>
      </c>
      <c r="O1101" s="442">
        <f t="shared" si="139"/>
        <v>1</v>
      </c>
      <c r="P1101" s="387" t="s">
        <v>1358</v>
      </c>
      <c r="Q1101" s="459">
        <v>15.923999999999999</v>
      </c>
      <c r="R1101" s="459"/>
      <c r="S1101" s="456">
        <v>0</v>
      </c>
      <c r="T1101" s="459">
        <v>15.923999999999999</v>
      </c>
      <c r="U1101" s="555"/>
      <c r="V1101" s="411">
        <v>1</v>
      </c>
      <c r="W1101" s="411">
        <v>1</v>
      </c>
      <c r="X1101" s="411">
        <v>1</v>
      </c>
      <c r="Y1101" s="411"/>
      <c r="Z1101" s="411"/>
      <c r="AA1101" s="412">
        <f t="shared" si="143"/>
        <v>1</v>
      </c>
      <c r="AB1101" s="456">
        <f t="shared" si="147"/>
        <v>15.923999999999999</v>
      </c>
      <c r="AC1101" s="456">
        <v>0</v>
      </c>
      <c r="AD1101" s="2"/>
      <c r="AE1101" s="4"/>
      <c r="AF1101" s="5"/>
    </row>
    <row r="1102" spans="2:33" hidden="1" x14ac:dyDescent="0.25">
      <c r="B1102" s="1" t="s">
        <v>4720</v>
      </c>
      <c r="C1102" s="3" t="s">
        <v>1368</v>
      </c>
      <c r="D1102" s="3" t="s">
        <v>1247</v>
      </c>
      <c r="E1102" s="407" t="s">
        <v>3219</v>
      </c>
      <c r="F1102" s="407" t="s">
        <v>4674</v>
      </c>
      <c r="G1102" s="415"/>
      <c r="H1102" s="415"/>
      <c r="I1102" s="415"/>
      <c r="J1102" s="415"/>
      <c r="K1102" s="3" t="s">
        <v>4667</v>
      </c>
      <c r="L1102" s="387">
        <v>1</v>
      </c>
      <c r="M1102" s="387">
        <v>0</v>
      </c>
      <c r="N1102" s="387">
        <f t="shared" si="138"/>
        <v>1</v>
      </c>
      <c r="O1102" s="442">
        <f t="shared" si="139"/>
        <v>1</v>
      </c>
      <c r="P1102" s="387" t="s">
        <v>1358</v>
      </c>
      <c r="Q1102" s="459">
        <v>15.923999999999999</v>
      </c>
      <c r="R1102" s="459"/>
      <c r="S1102" s="456">
        <v>0</v>
      </c>
      <c r="T1102" s="459">
        <v>15.923999999999999</v>
      </c>
      <c r="U1102" s="555"/>
      <c r="V1102" s="411">
        <v>1</v>
      </c>
      <c r="W1102" s="411">
        <v>1</v>
      </c>
      <c r="X1102" s="411">
        <v>1</v>
      </c>
      <c r="Y1102" s="411"/>
      <c r="Z1102" s="411"/>
      <c r="AA1102" s="412">
        <f t="shared" si="143"/>
        <v>1</v>
      </c>
      <c r="AB1102" s="456">
        <f t="shared" si="147"/>
        <v>15.923999999999999</v>
      </c>
      <c r="AC1102" s="456">
        <v>0</v>
      </c>
      <c r="AD1102" s="2"/>
      <c r="AE1102" s="4"/>
      <c r="AF1102" s="5"/>
    </row>
    <row r="1103" spans="2:33" hidden="1" x14ac:dyDescent="0.25">
      <c r="B1103" s="1" t="s">
        <v>4721</v>
      </c>
      <c r="C1103" s="3" t="s">
        <v>1368</v>
      </c>
      <c r="D1103" s="3" t="s">
        <v>1247</v>
      </c>
      <c r="E1103" s="407" t="s">
        <v>3219</v>
      </c>
      <c r="F1103" s="407" t="s">
        <v>4675</v>
      </c>
      <c r="G1103" s="415"/>
      <c r="H1103" s="415"/>
      <c r="I1103" s="415"/>
      <c r="J1103" s="415"/>
      <c r="K1103" s="3" t="s">
        <v>4667</v>
      </c>
      <c r="L1103" s="387">
        <v>1</v>
      </c>
      <c r="M1103" s="387">
        <v>0</v>
      </c>
      <c r="N1103" s="387">
        <f t="shared" si="138"/>
        <v>1</v>
      </c>
      <c r="O1103" s="442">
        <f t="shared" si="139"/>
        <v>1</v>
      </c>
      <c r="P1103" s="387" t="s">
        <v>1358</v>
      </c>
      <c r="Q1103" s="459">
        <v>15.923999999999999</v>
      </c>
      <c r="R1103" s="459"/>
      <c r="S1103" s="456">
        <v>0</v>
      </c>
      <c r="T1103" s="459">
        <v>15.923999999999999</v>
      </c>
      <c r="U1103" s="555"/>
      <c r="V1103" s="411">
        <v>1</v>
      </c>
      <c r="W1103" s="411">
        <v>1</v>
      </c>
      <c r="X1103" s="411">
        <v>1</v>
      </c>
      <c r="Y1103" s="411"/>
      <c r="Z1103" s="411"/>
      <c r="AA1103" s="412">
        <f t="shared" si="143"/>
        <v>1</v>
      </c>
      <c r="AB1103" s="456">
        <f t="shared" si="147"/>
        <v>15.923999999999999</v>
      </c>
      <c r="AC1103" s="456">
        <v>0</v>
      </c>
      <c r="AD1103" s="2"/>
      <c r="AE1103" s="4"/>
      <c r="AF1103" s="5"/>
    </row>
    <row r="1104" spans="2:33" hidden="1" x14ac:dyDescent="0.25">
      <c r="B1104" s="1" t="s">
        <v>4722</v>
      </c>
      <c r="C1104" s="3" t="s">
        <v>1368</v>
      </c>
      <c r="D1104" s="3" t="s">
        <v>1247</v>
      </c>
      <c r="E1104" s="407" t="s">
        <v>3219</v>
      </c>
      <c r="F1104" s="407" t="s">
        <v>4676</v>
      </c>
      <c r="G1104" s="415"/>
      <c r="H1104" s="415"/>
      <c r="I1104" s="415"/>
      <c r="J1104" s="415"/>
      <c r="K1104" s="3" t="s">
        <v>4667</v>
      </c>
      <c r="L1104" s="387">
        <v>1</v>
      </c>
      <c r="M1104" s="387">
        <v>0</v>
      </c>
      <c r="N1104" s="387">
        <f t="shared" si="138"/>
        <v>1</v>
      </c>
      <c r="O1104" s="442">
        <f t="shared" si="139"/>
        <v>1</v>
      </c>
      <c r="P1104" s="387" t="s">
        <v>1358</v>
      </c>
      <c r="Q1104" s="459">
        <v>63.695999999999998</v>
      </c>
      <c r="R1104" s="459"/>
      <c r="S1104" s="456">
        <v>0</v>
      </c>
      <c r="T1104" s="459">
        <v>63.695999999999998</v>
      </c>
      <c r="U1104" s="555"/>
      <c r="V1104" s="411">
        <v>1</v>
      </c>
      <c r="W1104" s="411">
        <v>1</v>
      </c>
      <c r="X1104" s="411">
        <v>1</v>
      </c>
      <c r="Y1104" s="411"/>
      <c r="Z1104" s="411"/>
      <c r="AA1104" s="412">
        <f t="shared" si="143"/>
        <v>1</v>
      </c>
      <c r="AB1104" s="456">
        <f t="shared" si="147"/>
        <v>63.695999999999998</v>
      </c>
      <c r="AC1104" s="456">
        <v>0</v>
      </c>
      <c r="AD1104" s="2"/>
      <c r="AE1104" s="4"/>
      <c r="AF1104" s="5"/>
    </row>
    <row r="1105" spans="2:32" hidden="1" x14ac:dyDescent="0.25">
      <c r="B1105" s="1" t="s">
        <v>4723</v>
      </c>
      <c r="C1105" s="3" t="s">
        <v>1368</v>
      </c>
      <c r="D1105" s="3" t="s">
        <v>1247</v>
      </c>
      <c r="E1105" s="407" t="s">
        <v>3220</v>
      </c>
      <c r="F1105" s="407" t="s">
        <v>4678</v>
      </c>
      <c r="G1105" s="415"/>
      <c r="H1105" s="415"/>
      <c r="I1105" s="415"/>
      <c r="J1105" s="415"/>
      <c r="K1105" s="3" t="s">
        <v>4667</v>
      </c>
      <c r="L1105" s="387">
        <v>1</v>
      </c>
      <c r="M1105" s="387">
        <v>0</v>
      </c>
      <c r="N1105" s="387">
        <f t="shared" si="138"/>
        <v>1</v>
      </c>
      <c r="O1105" s="442">
        <f t="shared" si="139"/>
        <v>1</v>
      </c>
      <c r="P1105" s="387" t="s">
        <v>1358</v>
      </c>
      <c r="Q1105" s="459">
        <v>31.847999999999999</v>
      </c>
      <c r="R1105" s="459"/>
      <c r="S1105" s="456">
        <v>0</v>
      </c>
      <c r="T1105" s="459">
        <v>31.847999999999999</v>
      </c>
      <c r="U1105" s="555"/>
      <c r="V1105" s="411">
        <v>1</v>
      </c>
      <c r="W1105" s="411">
        <v>1</v>
      </c>
      <c r="X1105" s="411">
        <v>1</v>
      </c>
      <c r="Y1105" s="411"/>
      <c r="Z1105" s="411"/>
      <c r="AA1105" s="412">
        <f t="shared" ref="AA1105:AA1126" si="151">AB1105/T1105</f>
        <v>1</v>
      </c>
      <c r="AB1105" s="456">
        <f t="shared" ref="AB1105:AB1203" si="152">(V1105*V$369*T1105)+(W1105*W$369*T1105)+(X1105*X$369*T1105)</f>
        <v>31.847999999999999</v>
      </c>
      <c r="AC1105" s="456">
        <v>0</v>
      </c>
      <c r="AD1105" s="2"/>
      <c r="AE1105" s="4"/>
      <c r="AF1105" s="5"/>
    </row>
    <row r="1106" spans="2:32" hidden="1" x14ac:dyDescent="0.25">
      <c r="B1106" s="1" t="s">
        <v>4724</v>
      </c>
      <c r="C1106" s="3" t="s">
        <v>1368</v>
      </c>
      <c r="D1106" s="3" t="s">
        <v>1247</v>
      </c>
      <c r="E1106" s="407" t="s">
        <v>3220</v>
      </c>
      <c r="F1106" s="407" t="s">
        <v>4679</v>
      </c>
      <c r="G1106" s="415"/>
      <c r="H1106" s="415"/>
      <c r="I1106" s="415"/>
      <c r="J1106" s="415"/>
      <c r="K1106" s="3" t="s">
        <v>4667</v>
      </c>
      <c r="L1106" s="387">
        <v>1</v>
      </c>
      <c r="M1106" s="387">
        <v>0</v>
      </c>
      <c r="N1106" s="387">
        <f t="shared" si="138"/>
        <v>1</v>
      </c>
      <c r="O1106" s="442">
        <f t="shared" si="139"/>
        <v>1</v>
      </c>
      <c r="P1106" s="387" t="s">
        <v>1358</v>
      </c>
      <c r="Q1106" s="459">
        <v>95.543999999999997</v>
      </c>
      <c r="R1106" s="459"/>
      <c r="S1106" s="456">
        <v>0</v>
      </c>
      <c r="T1106" s="459">
        <v>95.543999999999997</v>
      </c>
      <c r="U1106" s="555"/>
      <c r="V1106" s="411">
        <v>1</v>
      </c>
      <c r="W1106" s="411">
        <v>1</v>
      </c>
      <c r="X1106" s="411">
        <v>1</v>
      </c>
      <c r="Y1106" s="411"/>
      <c r="Z1106" s="411"/>
      <c r="AA1106" s="412">
        <f t="shared" si="151"/>
        <v>1</v>
      </c>
      <c r="AB1106" s="456">
        <f t="shared" si="152"/>
        <v>95.543999999999997</v>
      </c>
      <c r="AC1106" s="456">
        <v>0</v>
      </c>
      <c r="AD1106" s="2"/>
      <c r="AE1106" s="4"/>
      <c r="AF1106" s="5"/>
    </row>
    <row r="1107" spans="2:32" hidden="1" x14ac:dyDescent="0.25">
      <c r="B1107" s="1" t="s">
        <v>4725</v>
      </c>
      <c r="C1107" s="3" t="s">
        <v>1368</v>
      </c>
      <c r="D1107" s="3" t="s">
        <v>1247</v>
      </c>
      <c r="E1107" s="407" t="s">
        <v>3220</v>
      </c>
      <c r="F1107" s="407" t="s">
        <v>4680</v>
      </c>
      <c r="G1107" s="415"/>
      <c r="H1107" s="415"/>
      <c r="I1107" s="415"/>
      <c r="J1107" s="415"/>
      <c r="K1107" s="3" t="s">
        <v>4667</v>
      </c>
      <c r="L1107" s="387">
        <v>1</v>
      </c>
      <c r="M1107" s="387">
        <v>0</v>
      </c>
      <c r="N1107" s="387">
        <f t="shared" si="138"/>
        <v>1</v>
      </c>
      <c r="O1107" s="442">
        <f t="shared" si="139"/>
        <v>1.0000000000000002</v>
      </c>
      <c r="P1107" s="387" t="s">
        <v>1358</v>
      </c>
      <c r="Q1107" s="459">
        <v>95.554000000000002</v>
      </c>
      <c r="R1107" s="459"/>
      <c r="S1107" s="456">
        <v>0</v>
      </c>
      <c r="T1107" s="459">
        <v>95.554000000000002</v>
      </c>
      <c r="U1107" s="555"/>
      <c r="V1107" s="411">
        <v>1</v>
      </c>
      <c r="W1107" s="411">
        <v>1</v>
      </c>
      <c r="X1107" s="411">
        <v>1</v>
      </c>
      <c r="Y1107" s="411"/>
      <c r="Z1107" s="411"/>
      <c r="AA1107" s="412">
        <f t="shared" si="151"/>
        <v>1.0000000000000002</v>
      </c>
      <c r="AB1107" s="456">
        <f t="shared" si="152"/>
        <v>95.554000000000016</v>
      </c>
      <c r="AC1107" s="456">
        <v>0</v>
      </c>
      <c r="AD1107" s="2"/>
      <c r="AE1107" s="4"/>
      <c r="AF1107" s="5"/>
    </row>
    <row r="1108" spans="2:32" hidden="1" x14ac:dyDescent="0.25">
      <c r="B1108" s="1" t="s">
        <v>4726</v>
      </c>
      <c r="C1108" s="3" t="s">
        <v>1368</v>
      </c>
      <c r="D1108" s="3" t="s">
        <v>1247</v>
      </c>
      <c r="E1108" s="407" t="s">
        <v>3220</v>
      </c>
      <c r="F1108" s="407" t="s">
        <v>4681</v>
      </c>
      <c r="G1108" s="415"/>
      <c r="H1108" s="415"/>
      <c r="I1108" s="415"/>
      <c r="J1108" s="415"/>
      <c r="K1108" s="3" t="s">
        <v>4677</v>
      </c>
      <c r="L1108" s="387">
        <v>1</v>
      </c>
      <c r="M1108" s="387">
        <v>0</v>
      </c>
      <c r="N1108" s="387">
        <f t="shared" si="138"/>
        <v>1</v>
      </c>
      <c r="O1108" s="442">
        <f t="shared" si="139"/>
        <v>1</v>
      </c>
      <c r="P1108" s="387" t="s">
        <v>1358</v>
      </c>
      <c r="Q1108" s="459">
        <v>15.923999999999999</v>
      </c>
      <c r="R1108" s="459"/>
      <c r="S1108" s="456">
        <v>0</v>
      </c>
      <c r="T1108" s="459">
        <v>15.923999999999999</v>
      </c>
      <c r="U1108" s="555"/>
      <c r="V1108" s="411">
        <v>1</v>
      </c>
      <c r="W1108" s="411">
        <v>1</v>
      </c>
      <c r="X1108" s="411">
        <v>1</v>
      </c>
      <c r="Y1108" s="411"/>
      <c r="Z1108" s="411"/>
      <c r="AA1108" s="412">
        <f t="shared" si="151"/>
        <v>1</v>
      </c>
      <c r="AB1108" s="456">
        <f t="shared" si="152"/>
        <v>15.923999999999999</v>
      </c>
      <c r="AC1108" s="456">
        <v>0</v>
      </c>
      <c r="AD1108" s="2"/>
      <c r="AE1108" s="4"/>
      <c r="AF1108" s="5"/>
    </row>
    <row r="1109" spans="2:32" hidden="1" x14ac:dyDescent="0.25">
      <c r="B1109" s="1" t="s">
        <v>4727</v>
      </c>
      <c r="C1109" s="3" t="s">
        <v>1368</v>
      </c>
      <c r="D1109" s="3" t="s">
        <v>1247</v>
      </c>
      <c r="E1109" s="407" t="s">
        <v>3220</v>
      </c>
      <c r="F1109" s="407" t="s">
        <v>4682</v>
      </c>
      <c r="G1109" s="415"/>
      <c r="H1109" s="415"/>
      <c r="I1109" s="415"/>
      <c r="J1109" s="415"/>
      <c r="K1109" s="3" t="s">
        <v>4677</v>
      </c>
      <c r="L1109" s="387">
        <v>1</v>
      </c>
      <c r="M1109" s="387">
        <v>0</v>
      </c>
      <c r="N1109" s="387">
        <f t="shared" si="138"/>
        <v>1</v>
      </c>
      <c r="O1109" s="442">
        <f t="shared" si="139"/>
        <v>1</v>
      </c>
      <c r="P1109" s="387" t="s">
        <v>1358</v>
      </c>
      <c r="Q1109" s="459">
        <v>15.923999999999999</v>
      </c>
      <c r="R1109" s="459"/>
      <c r="S1109" s="456">
        <v>0</v>
      </c>
      <c r="T1109" s="459">
        <v>15.923999999999999</v>
      </c>
      <c r="U1109" s="555"/>
      <c r="V1109" s="411">
        <v>1</v>
      </c>
      <c r="W1109" s="411">
        <v>1</v>
      </c>
      <c r="X1109" s="411">
        <v>1</v>
      </c>
      <c r="Y1109" s="411"/>
      <c r="Z1109" s="411"/>
      <c r="AA1109" s="412">
        <f t="shared" si="151"/>
        <v>1</v>
      </c>
      <c r="AB1109" s="456">
        <f t="shared" si="152"/>
        <v>15.923999999999999</v>
      </c>
      <c r="AC1109" s="456">
        <v>0</v>
      </c>
      <c r="AD1109" s="2"/>
      <c r="AE1109" s="4"/>
      <c r="AF1109" s="5"/>
    </row>
    <row r="1110" spans="2:32" hidden="1" x14ac:dyDescent="0.25">
      <c r="B1110" s="1" t="s">
        <v>4728</v>
      </c>
      <c r="C1110" s="3" t="s">
        <v>1368</v>
      </c>
      <c r="D1110" s="3" t="s">
        <v>1247</v>
      </c>
      <c r="E1110" s="407" t="s">
        <v>3220</v>
      </c>
      <c r="F1110" s="407" t="s">
        <v>4683</v>
      </c>
      <c r="G1110" s="415"/>
      <c r="H1110" s="415"/>
      <c r="I1110" s="415"/>
      <c r="J1110" s="415"/>
      <c r="K1110" s="3" t="s">
        <v>4677</v>
      </c>
      <c r="L1110" s="387">
        <v>1</v>
      </c>
      <c r="M1110" s="387">
        <v>0</v>
      </c>
      <c r="N1110" s="387">
        <f t="shared" si="138"/>
        <v>1</v>
      </c>
      <c r="O1110" s="442">
        <f t="shared" si="139"/>
        <v>1</v>
      </c>
      <c r="P1110" s="387" t="s">
        <v>1358</v>
      </c>
      <c r="Q1110" s="459">
        <v>23.885999999999999</v>
      </c>
      <c r="R1110" s="459"/>
      <c r="S1110" s="456">
        <v>0</v>
      </c>
      <c r="T1110" s="459">
        <v>23.885999999999999</v>
      </c>
      <c r="U1110" s="555"/>
      <c r="V1110" s="411">
        <v>1</v>
      </c>
      <c r="W1110" s="411">
        <v>1</v>
      </c>
      <c r="X1110" s="411">
        <v>1</v>
      </c>
      <c r="Y1110" s="411"/>
      <c r="Z1110" s="411"/>
      <c r="AA1110" s="412">
        <f t="shared" si="151"/>
        <v>1</v>
      </c>
      <c r="AB1110" s="456">
        <f t="shared" si="152"/>
        <v>23.885999999999999</v>
      </c>
      <c r="AC1110" s="456">
        <v>0</v>
      </c>
      <c r="AD1110" s="2"/>
      <c r="AE1110" s="4"/>
      <c r="AF1110" s="5"/>
    </row>
    <row r="1111" spans="2:32" hidden="1" x14ac:dyDescent="0.25">
      <c r="B1111" s="1" t="s">
        <v>4729</v>
      </c>
      <c r="C1111" s="3" t="s">
        <v>1368</v>
      </c>
      <c r="D1111" s="3" t="s">
        <v>1247</v>
      </c>
      <c r="E1111" s="407" t="s">
        <v>3220</v>
      </c>
      <c r="F1111" s="407" t="s">
        <v>4684</v>
      </c>
      <c r="G1111" s="415"/>
      <c r="H1111" s="415"/>
      <c r="I1111" s="415"/>
      <c r="J1111" s="415"/>
      <c r="K1111" s="3" t="s">
        <v>4677</v>
      </c>
      <c r="L1111" s="387">
        <v>1</v>
      </c>
      <c r="M1111" s="387">
        <v>0</v>
      </c>
      <c r="N1111" s="387">
        <f t="shared" si="138"/>
        <v>1</v>
      </c>
      <c r="O1111" s="442">
        <f t="shared" si="139"/>
        <v>1</v>
      </c>
      <c r="P1111" s="387" t="s">
        <v>1358</v>
      </c>
      <c r="Q1111" s="459">
        <v>23.885999999999999</v>
      </c>
      <c r="R1111" s="459"/>
      <c r="S1111" s="456">
        <v>0</v>
      </c>
      <c r="T1111" s="459">
        <v>23.885999999999999</v>
      </c>
      <c r="U1111" s="555"/>
      <c r="V1111" s="411">
        <v>1</v>
      </c>
      <c r="W1111" s="411">
        <v>1</v>
      </c>
      <c r="X1111" s="411">
        <v>1</v>
      </c>
      <c r="Y1111" s="411"/>
      <c r="Z1111" s="411"/>
      <c r="AA1111" s="412">
        <f t="shared" si="151"/>
        <v>1</v>
      </c>
      <c r="AB1111" s="456">
        <f t="shared" si="152"/>
        <v>23.885999999999999</v>
      </c>
      <c r="AC1111" s="456">
        <v>0</v>
      </c>
      <c r="AD1111" s="2"/>
      <c r="AE1111" s="4"/>
      <c r="AF1111" s="5"/>
    </row>
    <row r="1112" spans="2:32" hidden="1" x14ac:dyDescent="0.25">
      <c r="B1112" s="1" t="s">
        <v>4730</v>
      </c>
      <c r="C1112" s="3" t="s">
        <v>1368</v>
      </c>
      <c r="D1112" s="3" t="s">
        <v>1247</v>
      </c>
      <c r="E1112" s="407" t="s">
        <v>3220</v>
      </c>
      <c r="F1112" s="407" t="s">
        <v>4685</v>
      </c>
      <c r="G1112" s="415"/>
      <c r="H1112" s="415"/>
      <c r="I1112" s="415"/>
      <c r="J1112" s="415"/>
      <c r="K1112" s="3" t="s">
        <v>4677</v>
      </c>
      <c r="L1112" s="387">
        <v>1</v>
      </c>
      <c r="M1112" s="387">
        <v>0</v>
      </c>
      <c r="N1112" s="387">
        <f t="shared" si="138"/>
        <v>1</v>
      </c>
      <c r="O1112" s="442">
        <f t="shared" si="139"/>
        <v>1</v>
      </c>
      <c r="P1112" s="387" t="s">
        <v>1358</v>
      </c>
      <c r="Q1112" s="459">
        <v>15.923999999999999</v>
      </c>
      <c r="R1112" s="459"/>
      <c r="S1112" s="456">
        <v>0</v>
      </c>
      <c r="T1112" s="459">
        <v>15.923999999999999</v>
      </c>
      <c r="U1112" s="555"/>
      <c r="V1112" s="411">
        <v>1</v>
      </c>
      <c r="W1112" s="411">
        <v>1</v>
      </c>
      <c r="X1112" s="411">
        <v>1</v>
      </c>
      <c r="Y1112" s="411"/>
      <c r="Z1112" s="411"/>
      <c r="AA1112" s="412">
        <f t="shared" si="151"/>
        <v>1</v>
      </c>
      <c r="AB1112" s="456">
        <f t="shared" si="152"/>
        <v>15.923999999999999</v>
      </c>
      <c r="AC1112" s="456">
        <v>0</v>
      </c>
      <c r="AD1112" s="2"/>
      <c r="AE1112" s="4"/>
      <c r="AF1112" s="5"/>
    </row>
    <row r="1113" spans="2:32" hidden="1" x14ac:dyDescent="0.25">
      <c r="B1113" s="1" t="s">
        <v>4731</v>
      </c>
      <c r="C1113" s="3" t="s">
        <v>1368</v>
      </c>
      <c r="D1113" s="3" t="s">
        <v>1247</v>
      </c>
      <c r="E1113" s="407" t="s">
        <v>3220</v>
      </c>
      <c r="F1113" s="407" t="s">
        <v>4686</v>
      </c>
      <c r="G1113" s="415"/>
      <c r="H1113" s="415"/>
      <c r="I1113" s="415"/>
      <c r="J1113" s="415"/>
      <c r="K1113" s="3" t="s">
        <v>4677</v>
      </c>
      <c r="L1113" s="387">
        <v>1</v>
      </c>
      <c r="M1113" s="387">
        <v>0</v>
      </c>
      <c r="N1113" s="387">
        <f t="shared" si="138"/>
        <v>1</v>
      </c>
      <c r="O1113" s="442">
        <f t="shared" si="139"/>
        <v>1</v>
      </c>
      <c r="P1113" s="387" t="s">
        <v>1358</v>
      </c>
      <c r="Q1113" s="459">
        <v>63.695999999999998</v>
      </c>
      <c r="R1113" s="459"/>
      <c r="S1113" s="456">
        <v>0</v>
      </c>
      <c r="T1113" s="459">
        <v>63.695999999999998</v>
      </c>
      <c r="U1113" s="555"/>
      <c r="V1113" s="411">
        <v>1</v>
      </c>
      <c r="W1113" s="411">
        <v>1</v>
      </c>
      <c r="X1113" s="411">
        <v>1</v>
      </c>
      <c r="Y1113" s="411"/>
      <c r="Z1113" s="411"/>
      <c r="AA1113" s="412">
        <f t="shared" si="151"/>
        <v>1</v>
      </c>
      <c r="AB1113" s="456">
        <f t="shared" si="152"/>
        <v>63.695999999999998</v>
      </c>
      <c r="AC1113" s="456">
        <v>0</v>
      </c>
      <c r="AD1113" s="2"/>
      <c r="AE1113" s="4"/>
      <c r="AF1113" s="5"/>
    </row>
    <row r="1114" spans="2:32" hidden="1" x14ac:dyDescent="0.25">
      <c r="B1114" s="1" t="s">
        <v>4732</v>
      </c>
      <c r="C1114" s="3" t="s">
        <v>1368</v>
      </c>
      <c r="D1114" s="3" t="s">
        <v>1247</v>
      </c>
      <c r="E1114" s="407" t="s">
        <v>3221</v>
      </c>
      <c r="F1114" s="407" t="s">
        <v>4688</v>
      </c>
      <c r="G1114" s="415"/>
      <c r="H1114" s="415"/>
      <c r="I1114" s="415"/>
      <c r="J1114" s="415"/>
      <c r="K1114" s="3" t="s">
        <v>4677</v>
      </c>
      <c r="L1114" s="387">
        <v>1</v>
      </c>
      <c r="M1114" s="387">
        <v>0</v>
      </c>
      <c r="N1114" s="387">
        <f t="shared" si="138"/>
        <v>1</v>
      </c>
      <c r="O1114" s="442">
        <f t="shared" si="139"/>
        <v>1</v>
      </c>
      <c r="P1114" s="387" t="s">
        <v>1358</v>
      </c>
      <c r="Q1114" s="459">
        <v>31.847999999999999</v>
      </c>
      <c r="R1114" s="459"/>
      <c r="S1114" s="456">
        <v>0</v>
      </c>
      <c r="T1114" s="459">
        <v>31.847999999999999</v>
      </c>
      <c r="U1114" s="555"/>
      <c r="V1114" s="411">
        <v>1</v>
      </c>
      <c r="W1114" s="411">
        <v>1</v>
      </c>
      <c r="X1114" s="411">
        <v>1</v>
      </c>
      <c r="Y1114" s="411"/>
      <c r="Z1114" s="411"/>
      <c r="AA1114" s="412">
        <f t="shared" si="151"/>
        <v>1</v>
      </c>
      <c r="AB1114" s="456">
        <f t="shared" si="152"/>
        <v>31.847999999999999</v>
      </c>
      <c r="AC1114" s="456">
        <v>0</v>
      </c>
      <c r="AD1114" s="2"/>
      <c r="AE1114" s="4"/>
      <c r="AF1114" s="5"/>
    </row>
    <row r="1115" spans="2:32" hidden="1" x14ac:dyDescent="0.25">
      <c r="B1115" s="1" t="s">
        <v>4733</v>
      </c>
      <c r="C1115" s="3" t="s">
        <v>1368</v>
      </c>
      <c r="D1115" s="3" t="s">
        <v>1247</v>
      </c>
      <c r="E1115" s="407" t="s">
        <v>3221</v>
      </c>
      <c r="F1115" s="407" t="s">
        <v>4689</v>
      </c>
      <c r="G1115" s="415"/>
      <c r="H1115" s="415"/>
      <c r="I1115" s="415"/>
      <c r="J1115" s="415"/>
      <c r="K1115" s="3" t="s">
        <v>4677</v>
      </c>
      <c r="L1115" s="387">
        <v>1</v>
      </c>
      <c r="M1115" s="387">
        <v>0</v>
      </c>
      <c r="N1115" s="387">
        <f t="shared" si="138"/>
        <v>1</v>
      </c>
      <c r="O1115" s="442">
        <f t="shared" si="139"/>
        <v>1</v>
      </c>
      <c r="P1115" s="387" t="s">
        <v>1358</v>
      </c>
      <c r="Q1115" s="459">
        <v>95.543999999999997</v>
      </c>
      <c r="R1115" s="459"/>
      <c r="S1115" s="456">
        <v>0</v>
      </c>
      <c r="T1115" s="459">
        <v>95.543999999999997</v>
      </c>
      <c r="U1115" s="555"/>
      <c r="V1115" s="411">
        <v>1</v>
      </c>
      <c r="W1115" s="411">
        <v>1</v>
      </c>
      <c r="X1115" s="411">
        <v>1</v>
      </c>
      <c r="Y1115" s="411"/>
      <c r="Z1115" s="411"/>
      <c r="AA1115" s="412">
        <f t="shared" si="151"/>
        <v>1</v>
      </c>
      <c r="AB1115" s="456">
        <f t="shared" si="152"/>
        <v>95.543999999999997</v>
      </c>
      <c r="AC1115" s="456">
        <v>0</v>
      </c>
      <c r="AD1115" s="2"/>
      <c r="AE1115" s="4"/>
      <c r="AF1115" s="5"/>
    </row>
    <row r="1116" spans="2:32" hidden="1" x14ac:dyDescent="0.25">
      <c r="B1116" s="1" t="s">
        <v>4734</v>
      </c>
      <c r="C1116" s="3" t="s">
        <v>1368</v>
      </c>
      <c r="D1116" s="3" t="s">
        <v>1247</v>
      </c>
      <c r="E1116" s="407" t="s">
        <v>3221</v>
      </c>
      <c r="F1116" s="407" t="s">
        <v>4690</v>
      </c>
      <c r="G1116" s="415"/>
      <c r="H1116" s="415"/>
      <c r="I1116" s="415"/>
      <c r="J1116" s="415"/>
      <c r="K1116" s="3" t="s">
        <v>4677</v>
      </c>
      <c r="L1116" s="387">
        <v>1</v>
      </c>
      <c r="M1116" s="387">
        <v>0</v>
      </c>
      <c r="N1116" s="387">
        <f t="shared" si="138"/>
        <v>1</v>
      </c>
      <c r="O1116" s="442">
        <f t="shared" si="139"/>
        <v>1</v>
      </c>
      <c r="P1116" s="387" t="s">
        <v>1358</v>
      </c>
      <c r="Q1116" s="459">
        <v>95.543999999999997</v>
      </c>
      <c r="R1116" s="459"/>
      <c r="S1116" s="456">
        <v>0</v>
      </c>
      <c r="T1116" s="459">
        <v>95.543999999999997</v>
      </c>
      <c r="U1116" s="555"/>
      <c r="V1116" s="411">
        <v>1</v>
      </c>
      <c r="W1116" s="411">
        <v>1</v>
      </c>
      <c r="X1116" s="411">
        <v>1</v>
      </c>
      <c r="Y1116" s="411"/>
      <c r="Z1116" s="411"/>
      <c r="AA1116" s="412">
        <f t="shared" si="151"/>
        <v>1</v>
      </c>
      <c r="AB1116" s="456">
        <f t="shared" si="152"/>
        <v>95.543999999999997</v>
      </c>
      <c r="AC1116" s="456">
        <v>0</v>
      </c>
      <c r="AD1116" s="2"/>
      <c r="AE1116" s="4"/>
      <c r="AF1116" s="5"/>
    </row>
    <row r="1117" spans="2:32" hidden="1" x14ac:dyDescent="0.25">
      <c r="B1117" s="1" t="s">
        <v>4735</v>
      </c>
      <c r="C1117" s="3" t="s">
        <v>1368</v>
      </c>
      <c r="D1117" s="3" t="s">
        <v>1247</v>
      </c>
      <c r="E1117" s="407" t="s">
        <v>3221</v>
      </c>
      <c r="F1117" s="407" t="s">
        <v>4691</v>
      </c>
      <c r="G1117" s="415"/>
      <c r="H1117" s="415"/>
      <c r="I1117" s="415"/>
      <c r="J1117" s="415"/>
      <c r="K1117" s="3" t="s">
        <v>4687</v>
      </c>
      <c r="L1117" s="387">
        <v>1</v>
      </c>
      <c r="M1117" s="387">
        <v>0</v>
      </c>
      <c r="N1117" s="387">
        <f t="shared" si="138"/>
        <v>1</v>
      </c>
      <c r="O1117" s="442">
        <f t="shared" si="139"/>
        <v>1</v>
      </c>
      <c r="P1117" s="387" t="s">
        <v>1358</v>
      </c>
      <c r="Q1117" s="459">
        <v>23.885999999999999</v>
      </c>
      <c r="R1117" s="459"/>
      <c r="S1117" s="456">
        <v>0</v>
      </c>
      <c r="T1117" s="459">
        <v>23.885999999999999</v>
      </c>
      <c r="U1117" s="555"/>
      <c r="V1117" s="411">
        <v>1</v>
      </c>
      <c r="W1117" s="411">
        <v>1</v>
      </c>
      <c r="X1117" s="411">
        <v>1</v>
      </c>
      <c r="Y1117" s="411"/>
      <c r="Z1117" s="411"/>
      <c r="AA1117" s="412">
        <f t="shared" si="151"/>
        <v>1</v>
      </c>
      <c r="AB1117" s="456">
        <f t="shared" si="152"/>
        <v>23.885999999999999</v>
      </c>
      <c r="AC1117" s="456">
        <v>0</v>
      </c>
      <c r="AD1117" s="2"/>
      <c r="AE1117" s="4"/>
      <c r="AF1117" s="5"/>
    </row>
    <row r="1118" spans="2:32" hidden="1" x14ac:dyDescent="0.25">
      <c r="B1118" s="1" t="s">
        <v>4736</v>
      </c>
      <c r="C1118" s="3" t="s">
        <v>1368</v>
      </c>
      <c r="D1118" s="3" t="s">
        <v>1247</v>
      </c>
      <c r="E1118" s="407" t="s">
        <v>3221</v>
      </c>
      <c r="F1118" s="407" t="s">
        <v>4692</v>
      </c>
      <c r="G1118" s="415"/>
      <c r="H1118" s="415"/>
      <c r="I1118" s="415"/>
      <c r="J1118" s="415"/>
      <c r="K1118" s="3" t="s">
        <v>4687</v>
      </c>
      <c r="L1118" s="387">
        <v>1</v>
      </c>
      <c r="M1118" s="387">
        <v>0</v>
      </c>
      <c r="N1118" s="387">
        <f t="shared" si="138"/>
        <v>1</v>
      </c>
      <c r="O1118" s="442">
        <f t="shared" si="139"/>
        <v>1</v>
      </c>
      <c r="P1118" s="387" t="s">
        <v>1358</v>
      </c>
      <c r="Q1118" s="459">
        <v>15.923999999999999</v>
      </c>
      <c r="R1118" s="459"/>
      <c r="S1118" s="456">
        <v>0</v>
      </c>
      <c r="T1118" s="459">
        <v>15.923999999999999</v>
      </c>
      <c r="U1118" s="555"/>
      <c r="V1118" s="411">
        <v>1</v>
      </c>
      <c r="W1118" s="411">
        <v>1</v>
      </c>
      <c r="X1118" s="411">
        <v>1</v>
      </c>
      <c r="Y1118" s="411"/>
      <c r="Z1118" s="411"/>
      <c r="AA1118" s="412">
        <f t="shared" si="151"/>
        <v>1</v>
      </c>
      <c r="AB1118" s="456">
        <f t="shared" si="152"/>
        <v>15.923999999999999</v>
      </c>
      <c r="AC1118" s="456">
        <v>0</v>
      </c>
      <c r="AD1118" s="2"/>
      <c r="AE1118" s="4"/>
      <c r="AF1118" s="5"/>
    </row>
    <row r="1119" spans="2:32" hidden="1" x14ac:dyDescent="0.25">
      <c r="B1119" s="1" t="s">
        <v>4737</v>
      </c>
      <c r="C1119" s="3" t="s">
        <v>1368</v>
      </c>
      <c r="D1119" s="3" t="s">
        <v>1247</v>
      </c>
      <c r="E1119" s="407" t="s">
        <v>3221</v>
      </c>
      <c r="F1119" s="407" t="s">
        <v>4693</v>
      </c>
      <c r="G1119" s="415"/>
      <c r="H1119" s="415"/>
      <c r="I1119" s="415"/>
      <c r="J1119" s="415"/>
      <c r="K1119" s="3" t="s">
        <v>4687</v>
      </c>
      <c r="L1119" s="387">
        <v>1</v>
      </c>
      <c r="M1119" s="387">
        <v>0</v>
      </c>
      <c r="N1119" s="387">
        <f t="shared" si="138"/>
        <v>1</v>
      </c>
      <c r="O1119" s="442">
        <f t="shared" si="139"/>
        <v>1</v>
      </c>
      <c r="P1119" s="387" t="s">
        <v>1358</v>
      </c>
      <c r="Q1119" s="459">
        <v>15.923999999999999</v>
      </c>
      <c r="R1119" s="459"/>
      <c r="S1119" s="456">
        <v>0</v>
      </c>
      <c r="T1119" s="459">
        <v>15.923999999999999</v>
      </c>
      <c r="U1119" s="555"/>
      <c r="V1119" s="411">
        <v>1</v>
      </c>
      <c r="W1119" s="411">
        <v>1</v>
      </c>
      <c r="X1119" s="411">
        <v>1</v>
      </c>
      <c r="Y1119" s="411"/>
      <c r="Z1119" s="411"/>
      <c r="AA1119" s="412">
        <f t="shared" si="151"/>
        <v>1</v>
      </c>
      <c r="AB1119" s="456">
        <f t="shared" si="152"/>
        <v>15.923999999999999</v>
      </c>
      <c r="AC1119" s="456">
        <v>0</v>
      </c>
      <c r="AD1119" s="2"/>
      <c r="AE1119" s="4"/>
      <c r="AF1119" s="5"/>
    </row>
    <row r="1120" spans="2:32" hidden="1" x14ac:dyDescent="0.25">
      <c r="B1120" s="1" t="s">
        <v>4738</v>
      </c>
      <c r="C1120" s="3" t="s">
        <v>1368</v>
      </c>
      <c r="D1120" s="3" t="s">
        <v>1247</v>
      </c>
      <c r="E1120" s="407" t="s">
        <v>3221</v>
      </c>
      <c r="F1120" s="407" t="s">
        <v>4694</v>
      </c>
      <c r="G1120" s="415"/>
      <c r="H1120" s="415"/>
      <c r="I1120" s="415"/>
      <c r="J1120" s="415"/>
      <c r="K1120" s="3" t="s">
        <v>4687</v>
      </c>
      <c r="L1120" s="387">
        <v>1</v>
      </c>
      <c r="M1120" s="387">
        <v>0</v>
      </c>
      <c r="N1120" s="387">
        <f t="shared" si="138"/>
        <v>1</v>
      </c>
      <c r="O1120" s="442">
        <f t="shared" si="139"/>
        <v>1</v>
      </c>
      <c r="P1120" s="387" t="s">
        <v>1358</v>
      </c>
      <c r="Q1120" s="459">
        <v>15.923999999999999</v>
      </c>
      <c r="R1120" s="459"/>
      <c r="S1120" s="456">
        <v>0</v>
      </c>
      <c r="T1120" s="459">
        <v>15.923999999999999</v>
      </c>
      <c r="U1120" s="555"/>
      <c r="V1120" s="411">
        <v>1</v>
      </c>
      <c r="W1120" s="411">
        <v>1</v>
      </c>
      <c r="X1120" s="411">
        <v>1</v>
      </c>
      <c r="Y1120" s="411"/>
      <c r="Z1120" s="411"/>
      <c r="AA1120" s="412">
        <f t="shared" si="151"/>
        <v>1</v>
      </c>
      <c r="AB1120" s="456">
        <f t="shared" si="152"/>
        <v>15.923999999999999</v>
      </c>
      <c r="AC1120" s="456">
        <v>0</v>
      </c>
      <c r="AD1120" s="2"/>
      <c r="AE1120" s="4"/>
      <c r="AF1120" s="5"/>
    </row>
    <row r="1121" spans="2:32" hidden="1" x14ac:dyDescent="0.25">
      <c r="B1121" s="1" t="s">
        <v>4739</v>
      </c>
      <c r="C1121" s="3" t="s">
        <v>1368</v>
      </c>
      <c r="D1121" s="3" t="s">
        <v>1247</v>
      </c>
      <c r="E1121" s="407" t="s">
        <v>3221</v>
      </c>
      <c r="F1121" s="407" t="s">
        <v>4695</v>
      </c>
      <c r="G1121" s="415"/>
      <c r="H1121" s="415"/>
      <c r="I1121" s="415"/>
      <c r="J1121" s="415"/>
      <c r="K1121" s="3" t="s">
        <v>4687</v>
      </c>
      <c r="L1121" s="387">
        <v>1</v>
      </c>
      <c r="M1121" s="387">
        <v>0</v>
      </c>
      <c r="N1121" s="387">
        <f t="shared" si="138"/>
        <v>1</v>
      </c>
      <c r="O1121" s="442">
        <f t="shared" si="139"/>
        <v>1</v>
      </c>
      <c r="P1121" s="387" t="s">
        <v>1358</v>
      </c>
      <c r="Q1121" s="459">
        <v>23.885999999999999</v>
      </c>
      <c r="R1121" s="459"/>
      <c r="S1121" s="456">
        <v>0</v>
      </c>
      <c r="T1121" s="459">
        <v>23.885999999999999</v>
      </c>
      <c r="U1121" s="555"/>
      <c r="V1121" s="411">
        <v>1</v>
      </c>
      <c r="W1121" s="411">
        <v>1</v>
      </c>
      <c r="X1121" s="411">
        <v>1</v>
      </c>
      <c r="Y1121" s="411"/>
      <c r="Z1121" s="411"/>
      <c r="AA1121" s="412">
        <f t="shared" si="151"/>
        <v>1</v>
      </c>
      <c r="AB1121" s="456">
        <f t="shared" si="152"/>
        <v>23.885999999999999</v>
      </c>
      <c r="AC1121" s="456">
        <v>0</v>
      </c>
      <c r="AD1121" s="2"/>
      <c r="AE1121" s="4"/>
      <c r="AF1121" s="5"/>
    </row>
    <row r="1122" spans="2:32" hidden="1" x14ac:dyDescent="0.25">
      <c r="B1122" s="1" t="s">
        <v>4740</v>
      </c>
      <c r="C1122" s="3" t="s">
        <v>1368</v>
      </c>
      <c r="D1122" s="3" t="s">
        <v>1247</v>
      </c>
      <c r="E1122" s="407" t="s">
        <v>3221</v>
      </c>
      <c r="F1122" s="407" t="s">
        <v>4696</v>
      </c>
      <c r="G1122" s="415"/>
      <c r="H1122" s="415"/>
      <c r="I1122" s="415"/>
      <c r="J1122" s="415"/>
      <c r="K1122" s="3" t="s">
        <v>4687</v>
      </c>
      <c r="L1122" s="387">
        <v>1</v>
      </c>
      <c r="M1122" s="387">
        <v>0</v>
      </c>
      <c r="N1122" s="387">
        <f t="shared" si="138"/>
        <v>1</v>
      </c>
      <c r="O1122" s="442">
        <f t="shared" si="139"/>
        <v>1</v>
      </c>
      <c r="P1122" s="387" t="s">
        <v>1358</v>
      </c>
      <c r="Q1122" s="459">
        <v>63.695999999999998</v>
      </c>
      <c r="R1122" s="459"/>
      <c r="S1122" s="456">
        <v>0</v>
      </c>
      <c r="T1122" s="459">
        <v>63.695999999999998</v>
      </c>
      <c r="U1122" s="555"/>
      <c r="V1122" s="411">
        <v>1</v>
      </c>
      <c r="W1122" s="411">
        <v>1</v>
      </c>
      <c r="X1122" s="411">
        <v>1</v>
      </c>
      <c r="Y1122" s="411"/>
      <c r="Z1122" s="411"/>
      <c r="AA1122" s="412">
        <f t="shared" si="151"/>
        <v>1</v>
      </c>
      <c r="AB1122" s="456">
        <f t="shared" si="152"/>
        <v>63.695999999999998</v>
      </c>
      <c r="AC1122" s="456">
        <v>0</v>
      </c>
      <c r="AD1122" s="2"/>
      <c r="AE1122" s="4"/>
      <c r="AF1122" s="5"/>
    </row>
    <row r="1123" spans="2:32" hidden="1" x14ac:dyDescent="0.25">
      <c r="B1123" s="1" t="s">
        <v>4741</v>
      </c>
      <c r="C1123" s="3" t="s">
        <v>1368</v>
      </c>
      <c r="D1123" s="3" t="s">
        <v>1247</v>
      </c>
      <c r="E1123" s="407" t="s">
        <v>3222</v>
      </c>
      <c r="F1123" s="407" t="s">
        <v>4697</v>
      </c>
      <c r="G1123" s="415"/>
      <c r="H1123" s="415"/>
      <c r="I1123" s="415"/>
      <c r="J1123" s="415"/>
      <c r="K1123" s="3" t="s">
        <v>4687</v>
      </c>
      <c r="L1123" s="387">
        <v>1</v>
      </c>
      <c r="M1123" s="387">
        <v>0</v>
      </c>
      <c r="N1123" s="387">
        <f t="shared" si="138"/>
        <v>1</v>
      </c>
      <c r="O1123" s="442">
        <f t="shared" si="139"/>
        <v>1</v>
      </c>
      <c r="P1123" s="387" t="s">
        <v>1358</v>
      </c>
      <c r="Q1123" s="459">
        <v>95.543999999999997</v>
      </c>
      <c r="R1123" s="459"/>
      <c r="S1123" s="456">
        <v>0</v>
      </c>
      <c r="T1123" s="459">
        <v>95.543999999999997</v>
      </c>
      <c r="U1123" s="555"/>
      <c r="V1123" s="411">
        <v>1</v>
      </c>
      <c r="W1123" s="411">
        <v>1</v>
      </c>
      <c r="X1123" s="411">
        <v>1</v>
      </c>
      <c r="Y1123" s="411"/>
      <c r="Z1123" s="411"/>
      <c r="AA1123" s="412">
        <f t="shared" si="151"/>
        <v>1</v>
      </c>
      <c r="AB1123" s="456">
        <f t="shared" si="152"/>
        <v>95.543999999999997</v>
      </c>
      <c r="AC1123" s="456">
        <v>0</v>
      </c>
      <c r="AD1123" s="2"/>
      <c r="AE1123" s="4"/>
      <c r="AF1123" s="5"/>
    </row>
    <row r="1124" spans="2:32" hidden="1" x14ac:dyDescent="0.25">
      <c r="B1124" s="1" t="s">
        <v>4742</v>
      </c>
      <c r="C1124" s="3" t="s">
        <v>1368</v>
      </c>
      <c r="D1124" s="3" t="s">
        <v>1247</v>
      </c>
      <c r="E1124" s="407" t="s">
        <v>3222</v>
      </c>
      <c r="F1124" s="407" t="s">
        <v>4698</v>
      </c>
      <c r="G1124" s="415"/>
      <c r="H1124" s="415"/>
      <c r="I1124" s="415"/>
      <c r="J1124" s="415"/>
      <c r="K1124" s="3" t="s">
        <v>4701</v>
      </c>
      <c r="L1124" s="387">
        <v>1</v>
      </c>
      <c r="M1124" s="387">
        <v>0</v>
      </c>
      <c r="N1124" s="387">
        <f t="shared" si="138"/>
        <v>1</v>
      </c>
      <c r="O1124" s="442">
        <f t="shared" si="139"/>
        <v>1</v>
      </c>
      <c r="P1124" s="387" t="s">
        <v>1358</v>
      </c>
      <c r="Q1124" s="459">
        <v>23.885999999999999</v>
      </c>
      <c r="R1124" s="459"/>
      <c r="S1124" s="456">
        <v>0</v>
      </c>
      <c r="T1124" s="459">
        <v>23.885999999999999</v>
      </c>
      <c r="U1124" s="555"/>
      <c r="V1124" s="411">
        <v>1</v>
      </c>
      <c r="W1124" s="411">
        <v>1</v>
      </c>
      <c r="X1124" s="411">
        <v>1</v>
      </c>
      <c r="Y1124" s="411"/>
      <c r="Z1124" s="411"/>
      <c r="AA1124" s="412">
        <f t="shared" si="151"/>
        <v>1</v>
      </c>
      <c r="AB1124" s="456">
        <f t="shared" si="152"/>
        <v>23.885999999999999</v>
      </c>
      <c r="AC1124" s="456">
        <v>0</v>
      </c>
      <c r="AD1124" s="2"/>
      <c r="AE1124" s="4"/>
      <c r="AF1124" s="5"/>
    </row>
    <row r="1125" spans="2:32" hidden="1" x14ac:dyDescent="0.25">
      <c r="B1125" s="1" t="s">
        <v>4743</v>
      </c>
      <c r="C1125" s="3" t="s">
        <v>1368</v>
      </c>
      <c r="D1125" s="3" t="s">
        <v>1247</v>
      </c>
      <c r="E1125" s="407" t="s">
        <v>3222</v>
      </c>
      <c r="F1125" s="407" t="s">
        <v>4699</v>
      </c>
      <c r="G1125" s="415"/>
      <c r="H1125" s="415"/>
      <c r="I1125" s="415"/>
      <c r="J1125" s="415"/>
      <c r="K1125" s="3" t="s">
        <v>4701</v>
      </c>
      <c r="L1125" s="387">
        <v>1</v>
      </c>
      <c r="M1125" s="387">
        <v>0</v>
      </c>
      <c r="N1125" s="387">
        <f t="shared" si="138"/>
        <v>1</v>
      </c>
      <c r="O1125" s="442">
        <f t="shared" si="139"/>
        <v>1</v>
      </c>
      <c r="P1125" s="387" t="s">
        <v>1358</v>
      </c>
      <c r="Q1125" s="459">
        <v>15.923999999999999</v>
      </c>
      <c r="R1125" s="459"/>
      <c r="S1125" s="456">
        <v>0</v>
      </c>
      <c r="T1125" s="459">
        <v>15.923999999999999</v>
      </c>
      <c r="U1125" s="555"/>
      <c r="V1125" s="411">
        <v>1</v>
      </c>
      <c r="W1125" s="411">
        <v>1</v>
      </c>
      <c r="X1125" s="411">
        <v>1</v>
      </c>
      <c r="Y1125" s="411"/>
      <c r="Z1125" s="411"/>
      <c r="AA1125" s="412">
        <f t="shared" si="151"/>
        <v>1</v>
      </c>
      <c r="AB1125" s="456">
        <f t="shared" si="152"/>
        <v>15.923999999999999</v>
      </c>
      <c r="AC1125" s="456">
        <v>0</v>
      </c>
      <c r="AD1125" s="2"/>
      <c r="AE1125" s="4"/>
      <c r="AF1125" s="5"/>
    </row>
    <row r="1126" spans="2:32" hidden="1" x14ac:dyDescent="0.25">
      <c r="B1126" s="1" t="s">
        <v>4744</v>
      </c>
      <c r="C1126" s="3" t="s">
        <v>1368</v>
      </c>
      <c r="D1126" s="3" t="s">
        <v>1247</v>
      </c>
      <c r="E1126" s="407" t="s">
        <v>3222</v>
      </c>
      <c r="F1126" s="407" t="s">
        <v>4700</v>
      </c>
      <c r="G1126" s="415"/>
      <c r="H1126" s="415"/>
      <c r="I1126" s="415"/>
      <c r="J1126" s="415"/>
      <c r="K1126" s="3" t="s">
        <v>4701</v>
      </c>
      <c r="L1126" s="387">
        <v>1</v>
      </c>
      <c r="M1126" s="387">
        <v>0</v>
      </c>
      <c r="N1126" s="387">
        <f t="shared" si="138"/>
        <v>1</v>
      </c>
      <c r="O1126" s="442">
        <f t="shared" si="139"/>
        <v>1</v>
      </c>
      <c r="P1126" s="387" t="s">
        <v>1358</v>
      </c>
      <c r="Q1126" s="459">
        <v>63.695999999999998</v>
      </c>
      <c r="R1126" s="459"/>
      <c r="S1126" s="456">
        <v>0</v>
      </c>
      <c r="T1126" s="459">
        <v>63.695999999999998</v>
      </c>
      <c r="U1126" s="555"/>
      <c r="V1126" s="411">
        <v>1</v>
      </c>
      <c r="W1126" s="411">
        <v>1</v>
      </c>
      <c r="X1126" s="411">
        <v>1</v>
      </c>
      <c r="Y1126" s="411"/>
      <c r="Z1126" s="411"/>
      <c r="AA1126" s="412">
        <f t="shared" si="151"/>
        <v>1</v>
      </c>
      <c r="AB1126" s="456">
        <f t="shared" si="152"/>
        <v>63.695999999999998</v>
      </c>
      <c r="AC1126" s="456">
        <v>0</v>
      </c>
      <c r="AD1126" s="2"/>
      <c r="AE1126" s="4"/>
      <c r="AF1126" s="5"/>
    </row>
    <row r="1127" spans="2:32" hidden="1" x14ac:dyDescent="0.25">
      <c r="B1127" s="1" t="s">
        <v>4825</v>
      </c>
      <c r="C1127" s="3" t="s">
        <v>1368</v>
      </c>
      <c r="D1127" s="3" t="s">
        <v>1247</v>
      </c>
      <c r="E1127" s="407" t="s">
        <v>3221</v>
      </c>
      <c r="F1127" s="407" t="s">
        <v>4755</v>
      </c>
      <c r="G1127" s="415" t="s">
        <v>4755</v>
      </c>
      <c r="H1127" s="415"/>
      <c r="I1127" s="415"/>
      <c r="J1127" s="415"/>
      <c r="K1127" s="3" t="s">
        <v>4756</v>
      </c>
      <c r="L1127" s="387">
        <v>1</v>
      </c>
      <c r="M1127" s="387">
        <v>0</v>
      </c>
      <c r="N1127" s="387">
        <f t="shared" ref="N1127:N1198" si="153">L1127+M1127</f>
        <v>1</v>
      </c>
      <c r="O1127" s="442">
        <f t="shared" ref="O1127:O1198" si="154">L1127*AA1127</f>
        <v>1</v>
      </c>
      <c r="P1127" s="387" t="s">
        <v>1358</v>
      </c>
      <c r="Q1127" s="459">
        <v>31.847999999999999</v>
      </c>
      <c r="R1127" s="459"/>
      <c r="S1127" s="456">
        <v>0</v>
      </c>
      <c r="T1127" s="459">
        <v>31.847999999999999</v>
      </c>
      <c r="U1127" s="555"/>
      <c r="V1127" s="411">
        <v>1</v>
      </c>
      <c r="W1127" s="411">
        <v>1</v>
      </c>
      <c r="X1127" s="411">
        <v>1</v>
      </c>
      <c r="Y1127" s="411"/>
      <c r="Z1127" s="411"/>
      <c r="AA1127" s="412">
        <f t="shared" ref="AA1127:AA1207" si="155">AB1127/T1127</f>
        <v>1</v>
      </c>
      <c r="AB1127" s="456">
        <f t="shared" si="152"/>
        <v>31.847999999999999</v>
      </c>
      <c r="AC1127" s="456">
        <v>0</v>
      </c>
      <c r="AD1127" s="2"/>
      <c r="AE1127" s="4"/>
      <c r="AF1127" s="5"/>
    </row>
    <row r="1128" spans="2:32" hidden="1" x14ac:dyDescent="0.25">
      <c r="B1128" s="1" t="s">
        <v>4826</v>
      </c>
      <c r="C1128" s="3" t="s">
        <v>1368</v>
      </c>
      <c r="D1128" s="3" t="s">
        <v>1247</v>
      </c>
      <c r="E1128" s="407" t="s">
        <v>3221</v>
      </c>
      <c r="F1128" s="407" t="s">
        <v>4757</v>
      </c>
      <c r="G1128" s="415"/>
      <c r="H1128" s="415"/>
      <c r="I1128" s="415"/>
      <c r="J1128" s="415"/>
      <c r="K1128" s="3" t="s">
        <v>4756</v>
      </c>
      <c r="L1128" s="387">
        <v>1</v>
      </c>
      <c r="M1128" s="387">
        <v>0</v>
      </c>
      <c r="N1128" s="387">
        <f t="shared" si="153"/>
        <v>1</v>
      </c>
      <c r="O1128" s="442">
        <f t="shared" si="154"/>
        <v>1</v>
      </c>
      <c r="P1128" s="387" t="s">
        <v>1358</v>
      </c>
      <c r="Q1128" s="459">
        <v>95.543999999999997</v>
      </c>
      <c r="R1128" s="459"/>
      <c r="S1128" s="456">
        <v>0</v>
      </c>
      <c r="T1128" s="459">
        <v>95.543999999999997</v>
      </c>
      <c r="U1128" s="555"/>
      <c r="V1128" s="411">
        <v>1</v>
      </c>
      <c r="W1128" s="411">
        <v>1</v>
      </c>
      <c r="X1128" s="411">
        <v>1</v>
      </c>
      <c r="Y1128" s="411"/>
      <c r="Z1128" s="411"/>
      <c r="AA1128" s="412">
        <f t="shared" si="155"/>
        <v>1</v>
      </c>
      <c r="AB1128" s="456">
        <f t="shared" si="152"/>
        <v>95.543999999999997</v>
      </c>
      <c r="AC1128" s="456">
        <v>0</v>
      </c>
      <c r="AD1128" s="2"/>
      <c r="AE1128" s="4"/>
      <c r="AF1128" s="5"/>
    </row>
    <row r="1129" spans="2:32" hidden="1" x14ac:dyDescent="0.25">
      <c r="B1129" s="1" t="s">
        <v>4827</v>
      </c>
      <c r="C1129" s="3" t="s">
        <v>1368</v>
      </c>
      <c r="D1129" s="3" t="s">
        <v>1247</v>
      </c>
      <c r="E1129" s="407" t="s">
        <v>3222</v>
      </c>
      <c r="F1129" s="407" t="s">
        <v>4758</v>
      </c>
      <c r="G1129" s="415"/>
      <c r="H1129" s="415"/>
      <c r="I1129" s="415"/>
      <c r="J1129" s="415"/>
      <c r="K1129" s="3" t="s">
        <v>4764</v>
      </c>
      <c r="L1129" s="387">
        <v>1</v>
      </c>
      <c r="M1129" s="387">
        <v>0</v>
      </c>
      <c r="N1129" s="387">
        <f t="shared" si="153"/>
        <v>1</v>
      </c>
      <c r="O1129" s="442">
        <f t="shared" si="154"/>
        <v>1</v>
      </c>
      <c r="P1129" s="387" t="s">
        <v>1358</v>
      </c>
      <c r="Q1129" s="459">
        <v>15.923999999999999</v>
      </c>
      <c r="R1129" s="459"/>
      <c r="S1129" s="456">
        <v>0</v>
      </c>
      <c r="T1129" s="459">
        <v>15.923999999999999</v>
      </c>
      <c r="U1129" s="555"/>
      <c r="V1129" s="411">
        <v>1</v>
      </c>
      <c r="W1129" s="411">
        <v>1</v>
      </c>
      <c r="X1129" s="411">
        <v>1</v>
      </c>
      <c r="Y1129" s="411"/>
      <c r="Z1129" s="411"/>
      <c r="AA1129" s="412">
        <f t="shared" si="155"/>
        <v>1</v>
      </c>
      <c r="AB1129" s="456">
        <f t="shared" si="152"/>
        <v>15.923999999999999</v>
      </c>
      <c r="AC1129" s="456">
        <v>0</v>
      </c>
      <c r="AD1129" s="2"/>
      <c r="AE1129" s="4"/>
      <c r="AF1129" s="5"/>
    </row>
    <row r="1130" spans="2:32" hidden="1" x14ac:dyDescent="0.25">
      <c r="B1130" s="1" t="s">
        <v>4828</v>
      </c>
      <c r="C1130" s="3" t="s">
        <v>1368</v>
      </c>
      <c r="D1130" s="3" t="s">
        <v>1247</v>
      </c>
      <c r="E1130" s="407" t="s">
        <v>3222</v>
      </c>
      <c r="F1130" s="407" t="s">
        <v>4759</v>
      </c>
      <c r="G1130" s="415"/>
      <c r="H1130" s="415"/>
      <c r="I1130" s="415"/>
      <c r="J1130" s="415"/>
      <c r="K1130" s="3" t="s">
        <v>4764</v>
      </c>
      <c r="L1130" s="387">
        <v>1</v>
      </c>
      <c r="M1130" s="387">
        <v>0</v>
      </c>
      <c r="N1130" s="387">
        <f t="shared" si="153"/>
        <v>1</v>
      </c>
      <c r="O1130" s="442">
        <f t="shared" si="154"/>
        <v>1</v>
      </c>
      <c r="P1130" s="387" t="s">
        <v>1358</v>
      </c>
      <c r="Q1130" s="459">
        <v>15.923999999999999</v>
      </c>
      <c r="R1130" s="459"/>
      <c r="S1130" s="456">
        <v>0</v>
      </c>
      <c r="T1130" s="459">
        <v>15.923999999999999</v>
      </c>
      <c r="U1130" s="555"/>
      <c r="V1130" s="411">
        <v>1</v>
      </c>
      <c r="W1130" s="411">
        <v>1</v>
      </c>
      <c r="X1130" s="411">
        <v>1</v>
      </c>
      <c r="Y1130" s="411"/>
      <c r="Z1130" s="411"/>
      <c r="AA1130" s="412">
        <f t="shared" si="155"/>
        <v>1</v>
      </c>
      <c r="AB1130" s="456">
        <f t="shared" si="152"/>
        <v>15.923999999999999</v>
      </c>
      <c r="AC1130" s="456">
        <v>0</v>
      </c>
      <c r="AD1130" s="2"/>
      <c r="AE1130" s="4"/>
      <c r="AF1130" s="5"/>
    </row>
    <row r="1131" spans="2:32" hidden="1" x14ac:dyDescent="0.25">
      <c r="B1131" s="1" t="s">
        <v>4829</v>
      </c>
      <c r="C1131" s="3" t="s">
        <v>1368</v>
      </c>
      <c r="D1131" s="3" t="s">
        <v>1247</v>
      </c>
      <c r="E1131" s="407" t="s">
        <v>3222</v>
      </c>
      <c r="F1131" s="407" t="s">
        <v>4760</v>
      </c>
      <c r="G1131" s="415"/>
      <c r="H1131" s="415"/>
      <c r="I1131" s="415"/>
      <c r="J1131" s="415"/>
      <c r="K1131" s="3" t="s">
        <v>4764</v>
      </c>
      <c r="L1131" s="387">
        <v>1</v>
      </c>
      <c r="M1131" s="387">
        <v>0</v>
      </c>
      <c r="N1131" s="387">
        <f t="shared" si="153"/>
        <v>1</v>
      </c>
      <c r="O1131" s="442">
        <f t="shared" si="154"/>
        <v>1</v>
      </c>
      <c r="P1131" s="387" t="s">
        <v>1358</v>
      </c>
      <c r="Q1131" s="459">
        <v>23.885999999999999</v>
      </c>
      <c r="R1131" s="459"/>
      <c r="S1131" s="456">
        <v>0</v>
      </c>
      <c r="T1131" s="459">
        <v>23.885999999999999</v>
      </c>
      <c r="U1131" s="555"/>
      <c r="V1131" s="411">
        <v>1</v>
      </c>
      <c r="W1131" s="411">
        <v>1</v>
      </c>
      <c r="X1131" s="411">
        <v>1</v>
      </c>
      <c r="Y1131" s="411"/>
      <c r="Z1131" s="411"/>
      <c r="AA1131" s="412">
        <f t="shared" si="155"/>
        <v>1</v>
      </c>
      <c r="AB1131" s="456">
        <f t="shared" si="152"/>
        <v>23.885999999999999</v>
      </c>
      <c r="AC1131" s="456">
        <v>0</v>
      </c>
      <c r="AD1131" s="2"/>
      <c r="AE1131" s="4"/>
      <c r="AF1131" s="5"/>
    </row>
    <row r="1132" spans="2:32" hidden="1" x14ac:dyDescent="0.25">
      <c r="B1132" s="1" t="s">
        <v>4830</v>
      </c>
      <c r="C1132" s="3" t="s">
        <v>1368</v>
      </c>
      <c r="D1132" s="3" t="s">
        <v>1247</v>
      </c>
      <c r="E1132" s="407" t="s">
        <v>3222</v>
      </c>
      <c r="F1132" s="407" t="s">
        <v>4761</v>
      </c>
      <c r="G1132" s="415"/>
      <c r="H1132" s="415"/>
      <c r="I1132" s="415"/>
      <c r="J1132" s="415"/>
      <c r="K1132" s="3" t="s">
        <v>4764</v>
      </c>
      <c r="L1132" s="387">
        <v>1</v>
      </c>
      <c r="M1132" s="387">
        <v>0</v>
      </c>
      <c r="N1132" s="387">
        <f t="shared" si="153"/>
        <v>1</v>
      </c>
      <c r="O1132" s="442">
        <f t="shared" si="154"/>
        <v>1</v>
      </c>
      <c r="P1132" s="387" t="s">
        <v>1358</v>
      </c>
      <c r="Q1132" s="459">
        <v>31.847999999999999</v>
      </c>
      <c r="R1132" s="459"/>
      <c r="S1132" s="456">
        <v>0</v>
      </c>
      <c r="T1132" s="459">
        <v>31.847999999999999</v>
      </c>
      <c r="U1132" s="555"/>
      <c r="V1132" s="411">
        <v>1</v>
      </c>
      <c r="W1132" s="411">
        <v>1</v>
      </c>
      <c r="X1132" s="411">
        <v>1</v>
      </c>
      <c r="Y1132" s="411"/>
      <c r="Z1132" s="411"/>
      <c r="AA1132" s="412">
        <f t="shared" si="155"/>
        <v>1</v>
      </c>
      <c r="AB1132" s="456">
        <f t="shared" si="152"/>
        <v>31.847999999999999</v>
      </c>
      <c r="AC1132" s="456">
        <v>0</v>
      </c>
      <c r="AD1132" s="2"/>
      <c r="AE1132" s="4"/>
      <c r="AF1132" s="5"/>
    </row>
    <row r="1133" spans="2:32" hidden="1" x14ac:dyDescent="0.25">
      <c r="B1133" s="1" t="s">
        <v>4831</v>
      </c>
      <c r="C1133" s="3" t="s">
        <v>1368</v>
      </c>
      <c r="D1133" s="3" t="s">
        <v>1247</v>
      </c>
      <c r="E1133" s="407" t="s">
        <v>3222</v>
      </c>
      <c r="F1133" s="407" t="s">
        <v>4762</v>
      </c>
      <c r="G1133" s="415"/>
      <c r="H1133" s="415"/>
      <c r="I1133" s="415"/>
      <c r="J1133" s="415"/>
      <c r="K1133" s="3" t="s">
        <v>4764</v>
      </c>
      <c r="L1133" s="387">
        <v>1</v>
      </c>
      <c r="M1133" s="387">
        <v>0</v>
      </c>
      <c r="N1133" s="387">
        <f t="shared" si="153"/>
        <v>1</v>
      </c>
      <c r="O1133" s="442">
        <f t="shared" si="154"/>
        <v>1</v>
      </c>
      <c r="P1133" s="387" t="s">
        <v>1358</v>
      </c>
      <c r="Q1133" s="459">
        <v>95.543999999999997</v>
      </c>
      <c r="R1133" s="459"/>
      <c r="S1133" s="456">
        <v>0</v>
      </c>
      <c r="T1133" s="459">
        <v>95.543999999999997</v>
      </c>
      <c r="U1133" s="555"/>
      <c r="V1133" s="411">
        <v>1</v>
      </c>
      <c r="W1133" s="411">
        <v>1</v>
      </c>
      <c r="X1133" s="411">
        <v>1</v>
      </c>
      <c r="Y1133" s="411"/>
      <c r="Z1133" s="411"/>
      <c r="AA1133" s="412">
        <f t="shared" si="155"/>
        <v>1</v>
      </c>
      <c r="AB1133" s="456">
        <f t="shared" si="152"/>
        <v>95.543999999999997</v>
      </c>
      <c r="AC1133" s="456">
        <v>0</v>
      </c>
      <c r="AD1133" s="2"/>
      <c r="AE1133" s="4"/>
      <c r="AF1133" s="5"/>
    </row>
    <row r="1134" spans="2:32" hidden="1" x14ac:dyDescent="0.25">
      <c r="B1134" s="1" t="s">
        <v>4832</v>
      </c>
      <c r="C1134" s="3" t="s">
        <v>1368</v>
      </c>
      <c r="D1134" s="3" t="s">
        <v>1247</v>
      </c>
      <c r="E1134" s="407" t="s">
        <v>3226</v>
      </c>
      <c r="F1134" s="407" t="s">
        <v>4763</v>
      </c>
      <c r="G1134" s="415"/>
      <c r="H1134" s="415"/>
      <c r="I1134" s="415"/>
      <c r="J1134" s="415"/>
      <c r="K1134" s="3" t="s">
        <v>4764</v>
      </c>
      <c r="L1134" s="387">
        <v>1</v>
      </c>
      <c r="M1134" s="387">
        <v>0</v>
      </c>
      <c r="N1134" s="387">
        <f t="shared" si="153"/>
        <v>1</v>
      </c>
      <c r="O1134" s="442">
        <f t="shared" si="154"/>
        <v>1</v>
      </c>
      <c r="P1134" s="387" t="s">
        <v>1358</v>
      </c>
      <c r="Q1134" s="459">
        <v>95.543999999999997</v>
      </c>
      <c r="S1134" s="456">
        <v>0</v>
      </c>
      <c r="T1134" s="459">
        <v>95.543999999999997</v>
      </c>
      <c r="U1134" s="555"/>
      <c r="V1134" s="411">
        <v>1</v>
      </c>
      <c r="W1134" s="411">
        <v>1</v>
      </c>
      <c r="X1134" s="411">
        <v>1</v>
      </c>
      <c r="Y1134" s="411"/>
      <c r="Z1134" s="411"/>
      <c r="AA1134" s="412">
        <f t="shared" si="155"/>
        <v>1</v>
      </c>
      <c r="AB1134" s="456">
        <f t="shared" si="152"/>
        <v>95.543999999999997</v>
      </c>
      <c r="AC1134" s="456">
        <v>0</v>
      </c>
      <c r="AD1134" s="2"/>
      <c r="AE1134" s="4"/>
      <c r="AF1134" s="5"/>
    </row>
    <row r="1135" spans="2:32" hidden="1" x14ac:dyDescent="0.25">
      <c r="B1135" s="1" t="s">
        <v>5147</v>
      </c>
      <c r="C1135" s="3" t="s">
        <v>1368</v>
      </c>
      <c r="D1135" s="3" t="s">
        <v>1247</v>
      </c>
      <c r="E1135" s="407" t="s">
        <v>3224</v>
      </c>
      <c r="F1135" s="407" t="s">
        <v>5110</v>
      </c>
      <c r="G1135" s="415"/>
      <c r="H1135" s="415"/>
      <c r="I1135" s="415"/>
      <c r="J1135" s="415"/>
      <c r="K1135" s="3" t="s">
        <v>5104</v>
      </c>
      <c r="L1135" s="387">
        <v>1</v>
      </c>
      <c r="M1135" s="387">
        <v>0</v>
      </c>
      <c r="N1135" s="387">
        <f t="shared" ref="N1135" si="156">L1135+M1135</f>
        <v>1</v>
      </c>
      <c r="O1135" s="442">
        <f t="shared" ref="O1135" si="157">L1135*AA1135</f>
        <v>1</v>
      </c>
      <c r="P1135" s="387" t="s">
        <v>1358</v>
      </c>
      <c r="Q1135" s="459">
        <v>63.695999999999998</v>
      </c>
      <c r="S1135" s="456">
        <v>0</v>
      </c>
      <c r="T1135" s="459">
        <v>63.695999999999998</v>
      </c>
      <c r="U1135" s="555"/>
      <c r="V1135" s="411">
        <v>1</v>
      </c>
      <c r="W1135" s="411">
        <v>1</v>
      </c>
      <c r="X1135" s="411">
        <v>1</v>
      </c>
      <c r="Y1135" s="411"/>
      <c r="Z1135" s="411"/>
      <c r="AA1135" s="412">
        <f t="shared" ref="AA1135" si="158">AB1135/T1135</f>
        <v>1</v>
      </c>
      <c r="AB1135" s="456">
        <f t="shared" ref="AB1135" si="159">(V1135*V$369*T1135)+(W1135*W$369*T1135)+(X1135*X$369*T1135)</f>
        <v>63.695999999999998</v>
      </c>
      <c r="AC1135" s="456"/>
      <c r="AD1135" s="2"/>
      <c r="AE1135" s="4"/>
      <c r="AF1135" s="5"/>
    </row>
    <row r="1136" spans="2:32" hidden="1" x14ac:dyDescent="0.25">
      <c r="B1136" s="1" t="s">
        <v>5148</v>
      </c>
      <c r="C1136" s="3" t="s">
        <v>1368</v>
      </c>
      <c r="D1136" s="3" t="s">
        <v>1247</v>
      </c>
      <c r="E1136" s="407" t="s">
        <v>3224</v>
      </c>
      <c r="F1136" s="407" t="s">
        <v>5109</v>
      </c>
      <c r="G1136" s="415"/>
      <c r="H1136" s="415"/>
      <c r="I1136" s="415"/>
      <c r="J1136" s="415"/>
      <c r="K1136" s="3" t="s">
        <v>5104</v>
      </c>
      <c r="L1136" s="387">
        <v>1</v>
      </c>
      <c r="M1136" s="387">
        <v>0</v>
      </c>
      <c r="N1136" s="387">
        <f t="shared" ref="N1136" si="160">L1136+M1136</f>
        <v>1</v>
      </c>
      <c r="O1136" s="442">
        <f t="shared" ref="O1136" si="161">L1136*AA1136</f>
        <v>1</v>
      </c>
      <c r="P1136" s="387" t="s">
        <v>1358</v>
      </c>
      <c r="Q1136" s="459">
        <v>15.923999999999999</v>
      </c>
      <c r="S1136" s="456">
        <v>0</v>
      </c>
      <c r="T1136" s="459">
        <v>15.923999999999999</v>
      </c>
      <c r="U1136" s="555"/>
      <c r="V1136" s="411">
        <v>1</v>
      </c>
      <c r="W1136" s="411">
        <v>1</v>
      </c>
      <c r="X1136" s="411">
        <v>1</v>
      </c>
      <c r="Y1136" s="411"/>
      <c r="Z1136" s="411"/>
      <c r="AA1136" s="412">
        <f t="shared" ref="AA1136" si="162">AB1136/T1136</f>
        <v>1</v>
      </c>
      <c r="AB1136" s="456">
        <f t="shared" ref="AB1136" si="163">(V1136*V$369*T1136)+(W1136*W$369*T1136)+(X1136*X$369*T1136)</f>
        <v>15.923999999999999</v>
      </c>
      <c r="AC1136" s="456"/>
      <c r="AD1136" s="2"/>
      <c r="AE1136" s="4"/>
      <c r="AF1136" s="5"/>
    </row>
    <row r="1137" spans="2:32" hidden="1" x14ac:dyDescent="0.25">
      <c r="B1137" s="1" t="s">
        <v>5149</v>
      </c>
      <c r="C1137" s="3" t="s">
        <v>1368</v>
      </c>
      <c r="D1137" s="3" t="s">
        <v>1247</v>
      </c>
      <c r="E1137" s="407" t="s">
        <v>3224</v>
      </c>
      <c r="F1137" s="407" t="s">
        <v>5108</v>
      </c>
      <c r="G1137" s="415"/>
      <c r="H1137" s="415"/>
      <c r="I1137" s="415"/>
      <c r="J1137" s="415"/>
      <c r="K1137" s="3" t="s">
        <v>5104</v>
      </c>
      <c r="L1137" s="387">
        <v>1</v>
      </c>
      <c r="M1137" s="387">
        <v>0</v>
      </c>
      <c r="N1137" s="387">
        <f t="shared" ref="N1137" si="164">L1137+M1137</f>
        <v>1</v>
      </c>
      <c r="O1137" s="442">
        <f t="shared" ref="O1137" si="165">L1137*AA1137</f>
        <v>1</v>
      </c>
      <c r="P1137" s="387" t="s">
        <v>1358</v>
      </c>
      <c r="Q1137" s="459">
        <v>23.885999999999999</v>
      </c>
      <c r="S1137" s="456">
        <v>0</v>
      </c>
      <c r="T1137" s="459">
        <v>23.885999999999999</v>
      </c>
      <c r="U1137" s="555"/>
      <c r="V1137" s="411">
        <v>1</v>
      </c>
      <c r="W1137" s="411">
        <v>1</v>
      </c>
      <c r="X1137" s="411">
        <v>1</v>
      </c>
      <c r="Y1137" s="411"/>
      <c r="Z1137" s="411"/>
      <c r="AA1137" s="412">
        <f t="shared" ref="AA1137" si="166">AB1137/T1137</f>
        <v>1</v>
      </c>
      <c r="AB1137" s="456">
        <f t="shared" ref="AB1137" si="167">(V1137*V$369*T1137)+(W1137*W$369*T1137)+(X1137*X$369*T1137)</f>
        <v>23.885999999999999</v>
      </c>
      <c r="AC1137" s="456"/>
      <c r="AD1137" s="2"/>
      <c r="AE1137" s="4"/>
      <c r="AF1137" s="5"/>
    </row>
    <row r="1138" spans="2:32" hidden="1" x14ac:dyDescent="0.25">
      <c r="B1138" s="1" t="s">
        <v>5150</v>
      </c>
      <c r="C1138" s="3" t="s">
        <v>1368</v>
      </c>
      <c r="D1138" s="3" t="s">
        <v>1247</v>
      </c>
      <c r="E1138" s="407" t="s">
        <v>3224</v>
      </c>
      <c r="F1138" s="407" t="s">
        <v>5107</v>
      </c>
      <c r="G1138" s="415"/>
      <c r="H1138" s="415"/>
      <c r="I1138" s="415"/>
      <c r="J1138" s="415"/>
      <c r="K1138" s="3" t="s">
        <v>5104</v>
      </c>
      <c r="L1138" s="387">
        <v>1</v>
      </c>
      <c r="M1138" s="387">
        <v>0</v>
      </c>
      <c r="N1138" s="387">
        <f t="shared" ref="N1138" si="168">L1138+M1138</f>
        <v>1</v>
      </c>
      <c r="O1138" s="442">
        <f t="shared" ref="O1138" si="169">L1138*AA1138</f>
        <v>1</v>
      </c>
      <c r="P1138" s="387" t="s">
        <v>1358</v>
      </c>
      <c r="Q1138" s="459">
        <v>15.923999999999999</v>
      </c>
      <c r="S1138" s="456">
        <v>0</v>
      </c>
      <c r="T1138" s="459">
        <v>15.923999999999999</v>
      </c>
      <c r="U1138" s="555"/>
      <c r="V1138" s="411">
        <v>1</v>
      </c>
      <c r="W1138" s="411">
        <v>1</v>
      </c>
      <c r="X1138" s="411">
        <v>1</v>
      </c>
      <c r="Y1138" s="411"/>
      <c r="Z1138" s="411"/>
      <c r="AA1138" s="412">
        <f t="shared" ref="AA1138" si="170">AB1138/T1138</f>
        <v>1</v>
      </c>
      <c r="AB1138" s="456">
        <f t="shared" ref="AB1138" si="171">(V1138*V$369*T1138)+(W1138*W$369*T1138)+(X1138*X$369*T1138)</f>
        <v>15.923999999999999</v>
      </c>
      <c r="AC1138" s="456"/>
      <c r="AD1138" s="2"/>
      <c r="AE1138" s="4"/>
      <c r="AF1138" s="5"/>
    </row>
    <row r="1139" spans="2:32" hidden="1" x14ac:dyDescent="0.25">
      <c r="B1139" s="1" t="s">
        <v>5151</v>
      </c>
      <c r="C1139" s="3" t="s">
        <v>1368</v>
      </c>
      <c r="D1139" s="3" t="s">
        <v>1247</v>
      </c>
      <c r="E1139" s="407" t="s">
        <v>3224</v>
      </c>
      <c r="F1139" s="407" t="s">
        <v>5106</v>
      </c>
      <c r="G1139" s="415"/>
      <c r="H1139" s="415"/>
      <c r="I1139" s="415"/>
      <c r="J1139" s="415"/>
      <c r="K1139" s="3" t="s">
        <v>5104</v>
      </c>
      <c r="L1139" s="387">
        <v>1</v>
      </c>
      <c r="M1139" s="387">
        <v>0</v>
      </c>
      <c r="N1139" s="387">
        <f t="shared" ref="N1139" si="172">L1139+M1139</f>
        <v>1</v>
      </c>
      <c r="O1139" s="442">
        <f t="shared" ref="O1139" si="173">L1139*AA1139</f>
        <v>1</v>
      </c>
      <c r="P1139" s="387" t="s">
        <v>1358</v>
      </c>
      <c r="Q1139" s="459">
        <v>15.923999999999999</v>
      </c>
      <c r="S1139" s="456">
        <v>0</v>
      </c>
      <c r="T1139" s="459">
        <v>15.923999999999999</v>
      </c>
      <c r="U1139" s="555"/>
      <c r="V1139" s="411">
        <v>1</v>
      </c>
      <c r="W1139" s="411">
        <v>1</v>
      </c>
      <c r="X1139" s="411">
        <v>1</v>
      </c>
      <c r="Y1139" s="411"/>
      <c r="Z1139" s="411"/>
      <c r="AA1139" s="412">
        <f t="shared" ref="AA1139" si="174">AB1139/T1139</f>
        <v>1</v>
      </c>
      <c r="AB1139" s="456">
        <f t="shared" ref="AB1139" si="175">(V1139*V$369*T1139)+(W1139*W$369*T1139)+(X1139*X$369*T1139)</f>
        <v>15.923999999999999</v>
      </c>
      <c r="AC1139" s="456"/>
      <c r="AD1139" s="2"/>
      <c r="AE1139" s="4"/>
      <c r="AF1139" s="5"/>
    </row>
    <row r="1140" spans="2:32" hidden="1" x14ac:dyDescent="0.25">
      <c r="B1140" s="1" t="s">
        <v>5152</v>
      </c>
      <c r="C1140" s="3" t="s">
        <v>1368</v>
      </c>
      <c r="D1140" s="3" t="s">
        <v>1247</v>
      </c>
      <c r="E1140" s="407" t="s">
        <v>3224</v>
      </c>
      <c r="F1140" s="407" t="s">
        <v>5105</v>
      </c>
      <c r="G1140" s="415"/>
      <c r="H1140" s="415"/>
      <c r="I1140" s="415"/>
      <c r="J1140" s="415"/>
      <c r="K1140" s="3" t="s">
        <v>5104</v>
      </c>
      <c r="L1140" s="387">
        <v>1</v>
      </c>
      <c r="M1140" s="387">
        <v>0</v>
      </c>
      <c r="N1140" s="387">
        <f t="shared" ref="N1140:N1149" si="176">L1140+M1140</f>
        <v>1</v>
      </c>
      <c r="O1140" s="442">
        <f t="shared" ref="O1140:O1148" si="177">L1140*AA1140</f>
        <v>1</v>
      </c>
      <c r="P1140" s="387" t="s">
        <v>1358</v>
      </c>
      <c r="Q1140" s="459">
        <v>95.543999999999997</v>
      </c>
      <c r="S1140" s="456">
        <v>0</v>
      </c>
      <c r="T1140" s="459">
        <v>95.543999999999997</v>
      </c>
      <c r="U1140" s="555"/>
      <c r="V1140" s="411">
        <v>1</v>
      </c>
      <c r="W1140" s="411">
        <v>1</v>
      </c>
      <c r="X1140" s="411">
        <v>1</v>
      </c>
      <c r="Y1140" s="411"/>
      <c r="Z1140" s="411"/>
      <c r="AA1140" s="412">
        <f t="shared" ref="AA1140:AA1149" si="178">AB1140/T1140</f>
        <v>1</v>
      </c>
      <c r="AB1140" s="456">
        <f t="shared" ref="AB1140:AB1149" si="179">(V1140*V$369*T1140)+(W1140*W$369*T1140)+(X1140*X$369*T1140)</f>
        <v>95.543999999999997</v>
      </c>
      <c r="AC1140" s="456"/>
      <c r="AD1140" s="2"/>
      <c r="AE1140" s="4"/>
      <c r="AF1140" s="5"/>
    </row>
    <row r="1141" spans="2:32" hidden="1" x14ac:dyDescent="0.25">
      <c r="B1141" s="1"/>
      <c r="C1141" s="3" t="s">
        <v>1368</v>
      </c>
      <c r="D1141" s="3" t="s">
        <v>1247</v>
      </c>
      <c r="E1141" s="407" t="s">
        <v>3224</v>
      </c>
      <c r="F1141" s="407" t="s">
        <v>5105</v>
      </c>
      <c r="G1141" s="415"/>
      <c r="H1141" s="415"/>
      <c r="I1141" s="415"/>
      <c r="J1141" s="415"/>
      <c r="K1141" s="3" t="s">
        <v>5144</v>
      </c>
      <c r="L1141" s="387">
        <v>1</v>
      </c>
      <c r="M1141" s="387">
        <v>1</v>
      </c>
      <c r="N1141" s="387">
        <f t="shared" ref="N1141:N1146" si="180">L1141+M1141</f>
        <v>2</v>
      </c>
      <c r="O1141" s="442">
        <f t="shared" si="177"/>
        <v>1</v>
      </c>
      <c r="P1141" s="387" t="s">
        <v>1358</v>
      </c>
      <c r="Q1141" s="459">
        <v>47.771999999999998</v>
      </c>
      <c r="S1141" s="456"/>
      <c r="T1141" s="459">
        <v>47.771999999999998</v>
      </c>
      <c r="U1141" s="555"/>
      <c r="V1141" s="411">
        <v>1</v>
      </c>
      <c r="W1141" s="411">
        <v>1</v>
      </c>
      <c r="X1141" s="411">
        <v>1</v>
      </c>
      <c r="Y1141" s="411"/>
      <c r="Z1141" s="411"/>
      <c r="AA1141" s="412">
        <f t="shared" ref="AA1141:AA1146" si="181">AB1141/T1141</f>
        <v>1</v>
      </c>
      <c r="AB1141" s="456">
        <f t="shared" ref="AB1141:AB1146" si="182">(V1141*V$369*T1141)+(W1141*W$369*T1141)+(X1141*X$369*T1141)</f>
        <v>47.771999999999998</v>
      </c>
      <c r="AC1141" s="456"/>
      <c r="AD1141" s="2"/>
      <c r="AE1141" s="4"/>
      <c r="AF1141" s="5"/>
    </row>
    <row r="1142" spans="2:32" hidden="1" x14ac:dyDescent="0.25">
      <c r="B1142" s="1"/>
      <c r="C1142" s="3" t="s">
        <v>1368</v>
      </c>
      <c r="D1142" s="3" t="s">
        <v>1247</v>
      </c>
      <c r="E1142" s="407" t="s">
        <v>3224</v>
      </c>
      <c r="F1142" s="407" t="s">
        <v>5240</v>
      </c>
      <c r="G1142" s="415"/>
      <c r="H1142" s="415"/>
      <c r="I1142" s="415"/>
      <c r="J1142" s="415"/>
      <c r="K1142" s="3" t="s">
        <v>5144</v>
      </c>
      <c r="L1142" s="387">
        <v>1</v>
      </c>
      <c r="M1142" s="387">
        <v>1</v>
      </c>
      <c r="N1142" s="387">
        <f t="shared" si="180"/>
        <v>2</v>
      </c>
      <c r="O1142" s="442">
        <f t="shared" si="177"/>
        <v>1</v>
      </c>
      <c r="P1142" s="387" t="s">
        <v>1358</v>
      </c>
      <c r="Q1142" s="459">
        <v>63.695999999999998</v>
      </c>
      <c r="S1142" s="456"/>
      <c r="T1142" s="459">
        <v>63.695999999999998</v>
      </c>
      <c r="U1142" s="555"/>
      <c r="V1142" s="411">
        <v>1</v>
      </c>
      <c r="W1142" s="411">
        <v>1</v>
      </c>
      <c r="X1142" s="411">
        <v>1</v>
      </c>
      <c r="Y1142" s="411"/>
      <c r="Z1142" s="411"/>
      <c r="AA1142" s="412">
        <f t="shared" si="181"/>
        <v>1</v>
      </c>
      <c r="AB1142" s="456">
        <f t="shared" si="182"/>
        <v>63.695999999999998</v>
      </c>
      <c r="AC1142" s="456"/>
      <c r="AD1142" s="2"/>
      <c r="AE1142" s="4"/>
      <c r="AF1142" s="5"/>
    </row>
    <row r="1143" spans="2:32" hidden="1" x14ac:dyDescent="0.25">
      <c r="B1143" s="1"/>
      <c r="C1143" s="3" t="s">
        <v>1368</v>
      </c>
      <c r="D1143" s="3" t="s">
        <v>1247</v>
      </c>
      <c r="E1143" s="407" t="s">
        <v>3224</v>
      </c>
      <c r="F1143" s="407" t="s">
        <v>5102</v>
      </c>
      <c r="G1143" s="415"/>
      <c r="H1143" s="415"/>
      <c r="I1143" s="415"/>
      <c r="J1143" s="415"/>
      <c r="K1143" s="3" t="s">
        <v>5144</v>
      </c>
      <c r="L1143" s="387">
        <v>1</v>
      </c>
      <c r="M1143" s="387">
        <v>1</v>
      </c>
      <c r="N1143" s="387">
        <f t="shared" si="180"/>
        <v>2</v>
      </c>
      <c r="O1143" s="442">
        <f t="shared" si="177"/>
        <v>1</v>
      </c>
      <c r="P1143" s="387" t="s">
        <v>1358</v>
      </c>
      <c r="Q1143" s="459">
        <v>191.08799999999999</v>
      </c>
      <c r="S1143" s="456"/>
      <c r="T1143" s="459">
        <v>191.08799999999999</v>
      </c>
      <c r="U1143" s="555"/>
      <c r="V1143" s="411">
        <v>1</v>
      </c>
      <c r="W1143" s="411">
        <v>1</v>
      </c>
      <c r="X1143" s="411">
        <v>1</v>
      </c>
      <c r="Y1143" s="411"/>
      <c r="Z1143" s="411"/>
      <c r="AA1143" s="412">
        <f t="shared" si="181"/>
        <v>1</v>
      </c>
      <c r="AB1143" s="456">
        <f t="shared" si="182"/>
        <v>191.08799999999999</v>
      </c>
      <c r="AC1143" s="456"/>
      <c r="AD1143" s="2"/>
      <c r="AE1143" s="4"/>
      <c r="AF1143" s="5"/>
    </row>
    <row r="1144" spans="2:32" hidden="1" x14ac:dyDescent="0.25">
      <c r="B1144" s="1"/>
      <c r="C1144" s="3" t="s">
        <v>1368</v>
      </c>
      <c r="D1144" s="3" t="s">
        <v>1247</v>
      </c>
      <c r="E1144" s="407" t="s">
        <v>3224</v>
      </c>
      <c r="F1144" s="407" t="s">
        <v>5103</v>
      </c>
      <c r="G1144" s="415"/>
      <c r="H1144" s="415"/>
      <c r="I1144" s="415"/>
      <c r="J1144" s="415"/>
      <c r="K1144" s="3" t="s">
        <v>5144</v>
      </c>
      <c r="L1144" s="387">
        <v>1</v>
      </c>
      <c r="M1144" s="387">
        <v>1</v>
      </c>
      <c r="N1144" s="387">
        <f t="shared" si="180"/>
        <v>2</v>
      </c>
      <c r="O1144" s="442">
        <f t="shared" si="177"/>
        <v>1</v>
      </c>
      <c r="P1144" s="387" t="s">
        <v>1358</v>
      </c>
      <c r="Q1144" s="459">
        <v>191.08799999999999</v>
      </c>
      <c r="S1144" s="456"/>
      <c r="T1144" s="459">
        <v>191.08799999999999</v>
      </c>
      <c r="U1144" s="555"/>
      <c r="V1144" s="411">
        <v>1</v>
      </c>
      <c r="W1144" s="411">
        <v>1</v>
      </c>
      <c r="X1144" s="411">
        <v>1</v>
      </c>
      <c r="Y1144" s="411"/>
      <c r="Z1144" s="411"/>
      <c r="AA1144" s="412">
        <f t="shared" si="181"/>
        <v>1</v>
      </c>
      <c r="AB1144" s="456">
        <f t="shared" si="182"/>
        <v>191.08799999999999</v>
      </c>
      <c r="AC1144" s="456"/>
      <c r="AD1144" s="2"/>
      <c r="AE1144" s="4"/>
      <c r="AF1144" s="5"/>
    </row>
    <row r="1145" spans="2:32" hidden="1" x14ac:dyDescent="0.25">
      <c r="B1145" s="1"/>
      <c r="C1145" s="3" t="s">
        <v>1368</v>
      </c>
      <c r="D1145" s="3" t="s">
        <v>1247</v>
      </c>
      <c r="E1145" s="407" t="s">
        <v>3224</v>
      </c>
      <c r="F1145" s="407" t="s">
        <v>5106</v>
      </c>
      <c r="G1145" s="415"/>
      <c r="H1145" s="415"/>
      <c r="I1145" s="415"/>
      <c r="J1145" s="415"/>
      <c r="K1145" s="3" t="s">
        <v>5144</v>
      </c>
      <c r="L1145" s="387">
        <v>1</v>
      </c>
      <c r="M1145" s="387">
        <v>1</v>
      </c>
      <c r="N1145" s="387">
        <f t="shared" si="180"/>
        <v>2</v>
      </c>
      <c r="O1145" s="442">
        <f t="shared" si="177"/>
        <v>1</v>
      </c>
      <c r="P1145" s="387" t="s">
        <v>1358</v>
      </c>
      <c r="Q1145" s="459">
        <v>31.847999999999999</v>
      </c>
      <c r="S1145" s="456"/>
      <c r="T1145" s="459">
        <v>31.847999999999999</v>
      </c>
      <c r="U1145" s="555"/>
      <c r="V1145" s="411">
        <v>1</v>
      </c>
      <c r="W1145" s="411">
        <v>1</v>
      </c>
      <c r="X1145" s="411">
        <v>1</v>
      </c>
      <c r="Y1145" s="411"/>
      <c r="Z1145" s="411"/>
      <c r="AA1145" s="412">
        <f t="shared" si="181"/>
        <v>1</v>
      </c>
      <c r="AB1145" s="456">
        <f t="shared" si="182"/>
        <v>31.847999999999999</v>
      </c>
      <c r="AC1145" s="456"/>
      <c r="AD1145" s="2"/>
      <c r="AE1145" s="4"/>
      <c r="AF1145" s="5"/>
    </row>
    <row r="1146" spans="2:32" hidden="1" x14ac:dyDescent="0.25">
      <c r="B1146" s="1"/>
      <c r="C1146" s="3" t="s">
        <v>1368</v>
      </c>
      <c r="D1146" s="3" t="s">
        <v>1247</v>
      </c>
      <c r="E1146" s="407" t="s">
        <v>3224</v>
      </c>
      <c r="F1146" s="407" t="s">
        <v>5239</v>
      </c>
      <c r="G1146" s="415"/>
      <c r="H1146" s="415"/>
      <c r="I1146" s="415"/>
      <c r="J1146" s="415"/>
      <c r="K1146" s="3" t="s">
        <v>5144</v>
      </c>
      <c r="L1146" s="387">
        <v>1</v>
      </c>
      <c r="M1146" s="387">
        <v>1</v>
      </c>
      <c r="N1146" s="387">
        <f t="shared" si="180"/>
        <v>2</v>
      </c>
      <c r="O1146" s="442">
        <f t="shared" si="177"/>
        <v>1</v>
      </c>
      <c r="P1146" s="387" t="s">
        <v>1358</v>
      </c>
      <c r="Q1146" s="459">
        <v>31.847999999999999</v>
      </c>
      <c r="S1146" s="456"/>
      <c r="T1146" s="459">
        <v>31.847999999999999</v>
      </c>
      <c r="U1146" s="555"/>
      <c r="V1146" s="411">
        <v>1</v>
      </c>
      <c r="W1146" s="411">
        <v>1</v>
      </c>
      <c r="X1146" s="411">
        <v>1</v>
      </c>
      <c r="Y1146" s="411"/>
      <c r="Z1146" s="411"/>
      <c r="AA1146" s="412">
        <f t="shared" si="181"/>
        <v>1</v>
      </c>
      <c r="AB1146" s="456">
        <f t="shared" si="182"/>
        <v>31.847999999999999</v>
      </c>
      <c r="AC1146" s="456"/>
      <c r="AD1146" s="2"/>
      <c r="AE1146" s="4"/>
      <c r="AF1146" s="5"/>
    </row>
    <row r="1147" spans="2:32" hidden="1" x14ac:dyDescent="0.25">
      <c r="B1147" s="571" t="s">
        <v>5221</v>
      </c>
      <c r="C1147" s="3" t="s">
        <v>1368</v>
      </c>
      <c r="D1147" s="3" t="s">
        <v>1247</v>
      </c>
      <c r="E1147" s="407" t="s">
        <v>3224</v>
      </c>
      <c r="F1147" s="407" t="s">
        <v>5109</v>
      </c>
      <c r="G1147" s="415"/>
      <c r="H1147" s="415"/>
      <c r="I1147" s="415"/>
      <c r="J1147" s="415"/>
      <c r="K1147" s="3" t="s">
        <v>5144</v>
      </c>
      <c r="L1147" s="387">
        <v>1</v>
      </c>
      <c r="M1147" s="387">
        <v>1</v>
      </c>
      <c r="N1147" s="387">
        <f t="shared" si="176"/>
        <v>2</v>
      </c>
      <c r="O1147" s="442">
        <f>L1147*AA1147</f>
        <v>1</v>
      </c>
      <c r="P1147" s="387" t="s">
        <v>1358</v>
      </c>
      <c r="Q1147" s="459">
        <v>31.48</v>
      </c>
      <c r="S1147" s="456">
        <v>0</v>
      </c>
      <c r="T1147" s="459">
        <v>31.48</v>
      </c>
      <c r="U1147" s="555"/>
      <c r="V1147" s="411">
        <v>1</v>
      </c>
      <c r="W1147" s="411">
        <v>1</v>
      </c>
      <c r="X1147" s="411">
        <v>1</v>
      </c>
      <c r="Y1147" s="411"/>
      <c r="Z1147" s="411"/>
      <c r="AA1147" s="412">
        <f t="shared" si="178"/>
        <v>1</v>
      </c>
      <c r="AB1147" s="456">
        <f t="shared" si="179"/>
        <v>31.48</v>
      </c>
      <c r="AC1147" s="456"/>
      <c r="AD1147" s="2"/>
      <c r="AE1147" s="4"/>
      <c r="AF1147" s="5"/>
    </row>
    <row r="1148" spans="2:32" hidden="1" x14ac:dyDescent="0.25">
      <c r="B1148" s="571" t="s">
        <v>5222</v>
      </c>
      <c r="C1148" s="3" t="s">
        <v>1368</v>
      </c>
      <c r="D1148" s="3" t="s">
        <v>1247</v>
      </c>
      <c r="E1148" s="407" t="s">
        <v>3224</v>
      </c>
      <c r="F1148" s="407" t="s">
        <v>5108</v>
      </c>
      <c r="G1148" s="415"/>
      <c r="H1148" s="415"/>
      <c r="I1148" s="415"/>
      <c r="J1148" s="415"/>
      <c r="K1148" s="3" t="s">
        <v>5144</v>
      </c>
      <c r="L1148" s="387">
        <v>1</v>
      </c>
      <c r="M1148" s="387">
        <v>1</v>
      </c>
      <c r="N1148" s="387">
        <f t="shared" si="176"/>
        <v>2</v>
      </c>
      <c r="O1148" s="442">
        <f t="shared" si="177"/>
        <v>1</v>
      </c>
      <c r="P1148" s="387" t="s">
        <v>1358</v>
      </c>
      <c r="Q1148" s="459">
        <v>47.72</v>
      </c>
      <c r="S1148" s="456">
        <v>0</v>
      </c>
      <c r="T1148" s="459">
        <v>47.72</v>
      </c>
      <c r="U1148" s="555"/>
      <c r="V1148" s="411">
        <v>1</v>
      </c>
      <c r="W1148" s="411">
        <v>1</v>
      </c>
      <c r="X1148" s="411">
        <v>1</v>
      </c>
      <c r="Y1148" s="411"/>
      <c r="Z1148" s="411"/>
      <c r="AA1148" s="412">
        <f t="shared" si="178"/>
        <v>1</v>
      </c>
      <c r="AB1148" s="456">
        <f t="shared" si="179"/>
        <v>47.72</v>
      </c>
      <c r="AC1148" s="456"/>
      <c r="AD1148" s="2"/>
      <c r="AE1148" s="4"/>
      <c r="AF1148" s="5"/>
    </row>
    <row r="1149" spans="2:32" hidden="1" x14ac:dyDescent="0.25">
      <c r="B1149" s="571" t="s">
        <v>5223</v>
      </c>
      <c r="C1149" s="3" t="s">
        <v>1368</v>
      </c>
      <c r="D1149" s="3" t="s">
        <v>1247</v>
      </c>
      <c r="E1149" s="407" t="s">
        <v>3224</v>
      </c>
      <c r="F1149" s="407" t="s">
        <v>5110</v>
      </c>
      <c r="G1149" s="415"/>
      <c r="H1149" s="415"/>
      <c r="I1149" s="415"/>
      <c r="J1149" s="415"/>
      <c r="K1149" s="3" t="s">
        <v>5144</v>
      </c>
      <c r="L1149" s="387">
        <v>1</v>
      </c>
      <c r="M1149" s="387">
        <v>1</v>
      </c>
      <c r="N1149" s="387">
        <f t="shared" si="176"/>
        <v>2</v>
      </c>
      <c r="O1149" s="442">
        <f>L1149*AA1149</f>
        <v>1</v>
      </c>
      <c r="P1149" s="387" t="s">
        <v>1358</v>
      </c>
      <c r="Q1149" s="459">
        <v>0</v>
      </c>
      <c r="R1149" s="459"/>
      <c r="S1149" s="456">
        <v>0</v>
      </c>
      <c r="T1149" s="459">
        <v>127.392</v>
      </c>
      <c r="U1149" s="555"/>
      <c r="V1149" s="411">
        <v>1</v>
      </c>
      <c r="W1149" s="411">
        <v>1</v>
      </c>
      <c r="X1149" s="411">
        <v>1</v>
      </c>
      <c r="Y1149" s="411"/>
      <c r="Z1149" s="411"/>
      <c r="AA1149" s="412">
        <f t="shared" si="178"/>
        <v>1</v>
      </c>
      <c r="AB1149" s="456">
        <f t="shared" si="179"/>
        <v>127.392</v>
      </c>
      <c r="AC1149" s="456"/>
      <c r="AD1149" s="2"/>
      <c r="AE1149" s="4"/>
      <c r="AF1149" s="5"/>
    </row>
    <row r="1150" spans="2:32" hidden="1" x14ac:dyDescent="0.25">
      <c r="B1150" s="571" t="s">
        <v>5224</v>
      </c>
      <c r="C1150" s="3" t="s">
        <v>1368</v>
      </c>
      <c r="D1150" s="3" t="s">
        <v>1247</v>
      </c>
      <c r="E1150" s="407" t="s">
        <v>3226</v>
      </c>
      <c r="F1150" s="407" t="s">
        <v>5025</v>
      </c>
      <c r="G1150" s="415"/>
      <c r="H1150" s="415"/>
      <c r="I1150" s="415"/>
      <c r="J1150" s="415"/>
      <c r="K1150" s="3" t="s">
        <v>5024</v>
      </c>
      <c r="L1150" s="387">
        <v>1</v>
      </c>
      <c r="M1150" s="387">
        <v>0</v>
      </c>
      <c r="N1150" s="387">
        <f t="shared" si="153"/>
        <v>1</v>
      </c>
      <c r="O1150" s="442">
        <f t="shared" si="154"/>
        <v>1</v>
      </c>
      <c r="P1150" s="387" t="s">
        <v>1358</v>
      </c>
      <c r="Q1150" s="459">
        <v>23.885999999999999</v>
      </c>
      <c r="R1150" s="459"/>
      <c r="S1150" s="456">
        <v>0</v>
      </c>
      <c r="T1150" s="459">
        <v>23.885999999999999</v>
      </c>
      <c r="U1150" s="555"/>
      <c r="V1150" s="411">
        <v>1</v>
      </c>
      <c r="W1150" s="411">
        <v>1</v>
      </c>
      <c r="X1150" s="411">
        <v>1</v>
      </c>
      <c r="Y1150" s="411">
        <v>0</v>
      </c>
      <c r="Z1150" s="411">
        <v>0</v>
      </c>
      <c r="AA1150" s="412">
        <f t="shared" si="155"/>
        <v>1</v>
      </c>
      <c r="AB1150" s="456">
        <f t="shared" si="152"/>
        <v>23.885999999999999</v>
      </c>
      <c r="AC1150" s="456">
        <v>0</v>
      </c>
      <c r="AD1150" s="2"/>
      <c r="AE1150" s="4"/>
      <c r="AF1150" s="5"/>
    </row>
    <row r="1151" spans="2:32" hidden="1" x14ac:dyDescent="0.25">
      <c r="B1151" s="571" t="s">
        <v>5225</v>
      </c>
      <c r="C1151" s="3" t="s">
        <v>1368</v>
      </c>
      <c r="D1151" s="3" t="s">
        <v>1247</v>
      </c>
      <c r="E1151" s="407" t="s">
        <v>3226</v>
      </c>
      <c r="F1151" s="407" t="s">
        <v>5026</v>
      </c>
      <c r="G1151" s="415"/>
      <c r="H1151" s="415"/>
      <c r="I1151" s="415"/>
      <c r="J1151" s="415"/>
      <c r="K1151" s="3" t="s">
        <v>5024</v>
      </c>
      <c r="L1151" s="387">
        <v>1</v>
      </c>
      <c r="M1151" s="387">
        <v>0</v>
      </c>
      <c r="N1151" s="387">
        <f t="shared" si="153"/>
        <v>1</v>
      </c>
      <c r="O1151" s="442">
        <f t="shared" si="154"/>
        <v>1</v>
      </c>
      <c r="P1151" s="387" t="s">
        <v>1358</v>
      </c>
      <c r="Q1151" s="459">
        <v>23.885999999999999</v>
      </c>
      <c r="R1151" s="459"/>
      <c r="S1151" s="456">
        <v>0</v>
      </c>
      <c r="T1151" s="459">
        <v>23.885999999999999</v>
      </c>
      <c r="U1151" s="555"/>
      <c r="V1151" s="411">
        <v>1</v>
      </c>
      <c r="W1151" s="411">
        <v>1</v>
      </c>
      <c r="X1151" s="411">
        <v>1</v>
      </c>
      <c r="Y1151" s="411">
        <v>0</v>
      </c>
      <c r="Z1151" s="411">
        <v>0</v>
      </c>
      <c r="AA1151" s="412">
        <f t="shared" si="155"/>
        <v>1</v>
      </c>
      <c r="AB1151" s="456">
        <f t="shared" si="152"/>
        <v>23.885999999999999</v>
      </c>
      <c r="AC1151" s="456">
        <v>0</v>
      </c>
      <c r="AD1151" s="2"/>
      <c r="AE1151" s="4"/>
      <c r="AF1151" s="5"/>
    </row>
    <row r="1152" spans="2:32" hidden="1" x14ac:dyDescent="0.25">
      <c r="B1152" s="571" t="s">
        <v>5226</v>
      </c>
      <c r="C1152" s="3" t="s">
        <v>1368</v>
      </c>
      <c r="D1152" s="3" t="s">
        <v>1247</v>
      </c>
      <c r="E1152" s="407" t="s">
        <v>3226</v>
      </c>
      <c r="F1152" s="407" t="s">
        <v>5027</v>
      </c>
      <c r="G1152" s="415"/>
      <c r="H1152" s="415"/>
      <c r="I1152" s="415"/>
      <c r="J1152" s="415"/>
      <c r="K1152" s="3" t="s">
        <v>5024</v>
      </c>
      <c r="L1152" s="387">
        <v>1</v>
      </c>
      <c r="M1152" s="387">
        <v>0</v>
      </c>
      <c r="N1152" s="387">
        <f t="shared" si="153"/>
        <v>1</v>
      </c>
      <c r="O1152" s="442">
        <f t="shared" si="154"/>
        <v>1</v>
      </c>
      <c r="P1152" s="387" t="s">
        <v>1358</v>
      </c>
      <c r="Q1152" s="459">
        <v>31.847999999999999</v>
      </c>
      <c r="R1152" s="459"/>
      <c r="S1152" s="456">
        <v>0</v>
      </c>
      <c r="T1152" s="459">
        <v>31.847999999999999</v>
      </c>
      <c r="U1152" s="555"/>
      <c r="V1152" s="411">
        <v>1</v>
      </c>
      <c r="W1152" s="411">
        <v>1</v>
      </c>
      <c r="X1152" s="411">
        <v>1</v>
      </c>
      <c r="Y1152" s="411">
        <v>0</v>
      </c>
      <c r="Z1152" s="411">
        <v>0</v>
      </c>
      <c r="AA1152" s="412">
        <f t="shared" si="155"/>
        <v>1</v>
      </c>
      <c r="AB1152" s="456">
        <f t="shared" si="152"/>
        <v>31.847999999999999</v>
      </c>
      <c r="AC1152" s="456">
        <v>0</v>
      </c>
      <c r="AD1152" s="2"/>
      <c r="AE1152" s="4"/>
      <c r="AF1152" s="5"/>
    </row>
    <row r="1153" spans="2:32" hidden="1" x14ac:dyDescent="0.25">
      <c r="B1153" s="571" t="s">
        <v>5227</v>
      </c>
      <c r="C1153" s="3" t="s">
        <v>1368</v>
      </c>
      <c r="D1153" s="3" t="s">
        <v>1247</v>
      </c>
      <c r="E1153" s="407" t="s">
        <v>3226</v>
      </c>
      <c r="F1153" s="407" t="s">
        <v>5028</v>
      </c>
      <c r="G1153" s="415"/>
      <c r="H1153" s="415"/>
      <c r="I1153" s="415"/>
      <c r="J1153" s="415"/>
      <c r="K1153" s="3" t="s">
        <v>5024</v>
      </c>
      <c r="L1153" s="387">
        <v>1</v>
      </c>
      <c r="M1153" s="387">
        <v>0</v>
      </c>
      <c r="N1153" s="387">
        <f t="shared" si="153"/>
        <v>1</v>
      </c>
      <c r="O1153" s="442">
        <f t="shared" si="154"/>
        <v>1</v>
      </c>
      <c r="P1153" s="387" t="s">
        <v>1358</v>
      </c>
      <c r="Q1153" s="459">
        <v>63.695999999999998</v>
      </c>
      <c r="R1153" s="459"/>
      <c r="S1153" s="456">
        <v>0</v>
      </c>
      <c r="T1153" s="459">
        <v>63.695999999999998</v>
      </c>
      <c r="U1153" s="555"/>
      <c r="V1153" s="411">
        <v>1</v>
      </c>
      <c r="W1153" s="411">
        <v>1</v>
      </c>
      <c r="X1153" s="411">
        <v>1</v>
      </c>
      <c r="Y1153" s="411">
        <v>0</v>
      </c>
      <c r="Z1153" s="411">
        <v>0</v>
      </c>
      <c r="AA1153" s="412">
        <f t="shared" si="155"/>
        <v>1</v>
      </c>
      <c r="AB1153" s="456">
        <f t="shared" si="152"/>
        <v>63.695999999999998</v>
      </c>
      <c r="AC1153" s="456">
        <v>0</v>
      </c>
      <c r="AD1153" s="2"/>
      <c r="AE1153" s="4"/>
      <c r="AF1153" s="5"/>
    </row>
    <row r="1154" spans="2:32" hidden="1" x14ac:dyDescent="0.25">
      <c r="B1154" s="571" t="s">
        <v>5228</v>
      </c>
      <c r="C1154" s="3" t="s">
        <v>1368</v>
      </c>
      <c r="D1154" s="3" t="s">
        <v>1247</v>
      </c>
      <c r="E1154" s="407" t="s">
        <v>3226</v>
      </c>
      <c r="F1154" s="407" t="s">
        <v>5029</v>
      </c>
      <c r="G1154" s="415"/>
      <c r="H1154" s="415"/>
      <c r="I1154" s="415"/>
      <c r="J1154" s="415"/>
      <c r="K1154" s="3" t="s">
        <v>5024</v>
      </c>
      <c r="L1154" s="387">
        <v>1</v>
      </c>
      <c r="M1154" s="387">
        <v>0</v>
      </c>
      <c r="N1154" s="387">
        <f t="shared" si="153"/>
        <v>1</v>
      </c>
      <c r="O1154" s="442">
        <f t="shared" si="154"/>
        <v>1</v>
      </c>
      <c r="P1154" s="387" t="s">
        <v>1358</v>
      </c>
      <c r="Q1154" s="459">
        <v>95.543999999999997</v>
      </c>
      <c r="R1154" s="459"/>
      <c r="S1154" s="456">
        <v>0</v>
      </c>
      <c r="T1154" s="459">
        <v>95.543999999999997</v>
      </c>
      <c r="U1154" s="555"/>
      <c r="V1154" s="411">
        <v>1</v>
      </c>
      <c r="W1154" s="411">
        <v>1</v>
      </c>
      <c r="X1154" s="411">
        <v>1</v>
      </c>
      <c r="Y1154" s="411">
        <v>0</v>
      </c>
      <c r="Z1154" s="411">
        <v>0</v>
      </c>
      <c r="AA1154" s="412">
        <f t="shared" si="155"/>
        <v>1</v>
      </c>
      <c r="AB1154" s="456">
        <f t="shared" si="152"/>
        <v>95.543999999999997</v>
      </c>
      <c r="AC1154" s="456">
        <v>0</v>
      </c>
      <c r="AD1154" s="2"/>
      <c r="AE1154" s="4"/>
      <c r="AF1154" s="5"/>
    </row>
    <row r="1155" spans="2:32" hidden="1" x14ac:dyDescent="0.25">
      <c r="B1155" s="571" t="s">
        <v>5229</v>
      </c>
      <c r="C1155" s="3" t="s">
        <v>1368</v>
      </c>
      <c r="D1155" s="3" t="s">
        <v>1247</v>
      </c>
      <c r="E1155" s="407" t="s">
        <v>3226</v>
      </c>
      <c r="F1155" s="407" t="s">
        <v>5030</v>
      </c>
      <c r="G1155" s="415"/>
      <c r="H1155" s="415"/>
      <c r="I1155" s="415"/>
      <c r="J1155" s="415"/>
      <c r="K1155" s="3" t="s">
        <v>5024</v>
      </c>
      <c r="L1155" s="387">
        <v>1</v>
      </c>
      <c r="M1155" s="387">
        <v>0</v>
      </c>
      <c r="N1155" s="387">
        <f t="shared" si="153"/>
        <v>1</v>
      </c>
      <c r="O1155" s="442">
        <f t="shared" si="154"/>
        <v>1</v>
      </c>
      <c r="P1155" s="387" t="s">
        <v>1358</v>
      </c>
      <c r="Q1155" s="459">
        <v>95.543999999999997</v>
      </c>
      <c r="R1155" s="459"/>
      <c r="S1155" s="456">
        <v>0</v>
      </c>
      <c r="T1155" s="459">
        <v>95.543999999999997</v>
      </c>
      <c r="U1155" s="555"/>
      <c r="V1155" s="411">
        <v>1</v>
      </c>
      <c r="W1155" s="411">
        <v>1</v>
      </c>
      <c r="X1155" s="411">
        <v>1</v>
      </c>
      <c r="Y1155" s="411">
        <v>0</v>
      </c>
      <c r="Z1155" s="411">
        <v>0</v>
      </c>
      <c r="AA1155" s="412">
        <f t="shared" si="155"/>
        <v>1</v>
      </c>
      <c r="AB1155" s="456">
        <f t="shared" si="152"/>
        <v>95.543999999999997</v>
      </c>
      <c r="AC1155" s="456">
        <v>0</v>
      </c>
      <c r="AD1155" s="2"/>
      <c r="AE1155" s="4"/>
      <c r="AF1155" s="5"/>
    </row>
    <row r="1156" spans="2:32" hidden="1" x14ac:dyDescent="0.25">
      <c r="B1156" s="571" t="s">
        <v>5230</v>
      </c>
      <c r="C1156" s="3" t="s">
        <v>1368</v>
      </c>
      <c r="D1156" s="3" t="s">
        <v>1247</v>
      </c>
      <c r="E1156" s="407" t="s">
        <v>3226</v>
      </c>
      <c r="F1156" s="407" t="s">
        <v>5031</v>
      </c>
      <c r="G1156" s="415"/>
      <c r="H1156" s="415"/>
      <c r="I1156" s="415"/>
      <c r="J1156" s="415"/>
      <c r="K1156" s="3" t="s">
        <v>5024</v>
      </c>
      <c r="L1156" s="387">
        <v>1</v>
      </c>
      <c r="M1156" s="387">
        <v>0</v>
      </c>
      <c r="N1156" s="387">
        <f t="shared" si="153"/>
        <v>1</v>
      </c>
      <c r="O1156" s="442">
        <f t="shared" si="154"/>
        <v>1</v>
      </c>
      <c r="P1156" s="387" t="s">
        <v>1358</v>
      </c>
      <c r="Q1156" s="459">
        <v>15.923999999999999</v>
      </c>
      <c r="R1156" s="459"/>
      <c r="S1156" s="456">
        <v>0</v>
      </c>
      <c r="T1156" s="459">
        <v>15.923999999999999</v>
      </c>
      <c r="U1156" s="555"/>
      <c r="V1156" s="411">
        <v>1</v>
      </c>
      <c r="W1156" s="411">
        <v>1</v>
      </c>
      <c r="X1156" s="411">
        <v>1</v>
      </c>
      <c r="Y1156" s="411">
        <v>0</v>
      </c>
      <c r="Z1156" s="411">
        <v>0</v>
      </c>
      <c r="AA1156" s="412">
        <f t="shared" si="155"/>
        <v>1</v>
      </c>
      <c r="AB1156" s="456">
        <f t="shared" si="152"/>
        <v>15.923999999999999</v>
      </c>
      <c r="AC1156" s="456">
        <v>0</v>
      </c>
      <c r="AD1156" s="2"/>
      <c r="AE1156" s="4"/>
      <c r="AF1156" s="5"/>
    </row>
    <row r="1157" spans="2:32" hidden="1" x14ac:dyDescent="0.25">
      <c r="B1157" s="571" t="s">
        <v>5231</v>
      </c>
      <c r="C1157" s="3" t="s">
        <v>1368</v>
      </c>
      <c r="D1157" s="3" t="s">
        <v>1247</v>
      </c>
      <c r="E1157" s="407" t="s">
        <v>3226</v>
      </c>
      <c r="F1157" s="407" t="s">
        <v>5032</v>
      </c>
      <c r="G1157" s="415"/>
      <c r="H1157" s="415"/>
      <c r="I1157" s="415"/>
      <c r="J1157" s="415"/>
      <c r="K1157" s="3" t="s">
        <v>5024</v>
      </c>
      <c r="L1157" s="387">
        <v>1</v>
      </c>
      <c r="M1157" s="387">
        <v>0</v>
      </c>
      <c r="N1157" s="387">
        <f t="shared" si="153"/>
        <v>1</v>
      </c>
      <c r="O1157" s="442">
        <f t="shared" si="154"/>
        <v>1</v>
      </c>
      <c r="P1157" s="387" t="s">
        <v>1358</v>
      </c>
      <c r="Q1157" s="459">
        <v>15.923999999999999</v>
      </c>
      <c r="R1157" s="459"/>
      <c r="S1157" s="456">
        <v>0</v>
      </c>
      <c r="T1157" s="459">
        <v>15.923999999999999</v>
      </c>
      <c r="U1157" s="555"/>
      <c r="V1157" s="411">
        <v>1</v>
      </c>
      <c r="W1157" s="411">
        <v>1</v>
      </c>
      <c r="X1157" s="411">
        <v>1</v>
      </c>
      <c r="Y1157" s="411">
        <v>0</v>
      </c>
      <c r="Z1157" s="411">
        <v>0</v>
      </c>
      <c r="AA1157" s="412">
        <f t="shared" si="155"/>
        <v>1</v>
      </c>
      <c r="AB1157" s="456">
        <f t="shared" si="152"/>
        <v>15.923999999999999</v>
      </c>
      <c r="AC1157" s="456">
        <v>0</v>
      </c>
      <c r="AD1157" s="2"/>
      <c r="AE1157" s="4"/>
      <c r="AF1157" s="5"/>
    </row>
    <row r="1158" spans="2:32" hidden="1" x14ac:dyDescent="0.25">
      <c r="B1158" s="1" t="s">
        <v>5153</v>
      </c>
      <c r="C1158" s="3" t="s">
        <v>1368</v>
      </c>
      <c r="D1158" s="3" t="s">
        <v>1247</v>
      </c>
      <c r="E1158" s="407" t="s">
        <v>3224</v>
      </c>
      <c r="F1158" s="407" t="s">
        <v>5102</v>
      </c>
      <c r="G1158" s="415"/>
      <c r="H1158" s="415"/>
      <c r="I1158" s="415"/>
      <c r="J1158" s="415"/>
      <c r="K1158" s="3" t="s">
        <v>5104</v>
      </c>
      <c r="L1158" s="387">
        <v>1</v>
      </c>
      <c r="M1158" s="387">
        <v>0</v>
      </c>
      <c r="N1158" s="387">
        <f t="shared" si="153"/>
        <v>1</v>
      </c>
      <c r="O1158" s="442">
        <f t="shared" ref="O1158" si="183">L1158*AA1158</f>
        <v>1</v>
      </c>
      <c r="P1158" s="387" t="s">
        <v>1358</v>
      </c>
      <c r="Q1158" s="459">
        <v>95.5</v>
      </c>
      <c r="R1158" s="459"/>
      <c r="S1158" s="456">
        <v>0</v>
      </c>
      <c r="T1158" s="459">
        <v>95.54</v>
      </c>
      <c r="U1158" s="555"/>
      <c r="V1158" s="411">
        <v>1</v>
      </c>
      <c r="W1158" s="411">
        <v>1</v>
      </c>
      <c r="X1158" s="411">
        <v>1</v>
      </c>
      <c r="Y1158" s="411">
        <v>0</v>
      </c>
      <c r="Z1158" s="411">
        <v>0</v>
      </c>
      <c r="AA1158" s="412">
        <f t="shared" si="155"/>
        <v>1</v>
      </c>
      <c r="AB1158" s="456">
        <f t="shared" si="152"/>
        <v>95.54</v>
      </c>
      <c r="AC1158" s="456">
        <v>0</v>
      </c>
      <c r="AD1158" s="2"/>
      <c r="AE1158" s="4"/>
      <c r="AF1158" s="5"/>
    </row>
    <row r="1159" spans="2:32" hidden="1" x14ac:dyDescent="0.25">
      <c r="B1159" s="1" t="s">
        <v>5154</v>
      </c>
      <c r="C1159" s="3" t="s">
        <v>1368</v>
      </c>
      <c r="D1159" s="3" t="s">
        <v>1247</v>
      </c>
      <c r="E1159" s="407" t="s">
        <v>3224</v>
      </c>
      <c r="F1159" s="407" t="s">
        <v>5103</v>
      </c>
      <c r="G1159" s="415"/>
      <c r="H1159" s="415"/>
      <c r="I1159" s="415"/>
      <c r="J1159" s="415"/>
      <c r="K1159" s="3" t="s">
        <v>5104</v>
      </c>
      <c r="L1159" s="387">
        <v>1</v>
      </c>
      <c r="M1159" s="387">
        <v>0</v>
      </c>
      <c r="N1159" s="387">
        <f t="shared" si="153"/>
        <v>1</v>
      </c>
      <c r="O1159" s="442">
        <f t="shared" ref="O1159" si="184">L1159*AA1159</f>
        <v>1</v>
      </c>
      <c r="P1159" s="387" t="s">
        <v>1358</v>
      </c>
      <c r="Q1159" s="459">
        <v>95.5</v>
      </c>
      <c r="R1159" s="459"/>
      <c r="S1159" s="456">
        <v>0</v>
      </c>
      <c r="T1159" s="459">
        <v>95.54</v>
      </c>
      <c r="U1159" s="555"/>
      <c r="V1159" s="411">
        <v>1</v>
      </c>
      <c r="W1159" s="411">
        <v>1</v>
      </c>
      <c r="X1159" s="411">
        <v>1</v>
      </c>
      <c r="Y1159" s="411"/>
      <c r="Z1159" s="411"/>
      <c r="AA1159" s="412">
        <f t="shared" si="155"/>
        <v>1</v>
      </c>
      <c r="AB1159" s="456">
        <f t="shared" si="152"/>
        <v>95.54</v>
      </c>
      <c r="AC1159" s="456"/>
      <c r="AD1159" s="2"/>
      <c r="AE1159" s="4"/>
      <c r="AF1159" s="5"/>
    </row>
    <row r="1160" spans="2:32" hidden="1" x14ac:dyDescent="0.25">
      <c r="B1160" s="1" t="s">
        <v>4833</v>
      </c>
      <c r="C1160" s="3" t="s">
        <v>1368</v>
      </c>
      <c r="D1160" s="3" t="s">
        <v>1247</v>
      </c>
      <c r="E1160" s="407" t="s">
        <v>3230</v>
      </c>
      <c r="F1160" s="407" t="s">
        <v>4796</v>
      </c>
      <c r="G1160" s="415"/>
      <c r="H1160" s="415"/>
      <c r="I1160" s="415"/>
      <c r="J1160" s="415"/>
      <c r="K1160" s="3" t="s">
        <v>4748</v>
      </c>
      <c r="L1160" s="387">
        <v>1</v>
      </c>
      <c r="M1160" s="387">
        <v>0</v>
      </c>
      <c r="N1160" s="387">
        <f t="shared" si="153"/>
        <v>1</v>
      </c>
      <c r="O1160" s="442">
        <f t="shared" si="154"/>
        <v>1</v>
      </c>
      <c r="P1160" s="387" t="s">
        <v>1358</v>
      </c>
      <c r="Q1160" s="459">
        <v>31.847999999999999</v>
      </c>
      <c r="R1160" s="459"/>
      <c r="S1160" s="456">
        <v>0</v>
      </c>
      <c r="T1160" s="459">
        <v>31.847999999999999</v>
      </c>
      <c r="U1160" s="555"/>
      <c r="V1160" s="411">
        <v>1</v>
      </c>
      <c r="W1160" s="411">
        <v>1</v>
      </c>
      <c r="X1160" s="411">
        <v>1</v>
      </c>
      <c r="Y1160" s="411"/>
      <c r="Z1160" s="411"/>
      <c r="AA1160" s="412">
        <f t="shared" si="155"/>
        <v>1</v>
      </c>
      <c r="AB1160" s="456">
        <f t="shared" si="152"/>
        <v>31.847999999999999</v>
      </c>
      <c r="AC1160" s="456">
        <v>0</v>
      </c>
      <c r="AD1160" s="2"/>
      <c r="AE1160" s="4"/>
      <c r="AF1160" s="5"/>
    </row>
    <row r="1161" spans="2:32" hidden="1" x14ac:dyDescent="0.25">
      <c r="B1161" s="1" t="s">
        <v>4834</v>
      </c>
      <c r="C1161" s="3" t="s">
        <v>1368</v>
      </c>
      <c r="D1161" s="3" t="s">
        <v>1247</v>
      </c>
      <c r="E1161" s="407" t="s">
        <v>3231</v>
      </c>
      <c r="F1161" s="407" t="s">
        <v>4749</v>
      </c>
      <c r="G1161" s="415"/>
      <c r="H1161" s="415"/>
      <c r="I1161" s="415"/>
      <c r="J1161" s="415"/>
      <c r="K1161" s="3" t="s">
        <v>4752</v>
      </c>
      <c r="L1161" s="387">
        <v>1</v>
      </c>
      <c r="M1161" s="387">
        <v>0</v>
      </c>
      <c r="N1161" s="387">
        <f t="shared" si="153"/>
        <v>1</v>
      </c>
      <c r="O1161" s="442">
        <f t="shared" si="154"/>
        <v>1</v>
      </c>
      <c r="P1161" s="387" t="s">
        <v>1358</v>
      </c>
      <c r="Q1161" s="459">
        <v>15.923999999999999</v>
      </c>
      <c r="R1161" s="459"/>
      <c r="S1161" s="456">
        <v>0</v>
      </c>
      <c r="T1161" s="459">
        <v>15.923999999999999</v>
      </c>
      <c r="U1161" s="555"/>
      <c r="V1161" s="411">
        <v>1</v>
      </c>
      <c r="W1161" s="411">
        <v>1</v>
      </c>
      <c r="X1161" s="411">
        <v>1</v>
      </c>
      <c r="Y1161" s="411"/>
      <c r="Z1161" s="411"/>
      <c r="AA1161" s="412">
        <f t="shared" si="155"/>
        <v>1</v>
      </c>
      <c r="AB1161" s="456">
        <f t="shared" si="152"/>
        <v>15.923999999999999</v>
      </c>
      <c r="AC1161" s="456">
        <v>0</v>
      </c>
      <c r="AD1161" s="469"/>
      <c r="AE1161" s="470"/>
      <c r="AF1161" s="5"/>
    </row>
    <row r="1162" spans="2:32" hidden="1" x14ac:dyDescent="0.25">
      <c r="B1162" s="1" t="s">
        <v>4835</v>
      </c>
      <c r="C1162" s="3" t="s">
        <v>1368</v>
      </c>
      <c r="D1162" s="3" t="s">
        <v>1247</v>
      </c>
      <c r="E1162" s="407" t="s">
        <v>3231</v>
      </c>
      <c r="F1162" s="407" t="s">
        <v>4750</v>
      </c>
      <c r="G1162" s="415"/>
      <c r="H1162" s="415"/>
      <c r="I1162" s="415"/>
      <c r="J1162" s="415"/>
      <c r="K1162" s="3" t="s">
        <v>4752</v>
      </c>
      <c r="L1162" s="387">
        <v>1</v>
      </c>
      <c r="M1162" s="387">
        <v>0</v>
      </c>
      <c r="N1162" s="387">
        <f t="shared" si="153"/>
        <v>1</v>
      </c>
      <c r="O1162" s="442">
        <f t="shared" si="154"/>
        <v>1</v>
      </c>
      <c r="P1162" s="387" t="s">
        <v>1358</v>
      </c>
      <c r="Q1162" s="459">
        <v>31.847999999999999</v>
      </c>
      <c r="R1162" s="459"/>
      <c r="S1162" s="456">
        <v>0</v>
      </c>
      <c r="T1162" s="459">
        <v>31.847999999999999</v>
      </c>
      <c r="U1162" s="555"/>
      <c r="V1162" s="411">
        <v>1</v>
      </c>
      <c r="W1162" s="411">
        <v>1</v>
      </c>
      <c r="X1162" s="411">
        <v>1</v>
      </c>
      <c r="Y1162" s="411"/>
      <c r="Z1162" s="411"/>
      <c r="AA1162" s="412">
        <f t="shared" si="155"/>
        <v>1</v>
      </c>
      <c r="AB1162" s="456">
        <f t="shared" si="152"/>
        <v>31.847999999999999</v>
      </c>
      <c r="AC1162" s="456">
        <v>0</v>
      </c>
      <c r="AD1162" s="469"/>
      <c r="AE1162" s="470"/>
      <c r="AF1162" s="5"/>
    </row>
    <row r="1163" spans="2:32" hidden="1" x14ac:dyDescent="0.25">
      <c r="B1163" s="1" t="s">
        <v>4836</v>
      </c>
      <c r="C1163" s="3" t="s">
        <v>1368</v>
      </c>
      <c r="D1163" s="3" t="s">
        <v>1247</v>
      </c>
      <c r="E1163" s="407" t="s">
        <v>3231</v>
      </c>
      <c r="F1163" s="407" t="s">
        <v>4751</v>
      </c>
      <c r="G1163" s="415"/>
      <c r="H1163" s="415"/>
      <c r="I1163" s="415"/>
      <c r="J1163" s="415"/>
      <c r="K1163" s="3" t="s">
        <v>4752</v>
      </c>
      <c r="L1163" s="387">
        <v>1</v>
      </c>
      <c r="M1163" s="387">
        <v>0</v>
      </c>
      <c r="N1163" s="387">
        <f t="shared" si="153"/>
        <v>1</v>
      </c>
      <c r="O1163" s="442">
        <f t="shared" si="154"/>
        <v>1</v>
      </c>
      <c r="P1163" s="387" t="s">
        <v>1358</v>
      </c>
      <c r="Q1163" s="459">
        <v>95.543999999999997</v>
      </c>
      <c r="R1163" s="459"/>
      <c r="S1163" s="456">
        <v>0</v>
      </c>
      <c r="T1163" s="459">
        <v>95.543999999999997</v>
      </c>
      <c r="U1163" s="555"/>
      <c r="V1163" s="411">
        <v>1</v>
      </c>
      <c r="W1163" s="411">
        <v>1</v>
      </c>
      <c r="X1163" s="411">
        <v>1</v>
      </c>
      <c r="Y1163" s="411"/>
      <c r="Z1163" s="411"/>
      <c r="AA1163" s="412">
        <f t="shared" si="155"/>
        <v>1</v>
      </c>
      <c r="AB1163" s="456">
        <f t="shared" si="152"/>
        <v>95.543999999999997</v>
      </c>
      <c r="AC1163" s="456">
        <v>0</v>
      </c>
      <c r="AD1163" s="469"/>
      <c r="AE1163" s="470"/>
      <c r="AF1163" s="5"/>
    </row>
    <row r="1164" spans="2:32" hidden="1" x14ac:dyDescent="0.25">
      <c r="B1164" s="1" t="s">
        <v>4837</v>
      </c>
      <c r="C1164" s="3" t="s">
        <v>1368</v>
      </c>
      <c r="D1164" s="3" t="s">
        <v>1247</v>
      </c>
      <c r="E1164" s="407" t="s">
        <v>3250</v>
      </c>
      <c r="F1164" s="407" t="s">
        <v>4774</v>
      </c>
      <c r="G1164" s="415"/>
      <c r="H1164" s="415"/>
      <c r="I1164" s="415"/>
      <c r="J1164" s="415"/>
      <c r="K1164" s="3" t="s">
        <v>4773</v>
      </c>
      <c r="L1164" s="387">
        <v>1</v>
      </c>
      <c r="M1164" s="387">
        <v>0</v>
      </c>
      <c r="N1164" s="387">
        <f t="shared" si="153"/>
        <v>1</v>
      </c>
      <c r="O1164" s="442">
        <f t="shared" si="154"/>
        <v>1</v>
      </c>
      <c r="P1164" s="387" t="s">
        <v>1358</v>
      </c>
      <c r="Q1164" s="459">
        <v>15.923999999999999</v>
      </c>
      <c r="R1164" s="459"/>
      <c r="S1164" s="456">
        <v>0</v>
      </c>
      <c r="T1164" s="459">
        <v>15.923999999999999</v>
      </c>
      <c r="U1164" s="555"/>
      <c r="V1164" s="411">
        <v>1</v>
      </c>
      <c r="W1164" s="411">
        <v>1</v>
      </c>
      <c r="X1164" s="411">
        <v>1</v>
      </c>
      <c r="Y1164" s="411"/>
      <c r="Z1164" s="411"/>
      <c r="AA1164" s="412">
        <f t="shared" si="155"/>
        <v>1</v>
      </c>
      <c r="AB1164" s="456">
        <f t="shared" si="152"/>
        <v>15.923999999999999</v>
      </c>
      <c r="AC1164" s="456">
        <v>0</v>
      </c>
      <c r="AD1164" s="469"/>
      <c r="AE1164" s="470"/>
      <c r="AF1164" s="5"/>
    </row>
    <row r="1165" spans="2:32" hidden="1" x14ac:dyDescent="0.25">
      <c r="B1165" s="1" t="s">
        <v>4838</v>
      </c>
      <c r="C1165" s="3" t="s">
        <v>1368</v>
      </c>
      <c r="D1165" s="3" t="s">
        <v>1247</v>
      </c>
      <c r="E1165" s="407" t="s">
        <v>3250</v>
      </c>
      <c r="F1165" s="407" t="s">
        <v>4772</v>
      </c>
      <c r="G1165" s="415"/>
      <c r="H1165" s="415"/>
      <c r="I1165" s="415"/>
      <c r="J1165" s="415"/>
      <c r="K1165" s="3" t="s">
        <v>4797</v>
      </c>
      <c r="L1165" s="387">
        <v>1</v>
      </c>
      <c r="M1165" s="387">
        <v>0</v>
      </c>
      <c r="N1165" s="387">
        <f t="shared" si="153"/>
        <v>1</v>
      </c>
      <c r="O1165" s="442">
        <f t="shared" si="154"/>
        <v>1.0000000000000002</v>
      </c>
      <c r="P1165" s="387" t="s">
        <v>1358</v>
      </c>
      <c r="Q1165" s="459">
        <v>31.84</v>
      </c>
      <c r="R1165" s="459"/>
      <c r="S1165" s="456">
        <v>0</v>
      </c>
      <c r="T1165" s="459">
        <v>31.84</v>
      </c>
      <c r="U1165" s="555"/>
      <c r="V1165" s="411">
        <v>1</v>
      </c>
      <c r="W1165" s="411">
        <v>1</v>
      </c>
      <c r="X1165" s="411">
        <v>1</v>
      </c>
      <c r="Y1165" s="411"/>
      <c r="Z1165" s="411"/>
      <c r="AA1165" s="412">
        <f t="shared" si="155"/>
        <v>1.0000000000000002</v>
      </c>
      <c r="AB1165" s="456">
        <f t="shared" si="152"/>
        <v>31.840000000000003</v>
      </c>
      <c r="AC1165" s="456">
        <v>0</v>
      </c>
      <c r="AD1165" s="469"/>
      <c r="AE1165" s="470"/>
      <c r="AF1165" s="5"/>
    </row>
    <row r="1166" spans="2:32" hidden="1" x14ac:dyDescent="0.25">
      <c r="B1166" s="1" t="s">
        <v>4839</v>
      </c>
      <c r="C1166" s="3" t="s">
        <v>1368</v>
      </c>
      <c r="D1166" s="3" t="s">
        <v>1247</v>
      </c>
      <c r="E1166" s="407" t="s">
        <v>3232</v>
      </c>
      <c r="F1166" s="407" t="s">
        <v>4775</v>
      </c>
      <c r="G1166" s="415"/>
      <c r="H1166" s="415"/>
      <c r="I1166" s="415"/>
      <c r="J1166" s="415"/>
      <c r="K1166" s="3" t="s">
        <v>4776</v>
      </c>
      <c r="L1166" s="387">
        <v>1</v>
      </c>
      <c r="M1166" s="387">
        <v>0</v>
      </c>
      <c r="N1166" s="387">
        <f t="shared" si="153"/>
        <v>1</v>
      </c>
      <c r="O1166" s="442">
        <f t="shared" si="154"/>
        <v>1.0000000000000002</v>
      </c>
      <c r="P1166" s="387" t="s">
        <v>1358</v>
      </c>
      <c r="Q1166" s="459">
        <v>31.84</v>
      </c>
      <c r="R1166" s="459"/>
      <c r="S1166" s="456">
        <v>0</v>
      </c>
      <c r="T1166" s="459">
        <v>31.84</v>
      </c>
      <c r="U1166" s="555"/>
      <c r="V1166" s="411">
        <v>1</v>
      </c>
      <c r="W1166" s="411">
        <v>1</v>
      </c>
      <c r="X1166" s="411">
        <v>1</v>
      </c>
      <c r="Y1166" s="411"/>
      <c r="Z1166" s="411"/>
      <c r="AA1166" s="412">
        <f t="shared" si="155"/>
        <v>1.0000000000000002</v>
      </c>
      <c r="AB1166" s="456">
        <f t="shared" si="152"/>
        <v>31.840000000000003</v>
      </c>
      <c r="AC1166" s="456">
        <v>0</v>
      </c>
      <c r="AD1166" s="469"/>
      <c r="AE1166" s="470"/>
      <c r="AF1166" s="5"/>
    </row>
    <row r="1167" spans="2:32" hidden="1" x14ac:dyDescent="0.25">
      <c r="B1167" s="1" t="s">
        <v>4840</v>
      </c>
      <c r="C1167" s="3" t="s">
        <v>1368</v>
      </c>
      <c r="D1167" s="3" t="s">
        <v>1247</v>
      </c>
      <c r="E1167" s="407" t="s">
        <v>3232</v>
      </c>
      <c r="F1167" s="407" t="s">
        <v>4777</v>
      </c>
      <c r="G1167" s="415"/>
      <c r="H1167" s="415"/>
      <c r="I1167" s="415"/>
      <c r="J1167" s="415"/>
      <c r="K1167" s="3" t="s">
        <v>4776</v>
      </c>
      <c r="L1167" s="387">
        <v>1</v>
      </c>
      <c r="M1167" s="387">
        <v>0</v>
      </c>
      <c r="N1167" s="387">
        <f t="shared" si="153"/>
        <v>1</v>
      </c>
      <c r="O1167" s="442">
        <f t="shared" si="154"/>
        <v>1</v>
      </c>
      <c r="P1167" s="387" t="s">
        <v>1358</v>
      </c>
      <c r="Q1167" s="459">
        <v>95.54</v>
      </c>
      <c r="R1167" s="459"/>
      <c r="S1167" s="456">
        <v>0</v>
      </c>
      <c r="T1167" s="459">
        <v>95.54</v>
      </c>
      <c r="U1167" s="555"/>
      <c r="V1167" s="411">
        <v>1</v>
      </c>
      <c r="W1167" s="411">
        <v>1</v>
      </c>
      <c r="X1167" s="411">
        <v>1</v>
      </c>
      <c r="Y1167" s="411"/>
      <c r="Z1167" s="411"/>
      <c r="AA1167" s="412">
        <f t="shared" si="155"/>
        <v>1</v>
      </c>
      <c r="AB1167" s="456">
        <f t="shared" si="152"/>
        <v>95.54</v>
      </c>
      <c r="AC1167" s="456">
        <v>0</v>
      </c>
      <c r="AD1167" s="469"/>
      <c r="AE1167" s="470"/>
      <c r="AF1167" s="5"/>
    </row>
    <row r="1168" spans="2:32" hidden="1" x14ac:dyDescent="0.25">
      <c r="B1168" s="1" t="s">
        <v>4841</v>
      </c>
      <c r="C1168" s="3" t="s">
        <v>1368</v>
      </c>
      <c r="D1168" s="3" t="s">
        <v>1247</v>
      </c>
      <c r="E1168" s="407" t="s">
        <v>3250</v>
      </c>
      <c r="F1168" s="407" t="s">
        <v>4778</v>
      </c>
      <c r="G1168" s="415"/>
      <c r="H1168" s="415"/>
      <c r="I1168" s="415"/>
      <c r="J1168" s="415"/>
      <c r="K1168" s="3" t="s">
        <v>4773</v>
      </c>
      <c r="L1168" s="387">
        <v>1</v>
      </c>
      <c r="M1168" s="387">
        <v>0</v>
      </c>
      <c r="N1168" s="387">
        <f t="shared" si="153"/>
        <v>1</v>
      </c>
      <c r="O1168" s="442">
        <f t="shared" si="154"/>
        <v>1</v>
      </c>
      <c r="P1168" s="387" t="s">
        <v>1358</v>
      </c>
      <c r="Q1168" s="459">
        <v>15.923999999999999</v>
      </c>
      <c r="R1168" s="459"/>
      <c r="S1168" s="456">
        <v>0</v>
      </c>
      <c r="T1168" s="459">
        <v>15.923999999999999</v>
      </c>
      <c r="U1168" s="555"/>
      <c r="V1168" s="411">
        <v>1</v>
      </c>
      <c r="W1168" s="411">
        <v>1</v>
      </c>
      <c r="X1168" s="411">
        <v>1</v>
      </c>
      <c r="Y1168" s="411"/>
      <c r="Z1168" s="411"/>
      <c r="AA1168" s="412">
        <f t="shared" si="155"/>
        <v>1</v>
      </c>
      <c r="AB1168" s="456">
        <f t="shared" si="152"/>
        <v>15.923999999999999</v>
      </c>
      <c r="AC1168" s="456">
        <v>0</v>
      </c>
      <c r="AD1168" s="469"/>
      <c r="AE1168" s="470"/>
      <c r="AF1168" s="5"/>
    </row>
    <row r="1169" spans="2:32" hidden="1" x14ac:dyDescent="0.25">
      <c r="B1169" s="1" t="s">
        <v>4842</v>
      </c>
      <c r="C1169" s="3" t="s">
        <v>1368</v>
      </c>
      <c r="D1169" s="3" t="s">
        <v>1247</v>
      </c>
      <c r="E1169" s="407" t="s">
        <v>3250</v>
      </c>
      <c r="F1169" s="407" t="s">
        <v>4779</v>
      </c>
      <c r="G1169" s="415"/>
      <c r="H1169" s="415"/>
      <c r="I1169" s="415"/>
      <c r="J1169" s="415"/>
      <c r="K1169" s="3" t="s">
        <v>4773</v>
      </c>
      <c r="L1169" s="387">
        <v>1</v>
      </c>
      <c r="M1169" s="387">
        <v>0</v>
      </c>
      <c r="N1169" s="387">
        <f t="shared" si="153"/>
        <v>1</v>
      </c>
      <c r="O1169" s="442">
        <f t="shared" si="154"/>
        <v>1</v>
      </c>
      <c r="P1169" s="387" t="s">
        <v>1358</v>
      </c>
      <c r="Q1169" s="459">
        <v>15.923999999999999</v>
      </c>
      <c r="R1169" s="459"/>
      <c r="S1169" s="456">
        <v>0</v>
      </c>
      <c r="T1169" s="459">
        <v>15.923999999999999</v>
      </c>
      <c r="U1169" s="555"/>
      <c r="V1169" s="411">
        <v>1</v>
      </c>
      <c r="W1169" s="411">
        <v>1</v>
      </c>
      <c r="X1169" s="411">
        <v>1</v>
      </c>
      <c r="Y1169" s="411"/>
      <c r="Z1169" s="411"/>
      <c r="AA1169" s="412">
        <f t="shared" si="155"/>
        <v>1</v>
      </c>
      <c r="AB1169" s="456">
        <f t="shared" si="152"/>
        <v>15.923999999999999</v>
      </c>
      <c r="AC1169" s="456">
        <v>0</v>
      </c>
      <c r="AD1169" s="469"/>
      <c r="AE1169" s="470"/>
      <c r="AF1169" s="5"/>
    </row>
    <row r="1170" spans="2:32" hidden="1" x14ac:dyDescent="0.25">
      <c r="B1170" s="1" t="s">
        <v>4843</v>
      </c>
      <c r="C1170" s="3" t="s">
        <v>1368</v>
      </c>
      <c r="D1170" s="3" t="s">
        <v>1247</v>
      </c>
      <c r="E1170" s="407" t="s">
        <v>3232</v>
      </c>
      <c r="F1170" s="407" t="s">
        <v>4780</v>
      </c>
      <c r="G1170" s="415"/>
      <c r="H1170" s="415"/>
      <c r="I1170" s="415"/>
      <c r="J1170" s="415"/>
      <c r="K1170" s="3" t="s">
        <v>4776</v>
      </c>
      <c r="L1170" s="387">
        <v>1</v>
      </c>
      <c r="M1170" s="387">
        <v>0</v>
      </c>
      <c r="N1170" s="387">
        <f t="shared" si="153"/>
        <v>1</v>
      </c>
      <c r="O1170" s="442">
        <f t="shared" si="154"/>
        <v>1</v>
      </c>
      <c r="P1170" s="387" t="s">
        <v>1358</v>
      </c>
      <c r="Q1170" s="459">
        <v>15.923999999999999</v>
      </c>
      <c r="R1170" s="459"/>
      <c r="S1170" s="456">
        <v>0</v>
      </c>
      <c r="T1170" s="459">
        <v>15.923999999999999</v>
      </c>
      <c r="U1170" s="555"/>
      <c r="V1170" s="411">
        <v>1</v>
      </c>
      <c r="W1170" s="411">
        <v>1</v>
      </c>
      <c r="X1170" s="411">
        <v>1</v>
      </c>
      <c r="Y1170" s="411"/>
      <c r="Z1170" s="411"/>
      <c r="AA1170" s="412">
        <f t="shared" si="155"/>
        <v>1</v>
      </c>
      <c r="AB1170" s="456">
        <f t="shared" si="152"/>
        <v>15.923999999999999</v>
      </c>
      <c r="AC1170" s="456">
        <v>0</v>
      </c>
      <c r="AD1170" s="469"/>
      <c r="AE1170" s="470"/>
      <c r="AF1170" s="5"/>
    </row>
    <row r="1171" spans="2:32" hidden="1" x14ac:dyDescent="0.25">
      <c r="B1171" s="1" t="s">
        <v>4844</v>
      </c>
      <c r="C1171" s="3" t="s">
        <v>1368</v>
      </c>
      <c r="D1171" s="3" t="s">
        <v>1247</v>
      </c>
      <c r="E1171" s="407" t="s">
        <v>3231</v>
      </c>
      <c r="F1171" s="407" t="s">
        <v>4798</v>
      </c>
      <c r="G1171" s="415"/>
      <c r="H1171" s="415"/>
      <c r="I1171" s="415"/>
      <c r="J1171" s="415"/>
      <c r="K1171" s="3" t="s">
        <v>4752</v>
      </c>
      <c r="L1171" s="387">
        <v>1</v>
      </c>
      <c r="M1171" s="387">
        <v>0</v>
      </c>
      <c r="N1171" s="387">
        <f t="shared" si="153"/>
        <v>1</v>
      </c>
      <c r="O1171" s="442">
        <f t="shared" si="154"/>
        <v>1</v>
      </c>
      <c r="P1171" s="387" t="s">
        <v>1358</v>
      </c>
      <c r="Q1171" s="459">
        <v>23.885999999999999</v>
      </c>
      <c r="R1171" s="459"/>
      <c r="S1171" s="456">
        <v>0</v>
      </c>
      <c r="T1171" s="459">
        <v>23.885999999999999</v>
      </c>
      <c r="U1171" s="555"/>
      <c r="V1171" s="411">
        <v>1</v>
      </c>
      <c r="W1171" s="411">
        <v>1</v>
      </c>
      <c r="X1171" s="411">
        <v>1</v>
      </c>
      <c r="Y1171" s="411"/>
      <c r="Z1171" s="411"/>
      <c r="AA1171" s="412">
        <f t="shared" si="155"/>
        <v>1</v>
      </c>
      <c r="AB1171" s="456">
        <f t="shared" si="152"/>
        <v>23.885999999999999</v>
      </c>
      <c r="AC1171" s="456">
        <v>0</v>
      </c>
      <c r="AD1171" s="469"/>
      <c r="AE1171" s="470"/>
      <c r="AF1171" s="5"/>
    </row>
    <row r="1172" spans="2:32" hidden="1" x14ac:dyDescent="0.25">
      <c r="B1172" s="1" t="s">
        <v>4845</v>
      </c>
      <c r="C1172" s="3" t="s">
        <v>1368</v>
      </c>
      <c r="D1172" s="3" t="s">
        <v>1247</v>
      </c>
      <c r="E1172" s="407" t="s">
        <v>3231</v>
      </c>
      <c r="F1172" s="407" t="s">
        <v>4799</v>
      </c>
      <c r="G1172" s="415"/>
      <c r="H1172" s="415"/>
      <c r="I1172" s="415"/>
      <c r="J1172" s="415"/>
      <c r="K1172" s="3" t="s">
        <v>4752</v>
      </c>
      <c r="L1172" s="387">
        <v>1</v>
      </c>
      <c r="M1172" s="387">
        <v>0</v>
      </c>
      <c r="N1172" s="387">
        <f t="shared" si="153"/>
        <v>1</v>
      </c>
      <c r="O1172" s="442">
        <f t="shared" si="154"/>
        <v>1</v>
      </c>
      <c r="P1172" s="387" t="s">
        <v>1358</v>
      </c>
      <c r="Q1172" s="459">
        <v>23.885999999999999</v>
      </c>
      <c r="R1172" s="459"/>
      <c r="S1172" s="456">
        <v>0</v>
      </c>
      <c r="T1172" s="459">
        <v>23.885999999999999</v>
      </c>
      <c r="U1172" s="555"/>
      <c r="V1172" s="411">
        <v>1</v>
      </c>
      <c r="W1172" s="411">
        <v>1</v>
      </c>
      <c r="X1172" s="411">
        <v>1</v>
      </c>
      <c r="Y1172" s="411"/>
      <c r="Z1172" s="411"/>
      <c r="AA1172" s="412">
        <f t="shared" si="155"/>
        <v>1</v>
      </c>
      <c r="AB1172" s="456">
        <f t="shared" si="152"/>
        <v>23.885999999999999</v>
      </c>
      <c r="AC1172" s="456">
        <v>0</v>
      </c>
      <c r="AD1172" s="469"/>
      <c r="AE1172" s="470"/>
      <c r="AF1172" s="5"/>
    </row>
    <row r="1173" spans="2:32" hidden="1" x14ac:dyDescent="0.25">
      <c r="B1173" s="1" t="s">
        <v>4846</v>
      </c>
      <c r="C1173" s="3" t="s">
        <v>1368</v>
      </c>
      <c r="D1173" s="3" t="s">
        <v>1247</v>
      </c>
      <c r="E1173" s="407" t="s">
        <v>3231</v>
      </c>
      <c r="F1173" s="407" t="s">
        <v>4800</v>
      </c>
      <c r="G1173" s="415"/>
      <c r="H1173" s="415"/>
      <c r="I1173" s="415"/>
      <c r="J1173" s="415"/>
      <c r="K1173" s="3" t="s">
        <v>4752</v>
      </c>
      <c r="L1173" s="387">
        <v>1</v>
      </c>
      <c r="M1173" s="387">
        <v>0</v>
      </c>
      <c r="N1173" s="387">
        <f t="shared" si="153"/>
        <v>1</v>
      </c>
      <c r="O1173" s="442">
        <f t="shared" si="154"/>
        <v>1</v>
      </c>
      <c r="P1173" s="387" t="s">
        <v>1358</v>
      </c>
      <c r="Q1173" s="459">
        <v>95.543999999999997</v>
      </c>
      <c r="R1173" s="459"/>
      <c r="S1173" s="456">
        <v>0</v>
      </c>
      <c r="T1173" s="459">
        <v>95.543999999999997</v>
      </c>
      <c r="U1173" s="555"/>
      <c r="V1173" s="411">
        <v>1</v>
      </c>
      <c r="W1173" s="411">
        <v>1</v>
      </c>
      <c r="X1173" s="411">
        <v>1</v>
      </c>
      <c r="Y1173" s="411"/>
      <c r="Z1173" s="411"/>
      <c r="AA1173" s="412">
        <f t="shared" si="155"/>
        <v>1</v>
      </c>
      <c r="AB1173" s="456">
        <f t="shared" si="152"/>
        <v>95.543999999999997</v>
      </c>
      <c r="AC1173" s="456">
        <v>0</v>
      </c>
      <c r="AD1173" s="469"/>
      <c r="AE1173" s="470"/>
      <c r="AF1173" s="5"/>
    </row>
    <row r="1174" spans="2:32" hidden="1" x14ac:dyDescent="0.25">
      <c r="B1174" s="1" t="s">
        <v>4847</v>
      </c>
      <c r="C1174" s="3" t="s">
        <v>1368</v>
      </c>
      <c r="D1174" s="3" t="s">
        <v>1247</v>
      </c>
      <c r="E1174" s="407" t="s">
        <v>3231</v>
      </c>
      <c r="F1174" s="407" t="s">
        <v>4801</v>
      </c>
      <c r="G1174" s="415"/>
      <c r="H1174" s="415"/>
      <c r="I1174" s="415"/>
      <c r="J1174" s="415"/>
      <c r="K1174" s="3" t="s">
        <v>4752</v>
      </c>
      <c r="L1174" s="387">
        <v>1</v>
      </c>
      <c r="M1174" s="387">
        <v>0</v>
      </c>
      <c r="N1174" s="387">
        <f t="shared" si="153"/>
        <v>1</v>
      </c>
      <c r="O1174" s="442">
        <f t="shared" si="154"/>
        <v>1</v>
      </c>
      <c r="P1174" s="387" t="s">
        <v>1358</v>
      </c>
      <c r="Q1174" s="459">
        <v>15.923999999999999</v>
      </c>
      <c r="R1174" s="459"/>
      <c r="S1174" s="456">
        <v>0</v>
      </c>
      <c r="T1174" s="459">
        <v>15.923999999999999</v>
      </c>
      <c r="U1174" s="555"/>
      <c r="V1174" s="411">
        <v>1</v>
      </c>
      <c r="W1174" s="411">
        <v>1</v>
      </c>
      <c r="X1174" s="411">
        <v>1</v>
      </c>
      <c r="Y1174" s="411"/>
      <c r="Z1174" s="411"/>
      <c r="AA1174" s="412">
        <f t="shared" si="155"/>
        <v>1</v>
      </c>
      <c r="AB1174" s="456">
        <f t="shared" si="152"/>
        <v>15.923999999999999</v>
      </c>
      <c r="AC1174" s="456">
        <v>0</v>
      </c>
      <c r="AD1174" s="469"/>
      <c r="AE1174" s="470"/>
      <c r="AF1174" s="5"/>
    </row>
    <row r="1175" spans="2:32" hidden="1" x14ac:dyDescent="0.25">
      <c r="B1175" s="1" t="s">
        <v>4848</v>
      </c>
      <c r="C1175" s="3" t="s">
        <v>1368</v>
      </c>
      <c r="D1175" s="3" t="s">
        <v>1247</v>
      </c>
      <c r="E1175" s="407" t="s">
        <v>3231</v>
      </c>
      <c r="F1175" s="407" t="s">
        <v>4802</v>
      </c>
      <c r="G1175" s="415"/>
      <c r="H1175" s="415"/>
      <c r="I1175" s="415"/>
      <c r="J1175" s="415"/>
      <c r="K1175" s="3" t="s">
        <v>4752</v>
      </c>
      <c r="L1175" s="387">
        <v>1</v>
      </c>
      <c r="M1175" s="387">
        <v>0</v>
      </c>
      <c r="N1175" s="387">
        <f t="shared" si="153"/>
        <v>1</v>
      </c>
      <c r="O1175" s="442">
        <f t="shared" si="154"/>
        <v>1</v>
      </c>
      <c r="P1175" s="387" t="s">
        <v>1358</v>
      </c>
      <c r="Q1175" s="459">
        <v>15.923999999999999</v>
      </c>
      <c r="R1175" s="459"/>
      <c r="S1175" s="456">
        <v>0</v>
      </c>
      <c r="T1175" s="459">
        <v>15.923999999999999</v>
      </c>
      <c r="U1175" s="555"/>
      <c r="V1175" s="411">
        <v>1</v>
      </c>
      <c r="W1175" s="411">
        <v>1</v>
      </c>
      <c r="X1175" s="411">
        <v>1</v>
      </c>
      <c r="Y1175" s="411"/>
      <c r="Z1175" s="411"/>
      <c r="AA1175" s="412">
        <f t="shared" si="155"/>
        <v>1</v>
      </c>
      <c r="AB1175" s="456">
        <f t="shared" si="152"/>
        <v>15.923999999999999</v>
      </c>
      <c r="AC1175" s="456">
        <v>0</v>
      </c>
      <c r="AD1175" s="469"/>
      <c r="AE1175" s="470"/>
      <c r="AF1175" s="5"/>
    </row>
    <row r="1176" spans="2:32" hidden="1" x14ac:dyDescent="0.25">
      <c r="B1176" s="1" t="s">
        <v>4849</v>
      </c>
      <c r="C1176" s="3" t="s">
        <v>1368</v>
      </c>
      <c r="D1176" s="3" t="s">
        <v>1247</v>
      </c>
      <c r="E1176" s="407" t="s">
        <v>3231</v>
      </c>
      <c r="F1176" s="407" t="s">
        <v>4803</v>
      </c>
      <c r="G1176" s="415"/>
      <c r="H1176" s="415"/>
      <c r="I1176" s="415"/>
      <c r="J1176" s="415"/>
      <c r="K1176" s="3" t="s">
        <v>4752</v>
      </c>
      <c r="L1176" s="387">
        <v>1</v>
      </c>
      <c r="M1176" s="387">
        <v>0</v>
      </c>
      <c r="N1176" s="387">
        <f t="shared" si="153"/>
        <v>1</v>
      </c>
      <c r="O1176" s="442">
        <f t="shared" si="154"/>
        <v>1</v>
      </c>
      <c r="P1176" s="387" t="s">
        <v>1358</v>
      </c>
      <c r="Q1176" s="459">
        <v>47.771999999999998</v>
      </c>
      <c r="R1176" s="459"/>
      <c r="S1176" s="456">
        <v>0</v>
      </c>
      <c r="T1176" s="459">
        <v>47.771999999999998</v>
      </c>
      <c r="U1176" s="555"/>
      <c r="V1176" s="411">
        <v>1</v>
      </c>
      <c r="W1176" s="411">
        <v>1</v>
      </c>
      <c r="X1176" s="411">
        <v>1</v>
      </c>
      <c r="Y1176" s="411"/>
      <c r="Z1176" s="411"/>
      <c r="AA1176" s="412">
        <f t="shared" si="155"/>
        <v>1</v>
      </c>
      <c r="AB1176" s="456">
        <f t="shared" si="152"/>
        <v>47.771999999999998</v>
      </c>
      <c r="AC1176" s="456">
        <v>0</v>
      </c>
      <c r="AD1176" s="469"/>
      <c r="AE1176" s="470"/>
      <c r="AF1176" s="5"/>
    </row>
    <row r="1177" spans="2:32" hidden="1" x14ac:dyDescent="0.25">
      <c r="B1177" s="1" t="s">
        <v>4850</v>
      </c>
      <c r="C1177" s="3" t="s">
        <v>1368</v>
      </c>
      <c r="D1177" s="3" t="s">
        <v>1247</v>
      </c>
      <c r="E1177" s="407" t="s">
        <v>3232</v>
      </c>
      <c r="F1177" s="407" t="s">
        <v>4804</v>
      </c>
      <c r="G1177" s="415"/>
      <c r="H1177" s="415"/>
      <c r="I1177" s="415"/>
      <c r="J1177" s="415"/>
      <c r="K1177" s="3" t="s">
        <v>4805</v>
      </c>
      <c r="L1177" s="387">
        <v>2</v>
      </c>
      <c r="M1177" s="387">
        <v>0</v>
      </c>
      <c r="N1177" s="387">
        <f t="shared" si="153"/>
        <v>2</v>
      </c>
      <c r="O1177" s="442">
        <f t="shared" si="154"/>
        <v>2</v>
      </c>
      <c r="P1177" s="387" t="s">
        <v>1358</v>
      </c>
      <c r="Q1177" s="459">
        <v>47.771999999999998</v>
      </c>
      <c r="R1177" s="459"/>
      <c r="S1177" s="456">
        <v>0</v>
      </c>
      <c r="T1177" s="459">
        <v>47.771999999999998</v>
      </c>
      <c r="U1177" s="555"/>
      <c r="V1177" s="411">
        <v>1</v>
      </c>
      <c r="W1177" s="411">
        <v>1</v>
      </c>
      <c r="X1177" s="411">
        <v>1</v>
      </c>
      <c r="Y1177" s="411"/>
      <c r="Z1177" s="411"/>
      <c r="AA1177" s="412">
        <f t="shared" si="155"/>
        <v>1</v>
      </c>
      <c r="AB1177" s="456">
        <f t="shared" si="152"/>
        <v>47.771999999999998</v>
      </c>
      <c r="AC1177" s="456">
        <v>0</v>
      </c>
      <c r="AD1177" s="469"/>
      <c r="AE1177" s="470"/>
      <c r="AF1177" s="5"/>
    </row>
    <row r="1178" spans="2:32" hidden="1" x14ac:dyDescent="0.25">
      <c r="B1178" s="1" t="s">
        <v>4851</v>
      </c>
      <c r="C1178" s="3" t="s">
        <v>1368</v>
      </c>
      <c r="D1178" s="3" t="s">
        <v>1247</v>
      </c>
      <c r="E1178" s="407" t="s">
        <v>3232</v>
      </c>
      <c r="F1178" s="407" t="s">
        <v>4806</v>
      </c>
      <c r="G1178" s="415"/>
      <c r="H1178" s="415"/>
      <c r="I1178" s="415"/>
      <c r="J1178" s="415"/>
      <c r="K1178" s="3" t="s">
        <v>4776</v>
      </c>
      <c r="L1178" s="387">
        <v>1</v>
      </c>
      <c r="M1178" s="387">
        <v>0</v>
      </c>
      <c r="N1178" s="387">
        <f t="shared" si="153"/>
        <v>1</v>
      </c>
      <c r="O1178" s="442">
        <f t="shared" si="154"/>
        <v>1</v>
      </c>
      <c r="P1178" s="387" t="s">
        <v>1358</v>
      </c>
      <c r="Q1178" s="459">
        <v>23.885999999999999</v>
      </c>
      <c r="R1178" s="459"/>
      <c r="S1178" s="456">
        <v>0</v>
      </c>
      <c r="T1178" s="459">
        <v>23.885999999999999</v>
      </c>
      <c r="U1178" s="555"/>
      <c r="V1178" s="411">
        <v>1</v>
      </c>
      <c r="W1178" s="411">
        <v>1</v>
      </c>
      <c r="X1178" s="411">
        <v>1</v>
      </c>
      <c r="Y1178" s="411"/>
      <c r="Z1178" s="411"/>
      <c r="AA1178" s="412">
        <f t="shared" si="155"/>
        <v>1</v>
      </c>
      <c r="AB1178" s="456">
        <f t="shared" si="152"/>
        <v>23.885999999999999</v>
      </c>
      <c r="AC1178" s="456">
        <v>0</v>
      </c>
      <c r="AD1178" s="469"/>
      <c r="AE1178" s="470"/>
      <c r="AF1178" s="5"/>
    </row>
    <row r="1179" spans="2:32" hidden="1" x14ac:dyDescent="0.25">
      <c r="B1179" s="1" t="s">
        <v>4852</v>
      </c>
      <c r="C1179" s="3" t="s">
        <v>1368</v>
      </c>
      <c r="D1179" s="3" t="s">
        <v>1247</v>
      </c>
      <c r="E1179" s="407" t="s">
        <v>3232</v>
      </c>
      <c r="F1179" s="407" t="s">
        <v>4807</v>
      </c>
      <c r="G1179" s="415"/>
      <c r="H1179" s="415"/>
      <c r="I1179" s="415"/>
      <c r="J1179" s="415"/>
      <c r="K1179" s="3" t="s">
        <v>4776</v>
      </c>
      <c r="L1179" s="387">
        <v>1</v>
      </c>
      <c r="M1179" s="387">
        <v>0</v>
      </c>
      <c r="N1179" s="387">
        <f t="shared" si="153"/>
        <v>1</v>
      </c>
      <c r="O1179" s="442">
        <f t="shared" si="154"/>
        <v>1</v>
      </c>
      <c r="P1179" s="387" t="s">
        <v>1358</v>
      </c>
      <c r="Q1179" s="459">
        <v>95.543999999999997</v>
      </c>
      <c r="R1179" s="459"/>
      <c r="S1179" s="456">
        <v>0</v>
      </c>
      <c r="T1179" s="459">
        <v>95.543999999999997</v>
      </c>
      <c r="U1179" s="555"/>
      <c r="V1179" s="411">
        <v>1</v>
      </c>
      <c r="W1179" s="411">
        <v>1</v>
      </c>
      <c r="X1179" s="411">
        <v>1</v>
      </c>
      <c r="Y1179" s="411"/>
      <c r="Z1179" s="411"/>
      <c r="AA1179" s="412">
        <f t="shared" si="155"/>
        <v>1</v>
      </c>
      <c r="AB1179" s="456">
        <f t="shared" si="152"/>
        <v>95.543999999999997</v>
      </c>
      <c r="AC1179" s="456">
        <v>0</v>
      </c>
      <c r="AD1179" s="469"/>
      <c r="AE1179" s="470"/>
      <c r="AF1179" s="5"/>
    </row>
    <row r="1180" spans="2:32" hidden="1" x14ac:dyDescent="0.25">
      <c r="B1180" s="1" t="s">
        <v>4853</v>
      </c>
      <c r="C1180" s="3" t="s">
        <v>1368</v>
      </c>
      <c r="D1180" s="3" t="s">
        <v>1247</v>
      </c>
      <c r="E1180" s="407" t="s">
        <v>3232</v>
      </c>
      <c r="F1180" s="407" t="s">
        <v>4808</v>
      </c>
      <c r="G1180" s="415"/>
      <c r="H1180" s="415"/>
      <c r="I1180" s="415"/>
      <c r="J1180" s="415"/>
      <c r="K1180" s="3" t="s">
        <v>4776</v>
      </c>
      <c r="L1180" s="387">
        <v>1</v>
      </c>
      <c r="M1180" s="387">
        <v>0</v>
      </c>
      <c r="N1180" s="387">
        <f t="shared" si="153"/>
        <v>1</v>
      </c>
      <c r="O1180" s="442">
        <f t="shared" si="154"/>
        <v>1</v>
      </c>
      <c r="P1180" s="387" t="s">
        <v>1358</v>
      </c>
      <c r="Q1180" s="459">
        <v>15.923999999999999</v>
      </c>
      <c r="R1180" s="459"/>
      <c r="S1180" s="456">
        <v>0</v>
      </c>
      <c r="T1180" s="459">
        <v>15.923999999999999</v>
      </c>
      <c r="U1180" s="555"/>
      <c r="V1180" s="411">
        <v>1</v>
      </c>
      <c r="W1180" s="411">
        <v>1</v>
      </c>
      <c r="X1180" s="411">
        <v>1</v>
      </c>
      <c r="Y1180" s="411"/>
      <c r="Z1180" s="411"/>
      <c r="AA1180" s="412">
        <f t="shared" si="155"/>
        <v>1</v>
      </c>
      <c r="AB1180" s="456">
        <f t="shared" si="152"/>
        <v>15.923999999999999</v>
      </c>
      <c r="AC1180" s="456">
        <v>0</v>
      </c>
      <c r="AD1180" s="469"/>
      <c r="AE1180" s="470"/>
      <c r="AF1180" s="5"/>
    </row>
    <row r="1181" spans="2:32" hidden="1" x14ac:dyDescent="0.25">
      <c r="B1181" s="1" t="s">
        <v>4854</v>
      </c>
      <c r="C1181" s="3" t="s">
        <v>1368</v>
      </c>
      <c r="D1181" s="3" t="s">
        <v>1247</v>
      </c>
      <c r="E1181" s="407" t="s">
        <v>3232</v>
      </c>
      <c r="F1181" s="407" t="s">
        <v>4809</v>
      </c>
      <c r="G1181" s="415"/>
      <c r="H1181" s="415"/>
      <c r="I1181" s="415"/>
      <c r="J1181" s="415"/>
      <c r="K1181" s="3" t="s">
        <v>4776</v>
      </c>
      <c r="L1181" s="387">
        <v>1</v>
      </c>
      <c r="M1181" s="387">
        <v>0</v>
      </c>
      <c r="N1181" s="387">
        <f t="shared" si="153"/>
        <v>1</v>
      </c>
      <c r="O1181" s="442">
        <f t="shared" si="154"/>
        <v>1</v>
      </c>
      <c r="P1181" s="387" t="s">
        <v>1358</v>
      </c>
      <c r="Q1181" s="459">
        <v>15.923999999999999</v>
      </c>
      <c r="R1181" s="459"/>
      <c r="S1181" s="456">
        <v>0</v>
      </c>
      <c r="T1181" s="459">
        <v>15.923999999999999</v>
      </c>
      <c r="U1181" s="555"/>
      <c r="V1181" s="411">
        <v>1</v>
      </c>
      <c r="W1181" s="411">
        <v>1</v>
      </c>
      <c r="X1181" s="411">
        <v>1</v>
      </c>
      <c r="Y1181" s="411"/>
      <c r="Z1181" s="411"/>
      <c r="AA1181" s="412">
        <f t="shared" si="155"/>
        <v>1</v>
      </c>
      <c r="AB1181" s="456">
        <f t="shared" si="152"/>
        <v>15.923999999999999</v>
      </c>
      <c r="AC1181" s="456">
        <v>0</v>
      </c>
      <c r="AD1181" s="469"/>
      <c r="AE1181" s="470"/>
      <c r="AF1181" s="5"/>
    </row>
    <row r="1182" spans="2:32" hidden="1" x14ac:dyDescent="0.25">
      <c r="B1182" s="1" t="s">
        <v>4855</v>
      </c>
      <c r="C1182" s="3" t="s">
        <v>1368</v>
      </c>
      <c r="D1182" s="3" t="s">
        <v>1247</v>
      </c>
      <c r="E1182" s="407" t="s">
        <v>3232</v>
      </c>
      <c r="F1182" s="407" t="s">
        <v>4810</v>
      </c>
      <c r="G1182" s="415"/>
      <c r="H1182" s="415"/>
      <c r="I1182" s="415"/>
      <c r="J1182" s="415"/>
      <c r="K1182" s="3" t="s">
        <v>4776</v>
      </c>
      <c r="L1182" s="387">
        <v>1</v>
      </c>
      <c r="M1182" s="387">
        <v>0</v>
      </c>
      <c r="N1182" s="387">
        <f t="shared" si="153"/>
        <v>1</v>
      </c>
      <c r="O1182" s="442">
        <f t="shared" si="154"/>
        <v>1</v>
      </c>
      <c r="P1182" s="387" t="s">
        <v>1358</v>
      </c>
      <c r="Q1182" s="459">
        <v>47.771999999999998</v>
      </c>
      <c r="R1182" s="459"/>
      <c r="S1182" s="456">
        <v>0</v>
      </c>
      <c r="T1182" s="459">
        <v>47.771999999999998</v>
      </c>
      <c r="U1182" s="555"/>
      <c r="V1182" s="411">
        <v>1</v>
      </c>
      <c r="W1182" s="411">
        <v>1</v>
      </c>
      <c r="X1182" s="411">
        <v>1</v>
      </c>
      <c r="Y1182" s="411"/>
      <c r="Z1182" s="411"/>
      <c r="AA1182" s="412">
        <f t="shared" si="155"/>
        <v>1</v>
      </c>
      <c r="AB1182" s="456">
        <f t="shared" si="152"/>
        <v>47.771999999999998</v>
      </c>
      <c r="AC1182" s="456">
        <v>0</v>
      </c>
      <c r="AD1182" s="469"/>
      <c r="AE1182" s="470"/>
      <c r="AF1182" s="5"/>
    </row>
    <row r="1183" spans="2:32" hidden="1" x14ac:dyDescent="0.25">
      <c r="B1183" s="1"/>
      <c r="C1183" s="3" t="s">
        <v>1368</v>
      </c>
      <c r="D1183" s="3" t="s">
        <v>1247</v>
      </c>
      <c r="E1183" s="407" t="s">
        <v>3232</v>
      </c>
      <c r="F1183" s="407" t="s">
        <v>4806</v>
      </c>
      <c r="G1183" s="415"/>
      <c r="H1183" s="415"/>
      <c r="I1183" s="415"/>
      <c r="J1183" s="415"/>
      <c r="K1183" s="3" t="s">
        <v>5251</v>
      </c>
      <c r="L1183" s="387">
        <v>1</v>
      </c>
      <c r="M1183" s="387">
        <v>0</v>
      </c>
      <c r="N1183" s="387">
        <f t="shared" ref="N1183:N1189" si="185">L1183+M1183</f>
        <v>1</v>
      </c>
      <c r="O1183" s="442">
        <f t="shared" ref="O1183:O1189" si="186">L1183*AA1183</f>
        <v>1</v>
      </c>
      <c r="P1183" s="387" t="s">
        <v>1358</v>
      </c>
      <c r="Q1183" s="459">
        <v>23.885999999999999</v>
      </c>
      <c r="R1183" s="459"/>
      <c r="S1183" s="456"/>
      <c r="T1183" s="459">
        <v>23.885999999999999</v>
      </c>
      <c r="U1183" s="555"/>
      <c r="V1183" s="411">
        <v>1</v>
      </c>
      <c r="W1183" s="411">
        <v>1</v>
      </c>
      <c r="X1183" s="411">
        <v>1</v>
      </c>
      <c r="Y1183" s="411"/>
      <c r="Z1183" s="411"/>
      <c r="AA1183" s="412">
        <f t="shared" ref="AA1183:AA1189" si="187">AB1183/T1183</f>
        <v>1</v>
      </c>
      <c r="AB1183" s="456">
        <f t="shared" ref="AB1183:AB1189" si="188">(V1183*V$369*T1183)+(W1183*W$369*T1183)+(X1183*X$369*T1183)</f>
        <v>23.885999999999999</v>
      </c>
      <c r="AC1183" s="456"/>
      <c r="AD1183" s="469"/>
      <c r="AE1183" s="470"/>
      <c r="AF1183" s="5"/>
    </row>
    <row r="1184" spans="2:32" hidden="1" x14ac:dyDescent="0.25">
      <c r="B1184" s="1"/>
      <c r="C1184" s="3" t="s">
        <v>1368</v>
      </c>
      <c r="D1184" s="3" t="s">
        <v>1247</v>
      </c>
      <c r="E1184" s="407" t="s">
        <v>3232</v>
      </c>
      <c r="F1184" s="407" t="s">
        <v>4804</v>
      </c>
      <c r="G1184" s="415"/>
      <c r="H1184" s="415"/>
      <c r="I1184" s="415"/>
      <c r="J1184" s="415"/>
      <c r="K1184" s="3" t="s">
        <v>5251</v>
      </c>
      <c r="L1184" s="387">
        <v>1</v>
      </c>
      <c r="M1184" s="387">
        <v>0</v>
      </c>
      <c r="N1184" s="387">
        <f t="shared" si="185"/>
        <v>1</v>
      </c>
      <c r="O1184" s="442">
        <f t="shared" si="186"/>
        <v>1</v>
      </c>
      <c r="P1184" s="387" t="s">
        <v>1358</v>
      </c>
      <c r="Q1184" s="459">
        <v>23.885999999999999</v>
      </c>
      <c r="R1184" s="459"/>
      <c r="S1184" s="456"/>
      <c r="T1184" s="459">
        <v>23.885999999999999</v>
      </c>
      <c r="U1184" s="555"/>
      <c r="V1184" s="411">
        <v>1</v>
      </c>
      <c r="W1184" s="411">
        <v>1</v>
      </c>
      <c r="X1184" s="411">
        <v>1</v>
      </c>
      <c r="Y1184" s="411"/>
      <c r="Z1184" s="411"/>
      <c r="AA1184" s="412">
        <f t="shared" si="187"/>
        <v>1</v>
      </c>
      <c r="AB1184" s="456">
        <f t="shared" si="188"/>
        <v>23.885999999999999</v>
      </c>
      <c r="AC1184" s="456"/>
      <c r="AD1184" s="469"/>
      <c r="AE1184" s="470"/>
      <c r="AF1184" s="5"/>
    </row>
    <row r="1185" spans="2:32" hidden="1" x14ac:dyDescent="0.25">
      <c r="B1185" s="1"/>
      <c r="C1185" s="3" t="s">
        <v>1368</v>
      </c>
      <c r="D1185" s="3" t="s">
        <v>1247</v>
      </c>
      <c r="E1185" s="407" t="s">
        <v>3232</v>
      </c>
      <c r="F1185" s="407" t="s">
        <v>4775</v>
      </c>
      <c r="G1185" s="415"/>
      <c r="H1185" s="415"/>
      <c r="I1185" s="415"/>
      <c r="J1185" s="415"/>
      <c r="K1185" s="3" t="s">
        <v>5251</v>
      </c>
      <c r="L1185" s="387">
        <v>1</v>
      </c>
      <c r="M1185" s="387">
        <v>0</v>
      </c>
      <c r="N1185" s="387">
        <f t="shared" si="185"/>
        <v>1</v>
      </c>
      <c r="O1185" s="442">
        <f t="shared" si="186"/>
        <v>1</v>
      </c>
      <c r="P1185" s="387" t="s">
        <v>1358</v>
      </c>
      <c r="Q1185" s="459">
        <v>31.847999999999999</v>
      </c>
      <c r="R1185" s="459"/>
      <c r="S1185" s="456"/>
      <c r="T1185" s="459">
        <v>31.847999999999999</v>
      </c>
      <c r="U1185" s="555"/>
      <c r="V1185" s="411">
        <v>1</v>
      </c>
      <c r="W1185" s="411">
        <v>1</v>
      </c>
      <c r="X1185" s="411">
        <v>1</v>
      </c>
      <c r="Y1185" s="411"/>
      <c r="Z1185" s="411"/>
      <c r="AA1185" s="412">
        <f t="shared" si="187"/>
        <v>1</v>
      </c>
      <c r="AB1185" s="456">
        <f t="shared" si="188"/>
        <v>31.847999999999999</v>
      </c>
      <c r="AC1185" s="456"/>
      <c r="AD1185" s="469"/>
      <c r="AE1185" s="470"/>
      <c r="AF1185" s="5"/>
    </row>
    <row r="1186" spans="2:32" hidden="1" x14ac:dyDescent="0.25">
      <c r="B1186" s="1"/>
      <c r="C1186" s="3" t="s">
        <v>1368</v>
      </c>
      <c r="D1186" s="3" t="s">
        <v>1247</v>
      </c>
      <c r="E1186" s="407" t="s">
        <v>3232</v>
      </c>
      <c r="F1186" s="407" t="s">
        <v>4810</v>
      </c>
      <c r="G1186" s="415"/>
      <c r="H1186" s="415"/>
      <c r="I1186" s="415"/>
      <c r="J1186" s="415"/>
      <c r="K1186" s="3" t="s">
        <v>5251</v>
      </c>
      <c r="L1186" s="387">
        <v>1</v>
      </c>
      <c r="M1186" s="387">
        <v>0</v>
      </c>
      <c r="N1186" s="387">
        <f t="shared" si="185"/>
        <v>1</v>
      </c>
      <c r="O1186" s="442">
        <f t="shared" si="186"/>
        <v>1</v>
      </c>
      <c r="P1186" s="387" t="s">
        <v>1358</v>
      </c>
      <c r="Q1186" s="459">
        <v>47.771999999999998</v>
      </c>
      <c r="R1186" s="459"/>
      <c r="S1186" s="456"/>
      <c r="T1186" s="459">
        <v>47.771999999999998</v>
      </c>
      <c r="U1186" s="555"/>
      <c r="V1186" s="411">
        <v>1</v>
      </c>
      <c r="W1186" s="411">
        <v>1</v>
      </c>
      <c r="X1186" s="411">
        <v>1</v>
      </c>
      <c r="Y1186" s="411"/>
      <c r="Z1186" s="411"/>
      <c r="AA1186" s="412">
        <f t="shared" si="187"/>
        <v>1</v>
      </c>
      <c r="AB1186" s="456">
        <f t="shared" si="188"/>
        <v>47.771999999999998</v>
      </c>
      <c r="AC1186" s="456"/>
      <c r="AD1186" s="469"/>
      <c r="AE1186" s="470"/>
      <c r="AF1186" s="5"/>
    </row>
    <row r="1187" spans="2:32" hidden="1" x14ac:dyDescent="0.25">
      <c r="B1187" s="1"/>
      <c r="C1187" s="3" t="s">
        <v>1368</v>
      </c>
      <c r="D1187" s="3" t="s">
        <v>1247</v>
      </c>
      <c r="E1187" s="407" t="s">
        <v>3232</v>
      </c>
      <c r="F1187" s="407" t="s">
        <v>4780</v>
      </c>
      <c r="G1187" s="415"/>
      <c r="H1187" s="415"/>
      <c r="I1187" s="415"/>
      <c r="J1187" s="415"/>
      <c r="K1187" s="3" t="s">
        <v>5251</v>
      </c>
      <c r="L1187" s="387">
        <v>1</v>
      </c>
      <c r="M1187" s="387">
        <v>0</v>
      </c>
      <c r="N1187" s="387">
        <f t="shared" si="185"/>
        <v>1</v>
      </c>
      <c r="O1187" s="442">
        <f t="shared" si="186"/>
        <v>1</v>
      </c>
      <c r="P1187" s="387" t="s">
        <v>1358</v>
      </c>
      <c r="Q1187" s="459">
        <v>15.923999999999999</v>
      </c>
      <c r="R1187" s="459"/>
      <c r="S1187" s="456"/>
      <c r="T1187" s="459">
        <v>15.923999999999999</v>
      </c>
      <c r="U1187" s="555"/>
      <c r="V1187" s="411">
        <v>1</v>
      </c>
      <c r="W1187" s="411">
        <v>1</v>
      </c>
      <c r="X1187" s="411">
        <v>1</v>
      </c>
      <c r="Y1187" s="411"/>
      <c r="Z1187" s="411"/>
      <c r="AA1187" s="412">
        <f t="shared" si="187"/>
        <v>1</v>
      </c>
      <c r="AB1187" s="456">
        <f t="shared" si="188"/>
        <v>15.923999999999999</v>
      </c>
      <c r="AC1187" s="456"/>
      <c r="AD1187" s="469"/>
      <c r="AE1187" s="470"/>
      <c r="AF1187" s="5"/>
    </row>
    <row r="1188" spans="2:32" hidden="1" x14ac:dyDescent="0.25">
      <c r="B1188" s="1"/>
      <c r="C1188" s="3" t="s">
        <v>1368</v>
      </c>
      <c r="D1188" s="3" t="s">
        <v>1247</v>
      </c>
      <c r="E1188" s="407" t="s">
        <v>3232</v>
      </c>
      <c r="F1188" s="407" t="s">
        <v>4809</v>
      </c>
      <c r="G1188" s="415"/>
      <c r="H1188" s="415"/>
      <c r="I1188" s="415"/>
      <c r="J1188" s="415"/>
      <c r="K1188" s="3" t="s">
        <v>5251</v>
      </c>
      <c r="L1188" s="387">
        <v>1</v>
      </c>
      <c r="M1188" s="387">
        <v>0</v>
      </c>
      <c r="N1188" s="387">
        <f t="shared" si="185"/>
        <v>1</v>
      </c>
      <c r="O1188" s="442">
        <f t="shared" si="186"/>
        <v>1</v>
      </c>
      <c r="P1188" s="387" t="s">
        <v>1358</v>
      </c>
      <c r="Q1188" s="459">
        <v>15.923999999999999</v>
      </c>
      <c r="R1188" s="459"/>
      <c r="S1188" s="456"/>
      <c r="T1188" s="459">
        <v>15.923999999999999</v>
      </c>
      <c r="U1188" s="555"/>
      <c r="V1188" s="411">
        <v>1</v>
      </c>
      <c r="W1188" s="411">
        <v>1</v>
      </c>
      <c r="X1188" s="411">
        <v>1</v>
      </c>
      <c r="Y1188" s="411"/>
      <c r="Z1188" s="411"/>
      <c r="AA1188" s="412">
        <f t="shared" si="187"/>
        <v>1</v>
      </c>
      <c r="AB1188" s="456">
        <f t="shared" si="188"/>
        <v>15.923999999999999</v>
      </c>
      <c r="AC1188" s="456"/>
      <c r="AD1188" s="469"/>
      <c r="AE1188" s="470"/>
      <c r="AF1188" s="5"/>
    </row>
    <row r="1189" spans="2:32" hidden="1" x14ac:dyDescent="0.25">
      <c r="B1189" s="1"/>
      <c r="C1189" s="3" t="s">
        <v>1368</v>
      </c>
      <c r="D1189" s="3" t="s">
        <v>1247</v>
      </c>
      <c r="E1189" s="407" t="s">
        <v>3232</v>
      </c>
      <c r="F1189" s="407" t="s">
        <v>4808</v>
      </c>
      <c r="G1189" s="415"/>
      <c r="H1189" s="415"/>
      <c r="I1189" s="415"/>
      <c r="J1189" s="415"/>
      <c r="K1189" s="3" t="s">
        <v>5251</v>
      </c>
      <c r="L1189" s="387">
        <v>1</v>
      </c>
      <c r="M1189" s="387">
        <v>0</v>
      </c>
      <c r="N1189" s="387">
        <f t="shared" si="185"/>
        <v>1</v>
      </c>
      <c r="O1189" s="442">
        <f t="shared" si="186"/>
        <v>1</v>
      </c>
      <c r="P1189" s="387" t="s">
        <v>1358</v>
      </c>
      <c r="Q1189" s="459">
        <v>15.923999999999999</v>
      </c>
      <c r="R1189" s="459"/>
      <c r="S1189" s="456"/>
      <c r="T1189" s="459">
        <v>15.923999999999999</v>
      </c>
      <c r="U1189" s="555"/>
      <c r="V1189" s="411">
        <v>1</v>
      </c>
      <c r="W1189" s="411">
        <v>1</v>
      </c>
      <c r="X1189" s="411">
        <v>1</v>
      </c>
      <c r="Y1189" s="411"/>
      <c r="Z1189" s="411"/>
      <c r="AA1189" s="412">
        <f t="shared" si="187"/>
        <v>1</v>
      </c>
      <c r="AB1189" s="456">
        <f t="shared" si="188"/>
        <v>15.923999999999999</v>
      </c>
      <c r="AC1189" s="456"/>
      <c r="AD1189" s="469"/>
      <c r="AE1189" s="470"/>
      <c r="AF1189" s="5"/>
    </row>
    <row r="1190" spans="2:32" hidden="1" x14ac:dyDescent="0.25">
      <c r="B1190" s="571" t="s">
        <v>5232</v>
      </c>
      <c r="C1190" s="3" t="s">
        <v>1368</v>
      </c>
      <c r="D1190" s="3" t="s">
        <v>1247</v>
      </c>
      <c r="E1190" s="407" t="s">
        <v>3232</v>
      </c>
      <c r="F1190" s="407" t="s">
        <v>4807</v>
      </c>
      <c r="G1190" s="415"/>
      <c r="H1190" s="415"/>
      <c r="I1190" s="415"/>
      <c r="J1190" s="415"/>
      <c r="K1190" s="3" t="s">
        <v>5251</v>
      </c>
      <c r="L1190" s="387">
        <v>1</v>
      </c>
      <c r="M1190" s="387">
        <v>0</v>
      </c>
      <c r="N1190" s="387">
        <f t="shared" si="153"/>
        <v>1</v>
      </c>
      <c r="O1190" s="442">
        <f t="shared" si="154"/>
        <v>1</v>
      </c>
      <c r="P1190" s="387" t="s">
        <v>1358</v>
      </c>
      <c r="Q1190" s="459">
        <v>95.54</v>
      </c>
      <c r="R1190" s="459"/>
      <c r="S1190" s="456">
        <v>0</v>
      </c>
      <c r="T1190" s="459">
        <v>95.54</v>
      </c>
      <c r="U1190" s="555"/>
      <c r="V1190" s="411">
        <v>1</v>
      </c>
      <c r="W1190" s="411">
        <v>1</v>
      </c>
      <c r="X1190" s="411">
        <v>1</v>
      </c>
      <c r="Y1190" s="411"/>
      <c r="Z1190" s="411"/>
      <c r="AA1190" s="412">
        <f t="shared" si="155"/>
        <v>1</v>
      </c>
      <c r="AB1190" s="456">
        <f t="shared" si="152"/>
        <v>95.54</v>
      </c>
      <c r="AC1190" s="456"/>
      <c r="AD1190" s="469"/>
      <c r="AE1190" s="470"/>
      <c r="AF1190" s="5"/>
    </row>
    <row r="1191" spans="2:32" hidden="1" x14ac:dyDescent="0.25">
      <c r="B1191" s="571" t="s">
        <v>5233</v>
      </c>
      <c r="C1191" s="3" t="s">
        <v>1368</v>
      </c>
      <c r="D1191" s="3" t="s">
        <v>1247</v>
      </c>
      <c r="E1191" s="407" t="s">
        <v>3232</v>
      </c>
      <c r="F1191" s="407" t="s">
        <v>4777</v>
      </c>
      <c r="G1191" s="415"/>
      <c r="H1191" s="415"/>
      <c r="I1191" s="415"/>
      <c r="J1191" s="415"/>
      <c r="K1191" s="3" t="s">
        <v>5251</v>
      </c>
      <c r="L1191" s="387">
        <v>1</v>
      </c>
      <c r="M1191" s="387">
        <v>0</v>
      </c>
      <c r="N1191" s="387">
        <f t="shared" si="153"/>
        <v>1</v>
      </c>
      <c r="O1191" s="442">
        <f t="shared" si="154"/>
        <v>1</v>
      </c>
      <c r="P1191" s="387" t="s">
        <v>1358</v>
      </c>
      <c r="Q1191" s="459">
        <v>95.54</v>
      </c>
      <c r="R1191" s="459"/>
      <c r="S1191" s="456">
        <v>0</v>
      </c>
      <c r="T1191" s="459">
        <v>95.54</v>
      </c>
      <c r="U1191" s="555"/>
      <c r="V1191" s="411">
        <v>1</v>
      </c>
      <c r="W1191" s="411">
        <v>1</v>
      </c>
      <c r="X1191" s="411">
        <v>1</v>
      </c>
      <c r="Y1191" s="411"/>
      <c r="Z1191" s="411"/>
      <c r="AA1191" s="412">
        <f t="shared" si="155"/>
        <v>1</v>
      </c>
      <c r="AB1191" s="456">
        <f t="shared" si="152"/>
        <v>95.54</v>
      </c>
      <c r="AC1191" s="456"/>
      <c r="AD1191" s="469"/>
      <c r="AE1191" s="470"/>
      <c r="AF1191" s="5"/>
    </row>
    <row r="1192" spans="2:32" hidden="1" x14ac:dyDescent="0.25">
      <c r="B1192" s="571" t="s">
        <v>5234</v>
      </c>
      <c r="C1192" s="3" t="s">
        <v>1368</v>
      </c>
      <c r="D1192" s="3" t="s">
        <v>1247</v>
      </c>
      <c r="E1192" s="407" t="s">
        <v>3232</v>
      </c>
      <c r="F1192" s="407" t="s">
        <v>5155</v>
      </c>
      <c r="G1192" s="415"/>
      <c r="H1192" s="415"/>
      <c r="I1192" s="415"/>
      <c r="J1192" s="415"/>
      <c r="K1192" s="3" t="s">
        <v>5251</v>
      </c>
      <c r="L1192" s="387">
        <v>1</v>
      </c>
      <c r="M1192" s="387">
        <v>0</v>
      </c>
      <c r="N1192" s="387">
        <f t="shared" ref="N1192" si="189">L1192+M1192</f>
        <v>1</v>
      </c>
      <c r="O1192" s="442">
        <f t="shared" ref="O1192" si="190">L1192*AA1192</f>
        <v>1</v>
      </c>
      <c r="P1192" s="387" t="s">
        <v>1358</v>
      </c>
      <c r="Q1192" s="459">
        <v>0</v>
      </c>
      <c r="R1192" s="459"/>
      <c r="S1192" s="456">
        <v>0</v>
      </c>
      <c r="T1192" s="459">
        <v>31.847999999999999</v>
      </c>
      <c r="U1192" s="555"/>
      <c r="V1192" s="411">
        <v>1</v>
      </c>
      <c r="W1192" s="411">
        <v>1</v>
      </c>
      <c r="X1192" s="411">
        <v>1</v>
      </c>
      <c r="Y1192" s="411"/>
      <c r="Z1192" s="411"/>
      <c r="AA1192" s="412">
        <f t="shared" ref="AA1192" si="191">AB1192/T1192</f>
        <v>1</v>
      </c>
      <c r="AB1192" s="456">
        <f t="shared" si="152"/>
        <v>31.847999999999999</v>
      </c>
      <c r="AC1192" s="456"/>
      <c r="AD1192" s="469"/>
      <c r="AE1192" s="470"/>
      <c r="AF1192" s="5"/>
    </row>
    <row r="1193" spans="2:32" hidden="1" x14ac:dyDescent="0.25">
      <c r="B1193" s="1" t="s">
        <v>4856</v>
      </c>
      <c r="C1193" s="3" t="s">
        <v>1368</v>
      </c>
      <c r="D1193" s="3" t="s">
        <v>1247</v>
      </c>
      <c r="E1193" s="407" t="s">
        <v>3250</v>
      </c>
      <c r="F1193" s="407" t="s">
        <v>4811</v>
      </c>
      <c r="G1193" s="415"/>
      <c r="H1193" s="415"/>
      <c r="I1193" s="415"/>
      <c r="J1193" s="415"/>
      <c r="K1193" s="3" t="s">
        <v>4812</v>
      </c>
      <c r="L1193" s="387">
        <v>1</v>
      </c>
      <c r="M1193" s="387">
        <v>0</v>
      </c>
      <c r="N1193" s="387">
        <f t="shared" si="153"/>
        <v>1</v>
      </c>
      <c r="O1193" s="442">
        <f t="shared" si="154"/>
        <v>1</v>
      </c>
      <c r="P1193" s="387" t="s">
        <v>1358</v>
      </c>
      <c r="Q1193" s="459">
        <v>31.847999999999999</v>
      </c>
      <c r="R1193" s="459"/>
      <c r="S1193" s="456">
        <v>0</v>
      </c>
      <c r="T1193" s="459">
        <v>31.847999999999999</v>
      </c>
      <c r="U1193" s="555"/>
      <c r="V1193" s="411">
        <v>1</v>
      </c>
      <c r="W1193" s="411">
        <v>1</v>
      </c>
      <c r="X1193" s="411">
        <v>1</v>
      </c>
      <c r="Y1193" s="411"/>
      <c r="Z1193" s="411"/>
      <c r="AA1193" s="412">
        <f t="shared" si="155"/>
        <v>1</v>
      </c>
      <c r="AB1193" s="456">
        <f t="shared" si="152"/>
        <v>31.847999999999999</v>
      </c>
      <c r="AC1193" s="456">
        <v>0</v>
      </c>
      <c r="AD1193" s="469"/>
      <c r="AE1193" s="470"/>
      <c r="AF1193" s="5"/>
    </row>
    <row r="1194" spans="2:32" hidden="1" x14ac:dyDescent="0.25">
      <c r="B1194" s="1" t="s">
        <v>4857</v>
      </c>
      <c r="C1194" s="3" t="s">
        <v>1368</v>
      </c>
      <c r="D1194" s="3" t="s">
        <v>1247</v>
      </c>
      <c r="E1194" s="407" t="s">
        <v>3250</v>
      </c>
      <c r="F1194" s="407" t="s">
        <v>4813</v>
      </c>
      <c r="G1194" s="415"/>
      <c r="H1194" s="415"/>
      <c r="I1194" s="415"/>
      <c r="J1194" s="415"/>
      <c r="K1194" s="3" t="s">
        <v>4773</v>
      </c>
      <c r="L1194" s="387">
        <v>1</v>
      </c>
      <c r="M1194" s="387">
        <v>0</v>
      </c>
      <c r="N1194" s="387">
        <f t="shared" si="153"/>
        <v>1</v>
      </c>
      <c r="O1194" s="442">
        <f t="shared" si="154"/>
        <v>1</v>
      </c>
      <c r="P1194" s="387" t="s">
        <v>1358</v>
      </c>
      <c r="Q1194" s="459">
        <v>15.923999999999999</v>
      </c>
      <c r="R1194" s="459"/>
      <c r="S1194" s="456">
        <v>0</v>
      </c>
      <c r="T1194" s="459">
        <v>15.923999999999999</v>
      </c>
      <c r="U1194" s="555"/>
      <c r="V1194" s="411">
        <v>1</v>
      </c>
      <c r="W1194" s="411">
        <v>1</v>
      </c>
      <c r="X1194" s="411">
        <v>1</v>
      </c>
      <c r="Y1194" s="411"/>
      <c r="Z1194" s="411"/>
      <c r="AA1194" s="412">
        <f t="shared" si="155"/>
        <v>1</v>
      </c>
      <c r="AB1194" s="456">
        <f t="shared" si="152"/>
        <v>15.923999999999999</v>
      </c>
      <c r="AC1194" s="456">
        <v>0</v>
      </c>
      <c r="AD1194" s="469"/>
      <c r="AE1194" s="470"/>
      <c r="AF1194" s="5"/>
    </row>
    <row r="1195" spans="2:32" hidden="1" x14ac:dyDescent="0.25">
      <c r="B1195" s="1" t="s">
        <v>4858</v>
      </c>
      <c r="C1195" s="3" t="s">
        <v>1368</v>
      </c>
      <c r="D1195" s="3" t="s">
        <v>1247</v>
      </c>
      <c r="E1195" s="407" t="s">
        <v>3250</v>
      </c>
      <c r="F1195" s="407" t="s">
        <v>4814</v>
      </c>
      <c r="G1195" s="415"/>
      <c r="H1195" s="415"/>
      <c r="I1195" s="415"/>
      <c r="J1195" s="415"/>
      <c r="K1195" s="3" t="s">
        <v>4773</v>
      </c>
      <c r="L1195" s="387">
        <v>1</v>
      </c>
      <c r="M1195" s="387">
        <v>0</v>
      </c>
      <c r="N1195" s="387">
        <f t="shared" si="153"/>
        <v>1</v>
      </c>
      <c r="O1195" s="442">
        <f t="shared" si="154"/>
        <v>1</v>
      </c>
      <c r="P1195" s="387" t="s">
        <v>1358</v>
      </c>
      <c r="Q1195" s="459">
        <v>15.923999999999999</v>
      </c>
      <c r="R1195" s="459"/>
      <c r="S1195" s="456">
        <v>0</v>
      </c>
      <c r="T1195" s="459">
        <v>15.923999999999999</v>
      </c>
      <c r="U1195" s="555"/>
      <c r="V1195" s="411">
        <v>1</v>
      </c>
      <c r="W1195" s="411">
        <v>1</v>
      </c>
      <c r="X1195" s="411">
        <v>1</v>
      </c>
      <c r="Y1195" s="411"/>
      <c r="Z1195" s="411"/>
      <c r="AA1195" s="412">
        <f t="shared" si="155"/>
        <v>1</v>
      </c>
      <c r="AB1195" s="456">
        <f t="shared" si="152"/>
        <v>15.923999999999999</v>
      </c>
      <c r="AC1195" s="456">
        <v>0</v>
      </c>
      <c r="AD1195" s="469"/>
      <c r="AE1195" s="470"/>
      <c r="AF1195" s="5"/>
    </row>
    <row r="1196" spans="2:32" hidden="1" x14ac:dyDescent="0.25">
      <c r="B1196" s="1" t="s">
        <v>4859</v>
      </c>
      <c r="C1196" s="3" t="s">
        <v>1368</v>
      </c>
      <c r="D1196" s="3" t="s">
        <v>1247</v>
      </c>
      <c r="E1196" s="407" t="s">
        <v>3251</v>
      </c>
      <c r="F1196" s="407" t="s">
        <v>4815</v>
      </c>
      <c r="G1196" s="415"/>
      <c r="H1196" s="415"/>
      <c r="I1196" s="415"/>
      <c r="J1196" s="415"/>
      <c r="K1196" s="3" t="s">
        <v>4816</v>
      </c>
      <c r="L1196" s="387">
        <v>1</v>
      </c>
      <c r="M1196" s="387">
        <v>0</v>
      </c>
      <c r="N1196" s="387">
        <f t="shared" si="153"/>
        <v>1</v>
      </c>
      <c r="O1196" s="442">
        <f t="shared" si="154"/>
        <v>1</v>
      </c>
      <c r="P1196" s="387" t="s">
        <v>1358</v>
      </c>
      <c r="Q1196" s="459">
        <v>23.885999999999999</v>
      </c>
      <c r="R1196" s="459"/>
      <c r="S1196" s="456">
        <v>0</v>
      </c>
      <c r="T1196" s="459">
        <v>23.885999999999999</v>
      </c>
      <c r="U1196" s="555"/>
      <c r="V1196" s="411">
        <v>1</v>
      </c>
      <c r="W1196" s="411">
        <v>1</v>
      </c>
      <c r="X1196" s="411">
        <v>1</v>
      </c>
      <c r="Y1196" s="411"/>
      <c r="Z1196" s="411"/>
      <c r="AA1196" s="412">
        <f t="shared" si="155"/>
        <v>1</v>
      </c>
      <c r="AB1196" s="456">
        <f t="shared" si="152"/>
        <v>23.885999999999999</v>
      </c>
      <c r="AC1196" s="456">
        <v>0</v>
      </c>
      <c r="AD1196" s="469"/>
      <c r="AE1196" s="470"/>
      <c r="AF1196" s="5"/>
    </row>
    <row r="1197" spans="2:32" hidden="1" x14ac:dyDescent="0.25">
      <c r="B1197" s="1" t="s">
        <v>4860</v>
      </c>
      <c r="C1197" s="3" t="s">
        <v>1368</v>
      </c>
      <c r="D1197" s="3" t="s">
        <v>1247</v>
      </c>
      <c r="E1197" s="407" t="s">
        <v>3251</v>
      </c>
      <c r="F1197" s="407" t="s">
        <v>4817</v>
      </c>
      <c r="G1197" s="415"/>
      <c r="H1197" s="415"/>
      <c r="I1197" s="415"/>
      <c r="J1197" s="415"/>
      <c r="K1197" s="3" t="s">
        <v>4816</v>
      </c>
      <c r="L1197" s="387">
        <v>1</v>
      </c>
      <c r="M1197" s="387">
        <v>0</v>
      </c>
      <c r="N1197" s="387">
        <f t="shared" si="153"/>
        <v>1</v>
      </c>
      <c r="O1197" s="442">
        <f t="shared" si="154"/>
        <v>1</v>
      </c>
      <c r="P1197" s="387" t="s">
        <v>1358</v>
      </c>
      <c r="Q1197" s="459">
        <v>15.923999999999999</v>
      </c>
      <c r="R1197" s="459"/>
      <c r="S1197" s="456">
        <v>0</v>
      </c>
      <c r="T1197" s="459">
        <v>15.923999999999999</v>
      </c>
      <c r="U1197" s="555"/>
      <c r="V1197" s="411">
        <v>1</v>
      </c>
      <c r="W1197" s="411">
        <v>1</v>
      </c>
      <c r="X1197" s="411">
        <v>1</v>
      </c>
      <c r="Y1197" s="411"/>
      <c r="Z1197" s="411"/>
      <c r="AA1197" s="412">
        <f t="shared" si="155"/>
        <v>1</v>
      </c>
      <c r="AB1197" s="456">
        <f t="shared" si="152"/>
        <v>15.923999999999999</v>
      </c>
      <c r="AC1197" s="456">
        <v>0</v>
      </c>
      <c r="AD1197" s="469"/>
      <c r="AE1197" s="470"/>
      <c r="AF1197" s="5"/>
    </row>
    <row r="1198" spans="2:32" hidden="1" x14ac:dyDescent="0.25">
      <c r="B1198" s="1" t="s">
        <v>4861</v>
      </c>
      <c r="C1198" s="3" t="s">
        <v>1368</v>
      </c>
      <c r="D1198" s="3" t="s">
        <v>1247</v>
      </c>
      <c r="E1198" s="407" t="s">
        <v>3251</v>
      </c>
      <c r="F1198" s="407" t="s">
        <v>4818</v>
      </c>
      <c r="G1198" s="415"/>
      <c r="H1198" s="415"/>
      <c r="I1198" s="415"/>
      <c r="J1198" s="415"/>
      <c r="K1198" s="3" t="s">
        <v>4816</v>
      </c>
      <c r="L1198" s="387">
        <v>1</v>
      </c>
      <c r="M1198" s="387">
        <v>0</v>
      </c>
      <c r="N1198" s="387">
        <f t="shared" si="153"/>
        <v>1</v>
      </c>
      <c r="O1198" s="442">
        <f t="shared" si="154"/>
        <v>1</v>
      </c>
      <c r="P1198" s="387" t="s">
        <v>1358</v>
      </c>
      <c r="Q1198" s="459">
        <v>15.923999999999999</v>
      </c>
      <c r="R1198" s="459"/>
      <c r="S1198" s="456">
        <v>0</v>
      </c>
      <c r="T1198" s="459">
        <v>15.923999999999999</v>
      </c>
      <c r="U1198" s="555"/>
      <c r="V1198" s="411">
        <v>1</v>
      </c>
      <c r="W1198" s="411">
        <v>1</v>
      </c>
      <c r="X1198" s="411">
        <v>1</v>
      </c>
      <c r="Y1198" s="411"/>
      <c r="Z1198" s="411"/>
      <c r="AA1198" s="412">
        <f t="shared" si="155"/>
        <v>1</v>
      </c>
      <c r="AB1198" s="456">
        <f t="shared" si="152"/>
        <v>15.923999999999999</v>
      </c>
      <c r="AC1198" s="456">
        <v>0</v>
      </c>
      <c r="AD1198" s="469"/>
      <c r="AE1198" s="470"/>
      <c r="AF1198" s="5"/>
    </row>
    <row r="1199" spans="2:32" hidden="1" x14ac:dyDescent="0.25">
      <c r="B1199" s="1" t="s">
        <v>4946</v>
      </c>
      <c r="C1199" s="3" t="s">
        <v>1368</v>
      </c>
      <c r="D1199" s="3" t="s">
        <v>1247</v>
      </c>
      <c r="E1199" s="407" t="s">
        <v>3239</v>
      </c>
      <c r="F1199" s="407" t="s">
        <v>4873</v>
      </c>
      <c r="G1199" s="415"/>
      <c r="H1199" s="415"/>
      <c r="I1199" s="415"/>
      <c r="J1199" s="415"/>
      <c r="K1199" s="3" t="s">
        <v>4874</v>
      </c>
      <c r="L1199" s="387">
        <v>1</v>
      </c>
      <c r="M1199" s="387">
        <v>0</v>
      </c>
      <c r="N1199" s="387">
        <f t="shared" ref="N1199:N1201" si="192">L1199+M1199</f>
        <v>1</v>
      </c>
      <c r="O1199" s="442">
        <f t="shared" ref="O1199:O1201" si="193">L1199*AA1199</f>
        <v>1</v>
      </c>
      <c r="P1199" s="387" t="s">
        <v>1358</v>
      </c>
      <c r="Q1199" s="459">
        <v>15.923999999999999</v>
      </c>
      <c r="R1199" s="459"/>
      <c r="S1199" s="456">
        <v>0</v>
      </c>
      <c r="T1199" s="459">
        <v>15.923999999999999</v>
      </c>
      <c r="V1199" s="411">
        <v>1</v>
      </c>
      <c r="W1199" s="411">
        <v>1</v>
      </c>
      <c r="X1199" s="411">
        <v>1</v>
      </c>
      <c r="Y1199" s="411"/>
      <c r="Z1199" s="411"/>
      <c r="AA1199" s="412">
        <f t="shared" si="155"/>
        <v>1</v>
      </c>
      <c r="AB1199" s="456">
        <f t="shared" si="152"/>
        <v>15.923999999999999</v>
      </c>
      <c r="AC1199" s="456">
        <v>0</v>
      </c>
      <c r="AF1199" s="5"/>
    </row>
    <row r="1200" spans="2:32" hidden="1" x14ac:dyDescent="0.25">
      <c r="B1200" s="1" t="s">
        <v>4947</v>
      </c>
      <c r="C1200" s="3" t="s">
        <v>1368</v>
      </c>
      <c r="D1200" s="3" t="s">
        <v>1247</v>
      </c>
      <c r="E1200" s="407" t="s">
        <v>3239</v>
      </c>
      <c r="F1200" s="407" t="s">
        <v>4875</v>
      </c>
      <c r="G1200" s="415"/>
      <c r="H1200" s="415"/>
      <c r="I1200" s="415"/>
      <c r="J1200" s="415"/>
      <c r="K1200" s="3" t="s">
        <v>4874</v>
      </c>
      <c r="L1200" s="387">
        <v>1</v>
      </c>
      <c r="M1200" s="387">
        <v>0</v>
      </c>
      <c r="N1200" s="387">
        <f t="shared" si="192"/>
        <v>1</v>
      </c>
      <c r="O1200" s="442">
        <f t="shared" si="193"/>
        <v>1</v>
      </c>
      <c r="P1200" s="387" t="s">
        <v>1358</v>
      </c>
      <c r="Q1200" s="459">
        <v>15.923999999999999</v>
      </c>
      <c r="R1200" s="459"/>
      <c r="S1200" s="456">
        <v>0</v>
      </c>
      <c r="T1200" s="459">
        <v>15.923999999999999</v>
      </c>
      <c r="V1200" s="411">
        <v>1</v>
      </c>
      <c r="W1200" s="411">
        <v>1</v>
      </c>
      <c r="X1200" s="411">
        <v>1</v>
      </c>
      <c r="Y1200" s="411"/>
      <c r="Z1200" s="411"/>
      <c r="AA1200" s="412">
        <f t="shared" si="155"/>
        <v>1</v>
      </c>
      <c r="AB1200" s="456">
        <f t="shared" si="152"/>
        <v>15.923999999999999</v>
      </c>
      <c r="AC1200" s="456">
        <v>0</v>
      </c>
      <c r="AF1200" s="5"/>
    </row>
    <row r="1201" spans="2:32" hidden="1" x14ac:dyDescent="0.25">
      <c r="B1201" s="1" t="s">
        <v>4948</v>
      </c>
      <c r="C1201" s="3" t="s">
        <v>1368</v>
      </c>
      <c r="D1201" s="3" t="s">
        <v>1247</v>
      </c>
      <c r="E1201" s="407" t="s">
        <v>3239</v>
      </c>
      <c r="F1201" s="407" t="s">
        <v>4876</v>
      </c>
      <c r="G1201" s="415"/>
      <c r="H1201" s="415"/>
      <c r="I1201" s="415"/>
      <c r="J1201" s="415"/>
      <c r="K1201" s="3" t="s">
        <v>4874</v>
      </c>
      <c r="L1201" s="387">
        <v>1</v>
      </c>
      <c r="M1201" s="387">
        <v>0</v>
      </c>
      <c r="N1201" s="387">
        <f t="shared" si="192"/>
        <v>1</v>
      </c>
      <c r="O1201" s="442">
        <f t="shared" si="193"/>
        <v>1</v>
      </c>
      <c r="P1201" s="387" t="s">
        <v>1358</v>
      </c>
      <c r="Q1201" s="459">
        <v>15.923999999999999</v>
      </c>
      <c r="R1201" s="459"/>
      <c r="S1201" s="456">
        <v>0</v>
      </c>
      <c r="T1201" s="459">
        <v>15.923999999999999</v>
      </c>
      <c r="U1201" s="555"/>
      <c r="V1201" s="411">
        <v>1</v>
      </c>
      <c r="W1201" s="411">
        <v>1</v>
      </c>
      <c r="X1201" s="411">
        <v>1</v>
      </c>
      <c r="Y1201" s="411"/>
      <c r="Z1201" s="411"/>
      <c r="AA1201" s="412">
        <f t="shared" si="155"/>
        <v>1</v>
      </c>
      <c r="AB1201" s="456">
        <f t="shared" si="152"/>
        <v>15.923999999999999</v>
      </c>
      <c r="AC1201" s="456">
        <v>0</v>
      </c>
      <c r="AD1201" s="469"/>
      <c r="AE1201" s="470"/>
      <c r="AF1201" s="5"/>
    </row>
    <row r="1202" spans="2:32" hidden="1" x14ac:dyDescent="0.25">
      <c r="B1202" s="1" t="s">
        <v>4949</v>
      </c>
      <c r="C1202" s="3" t="s">
        <v>1368</v>
      </c>
      <c r="D1202" s="3" t="s">
        <v>1247</v>
      </c>
      <c r="E1202" s="407" t="s">
        <v>3239</v>
      </c>
      <c r="F1202" s="407" t="s">
        <v>4877</v>
      </c>
      <c r="G1202" s="415"/>
      <c r="H1202" s="415"/>
      <c r="I1202" s="415"/>
      <c r="J1202" s="415"/>
      <c r="K1202" s="3" t="s">
        <v>4874</v>
      </c>
      <c r="L1202" s="387">
        <v>1</v>
      </c>
      <c r="M1202" s="387">
        <v>0</v>
      </c>
      <c r="N1202" s="387">
        <f t="shared" ref="N1202" si="194">L1202+M1202</f>
        <v>1</v>
      </c>
      <c r="O1202" s="442">
        <f t="shared" ref="O1202" si="195">L1202*AA1202</f>
        <v>1</v>
      </c>
      <c r="P1202" s="387" t="s">
        <v>1358</v>
      </c>
      <c r="Q1202" s="459">
        <v>15.923999999999999</v>
      </c>
      <c r="R1202" s="459"/>
      <c r="S1202" s="456">
        <v>0</v>
      </c>
      <c r="T1202" s="459">
        <v>15.923999999999999</v>
      </c>
      <c r="U1202" s="555"/>
      <c r="V1202" s="411">
        <v>1</v>
      </c>
      <c r="W1202" s="411">
        <v>1</v>
      </c>
      <c r="X1202" s="411">
        <v>1</v>
      </c>
      <c r="Y1202" s="411"/>
      <c r="Z1202" s="411"/>
      <c r="AA1202" s="412">
        <f t="shared" si="155"/>
        <v>1</v>
      </c>
      <c r="AB1202" s="456">
        <f t="shared" si="152"/>
        <v>15.923999999999999</v>
      </c>
      <c r="AC1202" s="456">
        <v>0</v>
      </c>
      <c r="AD1202" s="469"/>
      <c r="AE1202" s="470"/>
      <c r="AF1202" s="5"/>
    </row>
    <row r="1203" spans="2:32" hidden="1" x14ac:dyDescent="0.25">
      <c r="B1203" s="1" t="s">
        <v>4950</v>
      </c>
      <c r="C1203" s="3" t="s">
        <v>1368</v>
      </c>
      <c r="D1203" s="3" t="s">
        <v>1247</v>
      </c>
      <c r="E1203" s="407" t="s">
        <v>3239</v>
      </c>
      <c r="F1203" s="407" t="s">
        <v>4878</v>
      </c>
      <c r="G1203" s="415"/>
      <c r="H1203" s="415"/>
      <c r="I1203" s="415"/>
      <c r="J1203" s="415"/>
      <c r="K1203" s="3" t="s">
        <v>4874</v>
      </c>
      <c r="L1203" s="387">
        <v>1</v>
      </c>
      <c r="M1203" s="387">
        <v>0</v>
      </c>
      <c r="N1203" s="387">
        <f t="shared" ref="N1203" si="196">L1203+M1203</f>
        <v>1</v>
      </c>
      <c r="O1203" s="442">
        <f t="shared" ref="O1203:O1206" si="197">L1203*AA1203</f>
        <v>1</v>
      </c>
      <c r="P1203" s="387" t="s">
        <v>1358</v>
      </c>
      <c r="Q1203" s="459">
        <v>15.923999999999999</v>
      </c>
      <c r="R1203" s="459"/>
      <c r="S1203" s="456">
        <v>0</v>
      </c>
      <c r="T1203" s="459">
        <v>15.923999999999999</v>
      </c>
      <c r="U1203" s="555"/>
      <c r="V1203" s="411">
        <v>1</v>
      </c>
      <c r="W1203" s="411">
        <v>1</v>
      </c>
      <c r="X1203" s="411">
        <v>1</v>
      </c>
      <c r="Y1203" s="411"/>
      <c r="Z1203" s="411"/>
      <c r="AA1203" s="412">
        <f t="shared" si="155"/>
        <v>1</v>
      </c>
      <c r="AB1203" s="456">
        <f t="shared" si="152"/>
        <v>15.923999999999999</v>
      </c>
      <c r="AC1203" s="456">
        <v>0</v>
      </c>
      <c r="AD1203" s="469"/>
      <c r="AE1203" s="470"/>
      <c r="AF1203" s="5"/>
    </row>
    <row r="1204" spans="2:32" hidden="1" x14ac:dyDescent="0.25">
      <c r="B1204" s="1" t="s">
        <v>4951</v>
      </c>
      <c r="C1204" s="3" t="s">
        <v>1368</v>
      </c>
      <c r="D1204" s="3" t="s">
        <v>1247</v>
      </c>
      <c r="E1204" s="407" t="s">
        <v>3239</v>
      </c>
      <c r="F1204" s="407" t="s">
        <v>4879</v>
      </c>
      <c r="G1204" s="415"/>
      <c r="H1204" s="415"/>
      <c r="I1204" s="415"/>
      <c r="J1204" s="415"/>
      <c r="K1204" s="3" t="s">
        <v>4874</v>
      </c>
      <c r="L1204" s="387">
        <v>1</v>
      </c>
      <c r="M1204" s="387">
        <v>0</v>
      </c>
      <c r="N1204" s="387">
        <v>1</v>
      </c>
      <c r="O1204" s="442">
        <f t="shared" si="197"/>
        <v>0.99999999999999989</v>
      </c>
      <c r="P1204" s="387" t="s">
        <v>1358</v>
      </c>
      <c r="Q1204" s="459">
        <v>47.773000000000003</v>
      </c>
      <c r="R1204" s="459"/>
      <c r="S1204" s="456">
        <v>0</v>
      </c>
      <c r="T1204" s="459">
        <v>47.773000000000003</v>
      </c>
      <c r="U1204" s="555"/>
      <c r="V1204" s="411">
        <v>1</v>
      </c>
      <c r="W1204" s="411">
        <v>1</v>
      </c>
      <c r="X1204" s="411">
        <v>1</v>
      </c>
      <c r="Y1204" s="411"/>
      <c r="Z1204" s="411"/>
      <c r="AA1204" s="412">
        <f t="shared" si="155"/>
        <v>0.99999999999999989</v>
      </c>
      <c r="AB1204" s="456">
        <f t="shared" ref="AB1204:AB1207" si="198">(V1204*V$369*T1204)+(W1204*W$369*T1204)+(X1204*X$369*T1204)</f>
        <v>47.772999999999996</v>
      </c>
      <c r="AC1204" s="456">
        <v>0</v>
      </c>
      <c r="AD1204" s="469"/>
      <c r="AE1204" s="470"/>
      <c r="AF1204" s="5"/>
    </row>
    <row r="1205" spans="2:32" hidden="1" x14ac:dyDescent="0.25">
      <c r="B1205" s="1" t="s">
        <v>4952</v>
      </c>
      <c r="C1205" s="3" t="s">
        <v>1368</v>
      </c>
      <c r="D1205" s="3" t="s">
        <v>1247</v>
      </c>
      <c r="E1205" s="407" t="s">
        <v>3239</v>
      </c>
      <c r="F1205" s="407" t="s">
        <v>4880</v>
      </c>
      <c r="G1205" s="415"/>
      <c r="H1205" s="415"/>
      <c r="I1205" s="415"/>
      <c r="J1205" s="415"/>
      <c r="K1205" s="3" t="s">
        <v>4874</v>
      </c>
      <c r="L1205" s="387">
        <v>1</v>
      </c>
      <c r="M1205" s="387">
        <v>0</v>
      </c>
      <c r="N1205" s="387">
        <v>1</v>
      </c>
      <c r="O1205" s="442">
        <f t="shared" si="197"/>
        <v>0.99999999999999989</v>
      </c>
      <c r="P1205" s="387" t="s">
        <v>1358</v>
      </c>
      <c r="Q1205" s="459">
        <v>47.773000000000003</v>
      </c>
      <c r="R1205" s="459"/>
      <c r="S1205" s="456">
        <v>0</v>
      </c>
      <c r="T1205" s="459">
        <v>47.773000000000003</v>
      </c>
      <c r="U1205" s="555"/>
      <c r="V1205" s="411">
        <v>1</v>
      </c>
      <c r="W1205" s="411">
        <v>1</v>
      </c>
      <c r="X1205" s="411">
        <v>1</v>
      </c>
      <c r="Y1205" s="411"/>
      <c r="Z1205" s="411"/>
      <c r="AA1205" s="412">
        <f t="shared" si="155"/>
        <v>0.99999999999999989</v>
      </c>
      <c r="AB1205" s="456">
        <f t="shared" si="198"/>
        <v>47.772999999999996</v>
      </c>
      <c r="AC1205" s="456">
        <v>0</v>
      </c>
      <c r="AD1205" s="469"/>
      <c r="AE1205" s="470"/>
      <c r="AF1205" s="5"/>
    </row>
    <row r="1206" spans="2:32" hidden="1" x14ac:dyDescent="0.25">
      <c r="B1206" s="1" t="s">
        <v>4953</v>
      </c>
      <c r="C1206" s="3" t="s">
        <v>1368</v>
      </c>
      <c r="D1206" s="3" t="s">
        <v>1247</v>
      </c>
      <c r="E1206" s="407" t="s">
        <v>3237</v>
      </c>
      <c r="F1206" s="407" t="s">
        <v>4881</v>
      </c>
      <c r="G1206" s="415"/>
      <c r="H1206" s="415"/>
      <c r="I1206" s="415"/>
      <c r="J1206" s="415"/>
      <c r="K1206" s="3" t="s">
        <v>4882</v>
      </c>
      <c r="L1206" s="387">
        <v>1</v>
      </c>
      <c r="M1206" s="387">
        <v>0</v>
      </c>
      <c r="N1206" s="387">
        <v>1</v>
      </c>
      <c r="O1206" s="442">
        <f t="shared" si="197"/>
        <v>1</v>
      </c>
      <c r="P1206" s="387" t="s">
        <v>1358</v>
      </c>
      <c r="Q1206" s="459">
        <v>15.923999999999999</v>
      </c>
      <c r="R1206" s="459"/>
      <c r="S1206" s="456">
        <v>0</v>
      </c>
      <c r="T1206" s="459">
        <v>15.923999999999999</v>
      </c>
      <c r="U1206" s="555"/>
      <c r="V1206" s="411">
        <v>1</v>
      </c>
      <c r="W1206" s="411">
        <v>1</v>
      </c>
      <c r="X1206" s="411">
        <v>1</v>
      </c>
      <c r="Y1206" s="411"/>
      <c r="Z1206" s="411"/>
      <c r="AA1206" s="412">
        <f t="shared" si="155"/>
        <v>1</v>
      </c>
      <c r="AB1206" s="456">
        <f t="shared" si="198"/>
        <v>15.923999999999999</v>
      </c>
      <c r="AC1206" s="456">
        <v>0</v>
      </c>
      <c r="AD1206" s="469"/>
      <c r="AE1206" s="470"/>
      <c r="AF1206" s="5"/>
    </row>
    <row r="1207" spans="2:32" hidden="1" x14ac:dyDescent="0.25">
      <c r="B1207" s="1" t="s">
        <v>4954</v>
      </c>
      <c r="C1207" s="3" t="s">
        <v>1368</v>
      </c>
      <c r="D1207" s="3" t="s">
        <v>1247</v>
      </c>
      <c r="E1207" s="407" t="s">
        <v>3237</v>
      </c>
      <c r="F1207" s="407" t="s">
        <v>4883</v>
      </c>
      <c r="G1207" s="415"/>
      <c r="H1207" s="415"/>
      <c r="I1207" s="415"/>
      <c r="J1207" s="415"/>
      <c r="K1207" s="3" t="s">
        <v>4882</v>
      </c>
      <c r="L1207" s="387">
        <v>1</v>
      </c>
      <c r="M1207" s="387">
        <v>0</v>
      </c>
      <c r="N1207" s="387">
        <v>1</v>
      </c>
      <c r="O1207" s="442">
        <f t="shared" ref="O1207" si="199">L1207*AA1207</f>
        <v>1</v>
      </c>
      <c r="P1207" s="387" t="s">
        <v>1358</v>
      </c>
      <c r="Q1207" s="459">
        <v>15.923999999999999</v>
      </c>
      <c r="R1207" s="459"/>
      <c r="S1207" s="456">
        <v>0</v>
      </c>
      <c r="T1207" s="459">
        <v>15.923999999999999</v>
      </c>
      <c r="U1207" s="555"/>
      <c r="V1207" s="411">
        <v>1</v>
      </c>
      <c r="W1207" s="411">
        <v>1</v>
      </c>
      <c r="X1207" s="411">
        <v>1</v>
      </c>
      <c r="Y1207" s="411"/>
      <c r="Z1207" s="411"/>
      <c r="AA1207" s="412">
        <f t="shared" si="155"/>
        <v>1</v>
      </c>
      <c r="AB1207" s="456">
        <f t="shared" si="198"/>
        <v>15.923999999999999</v>
      </c>
      <c r="AC1207" s="456">
        <v>0</v>
      </c>
      <c r="AD1207" s="469"/>
      <c r="AE1207" s="470"/>
      <c r="AF1207" s="5"/>
    </row>
    <row r="1208" spans="2:32" hidden="1" x14ac:dyDescent="0.25">
      <c r="B1208" s="1" t="s">
        <v>4973</v>
      </c>
      <c r="C1208" s="3" t="s">
        <v>1368</v>
      </c>
      <c r="D1208" s="3" t="s">
        <v>1247</v>
      </c>
      <c r="E1208" s="407" t="s">
        <v>3239</v>
      </c>
      <c r="F1208" s="407" t="s">
        <v>4942</v>
      </c>
      <c r="G1208" s="415"/>
      <c r="H1208" s="415"/>
      <c r="I1208" s="415"/>
      <c r="J1208" s="415"/>
      <c r="K1208" s="3" t="s">
        <v>4874</v>
      </c>
      <c r="L1208" s="387">
        <v>1</v>
      </c>
      <c r="M1208" s="387">
        <v>0</v>
      </c>
      <c r="N1208" s="387">
        <v>1</v>
      </c>
      <c r="O1208" s="442">
        <f t="shared" ref="O1208:O1211" si="200">L1208*AA1208</f>
        <v>1</v>
      </c>
      <c r="P1208" s="387" t="s">
        <v>1358</v>
      </c>
      <c r="Q1208" s="459">
        <v>15.923999999999999</v>
      </c>
      <c r="R1208" s="459"/>
      <c r="S1208" s="456">
        <v>0</v>
      </c>
      <c r="T1208" s="459">
        <v>15.923999999999999</v>
      </c>
      <c r="U1208" s="555"/>
      <c r="V1208" s="411">
        <v>1</v>
      </c>
      <c r="W1208" s="411">
        <v>1</v>
      </c>
      <c r="X1208" s="411">
        <v>1</v>
      </c>
      <c r="Y1208" s="411"/>
      <c r="Z1208" s="411"/>
      <c r="AA1208" s="412">
        <f t="shared" ref="AA1208:AA1211" si="201">AB1208/T1208</f>
        <v>1</v>
      </c>
      <c r="AB1208" s="456">
        <f t="shared" ref="AB1208:AB1211" si="202">(V1208*V$369*T1208)+(W1208*W$369*T1208)+(X1208*X$369*T1208)</f>
        <v>15.923999999999999</v>
      </c>
      <c r="AC1208" s="456">
        <v>0</v>
      </c>
      <c r="AD1208" s="469"/>
      <c r="AE1208" s="470"/>
      <c r="AF1208" s="5"/>
    </row>
    <row r="1209" spans="2:32" hidden="1" x14ac:dyDescent="0.25">
      <c r="B1209" s="1" t="s">
        <v>4974</v>
      </c>
      <c r="C1209" s="3" t="s">
        <v>1368</v>
      </c>
      <c r="D1209" s="3" t="s">
        <v>1247</v>
      </c>
      <c r="E1209" s="407" t="s">
        <v>3237</v>
      </c>
      <c r="F1209" s="407" t="s">
        <v>4943</v>
      </c>
      <c r="G1209" s="415"/>
      <c r="H1209" s="415"/>
      <c r="I1209" s="415"/>
      <c r="J1209" s="415"/>
      <c r="K1209" s="3" t="s">
        <v>4882</v>
      </c>
      <c r="L1209" s="387">
        <v>1</v>
      </c>
      <c r="M1209" s="387">
        <v>0</v>
      </c>
      <c r="N1209" s="387">
        <v>1</v>
      </c>
      <c r="O1209" s="442">
        <f t="shared" si="200"/>
        <v>1</v>
      </c>
      <c r="P1209" s="387" t="s">
        <v>1358</v>
      </c>
      <c r="Q1209" s="459">
        <v>15.923999999999999</v>
      </c>
      <c r="R1209" s="459"/>
      <c r="S1209" s="456">
        <v>0</v>
      </c>
      <c r="T1209" s="459">
        <v>15.923999999999999</v>
      </c>
      <c r="U1209" s="555"/>
      <c r="V1209" s="411">
        <v>1</v>
      </c>
      <c r="W1209" s="411">
        <v>1</v>
      </c>
      <c r="X1209" s="411">
        <v>1</v>
      </c>
      <c r="Y1209" s="411"/>
      <c r="Z1209" s="411"/>
      <c r="AA1209" s="412">
        <f t="shared" si="201"/>
        <v>1</v>
      </c>
      <c r="AB1209" s="456">
        <f t="shared" si="202"/>
        <v>15.923999999999999</v>
      </c>
      <c r="AC1209" s="456">
        <v>0</v>
      </c>
      <c r="AD1209" s="469"/>
      <c r="AE1209" s="470"/>
      <c r="AF1209" s="5"/>
    </row>
    <row r="1210" spans="2:32" hidden="1" x14ac:dyDescent="0.25">
      <c r="B1210" s="1" t="s">
        <v>4975</v>
      </c>
      <c r="C1210" s="3" t="s">
        <v>1368</v>
      </c>
      <c r="D1210" s="3" t="s">
        <v>1247</v>
      </c>
      <c r="E1210" s="407" t="s">
        <v>3237</v>
      </c>
      <c r="F1210" s="407" t="s">
        <v>4944</v>
      </c>
      <c r="G1210" s="415"/>
      <c r="H1210" s="415"/>
      <c r="I1210" s="415"/>
      <c r="J1210" s="415"/>
      <c r="K1210" s="3" t="s">
        <v>4882</v>
      </c>
      <c r="L1210" s="387">
        <v>1</v>
      </c>
      <c r="M1210" s="387">
        <v>0</v>
      </c>
      <c r="N1210" s="387">
        <v>1</v>
      </c>
      <c r="O1210" s="442">
        <f t="shared" si="200"/>
        <v>1</v>
      </c>
      <c r="P1210" s="387" t="s">
        <v>1358</v>
      </c>
      <c r="Q1210" s="459">
        <v>15.923999999999999</v>
      </c>
      <c r="R1210" s="459"/>
      <c r="S1210" s="456">
        <v>0</v>
      </c>
      <c r="T1210" s="459">
        <v>15.923999999999999</v>
      </c>
      <c r="U1210" s="555"/>
      <c r="V1210" s="411">
        <v>1</v>
      </c>
      <c r="W1210" s="411">
        <v>1</v>
      </c>
      <c r="X1210" s="411">
        <v>1</v>
      </c>
      <c r="Y1210" s="411"/>
      <c r="Z1210" s="411"/>
      <c r="AA1210" s="412">
        <f t="shared" si="201"/>
        <v>1</v>
      </c>
      <c r="AB1210" s="456">
        <f t="shared" si="202"/>
        <v>15.923999999999999</v>
      </c>
      <c r="AC1210" s="456">
        <v>0</v>
      </c>
      <c r="AD1210" s="469"/>
      <c r="AE1210" s="470"/>
      <c r="AF1210" s="5"/>
    </row>
    <row r="1211" spans="2:32" hidden="1" x14ac:dyDescent="0.25">
      <c r="B1211" s="1" t="s">
        <v>4976</v>
      </c>
      <c r="C1211" s="3" t="s">
        <v>1368</v>
      </c>
      <c r="D1211" s="3" t="s">
        <v>1247</v>
      </c>
      <c r="E1211" s="407" t="s">
        <v>3237</v>
      </c>
      <c r="F1211" s="407" t="s">
        <v>4945</v>
      </c>
      <c r="G1211" s="415"/>
      <c r="H1211" s="415"/>
      <c r="I1211" s="415"/>
      <c r="J1211" s="415"/>
      <c r="K1211" s="3" t="s">
        <v>4882</v>
      </c>
      <c r="L1211" s="387">
        <v>1</v>
      </c>
      <c r="M1211" s="387">
        <v>0</v>
      </c>
      <c r="N1211" s="387">
        <v>1</v>
      </c>
      <c r="O1211" s="442">
        <f t="shared" si="200"/>
        <v>1</v>
      </c>
      <c r="P1211" s="387" t="s">
        <v>1358</v>
      </c>
      <c r="Q1211" s="459">
        <v>15.923999999999999</v>
      </c>
      <c r="R1211" s="459"/>
      <c r="S1211" s="456">
        <v>0</v>
      </c>
      <c r="T1211" s="459">
        <v>47.77</v>
      </c>
      <c r="U1211" s="555"/>
      <c r="V1211" s="411">
        <v>1</v>
      </c>
      <c r="W1211" s="411">
        <v>1</v>
      </c>
      <c r="X1211" s="411">
        <v>1</v>
      </c>
      <c r="Y1211" s="411"/>
      <c r="Z1211" s="411"/>
      <c r="AA1211" s="412">
        <f t="shared" si="201"/>
        <v>1</v>
      </c>
      <c r="AB1211" s="456">
        <f t="shared" si="202"/>
        <v>47.77</v>
      </c>
      <c r="AC1211" s="456">
        <v>0</v>
      </c>
      <c r="AD1211" s="469"/>
      <c r="AE1211" s="470"/>
      <c r="AF1211" s="5"/>
    </row>
    <row r="1212" spans="2:32" hidden="1" x14ac:dyDescent="0.25">
      <c r="B1212" s="1"/>
      <c r="C1212" s="3" t="s">
        <v>1368</v>
      </c>
      <c r="D1212" s="3" t="s">
        <v>1247</v>
      </c>
      <c r="E1212" s="407" t="s">
        <v>3230</v>
      </c>
      <c r="F1212" s="407" t="s">
        <v>5241</v>
      </c>
      <c r="G1212" s="415"/>
      <c r="H1212" s="415"/>
      <c r="I1212" s="415"/>
      <c r="J1212" s="415"/>
      <c r="K1212" s="3" t="s">
        <v>5250</v>
      </c>
      <c r="L1212" s="387">
        <v>1</v>
      </c>
      <c r="M1212" s="387">
        <v>0</v>
      </c>
      <c r="N1212" s="387">
        <v>1</v>
      </c>
      <c r="O1212" s="442">
        <f t="shared" ref="O1212:O1221" si="203">L1212*AA1212</f>
        <v>0</v>
      </c>
      <c r="P1212" s="387" t="s">
        <v>1358</v>
      </c>
      <c r="Q1212" s="459">
        <v>23.885999999999999</v>
      </c>
      <c r="R1212" s="459"/>
      <c r="S1212" s="456">
        <v>0</v>
      </c>
      <c r="T1212" s="459">
        <v>23.885999999999999</v>
      </c>
      <c r="U1212" s="555"/>
      <c r="V1212" s="411"/>
      <c r="W1212" s="411"/>
      <c r="X1212" s="411"/>
      <c r="Y1212" s="411"/>
      <c r="Z1212" s="411"/>
      <c r="AA1212" s="412">
        <f t="shared" ref="AA1212:AA1221" si="204">AB1212/T1212</f>
        <v>0</v>
      </c>
      <c r="AB1212" s="456">
        <f t="shared" ref="AB1212:AB1221" si="205">(V1212*V$369*T1212)+(W1212*W$369*T1212)+(X1212*X$369*T1212)</f>
        <v>0</v>
      </c>
      <c r="AC1212" s="456"/>
      <c r="AD1212" s="469"/>
      <c r="AE1212" s="470"/>
      <c r="AF1212" s="5"/>
    </row>
    <row r="1213" spans="2:32" hidden="1" x14ac:dyDescent="0.25">
      <c r="B1213" s="1"/>
      <c r="C1213" s="3" t="s">
        <v>1368</v>
      </c>
      <c r="D1213" s="3" t="s">
        <v>1247</v>
      </c>
      <c r="E1213" s="407" t="s">
        <v>3230</v>
      </c>
      <c r="F1213" s="407" t="s">
        <v>5242</v>
      </c>
      <c r="G1213" s="415"/>
      <c r="H1213" s="415"/>
      <c r="I1213" s="415"/>
      <c r="J1213" s="415"/>
      <c r="K1213" s="3" t="s">
        <v>5250</v>
      </c>
      <c r="L1213" s="387">
        <v>1</v>
      </c>
      <c r="M1213" s="387">
        <v>0</v>
      </c>
      <c r="N1213" s="387">
        <v>1</v>
      </c>
      <c r="O1213" s="442">
        <f t="shared" si="203"/>
        <v>1</v>
      </c>
      <c r="P1213" s="387" t="s">
        <v>1358</v>
      </c>
      <c r="Q1213" s="459">
        <v>23.885999999999999</v>
      </c>
      <c r="R1213" s="459"/>
      <c r="S1213" s="456">
        <v>0</v>
      </c>
      <c r="T1213" s="459">
        <v>23.885999999999999</v>
      </c>
      <c r="U1213" s="555"/>
      <c r="V1213" s="411">
        <v>1</v>
      </c>
      <c r="W1213" s="411">
        <v>1</v>
      </c>
      <c r="X1213" s="411">
        <v>1</v>
      </c>
      <c r="Y1213" s="411"/>
      <c r="Z1213" s="411"/>
      <c r="AA1213" s="412">
        <f t="shared" si="204"/>
        <v>1</v>
      </c>
      <c r="AB1213" s="456">
        <f t="shared" si="205"/>
        <v>23.885999999999999</v>
      </c>
      <c r="AC1213" s="456"/>
      <c r="AD1213" s="469"/>
      <c r="AE1213" s="470"/>
      <c r="AF1213" s="5"/>
    </row>
    <row r="1214" spans="2:32" hidden="1" x14ac:dyDescent="0.25">
      <c r="B1214" s="1"/>
      <c r="C1214" s="3" t="s">
        <v>1368</v>
      </c>
      <c r="D1214" s="3" t="s">
        <v>1247</v>
      </c>
      <c r="E1214" s="407" t="s">
        <v>3230</v>
      </c>
      <c r="F1214" s="407" t="s">
        <v>5243</v>
      </c>
      <c r="G1214" s="415"/>
      <c r="H1214" s="415"/>
      <c r="I1214" s="415"/>
      <c r="J1214" s="415"/>
      <c r="K1214" s="3" t="s">
        <v>5250</v>
      </c>
      <c r="L1214" s="387">
        <v>1</v>
      </c>
      <c r="M1214" s="387">
        <v>0</v>
      </c>
      <c r="N1214" s="387">
        <v>1</v>
      </c>
      <c r="O1214" s="442">
        <f t="shared" si="203"/>
        <v>0</v>
      </c>
      <c r="P1214" s="387" t="s">
        <v>1358</v>
      </c>
      <c r="Q1214" s="459">
        <v>31.847999999999999</v>
      </c>
      <c r="R1214" s="459"/>
      <c r="S1214" s="456">
        <v>0</v>
      </c>
      <c r="T1214" s="459">
        <v>31.847999999999999</v>
      </c>
      <c r="U1214" s="555"/>
      <c r="V1214" s="411"/>
      <c r="W1214" s="411"/>
      <c r="X1214" s="411"/>
      <c r="Y1214" s="411"/>
      <c r="Z1214" s="411"/>
      <c r="AA1214" s="412">
        <f t="shared" si="204"/>
        <v>0</v>
      </c>
      <c r="AB1214" s="456">
        <f t="shared" si="205"/>
        <v>0</v>
      </c>
      <c r="AC1214" s="456"/>
      <c r="AD1214" s="469"/>
      <c r="AE1214" s="470"/>
      <c r="AF1214" s="5"/>
    </row>
    <row r="1215" spans="2:32" hidden="1" x14ac:dyDescent="0.25">
      <c r="B1215" s="1"/>
      <c r="C1215" s="3" t="s">
        <v>1368</v>
      </c>
      <c r="D1215" s="3" t="s">
        <v>1247</v>
      </c>
      <c r="E1215" s="407" t="s">
        <v>3230</v>
      </c>
      <c r="F1215" s="407" t="s">
        <v>5244</v>
      </c>
      <c r="G1215" s="415"/>
      <c r="H1215" s="415"/>
      <c r="I1215" s="415"/>
      <c r="J1215" s="415"/>
      <c r="K1215" s="3" t="s">
        <v>5250</v>
      </c>
      <c r="L1215" s="387">
        <v>1</v>
      </c>
      <c r="M1215" s="387">
        <v>0</v>
      </c>
      <c r="N1215" s="387">
        <v>1</v>
      </c>
      <c r="O1215" s="442">
        <f t="shared" si="203"/>
        <v>0</v>
      </c>
      <c r="P1215" s="387" t="s">
        <v>1358</v>
      </c>
      <c r="Q1215" s="459">
        <v>31.847999999999999</v>
      </c>
      <c r="R1215" s="459"/>
      <c r="S1215" s="456">
        <v>0</v>
      </c>
      <c r="T1215" s="459">
        <v>31.847999999999999</v>
      </c>
      <c r="U1215" s="555"/>
      <c r="V1215" s="411"/>
      <c r="W1215" s="411"/>
      <c r="X1215" s="411"/>
      <c r="Y1215" s="411"/>
      <c r="Z1215" s="411"/>
      <c r="AA1215" s="412">
        <f t="shared" si="204"/>
        <v>0</v>
      </c>
      <c r="AB1215" s="456">
        <f t="shared" si="205"/>
        <v>0</v>
      </c>
      <c r="AC1215" s="456"/>
      <c r="AD1215" s="469"/>
      <c r="AE1215" s="470"/>
      <c r="AF1215" s="5"/>
    </row>
    <row r="1216" spans="2:32" hidden="1" x14ac:dyDescent="0.25">
      <c r="B1216" s="1"/>
      <c r="C1216" s="3" t="s">
        <v>1368</v>
      </c>
      <c r="D1216" s="3" t="s">
        <v>1247</v>
      </c>
      <c r="E1216" s="407" t="s">
        <v>3230</v>
      </c>
      <c r="F1216" s="407" t="s">
        <v>5245</v>
      </c>
      <c r="G1216" s="415"/>
      <c r="H1216" s="415"/>
      <c r="I1216" s="415"/>
      <c r="J1216" s="415"/>
      <c r="K1216" s="3" t="s">
        <v>5250</v>
      </c>
      <c r="L1216" s="387">
        <v>1</v>
      </c>
      <c r="M1216" s="387">
        <v>0</v>
      </c>
      <c r="N1216" s="387">
        <v>1</v>
      </c>
      <c r="O1216" s="442">
        <f t="shared" si="203"/>
        <v>1</v>
      </c>
      <c r="P1216" s="387" t="s">
        <v>1358</v>
      </c>
      <c r="Q1216" s="459">
        <v>95.543999999999997</v>
      </c>
      <c r="R1216" s="459"/>
      <c r="S1216" s="456">
        <v>0</v>
      </c>
      <c r="T1216" s="459">
        <v>95.543999999999997</v>
      </c>
      <c r="U1216" s="555"/>
      <c r="V1216" s="411">
        <v>1</v>
      </c>
      <c r="W1216" s="411">
        <v>1</v>
      </c>
      <c r="X1216" s="411">
        <v>1</v>
      </c>
      <c r="Y1216" s="411"/>
      <c r="Z1216" s="411"/>
      <c r="AA1216" s="412">
        <f t="shared" si="204"/>
        <v>1</v>
      </c>
      <c r="AB1216" s="456">
        <f t="shared" si="205"/>
        <v>95.543999999999997</v>
      </c>
      <c r="AC1216" s="456"/>
      <c r="AD1216" s="469"/>
      <c r="AE1216" s="470"/>
      <c r="AF1216" s="5"/>
    </row>
    <row r="1217" spans="2:32" hidden="1" x14ac:dyDescent="0.25">
      <c r="B1217" s="1"/>
      <c r="C1217" s="3" t="s">
        <v>1368</v>
      </c>
      <c r="D1217" s="3" t="s">
        <v>1247</v>
      </c>
      <c r="E1217" s="407" t="s">
        <v>3230</v>
      </c>
      <c r="F1217" s="407" t="s">
        <v>5246</v>
      </c>
      <c r="G1217" s="415"/>
      <c r="H1217" s="415"/>
      <c r="I1217" s="415"/>
      <c r="J1217" s="415"/>
      <c r="K1217" s="3" t="s">
        <v>5250</v>
      </c>
      <c r="L1217" s="387">
        <v>1</v>
      </c>
      <c r="M1217" s="387">
        <v>0</v>
      </c>
      <c r="N1217" s="387">
        <v>1</v>
      </c>
      <c r="O1217" s="442">
        <f t="shared" si="203"/>
        <v>1</v>
      </c>
      <c r="P1217" s="387" t="s">
        <v>1358</v>
      </c>
      <c r="Q1217" s="459">
        <v>95.543999999999997</v>
      </c>
      <c r="R1217" s="459"/>
      <c r="S1217" s="456">
        <v>0</v>
      </c>
      <c r="T1217" s="459">
        <v>95.543999999999997</v>
      </c>
      <c r="U1217" s="555"/>
      <c r="V1217" s="411">
        <v>1</v>
      </c>
      <c r="W1217" s="411">
        <v>1</v>
      </c>
      <c r="X1217" s="411">
        <v>1</v>
      </c>
      <c r="Y1217" s="411"/>
      <c r="Z1217" s="411"/>
      <c r="AA1217" s="412">
        <f t="shared" si="204"/>
        <v>1</v>
      </c>
      <c r="AB1217" s="456">
        <f t="shared" si="205"/>
        <v>95.543999999999997</v>
      </c>
      <c r="AC1217" s="456"/>
      <c r="AD1217" s="469"/>
      <c r="AE1217" s="470"/>
      <c r="AF1217" s="5"/>
    </row>
    <row r="1218" spans="2:32" hidden="1" x14ac:dyDescent="0.25">
      <c r="B1218" s="1"/>
      <c r="C1218" s="3" t="s">
        <v>1368</v>
      </c>
      <c r="D1218" s="3" t="s">
        <v>1247</v>
      </c>
      <c r="E1218" s="407" t="s">
        <v>3236</v>
      </c>
      <c r="F1218" s="407" t="s">
        <v>2410</v>
      </c>
      <c r="G1218" s="415"/>
      <c r="H1218" s="415"/>
      <c r="I1218" s="415"/>
      <c r="J1218" s="415"/>
      <c r="K1218" s="3" t="s">
        <v>5250</v>
      </c>
      <c r="L1218" s="387">
        <v>1</v>
      </c>
      <c r="M1218" s="387">
        <v>0</v>
      </c>
      <c r="N1218" s="387">
        <v>1</v>
      </c>
      <c r="O1218" s="442">
        <f t="shared" si="203"/>
        <v>0</v>
      </c>
      <c r="P1218" s="387" t="s">
        <v>1358</v>
      </c>
      <c r="Q1218" s="459">
        <v>47.771999999999998</v>
      </c>
      <c r="R1218" s="459"/>
      <c r="S1218" s="456">
        <v>0</v>
      </c>
      <c r="T1218" s="459">
        <v>47.771999999999998</v>
      </c>
      <c r="U1218" s="555"/>
      <c r="V1218" s="411"/>
      <c r="W1218" s="411"/>
      <c r="X1218" s="411"/>
      <c r="Y1218" s="411"/>
      <c r="Z1218" s="411"/>
      <c r="AA1218" s="412">
        <f t="shared" si="204"/>
        <v>0</v>
      </c>
      <c r="AB1218" s="456">
        <f t="shared" si="205"/>
        <v>0</v>
      </c>
      <c r="AC1218" s="456"/>
      <c r="AD1218" s="469"/>
      <c r="AE1218" s="470"/>
      <c r="AF1218" s="5"/>
    </row>
    <row r="1219" spans="2:32" hidden="1" x14ac:dyDescent="0.25">
      <c r="B1219" s="1"/>
      <c r="C1219" s="3" t="s">
        <v>1368</v>
      </c>
      <c r="D1219" s="3" t="s">
        <v>1247</v>
      </c>
      <c r="E1219" s="407" t="s">
        <v>3230</v>
      </c>
      <c r="F1219" s="407" t="s">
        <v>5247</v>
      </c>
      <c r="G1219" s="415"/>
      <c r="H1219" s="415"/>
      <c r="I1219" s="415"/>
      <c r="J1219" s="415"/>
      <c r="K1219" s="3" t="s">
        <v>5250</v>
      </c>
      <c r="L1219" s="387">
        <v>1</v>
      </c>
      <c r="M1219" s="387">
        <v>0</v>
      </c>
      <c r="N1219" s="387">
        <v>1</v>
      </c>
      <c r="O1219" s="442">
        <f t="shared" si="203"/>
        <v>0</v>
      </c>
      <c r="P1219" s="387" t="s">
        <v>1358</v>
      </c>
      <c r="Q1219" s="459">
        <v>15.923999999999999</v>
      </c>
      <c r="R1219" s="459"/>
      <c r="S1219" s="456">
        <v>0</v>
      </c>
      <c r="T1219" s="459">
        <v>15.923999999999999</v>
      </c>
      <c r="U1219" s="555"/>
      <c r="V1219" s="411"/>
      <c r="W1219" s="411"/>
      <c r="X1219" s="411"/>
      <c r="Y1219" s="411"/>
      <c r="Z1219" s="411"/>
      <c r="AA1219" s="412">
        <f t="shared" si="204"/>
        <v>0</v>
      </c>
      <c r="AB1219" s="456">
        <f t="shared" si="205"/>
        <v>0</v>
      </c>
      <c r="AC1219" s="456"/>
      <c r="AD1219" s="469"/>
      <c r="AE1219" s="470"/>
      <c r="AF1219" s="5"/>
    </row>
    <row r="1220" spans="2:32" hidden="1" x14ac:dyDescent="0.25">
      <c r="B1220" s="1"/>
      <c r="C1220" s="3" t="s">
        <v>1368</v>
      </c>
      <c r="D1220" s="3" t="s">
        <v>1247</v>
      </c>
      <c r="E1220" s="407" t="s">
        <v>3230</v>
      </c>
      <c r="F1220" s="407" t="s">
        <v>5248</v>
      </c>
      <c r="G1220" s="415"/>
      <c r="H1220" s="415"/>
      <c r="I1220" s="415"/>
      <c r="J1220" s="415"/>
      <c r="K1220" s="3" t="s">
        <v>5250</v>
      </c>
      <c r="L1220" s="387">
        <v>1</v>
      </c>
      <c r="M1220" s="387">
        <v>0</v>
      </c>
      <c r="N1220" s="387">
        <v>1</v>
      </c>
      <c r="O1220" s="442">
        <f t="shared" si="203"/>
        <v>0</v>
      </c>
      <c r="P1220" s="387" t="s">
        <v>1358</v>
      </c>
      <c r="Q1220" s="459">
        <v>15.923999999999999</v>
      </c>
      <c r="R1220" s="459"/>
      <c r="S1220" s="456">
        <v>0</v>
      </c>
      <c r="T1220" s="459">
        <v>15.923999999999999</v>
      </c>
      <c r="U1220" s="555"/>
      <c r="V1220" s="411"/>
      <c r="W1220" s="411"/>
      <c r="X1220" s="411"/>
      <c r="Y1220" s="411"/>
      <c r="Z1220" s="411"/>
      <c r="AA1220" s="412">
        <f t="shared" si="204"/>
        <v>0</v>
      </c>
      <c r="AB1220" s="456">
        <f t="shared" si="205"/>
        <v>0</v>
      </c>
      <c r="AC1220" s="456"/>
      <c r="AD1220" s="469"/>
      <c r="AE1220" s="470"/>
      <c r="AF1220" s="5"/>
    </row>
    <row r="1221" spans="2:32" hidden="1" x14ac:dyDescent="0.25">
      <c r="B1221" s="1"/>
      <c r="C1221" s="3" t="s">
        <v>1368</v>
      </c>
      <c r="D1221" s="3" t="s">
        <v>1247</v>
      </c>
      <c r="E1221" s="407" t="s">
        <v>3230</v>
      </c>
      <c r="F1221" s="407" t="s">
        <v>5249</v>
      </c>
      <c r="G1221" s="415"/>
      <c r="H1221" s="415"/>
      <c r="I1221" s="415"/>
      <c r="J1221" s="415"/>
      <c r="K1221" s="3" t="s">
        <v>5250</v>
      </c>
      <c r="L1221" s="387">
        <v>1</v>
      </c>
      <c r="M1221" s="387">
        <v>0</v>
      </c>
      <c r="N1221" s="387">
        <v>1</v>
      </c>
      <c r="O1221" s="442">
        <f t="shared" si="203"/>
        <v>1</v>
      </c>
      <c r="P1221" s="387" t="s">
        <v>1358</v>
      </c>
      <c r="Q1221" s="459">
        <v>15.923999999999999</v>
      </c>
      <c r="R1221" s="459"/>
      <c r="S1221" s="456">
        <v>0</v>
      </c>
      <c r="T1221" s="459">
        <v>15.923999999999999</v>
      </c>
      <c r="U1221" s="555"/>
      <c r="V1221" s="411">
        <v>1</v>
      </c>
      <c r="W1221" s="411">
        <v>1</v>
      </c>
      <c r="X1221" s="411">
        <v>1</v>
      </c>
      <c r="Y1221" s="411"/>
      <c r="Z1221" s="411"/>
      <c r="AA1221" s="412">
        <f t="shared" si="204"/>
        <v>1</v>
      </c>
      <c r="AB1221" s="456">
        <f t="shared" si="205"/>
        <v>15.923999999999999</v>
      </c>
      <c r="AC1221" s="456"/>
      <c r="AD1221" s="469"/>
      <c r="AE1221" s="470"/>
      <c r="AF1221" s="5"/>
    </row>
    <row r="1222" spans="2:32" hidden="1" x14ac:dyDescent="0.25">
      <c r="B1222" s="1" t="s">
        <v>4977</v>
      </c>
      <c r="C1222" s="3" t="s">
        <v>1368</v>
      </c>
      <c r="D1222" s="3" t="s">
        <v>1247</v>
      </c>
      <c r="E1222" s="407" t="s">
        <v>4872</v>
      </c>
      <c r="F1222" s="407" t="s">
        <v>4893</v>
      </c>
      <c r="G1222" s="415"/>
      <c r="H1222" s="415"/>
      <c r="I1222" s="415"/>
      <c r="J1222" s="415"/>
      <c r="K1222" s="3" t="s">
        <v>4886</v>
      </c>
      <c r="L1222" s="387">
        <v>2</v>
      </c>
      <c r="M1222" s="387">
        <v>0</v>
      </c>
      <c r="N1222" s="387">
        <v>2</v>
      </c>
      <c r="O1222" s="442">
        <f>L1222*AA1222</f>
        <v>2.0000000000000004</v>
      </c>
      <c r="P1222" s="387" t="s">
        <v>1358</v>
      </c>
      <c r="Q1222" s="459">
        <v>7.4</v>
      </c>
      <c r="R1222" s="459"/>
      <c r="S1222" s="456">
        <v>0</v>
      </c>
      <c r="T1222" s="459">
        <v>7.4</v>
      </c>
      <c r="U1222" s="555"/>
      <c r="V1222" s="411">
        <v>1</v>
      </c>
      <c r="W1222" s="411">
        <v>1</v>
      </c>
      <c r="X1222" s="411">
        <v>1</v>
      </c>
      <c r="Y1222" s="411"/>
      <c r="Z1222" s="411"/>
      <c r="AA1222" s="412">
        <f t="shared" ref="AA1222:AA1272" si="206">AB1222/T1222</f>
        <v>1.0000000000000002</v>
      </c>
      <c r="AB1222" s="456">
        <f t="shared" ref="AB1222:AB1272" si="207">(V1222*V$369*T1222)+(W1222*W$369*T1222)+(X1222*X$369*T1222)</f>
        <v>7.4000000000000012</v>
      </c>
      <c r="AC1222" s="456">
        <v>0</v>
      </c>
      <c r="AD1222" s="469"/>
      <c r="AE1222" s="470"/>
      <c r="AF1222" s="5"/>
    </row>
    <row r="1223" spans="2:32" hidden="1" x14ac:dyDescent="0.25">
      <c r="B1223" s="1" t="s">
        <v>4978</v>
      </c>
      <c r="C1223" s="3" t="s">
        <v>1368</v>
      </c>
      <c r="D1223" s="3" t="s">
        <v>1247</v>
      </c>
      <c r="E1223" s="407" t="s">
        <v>4872</v>
      </c>
      <c r="F1223" s="407" t="s">
        <v>4894</v>
      </c>
      <c r="G1223" s="415"/>
      <c r="H1223" s="415"/>
      <c r="I1223" s="415"/>
      <c r="J1223" s="415"/>
      <c r="K1223" s="3" t="s">
        <v>4886</v>
      </c>
      <c r="L1223" s="387">
        <v>2</v>
      </c>
      <c r="M1223" s="387">
        <v>0</v>
      </c>
      <c r="N1223" s="387">
        <v>2</v>
      </c>
      <c r="O1223" s="442">
        <f t="shared" ref="O1223:O1272" si="208">L1223*AA1223</f>
        <v>2.0000000000000004</v>
      </c>
      <c r="P1223" s="387" t="s">
        <v>1358</v>
      </c>
      <c r="Q1223" s="459">
        <v>7.4</v>
      </c>
      <c r="R1223" s="459"/>
      <c r="S1223" s="456">
        <v>0</v>
      </c>
      <c r="T1223" s="459">
        <v>7.4</v>
      </c>
      <c r="U1223" s="555"/>
      <c r="V1223" s="411">
        <v>1</v>
      </c>
      <c r="W1223" s="411">
        <v>1</v>
      </c>
      <c r="X1223" s="411">
        <v>1</v>
      </c>
      <c r="Y1223" s="411"/>
      <c r="Z1223" s="411"/>
      <c r="AA1223" s="412">
        <f t="shared" si="206"/>
        <v>1.0000000000000002</v>
      </c>
      <c r="AB1223" s="456">
        <f t="shared" si="207"/>
        <v>7.4000000000000012</v>
      </c>
      <c r="AC1223" s="456">
        <v>0</v>
      </c>
      <c r="AD1223" s="469"/>
      <c r="AE1223" s="470"/>
      <c r="AF1223" s="5"/>
    </row>
    <row r="1224" spans="2:32" hidden="1" x14ac:dyDescent="0.25">
      <c r="B1224" s="1" t="s">
        <v>4980</v>
      </c>
      <c r="C1224" s="3" t="s">
        <v>1368</v>
      </c>
      <c r="D1224" s="3" t="s">
        <v>1247</v>
      </c>
      <c r="E1224" s="407" t="s">
        <v>4872</v>
      </c>
      <c r="F1224" s="407" t="s">
        <v>4895</v>
      </c>
      <c r="G1224" s="415"/>
      <c r="H1224" s="415"/>
      <c r="I1224" s="415"/>
      <c r="J1224" s="415"/>
      <c r="K1224" s="3" t="s">
        <v>4886</v>
      </c>
      <c r="L1224" s="387">
        <v>2</v>
      </c>
      <c r="M1224" s="387">
        <v>0</v>
      </c>
      <c r="N1224" s="387">
        <v>2</v>
      </c>
      <c r="O1224" s="442">
        <f t="shared" si="208"/>
        <v>2.0000000000000004</v>
      </c>
      <c r="P1224" s="387" t="s">
        <v>1358</v>
      </c>
      <c r="Q1224" s="459">
        <v>7.4</v>
      </c>
      <c r="R1224" s="459"/>
      <c r="S1224" s="456">
        <v>0</v>
      </c>
      <c r="T1224" s="459">
        <v>7.4</v>
      </c>
      <c r="U1224" s="555"/>
      <c r="V1224" s="411">
        <v>1</v>
      </c>
      <c r="W1224" s="411">
        <v>1</v>
      </c>
      <c r="X1224" s="411">
        <v>1</v>
      </c>
      <c r="Y1224" s="411"/>
      <c r="Z1224" s="411"/>
      <c r="AA1224" s="412">
        <f t="shared" si="206"/>
        <v>1.0000000000000002</v>
      </c>
      <c r="AB1224" s="456">
        <f t="shared" si="207"/>
        <v>7.4000000000000012</v>
      </c>
      <c r="AC1224" s="456">
        <v>0</v>
      </c>
      <c r="AD1224" s="469"/>
      <c r="AE1224" s="470"/>
      <c r="AF1224" s="5"/>
    </row>
    <row r="1225" spans="2:32" hidden="1" x14ac:dyDescent="0.25">
      <c r="B1225" s="1" t="s">
        <v>4981</v>
      </c>
      <c r="C1225" s="3" t="s">
        <v>1368</v>
      </c>
      <c r="D1225" s="3" t="s">
        <v>1247</v>
      </c>
      <c r="E1225" s="407" t="s">
        <v>4872</v>
      </c>
      <c r="F1225" s="407" t="s">
        <v>4896</v>
      </c>
      <c r="G1225" s="415"/>
      <c r="H1225" s="415"/>
      <c r="I1225" s="415"/>
      <c r="J1225" s="415"/>
      <c r="K1225" s="3" t="s">
        <v>4886</v>
      </c>
      <c r="L1225" s="387">
        <v>2</v>
      </c>
      <c r="M1225" s="387">
        <v>0</v>
      </c>
      <c r="N1225" s="387">
        <v>2</v>
      </c>
      <c r="O1225" s="442">
        <f t="shared" si="208"/>
        <v>2.0000000000000004</v>
      </c>
      <c r="P1225" s="387" t="s">
        <v>1358</v>
      </c>
      <c r="Q1225" s="459">
        <v>7.4</v>
      </c>
      <c r="R1225" s="459"/>
      <c r="S1225" s="456">
        <v>0</v>
      </c>
      <c r="T1225" s="459">
        <v>7.4</v>
      </c>
      <c r="U1225" s="555"/>
      <c r="V1225" s="411">
        <v>1</v>
      </c>
      <c r="W1225" s="411">
        <v>1</v>
      </c>
      <c r="X1225" s="411">
        <v>1</v>
      </c>
      <c r="Y1225" s="411"/>
      <c r="Z1225" s="411"/>
      <c r="AA1225" s="412">
        <f t="shared" si="206"/>
        <v>1.0000000000000002</v>
      </c>
      <c r="AB1225" s="456">
        <f t="shared" si="207"/>
        <v>7.4000000000000012</v>
      </c>
      <c r="AC1225" s="456">
        <v>0</v>
      </c>
      <c r="AD1225" s="469"/>
      <c r="AE1225" s="470"/>
      <c r="AF1225" s="5"/>
    </row>
    <row r="1226" spans="2:32" hidden="1" x14ac:dyDescent="0.25">
      <c r="B1226" s="430" t="s">
        <v>5124</v>
      </c>
      <c r="C1226" s="3" t="s">
        <v>1368</v>
      </c>
      <c r="D1226" s="3" t="s">
        <v>1247</v>
      </c>
      <c r="E1226" s="407" t="s">
        <v>4872</v>
      </c>
      <c r="F1226" s="407" t="s">
        <v>4897</v>
      </c>
      <c r="G1226" s="415"/>
      <c r="H1226" s="415"/>
      <c r="I1226" s="415"/>
      <c r="J1226" s="415"/>
      <c r="K1226" s="3" t="s">
        <v>4886</v>
      </c>
      <c r="L1226" s="387">
        <v>2</v>
      </c>
      <c r="M1226" s="387">
        <v>0</v>
      </c>
      <c r="N1226" s="387">
        <v>2</v>
      </c>
      <c r="O1226" s="442">
        <f t="shared" si="208"/>
        <v>2.0000000000000004</v>
      </c>
      <c r="P1226" s="387" t="s">
        <v>1358</v>
      </c>
      <c r="Q1226" s="459">
        <v>7.3</v>
      </c>
      <c r="R1226" s="459"/>
      <c r="S1226" s="456">
        <v>0</v>
      </c>
      <c r="T1226" s="459">
        <v>7.3</v>
      </c>
      <c r="U1226" s="555"/>
      <c r="V1226" s="411">
        <v>1</v>
      </c>
      <c r="W1226" s="411">
        <v>1</v>
      </c>
      <c r="X1226" s="411">
        <v>1</v>
      </c>
      <c r="Y1226" s="411"/>
      <c r="Z1226" s="411"/>
      <c r="AA1226" s="412">
        <f t="shared" si="206"/>
        <v>1.0000000000000002</v>
      </c>
      <c r="AB1226" s="456">
        <f t="shared" si="207"/>
        <v>7.3000000000000007</v>
      </c>
      <c r="AC1226" s="456">
        <v>0</v>
      </c>
      <c r="AD1226" s="469"/>
      <c r="AE1226" s="470"/>
      <c r="AF1226" s="5"/>
    </row>
    <row r="1227" spans="2:32" hidden="1" x14ac:dyDescent="0.25">
      <c r="B1227" s="430" t="s">
        <v>5125</v>
      </c>
      <c r="C1227" s="3" t="s">
        <v>1368</v>
      </c>
      <c r="D1227" s="3" t="s">
        <v>1247</v>
      </c>
      <c r="E1227" s="407" t="s">
        <v>4872</v>
      </c>
      <c r="F1227" s="407" t="s">
        <v>4898</v>
      </c>
      <c r="G1227" s="415"/>
      <c r="H1227" s="415"/>
      <c r="I1227" s="415"/>
      <c r="J1227" s="415"/>
      <c r="K1227" s="3" t="s">
        <v>4886</v>
      </c>
      <c r="L1227" s="387">
        <v>2</v>
      </c>
      <c r="M1227" s="387">
        <v>0</v>
      </c>
      <c r="N1227" s="387">
        <v>2</v>
      </c>
      <c r="O1227" s="442">
        <f t="shared" si="208"/>
        <v>2.0000000000000004</v>
      </c>
      <c r="P1227" s="387" t="s">
        <v>1358</v>
      </c>
      <c r="Q1227" s="459">
        <v>7.3</v>
      </c>
      <c r="R1227" s="459"/>
      <c r="S1227" s="456">
        <v>0</v>
      </c>
      <c r="T1227" s="459">
        <v>7.3</v>
      </c>
      <c r="U1227" s="555"/>
      <c r="V1227" s="411">
        <v>1</v>
      </c>
      <c r="W1227" s="411">
        <v>1</v>
      </c>
      <c r="X1227" s="411">
        <v>1</v>
      </c>
      <c r="Y1227" s="411"/>
      <c r="Z1227" s="411"/>
      <c r="AA1227" s="412">
        <f t="shared" si="206"/>
        <v>1.0000000000000002</v>
      </c>
      <c r="AB1227" s="456">
        <f t="shared" si="207"/>
        <v>7.3000000000000007</v>
      </c>
      <c r="AC1227" s="456">
        <v>0</v>
      </c>
      <c r="AD1227" s="469"/>
      <c r="AE1227" s="470"/>
      <c r="AF1227" s="5"/>
    </row>
    <row r="1228" spans="2:32" hidden="1" x14ac:dyDescent="0.25">
      <c r="B1228" s="1" t="s">
        <v>4983</v>
      </c>
      <c r="C1228" s="3" t="s">
        <v>1368</v>
      </c>
      <c r="D1228" s="3" t="s">
        <v>1247</v>
      </c>
      <c r="E1228" s="407" t="s">
        <v>4872</v>
      </c>
      <c r="F1228" s="407" t="s">
        <v>4899</v>
      </c>
      <c r="G1228" s="415"/>
      <c r="H1228" s="415"/>
      <c r="I1228" s="415"/>
      <c r="J1228" s="415"/>
      <c r="K1228" s="3" t="s">
        <v>4887</v>
      </c>
      <c r="L1228" s="387">
        <v>2</v>
      </c>
      <c r="M1228" s="387">
        <v>0</v>
      </c>
      <c r="N1228" s="387">
        <v>2</v>
      </c>
      <c r="O1228" s="442">
        <f t="shared" si="208"/>
        <v>2.0000000000000004</v>
      </c>
      <c r="P1228" s="387" t="s">
        <v>1358</v>
      </c>
      <c r="Q1228" s="459">
        <v>7.3</v>
      </c>
      <c r="R1228" s="459"/>
      <c r="S1228" s="456">
        <v>0</v>
      </c>
      <c r="T1228" s="459">
        <v>7.3</v>
      </c>
      <c r="U1228" s="555"/>
      <c r="V1228" s="411">
        <v>1</v>
      </c>
      <c r="W1228" s="411">
        <v>1</v>
      </c>
      <c r="X1228" s="411">
        <v>1</v>
      </c>
      <c r="Y1228" s="411"/>
      <c r="Z1228" s="411"/>
      <c r="AA1228" s="412">
        <f t="shared" si="206"/>
        <v>1.0000000000000002</v>
      </c>
      <c r="AB1228" s="456">
        <f t="shared" si="207"/>
        <v>7.3000000000000007</v>
      </c>
      <c r="AC1228" s="456">
        <v>0</v>
      </c>
      <c r="AD1228" s="469"/>
      <c r="AE1228" s="470"/>
      <c r="AF1228" s="5"/>
    </row>
    <row r="1229" spans="2:32" hidden="1" x14ac:dyDescent="0.25">
      <c r="B1229" s="430" t="s">
        <v>5126</v>
      </c>
      <c r="C1229" s="3" t="s">
        <v>1368</v>
      </c>
      <c r="D1229" s="3" t="s">
        <v>1247</v>
      </c>
      <c r="E1229" s="407" t="s">
        <v>4872</v>
      </c>
      <c r="F1229" s="407" t="s">
        <v>4900</v>
      </c>
      <c r="G1229" s="415"/>
      <c r="H1229" s="415"/>
      <c r="I1229" s="415"/>
      <c r="J1229" s="415"/>
      <c r="K1229" s="3" t="s">
        <v>4887</v>
      </c>
      <c r="L1229" s="387">
        <v>2</v>
      </c>
      <c r="M1229" s="387">
        <v>0</v>
      </c>
      <c r="N1229" s="387">
        <v>2</v>
      </c>
      <c r="O1229" s="442">
        <f t="shared" si="208"/>
        <v>2.0000000000000004</v>
      </c>
      <c r="P1229" s="387" t="s">
        <v>1358</v>
      </c>
      <c r="Q1229" s="459">
        <v>7.3</v>
      </c>
      <c r="R1229" s="459"/>
      <c r="S1229" s="456">
        <v>0</v>
      </c>
      <c r="T1229" s="459">
        <v>7.3</v>
      </c>
      <c r="U1229" s="555"/>
      <c r="V1229" s="411">
        <v>1</v>
      </c>
      <c r="W1229" s="411">
        <v>1</v>
      </c>
      <c r="X1229" s="411">
        <v>1</v>
      </c>
      <c r="Y1229" s="411"/>
      <c r="Z1229" s="411"/>
      <c r="AA1229" s="412">
        <f t="shared" si="206"/>
        <v>1.0000000000000002</v>
      </c>
      <c r="AB1229" s="456">
        <f t="shared" si="207"/>
        <v>7.3000000000000007</v>
      </c>
      <c r="AC1229" s="456">
        <v>0</v>
      </c>
      <c r="AD1229" s="469"/>
      <c r="AE1229" s="470"/>
      <c r="AF1229" s="5"/>
    </row>
    <row r="1230" spans="2:32" hidden="1" x14ac:dyDescent="0.25">
      <c r="B1230" s="1" t="s">
        <v>4984</v>
      </c>
      <c r="C1230" s="3" t="s">
        <v>1368</v>
      </c>
      <c r="D1230" s="3" t="s">
        <v>1247</v>
      </c>
      <c r="E1230" s="407" t="s">
        <v>4872</v>
      </c>
      <c r="F1230" s="407" t="s">
        <v>4901</v>
      </c>
      <c r="G1230" s="415"/>
      <c r="H1230" s="415"/>
      <c r="I1230" s="415"/>
      <c r="J1230" s="415"/>
      <c r="K1230" s="3" t="s">
        <v>4887</v>
      </c>
      <c r="L1230" s="387">
        <v>2</v>
      </c>
      <c r="M1230" s="387">
        <v>0</v>
      </c>
      <c r="N1230" s="387">
        <v>2</v>
      </c>
      <c r="O1230" s="442">
        <f t="shared" si="208"/>
        <v>2.0000000000000004</v>
      </c>
      <c r="P1230" s="387" t="s">
        <v>1358</v>
      </c>
      <c r="Q1230" s="459">
        <v>7.3</v>
      </c>
      <c r="R1230" s="459"/>
      <c r="S1230" s="456">
        <v>0</v>
      </c>
      <c r="T1230" s="459">
        <v>7.3</v>
      </c>
      <c r="U1230" s="555"/>
      <c r="V1230" s="411">
        <v>1</v>
      </c>
      <c r="W1230" s="411">
        <v>1</v>
      </c>
      <c r="X1230" s="411">
        <v>1</v>
      </c>
      <c r="Y1230" s="411"/>
      <c r="Z1230" s="411"/>
      <c r="AA1230" s="412">
        <f t="shared" si="206"/>
        <v>1.0000000000000002</v>
      </c>
      <c r="AB1230" s="456">
        <f t="shared" si="207"/>
        <v>7.3000000000000007</v>
      </c>
      <c r="AC1230" s="456">
        <v>0</v>
      </c>
      <c r="AD1230" s="469"/>
      <c r="AE1230" s="470"/>
      <c r="AF1230" s="5"/>
    </row>
    <row r="1231" spans="2:32" hidden="1" x14ac:dyDescent="0.25">
      <c r="B1231" s="1" t="s">
        <v>4986</v>
      </c>
      <c r="C1231" s="3" t="s">
        <v>1368</v>
      </c>
      <c r="D1231" s="3" t="s">
        <v>1247</v>
      </c>
      <c r="E1231" s="407" t="s">
        <v>4872</v>
      </c>
      <c r="F1231" s="407" t="s">
        <v>4902</v>
      </c>
      <c r="G1231" s="415"/>
      <c r="H1231" s="415"/>
      <c r="I1231" s="415"/>
      <c r="J1231" s="415"/>
      <c r="K1231" s="3" t="s">
        <v>4888</v>
      </c>
      <c r="L1231" s="387">
        <v>2</v>
      </c>
      <c r="M1231" s="387">
        <v>0</v>
      </c>
      <c r="N1231" s="387">
        <v>2</v>
      </c>
      <c r="O1231" s="442">
        <f t="shared" si="208"/>
        <v>2.0000000000000004</v>
      </c>
      <c r="P1231" s="387" t="s">
        <v>1358</v>
      </c>
      <c r="Q1231" s="459">
        <v>7.3</v>
      </c>
      <c r="R1231" s="459"/>
      <c r="S1231" s="456">
        <v>0</v>
      </c>
      <c r="T1231" s="459">
        <v>7.3</v>
      </c>
      <c r="V1231" s="411">
        <v>1</v>
      </c>
      <c r="W1231" s="411">
        <v>1</v>
      </c>
      <c r="X1231" s="411">
        <v>1</v>
      </c>
      <c r="Y1231" s="411"/>
      <c r="Z1231" s="411"/>
      <c r="AA1231" s="412">
        <f t="shared" si="206"/>
        <v>1.0000000000000002</v>
      </c>
      <c r="AB1231" s="456">
        <f t="shared" si="207"/>
        <v>7.3000000000000007</v>
      </c>
      <c r="AC1231" s="456">
        <v>0</v>
      </c>
      <c r="AF1231" s="5"/>
    </row>
    <row r="1232" spans="2:32" hidden="1" x14ac:dyDescent="0.25">
      <c r="B1232" s="430" t="s">
        <v>5127</v>
      </c>
      <c r="C1232" s="3" t="s">
        <v>1368</v>
      </c>
      <c r="D1232" s="3" t="s">
        <v>1247</v>
      </c>
      <c r="E1232" s="407" t="s">
        <v>4872</v>
      </c>
      <c r="F1232" s="407" t="s">
        <v>4903</v>
      </c>
      <c r="G1232" s="415"/>
      <c r="H1232" s="415"/>
      <c r="I1232" s="415"/>
      <c r="J1232" s="415"/>
      <c r="K1232" s="3" t="s">
        <v>4888</v>
      </c>
      <c r="L1232" s="387">
        <v>2</v>
      </c>
      <c r="M1232" s="387">
        <v>0</v>
      </c>
      <c r="N1232" s="387">
        <v>2</v>
      </c>
      <c r="O1232" s="442">
        <f t="shared" si="208"/>
        <v>2.0000000000000004</v>
      </c>
      <c r="P1232" s="387" t="s">
        <v>1358</v>
      </c>
      <c r="Q1232" s="459">
        <v>7.3</v>
      </c>
      <c r="R1232" s="459"/>
      <c r="S1232" s="456">
        <v>0</v>
      </c>
      <c r="T1232" s="459">
        <v>7.3</v>
      </c>
      <c r="U1232" s="555"/>
      <c r="V1232" s="411">
        <v>1</v>
      </c>
      <c r="W1232" s="411">
        <v>1</v>
      </c>
      <c r="X1232" s="411">
        <v>1</v>
      </c>
      <c r="Y1232" s="411"/>
      <c r="Z1232" s="411"/>
      <c r="AA1232" s="412">
        <f t="shared" si="206"/>
        <v>1.0000000000000002</v>
      </c>
      <c r="AB1232" s="456">
        <f t="shared" si="207"/>
        <v>7.3000000000000007</v>
      </c>
      <c r="AC1232" s="456">
        <v>0</v>
      </c>
      <c r="AD1232" s="469"/>
      <c r="AE1232" s="470"/>
      <c r="AF1232" s="5"/>
    </row>
    <row r="1233" spans="2:32" hidden="1" x14ac:dyDescent="0.25">
      <c r="B1233" s="430" t="s">
        <v>5128</v>
      </c>
      <c r="C1233" s="3" t="s">
        <v>1368</v>
      </c>
      <c r="D1233" s="3" t="s">
        <v>1247</v>
      </c>
      <c r="E1233" s="407" t="s">
        <v>4872</v>
      </c>
      <c r="F1233" s="407" t="s">
        <v>4904</v>
      </c>
      <c r="G1233" s="415"/>
      <c r="H1233" s="415"/>
      <c r="I1233" s="415"/>
      <c r="J1233" s="415"/>
      <c r="K1233" s="3" t="s">
        <v>4888</v>
      </c>
      <c r="L1233" s="387">
        <v>2</v>
      </c>
      <c r="M1233" s="387">
        <v>0</v>
      </c>
      <c r="N1233" s="387">
        <v>2</v>
      </c>
      <c r="O1233" s="442">
        <f t="shared" si="208"/>
        <v>2.0000000000000004</v>
      </c>
      <c r="P1233" s="387" t="s">
        <v>1358</v>
      </c>
      <c r="Q1233" s="459">
        <v>7.3</v>
      </c>
      <c r="R1233" s="459"/>
      <c r="S1233" s="456">
        <v>0</v>
      </c>
      <c r="T1233" s="459">
        <v>7.3</v>
      </c>
      <c r="U1233" s="555"/>
      <c r="V1233" s="411">
        <v>1</v>
      </c>
      <c r="W1233" s="411">
        <v>1</v>
      </c>
      <c r="X1233" s="411">
        <v>1</v>
      </c>
      <c r="Y1233" s="411"/>
      <c r="Z1233" s="411"/>
      <c r="AA1233" s="412">
        <f t="shared" si="206"/>
        <v>1.0000000000000002</v>
      </c>
      <c r="AB1233" s="456">
        <f t="shared" si="207"/>
        <v>7.3000000000000007</v>
      </c>
      <c r="AC1233" s="456">
        <v>0</v>
      </c>
      <c r="AD1233" s="469"/>
      <c r="AE1233" s="470"/>
      <c r="AF1233" s="5"/>
    </row>
    <row r="1234" spans="2:32" hidden="1" x14ac:dyDescent="0.25">
      <c r="B1234" s="430" t="s">
        <v>5129</v>
      </c>
      <c r="C1234" s="3" t="s">
        <v>1368</v>
      </c>
      <c r="D1234" s="3" t="s">
        <v>1247</v>
      </c>
      <c r="E1234" s="407" t="s">
        <v>4872</v>
      </c>
      <c r="F1234" s="407" t="s">
        <v>4905</v>
      </c>
      <c r="G1234" s="415"/>
      <c r="H1234" s="415"/>
      <c r="I1234" s="415"/>
      <c r="J1234" s="415"/>
      <c r="K1234" s="3" t="s">
        <v>4888</v>
      </c>
      <c r="L1234" s="387">
        <v>2</v>
      </c>
      <c r="M1234" s="387">
        <v>0</v>
      </c>
      <c r="N1234" s="387">
        <v>2</v>
      </c>
      <c r="O1234" s="442">
        <f t="shared" si="208"/>
        <v>2.0000000000000004</v>
      </c>
      <c r="P1234" s="387" t="s">
        <v>1358</v>
      </c>
      <c r="Q1234" s="459">
        <v>7.3</v>
      </c>
      <c r="R1234" s="459"/>
      <c r="S1234" s="456">
        <v>0</v>
      </c>
      <c r="T1234" s="459">
        <v>7.3</v>
      </c>
      <c r="U1234" s="555"/>
      <c r="V1234" s="411">
        <v>1</v>
      </c>
      <c r="W1234" s="411">
        <v>1</v>
      </c>
      <c r="X1234" s="411">
        <v>1</v>
      </c>
      <c r="Y1234" s="411"/>
      <c r="Z1234" s="411"/>
      <c r="AA1234" s="412">
        <f t="shared" si="206"/>
        <v>1.0000000000000002</v>
      </c>
      <c r="AB1234" s="456">
        <f t="shared" si="207"/>
        <v>7.3000000000000007</v>
      </c>
      <c r="AC1234" s="456">
        <v>0</v>
      </c>
      <c r="AD1234" s="469"/>
      <c r="AE1234" s="470"/>
      <c r="AF1234" s="5"/>
    </row>
    <row r="1235" spans="2:32" hidden="1" x14ac:dyDescent="0.25">
      <c r="B1235" s="1" t="s">
        <v>4987</v>
      </c>
      <c r="C1235" s="3" t="s">
        <v>1368</v>
      </c>
      <c r="D1235" s="3" t="s">
        <v>1247</v>
      </c>
      <c r="E1235" s="407" t="s">
        <v>4872</v>
      </c>
      <c r="F1235" s="407" t="s">
        <v>4906</v>
      </c>
      <c r="G1235" s="415"/>
      <c r="H1235" s="415"/>
      <c r="I1235" s="415"/>
      <c r="J1235" s="415"/>
      <c r="K1235" s="3" t="s">
        <v>4888</v>
      </c>
      <c r="L1235" s="387">
        <v>2</v>
      </c>
      <c r="M1235" s="387">
        <v>0</v>
      </c>
      <c r="N1235" s="387">
        <v>2</v>
      </c>
      <c r="O1235" s="442">
        <f t="shared" si="208"/>
        <v>2.0000000000000004</v>
      </c>
      <c r="P1235" s="387" t="s">
        <v>1358</v>
      </c>
      <c r="Q1235" s="459">
        <v>7.3</v>
      </c>
      <c r="R1235" s="459"/>
      <c r="S1235" s="456">
        <v>0</v>
      </c>
      <c r="T1235" s="459">
        <v>7.3</v>
      </c>
      <c r="U1235" s="555"/>
      <c r="V1235" s="411">
        <v>1</v>
      </c>
      <c r="W1235" s="411">
        <v>1</v>
      </c>
      <c r="X1235" s="411">
        <v>1</v>
      </c>
      <c r="Y1235" s="411"/>
      <c r="Z1235" s="411"/>
      <c r="AA1235" s="412">
        <f t="shared" si="206"/>
        <v>1.0000000000000002</v>
      </c>
      <c r="AB1235" s="456">
        <f t="shared" si="207"/>
        <v>7.3000000000000007</v>
      </c>
      <c r="AC1235" s="456">
        <v>0</v>
      </c>
      <c r="AD1235" s="469"/>
      <c r="AE1235" s="470"/>
      <c r="AF1235" s="5"/>
    </row>
    <row r="1236" spans="2:32" hidden="1" x14ac:dyDescent="0.25">
      <c r="B1236" s="430" t="s">
        <v>5130</v>
      </c>
      <c r="C1236" s="3" t="s">
        <v>1368</v>
      </c>
      <c r="D1236" s="3" t="s">
        <v>1247</v>
      </c>
      <c r="E1236" s="407" t="s">
        <v>4872</v>
      </c>
      <c r="F1236" s="407" t="s">
        <v>4907</v>
      </c>
      <c r="G1236" s="415"/>
      <c r="H1236" s="415"/>
      <c r="I1236" s="415"/>
      <c r="J1236" s="415"/>
      <c r="K1236" s="3" t="s">
        <v>4888</v>
      </c>
      <c r="L1236" s="387">
        <v>2</v>
      </c>
      <c r="M1236" s="387">
        <v>0</v>
      </c>
      <c r="N1236" s="387">
        <v>2</v>
      </c>
      <c r="O1236" s="442">
        <f t="shared" si="208"/>
        <v>2.0000000000000004</v>
      </c>
      <c r="P1236" s="387" t="s">
        <v>1358</v>
      </c>
      <c r="Q1236" s="459">
        <v>7.3</v>
      </c>
      <c r="R1236" s="459"/>
      <c r="S1236" s="456">
        <v>0</v>
      </c>
      <c r="T1236" s="459">
        <v>7.3</v>
      </c>
      <c r="U1236" s="555"/>
      <c r="V1236" s="411">
        <v>1</v>
      </c>
      <c r="W1236" s="411">
        <v>1</v>
      </c>
      <c r="X1236" s="411">
        <v>1</v>
      </c>
      <c r="Y1236" s="411"/>
      <c r="Z1236" s="411"/>
      <c r="AA1236" s="412">
        <f t="shared" si="206"/>
        <v>1.0000000000000002</v>
      </c>
      <c r="AB1236" s="456">
        <f t="shared" si="207"/>
        <v>7.3000000000000007</v>
      </c>
      <c r="AC1236" s="456">
        <v>0</v>
      </c>
      <c r="AD1236" s="469"/>
      <c r="AE1236" s="470"/>
      <c r="AF1236" s="5"/>
    </row>
    <row r="1237" spans="2:32" hidden="1" x14ac:dyDescent="0.25">
      <c r="B1237" s="430" t="s">
        <v>5131</v>
      </c>
      <c r="C1237" s="3" t="s">
        <v>1368</v>
      </c>
      <c r="D1237" s="3" t="s">
        <v>1247</v>
      </c>
      <c r="E1237" s="407" t="s">
        <v>4872</v>
      </c>
      <c r="F1237" s="407" t="s">
        <v>4908</v>
      </c>
      <c r="G1237" s="415"/>
      <c r="H1237" s="415"/>
      <c r="I1237" s="415"/>
      <c r="J1237" s="415"/>
      <c r="K1237" s="3" t="s">
        <v>4888</v>
      </c>
      <c r="L1237" s="387">
        <v>2</v>
      </c>
      <c r="M1237" s="387">
        <v>0</v>
      </c>
      <c r="N1237" s="387">
        <v>2</v>
      </c>
      <c r="O1237" s="442">
        <f t="shared" si="208"/>
        <v>2.0000000000000004</v>
      </c>
      <c r="P1237" s="387" t="s">
        <v>1358</v>
      </c>
      <c r="Q1237" s="459">
        <v>7.3</v>
      </c>
      <c r="R1237" s="459"/>
      <c r="S1237" s="456">
        <v>0</v>
      </c>
      <c r="T1237" s="459">
        <v>7.3</v>
      </c>
      <c r="U1237" s="555"/>
      <c r="V1237" s="411">
        <v>1</v>
      </c>
      <c r="W1237" s="411">
        <v>1</v>
      </c>
      <c r="X1237" s="411">
        <v>1</v>
      </c>
      <c r="Y1237" s="411"/>
      <c r="Z1237" s="411"/>
      <c r="AA1237" s="412">
        <f t="shared" si="206"/>
        <v>1.0000000000000002</v>
      </c>
      <c r="AB1237" s="456">
        <f t="shared" si="207"/>
        <v>7.3000000000000007</v>
      </c>
      <c r="AC1237" s="456">
        <v>0</v>
      </c>
      <c r="AD1237" s="469"/>
      <c r="AE1237" s="470"/>
      <c r="AF1237" s="5"/>
    </row>
    <row r="1238" spans="2:32" hidden="1" x14ac:dyDescent="0.25">
      <c r="B1238" s="1" t="s">
        <v>4988</v>
      </c>
      <c r="C1238" s="3" t="s">
        <v>1368</v>
      </c>
      <c r="D1238" s="3" t="s">
        <v>1247</v>
      </c>
      <c r="E1238" s="407" t="s">
        <v>4872</v>
      </c>
      <c r="F1238" s="407" t="s">
        <v>4909</v>
      </c>
      <c r="G1238" s="415"/>
      <c r="H1238" s="415"/>
      <c r="I1238" s="415"/>
      <c r="J1238" s="415"/>
      <c r="K1238" s="3" t="s">
        <v>4888</v>
      </c>
      <c r="L1238" s="387">
        <v>2</v>
      </c>
      <c r="M1238" s="387">
        <v>0</v>
      </c>
      <c r="N1238" s="387">
        <v>2</v>
      </c>
      <c r="O1238" s="442">
        <f t="shared" si="208"/>
        <v>2.0000000000000004</v>
      </c>
      <c r="P1238" s="387" t="s">
        <v>1358</v>
      </c>
      <c r="Q1238" s="459">
        <v>7.3</v>
      </c>
      <c r="R1238" s="459"/>
      <c r="S1238" s="456">
        <v>0</v>
      </c>
      <c r="T1238" s="459">
        <v>7.3</v>
      </c>
      <c r="U1238" s="555"/>
      <c r="V1238" s="411">
        <v>1</v>
      </c>
      <c r="W1238" s="411">
        <v>1</v>
      </c>
      <c r="X1238" s="411">
        <v>1</v>
      </c>
      <c r="Y1238" s="411"/>
      <c r="Z1238" s="411"/>
      <c r="AA1238" s="412">
        <f t="shared" si="206"/>
        <v>1.0000000000000002</v>
      </c>
      <c r="AB1238" s="456">
        <f t="shared" si="207"/>
        <v>7.3000000000000007</v>
      </c>
      <c r="AC1238" s="456">
        <v>0</v>
      </c>
      <c r="AD1238" s="469"/>
      <c r="AE1238" s="470"/>
      <c r="AF1238" s="5"/>
    </row>
    <row r="1239" spans="2:32" hidden="1" x14ac:dyDescent="0.25">
      <c r="B1239" s="430" t="s">
        <v>5132</v>
      </c>
      <c r="C1239" s="3" t="s">
        <v>1368</v>
      </c>
      <c r="D1239" s="3" t="s">
        <v>1247</v>
      </c>
      <c r="E1239" s="407" t="s">
        <v>4872</v>
      </c>
      <c r="F1239" s="407" t="s">
        <v>4910</v>
      </c>
      <c r="G1239" s="415"/>
      <c r="H1239" s="415"/>
      <c r="I1239" s="415"/>
      <c r="J1239" s="415"/>
      <c r="K1239" s="3" t="s">
        <v>4889</v>
      </c>
      <c r="L1239" s="387">
        <v>2</v>
      </c>
      <c r="M1239" s="387">
        <v>0</v>
      </c>
      <c r="N1239" s="387">
        <v>2</v>
      </c>
      <c r="O1239" s="442">
        <f t="shared" si="208"/>
        <v>2.0000000000000004</v>
      </c>
      <c r="P1239" s="387" t="s">
        <v>1358</v>
      </c>
      <c r="Q1239" s="459">
        <v>7.3</v>
      </c>
      <c r="R1239" s="459"/>
      <c r="S1239" s="456">
        <v>0</v>
      </c>
      <c r="T1239" s="459">
        <v>7.3</v>
      </c>
      <c r="U1239" s="555"/>
      <c r="V1239" s="411">
        <v>1</v>
      </c>
      <c r="W1239" s="411">
        <v>1</v>
      </c>
      <c r="X1239" s="411">
        <v>1</v>
      </c>
      <c r="Y1239" s="411"/>
      <c r="Z1239" s="411"/>
      <c r="AA1239" s="412">
        <f t="shared" si="206"/>
        <v>1.0000000000000002</v>
      </c>
      <c r="AB1239" s="456">
        <f t="shared" si="207"/>
        <v>7.3000000000000007</v>
      </c>
      <c r="AC1239" s="456">
        <v>0</v>
      </c>
      <c r="AD1239" s="469"/>
      <c r="AE1239" s="470"/>
      <c r="AF1239" s="5"/>
    </row>
    <row r="1240" spans="2:32" hidden="1" x14ac:dyDescent="0.25">
      <c r="B1240" s="430" t="s">
        <v>5133</v>
      </c>
      <c r="C1240" s="3" t="s">
        <v>1368</v>
      </c>
      <c r="D1240" s="3" t="s">
        <v>1247</v>
      </c>
      <c r="E1240" s="407" t="s">
        <v>4872</v>
      </c>
      <c r="F1240" s="407" t="s">
        <v>4911</v>
      </c>
      <c r="G1240" s="415"/>
      <c r="H1240" s="415"/>
      <c r="I1240" s="415"/>
      <c r="J1240" s="415"/>
      <c r="K1240" s="3" t="s">
        <v>4889</v>
      </c>
      <c r="L1240" s="387">
        <v>2</v>
      </c>
      <c r="M1240" s="387">
        <v>0</v>
      </c>
      <c r="N1240" s="387">
        <v>2</v>
      </c>
      <c r="O1240" s="442">
        <f t="shared" si="208"/>
        <v>2.0000000000000004</v>
      </c>
      <c r="P1240" s="387" t="s">
        <v>1358</v>
      </c>
      <c r="Q1240" s="459">
        <v>7.3</v>
      </c>
      <c r="R1240" s="459"/>
      <c r="S1240" s="456">
        <v>0</v>
      </c>
      <c r="T1240" s="459">
        <v>7.3</v>
      </c>
      <c r="U1240" s="555"/>
      <c r="V1240" s="411">
        <v>1</v>
      </c>
      <c r="W1240" s="411">
        <v>1</v>
      </c>
      <c r="X1240" s="411">
        <v>1</v>
      </c>
      <c r="Y1240" s="411"/>
      <c r="Z1240" s="411"/>
      <c r="AA1240" s="412">
        <f t="shared" si="206"/>
        <v>1.0000000000000002</v>
      </c>
      <c r="AB1240" s="456">
        <f t="shared" si="207"/>
        <v>7.3000000000000007</v>
      </c>
      <c r="AC1240" s="456">
        <v>0</v>
      </c>
      <c r="AD1240" s="469"/>
      <c r="AE1240" s="470"/>
      <c r="AF1240" s="5"/>
    </row>
    <row r="1241" spans="2:32" hidden="1" x14ac:dyDescent="0.25">
      <c r="B1241" s="1" t="s">
        <v>4989</v>
      </c>
      <c r="C1241" s="3" t="s">
        <v>1368</v>
      </c>
      <c r="D1241" s="3" t="s">
        <v>1247</v>
      </c>
      <c r="E1241" s="407" t="s">
        <v>4872</v>
      </c>
      <c r="F1241" s="407" t="s">
        <v>4912</v>
      </c>
      <c r="G1241" s="415"/>
      <c r="H1241" s="415"/>
      <c r="I1241" s="415"/>
      <c r="J1241" s="415"/>
      <c r="K1241" s="3" t="s">
        <v>4889</v>
      </c>
      <c r="L1241" s="387">
        <v>2</v>
      </c>
      <c r="M1241" s="387">
        <v>0</v>
      </c>
      <c r="N1241" s="387">
        <v>2</v>
      </c>
      <c r="O1241" s="442">
        <f t="shared" si="208"/>
        <v>2</v>
      </c>
      <c r="P1241" s="387" t="s">
        <v>1358</v>
      </c>
      <c r="Q1241" s="459">
        <v>8</v>
      </c>
      <c r="R1241" s="459"/>
      <c r="S1241" s="456">
        <v>0</v>
      </c>
      <c r="T1241" s="459">
        <v>8</v>
      </c>
      <c r="U1241" s="555"/>
      <c r="V1241" s="411">
        <v>1</v>
      </c>
      <c r="W1241" s="411">
        <v>1</v>
      </c>
      <c r="X1241" s="411">
        <v>1</v>
      </c>
      <c r="Y1241" s="411"/>
      <c r="Z1241" s="411"/>
      <c r="AA1241" s="412">
        <f t="shared" si="206"/>
        <v>1</v>
      </c>
      <c r="AB1241" s="456">
        <f t="shared" si="207"/>
        <v>8</v>
      </c>
      <c r="AC1241" s="456">
        <v>0</v>
      </c>
      <c r="AD1241" s="469"/>
      <c r="AE1241" s="470"/>
      <c r="AF1241" s="5"/>
    </row>
    <row r="1242" spans="2:32" hidden="1" x14ac:dyDescent="0.25">
      <c r="B1242" s="1" t="s">
        <v>4990</v>
      </c>
      <c r="C1242" s="3" t="s">
        <v>1368</v>
      </c>
      <c r="D1242" s="3" t="s">
        <v>1247</v>
      </c>
      <c r="E1242" s="407" t="s">
        <v>4872</v>
      </c>
      <c r="F1242" s="407" t="s">
        <v>4913</v>
      </c>
      <c r="G1242" s="415"/>
      <c r="H1242" s="415"/>
      <c r="I1242" s="415"/>
      <c r="J1242" s="415"/>
      <c r="K1242" s="3" t="s">
        <v>4889</v>
      </c>
      <c r="L1242" s="387">
        <v>2</v>
      </c>
      <c r="M1242" s="387">
        <v>0</v>
      </c>
      <c r="N1242" s="387">
        <v>2</v>
      </c>
      <c r="O1242" s="442">
        <f t="shared" si="208"/>
        <v>2.0000000000000004</v>
      </c>
      <c r="P1242" s="387" t="s">
        <v>1358</v>
      </c>
      <c r="Q1242" s="459">
        <v>7.3</v>
      </c>
      <c r="R1242" s="459"/>
      <c r="S1242" s="456">
        <v>0</v>
      </c>
      <c r="T1242" s="459">
        <v>7.3</v>
      </c>
      <c r="U1242" s="555"/>
      <c r="V1242" s="411">
        <v>1</v>
      </c>
      <c r="W1242" s="411">
        <v>1</v>
      </c>
      <c r="X1242" s="411">
        <v>1</v>
      </c>
      <c r="Y1242" s="411"/>
      <c r="Z1242" s="411"/>
      <c r="AA1242" s="412">
        <f t="shared" si="206"/>
        <v>1.0000000000000002</v>
      </c>
      <c r="AB1242" s="456">
        <f t="shared" si="207"/>
        <v>7.3000000000000007</v>
      </c>
      <c r="AC1242" s="456">
        <v>0</v>
      </c>
      <c r="AD1242" s="469"/>
      <c r="AE1242" s="470"/>
      <c r="AF1242" s="5"/>
    </row>
    <row r="1243" spans="2:32" hidden="1" x14ac:dyDescent="0.25">
      <c r="B1243" s="430" t="s">
        <v>5134</v>
      </c>
      <c r="C1243" s="3" t="s">
        <v>1368</v>
      </c>
      <c r="D1243" s="3" t="s">
        <v>1247</v>
      </c>
      <c r="E1243" s="407" t="s">
        <v>4872</v>
      </c>
      <c r="F1243" s="407" t="s">
        <v>4914</v>
      </c>
      <c r="G1243" s="415"/>
      <c r="H1243" s="415"/>
      <c r="I1243" s="415"/>
      <c r="J1243" s="415"/>
      <c r="K1243" s="3" t="s">
        <v>4889</v>
      </c>
      <c r="L1243" s="387">
        <v>2</v>
      </c>
      <c r="M1243" s="387">
        <v>0</v>
      </c>
      <c r="N1243" s="387">
        <v>2</v>
      </c>
      <c r="O1243" s="442">
        <f t="shared" si="208"/>
        <v>2</v>
      </c>
      <c r="P1243" s="387" t="s">
        <v>1358</v>
      </c>
      <c r="Q1243" s="459">
        <v>8</v>
      </c>
      <c r="R1243" s="459"/>
      <c r="S1243" s="456">
        <v>0</v>
      </c>
      <c r="T1243" s="459">
        <v>8</v>
      </c>
      <c r="V1243" s="411">
        <v>1</v>
      </c>
      <c r="W1243" s="411">
        <v>1</v>
      </c>
      <c r="X1243" s="411">
        <v>1</v>
      </c>
      <c r="Y1243" s="411"/>
      <c r="Z1243" s="411"/>
      <c r="AA1243" s="412">
        <f t="shared" si="206"/>
        <v>1</v>
      </c>
      <c r="AB1243" s="456">
        <f t="shared" si="207"/>
        <v>8</v>
      </c>
      <c r="AC1243" s="456">
        <v>0</v>
      </c>
      <c r="AF1243" s="5"/>
    </row>
    <row r="1244" spans="2:32" hidden="1" x14ac:dyDescent="0.25">
      <c r="B1244" s="1" t="s">
        <v>4979</v>
      </c>
      <c r="C1244" s="3" t="s">
        <v>1368</v>
      </c>
      <c r="D1244" s="3" t="s">
        <v>1247</v>
      </c>
      <c r="E1244" s="407" t="s">
        <v>4872</v>
      </c>
      <c r="F1244" s="407" t="s">
        <v>4893</v>
      </c>
      <c r="G1244" s="415"/>
      <c r="H1244" s="415"/>
      <c r="I1244" s="415"/>
      <c r="J1244" s="415"/>
      <c r="K1244" s="3" t="s">
        <v>4890</v>
      </c>
      <c r="L1244" s="387">
        <v>2</v>
      </c>
      <c r="M1244" s="387">
        <v>0</v>
      </c>
      <c r="N1244" s="387">
        <v>2</v>
      </c>
      <c r="O1244" s="442">
        <f t="shared" si="208"/>
        <v>2.0000000000000004</v>
      </c>
      <c r="P1244" s="387" t="s">
        <v>1358</v>
      </c>
      <c r="Q1244" s="459">
        <v>7.3</v>
      </c>
      <c r="R1244" s="459"/>
      <c r="S1244" s="456">
        <v>0</v>
      </c>
      <c r="T1244" s="459">
        <v>7.3</v>
      </c>
      <c r="U1244" s="555"/>
      <c r="V1244" s="411">
        <v>1</v>
      </c>
      <c r="W1244" s="411">
        <v>1</v>
      </c>
      <c r="X1244" s="411">
        <v>1</v>
      </c>
      <c r="Y1244" s="411"/>
      <c r="Z1244" s="411"/>
      <c r="AA1244" s="412">
        <f t="shared" si="206"/>
        <v>1.0000000000000002</v>
      </c>
      <c r="AB1244" s="456">
        <f t="shared" si="207"/>
        <v>7.3000000000000007</v>
      </c>
      <c r="AC1244" s="456">
        <v>0</v>
      </c>
      <c r="AD1244" s="469"/>
      <c r="AE1244" s="470"/>
      <c r="AF1244" s="5"/>
    </row>
    <row r="1245" spans="2:32" hidden="1" x14ac:dyDescent="0.25">
      <c r="B1245" s="1" t="s">
        <v>4991</v>
      </c>
      <c r="C1245" s="3" t="s">
        <v>1368</v>
      </c>
      <c r="D1245" s="3" t="s">
        <v>1247</v>
      </c>
      <c r="E1245" s="407" t="s">
        <v>4872</v>
      </c>
      <c r="F1245" s="407" t="s">
        <v>4915</v>
      </c>
      <c r="G1245" s="415"/>
      <c r="H1245" s="415"/>
      <c r="I1245" s="415"/>
      <c r="J1245" s="415"/>
      <c r="K1245" s="3" t="s">
        <v>4890</v>
      </c>
      <c r="L1245" s="387">
        <v>2</v>
      </c>
      <c r="M1245" s="387">
        <v>0</v>
      </c>
      <c r="N1245" s="387">
        <v>2</v>
      </c>
      <c r="O1245" s="442">
        <f t="shared" si="208"/>
        <v>2.0000000000000004</v>
      </c>
      <c r="P1245" s="387" t="s">
        <v>1358</v>
      </c>
      <c r="Q1245" s="459">
        <v>7.3</v>
      </c>
      <c r="R1245" s="459"/>
      <c r="S1245" s="456">
        <v>0</v>
      </c>
      <c r="T1245" s="459">
        <v>7.3</v>
      </c>
      <c r="U1245" s="555"/>
      <c r="V1245" s="411">
        <v>1</v>
      </c>
      <c r="W1245" s="411">
        <v>1</v>
      </c>
      <c r="X1245" s="411">
        <v>1</v>
      </c>
      <c r="Y1245" s="411"/>
      <c r="Z1245" s="411"/>
      <c r="AA1245" s="412">
        <f t="shared" si="206"/>
        <v>1.0000000000000002</v>
      </c>
      <c r="AB1245" s="456">
        <f t="shared" si="207"/>
        <v>7.3000000000000007</v>
      </c>
      <c r="AC1245" s="456">
        <v>0</v>
      </c>
      <c r="AD1245" s="469"/>
      <c r="AE1245" s="470"/>
      <c r="AF1245" s="5"/>
    </row>
    <row r="1246" spans="2:32" hidden="1" x14ac:dyDescent="0.25">
      <c r="B1246" s="1" t="s">
        <v>4982</v>
      </c>
      <c r="C1246" s="3" t="s">
        <v>1368</v>
      </c>
      <c r="D1246" s="3" t="s">
        <v>1247</v>
      </c>
      <c r="E1246" s="407" t="s">
        <v>4872</v>
      </c>
      <c r="F1246" s="407" t="s">
        <v>4916</v>
      </c>
      <c r="G1246" s="415"/>
      <c r="H1246" s="415"/>
      <c r="I1246" s="415"/>
      <c r="J1246" s="415"/>
      <c r="K1246" s="3" t="s">
        <v>4890</v>
      </c>
      <c r="L1246" s="387">
        <v>2</v>
      </c>
      <c r="M1246" s="387">
        <v>0</v>
      </c>
      <c r="N1246" s="387">
        <v>2</v>
      </c>
      <c r="O1246" s="442">
        <f t="shared" si="208"/>
        <v>2.0000000000000004</v>
      </c>
      <c r="P1246" s="387" t="s">
        <v>1358</v>
      </c>
      <c r="Q1246" s="459">
        <v>7.3</v>
      </c>
      <c r="R1246" s="459"/>
      <c r="S1246" s="456">
        <v>0</v>
      </c>
      <c r="T1246" s="459">
        <v>7.3</v>
      </c>
      <c r="U1246" s="555"/>
      <c r="V1246" s="411">
        <v>1</v>
      </c>
      <c r="W1246" s="411">
        <v>1</v>
      </c>
      <c r="X1246" s="411">
        <v>1</v>
      </c>
      <c r="Y1246" s="411"/>
      <c r="Z1246" s="411"/>
      <c r="AA1246" s="412">
        <f t="shared" si="206"/>
        <v>1.0000000000000002</v>
      </c>
      <c r="AB1246" s="456">
        <f t="shared" si="207"/>
        <v>7.3000000000000007</v>
      </c>
      <c r="AC1246" s="456">
        <v>0</v>
      </c>
      <c r="AD1246" s="469"/>
      <c r="AE1246" s="470"/>
      <c r="AF1246" s="5"/>
    </row>
    <row r="1247" spans="2:32" hidden="1" x14ac:dyDescent="0.25">
      <c r="B1247" s="1" t="s">
        <v>4992</v>
      </c>
      <c r="C1247" s="3" t="s">
        <v>1368</v>
      </c>
      <c r="D1247" s="3" t="s">
        <v>1247</v>
      </c>
      <c r="E1247" s="407" t="s">
        <v>4872</v>
      </c>
      <c r="F1247" s="407" t="s">
        <v>4902</v>
      </c>
      <c r="G1247" s="415"/>
      <c r="H1247" s="415"/>
      <c r="I1247" s="415"/>
      <c r="J1247" s="415"/>
      <c r="K1247" s="3" t="s">
        <v>4890</v>
      </c>
      <c r="L1247" s="387">
        <v>2</v>
      </c>
      <c r="M1247" s="387">
        <v>0</v>
      </c>
      <c r="N1247" s="387">
        <v>2</v>
      </c>
      <c r="O1247" s="442">
        <f t="shared" si="208"/>
        <v>2.0000000000000004</v>
      </c>
      <c r="P1247" s="387" t="s">
        <v>1358</v>
      </c>
      <c r="Q1247" s="459">
        <v>7.3</v>
      </c>
      <c r="R1247" s="459"/>
      <c r="S1247" s="456">
        <v>0</v>
      </c>
      <c r="T1247" s="459">
        <v>7.3</v>
      </c>
      <c r="U1247" s="555"/>
      <c r="V1247" s="411">
        <v>1</v>
      </c>
      <c r="W1247" s="411">
        <v>1</v>
      </c>
      <c r="X1247" s="411">
        <v>1</v>
      </c>
      <c r="Y1247" s="411"/>
      <c r="Z1247" s="411"/>
      <c r="AA1247" s="412">
        <f t="shared" si="206"/>
        <v>1.0000000000000002</v>
      </c>
      <c r="AB1247" s="456">
        <f t="shared" si="207"/>
        <v>7.3000000000000007</v>
      </c>
      <c r="AC1247" s="456">
        <v>0</v>
      </c>
      <c r="AD1247" s="469"/>
      <c r="AE1247" s="470"/>
      <c r="AF1247" s="5"/>
    </row>
    <row r="1248" spans="2:32" hidden="1" x14ac:dyDescent="0.25">
      <c r="B1248" s="1" t="s">
        <v>4985</v>
      </c>
      <c r="C1248" s="3" t="s">
        <v>1368</v>
      </c>
      <c r="D1248" s="3" t="s">
        <v>1247</v>
      </c>
      <c r="E1248" s="407" t="s">
        <v>4872</v>
      </c>
      <c r="F1248" s="407" t="s">
        <v>4917</v>
      </c>
      <c r="G1248" s="415"/>
      <c r="H1248" s="415"/>
      <c r="I1248" s="415"/>
      <c r="J1248" s="415"/>
      <c r="K1248" s="3" t="s">
        <v>4890</v>
      </c>
      <c r="L1248" s="387">
        <v>2</v>
      </c>
      <c r="M1248" s="387">
        <v>0</v>
      </c>
      <c r="N1248" s="387">
        <v>2</v>
      </c>
      <c r="O1248" s="442">
        <f t="shared" si="208"/>
        <v>2.0000000000000004</v>
      </c>
      <c r="P1248" s="387" t="s">
        <v>1358</v>
      </c>
      <c r="Q1248" s="459">
        <v>7.3</v>
      </c>
      <c r="R1248" s="459"/>
      <c r="S1248" s="456">
        <v>0</v>
      </c>
      <c r="T1248" s="459">
        <v>7.3</v>
      </c>
      <c r="U1248" s="555"/>
      <c r="V1248" s="411">
        <v>1</v>
      </c>
      <c r="W1248" s="411">
        <v>1</v>
      </c>
      <c r="X1248" s="411">
        <v>1</v>
      </c>
      <c r="Y1248" s="411"/>
      <c r="Z1248" s="411"/>
      <c r="AA1248" s="412">
        <f t="shared" si="206"/>
        <v>1.0000000000000002</v>
      </c>
      <c r="AB1248" s="456">
        <f t="shared" si="207"/>
        <v>7.3000000000000007</v>
      </c>
      <c r="AC1248" s="456">
        <v>0</v>
      </c>
      <c r="AD1248" s="469"/>
      <c r="AE1248" s="470"/>
      <c r="AF1248" s="5"/>
    </row>
    <row r="1249" spans="2:32" hidden="1" x14ac:dyDescent="0.25">
      <c r="B1249" s="1" t="s">
        <v>4993</v>
      </c>
      <c r="C1249" s="3" t="s">
        <v>1368</v>
      </c>
      <c r="D1249" s="3" t="s">
        <v>1247</v>
      </c>
      <c r="E1249" s="407" t="s">
        <v>4872</v>
      </c>
      <c r="F1249" s="407" t="s">
        <v>4918</v>
      </c>
      <c r="G1249" s="415"/>
      <c r="H1249" s="415"/>
      <c r="I1249" s="415"/>
      <c r="J1249" s="415"/>
      <c r="K1249" s="3" t="s">
        <v>4890</v>
      </c>
      <c r="L1249" s="387">
        <v>2</v>
      </c>
      <c r="M1249" s="387">
        <v>0</v>
      </c>
      <c r="N1249" s="387">
        <v>2</v>
      </c>
      <c r="O1249" s="442">
        <f t="shared" si="208"/>
        <v>2.0000000000000004</v>
      </c>
      <c r="P1249" s="387" t="s">
        <v>1358</v>
      </c>
      <c r="Q1249" s="459">
        <v>7.3</v>
      </c>
      <c r="R1249" s="459"/>
      <c r="S1249" s="456">
        <v>0</v>
      </c>
      <c r="T1249" s="459">
        <v>7.3</v>
      </c>
      <c r="U1249" s="555"/>
      <c r="V1249" s="411">
        <v>1</v>
      </c>
      <c r="W1249" s="411">
        <v>1</v>
      </c>
      <c r="X1249" s="411">
        <v>1</v>
      </c>
      <c r="Y1249" s="411"/>
      <c r="Z1249" s="411"/>
      <c r="AA1249" s="412">
        <f t="shared" si="206"/>
        <v>1.0000000000000002</v>
      </c>
      <c r="AB1249" s="456">
        <f t="shared" si="207"/>
        <v>7.3000000000000007</v>
      </c>
      <c r="AC1249" s="456">
        <v>0</v>
      </c>
      <c r="AD1249" s="469"/>
      <c r="AE1249" s="470"/>
      <c r="AF1249" s="5"/>
    </row>
    <row r="1250" spans="2:32" hidden="1" x14ac:dyDescent="0.25">
      <c r="B1250" s="1" t="s">
        <v>4994</v>
      </c>
      <c r="C1250" s="3" t="s">
        <v>1368</v>
      </c>
      <c r="D1250" s="3" t="s">
        <v>1247</v>
      </c>
      <c r="E1250" s="407" t="s">
        <v>4872</v>
      </c>
      <c r="F1250" s="407" t="s">
        <v>4919</v>
      </c>
      <c r="G1250" s="415"/>
      <c r="H1250" s="415"/>
      <c r="I1250" s="415"/>
      <c r="J1250" s="415"/>
      <c r="K1250" s="3" t="s">
        <v>4890</v>
      </c>
      <c r="L1250" s="387">
        <v>2</v>
      </c>
      <c r="M1250" s="387">
        <v>0</v>
      </c>
      <c r="N1250" s="387">
        <v>2</v>
      </c>
      <c r="O1250" s="442">
        <f t="shared" si="208"/>
        <v>2.0000000000000004</v>
      </c>
      <c r="P1250" s="387" t="s">
        <v>1358</v>
      </c>
      <c r="Q1250" s="459">
        <v>7.3</v>
      </c>
      <c r="R1250" s="459"/>
      <c r="S1250" s="456">
        <v>0</v>
      </c>
      <c r="T1250" s="459">
        <v>7.3</v>
      </c>
      <c r="U1250" s="555"/>
      <c r="V1250" s="411">
        <v>1</v>
      </c>
      <c r="W1250" s="411">
        <v>1</v>
      </c>
      <c r="X1250" s="411">
        <v>1</v>
      </c>
      <c r="Y1250" s="411"/>
      <c r="Z1250" s="411"/>
      <c r="AA1250" s="412">
        <f t="shared" si="206"/>
        <v>1.0000000000000002</v>
      </c>
      <c r="AB1250" s="456">
        <f t="shared" si="207"/>
        <v>7.3000000000000007</v>
      </c>
      <c r="AC1250" s="456">
        <v>0</v>
      </c>
      <c r="AD1250" s="469"/>
      <c r="AE1250" s="470"/>
      <c r="AF1250" s="5"/>
    </row>
    <row r="1251" spans="2:32" hidden="1" x14ac:dyDescent="0.25">
      <c r="B1251" s="1" t="s">
        <v>4995</v>
      </c>
      <c r="C1251" s="3" t="s">
        <v>1368</v>
      </c>
      <c r="D1251" s="3" t="s">
        <v>1247</v>
      </c>
      <c r="E1251" s="407" t="s">
        <v>4872</v>
      </c>
      <c r="F1251" s="407" t="s">
        <v>4920</v>
      </c>
      <c r="G1251" s="415"/>
      <c r="H1251" s="415"/>
      <c r="I1251" s="415"/>
      <c r="J1251" s="415"/>
      <c r="K1251" s="3" t="s">
        <v>4890</v>
      </c>
      <c r="L1251" s="387">
        <v>2</v>
      </c>
      <c r="M1251" s="387">
        <v>0</v>
      </c>
      <c r="N1251" s="387">
        <v>2</v>
      </c>
      <c r="O1251" s="442">
        <f t="shared" si="208"/>
        <v>2.0000000000000004</v>
      </c>
      <c r="P1251" s="387" t="s">
        <v>1358</v>
      </c>
      <c r="Q1251" s="459">
        <v>7.3</v>
      </c>
      <c r="R1251" s="459"/>
      <c r="S1251" s="456">
        <v>0</v>
      </c>
      <c r="T1251" s="459">
        <v>7.3</v>
      </c>
      <c r="U1251" s="555"/>
      <c r="V1251" s="411">
        <v>1</v>
      </c>
      <c r="W1251" s="411">
        <v>1</v>
      </c>
      <c r="X1251" s="411">
        <v>1</v>
      </c>
      <c r="Y1251" s="411"/>
      <c r="Z1251" s="411"/>
      <c r="AA1251" s="412">
        <f t="shared" si="206"/>
        <v>1.0000000000000002</v>
      </c>
      <c r="AB1251" s="456">
        <f t="shared" si="207"/>
        <v>7.3000000000000007</v>
      </c>
      <c r="AC1251" s="456">
        <v>0</v>
      </c>
      <c r="AD1251" s="469"/>
      <c r="AE1251" s="470"/>
      <c r="AF1251" s="5"/>
    </row>
    <row r="1252" spans="2:32" hidden="1" x14ac:dyDescent="0.25">
      <c r="B1252" s="1" t="s">
        <v>4996</v>
      </c>
      <c r="C1252" s="3" t="s">
        <v>1368</v>
      </c>
      <c r="D1252" s="3" t="s">
        <v>1247</v>
      </c>
      <c r="E1252" s="407" t="s">
        <v>4872</v>
      </c>
      <c r="F1252" s="407" t="s">
        <v>4921</v>
      </c>
      <c r="G1252" s="415"/>
      <c r="H1252" s="415"/>
      <c r="I1252" s="415"/>
      <c r="J1252" s="415"/>
      <c r="K1252" s="3" t="s">
        <v>4890</v>
      </c>
      <c r="L1252" s="387">
        <v>2</v>
      </c>
      <c r="M1252" s="387">
        <v>0</v>
      </c>
      <c r="N1252" s="387">
        <v>2</v>
      </c>
      <c r="O1252" s="442">
        <f t="shared" si="208"/>
        <v>2.0000000000000004</v>
      </c>
      <c r="P1252" s="387" t="s">
        <v>1358</v>
      </c>
      <c r="Q1252" s="459">
        <v>7.3</v>
      </c>
      <c r="R1252" s="459"/>
      <c r="S1252" s="456">
        <v>0</v>
      </c>
      <c r="T1252" s="459">
        <v>7.3</v>
      </c>
      <c r="U1252" s="555"/>
      <c r="V1252" s="411">
        <v>1</v>
      </c>
      <c r="W1252" s="411">
        <v>1</v>
      </c>
      <c r="X1252" s="411">
        <v>1</v>
      </c>
      <c r="Y1252" s="411"/>
      <c r="Z1252" s="411"/>
      <c r="AA1252" s="412">
        <f t="shared" si="206"/>
        <v>1.0000000000000002</v>
      </c>
      <c r="AB1252" s="456">
        <f t="shared" si="207"/>
        <v>7.3000000000000007</v>
      </c>
      <c r="AC1252" s="456">
        <v>0</v>
      </c>
      <c r="AD1252" s="469"/>
      <c r="AE1252" s="470"/>
      <c r="AF1252" s="5"/>
    </row>
    <row r="1253" spans="2:32" hidden="1" x14ac:dyDescent="0.25">
      <c r="B1253" s="1" t="s">
        <v>4997</v>
      </c>
      <c r="C1253" s="3" t="s">
        <v>1368</v>
      </c>
      <c r="D1253" s="3" t="s">
        <v>1247</v>
      </c>
      <c r="E1253" s="407" t="s">
        <v>4872</v>
      </c>
      <c r="F1253" s="407" t="s">
        <v>4922</v>
      </c>
      <c r="G1253" s="415"/>
      <c r="H1253" s="415"/>
      <c r="I1253" s="415"/>
      <c r="J1253" s="415"/>
      <c r="K1253" s="3" t="s">
        <v>4890</v>
      </c>
      <c r="L1253" s="387">
        <v>2</v>
      </c>
      <c r="M1253" s="387">
        <v>0</v>
      </c>
      <c r="N1253" s="387">
        <v>2</v>
      </c>
      <c r="O1253" s="442">
        <f t="shared" si="208"/>
        <v>2.0000000000000004</v>
      </c>
      <c r="P1253" s="387" t="s">
        <v>1358</v>
      </c>
      <c r="Q1253" s="459">
        <v>7.3</v>
      </c>
      <c r="R1253" s="459"/>
      <c r="S1253" s="456">
        <v>0</v>
      </c>
      <c r="T1253" s="459">
        <v>7.3</v>
      </c>
      <c r="U1253" s="555"/>
      <c r="V1253" s="411">
        <v>1</v>
      </c>
      <c r="W1253" s="411">
        <v>1</v>
      </c>
      <c r="X1253" s="411">
        <v>1</v>
      </c>
      <c r="Y1253" s="411"/>
      <c r="Z1253" s="411"/>
      <c r="AA1253" s="412">
        <f t="shared" si="206"/>
        <v>1.0000000000000002</v>
      </c>
      <c r="AB1253" s="456">
        <f t="shared" si="207"/>
        <v>7.3000000000000007</v>
      </c>
      <c r="AC1253" s="456">
        <v>0</v>
      </c>
      <c r="AD1253" s="469"/>
      <c r="AE1253" s="470"/>
      <c r="AF1253" s="5"/>
    </row>
    <row r="1254" spans="2:32" hidden="1" x14ac:dyDescent="0.25">
      <c r="B1254" s="1" t="s">
        <v>4998</v>
      </c>
      <c r="C1254" s="3" t="s">
        <v>1368</v>
      </c>
      <c r="D1254" s="3" t="s">
        <v>1247</v>
      </c>
      <c r="E1254" s="407" t="s">
        <v>4872</v>
      </c>
      <c r="F1254" s="407" t="s">
        <v>4923</v>
      </c>
      <c r="G1254" s="415"/>
      <c r="H1254" s="415"/>
      <c r="I1254" s="415"/>
      <c r="J1254" s="415"/>
      <c r="K1254" s="3" t="s">
        <v>4890</v>
      </c>
      <c r="L1254" s="387">
        <v>2</v>
      </c>
      <c r="M1254" s="387">
        <v>0</v>
      </c>
      <c r="N1254" s="387">
        <v>2</v>
      </c>
      <c r="O1254" s="442">
        <f t="shared" si="208"/>
        <v>2.0000000000000004</v>
      </c>
      <c r="P1254" s="387" t="s">
        <v>1358</v>
      </c>
      <c r="Q1254" s="459">
        <v>7.3</v>
      </c>
      <c r="R1254" s="459"/>
      <c r="S1254" s="456">
        <v>0</v>
      </c>
      <c r="T1254" s="459">
        <v>7.3</v>
      </c>
      <c r="U1254" s="555"/>
      <c r="V1254" s="411">
        <v>1</v>
      </c>
      <c r="W1254" s="411">
        <v>1</v>
      </c>
      <c r="X1254" s="411">
        <v>1</v>
      </c>
      <c r="Y1254" s="411"/>
      <c r="Z1254" s="411"/>
      <c r="AA1254" s="412">
        <f t="shared" si="206"/>
        <v>1.0000000000000002</v>
      </c>
      <c r="AB1254" s="456">
        <f t="shared" si="207"/>
        <v>7.3000000000000007</v>
      </c>
      <c r="AC1254" s="456">
        <v>0</v>
      </c>
      <c r="AD1254" s="469"/>
      <c r="AE1254" s="470"/>
      <c r="AF1254" s="5"/>
    </row>
    <row r="1255" spans="2:32" hidden="1" x14ac:dyDescent="0.25">
      <c r="B1255" s="1" t="s">
        <v>4999</v>
      </c>
      <c r="C1255" s="3" t="s">
        <v>1368</v>
      </c>
      <c r="D1255" s="3" t="s">
        <v>1247</v>
      </c>
      <c r="E1255" s="407" t="s">
        <v>4872</v>
      </c>
      <c r="F1255" s="407" t="s">
        <v>4893</v>
      </c>
      <c r="G1255" s="415"/>
      <c r="H1255" s="415"/>
      <c r="I1255" s="415"/>
      <c r="J1255" s="415"/>
      <c r="K1255" s="3" t="s">
        <v>4891</v>
      </c>
      <c r="L1255" s="387">
        <v>2</v>
      </c>
      <c r="M1255" s="387">
        <v>0</v>
      </c>
      <c r="N1255" s="387">
        <v>2</v>
      </c>
      <c r="O1255" s="442">
        <f t="shared" si="208"/>
        <v>2.0000000000000004</v>
      </c>
      <c r="P1255" s="387" t="s">
        <v>1358</v>
      </c>
      <c r="Q1255" s="459">
        <v>7.3</v>
      </c>
      <c r="R1255" s="459"/>
      <c r="S1255" s="456">
        <v>0</v>
      </c>
      <c r="T1255" s="459">
        <v>7.3</v>
      </c>
      <c r="V1255" s="411">
        <v>1</v>
      </c>
      <c r="W1255" s="411">
        <v>1</v>
      </c>
      <c r="X1255" s="411">
        <v>1</v>
      </c>
      <c r="Y1255" s="411"/>
      <c r="Z1255" s="411"/>
      <c r="AA1255" s="412">
        <f t="shared" si="206"/>
        <v>1.0000000000000002</v>
      </c>
      <c r="AB1255" s="456">
        <f t="shared" si="207"/>
        <v>7.3000000000000007</v>
      </c>
      <c r="AC1255" s="456">
        <v>0</v>
      </c>
      <c r="AF1255" s="5"/>
    </row>
    <row r="1256" spans="2:32" hidden="1" x14ac:dyDescent="0.25">
      <c r="B1256" s="1" t="s">
        <v>5000</v>
      </c>
      <c r="C1256" s="3" t="s">
        <v>1368</v>
      </c>
      <c r="D1256" s="3" t="s">
        <v>1247</v>
      </c>
      <c r="E1256" s="407" t="s">
        <v>4872</v>
      </c>
      <c r="F1256" s="407" t="s">
        <v>4902</v>
      </c>
      <c r="G1256" s="415"/>
      <c r="H1256" s="415"/>
      <c r="I1256" s="415"/>
      <c r="J1256" s="415"/>
      <c r="K1256" s="3" t="s">
        <v>4891</v>
      </c>
      <c r="L1256" s="387">
        <v>2</v>
      </c>
      <c r="M1256" s="387">
        <v>0</v>
      </c>
      <c r="N1256" s="387">
        <v>2</v>
      </c>
      <c r="O1256" s="442">
        <f t="shared" si="208"/>
        <v>2.0000000000000004</v>
      </c>
      <c r="P1256" s="387" t="s">
        <v>1358</v>
      </c>
      <c r="Q1256" s="459">
        <v>7.3</v>
      </c>
      <c r="R1256" s="459"/>
      <c r="S1256" s="456">
        <v>0</v>
      </c>
      <c r="T1256" s="459">
        <v>7.3</v>
      </c>
      <c r="U1256" s="555"/>
      <c r="V1256" s="411">
        <v>1</v>
      </c>
      <c r="W1256" s="411">
        <v>1</v>
      </c>
      <c r="X1256" s="411">
        <v>1</v>
      </c>
      <c r="Y1256" s="411"/>
      <c r="Z1256" s="411"/>
      <c r="AA1256" s="412">
        <f t="shared" si="206"/>
        <v>1.0000000000000002</v>
      </c>
      <c r="AB1256" s="456">
        <f t="shared" si="207"/>
        <v>7.3000000000000007</v>
      </c>
      <c r="AC1256" s="456">
        <v>0</v>
      </c>
      <c r="AD1256" s="469"/>
      <c r="AE1256" s="470"/>
      <c r="AF1256" s="5"/>
    </row>
    <row r="1257" spans="2:32" hidden="1" x14ac:dyDescent="0.25">
      <c r="B1257" s="1" t="s">
        <v>5001</v>
      </c>
      <c r="C1257" s="3" t="s">
        <v>1368</v>
      </c>
      <c r="D1257" s="3" t="s">
        <v>1247</v>
      </c>
      <c r="E1257" s="407" t="s">
        <v>4872</v>
      </c>
      <c r="F1257" s="407" t="s">
        <v>4924</v>
      </c>
      <c r="G1257" s="415"/>
      <c r="H1257" s="415"/>
      <c r="I1257" s="415"/>
      <c r="J1257" s="415"/>
      <c r="K1257" s="3" t="s">
        <v>4891</v>
      </c>
      <c r="L1257" s="387">
        <v>2</v>
      </c>
      <c r="M1257" s="387">
        <v>0</v>
      </c>
      <c r="N1257" s="387">
        <v>2</v>
      </c>
      <c r="O1257" s="442">
        <f t="shared" si="208"/>
        <v>2.0000000000000004</v>
      </c>
      <c r="P1257" s="387" t="s">
        <v>1358</v>
      </c>
      <c r="Q1257" s="459">
        <v>7.3</v>
      </c>
      <c r="R1257" s="459"/>
      <c r="S1257" s="456">
        <v>0</v>
      </c>
      <c r="T1257" s="459">
        <v>7.3</v>
      </c>
      <c r="U1257" s="555"/>
      <c r="V1257" s="411">
        <v>1</v>
      </c>
      <c r="W1257" s="411">
        <v>1</v>
      </c>
      <c r="X1257" s="411">
        <v>1</v>
      </c>
      <c r="Y1257" s="411"/>
      <c r="Z1257" s="411"/>
      <c r="AA1257" s="412">
        <f t="shared" si="206"/>
        <v>1.0000000000000002</v>
      </c>
      <c r="AB1257" s="456">
        <f t="shared" si="207"/>
        <v>7.3000000000000007</v>
      </c>
      <c r="AC1257" s="456">
        <v>0</v>
      </c>
      <c r="AD1257" s="469"/>
      <c r="AE1257" s="470"/>
      <c r="AF1257" s="5"/>
    </row>
    <row r="1258" spans="2:32" hidden="1" x14ac:dyDescent="0.25">
      <c r="B1258" s="1" t="s">
        <v>5002</v>
      </c>
      <c r="C1258" s="3" t="s">
        <v>1368</v>
      </c>
      <c r="D1258" s="3" t="s">
        <v>1247</v>
      </c>
      <c r="E1258" s="407" t="s">
        <v>4872</v>
      </c>
      <c r="F1258" s="407" t="s">
        <v>4925</v>
      </c>
      <c r="G1258" s="415"/>
      <c r="H1258" s="415"/>
      <c r="I1258" s="415"/>
      <c r="J1258" s="415"/>
      <c r="K1258" s="3" t="s">
        <v>4891</v>
      </c>
      <c r="L1258" s="387">
        <v>2</v>
      </c>
      <c r="M1258" s="387">
        <v>0</v>
      </c>
      <c r="N1258" s="387">
        <v>2</v>
      </c>
      <c r="O1258" s="442">
        <f t="shared" si="208"/>
        <v>2.0000000000000004</v>
      </c>
      <c r="P1258" s="387" t="s">
        <v>1358</v>
      </c>
      <c r="Q1258" s="459">
        <v>7.3</v>
      </c>
      <c r="R1258" s="459"/>
      <c r="S1258" s="456">
        <v>0</v>
      </c>
      <c r="T1258" s="459">
        <v>7.3</v>
      </c>
      <c r="U1258" s="555"/>
      <c r="V1258" s="411">
        <v>1</v>
      </c>
      <c r="W1258" s="411">
        <v>1</v>
      </c>
      <c r="X1258" s="411">
        <v>1</v>
      </c>
      <c r="Y1258" s="411"/>
      <c r="Z1258" s="411"/>
      <c r="AA1258" s="412">
        <f t="shared" si="206"/>
        <v>1.0000000000000002</v>
      </c>
      <c r="AB1258" s="456">
        <f t="shared" si="207"/>
        <v>7.3000000000000007</v>
      </c>
      <c r="AC1258" s="456">
        <v>0</v>
      </c>
      <c r="AD1258" s="469"/>
      <c r="AE1258" s="470"/>
      <c r="AF1258" s="5"/>
    </row>
    <row r="1259" spans="2:32" hidden="1" x14ac:dyDescent="0.25">
      <c r="B1259" s="1" t="s">
        <v>5003</v>
      </c>
      <c r="C1259" s="3" t="s">
        <v>1368</v>
      </c>
      <c r="D1259" s="3" t="s">
        <v>1247</v>
      </c>
      <c r="E1259" s="407" t="s">
        <v>4872</v>
      </c>
      <c r="F1259" s="407" t="s">
        <v>4926</v>
      </c>
      <c r="G1259" s="415"/>
      <c r="H1259" s="415"/>
      <c r="I1259" s="415"/>
      <c r="J1259" s="415"/>
      <c r="K1259" s="3" t="s">
        <v>4891</v>
      </c>
      <c r="L1259" s="387">
        <v>2</v>
      </c>
      <c r="M1259" s="387">
        <v>0</v>
      </c>
      <c r="N1259" s="387">
        <v>2</v>
      </c>
      <c r="O1259" s="442">
        <f t="shared" si="208"/>
        <v>2.0000000000000004</v>
      </c>
      <c r="P1259" s="387" t="s">
        <v>1358</v>
      </c>
      <c r="Q1259" s="459">
        <v>7.3</v>
      </c>
      <c r="R1259" s="459"/>
      <c r="S1259" s="456">
        <v>0</v>
      </c>
      <c r="T1259" s="459">
        <v>7.3</v>
      </c>
      <c r="U1259" s="555"/>
      <c r="V1259" s="411">
        <v>1</v>
      </c>
      <c r="W1259" s="411">
        <v>1</v>
      </c>
      <c r="X1259" s="411">
        <v>1</v>
      </c>
      <c r="Y1259" s="411"/>
      <c r="Z1259" s="411"/>
      <c r="AA1259" s="412">
        <f t="shared" si="206"/>
        <v>1.0000000000000002</v>
      </c>
      <c r="AB1259" s="456">
        <f t="shared" si="207"/>
        <v>7.3000000000000007</v>
      </c>
      <c r="AC1259" s="456">
        <v>0</v>
      </c>
      <c r="AD1259" s="469"/>
      <c r="AE1259" s="470"/>
      <c r="AF1259" s="5"/>
    </row>
    <row r="1260" spans="2:32" hidden="1" x14ac:dyDescent="0.25">
      <c r="B1260" s="1" t="s">
        <v>5004</v>
      </c>
      <c r="C1260" s="3" t="s">
        <v>1368</v>
      </c>
      <c r="D1260" s="3" t="s">
        <v>1247</v>
      </c>
      <c r="E1260" s="407" t="s">
        <v>4872</v>
      </c>
      <c r="F1260" s="407" t="s">
        <v>4919</v>
      </c>
      <c r="G1260" s="415"/>
      <c r="H1260" s="415"/>
      <c r="I1260" s="415"/>
      <c r="J1260" s="415"/>
      <c r="K1260" s="3" t="s">
        <v>4891</v>
      </c>
      <c r="L1260" s="387">
        <v>2</v>
      </c>
      <c r="M1260" s="387">
        <v>0</v>
      </c>
      <c r="N1260" s="387">
        <v>2</v>
      </c>
      <c r="O1260" s="442">
        <f t="shared" si="208"/>
        <v>2.0000000000000004</v>
      </c>
      <c r="P1260" s="387" t="s">
        <v>1358</v>
      </c>
      <c r="Q1260" s="459">
        <v>7.3</v>
      </c>
      <c r="R1260" s="459"/>
      <c r="S1260" s="456">
        <v>0</v>
      </c>
      <c r="T1260" s="459">
        <v>7.3</v>
      </c>
      <c r="U1260" s="555"/>
      <c r="V1260" s="411">
        <v>1</v>
      </c>
      <c r="W1260" s="411">
        <v>1</v>
      </c>
      <c r="X1260" s="411">
        <v>1</v>
      </c>
      <c r="Y1260" s="411"/>
      <c r="Z1260" s="411"/>
      <c r="AA1260" s="412">
        <f t="shared" si="206"/>
        <v>1.0000000000000002</v>
      </c>
      <c r="AB1260" s="456">
        <f t="shared" si="207"/>
        <v>7.3000000000000007</v>
      </c>
      <c r="AC1260" s="456">
        <v>0</v>
      </c>
      <c r="AD1260" s="469"/>
      <c r="AE1260" s="470"/>
      <c r="AF1260" s="5"/>
    </row>
    <row r="1261" spans="2:32" hidden="1" x14ac:dyDescent="0.25">
      <c r="B1261" s="1" t="s">
        <v>5005</v>
      </c>
      <c r="C1261" s="3" t="s">
        <v>1368</v>
      </c>
      <c r="D1261" s="3" t="s">
        <v>1247</v>
      </c>
      <c r="E1261" s="407" t="s">
        <v>4872</v>
      </c>
      <c r="F1261" s="407" t="s">
        <v>4901</v>
      </c>
      <c r="G1261" s="415"/>
      <c r="H1261" s="415"/>
      <c r="I1261" s="415"/>
      <c r="J1261" s="415"/>
      <c r="K1261" s="3" t="s">
        <v>4891</v>
      </c>
      <c r="L1261" s="387">
        <v>2</v>
      </c>
      <c r="M1261" s="387">
        <v>0</v>
      </c>
      <c r="N1261" s="387">
        <v>2</v>
      </c>
      <c r="O1261" s="442">
        <f t="shared" si="208"/>
        <v>2.0000000000000004</v>
      </c>
      <c r="P1261" s="387" t="s">
        <v>1358</v>
      </c>
      <c r="Q1261" s="459">
        <v>7.3</v>
      </c>
      <c r="R1261" s="459"/>
      <c r="S1261" s="456">
        <v>0</v>
      </c>
      <c r="T1261" s="459">
        <v>7.3</v>
      </c>
      <c r="U1261" s="555"/>
      <c r="V1261" s="411">
        <v>1</v>
      </c>
      <c r="W1261" s="411">
        <v>1</v>
      </c>
      <c r="X1261" s="411">
        <v>1</v>
      </c>
      <c r="Y1261" s="411"/>
      <c r="Z1261" s="411"/>
      <c r="AA1261" s="412">
        <f t="shared" si="206"/>
        <v>1.0000000000000002</v>
      </c>
      <c r="AB1261" s="456">
        <f t="shared" si="207"/>
        <v>7.3000000000000007</v>
      </c>
      <c r="AC1261" s="456">
        <v>0</v>
      </c>
      <c r="AD1261" s="469"/>
      <c r="AE1261" s="470"/>
      <c r="AF1261" s="5"/>
    </row>
    <row r="1262" spans="2:32" hidden="1" x14ac:dyDescent="0.25">
      <c r="B1262" s="1" t="s">
        <v>5006</v>
      </c>
      <c r="C1262" s="3" t="s">
        <v>1368</v>
      </c>
      <c r="D1262" s="3" t="s">
        <v>1247</v>
      </c>
      <c r="E1262" s="407" t="s">
        <v>4872</v>
      </c>
      <c r="F1262" s="407" t="s">
        <v>4927</v>
      </c>
      <c r="G1262" s="415"/>
      <c r="H1262" s="415"/>
      <c r="I1262" s="415"/>
      <c r="J1262" s="415"/>
      <c r="K1262" s="3" t="s">
        <v>4891</v>
      </c>
      <c r="L1262" s="387">
        <v>2</v>
      </c>
      <c r="M1262" s="387">
        <v>0</v>
      </c>
      <c r="N1262" s="387">
        <v>2</v>
      </c>
      <c r="O1262" s="442">
        <f t="shared" si="208"/>
        <v>2.0000000000000004</v>
      </c>
      <c r="P1262" s="387" t="s">
        <v>1358</v>
      </c>
      <c r="Q1262" s="459">
        <v>7.3</v>
      </c>
      <c r="R1262" s="459"/>
      <c r="S1262" s="456">
        <v>0</v>
      </c>
      <c r="T1262" s="459">
        <v>7.3</v>
      </c>
      <c r="U1262" s="555"/>
      <c r="V1262" s="411">
        <v>1</v>
      </c>
      <c r="W1262" s="411">
        <v>1</v>
      </c>
      <c r="X1262" s="411">
        <v>1</v>
      </c>
      <c r="Y1262" s="411"/>
      <c r="Z1262" s="411"/>
      <c r="AA1262" s="412">
        <f t="shared" si="206"/>
        <v>1.0000000000000002</v>
      </c>
      <c r="AB1262" s="456">
        <f t="shared" si="207"/>
        <v>7.3000000000000007</v>
      </c>
      <c r="AC1262" s="456">
        <v>0</v>
      </c>
      <c r="AD1262" s="469"/>
      <c r="AE1262" s="470"/>
      <c r="AF1262" s="5"/>
    </row>
    <row r="1263" spans="2:32" hidden="1" x14ac:dyDescent="0.25">
      <c r="B1263" s="1" t="s">
        <v>5007</v>
      </c>
      <c r="C1263" s="3" t="s">
        <v>1368</v>
      </c>
      <c r="D1263" s="3" t="s">
        <v>1247</v>
      </c>
      <c r="E1263" s="407" t="s">
        <v>4872</v>
      </c>
      <c r="F1263" s="407" t="s">
        <v>4928</v>
      </c>
      <c r="G1263" s="415"/>
      <c r="H1263" s="415"/>
      <c r="I1263" s="415"/>
      <c r="J1263" s="415"/>
      <c r="K1263" s="3" t="s">
        <v>4891</v>
      </c>
      <c r="L1263" s="387">
        <v>2</v>
      </c>
      <c r="M1263" s="387">
        <v>0</v>
      </c>
      <c r="N1263" s="387">
        <v>2</v>
      </c>
      <c r="O1263" s="442">
        <f t="shared" si="208"/>
        <v>2.0000000000000004</v>
      </c>
      <c r="P1263" s="387" t="s">
        <v>1358</v>
      </c>
      <c r="Q1263" s="459">
        <v>7.3</v>
      </c>
      <c r="R1263" s="459"/>
      <c r="S1263" s="456">
        <v>0</v>
      </c>
      <c r="T1263" s="459">
        <v>7.3</v>
      </c>
      <c r="U1263" s="555"/>
      <c r="V1263" s="411">
        <v>1</v>
      </c>
      <c r="W1263" s="411">
        <v>1</v>
      </c>
      <c r="X1263" s="411">
        <v>1</v>
      </c>
      <c r="Y1263" s="411"/>
      <c r="Z1263" s="411"/>
      <c r="AA1263" s="412">
        <f t="shared" si="206"/>
        <v>1.0000000000000002</v>
      </c>
      <c r="AB1263" s="456">
        <f t="shared" si="207"/>
        <v>7.3000000000000007</v>
      </c>
      <c r="AC1263" s="456">
        <v>0</v>
      </c>
      <c r="AD1263" s="469"/>
      <c r="AE1263" s="470"/>
      <c r="AF1263" s="5"/>
    </row>
    <row r="1264" spans="2:32" hidden="1" x14ac:dyDescent="0.25">
      <c r="B1264" s="1" t="s">
        <v>5008</v>
      </c>
      <c r="C1264" s="3" t="s">
        <v>1368</v>
      </c>
      <c r="D1264" s="3" t="s">
        <v>1247</v>
      </c>
      <c r="E1264" s="407" t="s">
        <v>4872</v>
      </c>
      <c r="F1264" s="407" t="s">
        <v>4893</v>
      </c>
      <c r="G1264" s="415"/>
      <c r="H1264" s="415"/>
      <c r="I1264" s="415"/>
      <c r="J1264" s="415"/>
      <c r="K1264" s="3" t="s">
        <v>4892</v>
      </c>
      <c r="L1264" s="387">
        <v>2</v>
      </c>
      <c r="M1264" s="387">
        <v>0</v>
      </c>
      <c r="N1264" s="387">
        <v>2</v>
      </c>
      <c r="O1264" s="442">
        <f t="shared" si="208"/>
        <v>2.0000000000000004</v>
      </c>
      <c r="P1264" s="387" t="s">
        <v>1358</v>
      </c>
      <c r="Q1264" s="459">
        <v>7.3</v>
      </c>
      <c r="R1264" s="459"/>
      <c r="S1264" s="456">
        <v>0</v>
      </c>
      <c r="T1264" s="459">
        <v>7.3</v>
      </c>
      <c r="U1264" s="555"/>
      <c r="V1264" s="411">
        <v>1</v>
      </c>
      <c r="W1264" s="411">
        <v>1</v>
      </c>
      <c r="X1264" s="411">
        <v>1</v>
      </c>
      <c r="Y1264" s="411"/>
      <c r="Z1264" s="411"/>
      <c r="AA1264" s="412">
        <f t="shared" si="206"/>
        <v>1.0000000000000002</v>
      </c>
      <c r="AB1264" s="456">
        <f t="shared" si="207"/>
        <v>7.3000000000000007</v>
      </c>
      <c r="AC1264" s="456">
        <v>0</v>
      </c>
      <c r="AD1264" s="469"/>
      <c r="AE1264" s="470"/>
      <c r="AF1264" s="5"/>
    </row>
    <row r="1265" spans="2:33" hidden="1" x14ac:dyDescent="0.25">
      <c r="B1265" s="1" t="s">
        <v>5009</v>
      </c>
      <c r="C1265" s="3" t="s">
        <v>1368</v>
      </c>
      <c r="D1265" s="3" t="s">
        <v>1247</v>
      </c>
      <c r="E1265" s="407" t="s">
        <v>4872</v>
      </c>
      <c r="F1265" s="407" t="s">
        <v>4902</v>
      </c>
      <c r="G1265" s="415"/>
      <c r="H1265" s="415"/>
      <c r="I1265" s="415"/>
      <c r="J1265" s="415"/>
      <c r="K1265" s="3" t="s">
        <v>4892</v>
      </c>
      <c r="L1265" s="387">
        <v>2</v>
      </c>
      <c r="M1265" s="387">
        <v>0</v>
      </c>
      <c r="N1265" s="387">
        <v>2</v>
      </c>
      <c r="O1265" s="442">
        <f t="shared" si="208"/>
        <v>2.0000000000000004</v>
      </c>
      <c r="P1265" s="387" t="s">
        <v>1358</v>
      </c>
      <c r="Q1265" s="459">
        <v>7.3</v>
      </c>
      <c r="R1265" s="459"/>
      <c r="S1265" s="456">
        <v>0</v>
      </c>
      <c r="T1265" s="459">
        <v>7.3</v>
      </c>
      <c r="U1265" s="555"/>
      <c r="V1265" s="411">
        <v>1</v>
      </c>
      <c r="W1265" s="411">
        <v>1</v>
      </c>
      <c r="X1265" s="411">
        <v>1</v>
      </c>
      <c r="Y1265" s="411"/>
      <c r="Z1265" s="411"/>
      <c r="AA1265" s="412">
        <f t="shared" si="206"/>
        <v>1.0000000000000002</v>
      </c>
      <c r="AB1265" s="456">
        <f t="shared" si="207"/>
        <v>7.3000000000000007</v>
      </c>
      <c r="AC1265" s="456">
        <v>0</v>
      </c>
      <c r="AD1265" s="469"/>
      <c r="AE1265" s="470"/>
      <c r="AF1265" s="5"/>
    </row>
    <row r="1266" spans="2:33" hidden="1" x14ac:dyDescent="0.25">
      <c r="B1266" s="1" t="s">
        <v>5010</v>
      </c>
      <c r="C1266" s="3" t="s">
        <v>1368</v>
      </c>
      <c r="D1266" s="3" t="s">
        <v>1247</v>
      </c>
      <c r="E1266" s="407" t="s">
        <v>4872</v>
      </c>
      <c r="F1266" s="407" t="s">
        <v>4929</v>
      </c>
      <c r="G1266" s="415"/>
      <c r="H1266" s="415"/>
      <c r="I1266" s="415"/>
      <c r="J1266" s="415"/>
      <c r="K1266" s="3" t="s">
        <v>4892</v>
      </c>
      <c r="L1266" s="387">
        <v>2</v>
      </c>
      <c r="M1266" s="387">
        <v>0</v>
      </c>
      <c r="N1266" s="387">
        <v>2</v>
      </c>
      <c r="O1266" s="442">
        <f t="shared" si="208"/>
        <v>2.0000000000000004</v>
      </c>
      <c r="P1266" s="387" t="s">
        <v>1358</v>
      </c>
      <c r="Q1266" s="459">
        <v>7.3</v>
      </c>
      <c r="R1266" s="459"/>
      <c r="S1266" s="456">
        <v>0</v>
      </c>
      <c r="T1266" s="459">
        <v>7.3</v>
      </c>
      <c r="U1266" s="555"/>
      <c r="V1266" s="411">
        <v>1</v>
      </c>
      <c r="W1266" s="411">
        <v>1</v>
      </c>
      <c r="X1266" s="411">
        <v>1</v>
      </c>
      <c r="Y1266" s="411"/>
      <c r="Z1266" s="411"/>
      <c r="AA1266" s="412">
        <f t="shared" si="206"/>
        <v>1.0000000000000002</v>
      </c>
      <c r="AB1266" s="456">
        <f t="shared" si="207"/>
        <v>7.3000000000000007</v>
      </c>
      <c r="AC1266" s="456">
        <v>0</v>
      </c>
      <c r="AD1266" s="469"/>
      <c r="AE1266" s="470"/>
      <c r="AF1266" s="5"/>
    </row>
    <row r="1267" spans="2:33" hidden="1" x14ac:dyDescent="0.25">
      <c r="B1267" s="1" t="s">
        <v>5011</v>
      </c>
      <c r="C1267" s="3" t="s">
        <v>1368</v>
      </c>
      <c r="D1267" s="3" t="s">
        <v>1247</v>
      </c>
      <c r="E1267" s="407" t="s">
        <v>4872</v>
      </c>
      <c r="F1267" s="407" t="s">
        <v>4926</v>
      </c>
      <c r="G1267" s="415"/>
      <c r="H1267" s="415"/>
      <c r="I1267" s="415"/>
      <c r="J1267" s="415"/>
      <c r="K1267" s="3" t="s">
        <v>4892</v>
      </c>
      <c r="L1267" s="387">
        <v>2</v>
      </c>
      <c r="M1267" s="387">
        <v>0</v>
      </c>
      <c r="N1267" s="387">
        <v>2</v>
      </c>
      <c r="O1267" s="442">
        <f t="shared" si="208"/>
        <v>2.0000000000000004</v>
      </c>
      <c r="P1267" s="387" t="s">
        <v>1358</v>
      </c>
      <c r="Q1267" s="459">
        <v>7.3</v>
      </c>
      <c r="R1267" s="459"/>
      <c r="S1267" s="456">
        <v>0</v>
      </c>
      <c r="T1267" s="459">
        <v>7.3</v>
      </c>
      <c r="V1267" s="411">
        <v>1</v>
      </c>
      <c r="W1267" s="411">
        <v>1</v>
      </c>
      <c r="X1267" s="411">
        <v>1</v>
      </c>
      <c r="Y1267" s="411"/>
      <c r="Z1267" s="411"/>
      <c r="AA1267" s="412">
        <f t="shared" si="206"/>
        <v>1.0000000000000002</v>
      </c>
      <c r="AB1267" s="456">
        <f t="shared" si="207"/>
        <v>7.3000000000000007</v>
      </c>
      <c r="AC1267" s="456">
        <v>0</v>
      </c>
      <c r="AF1267" s="5"/>
    </row>
    <row r="1268" spans="2:33" hidden="1" x14ac:dyDescent="0.25">
      <c r="B1268" s="1" t="s">
        <v>5012</v>
      </c>
      <c r="C1268" s="3" t="s">
        <v>1368</v>
      </c>
      <c r="D1268" s="3" t="s">
        <v>1247</v>
      </c>
      <c r="E1268" s="407" t="s">
        <v>4872</v>
      </c>
      <c r="F1268" s="407" t="s">
        <v>4930</v>
      </c>
      <c r="G1268" s="415"/>
      <c r="H1268" s="415"/>
      <c r="I1268" s="415"/>
      <c r="J1268" s="415"/>
      <c r="K1268" s="3" t="s">
        <v>4892</v>
      </c>
      <c r="L1268" s="387">
        <v>2</v>
      </c>
      <c r="M1268" s="387">
        <v>0</v>
      </c>
      <c r="N1268" s="387">
        <v>2</v>
      </c>
      <c r="O1268" s="442">
        <f t="shared" si="208"/>
        <v>2.0000000000000004</v>
      </c>
      <c r="P1268" s="387" t="s">
        <v>1358</v>
      </c>
      <c r="Q1268" s="459">
        <v>7.3</v>
      </c>
      <c r="R1268" s="459"/>
      <c r="S1268" s="456">
        <v>0</v>
      </c>
      <c r="T1268" s="459">
        <v>7.3</v>
      </c>
      <c r="U1268" s="555"/>
      <c r="V1268" s="411">
        <v>1</v>
      </c>
      <c r="W1268" s="411">
        <v>1</v>
      </c>
      <c r="X1268" s="411">
        <v>1</v>
      </c>
      <c r="Y1268" s="411"/>
      <c r="Z1268" s="411"/>
      <c r="AA1268" s="412">
        <f t="shared" si="206"/>
        <v>1.0000000000000002</v>
      </c>
      <c r="AB1268" s="456">
        <f t="shared" si="207"/>
        <v>7.3000000000000007</v>
      </c>
      <c r="AC1268" s="456">
        <v>0</v>
      </c>
      <c r="AD1268" s="469"/>
      <c r="AE1268" s="470"/>
      <c r="AF1268" s="5"/>
    </row>
    <row r="1269" spans="2:33" hidden="1" x14ac:dyDescent="0.25">
      <c r="B1269" s="1" t="s">
        <v>5013</v>
      </c>
      <c r="C1269" s="3" t="s">
        <v>1368</v>
      </c>
      <c r="D1269" s="3" t="s">
        <v>1247</v>
      </c>
      <c r="E1269" s="407" t="s">
        <v>4872</v>
      </c>
      <c r="F1269" s="407" t="s">
        <v>4931</v>
      </c>
      <c r="G1269" s="415"/>
      <c r="H1269" s="415"/>
      <c r="I1269" s="415"/>
      <c r="J1269" s="415"/>
      <c r="K1269" s="3" t="s">
        <v>4892</v>
      </c>
      <c r="L1269" s="387">
        <v>2</v>
      </c>
      <c r="M1269" s="387">
        <v>0</v>
      </c>
      <c r="N1269" s="387">
        <v>2</v>
      </c>
      <c r="O1269" s="442">
        <f t="shared" si="208"/>
        <v>2.0000000000000004</v>
      </c>
      <c r="P1269" s="387" t="s">
        <v>1358</v>
      </c>
      <c r="Q1269" s="459">
        <v>7.3</v>
      </c>
      <c r="R1269" s="459"/>
      <c r="S1269" s="456">
        <v>0</v>
      </c>
      <c r="T1269" s="459">
        <v>7.3</v>
      </c>
      <c r="U1269" s="555"/>
      <c r="V1269" s="411">
        <v>1</v>
      </c>
      <c r="W1269" s="411">
        <v>1</v>
      </c>
      <c r="X1269" s="411">
        <v>1</v>
      </c>
      <c r="Y1269" s="411"/>
      <c r="Z1269" s="411"/>
      <c r="AA1269" s="412">
        <f t="shared" si="206"/>
        <v>1.0000000000000002</v>
      </c>
      <c r="AB1269" s="456">
        <f t="shared" si="207"/>
        <v>7.3000000000000007</v>
      </c>
      <c r="AC1269" s="456">
        <v>0</v>
      </c>
      <c r="AD1269" s="469"/>
      <c r="AE1269" s="470"/>
      <c r="AF1269" s="5"/>
    </row>
    <row r="1270" spans="2:33" hidden="1" x14ac:dyDescent="0.25">
      <c r="B1270" s="1" t="s">
        <v>5014</v>
      </c>
      <c r="C1270" s="3" t="s">
        <v>1368</v>
      </c>
      <c r="D1270" s="3" t="s">
        <v>1247</v>
      </c>
      <c r="E1270" s="407" t="s">
        <v>4872</v>
      </c>
      <c r="F1270" s="407" t="s">
        <v>4932</v>
      </c>
      <c r="G1270" s="415"/>
      <c r="H1270" s="415"/>
      <c r="I1270" s="415"/>
      <c r="J1270" s="415"/>
      <c r="K1270" s="3" t="s">
        <v>4892</v>
      </c>
      <c r="L1270" s="387">
        <v>2</v>
      </c>
      <c r="M1270" s="387">
        <v>0</v>
      </c>
      <c r="N1270" s="387">
        <v>2</v>
      </c>
      <c r="O1270" s="442">
        <f t="shared" si="208"/>
        <v>2.0000000000000004</v>
      </c>
      <c r="P1270" s="387" t="s">
        <v>1358</v>
      </c>
      <c r="Q1270" s="459">
        <v>7.3</v>
      </c>
      <c r="R1270" s="459"/>
      <c r="S1270" s="456">
        <v>0</v>
      </c>
      <c r="T1270" s="459">
        <v>7.3</v>
      </c>
      <c r="U1270" s="555"/>
      <c r="V1270" s="411">
        <v>1</v>
      </c>
      <c r="W1270" s="411">
        <v>1</v>
      </c>
      <c r="X1270" s="411">
        <v>1</v>
      </c>
      <c r="Y1270" s="411"/>
      <c r="Z1270" s="411"/>
      <c r="AA1270" s="412">
        <f t="shared" si="206"/>
        <v>1.0000000000000002</v>
      </c>
      <c r="AB1270" s="456">
        <f t="shared" si="207"/>
        <v>7.3000000000000007</v>
      </c>
      <c r="AC1270" s="456">
        <v>0</v>
      </c>
      <c r="AD1270" s="469"/>
      <c r="AE1270" s="470"/>
      <c r="AF1270" s="5"/>
    </row>
    <row r="1271" spans="2:33" hidden="1" x14ac:dyDescent="0.25">
      <c r="B1271" s="1" t="s">
        <v>5015</v>
      </c>
      <c r="C1271" s="3" t="s">
        <v>1368</v>
      </c>
      <c r="D1271" s="3" t="s">
        <v>1247</v>
      </c>
      <c r="E1271" s="407" t="s">
        <v>4872</v>
      </c>
      <c r="F1271" s="407" t="s">
        <v>4958</v>
      </c>
      <c r="G1271" s="415"/>
      <c r="H1271" s="415"/>
      <c r="I1271" s="415"/>
      <c r="J1271" s="415"/>
      <c r="K1271" s="3" t="s">
        <v>4960</v>
      </c>
      <c r="L1271" s="387">
        <v>1</v>
      </c>
      <c r="M1271" s="387">
        <v>0</v>
      </c>
      <c r="N1271" s="387">
        <v>1</v>
      </c>
      <c r="O1271" s="442">
        <f t="shared" si="208"/>
        <v>1.0000000000000002</v>
      </c>
      <c r="P1271" s="387" t="s">
        <v>1358</v>
      </c>
      <c r="Q1271" s="459">
        <v>25.47</v>
      </c>
      <c r="R1271" s="459"/>
      <c r="S1271" s="456">
        <v>0</v>
      </c>
      <c r="T1271" s="459">
        <v>25.47</v>
      </c>
      <c r="U1271" s="555"/>
      <c r="V1271" s="411">
        <v>1</v>
      </c>
      <c r="W1271" s="411">
        <v>1</v>
      </c>
      <c r="X1271" s="411">
        <v>1</v>
      </c>
      <c r="Y1271" s="411"/>
      <c r="Z1271" s="411"/>
      <c r="AA1271" s="412">
        <f t="shared" si="206"/>
        <v>1.0000000000000002</v>
      </c>
      <c r="AB1271" s="456">
        <f t="shared" si="207"/>
        <v>25.470000000000002</v>
      </c>
      <c r="AC1271" s="456">
        <v>0</v>
      </c>
      <c r="AD1271" s="469"/>
      <c r="AE1271" s="470"/>
      <c r="AF1271" s="5"/>
    </row>
    <row r="1272" spans="2:33" hidden="1" x14ac:dyDescent="0.25">
      <c r="B1272" s="1" t="s">
        <v>5016</v>
      </c>
      <c r="C1272" s="3" t="s">
        <v>1368</v>
      </c>
      <c r="D1272" s="3" t="s">
        <v>1247</v>
      </c>
      <c r="E1272" s="407" t="s">
        <v>4872</v>
      </c>
      <c r="F1272" s="407" t="s">
        <v>4959</v>
      </c>
      <c r="G1272" s="415"/>
      <c r="H1272" s="415"/>
      <c r="I1272" s="415"/>
      <c r="J1272" s="415"/>
      <c r="K1272" s="3" t="s">
        <v>4960</v>
      </c>
      <c r="L1272" s="387">
        <v>1</v>
      </c>
      <c r="M1272" s="387">
        <v>0</v>
      </c>
      <c r="N1272" s="387">
        <v>1</v>
      </c>
      <c r="O1272" s="442">
        <f t="shared" si="208"/>
        <v>1.0000000000000002</v>
      </c>
      <c r="P1272" s="387" t="s">
        <v>1358</v>
      </c>
      <c r="Q1272" s="459">
        <v>25.47</v>
      </c>
      <c r="R1272" s="459"/>
      <c r="S1272" s="456">
        <v>0</v>
      </c>
      <c r="T1272" s="459">
        <v>25.47</v>
      </c>
      <c r="U1272" s="555"/>
      <c r="V1272" s="411">
        <v>1</v>
      </c>
      <c r="W1272" s="411">
        <v>1</v>
      </c>
      <c r="X1272" s="411">
        <v>1</v>
      </c>
      <c r="Y1272" s="411"/>
      <c r="Z1272" s="411"/>
      <c r="AA1272" s="412">
        <f t="shared" si="206"/>
        <v>1.0000000000000002</v>
      </c>
      <c r="AB1272" s="456">
        <f t="shared" si="207"/>
        <v>25.470000000000002</v>
      </c>
      <c r="AC1272" s="456">
        <v>0</v>
      </c>
      <c r="AD1272" s="469"/>
      <c r="AE1272" s="470"/>
      <c r="AF1272" s="5"/>
    </row>
    <row r="1273" spans="2:33" hidden="1" x14ac:dyDescent="0.25">
      <c r="B1273" s="430" t="s">
        <v>5135</v>
      </c>
      <c r="C1273" s="3" t="s">
        <v>1368</v>
      </c>
      <c r="D1273" s="3" t="s">
        <v>1247</v>
      </c>
      <c r="E1273" s="407" t="s">
        <v>4872</v>
      </c>
      <c r="F1273" s="407" t="s">
        <v>1357</v>
      </c>
      <c r="G1273" s="415"/>
      <c r="H1273" s="415"/>
      <c r="I1273" s="415"/>
      <c r="J1273" s="415"/>
      <c r="K1273" s="3" t="s">
        <v>5039</v>
      </c>
      <c r="L1273" s="387"/>
      <c r="M1273" s="387"/>
      <c r="N1273" s="387"/>
      <c r="O1273" s="442"/>
      <c r="P1273" s="387" t="s">
        <v>1358</v>
      </c>
      <c r="Q1273" s="459">
        <v>50</v>
      </c>
      <c r="R1273" s="459"/>
      <c r="S1273" s="456">
        <v>0</v>
      </c>
      <c r="T1273" s="459">
        <v>50</v>
      </c>
      <c r="U1273" s="555"/>
      <c r="V1273" s="411">
        <v>1</v>
      </c>
      <c r="W1273" s="411">
        <v>1</v>
      </c>
      <c r="X1273" s="411">
        <v>1</v>
      </c>
      <c r="Y1273" s="411"/>
      <c r="Z1273" s="411"/>
      <c r="AA1273" s="412">
        <f t="shared" ref="AA1273:AA1277" si="209">AB1273/T1273</f>
        <v>1</v>
      </c>
      <c r="AB1273" s="456">
        <f t="shared" ref="AB1273:AB1277" si="210">(V1273*V$369*T1273)+(W1273*W$369*T1273)+(X1273*X$369*T1273)</f>
        <v>50</v>
      </c>
      <c r="AC1273" s="456">
        <v>0</v>
      </c>
      <c r="AD1273" s="469"/>
      <c r="AE1273" s="470"/>
      <c r="AF1273" s="5"/>
    </row>
    <row r="1274" spans="2:33" hidden="1" x14ac:dyDescent="0.25">
      <c r="B1274" s="430" t="s">
        <v>5136</v>
      </c>
      <c r="C1274" s="3" t="s">
        <v>1368</v>
      </c>
      <c r="D1274" s="3" t="s">
        <v>1247</v>
      </c>
      <c r="E1274" s="407" t="s">
        <v>4872</v>
      </c>
      <c r="F1274" s="407" t="s">
        <v>1357</v>
      </c>
      <c r="G1274" s="415"/>
      <c r="H1274" s="415"/>
      <c r="I1274" s="415"/>
      <c r="J1274" s="415"/>
      <c r="K1274" s="3" t="s">
        <v>5040</v>
      </c>
      <c r="L1274" s="387"/>
      <c r="M1274" s="387"/>
      <c r="N1274" s="387"/>
      <c r="O1274" s="442"/>
      <c r="P1274" s="387" t="s">
        <v>1358</v>
      </c>
      <c r="Q1274" s="459">
        <v>50</v>
      </c>
      <c r="R1274" s="459"/>
      <c r="S1274" s="456">
        <v>0</v>
      </c>
      <c r="T1274" s="459">
        <v>50</v>
      </c>
      <c r="U1274" s="555"/>
      <c r="V1274" s="411">
        <v>1</v>
      </c>
      <c r="W1274" s="411">
        <v>1</v>
      </c>
      <c r="X1274" s="411">
        <v>1</v>
      </c>
      <c r="Y1274" s="411"/>
      <c r="Z1274" s="411"/>
      <c r="AA1274" s="412">
        <f t="shared" si="209"/>
        <v>1</v>
      </c>
      <c r="AB1274" s="456">
        <f t="shared" si="210"/>
        <v>50</v>
      </c>
      <c r="AC1274" s="456">
        <v>0</v>
      </c>
      <c r="AD1274" s="469"/>
      <c r="AE1274" s="470"/>
      <c r="AF1274" s="5"/>
    </row>
    <row r="1275" spans="2:33" hidden="1" x14ac:dyDescent="0.25">
      <c r="B1275" s="430" t="s">
        <v>5137</v>
      </c>
      <c r="C1275" s="3" t="s">
        <v>1368</v>
      </c>
      <c r="D1275" s="3" t="s">
        <v>1247</v>
      </c>
      <c r="E1275" s="407" t="s">
        <v>4872</v>
      </c>
      <c r="F1275" s="407" t="s">
        <v>1357</v>
      </c>
      <c r="G1275" s="415"/>
      <c r="H1275" s="415"/>
      <c r="I1275" s="415"/>
      <c r="J1275" s="415"/>
      <c r="K1275" s="3" t="s">
        <v>5041</v>
      </c>
      <c r="L1275" s="387"/>
      <c r="M1275" s="387"/>
      <c r="N1275" s="387"/>
      <c r="O1275" s="442"/>
      <c r="P1275" s="387" t="s">
        <v>1358</v>
      </c>
      <c r="Q1275" s="459">
        <v>50</v>
      </c>
      <c r="R1275" s="459"/>
      <c r="S1275" s="456">
        <v>0</v>
      </c>
      <c r="T1275" s="459">
        <v>50</v>
      </c>
      <c r="U1275" s="555"/>
      <c r="V1275" s="411">
        <v>1</v>
      </c>
      <c r="W1275" s="411">
        <v>1</v>
      </c>
      <c r="X1275" s="411">
        <v>1</v>
      </c>
      <c r="Y1275" s="411"/>
      <c r="Z1275" s="411"/>
      <c r="AA1275" s="412">
        <f t="shared" si="209"/>
        <v>1</v>
      </c>
      <c r="AB1275" s="456">
        <f t="shared" si="210"/>
        <v>50</v>
      </c>
      <c r="AC1275" s="456">
        <v>0</v>
      </c>
      <c r="AD1275" s="469"/>
      <c r="AE1275" s="470"/>
      <c r="AF1275" s="5"/>
    </row>
    <row r="1276" spans="2:33" hidden="1" x14ac:dyDescent="0.25">
      <c r="B1276" s="430" t="s">
        <v>5138</v>
      </c>
      <c r="C1276" s="3" t="s">
        <v>1368</v>
      </c>
      <c r="D1276" s="3" t="s">
        <v>1247</v>
      </c>
      <c r="E1276" s="407" t="s">
        <v>4872</v>
      </c>
      <c r="F1276" s="407" t="s">
        <v>1357</v>
      </c>
      <c r="G1276" s="415"/>
      <c r="H1276" s="415"/>
      <c r="I1276" s="415"/>
      <c r="J1276" s="415"/>
      <c r="K1276" s="3" t="s">
        <v>5042</v>
      </c>
      <c r="L1276" s="387"/>
      <c r="M1276" s="387"/>
      <c r="N1276" s="387"/>
      <c r="O1276" s="442"/>
      <c r="P1276" s="387" t="s">
        <v>1358</v>
      </c>
      <c r="Q1276" s="459">
        <v>50</v>
      </c>
      <c r="R1276" s="459"/>
      <c r="S1276" s="456">
        <v>0</v>
      </c>
      <c r="T1276" s="459">
        <v>50</v>
      </c>
      <c r="U1276" s="555"/>
      <c r="V1276" s="411">
        <v>1</v>
      </c>
      <c r="W1276" s="411">
        <v>1</v>
      </c>
      <c r="X1276" s="411">
        <v>1</v>
      </c>
      <c r="Y1276" s="411"/>
      <c r="Z1276" s="411"/>
      <c r="AA1276" s="412">
        <f t="shared" si="209"/>
        <v>1</v>
      </c>
      <c r="AB1276" s="456">
        <f t="shared" si="210"/>
        <v>50</v>
      </c>
      <c r="AC1276" s="456">
        <v>0</v>
      </c>
      <c r="AD1276" s="469"/>
      <c r="AE1276" s="470"/>
      <c r="AF1276" s="5"/>
    </row>
    <row r="1277" spans="2:33" ht="15.75" hidden="1" thickBot="1" x14ac:dyDescent="0.3">
      <c r="B1277" s="430" t="s">
        <v>5139</v>
      </c>
      <c r="C1277" s="3" t="s">
        <v>1368</v>
      </c>
      <c r="D1277" s="3" t="s">
        <v>1247</v>
      </c>
      <c r="E1277" s="415" t="s">
        <v>4872</v>
      </c>
      <c r="F1277" s="556" t="s">
        <v>1357</v>
      </c>
      <c r="G1277" s="471"/>
      <c r="H1277" s="471"/>
      <c r="K1277" s="415" t="s">
        <v>5043</v>
      </c>
      <c r="L1277" s="471"/>
      <c r="M1277" s="471"/>
      <c r="N1277" s="471"/>
      <c r="O1277" s="471"/>
      <c r="P1277" s="471" t="s">
        <v>1358</v>
      </c>
      <c r="Q1277" s="473">
        <v>50</v>
      </c>
      <c r="R1277" s="473"/>
      <c r="S1277" s="456">
        <v>0</v>
      </c>
      <c r="T1277" s="473">
        <v>50</v>
      </c>
      <c r="U1277" s="555"/>
      <c r="V1277" s="411">
        <v>1</v>
      </c>
      <c r="W1277" s="411">
        <v>1</v>
      </c>
      <c r="X1277" s="411">
        <v>1</v>
      </c>
      <c r="Y1277" s="411"/>
      <c r="Z1277" s="411"/>
      <c r="AA1277" s="412">
        <f t="shared" si="209"/>
        <v>1</v>
      </c>
      <c r="AB1277" s="456">
        <f t="shared" si="210"/>
        <v>50</v>
      </c>
      <c r="AC1277" s="456">
        <v>0</v>
      </c>
      <c r="AD1277" s="469"/>
      <c r="AE1277" s="470"/>
      <c r="AF1277" s="5"/>
    </row>
    <row r="1278" spans="2:33" s="150" customFormat="1" ht="54" customHeight="1" thickBot="1" x14ac:dyDescent="0.25">
      <c r="B1278" s="533"/>
      <c r="C1278" s="496"/>
      <c r="D1278" s="534"/>
      <c r="E1278" s="496"/>
      <c r="F1278" s="534"/>
      <c r="G1278" s="534"/>
      <c r="H1278" s="534"/>
      <c r="I1278" s="496"/>
      <c r="J1278" s="496"/>
      <c r="K1278" s="496"/>
      <c r="L1278" s="497" t="s">
        <v>548</v>
      </c>
      <c r="M1278" s="497" t="s">
        <v>0</v>
      </c>
      <c r="N1278" s="496" t="s">
        <v>549</v>
      </c>
      <c r="O1278" s="496" t="s">
        <v>553</v>
      </c>
      <c r="P1278" s="496" t="s">
        <v>550</v>
      </c>
      <c r="Q1278" s="497" t="s">
        <v>552</v>
      </c>
      <c r="R1278" s="497" t="s">
        <v>1469</v>
      </c>
      <c r="S1278" s="497" t="s">
        <v>0</v>
      </c>
      <c r="T1278" s="497" t="s">
        <v>551</v>
      </c>
      <c r="U1278" s="607" t="s">
        <v>1364</v>
      </c>
      <c r="V1278" s="607"/>
      <c r="W1278" s="607"/>
      <c r="X1278" s="607"/>
      <c r="Y1278" s="607"/>
      <c r="Z1278" s="607"/>
      <c r="AA1278" s="496" t="s">
        <v>1</v>
      </c>
      <c r="AB1278" s="496" t="s">
        <v>2</v>
      </c>
      <c r="AC1278" s="496" t="s">
        <v>610</v>
      </c>
      <c r="AD1278" s="496"/>
      <c r="AE1278" s="496"/>
      <c r="AF1278" s="496" t="s">
        <v>5</v>
      </c>
      <c r="AG1278" s="498"/>
    </row>
    <row r="1279" spans="2:33" ht="41.85" customHeight="1" x14ac:dyDescent="0.25">
      <c r="B1279" s="523"/>
      <c r="C1279" s="526"/>
      <c r="D1279" s="527"/>
      <c r="E1279" s="526"/>
      <c r="F1279" s="527"/>
      <c r="G1279" s="527"/>
      <c r="H1279" s="527"/>
      <c r="I1279" s="526"/>
      <c r="J1279" s="526"/>
      <c r="K1279" s="527"/>
      <c r="L1279" s="527"/>
      <c r="M1279" s="527"/>
      <c r="N1279" s="527"/>
      <c r="O1279" s="527"/>
      <c r="P1279" s="527"/>
      <c r="Q1279" s="527"/>
      <c r="R1279" s="527"/>
      <c r="S1279" s="528"/>
      <c r="T1279" s="528"/>
      <c r="U1279" s="529" t="s">
        <v>9</v>
      </c>
      <c r="V1279" s="529" t="s">
        <v>10</v>
      </c>
      <c r="W1279" s="529" t="s">
        <v>11</v>
      </c>
      <c r="X1279" s="529" t="s">
        <v>12</v>
      </c>
      <c r="Y1279" s="529" t="s">
        <v>13</v>
      </c>
      <c r="Z1279" s="529" t="s">
        <v>609</v>
      </c>
      <c r="AA1279" s="530"/>
      <c r="AB1279" s="530"/>
      <c r="AC1279" s="531"/>
      <c r="AD1279" s="531"/>
      <c r="AE1279" s="531"/>
      <c r="AF1279" s="531"/>
      <c r="AG1279" s="532"/>
    </row>
    <row r="1280" spans="2:33" ht="39" x14ac:dyDescent="0.25">
      <c r="B1280" s="355" t="s">
        <v>6</v>
      </c>
      <c r="C1280" s="356" t="s">
        <v>7</v>
      </c>
      <c r="D1280" s="356" t="s">
        <v>18</v>
      </c>
      <c r="E1280" s="394" t="s">
        <v>1354</v>
      </c>
      <c r="F1280" s="537" t="s">
        <v>3199</v>
      </c>
      <c r="G1280" s="537" t="s">
        <v>3200</v>
      </c>
      <c r="H1280" s="537" t="s">
        <v>3202</v>
      </c>
      <c r="I1280" s="537" t="s">
        <v>1353</v>
      </c>
      <c r="J1280" s="537" t="s">
        <v>3425</v>
      </c>
      <c r="K1280" s="356" t="s">
        <v>8</v>
      </c>
      <c r="L1280" s="499">
        <f>L1281+L1324+L1393+L1405+L1459</f>
        <v>33654</v>
      </c>
      <c r="M1280" s="499"/>
      <c r="N1280" s="499"/>
      <c r="O1280" s="499"/>
      <c r="P1280" s="499"/>
      <c r="Q1280" s="500">
        <f>Q1281+Q1324+Q1393+Q1405+Q1459</f>
        <v>46580</v>
      </c>
      <c r="R1280" s="500"/>
      <c r="S1280" s="500">
        <f>S1281+S1324+S1393+S1405+S1459</f>
        <v>0</v>
      </c>
      <c r="T1280" s="500">
        <f>T1281+T1324+T1393+T1405+T1459</f>
        <v>47850</v>
      </c>
      <c r="U1280" s="524" t="s">
        <v>454</v>
      </c>
      <c r="V1280" s="525" t="s">
        <v>55</v>
      </c>
      <c r="W1280" s="524" t="s">
        <v>765</v>
      </c>
      <c r="X1280" s="524" t="s">
        <v>455</v>
      </c>
      <c r="Y1280" s="524" t="s">
        <v>761</v>
      </c>
      <c r="Z1280" s="372" t="s">
        <v>416</v>
      </c>
      <c r="AA1280" s="501"/>
      <c r="AB1280" s="500">
        <f>AB1281+AB1324+AB1393+AB1405+AB1459+AB1367</f>
        <v>17850</v>
      </c>
      <c r="AC1280" s="500">
        <f>AC1281+AC1324+AC1393+AC1405+AC1459+AC1367</f>
        <v>12931</v>
      </c>
      <c r="AD1280" s="502"/>
      <c r="AE1280" s="503"/>
      <c r="AF1280" s="504"/>
      <c r="AG1280" s="514"/>
    </row>
    <row r="1281" spans="2:33" x14ac:dyDescent="0.25">
      <c r="B1281" s="375"/>
      <c r="C1281" s="376"/>
      <c r="D1281" s="376"/>
      <c r="E1281" s="376"/>
      <c r="F1281" s="376"/>
      <c r="G1281" s="376"/>
      <c r="H1281" s="376"/>
      <c r="I1281" s="376"/>
      <c r="J1281" s="376"/>
      <c r="K1281" s="376" t="s">
        <v>1360</v>
      </c>
      <c r="L1281" s="377">
        <f>SUM(L1282:L1322)</f>
        <v>5810</v>
      </c>
      <c r="M1281" s="377">
        <f>SUM(M1282:M1322)</f>
        <v>-509</v>
      </c>
      <c r="N1281" s="377">
        <f>SUM(N1282:N1322)</f>
        <v>5301</v>
      </c>
      <c r="O1281" s="377">
        <f>SUM(O1282:O1322)</f>
        <v>3588</v>
      </c>
      <c r="P1281" s="376"/>
      <c r="Q1281" s="377">
        <f>SUM(Q1282:Q1322)</f>
        <v>7306</v>
      </c>
      <c r="R1281" s="377">
        <f>SUM(R1282:R1322)</f>
        <v>528</v>
      </c>
      <c r="S1281" s="377">
        <f>SUM(S1282:S1321)</f>
        <v>0</v>
      </c>
      <c r="T1281" s="377">
        <f>SUM(T1282:T1322)</f>
        <v>8729</v>
      </c>
      <c r="U1281" s="405">
        <v>0.3</v>
      </c>
      <c r="V1281" s="405">
        <v>0.65</v>
      </c>
      <c r="W1281" s="405">
        <v>0</v>
      </c>
      <c r="X1281" s="405">
        <v>0</v>
      </c>
      <c r="Y1281" s="405">
        <v>0</v>
      </c>
      <c r="Z1281" s="405">
        <v>0.05</v>
      </c>
      <c r="AA1281" s="468">
        <f t="shared" ref="AA1281" si="211">IF(T1281,AB1281/T1281,0)</f>
        <v>0.67682437850842025</v>
      </c>
      <c r="AB1281" s="377">
        <f>SUM(AB1282:AB1322)</f>
        <v>5908</v>
      </c>
      <c r="AC1281" s="377">
        <f>SUM(AC1282:AC1322)</f>
        <v>5325</v>
      </c>
      <c r="AD1281" s="382"/>
      <c r="AE1281" s="383"/>
      <c r="AF1281" s="494"/>
      <c r="AG1281" s="510"/>
    </row>
    <row r="1282" spans="2:33" x14ac:dyDescent="0.25">
      <c r="B1282" s="430" t="s">
        <v>1733</v>
      </c>
      <c r="C1282" s="431" t="s">
        <v>1368</v>
      </c>
      <c r="D1282" s="3" t="s">
        <v>392</v>
      </c>
      <c r="E1282" s="444" t="s">
        <v>3204</v>
      </c>
      <c r="F1282" s="444" t="s">
        <v>3201</v>
      </c>
      <c r="G1282" s="431" t="s">
        <v>5285</v>
      </c>
      <c r="H1282" s="444" t="s">
        <v>4110</v>
      </c>
      <c r="I1282" s="431" t="s">
        <v>5286</v>
      </c>
      <c r="J1282" s="431" t="s">
        <v>4025</v>
      </c>
      <c r="K1282" s="387" t="s">
        <v>4052</v>
      </c>
      <c r="L1282" s="3">
        <v>240</v>
      </c>
      <c r="M1282" s="3"/>
      <c r="N1282" s="3">
        <v>240</v>
      </c>
      <c r="O1282" s="3">
        <v>210</v>
      </c>
      <c r="P1282" s="3" t="s">
        <v>1361</v>
      </c>
      <c r="Q1282" s="572">
        <v>316</v>
      </c>
      <c r="R1282" s="573">
        <v>30</v>
      </c>
      <c r="S1282" s="573">
        <v>0</v>
      </c>
      <c r="T1282" s="573">
        <v>346</v>
      </c>
      <c r="U1282" s="349">
        <v>1</v>
      </c>
      <c r="V1282" s="349">
        <v>0.75</v>
      </c>
      <c r="W1282" s="349"/>
      <c r="X1282" s="349"/>
      <c r="Y1282" s="349"/>
      <c r="Z1282" s="536">
        <v>0.75</v>
      </c>
      <c r="AA1282" s="437">
        <v>0.82499999999999996</v>
      </c>
      <c r="AB1282" s="601">
        <v>286</v>
      </c>
      <c r="AC1282" s="467">
        <v>219</v>
      </c>
      <c r="AD1282" s="437"/>
      <c r="AE1282" s="4"/>
      <c r="AF1282" s="495" t="s">
        <v>5287</v>
      </c>
      <c r="AG1282" s="511"/>
    </row>
    <row r="1283" spans="2:33" x14ac:dyDescent="0.25">
      <c r="B1283" s="430" t="s">
        <v>1734</v>
      </c>
      <c r="C1283" s="431" t="s">
        <v>1368</v>
      </c>
      <c r="D1283" s="3" t="s">
        <v>392</v>
      </c>
      <c r="E1283" s="444" t="s">
        <v>3205</v>
      </c>
      <c r="F1283" s="444" t="s">
        <v>3201</v>
      </c>
      <c r="G1283" s="431" t="s">
        <v>5288</v>
      </c>
      <c r="H1283" s="444" t="s">
        <v>4109</v>
      </c>
      <c r="I1283" s="431" t="s">
        <v>5289</v>
      </c>
      <c r="J1283" s="431" t="s">
        <v>4026</v>
      </c>
      <c r="K1283" s="387" t="s">
        <v>4053</v>
      </c>
      <c r="L1283" s="3">
        <v>110</v>
      </c>
      <c r="M1283" s="3"/>
      <c r="N1283" s="3">
        <v>110</v>
      </c>
      <c r="O1283" s="3">
        <v>110</v>
      </c>
      <c r="P1283" s="3" t="s">
        <v>1361</v>
      </c>
      <c r="Q1283" s="577">
        <v>145</v>
      </c>
      <c r="R1283" s="578">
        <v>30</v>
      </c>
      <c r="S1283" s="578">
        <v>0</v>
      </c>
      <c r="T1283" s="578">
        <v>175</v>
      </c>
      <c r="U1283" s="349">
        <v>1</v>
      </c>
      <c r="V1283" s="349">
        <v>1</v>
      </c>
      <c r="W1283" s="349"/>
      <c r="X1283" s="349"/>
      <c r="Y1283" s="349"/>
      <c r="Z1283" s="536">
        <v>0.8</v>
      </c>
      <c r="AA1283" s="437">
        <v>0.99</v>
      </c>
      <c r="AB1283" s="601">
        <v>173</v>
      </c>
      <c r="AC1283" s="467">
        <v>160</v>
      </c>
      <c r="AD1283" s="437"/>
      <c r="AE1283" s="4"/>
      <c r="AF1283" s="495" t="s">
        <v>5287</v>
      </c>
      <c r="AG1283" s="511"/>
    </row>
    <row r="1284" spans="2:33" x14ac:dyDescent="0.25">
      <c r="B1284" s="430" t="s">
        <v>1735</v>
      </c>
      <c r="C1284" s="431" t="s">
        <v>1368</v>
      </c>
      <c r="D1284" s="3" t="s">
        <v>392</v>
      </c>
      <c r="E1284" s="444" t="s">
        <v>3206</v>
      </c>
      <c r="F1284" s="444" t="s">
        <v>3201</v>
      </c>
      <c r="G1284" s="431" t="s">
        <v>5290</v>
      </c>
      <c r="H1284" s="444" t="s">
        <v>4110</v>
      </c>
      <c r="I1284" s="431" t="s">
        <v>5291</v>
      </c>
      <c r="J1284" s="431" t="s">
        <v>4027</v>
      </c>
      <c r="K1284" s="387" t="s">
        <v>4054</v>
      </c>
      <c r="L1284" s="3">
        <v>110</v>
      </c>
      <c r="M1284" s="3"/>
      <c r="N1284" s="3">
        <v>110</v>
      </c>
      <c r="O1284" s="3">
        <v>110</v>
      </c>
      <c r="P1284" s="3" t="s">
        <v>1361</v>
      </c>
      <c r="Q1284" s="577">
        <v>145</v>
      </c>
      <c r="R1284" s="578">
        <v>40</v>
      </c>
      <c r="S1284" s="578">
        <v>0</v>
      </c>
      <c r="T1284" s="578">
        <v>185</v>
      </c>
      <c r="U1284" s="349">
        <v>1</v>
      </c>
      <c r="V1284" s="349">
        <v>1</v>
      </c>
      <c r="W1284" s="349"/>
      <c r="X1284" s="349"/>
      <c r="Y1284" s="349"/>
      <c r="Z1284" s="536">
        <v>0.8</v>
      </c>
      <c r="AA1284" s="437">
        <v>0.99</v>
      </c>
      <c r="AB1284" s="601">
        <v>183</v>
      </c>
      <c r="AC1284" s="467">
        <v>141</v>
      </c>
      <c r="AD1284" s="437"/>
      <c r="AE1284" s="4"/>
      <c r="AF1284" s="495" t="s">
        <v>5287</v>
      </c>
      <c r="AG1284" s="511"/>
    </row>
    <row r="1285" spans="2:33" x14ac:dyDescent="0.25">
      <c r="B1285" s="430" t="s">
        <v>1736</v>
      </c>
      <c r="C1285" s="431" t="s">
        <v>1368</v>
      </c>
      <c r="D1285" s="3" t="s">
        <v>392</v>
      </c>
      <c r="E1285" s="444" t="s">
        <v>3207</v>
      </c>
      <c r="F1285" s="444" t="s">
        <v>3201</v>
      </c>
      <c r="G1285" s="431" t="s">
        <v>5292</v>
      </c>
      <c r="H1285" s="444" t="s">
        <v>4110</v>
      </c>
      <c r="I1285" s="431" t="s">
        <v>5293</v>
      </c>
      <c r="J1285" s="431" t="s">
        <v>4028</v>
      </c>
      <c r="K1285" s="387" t="s">
        <v>4055</v>
      </c>
      <c r="L1285" s="3">
        <v>110</v>
      </c>
      <c r="M1285" s="3"/>
      <c r="N1285" s="3">
        <v>110</v>
      </c>
      <c r="O1285" s="3">
        <v>110</v>
      </c>
      <c r="P1285" s="3" t="s">
        <v>1361</v>
      </c>
      <c r="Q1285" s="577">
        <v>193</v>
      </c>
      <c r="R1285" s="578">
        <v>40</v>
      </c>
      <c r="S1285" s="578">
        <v>0</v>
      </c>
      <c r="T1285" s="578">
        <v>233</v>
      </c>
      <c r="U1285" s="349">
        <v>1</v>
      </c>
      <c r="V1285" s="349">
        <v>1</v>
      </c>
      <c r="W1285" s="349"/>
      <c r="X1285" s="349"/>
      <c r="Y1285" s="349"/>
      <c r="Z1285" s="536">
        <v>0.8</v>
      </c>
      <c r="AA1285" s="437">
        <v>0.99</v>
      </c>
      <c r="AB1285" s="601">
        <v>230</v>
      </c>
      <c r="AC1285" s="467">
        <v>167</v>
      </c>
      <c r="AD1285" s="437"/>
      <c r="AE1285" s="4"/>
      <c r="AF1285" s="495" t="s">
        <v>5287</v>
      </c>
      <c r="AG1285" s="511"/>
    </row>
    <row r="1286" spans="2:33" x14ac:dyDescent="0.25">
      <c r="B1286" s="430" t="s">
        <v>1737</v>
      </c>
      <c r="C1286" s="431" t="s">
        <v>1368</v>
      </c>
      <c r="D1286" s="3" t="s">
        <v>392</v>
      </c>
      <c r="E1286" s="444" t="s">
        <v>3208</v>
      </c>
      <c r="F1286" s="444" t="s">
        <v>3201</v>
      </c>
      <c r="G1286" s="431" t="s">
        <v>5294</v>
      </c>
      <c r="H1286" s="444" t="s">
        <v>4110</v>
      </c>
      <c r="I1286" s="431" t="s">
        <v>5295</v>
      </c>
      <c r="J1286" s="431" t="s">
        <v>4029</v>
      </c>
      <c r="K1286" s="387" t="s">
        <v>4056</v>
      </c>
      <c r="L1286" s="3">
        <v>110</v>
      </c>
      <c r="M1286" s="3"/>
      <c r="N1286" s="3">
        <v>110</v>
      </c>
      <c r="O1286" s="3">
        <v>110</v>
      </c>
      <c r="P1286" s="3" t="s">
        <v>1361</v>
      </c>
      <c r="Q1286" s="577">
        <v>193</v>
      </c>
      <c r="R1286" s="578">
        <v>38</v>
      </c>
      <c r="S1286" s="578">
        <v>0</v>
      </c>
      <c r="T1286" s="578">
        <v>231</v>
      </c>
      <c r="U1286" s="349">
        <v>1</v>
      </c>
      <c r="V1286" s="349">
        <v>1</v>
      </c>
      <c r="W1286" s="349"/>
      <c r="X1286" s="349"/>
      <c r="Y1286" s="349"/>
      <c r="Z1286" s="536">
        <v>0.8</v>
      </c>
      <c r="AA1286" s="437">
        <v>0.99</v>
      </c>
      <c r="AB1286" s="601">
        <v>228</v>
      </c>
      <c r="AC1286" s="467">
        <v>119</v>
      </c>
      <c r="AD1286" s="437"/>
      <c r="AE1286" s="4"/>
      <c r="AF1286" s="495" t="s">
        <v>5287</v>
      </c>
      <c r="AG1286" s="511"/>
    </row>
    <row r="1287" spans="2:33" x14ac:dyDescent="0.25">
      <c r="B1287" s="430" t="s">
        <v>1738</v>
      </c>
      <c r="C1287" s="431" t="s">
        <v>1368</v>
      </c>
      <c r="D1287" s="3" t="s">
        <v>392</v>
      </c>
      <c r="E1287" s="444" t="s">
        <v>3209</v>
      </c>
      <c r="F1287" s="444" t="s">
        <v>3201</v>
      </c>
      <c r="G1287" s="431" t="s">
        <v>5296</v>
      </c>
      <c r="H1287" s="444" t="s">
        <v>4110</v>
      </c>
      <c r="I1287" s="431" t="s">
        <v>5297</v>
      </c>
      <c r="J1287" s="431" t="s">
        <v>4030</v>
      </c>
      <c r="K1287" s="387" t="s">
        <v>4057</v>
      </c>
      <c r="L1287" s="3">
        <v>110</v>
      </c>
      <c r="M1287" s="3"/>
      <c r="N1287" s="3">
        <v>110</v>
      </c>
      <c r="O1287" s="3">
        <v>110</v>
      </c>
      <c r="P1287" s="3" t="s">
        <v>1361</v>
      </c>
      <c r="Q1287" s="577">
        <v>341</v>
      </c>
      <c r="R1287" s="578">
        <v>25</v>
      </c>
      <c r="S1287" s="578">
        <v>0</v>
      </c>
      <c r="T1287" s="578">
        <v>366</v>
      </c>
      <c r="U1287" s="349">
        <v>1</v>
      </c>
      <c r="V1287" s="349">
        <v>1</v>
      </c>
      <c r="W1287" s="349"/>
      <c r="X1287" s="349"/>
      <c r="Y1287" s="349"/>
      <c r="Z1287" s="536">
        <v>0.8</v>
      </c>
      <c r="AA1287" s="437">
        <v>0.99</v>
      </c>
      <c r="AB1287" s="601">
        <v>362</v>
      </c>
      <c r="AC1287" s="467">
        <v>325</v>
      </c>
      <c r="AD1287" s="437"/>
      <c r="AE1287" s="4"/>
      <c r="AF1287" s="495" t="s">
        <v>5287</v>
      </c>
      <c r="AG1287" s="511"/>
    </row>
    <row r="1288" spans="2:33" x14ac:dyDescent="0.25">
      <c r="B1288" s="430" t="s">
        <v>1739</v>
      </c>
      <c r="C1288" s="431" t="s">
        <v>1368</v>
      </c>
      <c r="D1288" s="3" t="s">
        <v>392</v>
      </c>
      <c r="E1288" s="444" t="s">
        <v>3210</v>
      </c>
      <c r="F1288" s="444" t="s">
        <v>3201</v>
      </c>
      <c r="G1288" s="431" t="s">
        <v>5298</v>
      </c>
      <c r="H1288" s="444" t="s">
        <v>4109</v>
      </c>
      <c r="I1288" s="431" t="s">
        <v>5299</v>
      </c>
      <c r="J1288" s="431" t="s">
        <v>4031</v>
      </c>
      <c r="K1288" s="387" t="s">
        <v>4058</v>
      </c>
      <c r="L1288" s="3">
        <v>120</v>
      </c>
      <c r="M1288" s="3"/>
      <c r="N1288" s="3">
        <v>120</v>
      </c>
      <c r="O1288" s="3">
        <v>120</v>
      </c>
      <c r="P1288" s="3" t="s">
        <v>1361</v>
      </c>
      <c r="Q1288" s="577">
        <v>158</v>
      </c>
      <c r="R1288" s="578">
        <v>65</v>
      </c>
      <c r="S1288" s="578">
        <v>0</v>
      </c>
      <c r="T1288" s="578">
        <v>223</v>
      </c>
      <c r="U1288" s="349">
        <v>1</v>
      </c>
      <c r="V1288" s="349">
        <v>0.97</v>
      </c>
      <c r="W1288" s="349"/>
      <c r="X1288" s="349"/>
      <c r="Y1288" s="349"/>
      <c r="Z1288" s="536">
        <v>0</v>
      </c>
      <c r="AA1288" s="437">
        <v>0.93100000000000005</v>
      </c>
      <c r="AB1288" s="601">
        <v>208</v>
      </c>
      <c r="AC1288" s="467">
        <v>170</v>
      </c>
      <c r="AD1288" s="437"/>
      <c r="AE1288" s="4"/>
      <c r="AF1288" s="495" t="s">
        <v>5287</v>
      </c>
      <c r="AG1288" s="511"/>
    </row>
    <row r="1289" spans="2:33" x14ac:dyDescent="0.25">
      <c r="B1289" s="430" t="s">
        <v>1740</v>
      </c>
      <c r="C1289" s="431" t="s">
        <v>1368</v>
      </c>
      <c r="D1289" s="3" t="s">
        <v>392</v>
      </c>
      <c r="E1289" s="444" t="s">
        <v>3211</v>
      </c>
      <c r="F1289" s="444" t="s">
        <v>3201</v>
      </c>
      <c r="G1289" s="431" t="s">
        <v>5300</v>
      </c>
      <c r="H1289" s="444" t="s">
        <v>4110</v>
      </c>
      <c r="I1289" s="431" t="s">
        <v>5301</v>
      </c>
      <c r="J1289" s="431" t="s">
        <v>4032</v>
      </c>
      <c r="K1289" s="387" t="s">
        <v>4059</v>
      </c>
      <c r="L1289" s="3">
        <v>220</v>
      </c>
      <c r="M1289" s="3"/>
      <c r="N1289" s="3">
        <v>220</v>
      </c>
      <c r="O1289" s="3">
        <v>220</v>
      </c>
      <c r="P1289" s="3" t="s">
        <v>1361</v>
      </c>
      <c r="Q1289" s="577">
        <v>290</v>
      </c>
      <c r="R1289" s="578">
        <v>50</v>
      </c>
      <c r="S1289" s="578">
        <v>0</v>
      </c>
      <c r="T1289" s="578">
        <v>340</v>
      </c>
      <c r="U1289" s="349">
        <v>1</v>
      </c>
      <c r="V1289" s="349">
        <v>0.41</v>
      </c>
      <c r="W1289" s="349"/>
      <c r="X1289" s="349"/>
      <c r="Y1289" s="349"/>
      <c r="Z1289" s="536">
        <v>0</v>
      </c>
      <c r="AA1289" s="437">
        <v>0.56699999999999995</v>
      </c>
      <c r="AB1289" s="601">
        <v>193</v>
      </c>
      <c r="AC1289" s="467">
        <v>150</v>
      </c>
      <c r="AD1289" s="437"/>
      <c r="AE1289" s="4"/>
      <c r="AF1289" s="495" t="s">
        <v>5287</v>
      </c>
      <c r="AG1289" s="511"/>
    </row>
    <row r="1290" spans="2:33" x14ac:dyDescent="0.25">
      <c r="B1290" s="430" t="s">
        <v>1741</v>
      </c>
      <c r="C1290" s="431" t="s">
        <v>1368</v>
      </c>
      <c r="D1290" s="3" t="s">
        <v>392</v>
      </c>
      <c r="E1290" s="444" t="s">
        <v>3212</v>
      </c>
      <c r="F1290" s="444" t="s">
        <v>3201</v>
      </c>
      <c r="G1290" s="431" t="s">
        <v>5302</v>
      </c>
      <c r="H1290" s="444" t="s">
        <v>4110</v>
      </c>
      <c r="I1290" s="431" t="s">
        <v>5303</v>
      </c>
      <c r="J1290" s="431" t="s">
        <v>4033</v>
      </c>
      <c r="K1290" s="387" t="s">
        <v>4060</v>
      </c>
      <c r="L1290" s="3">
        <v>40</v>
      </c>
      <c r="M1290" s="3"/>
      <c r="N1290" s="3">
        <v>40</v>
      </c>
      <c r="O1290" s="3">
        <v>40</v>
      </c>
      <c r="P1290" s="3" t="s">
        <v>1361</v>
      </c>
      <c r="Q1290" s="577">
        <v>80</v>
      </c>
      <c r="R1290" s="578">
        <v>40</v>
      </c>
      <c r="S1290" s="578">
        <v>0</v>
      </c>
      <c r="T1290" s="578">
        <v>120</v>
      </c>
      <c r="U1290" s="349">
        <v>1</v>
      </c>
      <c r="V1290" s="349">
        <v>1</v>
      </c>
      <c r="W1290" s="349"/>
      <c r="X1290" s="349"/>
      <c r="Y1290" s="349"/>
      <c r="Z1290" s="536">
        <v>0.8</v>
      </c>
      <c r="AA1290" s="437">
        <v>0.99</v>
      </c>
      <c r="AB1290" s="601">
        <v>119</v>
      </c>
      <c r="AC1290" s="467">
        <v>104</v>
      </c>
      <c r="AD1290" s="437"/>
      <c r="AE1290" s="4"/>
      <c r="AF1290" s="495" t="s">
        <v>5287</v>
      </c>
      <c r="AG1290" s="511"/>
    </row>
    <row r="1291" spans="2:33" x14ac:dyDescent="0.25">
      <c r="B1291" s="430" t="s">
        <v>1742</v>
      </c>
      <c r="C1291" s="431" t="s">
        <v>1368</v>
      </c>
      <c r="D1291" s="3" t="s">
        <v>392</v>
      </c>
      <c r="E1291" s="444" t="s">
        <v>3213</v>
      </c>
      <c r="F1291" s="444" t="s">
        <v>3201</v>
      </c>
      <c r="G1291" s="431" t="s">
        <v>5304</v>
      </c>
      <c r="H1291" s="444" t="s">
        <v>4110</v>
      </c>
      <c r="I1291" s="431" t="s">
        <v>5305</v>
      </c>
      <c r="J1291" s="431" t="s">
        <v>4034</v>
      </c>
      <c r="K1291" s="387" t="s">
        <v>4061</v>
      </c>
      <c r="L1291" s="3">
        <v>110</v>
      </c>
      <c r="M1291" s="3"/>
      <c r="N1291" s="3">
        <v>110</v>
      </c>
      <c r="O1291" s="3">
        <v>110</v>
      </c>
      <c r="P1291" s="3" t="s">
        <v>1361</v>
      </c>
      <c r="Q1291" s="577">
        <v>145</v>
      </c>
      <c r="R1291" s="578">
        <v>50</v>
      </c>
      <c r="S1291" s="578">
        <v>0</v>
      </c>
      <c r="T1291" s="578">
        <v>195</v>
      </c>
      <c r="U1291" s="349">
        <v>1</v>
      </c>
      <c r="V1291" s="349">
        <v>0.34</v>
      </c>
      <c r="W1291" s="349"/>
      <c r="X1291" s="349"/>
      <c r="Y1291" s="349"/>
      <c r="Z1291" s="536">
        <v>0</v>
      </c>
      <c r="AA1291" s="437">
        <v>0.52100000000000002</v>
      </c>
      <c r="AB1291" s="601">
        <v>102</v>
      </c>
      <c r="AC1291" s="467">
        <v>72</v>
      </c>
      <c r="AD1291" s="437"/>
      <c r="AE1291" s="4"/>
      <c r="AF1291" s="495" t="s">
        <v>5287</v>
      </c>
      <c r="AG1291" s="511"/>
    </row>
    <row r="1292" spans="2:33" x14ac:dyDescent="0.25">
      <c r="B1292" s="430" t="s">
        <v>3163</v>
      </c>
      <c r="C1292" s="431" t="s">
        <v>1368</v>
      </c>
      <c r="D1292" s="3" t="s">
        <v>1279</v>
      </c>
      <c r="E1292" s="444" t="s">
        <v>1395</v>
      </c>
      <c r="F1292" s="444" t="s">
        <v>3201</v>
      </c>
      <c r="G1292" s="431" t="s">
        <v>4442</v>
      </c>
      <c r="H1292" s="444" t="s">
        <v>4109</v>
      </c>
      <c r="I1292" s="431" t="s">
        <v>4263</v>
      </c>
      <c r="J1292" s="431" t="s">
        <v>4044</v>
      </c>
      <c r="K1292" s="387" t="s">
        <v>4071</v>
      </c>
      <c r="L1292" s="3">
        <v>220</v>
      </c>
      <c r="M1292" s="3"/>
      <c r="N1292" s="3">
        <v>220</v>
      </c>
      <c r="O1292" s="3">
        <v>20</v>
      </c>
      <c r="P1292" s="3" t="s">
        <v>1361</v>
      </c>
      <c r="Q1292" s="577">
        <v>290</v>
      </c>
      <c r="R1292" s="578"/>
      <c r="S1292" s="578">
        <v>0</v>
      </c>
      <c r="T1292" s="578">
        <v>290</v>
      </c>
      <c r="U1292" s="349">
        <v>1</v>
      </c>
      <c r="V1292" s="349">
        <v>0.32</v>
      </c>
      <c r="W1292" s="349"/>
      <c r="X1292" s="349"/>
      <c r="Y1292" s="349"/>
      <c r="Z1292" s="349">
        <v>0.2</v>
      </c>
      <c r="AA1292" s="437">
        <v>0.51800000000000002</v>
      </c>
      <c r="AB1292" s="601">
        <v>150</v>
      </c>
      <c r="AC1292" s="348">
        <v>133</v>
      </c>
      <c r="AD1292" s="434"/>
      <c r="AE1292" s="4"/>
      <c r="AF1292" s="495"/>
      <c r="AG1292" s="511"/>
    </row>
    <row r="1293" spans="2:33" x14ac:dyDescent="0.25">
      <c r="B1293" s="430" t="s">
        <v>3164</v>
      </c>
      <c r="C1293" s="431" t="s">
        <v>1368</v>
      </c>
      <c r="D1293" s="3" t="s">
        <v>1279</v>
      </c>
      <c r="E1293" s="444" t="s">
        <v>1397</v>
      </c>
      <c r="F1293" s="444" t="s">
        <v>3201</v>
      </c>
      <c r="G1293" s="431" t="s">
        <v>4443</v>
      </c>
      <c r="H1293" s="444" t="s">
        <v>4109</v>
      </c>
      <c r="I1293" s="431" t="s">
        <v>4264</v>
      </c>
      <c r="J1293" s="431" t="s">
        <v>4045</v>
      </c>
      <c r="K1293" s="387" t="s">
        <v>4072</v>
      </c>
      <c r="L1293" s="3">
        <v>200</v>
      </c>
      <c r="M1293" s="3"/>
      <c r="N1293" s="3">
        <v>200</v>
      </c>
      <c r="O1293" s="3">
        <v>180</v>
      </c>
      <c r="P1293" s="3" t="s">
        <v>1361</v>
      </c>
      <c r="Q1293" s="577">
        <v>264</v>
      </c>
      <c r="R1293" s="578"/>
      <c r="S1293" s="578">
        <v>0</v>
      </c>
      <c r="T1293" s="578">
        <v>342</v>
      </c>
      <c r="U1293" s="349">
        <v>1</v>
      </c>
      <c r="V1293" s="349">
        <v>1</v>
      </c>
      <c r="W1293" s="349"/>
      <c r="X1293" s="349"/>
      <c r="Y1293" s="349"/>
      <c r="Z1293" s="349">
        <v>0.8</v>
      </c>
      <c r="AA1293" s="437">
        <v>0.99</v>
      </c>
      <c r="AB1293" s="601">
        <v>339</v>
      </c>
      <c r="AC1293" s="467">
        <v>233</v>
      </c>
      <c r="AD1293" s="434"/>
      <c r="AE1293" s="4"/>
      <c r="AF1293" s="495"/>
      <c r="AG1293" s="511"/>
    </row>
    <row r="1294" spans="2:33" x14ac:dyDescent="0.25">
      <c r="B1294" s="430" t="s">
        <v>3165</v>
      </c>
      <c r="C1294" s="431" t="s">
        <v>1368</v>
      </c>
      <c r="D1294" s="3" t="s">
        <v>1279</v>
      </c>
      <c r="E1294" s="444" t="s">
        <v>1398</v>
      </c>
      <c r="F1294" s="444" t="s">
        <v>3201</v>
      </c>
      <c r="G1294" s="431" t="s">
        <v>4444</v>
      </c>
      <c r="H1294" s="444" t="s">
        <v>4109</v>
      </c>
      <c r="I1294" s="431" t="s">
        <v>4265</v>
      </c>
      <c r="J1294" s="431" t="s">
        <v>4046</v>
      </c>
      <c r="K1294" s="387" t="s">
        <v>4073</v>
      </c>
      <c r="L1294" s="3">
        <v>180</v>
      </c>
      <c r="M1294" s="3"/>
      <c r="N1294" s="3">
        <v>180</v>
      </c>
      <c r="O1294" s="3">
        <v>160</v>
      </c>
      <c r="P1294" s="3" t="s">
        <v>1361</v>
      </c>
      <c r="Q1294" s="577">
        <v>237</v>
      </c>
      <c r="R1294" s="578"/>
      <c r="S1294" s="578">
        <v>0</v>
      </c>
      <c r="T1294" s="578">
        <v>305</v>
      </c>
      <c r="U1294" s="349">
        <v>1</v>
      </c>
      <c r="V1294" s="349">
        <v>1</v>
      </c>
      <c r="W1294" s="349"/>
      <c r="X1294" s="349"/>
      <c r="Y1294" s="349"/>
      <c r="Z1294" s="349">
        <v>0.8</v>
      </c>
      <c r="AA1294" s="437">
        <v>0.99</v>
      </c>
      <c r="AB1294" s="601">
        <v>302</v>
      </c>
      <c r="AC1294" s="467">
        <v>304</v>
      </c>
      <c r="AD1294" s="434"/>
      <c r="AE1294" s="4"/>
      <c r="AF1294" s="495"/>
      <c r="AG1294" s="511"/>
    </row>
    <row r="1295" spans="2:33" x14ac:dyDescent="0.25">
      <c r="B1295" s="430" t="s">
        <v>3166</v>
      </c>
      <c r="C1295" s="431" t="s">
        <v>1368</v>
      </c>
      <c r="D1295" s="3" t="s">
        <v>1279</v>
      </c>
      <c r="E1295" s="444" t="s">
        <v>1374</v>
      </c>
      <c r="F1295" s="444" t="s">
        <v>3201</v>
      </c>
      <c r="G1295" s="431" t="s">
        <v>4445</v>
      </c>
      <c r="H1295" s="444" t="s">
        <v>4109</v>
      </c>
      <c r="I1295" s="431" t="s">
        <v>4266</v>
      </c>
      <c r="J1295" s="431" t="s">
        <v>4047</v>
      </c>
      <c r="K1295" s="387" t="s">
        <v>4074</v>
      </c>
      <c r="L1295" s="3">
        <v>200</v>
      </c>
      <c r="M1295" s="3"/>
      <c r="N1295" s="3">
        <v>200</v>
      </c>
      <c r="O1295" s="3">
        <v>200</v>
      </c>
      <c r="P1295" s="3" t="s">
        <v>1361</v>
      </c>
      <c r="Q1295" s="577">
        <v>264</v>
      </c>
      <c r="R1295" s="578"/>
      <c r="S1295" s="578">
        <v>0</v>
      </c>
      <c r="T1295" s="578">
        <v>343</v>
      </c>
      <c r="U1295" s="349">
        <v>1</v>
      </c>
      <c r="V1295" s="349">
        <v>1</v>
      </c>
      <c r="W1295" s="349"/>
      <c r="X1295" s="349"/>
      <c r="Y1295" s="349"/>
      <c r="Z1295" s="349">
        <v>0.9</v>
      </c>
      <c r="AA1295" s="437">
        <v>0.995</v>
      </c>
      <c r="AB1295" s="601">
        <v>341</v>
      </c>
      <c r="AC1295" s="467">
        <v>305</v>
      </c>
      <c r="AD1295" s="602"/>
      <c r="AE1295" s="4"/>
      <c r="AF1295" s="495"/>
      <c r="AG1295" s="511"/>
    </row>
    <row r="1296" spans="2:33" x14ac:dyDescent="0.25">
      <c r="B1296" s="430" t="s">
        <v>3167</v>
      </c>
      <c r="C1296" s="431" t="s">
        <v>1368</v>
      </c>
      <c r="D1296" s="3" t="s">
        <v>1279</v>
      </c>
      <c r="E1296" s="444" t="s">
        <v>1377</v>
      </c>
      <c r="F1296" s="444" t="s">
        <v>3201</v>
      </c>
      <c r="G1296" s="431" t="s">
        <v>4446</v>
      </c>
      <c r="H1296" s="444" t="s">
        <v>4109</v>
      </c>
      <c r="I1296" s="431" t="s">
        <v>4267</v>
      </c>
      <c r="J1296" s="431" t="s">
        <v>4048</v>
      </c>
      <c r="K1296" s="387" t="s">
        <v>4075</v>
      </c>
      <c r="L1296" s="3">
        <v>200</v>
      </c>
      <c r="M1296" s="3"/>
      <c r="N1296" s="3">
        <v>200</v>
      </c>
      <c r="O1296" s="3">
        <v>190</v>
      </c>
      <c r="P1296" s="3" t="s">
        <v>1361</v>
      </c>
      <c r="Q1296" s="577">
        <v>264</v>
      </c>
      <c r="R1296" s="578"/>
      <c r="S1296" s="578">
        <v>0</v>
      </c>
      <c r="T1296" s="578">
        <v>342</v>
      </c>
      <c r="U1296" s="349">
        <v>1</v>
      </c>
      <c r="V1296" s="349">
        <v>1</v>
      </c>
      <c r="W1296" s="349"/>
      <c r="X1296" s="349"/>
      <c r="Y1296" s="349"/>
      <c r="Z1296" s="349">
        <v>0.9</v>
      </c>
      <c r="AA1296" s="437">
        <v>0.995</v>
      </c>
      <c r="AB1296" s="601">
        <v>340</v>
      </c>
      <c r="AC1296" s="467">
        <v>373</v>
      </c>
      <c r="AD1296" s="602"/>
      <c r="AE1296" s="4"/>
      <c r="AF1296" s="495"/>
      <c r="AG1296" s="511"/>
    </row>
    <row r="1297" spans="2:33" x14ac:dyDescent="0.25">
      <c r="B1297" s="430" t="s">
        <v>3168</v>
      </c>
      <c r="C1297" s="431" t="s">
        <v>1368</v>
      </c>
      <c r="D1297" s="3" t="s">
        <v>1279</v>
      </c>
      <c r="E1297" s="444" t="s">
        <v>1379</v>
      </c>
      <c r="F1297" s="444" t="s">
        <v>3201</v>
      </c>
      <c r="G1297" s="431" t="s">
        <v>4447</v>
      </c>
      <c r="H1297" s="444" t="s">
        <v>4109</v>
      </c>
      <c r="I1297" s="431" t="s">
        <v>4268</v>
      </c>
      <c r="J1297" s="431" t="s">
        <v>4049</v>
      </c>
      <c r="K1297" s="387" t="s">
        <v>4076</v>
      </c>
      <c r="L1297" s="3">
        <v>200</v>
      </c>
      <c r="M1297" s="3"/>
      <c r="N1297" s="3">
        <v>200</v>
      </c>
      <c r="O1297" s="3">
        <v>180</v>
      </c>
      <c r="P1297" s="3" t="s">
        <v>1361</v>
      </c>
      <c r="Q1297" s="577">
        <v>264</v>
      </c>
      <c r="R1297" s="578"/>
      <c r="S1297" s="578">
        <v>0</v>
      </c>
      <c r="T1297" s="578">
        <v>329</v>
      </c>
      <c r="U1297" s="349">
        <v>1</v>
      </c>
      <c r="V1297" s="349">
        <v>1</v>
      </c>
      <c r="W1297" s="349"/>
      <c r="X1297" s="349"/>
      <c r="Y1297" s="349"/>
      <c r="Z1297" s="349">
        <v>0.8</v>
      </c>
      <c r="AA1297" s="437">
        <v>0.99</v>
      </c>
      <c r="AB1297" s="601">
        <v>326</v>
      </c>
      <c r="AC1297" s="467">
        <v>275</v>
      </c>
      <c r="AD1297" s="602"/>
      <c r="AE1297" s="4"/>
      <c r="AF1297" s="495" t="s">
        <v>4871</v>
      </c>
      <c r="AG1297" s="511"/>
    </row>
    <row r="1298" spans="2:33" x14ac:dyDescent="0.25">
      <c r="B1298" s="430" t="s">
        <v>3169</v>
      </c>
      <c r="C1298" s="431" t="s">
        <v>1368</v>
      </c>
      <c r="D1298" s="3" t="s">
        <v>1279</v>
      </c>
      <c r="E1298" s="444" t="s">
        <v>1381</v>
      </c>
      <c r="F1298" s="444" t="s">
        <v>3201</v>
      </c>
      <c r="G1298" s="431" t="s">
        <v>4448</v>
      </c>
      <c r="H1298" s="444" t="s">
        <v>4109</v>
      </c>
      <c r="I1298" s="431" t="s">
        <v>4269</v>
      </c>
      <c r="J1298" s="431" t="s">
        <v>4050</v>
      </c>
      <c r="K1298" s="387" t="s">
        <v>4077</v>
      </c>
      <c r="L1298" s="3">
        <v>660</v>
      </c>
      <c r="M1298" s="3"/>
      <c r="N1298" s="3">
        <v>660</v>
      </c>
      <c r="O1298" s="3">
        <v>630</v>
      </c>
      <c r="P1298" s="3" t="s">
        <v>1361</v>
      </c>
      <c r="Q1298" s="577">
        <v>870</v>
      </c>
      <c r="R1298" s="578"/>
      <c r="S1298" s="578">
        <v>0</v>
      </c>
      <c r="T1298" s="578">
        <v>870</v>
      </c>
      <c r="U1298" s="349">
        <v>1</v>
      </c>
      <c r="V1298" s="349">
        <v>0.9</v>
      </c>
      <c r="W1298" s="349"/>
      <c r="X1298" s="349"/>
      <c r="Y1298" s="349"/>
      <c r="Z1298" s="349">
        <v>0.9</v>
      </c>
      <c r="AA1298" s="437">
        <v>0.93</v>
      </c>
      <c r="AB1298" s="455">
        <v>809</v>
      </c>
      <c r="AC1298" s="467">
        <v>800</v>
      </c>
      <c r="AD1298" s="602"/>
      <c r="AE1298" s="4"/>
      <c r="AF1298" s="495"/>
      <c r="AG1298" s="511"/>
    </row>
    <row r="1299" spans="2:33" x14ac:dyDescent="0.25">
      <c r="B1299" s="430" t="s">
        <v>3170</v>
      </c>
      <c r="C1299" s="431" t="s">
        <v>1368</v>
      </c>
      <c r="D1299" s="3" t="s">
        <v>1279</v>
      </c>
      <c r="E1299" s="444" t="s">
        <v>1396</v>
      </c>
      <c r="F1299" s="444" t="s">
        <v>3201</v>
      </c>
      <c r="G1299" s="431" t="s">
        <v>4449</v>
      </c>
      <c r="H1299" s="444" t="s">
        <v>4109</v>
      </c>
      <c r="I1299" s="431" t="s">
        <v>4270</v>
      </c>
      <c r="J1299" s="431" t="s">
        <v>4051</v>
      </c>
      <c r="K1299" s="387" t="s">
        <v>4078</v>
      </c>
      <c r="L1299" s="3">
        <v>130</v>
      </c>
      <c r="M1299" s="3"/>
      <c r="N1299" s="3">
        <v>130</v>
      </c>
      <c r="O1299" s="3">
        <v>60</v>
      </c>
      <c r="P1299" s="3" t="s">
        <v>1361</v>
      </c>
      <c r="Q1299" s="577">
        <v>171</v>
      </c>
      <c r="R1299" s="578"/>
      <c r="S1299" s="578">
        <v>0</v>
      </c>
      <c r="T1299" s="578">
        <v>171</v>
      </c>
      <c r="U1299" s="349">
        <v>0.5</v>
      </c>
      <c r="V1299" s="349">
        <v>0.5</v>
      </c>
      <c r="W1299" s="349"/>
      <c r="X1299" s="349"/>
      <c r="Y1299" s="349"/>
      <c r="Z1299" s="349">
        <v>0.5</v>
      </c>
      <c r="AA1299" s="437">
        <v>0.5</v>
      </c>
      <c r="AB1299" s="455">
        <v>86</v>
      </c>
      <c r="AC1299" s="467">
        <v>86</v>
      </c>
      <c r="AD1299" s="602"/>
      <c r="AE1299" s="4"/>
      <c r="AF1299" s="495"/>
      <c r="AG1299" s="511"/>
    </row>
    <row r="1300" spans="2:33" x14ac:dyDescent="0.25">
      <c r="B1300" s="430" t="s">
        <v>3182</v>
      </c>
      <c r="C1300" s="431" t="s">
        <v>1368</v>
      </c>
      <c r="D1300" s="3" t="s">
        <v>1279</v>
      </c>
      <c r="E1300" s="444" t="s">
        <v>1425</v>
      </c>
      <c r="F1300" s="444" t="s">
        <v>3201</v>
      </c>
      <c r="G1300" s="431" t="s">
        <v>4450</v>
      </c>
      <c r="H1300" s="444" t="s">
        <v>4109</v>
      </c>
      <c r="I1300" s="431" t="s">
        <v>4271</v>
      </c>
      <c r="J1300" s="431" t="s">
        <v>4035</v>
      </c>
      <c r="K1300" s="387" t="s">
        <v>4062</v>
      </c>
      <c r="L1300" s="3">
        <v>130</v>
      </c>
      <c r="M1300" s="3"/>
      <c r="N1300" s="3">
        <v>130</v>
      </c>
      <c r="O1300" s="3">
        <v>0</v>
      </c>
      <c r="P1300" s="3" t="s">
        <v>1361</v>
      </c>
      <c r="Q1300" s="577">
        <v>171</v>
      </c>
      <c r="R1300" s="578"/>
      <c r="S1300" s="578">
        <v>0</v>
      </c>
      <c r="T1300" s="578">
        <v>171</v>
      </c>
      <c r="U1300" s="349">
        <v>0</v>
      </c>
      <c r="V1300" s="349">
        <v>0</v>
      </c>
      <c r="W1300" s="349"/>
      <c r="X1300" s="349"/>
      <c r="Y1300" s="349"/>
      <c r="Z1300" s="536">
        <v>0</v>
      </c>
      <c r="AA1300" s="437">
        <v>0</v>
      </c>
      <c r="AB1300" s="455">
        <v>0</v>
      </c>
      <c r="AC1300" s="467">
        <v>0</v>
      </c>
      <c r="AD1300" s="437"/>
      <c r="AE1300" s="4"/>
      <c r="AF1300" s="495"/>
      <c r="AG1300" s="511"/>
    </row>
    <row r="1301" spans="2:33" x14ac:dyDescent="0.25">
      <c r="B1301" s="430" t="s">
        <v>3183</v>
      </c>
      <c r="C1301" s="431" t="s">
        <v>1368</v>
      </c>
      <c r="D1301" s="3" t="s">
        <v>1279</v>
      </c>
      <c r="E1301" s="444" t="s">
        <v>1426</v>
      </c>
      <c r="F1301" s="444" t="s">
        <v>3201</v>
      </c>
      <c r="G1301" s="431" t="s">
        <v>4451</v>
      </c>
      <c r="H1301" s="444" t="s">
        <v>4109</v>
      </c>
      <c r="I1301" s="431" t="s">
        <v>4272</v>
      </c>
      <c r="J1301" s="431" t="s">
        <v>4036</v>
      </c>
      <c r="K1301" s="387" t="s">
        <v>4063</v>
      </c>
      <c r="L1301" s="3">
        <v>130</v>
      </c>
      <c r="M1301" s="3"/>
      <c r="N1301" s="3">
        <v>130</v>
      </c>
      <c r="O1301" s="3">
        <v>0</v>
      </c>
      <c r="P1301" s="3" t="s">
        <v>1361</v>
      </c>
      <c r="Q1301" s="577">
        <v>171</v>
      </c>
      <c r="R1301" s="578"/>
      <c r="S1301" s="578">
        <v>0</v>
      </c>
      <c r="T1301" s="578">
        <v>171</v>
      </c>
      <c r="U1301" s="349">
        <v>0</v>
      </c>
      <c r="V1301" s="349">
        <v>0</v>
      </c>
      <c r="W1301" s="349"/>
      <c r="X1301" s="349"/>
      <c r="Y1301" s="349"/>
      <c r="Z1301" s="536">
        <v>0</v>
      </c>
      <c r="AA1301" s="437">
        <v>0</v>
      </c>
      <c r="AB1301" s="455">
        <v>0</v>
      </c>
      <c r="AC1301" s="467">
        <v>0</v>
      </c>
      <c r="AD1301" s="412"/>
      <c r="AE1301" s="4"/>
      <c r="AF1301" s="495"/>
      <c r="AG1301" s="511"/>
    </row>
    <row r="1302" spans="2:33" x14ac:dyDescent="0.25">
      <c r="B1302" s="430" t="s">
        <v>3184</v>
      </c>
      <c r="C1302" s="431" t="s">
        <v>1368</v>
      </c>
      <c r="D1302" s="3" t="s">
        <v>1279</v>
      </c>
      <c r="E1302" s="444" t="s">
        <v>1427</v>
      </c>
      <c r="F1302" s="444" t="s">
        <v>3201</v>
      </c>
      <c r="G1302" s="431" t="s">
        <v>4452</v>
      </c>
      <c r="H1302" s="444" t="s">
        <v>4109</v>
      </c>
      <c r="I1302" s="431" t="s">
        <v>4273</v>
      </c>
      <c r="J1302" s="431" t="s">
        <v>4037</v>
      </c>
      <c r="K1302" s="387" t="s">
        <v>4064</v>
      </c>
      <c r="L1302" s="3">
        <v>110</v>
      </c>
      <c r="M1302" s="3"/>
      <c r="N1302" s="3">
        <v>110</v>
      </c>
      <c r="O1302" s="3">
        <v>0</v>
      </c>
      <c r="P1302" s="3" t="s">
        <v>1361</v>
      </c>
      <c r="Q1302" s="577">
        <v>145</v>
      </c>
      <c r="R1302" s="578"/>
      <c r="S1302" s="578">
        <v>0</v>
      </c>
      <c r="T1302" s="578">
        <v>145</v>
      </c>
      <c r="U1302" s="349">
        <v>0</v>
      </c>
      <c r="V1302" s="349">
        <v>0</v>
      </c>
      <c r="W1302" s="349"/>
      <c r="X1302" s="349"/>
      <c r="Y1302" s="349"/>
      <c r="Z1302" s="536">
        <v>0</v>
      </c>
      <c r="AA1302" s="437">
        <v>0</v>
      </c>
      <c r="AB1302" s="455">
        <v>0</v>
      </c>
      <c r="AC1302" s="467">
        <v>0</v>
      </c>
      <c r="AD1302" s="412"/>
      <c r="AE1302" s="4"/>
      <c r="AF1302" s="495"/>
      <c r="AG1302" s="511"/>
    </row>
    <row r="1303" spans="2:33" x14ac:dyDescent="0.25">
      <c r="B1303" s="430" t="s">
        <v>3185</v>
      </c>
      <c r="C1303" s="431" t="s">
        <v>1368</v>
      </c>
      <c r="D1303" s="3" t="s">
        <v>1279</v>
      </c>
      <c r="E1303" s="444" t="s">
        <v>1428</v>
      </c>
      <c r="F1303" s="444" t="s">
        <v>3201</v>
      </c>
      <c r="G1303" s="431" t="s">
        <v>4453</v>
      </c>
      <c r="H1303" s="444" t="s">
        <v>4109</v>
      </c>
      <c r="I1303" s="431" t="s">
        <v>4274</v>
      </c>
      <c r="J1303" s="431" t="s">
        <v>4038</v>
      </c>
      <c r="K1303" s="387" t="s">
        <v>4065</v>
      </c>
      <c r="L1303" s="3">
        <v>110</v>
      </c>
      <c r="M1303" s="3"/>
      <c r="N1303" s="3">
        <v>110</v>
      </c>
      <c r="O1303" s="3">
        <v>0</v>
      </c>
      <c r="P1303" s="3" t="s">
        <v>1361</v>
      </c>
      <c r="Q1303" s="577">
        <v>145</v>
      </c>
      <c r="R1303" s="578"/>
      <c r="S1303" s="578">
        <v>0</v>
      </c>
      <c r="T1303" s="578">
        <v>145</v>
      </c>
      <c r="U1303" s="349">
        <v>0</v>
      </c>
      <c r="V1303" s="349">
        <v>0</v>
      </c>
      <c r="W1303" s="349"/>
      <c r="X1303" s="349"/>
      <c r="Y1303" s="349"/>
      <c r="Z1303" s="536">
        <v>0</v>
      </c>
      <c r="AA1303" s="437">
        <v>0</v>
      </c>
      <c r="AB1303" s="455">
        <v>0</v>
      </c>
      <c r="AC1303" s="467">
        <v>0</v>
      </c>
      <c r="AD1303" s="412"/>
      <c r="AE1303" s="4"/>
      <c r="AF1303" s="495"/>
      <c r="AG1303" s="511"/>
    </row>
    <row r="1304" spans="2:33" x14ac:dyDescent="0.25">
      <c r="B1304" s="430" t="s">
        <v>3186</v>
      </c>
      <c r="C1304" s="431" t="s">
        <v>1368</v>
      </c>
      <c r="D1304" s="3" t="s">
        <v>1279</v>
      </c>
      <c r="E1304" s="444" t="s">
        <v>1429</v>
      </c>
      <c r="F1304" s="444" t="s">
        <v>3201</v>
      </c>
      <c r="G1304" s="431" t="s">
        <v>4454</v>
      </c>
      <c r="H1304" s="444" t="s">
        <v>4109</v>
      </c>
      <c r="I1304" s="431" t="s">
        <v>4275</v>
      </c>
      <c r="J1304" s="431" t="s">
        <v>4039</v>
      </c>
      <c r="K1304" s="387" t="s">
        <v>4066</v>
      </c>
      <c r="L1304" s="3">
        <v>110</v>
      </c>
      <c r="M1304" s="3"/>
      <c r="N1304" s="3">
        <v>110</v>
      </c>
      <c r="O1304" s="3">
        <v>0</v>
      </c>
      <c r="P1304" s="3" t="s">
        <v>1361</v>
      </c>
      <c r="Q1304" s="577">
        <v>145</v>
      </c>
      <c r="R1304" s="578"/>
      <c r="S1304" s="578">
        <v>0</v>
      </c>
      <c r="T1304" s="578">
        <v>145</v>
      </c>
      <c r="U1304" s="349">
        <v>0</v>
      </c>
      <c r="V1304" s="349">
        <v>0</v>
      </c>
      <c r="W1304" s="349"/>
      <c r="X1304" s="349"/>
      <c r="Y1304" s="349"/>
      <c r="Z1304" s="536">
        <v>0</v>
      </c>
      <c r="AA1304" s="437">
        <v>0</v>
      </c>
      <c r="AB1304" s="455">
        <v>0</v>
      </c>
      <c r="AC1304" s="467">
        <v>0</v>
      </c>
      <c r="AD1304" s="412"/>
      <c r="AE1304" s="4"/>
      <c r="AF1304" s="495"/>
      <c r="AG1304" s="511"/>
    </row>
    <row r="1305" spans="2:33" x14ac:dyDescent="0.25">
      <c r="B1305" s="430" t="s">
        <v>3187</v>
      </c>
      <c r="C1305" s="431" t="s">
        <v>1368</v>
      </c>
      <c r="D1305" s="3" t="s">
        <v>1279</v>
      </c>
      <c r="E1305" s="444" t="s">
        <v>1430</v>
      </c>
      <c r="F1305" s="444" t="s">
        <v>3201</v>
      </c>
      <c r="G1305" s="431" t="s">
        <v>4455</v>
      </c>
      <c r="H1305" s="444" t="s">
        <v>4109</v>
      </c>
      <c r="I1305" s="431" t="s">
        <v>4276</v>
      </c>
      <c r="J1305" s="431" t="s">
        <v>4040</v>
      </c>
      <c r="K1305" s="387" t="s">
        <v>4067</v>
      </c>
      <c r="L1305" s="3">
        <v>220</v>
      </c>
      <c r="M1305" s="3"/>
      <c r="N1305" s="3">
        <v>220</v>
      </c>
      <c r="O1305" s="3">
        <v>0</v>
      </c>
      <c r="P1305" s="3" t="s">
        <v>1361</v>
      </c>
      <c r="Q1305" s="577">
        <v>290</v>
      </c>
      <c r="R1305" s="578"/>
      <c r="S1305" s="578">
        <v>0</v>
      </c>
      <c r="T1305" s="578">
        <v>290</v>
      </c>
      <c r="U1305" s="349">
        <v>0</v>
      </c>
      <c r="V1305" s="349">
        <v>0</v>
      </c>
      <c r="W1305" s="349"/>
      <c r="X1305" s="349"/>
      <c r="Y1305" s="349"/>
      <c r="Z1305" s="536">
        <v>0</v>
      </c>
      <c r="AA1305" s="437">
        <v>0</v>
      </c>
      <c r="AB1305" s="455">
        <v>0</v>
      </c>
      <c r="AC1305" s="467">
        <v>0</v>
      </c>
      <c r="AD1305" s="412"/>
      <c r="AE1305" s="4"/>
      <c r="AF1305" s="495"/>
      <c r="AG1305" s="511"/>
    </row>
    <row r="1306" spans="2:33" x14ac:dyDescent="0.25">
      <c r="B1306" s="430" t="s">
        <v>3188</v>
      </c>
      <c r="C1306" s="431" t="s">
        <v>1368</v>
      </c>
      <c r="D1306" s="3" t="s">
        <v>1279</v>
      </c>
      <c r="E1306" s="444" t="s">
        <v>1431</v>
      </c>
      <c r="F1306" s="444" t="s">
        <v>3201</v>
      </c>
      <c r="G1306" s="431" t="s">
        <v>4456</v>
      </c>
      <c r="H1306" s="444" t="s">
        <v>4109</v>
      </c>
      <c r="I1306" s="431" t="s">
        <v>4277</v>
      </c>
      <c r="J1306" s="431" t="s">
        <v>4041</v>
      </c>
      <c r="K1306" s="387" t="s">
        <v>4068</v>
      </c>
      <c r="L1306" s="3">
        <v>100</v>
      </c>
      <c r="M1306" s="3"/>
      <c r="N1306" s="3">
        <v>100</v>
      </c>
      <c r="O1306" s="3">
        <v>0</v>
      </c>
      <c r="P1306" s="3" t="s">
        <v>1361</v>
      </c>
      <c r="Q1306" s="577">
        <v>132</v>
      </c>
      <c r="R1306" s="578"/>
      <c r="S1306" s="578">
        <v>0</v>
      </c>
      <c r="T1306" s="578">
        <v>132</v>
      </c>
      <c r="U1306" s="349">
        <v>0</v>
      </c>
      <c r="V1306" s="349">
        <v>0</v>
      </c>
      <c r="W1306" s="349"/>
      <c r="X1306" s="349"/>
      <c r="Y1306" s="349"/>
      <c r="Z1306" s="536">
        <v>0</v>
      </c>
      <c r="AA1306" s="437">
        <v>0</v>
      </c>
      <c r="AB1306" s="455">
        <v>0</v>
      </c>
      <c r="AC1306" s="467">
        <v>0</v>
      </c>
      <c r="AD1306" s="412"/>
      <c r="AE1306" s="4"/>
      <c r="AF1306" s="495"/>
      <c r="AG1306" s="511"/>
    </row>
    <row r="1307" spans="2:33" x14ac:dyDescent="0.25">
      <c r="B1307" s="430" t="s">
        <v>3189</v>
      </c>
      <c r="C1307" s="431" t="s">
        <v>1368</v>
      </c>
      <c r="D1307" s="3" t="s">
        <v>1279</v>
      </c>
      <c r="E1307" s="444" t="s">
        <v>1432</v>
      </c>
      <c r="F1307" s="444" t="s">
        <v>3201</v>
      </c>
      <c r="G1307" s="431" t="s">
        <v>4457</v>
      </c>
      <c r="H1307" s="444" t="s">
        <v>4109</v>
      </c>
      <c r="I1307" s="431" t="s">
        <v>4278</v>
      </c>
      <c r="J1307" s="431" t="s">
        <v>4042</v>
      </c>
      <c r="K1307" s="387" t="s">
        <v>4069</v>
      </c>
      <c r="L1307" s="3">
        <v>230</v>
      </c>
      <c r="M1307" s="3"/>
      <c r="N1307" s="3">
        <v>230</v>
      </c>
      <c r="O1307" s="3">
        <v>0</v>
      </c>
      <c r="P1307" s="3" t="s">
        <v>1361</v>
      </c>
      <c r="Q1307" s="577">
        <v>303</v>
      </c>
      <c r="R1307" s="578"/>
      <c r="S1307" s="578">
        <v>0</v>
      </c>
      <c r="T1307" s="578">
        <v>303</v>
      </c>
      <c r="U1307" s="349">
        <v>0</v>
      </c>
      <c r="V1307" s="349">
        <v>0</v>
      </c>
      <c r="W1307" s="349"/>
      <c r="X1307" s="349"/>
      <c r="Y1307" s="349"/>
      <c r="Z1307" s="536">
        <v>0</v>
      </c>
      <c r="AA1307" s="437">
        <v>0</v>
      </c>
      <c r="AB1307" s="455">
        <v>0</v>
      </c>
      <c r="AC1307" s="467">
        <v>0</v>
      </c>
      <c r="AD1307" s="412"/>
      <c r="AE1307" s="4"/>
      <c r="AF1307" s="495"/>
      <c r="AG1307" s="511"/>
    </row>
    <row r="1308" spans="2:33" x14ac:dyDescent="0.25">
      <c r="B1308" s="430" t="s">
        <v>3190</v>
      </c>
      <c r="C1308" s="431" t="s">
        <v>1368</v>
      </c>
      <c r="D1308" s="3" t="s">
        <v>1279</v>
      </c>
      <c r="E1308" s="444" t="s">
        <v>1433</v>
      </c>
      <c r="F1308" s="444" t="s">
        <v>3201</v>
      </c>
      <c r="G1308" s="431" t="s">
        <v>4458</v>
      </c>
      <c r="H1308" s="444" t="s">
        <v>4109</v>
      </c>
      <c r="I1308" s="431" t="s">
        <v>4279</v>
      </c>
      <c r="J1308" s="431" t="s">
        <v>4043</v>
      </c>
      <c r="K1308" s="387" t="s">
        <v>4070</v>
      </c>
      <c r="L1308" s="3">
        <v>0</v>
      </c>
      <c r="M1308" s="3"/>
      <c r="N1308" s="3">
        <v>0</v>
      </c>
      <c r="O1308" s="3">
        <v>0</v>
      </c>
      <c r="P1308" s="3" t="s">
        <v>1361</v>
      </c>
      <c r="Q1308" s="577">
        <v>0</v>
      </c>
      <c r="R1308" s="578"/>
      <c r="S1308" s="578">
        <v>0</v>
      </c>
      <c r="T1308" s="578">
        <v>0</v>
      </c>
      <c r="U1308" s="349">
        <v>0</v>
      </c>
      <c r="V1308" s="349">
        <v>0</v>
      </c>
      <c r="W1308" s="349"/>
      <c r="X1308" s="349"/>
      <c r="Y1308" s="349"/>
      <c r="Z1308" s="536">
        <v>0</v>
      </c>
      <c r="AA1308" s="437">
        <v>0</v>
      </c>
      <c r="AB1308" s="455">
        <v>0</v>
      </c>
      <c r="AC1308" s="467">
        <v>0</v>
      </c>
      <c r="AD1308" s="412"/>
      <c r="AE1308" s="4"/>
      <c r="AF1308" s="495"/>
      <c r="AG1308" s="511"/>
    </row>
    <row r="1309" spans="2:33" x14ac:dyDescent="0.25">
      <c r="B1309" s="598"/>
      <c r="C1309" s="558" t="s">
        <v>1368</v>
      </c>
      <c r="D1309" s="3" t="s">
        <v>1279</v>
      </c>
      <c r="E1309" s="558" t="s">
        <v>4787</v>
      </c>
      <c r="F1309" s="444" t="s">
        <v>3201</v>
      </c>
      <c r="G1309" s="558"/>
      <c r="H1309" s="558"/>
      <c r="I1309" s="558"/>
      <c r="J1309" s="558"/>
      <c r="K1309" s="559" t="s">
        <v>4869</v>
      </c>
      <c r="L1309" s="3">
        <v>120</v>
      </c>
      <c r="M1309" s="588">
        <v>-60</v>
      </c>
      <c r="N1309" s="3">
        <v>60</v>
      </c>
      <c r="O1309" s="588">
        <v>0</v>
      </c>
      <c r="P1309" s="559" t="s">
        <v>1361</v>
      </c>
      <c r="Q1309" s="597">
        <v>79</v>
      </c>
      <c r="R1309" s="599"/>
      <c r="S1309" s="578">
        <v>0</v>
      </c>
      <c r="T1309" s="599">
        <v>79</v>
      </c>
      <c r="U1309" s="349">
        <v>1</v>
      </c>
      <c r="V1309" s="349">
        <v>0</v>
      </c>
      <c r="W1309" s="349"/>
      <c r="X1309" s="349"/>
      <c r="Y1309" s="349"/>
      <c r="Z1309" s="349">
        <v>0</v>
      </c>
      <c r="AA1309" s="561">
        <v>0.3</v>
      </c>
      <c r="AB1309" s="601">
        <v>24</v>
      </c>
      <c r="AC1309" s="594">
        <v>0</v>
      </c>
      <c r="AD1309" s="561"/>
      <c r="AE1309" s="564"/>
      <c r="AF1309" s="495"/>
      <c r="AG1309" s="566"/>
    </row>
    <row r="1310" spans="2:33" x14ac:dyDescent="0.25">
      <c r="B1310" s="598"/>
      <c r="C1310" s="558" t="s">
        <v>1368</v>
      </c>
      <c r="D1310" s="3" t="s">
        <v>1279</v>
      </c>
      <c r="E1310" s="558" t="s">
        <v>4788</v>
      </c>
      <c r="F1310" s="444" t="s">
        <v>3201</v>
      </c>
      <c r="G1310" s="558"/>
      <c r="H1310" s="558"/>
      <c r="I1310" s="558"/>
      <c r="J1310" s="558"/>
      <c r="K1310" s="559" t="s">
        <v>4862</v>
      </c>
      <c r="L1310" s="3">
        <v>120</v>
      </c>
      <c r="M1310" s="588">
        <v>-60</v>
      </c>
      <c r="N1310" s="3">
        <v>60</v>
      </c>
      <c r="O1310" s="588">
        <v>60</v>
      </c>
      <c r="P1310" s="559" t="s">
        <v>1361</v>
      </c>
      <c r="Q1310" s="597">
        <v>79</v>
      </c>
      <c r="R1310" s="599"/>
      <c r="S1310" s="578">
        <v>0</v>
      </c>
      <c r="T1310" s="599">
        <v>79</v>
      </c>
      <c r="U1310" s="349">
        <v>1</v>
      </c>
      <c r="V1310" s="349">
        <v>1</v>
      </c>
      <c r="W1310" s="349"/>
      <c r="X1310" s="349"/>
      <c r="Y1310" s="349"/>
      <c r="Z1310" s="349">
        <v>0.8</v>
      </c>
      <c r="AA1310" s="561">
        <v>0.99</v>
      </c>
      <c r="AB1310" s="601">
        <v>78</v>
      </c>
      <c r="AC1310" s="595">
        <v>148</v>
      </c>
      <c r="AD1310" s="561"/>
      <c r="AE1310" s="564"/>
      <c r="AF1310" s="495" t="s">
        <v>5287</v>
      </c>
      <c r="AG1310" s="566"/>
    </row>
    <row r="1311" spans="2:33" x14ac:dyDescent="0.25">
      <c r="B1311" s="598"/>
      <c r="C1311" s="558" t="s">
        <v>1368</v>
      </c>
      <c r="D1311" s="3" t="s">
        <v>1279</v>
      </c>
      <c r="E1311" s="558" t="s">
        <v>4789</v>
      </c>
      <c r="F1311" s="444" t="s">
        <v>3201</v>
      </c>
      <c r="G1311" s="558"/>
      <c r="H1311" s="558"/>
      <c r="I1311" s="558"/>
      <c r="J1311" s="558"/>
      <c r="K1311" s="559" t="s">
        <v>4863</v>
      </c>
      <c r="L1311" s="3">
        <v>120</v>
      </c>
      <c r="M1311" s="588">
        <v>-60</v>
      </c>
      <c r="N1311" s="3">
        <v>60</v>
      </c>
      <c r="O1311" s="588">
        <v>60</v>
      </c>
      <c r="P1311" s="559" t="s">
        <v>1361</v>
      </c>
      <c r="Q1311" s="597">
        <v>79</v>
      </c>
      <c r="R1311" s="599"/>
      <c r="S1311" s="578">
        <v>0</v>
      </c>
      <c r="T1311" s="599">
        <v>79</v>
      </c>
      <c r="U1311" s="349">
        <v>1</v>
      </c>
      <c r="V1311" s="349">
        <v>1</v>
      </c>
      <c r="W1311" s="349"/>
      <c r="X1311" s="349"/>
      <c r="Y1311" s="349"/>
      <c r="Z1311" s="349">
        <v>0.8</v>
      </c>
      <c r="AA1311" s="561">
        <v>0.99</v>
      </c>
      <c r="AB1311" s="601">
        <v>78</v>
      </c>
      <c r="AC1311" s="595">
        <v>90</v>
      </c>
      <c r="AD1311" s="561"/>
      <c r="AE1311" s="564"/>
      <c r="AF1311" s="495"/>
      <c r="AG1311" s="566"/>
    </row>
    <row r="1312" spans="2:33" x14ac:dyDescent="0.25">
      <c r="B1312" s="598"/>
      <c r="C1312" s="558" t="s">
        <v>1368</v>
      </c>
      <c r="D1312" s="3" t="s">
        <v>1279</v>
      </c>
      <c r="E1312" s="558" t="s">
        <v>4790</v>
      </c>
      <c r="F1312" s="444" t="s">
        <v>3201</v>
      </c>
      <c r="G1312" s="558"/>
      <c r="H1312" s="558"/>
      <c r="I1312" s="558"/>
      <c r="J1312" s="558"/>
      <c r="K1312" s="559" t="s">
        <v>4864</v>
      </c>
      <c r="L1312" s="3">
        <v>120</v>
      </c>
      <c r="M1312" s="588">
        <v>-60</v>
      </c>
      <c r="N1312" s="3">
        <v>60</v>
      </c>
      <c r="O1312" s="588">
        <v>60</v>
      </c>
      <c r="P1312" s="559" t="s">
        <v>1361</v>
      </c>
      <c r="Q1312" s="597">
        <v>79</v>
      </c>
      <c r="R1312" s="599"/>
      <c r="S1312" s="578">
        <v>0</v>
      </c>
      <c r="T1312" s="599">
        <v>79</v>
      </c>
      <c r="U1312" s="349">
        <v>1</v>
      </c>
      <c r="V1312" s="349">
        <v>1</v>
      </c>
      <c r="W1312" s="349"/>
      <c r="X1312" s="349"/>
      <c r="Y1312" s="349"/>
      <c r="Z1312" s="349">
        <v>0.8</v>
      </c>
      <c r="AA1312" s="561">
        <v>0.99</v>
      </c>
      <c r="AB1312" s="601">
        <v>78</v>
      </c>
      <c r="AC1312" s="595">
        <v>70</v>
      </c>
      <c r="AD1312" s="561"/>
      <c r="AE1312" s="564"/>
      <c r="AF1312" s="495"/>
      <c r="AG1312" s="566"/>
    </row>
    <row r="1313" spans="2:33" x14ac:dyDescent="0.25">
      <c r="B1313" s="598"/>
      <c r="C1313" s="558" t="s">
        <v>1368</v>
      </c>
      <c r="D1313" s="3" t="s">
        <v>1279</v>
      </c>
      <c r="E1313" s="558" t="s">
        <v>4791</v>
      </c>
      <c r="F1313" s="444" t="s">
        <v>3201</v>
      </c>
      <c r="G1313" s="558"/>
      <c r="H1313" s="558"/>
      <c r="I1313" s="558"/>
      <c r="J1313" s="558"/>
      <c r="K1313" s="559" t="s">
        <v>4865</v>
      </c>
      <c r="L1313" s="3">
        <v>120</v>
      </c>
      <c r="M1313" s="588">
        <v>-60</v>
      </c>
      <c r="N1313" s="3">
        <v>60</v>
      </c>
      <c r="O1313" s="588">
        <v>60</v>
      </c>
      <c r="P1313" s="559" t="s">
        <v>1361</v>
      </c>
      <c r="Q1313" s="597">
        <v>79</v>
      </c>
      <c r="R1313" s="599"/>
      <c r="S1313" s="578">
        <v>0</v>
      </c>
      <c r="T1313" s="599">
        <v>79</v>
      </c>
      <c r="U1313" s="349">
        <v>1</v>
      </c>
      <c r="V1313" s="349">
        <v>1</v>
      </c>
      <c r="W1313" s="349"/>
      <c r="X1313" s="349"/>
      <c r="Y1313" s="349"/>
      <c r="Z1313" s="349">
        <v>0.8</v>
      </c>
      <c r="AA1313" s="561">
        <v>0.99</v>
      </c>
      <c r="AB1313" s="601">
        <v>78</v>
      </c>
      <c r="AC1313" s="595">
        <v>72</v>
      </c>
      <c r="AD1313" s="561"/>
      <c r="AE1313" s="564"/>
      <c r="AF1313" s="495"/>
      <c r="AG1313" s="566"/>
    </row>
    <row r="1314" spans="2:33" x14ac:dyDescent="0.25">
      <c r="B1314" s="598"/>
      <c r="C1314" s="558" t="s">
        <v>1368</v>
      </c>
      <c r="D1314" s="3" t="s">
        <v>1279</v>
      </c>
      <c r="E1314" s="558" t="s">
        <v>4792</v>
      </c>
      <c r="F1314" s="444" t="s">
        <v>3201</v>
      </c>
      <c r="G1314" s="558"/>
      <c r="H1314" s="558"/>
      <c r="I1314" s="558"/>
      <c r="J1314" s="558"/>
      <c r="K1314" s="559" t="s">
        <v>5306</v>
      </c>
      <c r="L1314" s="3">
        <v>200</v>
      </c>
      <c r="M1314" s="588">
        <v>-117</v>
      </c>
      <c r="N1314" s="3">
        <v>83</v>
      </c>
      <c r="O1314" s="588">
        <v>60</v>
      </c>
      <c r="P1314" s="559" t="s">
        <v>1361</v>
      </c>
      <c r="Q1314" s="597">
        <v>109</v>
      </c>
      <c r="R1314" s="599"/>
      <c r="S1314" s="578">
        <v>0</v>
      </c>
      <c r="T1314" s="599">
        <v>109</v>
      </c>
      <c r="U1314" s="349">
        <v>1</v>
      </c>
      <c r="V1314" s="349">
        <v>1</v>
      </c>
      <c r="W1314" s="349"/>
      <c r="X1314" s="349"/>
      <c r="Y1314" s="349"/>
      <c r="Z1314" s="349">
        <v>0.5</v>
      </c>
      <c r="AA1314" s="561">
        <v>0.97499999999999998</v>
      </c>
      <c r="AB1314" s="601">
        <v>107</v>
      </c>
      <c r="AC1314" s="595">
        <v>150</v>
      </c>
      <c r="AD1314" s="561"/>
      <c r="AE1314" s="564"/>
      <c r="AF1314" s="495"/>
      <c r="AG1314" s="566"/>
    </row>
    <row r="1315" spans="2:33" x14ac:dyDescent="0.25">
      <c r="B1315" s="598"/>
      <c r="C1315" s="558" t="s">
        <v>1368</v>
      </c>
      <c r="D1315" s="3" t="s">
        <v>1279</v>
      </c>
      <c r="E1315" s="558" t="s">
        <v>4793</v>
      </c>
      <c r="F1315" s="444" t="s">
        <v>3201</v>
      </c>
      <c r="G1315" s="558"/>
      <c r="H1315" s="558"/>
      <c r="I1315" s="558"/>
      <c r="J1315" s="558"/>
      <c r="K1315" s="559" t="s">
        <v>4866</v>
      </c>
      <c r="L1315" s="3">
        <v>80</v>
      </c>
      <c r="M1315" s="588">
        <v>-40</v>
      </c>
      <c r="N1315" s="3">
        <v>40</v>
      </c>
      <c r="O1315" s="588"/>
      <c r="P1315" s="559" t="s">
        <v>1361</v>
      </c>
      <c r="Q1315" s="597">
        <v>53</v>
      </c>
      <c r="R1315" s="599"/>
      <c r="S1315" s="578">
        <v>0</v>
      </c>
      <c r="T1315" s="599">
        <v>580</v>
      </c>
      <c r="U1315" s="349">
        <v>0</v>
      </c>
      <c r="V1315" s="349">
        <v>0</v>
      </c>
      <c r="W1315" s="349"/>
      <c r="X1315" s="349"/>
      <c r="Y1315" s="349"/>
      <c r="Z1315" s="349">
        <v>0</v>
      </c>
      <c r="AA1315" s="561">
        <v>0</v>
      </c>
      <c r="AB1315" s="601">
        <v>0</v>
      </c>
      <c r="AC1315" s="595">
        <v>0</v>
      </c>
      <c r="AD1315" s="561"/>
      <c r="AE1315" s="564"/>
      <c r="AF1315" s="495"/>
      <c r="AG1315" s="566"/>
    </row>
    <row r="1316" spans="2:33" x14ac:dyDescent="0.25">
      <c r="B1316" s="598"/>
      <c r="C1316" s="558" t="s">
        <v>1368</v>
      </c>
      <c r="D1316" s="3" t="s">
        <v>1279</v>
      </c>
      <c r="E1316" s="558" t="s">
        <v>4794</v>
      </c>
      <c r="F1316" s="444" t="s">
        <v>3201</v>
      </c>
      <c r="G1316" s="558"/>
      <c r="H1316" s="558"/>
      <c r="I1316" s="558"/>
      <c r="J1316" s="558"/>
      <c r="K1316" s="559" t="s">
        <v>4867</v>
      </c>
      <c r="L1316" s="3">
        <v>80</v>
      </c>
      <c r="M1316" s="588">
        <v>-20</v>
      </c>
      <c r="N1316" s="3">
        <v>60</v>
      </c>
      <c r="O1316" s="588">
        <v>60</v>
      </c>
      <c r="P1316" s="559" t="s">
        <v>1361</v>
      </c>
      <c r="Q1316" s="597">
        <v>79</v>
      </c>
      <c r="R1316" s="599">
        <v>20</v>
      </c>
      <c r="S1316" s="578">
        <v>0</v>
      </c>
      <c r="T1316" s="599">
        <v>99</v>
      </c>
      <c r="U1316" s="349">
        <v>1</v>
      </c>
      <c r="V1316" s="349">
        <v>1</v>
      </c>
      <c r="W1316" s="349"/>
      <c r="X1316" s="349"/>
      <c r="Y1316" s="349"/>
      <c r="Z1316" s="349">
        <v>0.8</v>
      </c>
      <c r="AA1316" s="561">
        <v>0.99</v>
      </c>
      <c r="AB1316" s="601">
        <v>98</v>
      </c>
      <c r="AC1316" s="595">
        <v>114</v>
      </c>
      <c r="AD1316" s="561"/>
      <c r="AE1316" s="564"/>
      <c r="AF1316" s="495" t="s">
        <v>5287</v>
      </c>
      <c r="AG1316" s="566"/>
    </row>
    <row r="1317" spans="2:33" x14ac:dyDescent="0.25">
      <c r="B1317" s="598"/>
      <c r="C1317" s="558"/>
      <c r="D1317" s="3"/>
      <c r="E1317" s="558"/>
      <c r="F1317" s="444"/>
      <c r="G1317" s="558"/>
      <c r="H1317" s="558"/>
      <c r="I1317" s="558"/>
      <c r="J1317" s="558"/>
      <c r="K1317" s="559" t="s">
        <v>4868</v>
      </c>
      <c r="L1317" s="3">
        <v>80</v>
      </c>
      <c r="M1317" s="588">
        <v>-32</v>
      </c>
      <c r="N1317" s="3">
        <v>48</v>
      </c>
      <c r="O1317" s="588">
        <v>48</v>
      </c>
      <c r="P1317" s="559" t="s">
        <v>1361</v>
      </c>
      <c r="Q1317" s="597">
        <v>63</v>
      </c>
      <c r="R1317" s="599">
        <v>50</v>
      </c>
      <c r="S1317" s="578"/>
      <c r="T1317" s="599">
        <v>113</v>
      </c>
      <c r="U1317" s="349">
        <v>1</v>
      </c>
      <c r="V1317" s="349">
        <v>1</v>
      </c>
      <c r="W1317" s="349"/>
      <c r="X1317" s="349"/>
      <c r="Y1317" s="349"/>
      <c r="Z1317" s="349">
        <v>0.8</v>
      </c>
      <c r="AA1317" s="561">
        <v>0.99</v>
      </c>
      <c r="AB1317" s="601">
        <v>112</v>
      </c>
      <c r="AC1317" s="595">
        <v>126</v>
      </c>
      <c r="AD1317" s="561"/>
      <c r="AE1317" s="564"/>
      <c r="AF1317" s="495" t="s">
        <v>5287</v>
      </c>
      <c r="AG1317" s="566"/>
    </row>
    <row r="1318" spans="2:33" x14ac:dyDescent="0.25">
      <c r="B1318" s="598"/>
      <c r="C1318" s="558" t="s">
        <v>1368</v>
      </c>
      <c r="D1318" s="3" t="s">
        <v>1279</v>
      </c>
      <c r="E1318" s="558" t="s">
        <v>4795</v>
      </c>
      <c r="F1318" s="444" t="s">
        <v>3201</v>
      </c>
      <c r="G1318" s="558"/>
      <c r="H1318" s="558"/>
      <c r="I1318" s="558"/>
      <c r="J1318" s="558"/>
      <c r="K1318" s="559" t="s">
        <v>4884</v>
      </c>
      <c r="L1318" s="3">
        <v>80</v>
      </c>
      <c r="M1318" s="588">
        <v>70</v>
      </c>
      <c r="N1318" s="3">
        <v>150</v>
      </c>
      <c r="O1318" s="588">
        <v>150</v>
      </c>
      <c r="P1318" s="559" t="s">
        <v>1361</v>
      </c>
      <c r="Q1318" s="597">
        <v>198</v>
      </c>
      <c r="R1318" s="599">
        <v>20</v>
      </c>
      <c r="S1318" s="578">
        <v>0</v>
      </c>
      <c r="T1318" s="599">
        <v>218</v>
      </c>
      <c r="U1318" s="349">
        <v>1</v>
      </c>
      <c r="V1318" s="349">
        <v>1</v>
      </c>
      <c r="W1318" s="349"/>
      <c r="X1318" s="349"/>
      <c r="Y1318" s="349"/>
      <c r="Z1318" s="349">
        <v>0</v>
      </c>
      <c r="AA1318" s="561">
        <v>0.95</v>
      </c>
      <c r="AB1318" s="601">
        <v>207</v>
      </c>
      <c r="AC1318" s="595">
        <v>105</v>
      </c>
      <c r="AD1318" s="561"/>
      <c r="AE1318" s="564"/>
      <c r="AF1318" s="495" t="s">
        <v>5287</v>
      </c>
      <c r="AG1318" s="566"/>
    </row>
    <row r="1319" spans="2:33" x14ac:dyDescent="0.25">
      <c r="B1319" s="598"/>
      <c r="C1319" s="589" t="s">
        <v>1368</v>
      </c>
      <c r="D1319" s="3" t="s">
        <v>1279</v>
      </c>
      <c r="E1319" s="589" t="s">
        <v>5017</v>
      </c>
      <c r="F1319" s="431" t="s">
        <v>3201</v>
      </c>
      <c r="G1319" s="589"/>
      <c r="H1319" s="589"/>
      <c r="I1319" s="589"/>
      <c r="J1319" s="589"/>
      <c r="K1319" s="588" t="s">
        <v>5203</v>
      </c>
      <c r="L1319" s="3">
        <v>140</v>
      </c>
      <c r="M1319" s="588">
        <v>0</v>
      </c>
      <c r="N1319" s="3">
        <v>140</v>
      </c>
      <c r="O1319" s="588">
        <v>90</v>
      </c>
      <c r="P1319" s="588" t="s">
        <v>1361</v>
      </c>
      <c r="Q1319" s="577">
        <v>185</v>
      </c>
      <c r="R1319" s="578"/>
      <c r="S1319" s="578">
        <v>0</v>
      </c>
      <c r="T1319" s="578">
        <v>185</v>
      </c>
      <c r="U1319" s="349">
        <v>1</v>
      </c>
      <c r="V1319" s="349">
        <v>1</v>
      </c>
      <c r="W1319" s="349"/>
      <c r="X1319" s="349"/>
      <c r="Y1319" s="349"/>
      <c r="Z1319" s="349">
        <v>0</v>
      </c>
      <c r="AA1319" s="561">
        <v>0.95</v>
      </c>
      <c r="AB1319" s="601">
        <v>175</v>
      </c>
      <c r="AC1319" s="595">
        <v>159</v>
      </c>
      <c r="AD1319" s="561"/>
      <c r="AE1319" s="585"/>
      <c r="AF1319" s="495"/>
      <c r="AG1319" s="583"/>
    </row>
    <row r="1320" spans="2:33" x14ac:dyDescent="0.25">
      <c r="B1320" s="598"/>
      <c r="C1320" s="589" t="s">
        <v>1368</v>
      </c>
      <c r="D1320" s="3" t="s">
        <v>1279</v>
      </c>
      <c r="E1320" s="589" t="s">
        <v>5018</v>
      </c>
      <c r="F1320" s="431" t="s">
        <v>3201</v>
      </c>
      <c r="G1320" s="589"/>
      <c r="H1320" s="589"/>
      <c r="I1320" s="589"/>
      <c r="J1320" s="589"/>
      <c r="K1320" s="588" t="s">
        <v>5204</v>
      </c>
      <c r="L1320" s="3">
        <v>140</v>
      </c>
      <c r="M1320" s="588">
        <v>-70</v>
      </c>
      <c r="N1320" s="3">
        <v>70</v>
      </c>
      <c r="O1320" s="588">
        <v>70</v>
      </c>
      <c r="P1320" s="588" t="s">
        <v>1361</v>
      </c>
      <c r="Q1320" s="577">
        <v>92</v>
      </c>
      <c r="R1320" s="578">
        <v>30</v>
      </c>
      <c r="S1320" s="578">
        <v>0</v>
      </c>
      <c r="T1320" s="578">
        <v>122</v>
      </c>
      <c r="U1320" s="349">
        <v>1</v>
      </c>
      <c r="V1320" s="349">
        <v>0.7</v>
      </c>
      <c r="W1320" s="349"/>
      <c r="X1320" s="349"/>
      <c r="Y1320" s="349"/>
      <c r="Z1320" s="349">
        <v>0.6</v>
      </c>
      <c r="AA1320" s="561">
        <v>0.78500000000000003</v>
      </c>
      <c r="AB1320" s="601">
        <v>96</v>
      </c>
      <c r="AC1320" s="595">
        <v>155</v>
      </c>
      <c r="AD1320" s="561"/>
      <c r="AE1320" s="585"/>
      <c r="AF1320" s="495" t="s">
        <v>5287</v>
      </c>
      <c r="AG1320" s="583"/>
    </row>
    <row r="1321" spans="2:33" x14ac:dyDescent="0.25">
      <c r="B1321" s="598"/>
      <c r="C1321" s="589" t="s">
        <v>1368</v>
      </c>
      <c r="D1321" s="3" t="s">
        <v>1279</v>
      </c>
      <c r="E1321" s="589" t="s">
        <v>5019</v>
      </c>
      <c r="F1321" s="431" t="s">
        <v>3201</v>
      </c>
      <c r="G1321" s="589"/>
      <c r="H1321" s="589"/>
      <c r="I1321" s="589"/>
      <c r="J1321" s="589"/>
      <c r="K1321" s="588" t="s">
        <v>5205</v>
      </c>
      <c r="L1321" s="3">
        <v>0</v>
      </c>
      <c r="M1321" s="588"/>
      <c r="N1321" s="3">
        <v>0</v>
      </c>
      <c r="O1321" s="588">
        <v>0</v>
      </c>
      <c r="P1321" s="588" t="s">
        <v>1361</v>
      </c>
      <c r="Q1321" s="577">
        <v>0</v>
      </c>
      <c r="R1321" s="578"/>
      <c r="S1321" s="578">
        <v>0</v>
      </c>
      <c r="T1321" s="578">
        <v>0</v>
      </c>
      <c r="U1321" s="349"/>
      <c r="V1321" s="349"/>
      <c r="W1321" s="349"/>
      <c r="X1321" s="349"/>
      <c r="Y1321" s="349"/>
      <c r="Z1321" s="349"/>
      <c r="AA1321" s="561"/>
      <c r="AB1321" s="600"/>
      <c r="AC1321" s="595"/>
      <c r="AD1321" s="561"/>
      <c r="AE1321" s="585"/>
      <c r="AF1321" s="495"/>
      <c r="AG1321" s="583"/>
    </row>
    <row r="1322" spans="2:33" x14ac:dyDescent="0.25">
      <c r="B1322" s="477"/>
      <c r="C1322" s="558"/>
      <c r="D1322" s="3"/>
      <c r="E1322" s="558"/>
      <c r="F1322" s="444"/>
      <c r="G1322" s="558"/>
      <c r="H1322" s="558"/>
      <c r="I1322" s="558"/>
      <c r="J1322" s="558"/>
      <c r="K1322" s="559"/>
      <c r="L1322" s="3"/>
      <c r="M1322" s="559"/>
      <c r="N1322" s="3"/>
      <c r="O1322" s="559"/>
      <c r="P1322" s="559"/>
      <c r="Q1322" s="2"/>
      <c r="R1322" s="560"/>
      <c r="S1322" s="560"/>
      <c r="T1322" s="597"/>
      <c r="U1322" s="349"/>
      <c r="V1322" s="349"/>
      <c r="W1322" s="349"/>
      <c r="X1322" s="349"/>
      <c r="Y1322" s="349"/>
      <c r="Z1322" s="349"/>
      <c r="AA1322" s="561"/>
      <c r="AB1322" s="562"/>
      <c r="AC1322" s="595"/>
      <c r="AD1322" s="561"/>
      <c r="AE1322" s="564"/>
      <c r="AF1322" s="565"/>
      <c r="AG1322" s="566"/>
    </row>
    <row r="1323" spans="2:33" ht="39" x14ac:dyDescent="0.25">
      <c r="B1323" s="355" t="s">
        <v>6</v>
      </c>
      <c r="C1323" s="356" t="s">
        <v>7</v>
      </c>
      <c r="D1323" s="356" t="s">
        <v>18</v>
      </c>
      <c r="E1323" s="394" t="s">
        <v>1354</v>
      </c>
      <c r="F1323" s="537" t="s">
        <v>3199</v>
      </c>
      <c r="G1323" s="537" t="s">
        <v>3200</v>
      </c>
      <c r="H1323" s="537" t="s">
        <v>3202</v>
      </c>
      <c r="I1323" s="537" t="s">
        <v>1353</v>
      </c>
      <c r="J1323" s="537" t="s">
        <v>3425</v>
      </c>
      <c r="K1323" s="356" t="s">
        <v>8</v>
      </c>
      <c r="L1323" s="370"/>
      <c r="M1323" s="370"/>
      <c r="N1323" s="370"/>
      <c r="O1323" s="370"/>
      <c r="P1323" s="370"/>
      <c r="Q1323" s="371"/>
      <c r="R1323" s="371"/>
      <c r="S1323" s="371"/>
      <c r="T1323" s="371"/>
      <c r="U1323" s="373" t="s">
        <v>103</v>
      </c>
      <c r="V1323" s="373" t="s">
        <v>389</v>
      </c>
      <c r="W1323" s="373" t="s">
        <v>1346</v>
      </c>
      <c r="X1323" s="373" t="s">
        <v>390</v>
      </c>
      <c r="Y1323" s="372" t="s">
        <v>416</v>
      </c>
      <c r="Z1323" s="372"/>
      <c r="AA1323" s="374"/>
      <c r="AB1323" s="371"/>
      <c r="AC1323" s="371"/>
      <c r="AD1323" s="380"/>
      <c r="AE1323" s="381"/>
      <c r="AF1323" s="493"/>
      <c r="AG1323" s="512"/>
    </row>
    <row r="1324" spans="2:33" x14ac:dyDescent="0.25">
      <c r="B1324" s="375"/>
      <c r="C1324" s="376"/>
      <c r="D1324" s="376"/>
      <c r="E1324" s="376"/>
      <c r="F1324" s="376"/>
      <c r="G1324" s="376"/>
      <c r="H1324" s="376"/>
      <c r="I1324" s="376"/>
      <c r="J1324" s="376"/>
      <c r="K1324" s="376" t="s">
        <v>1359</v>
      </c>
      <c r="L1324" s="377">
        <f>SUM(L1325:L1365)</f>
        <v>6650</v>
      </c>
      <c r="M1324" s="377">
        <f>SUM(M1325:M1365)</f>
        <v>0</v>
      </c>
      <c r="N1324" s="377">
        <f>SUM(N1325:N1365)</f>
        <v>6650</v>
      </c>
      <c r="O1324" s="377">
        <f>SUM(O1325:O1365)</f>
        <v>0</v>
      </c>
      <c r="P1324" s="376"/>
      <c r="Q1324" s="377">
        <f>SUM(Q1325:Q1365)</f>
        <v>8762</v>
      </c>
      <c r="R1324" s="377">
        <f>SUM(R1325:R1364)</f>
        <v>0</v>
      </c>
      <c r="S1324" s="377">
        <f>SUM(S1325:S1364)</f>
        <v>0</v>
      </c>
      <c r="T1324" s="377">
        <f>SUM(T1325:T1365)</f>
        <v>8609</v>
      </c>
      <c r="U1324" s="368">
        <v>0.05</v>
      </c>
      <c r="V1324" s="368">
        <v>0.5</v>
      </c>
      <c r="W1324" s="368">
        <v>0.4</v>
      </c>
      <c r="X1324" s="368"/>
      <c r="Y1324" s="368">
        <v>0.05</v>
      </c>
      <c r="Z1324" s="368">
        <v>0</v>
      </c>
      <c r="AA1324" s="468">
        <f t="shared" ref="AA1324" si="212">IF(T1324,AB1324/T1324,0)</f>
        <v>0</v>
      </c>
      <c r="AB1324" s="377">
        <f>SUM(AB1325:AB1365)</f>
        <v>0</v>
      </c>
      <c r="AC1324" s="377">
        <f>SUM(AC1325:AC1365)</f>
        <v>1241</v>
      </c>
      <c r="AD1324" s="382"/>
      <c r="AE1324" s="383"/>
      <c r="AF1324" s="494"/>
      <c r="AG1324" s="513"/>
    </row>
    <row r="1325" spans="2:33" x14ac:dyDescent="0.25">
      <c r="B1325" s="430" t="s">
        <v>3191</v>
      </c>
      <c r="C1325" s="431" t="s">
        <v>1368</v>
      </c>
      <c r="D1325" s="3" t="s">
        <v>1279</v>
      </c>
      <c r="E1325" s="444" t="s">
        <v>1395</v>
      </c>
      <c r="F1325" s="444" t="s">
        <v>3201</v>
      </c>
      <c r="G1325" s="431" t="s">
        <v>4442</v>
      </c>
      <c r="H1325" s="444" t="s">
        <v>4109</v>
      </c>
      <c r="I1325" s="431" t="s">
        <v>4263</v>
      </c>
      <c r="J1325" s="431" t="s">
        <v>4044</v>
      </c>
      <c r="K1325" s="387" t="s">
        <v>5307</v>
      </c>
      <c r="L1325" s="3">
        <v>46</v>
      </c>
      <c r="M1325" s="3"/>
      <c r="N1325" s="3">
        <v>46</v>
      </c>
      <c r="O1325" s="377">
        <v>0</v>
      </c>
      <c r="P1325" s="3" t="s">
        <v>1361</v>
      </c>
      <c r="Q1325" s="2">
        <v>61</v>
      </c>
      <c r="R1325" s="2"/>
      <c r="S1325" s="2">
        <v>0</v>
      </c>
      <c r="T1325" s="2">
        <v>61</v>
      </c>
      <c r="U1325" s="349">
        <v>0</v>
      </c>
      <c r="V1325" s="349">
        <v>0</v>
      </c>
      <c r="W1325" s="349">
        <v>0</v>
      </c>
      <c r="X1325" s="349"/>
      <c r="Y1325" s="349">
        <v>0</v>
      </c>
      <c r="Z1325" s="349"/>
      <c r="AA1325" s="437">
        <v>0</v>
      </c>
      <c r="AB1325" s="601">
        <v>0</v>
      </c>
      <c r="AC1325" s="593">
        <v>33</v>
      </c>
      <c r="AD1325" s="2"/>
      <c r="AE1325" s="4"/>
      <c r="AF1325" s="495" t="s">
        <v>5405</v>
      </c>
      <c r="AG1325" s="511"/>
    </row>
    <row r="1326" spans="2:33" x14ac:dyDescent="0.25">
      <c r="B1326" s="430" t="s">
        <v>3192</v>
      </c>
      <c r="C1326" s="431" t="s">
        <v>1368</v>
      </c>
      <c r="D1326" s="3" t="s">
        <v>1279</v>
      </c>
      <c r="E1326" s="444" t="s">
        <v>1397</v>
      </c>
      <c r="F1326" s="444" t="s">
        <v>3201</v>
      </c>
      <c r="G1326" s="431" t="s">
        <v>4443</v>
      </c>
      <c r="H1326" s="444" t="s">
        <v>4109</v>
      </c>
      <c r="I1326" s="431" t="s">
        <v>4264</v>
      </c>
      <c r="J1326" s="431" t="s">
        <v>4045</v>
      </c>
      <c r="K1326" s="387" t="s">
        <v>5308</v>
      </c>
      <c r="L1326" s="3">
        <v>243</v>
      </c>
      <c r="M1326" s="3"/>
      <c r="N1326" s="3">
        <v>243</v>
      </c>
      <c r="O1326" s="377">
        <v>0</v>
      </c>
      <c r="P1326" s="3" t="s">
        <v>1361</v>
      </c>
      <c r="Q1326" s="2">
        <v>320</v>
      </c>
      <c r="R1326" s="2"/>
      <c r="S1326" s="2">
        <v>0</v>
      </c>
      <c r="T1326" s="2">
        <v>320</v>
      </c>
      <c r="U1326" s="349">
        <v>0</v>
      </c>
      <c r="V1326" s="349">
        <v>0</v>
      </c>
      <c r="W1326" s="349">
        <v>0</v>
      </c>
      <c r="X1326" s="349"/>
      <c r="Y1326" s="349">
        <v>0</v>
      </c>
      <c r="Z1326" s="349"/>
      <c r="AA1326" s="437">
        <v>0</v>
      </c>
      <c r="AB1326" s="601">
        <v>0</v>
      </c>
      <c r="AC1326" s="596">
        <v>233</v>
      </c>
      <c r="AD1326" s="2"/>
      <c r="AE1326" s="4"/>
      <c r="AF1326" s="495" t="s">
        <v>5405</v>
      </c>
      <c r="AG1326" s="511"/>
    </row>
    <row r="1327" spans="2:33" x14ac:dyDescent="0.25">
      <c r="B1327" s="430" t="s">
        <v>3193</v>
      </c>
      <c r="C1327" s="431" t="s">
        <v>1368</v>
      </c>
      <c r="D1327" s="3" t="s">
        <v>1279</v>
      </c>
      <c r="E1327" s="444" t="s">
        <v>1398</v>
      </c>
      <c r="F1327" s="444" t="s">
        <v>3201</v>
      </c>
      <c r="G1327" s="431" t="s">
        <v>4444</v>
      </c>
      <c r="H1327" s="444" t="s">
        <v>4109</v>
      </c>
      <c r="I1327" s="431" t="s">
        <v>4265</v>
      </c>
      <c r="J1327" s="431" t="s">
        <v>4046</v>
      </c>
      <c r="K1327" s="387" t="s">
        <v>5309</v>
      </c>
      <c r="L1327" s="3">
        <v>262</v>
      </c>
      <c r="M1327" s="3"/>
      <c r="N1327" s="3">
        <v>262</v>
      </c>
      <c r="O1327" s="377">
        <v>0</v>
      </c>
      <c r="P1327" s="3" t="s">
        <v>1361</v>
      </c>
      <c r="Q1327" s="2">
        <v>345</v>
      </c>
      <c r="R1327" s="2"/>
      <c r="S1327" s="2">
        <v>0</v>
      </c>
      <c r="T1327" s="2">
        <v>345</v>
      </c>
      <c r="U1327" s="349">
        <v>0</v>
      </c>
      <c r="V1327" s="349">
        <v>0</v>
      </c>
      <c r="W1327" s="349">
        <v>0</v>
      </c>
      <c r="X1327" s="349"/>
      <c r="Y1327" s="349">
        <v>0</v>
      </c>
      <c r="Z1327" s="349"/>
      <c r="AA1327" s="437">
        <v>0</v>
      </c>
      <c r="AB1327" s="601">
        <v>0</v>
      </c>
      <c r="AC1327" s="596">
        <v>304</v>
      </c>
      <c r="AD1327" s="2"/>
      <c r="AE1327" s="4"/>
      <c r="AF1327" s="495" t="s">
        <v>5405</v>
      </c>
      <c r="AG1327" s="511"/>
    </row>
    <row r="1328" spans="2:33" x14ac:dyDescent="0.25">
      <c r="B1328" s="430" t="s">
        <v>3194</v>
      </c>
      <c r="C1328" s="431" t="s">
        <v>1368</v>
      </c>
      <c r="D1328" s="3" t="s">
        <v>1279</v>
      </c>
      <c r="E1328" s="444" t="s">
        <v>1374</v>
      </c>
      <c r="F1328" s="444" t="s">
        <v>3201</v>
      </c>
      <c r="G1328" s="431" t="s">
        <v>4445</v>
      </c>
      <c r="H1328" s="444" t="s">
        <v>4109</v>
      </c>
      <c r="I1328" s="431" t="s">
        <v>4266</v>
      </c>
      <c r="J1328" s="431" t="s">
        <v>4047</v>
      </c>
      <c r="K1328" s="387" t="s">
        <v>5310</v>
      </c>
      <c r="L1328" s="3">
        <v>285</v>
      </c>
      <c r="M1328" s="3"/>
      <c r="N1328" s="3">
        <v>285</v>
      </c>
      <c r="O1328" s="377">
        <v>0</v>
      </c>
      <c r="P1328" s="3" t="s">
        <v>1361</v>
      </c>
      <c r="Q1328" s="2">
        <v>376</v>
      </c>
      <c r="R1328" s="2"/>
      <c r="S1328" s="2">
        <v>0</v>
      </c>
      <c r="T1328" s="2">
        <v>376</v>
      </c>
      <c r="U1328" s="349">
        <v>0</v>
      </c>
      <c r="V1328" s="349">
        <v>0</v>
      </c>
      <c r="W1328" s="349">
        <v>0</v>
      </c>
      <c r="X1328" s="349"/>
      <c r="Y1328" s="349">
        <v>0</v>
      </c>
      <c r="Z1328" s="349"/>
      <c r="AA1328" s="437">
        <v>0</v>
      </c>
      <c r="AB1328" s="601">
        <v>0</v>
      </c>
      <c r="AC1328" s="596">
        <v>305</v>
      </c>
      <c r="AD1328" s="2"/>
      <c r="AE1328" s="4"/>
      <c r="AF1328" s="495" t="s">
        <v>5405</v>
      </c>
      <c r="AG1328" s="511"/>
    </row>
    <row r="1329" spans="2:33" x14ac:dyDescent="0.25">
      <c r="B1329" s="430" t="s">
        <v>3195</v>
      </c>
      <c r="C1329" s="431" t="s">
        <v>1368</v>
      </c>
      <c r="D1329" s="3" t="s">
        <v>1279</v>
      </c>
      <c r="E1329" s="444" t="s">
        <v>1377</v>
      </c>
      <c r="F1329" s="444" t="s">
        <v>3201</v>
      </c>
      <c r="G1329" s="431" t="s">
        <v>4446</v>
      </c>
      <c r="H1329" s="444" t="s">
        <v>4109</v>
      </c>
      <c r="I1329" s="431" t="s">
        <v>4267</v>
      </c>
      <c r="J1329" s="431" t="s">
        <v>4048</v>
      </c>
      <c r="K1329" s="387" t="s">
        <v>5311</v>
      </c>
      <c r="L1329" s="3">
        <v>319</v>
      </c>
      <c r="M1329" s="3"/>
      <c r="N1329" s="3">
        <v>319</v>
      </c>
      <c r="O1329" s="377">
        <v>0</v>
      </c>
      <c r="P1329" s="3" t="s">
        <v>1361</v>
      </c>
      <c r="Q1329" s="2">
        <v>420</v>
      </c>
      <c r="R1329" s="2"/>
      <c r="S1329" s="2">
        <v>0</v>
      </c>
      <c r="T1329" s="2">
        <v>420</v>
      </c>
      <c r="U1329" s="349">
        <v>0</v>
      </c>
      <c r="V1329" s="349">
        <v>0</v>
      </c>
      <c r="W1329" s="349">
        <v>0</v>
      </c>
      <c r="X1329" s="349"/>
      <c r="Y1329" s="349">
        <v>0</v>
      </c>
      <c r="Z1329" s="349"/>
      <c r="AA1329" s="437">
        <v>0</v>
      </c>
      <c r="AB1329" s="601">
        <v>0</v>
      </c>
      <c r="AC1329" s="596">
        <v>240</v>
      </c>
      <c r="AD1329" s="2"/>
      <c r="AE1329" s="4"/>
      <c r="AF1329" s="495" t="s">
        <v>5405</v>
      </c>
      <c r="AG1329" s="511"/>
    </row>
    <row r="1330" spans="2:33" x14ac:dyDescent="0.25">
      <c r="B1330" s="430" t="s">
        <v>3196</v>
      </c>
      <c r="C1330" s="431" t="s">
        <v>1368</v>
      </c>
      <c r="D1330" s="3" t="s">
        <v>1279</v>
      </c>
      <c r="E1330" s="444" t="s">
        <v>1379</v>
      </c>
      <c r="F1330" s="444" t="s">
        <v>3201</v>
      </c>
      <c r="G1330" s="431" t="s">
        <v>4447</v>
      </c>
      <c r="H1330" s="444" t="s">
        <v>4109</v>
      </c>
      <c r="I1330" s="431" t="s">
        <v>4268</v>
      </c>
      <c r="J1330" s="431" t="s">
        <v>4049</v>
      </c>
      <c r="K1330" s="387" t="s">
        <v>5312</v>
      </c>
      <c r="L1330" s="3">
        <v>331</v>
      </c>
      <c r="M1330" s="3"/>
      <c r="N1330" s="3">
        <v>331</v>
      </c>
      <c r="O1330" s="377">
        <v>0</v>
      </c>
      <c r="P1330" s="3" t="s">
        <v>1361</v>
      </c>
      <c r="Q1330" s="2">
        <v>436</v>
      </c>
      <c r="R1330" s="2"/>
      <c r="S1330" s="2">
        <v>0</v>
      </c>
      <c r="T1330" s="2">
        <v>436</v>
      </c>
      <c r="U1330" s="349">
        <v>0</v>
      </c>
      <c r="V1330" s="349">
        <v>0</v>
      </c>
      <c r="W1330" s="349">
        <v>0</v>
      </c>
      <c r="X1330" s="349"/>
      <c r="Y1330" s="349">
        <v>0</v>
      </c>
      <c r="Z1330" s="349"/>
      <c r="AA1330" s="437">
        <v>0</v>
      </c>
      <c r="AB1330" s="601">
        <v>0</v>
      </c>
      <c r="AC1330" s="596">
        <v>126</v>
      </c>
      <c r="AD1330" s="2"/>
      <c r="AE1330" s="4"/>
      <c r="AF1330" s="495" t="s">
        <v>5405</v>
      </c>
      <c r="AG1330" s="511"/>
    </row>
    <row r="1331" spans="2:33" x14ac:dyDescent="0.25">
      <c r="B1331" s="604"/>
      <c r="C1331" s="431" t="s">
        <v>1368</v>
      </c>
      <c r="D1331" s="3" t="s">
        <v>1279</v>
      </c>
      <c r="E1331" s="444" t="s">
        <v>1381</v>
      </c>
      <c r="F1331" s="444" t="s">
        <v>3201</v>
      </c>
      <c r="G1331" s="431" t="s">
        <v>4448</v>
      </c>
      <c r="H1331" s="444" t="s">
        <v>4109</v>
      </c>
      <c r="I1331" s="431" t="s">
        <v>4269</v>
      </c>
      <c r="J1331" s="431" t="s">
        <v>4050</v>
      </c>
      <c r="K1331" s="387" t="s">
        <v>5313</v>
      </c>
      <c r="L1331" s="3">
        <v>228</v>
      </c>
      <c r="M1331" s="3"/>
      <c r="N1331" s="3">
        <v>228</v>
      </c>
      <c r="O1331" s="377">
        <v>0</v>
      </c>
      <c r="P1331" s="3" t="s">
        <v>1361</v>
      </c>
      <c r="Q1331" s="2">
        <v>301</v>
      </c>
      <c r="R1331" s="2"/>
      <c r="S1331" s="2">
        <v>0</v>
      </c>
      <c r="T1331" s="2">
        <v>301</v>
      </c>
      <c r="U1331" s="349">
        <v>0</v>
      </c>
      <c r="V1331" s="349">
        <v>0</v>
      </c>
      <c r="W1331" s="349">
        <v>0</v>
      </c>
      <c r="X1331" s="349"/>
      <c r="Y1331" s="349">
        <v>0</v>
      </c>
      <c r="Z1331" s="349"/>
      <c r="AA1331" s="437">
        <v>0</v>
      </c>
      <c r="AB1331" s="601">
        <v>0</v>
      </c>
      <c r="AC1331" s="596">
        <v>0</v>
      </c>
      <c r="AD1331" s="2"/>
      <c r="AE1331" s="4"/>
      <c r="AF1331" s="495" t="s">
        <v>5405</v>
      </c>
      <c r="AG1331" s="511"/>
    </row>
    <row r="1332" spans="2:33" x14ac:dyDescent="0.25">
      <c r="B1332" s="430" t="s">
        <v>3198</v>
      </c>
      <c r="C1332" s="431" t="s">
        <v>1368</v>
      </c>
      <c r="D1332" s="3" t="s">
        <v>1279</v>
      </c>
      <c r="E1332" s="444" t="s">
        <v>1396</v>
      </c>
      <c r="F1332" s="444" t="s">
        <v>3201</v>
      </c>
      <c r="G1332" s="431" t="s">
        <v>4449</v>
      </c>
      <c r="H1332" s="444" t="s">
        <v>4109</v>
      </c>
      <c r="I1332" s="431" t="s">
        <v>4270</v>
      </c>
      <c r="J1332" s="431" t="s">
        <v>4051</v>
      </c>
      <c r="K1332" s="387" t="s">
        <v>5314</v>
      </c>
      <c r="L1332" s="3">
        <v>359</v>
      </c>
      <c r="M1332" s="3"/>
      <c r="N1332" s="3">
        <v>359</v>
      </c>
      <c r="O1332" s="377">
        <v>0</v>
      </c>
      <c r="P1332" s="3" t="s">
        <v>1361</v>
      </c>
      <c r="Q1332" s="2">
        <v>473</v>
      </c>
      <c r="R1332" s="2"/>
      <c r="S1332" s="2">
        <v>0</v>
      </c>
      <c r="T1332" s="2">
        <v>473</v>
      </c>
      <c r="U1332" s="349">
        <v>0</v>
      </c>
      <c r="V1332" s="349">
        <v>0</v>
      </c>
      <c r="W1332" s="349">
        <v>0</v>
      </c>
      <c r="X1332" s="349"/>
      <c r="Y1332" s="349">
        <v>0</v>
      </c>
      <c r="Z1332" s="349"/>
      <c r="AA1332" s="437">
        <v>0</v>
      </c>
      <c r="AB1332" s="601">
        <v>0</v>
      </c>
      <c r="AC1332" s="596">
        <v>0</v>
      </c>
      <c r="AD1332" s="2"/>
      <c r="AE1332" s="4"/>
      <c r="AF1332" s="495" t="s">
        <v>5405</v>
      </c>
      <c r="AG1332" s="511"/>
    </row>
    <row r="1333" spans="2:33" x14ac:dyDescent="0.25">
      <c r="B1333" s="604"/>
      <c r="C1333" s="431" t="s">
        <v>1368</v>
      </c>
      <c r="D1333" s="3" t="s">
        <v>1279</v>
      </c>
      <c r="E1333" s="444" t="s">
        <v>1399</v>
      </c>
      <c r="F1333" s="444" t="s">
        <v>3201</v>
      </c>
      <c r="G1333" s="431" t="s">
        <v>5082</v>
      </c>
      <c r="H1333" s="444" t="s">
        <v>4109</v>
      </c>
      <c r="I1333" s="431" t="s">
        <v>5315</v>
      </c>
      <c r="J1333" s="431" t="s">
        <v>5266</v>
      </c>
      <c r="K1333" s="387" t="s">
        <v>5316</v>
      </c>
      <c r="L1333" s="3">
        <v>469</v>
      </c>
      <c r="M1333" s="3"/>
      <c r="N1333" s="3">
        <v>469</v>
      </c>
      <c r="O1333" s="377">
        <v>0</v>
      </c>
      <c r="P1333" s="3" t="s">
        <v>1361</v>
      </c>
      <c r="Q1333" s="2">
        <v>618</v>
      </c>
      <c r="R1333" s="2"/>
      <c r="S1333" s="2">
        <v>0</v>
      </c>
      <c r="T1333" s="2">
        <v>618</v>
      </c>
      <c r="U1333" s="349">
        <v>0</v>
      </c>
      <c r="V1333" s="349">
        <v>0</v>
      </c>
      <c r="W1333" s="349">
        <v>0</v>
      </c>
      <c r="X1333" s="349"/>
      <c r="Y1333" s="349">
        <v>0</v>
      </c>
      <c r="Z1333" s="349"/>
      <c r="AA1333" s="437">
        <v>0</v>
      </c>
      <c r="AB1333" s="601">
        <v>0</v>
      </c>
      <c r="AC1333" s="596">
        <v>0</v>
      </c>
      <c r="AD1333" s="2"/>
      <c r="AE1333" s="4"/>
      <c r="AF1333" s="495" t="s">
        <v>5405</v>
      </c>
      <c r="AG1333" s="511"/>
    </row>
    <row r="1334" spans="2:33" x14ac:dyDescent="0.25">
      <c r="B1334" s="604"/>
      <c r="C1334" s="431" t="s">
        <v>1368</v>
      </c>
      <c r="D1334" s="3" t="s">
        <v>1279</v>
      </c>
      <c r="E1334" s="444" t="s">
        <v>1400</v>
      </c>
      <c r="F1334" s="444" t="s">
        <v>3201</v>
      </c>
      <c r="G1334" s="431" t="s">
        <v>5083</v>
      </c>
      <c r="H1334" s="444" t="s">
        <v>4109</v>
      </c>
      <c r="I1334" s="431" t="s">
        <v>5317</v>
      </c>
      <c r="J1334" s="431" t="s">
        <v>5269</v>
      </c>
      <c r="K1334" s="387" t="s">
        <v>5318</v>
      </c>
      <c r="L1334" s="3">
        <v>725</v>
      </c>
      <c r="M1334" s="3"/>
      <c r="N1334" s="3">
        <v>725</v>
      </c>
      <c r="O1334" s="377">
        <v>0</v>
      </c>
      <c r="P1334" s="3" t="s">
        <v>1361</v>
      </c>
      <c r="Q1334" s="2">
        <v>956</v>
      </c>
      <c r="R1334" s="2"/>
      <c r="S1334" s="2">
        <v>0</v>
      </c>
      <c r="T1334" s="2">
        <v>956</v>
      </c>
      <c r="U1334" s="349">
        <v>0</v>
      </c>
      <c r="V1334" s="349">
        <v>0</v>
      </c>
      <c r="W1334" s="349">
        <v>0</v>
      </c>
      <c r="X1334" s="349"/>
      <c r="Y1334" s="349">
        <v>0</v>
      </c>
      <c r="Z1334" s="349"/>
      <c r="AA1334" s="437">
        <v>0</v>
      </c>
      <c r="AB1334" s="601">
        <v>0</v>
      </c>
      <c r="AC1334" s="596">
        <v>0</v>
      </c>
      <c r="AD1334" s="2"/>
      <c r="AE1334" s="4"/>
      <c r="AF1334" s="495" t="s">
        <v>5405</v>
      </c>
      <c r="AG1334" s="511"/>
    </row>
    <row r="1335" spans="2:33" x14ac:dyDescent="0.25">
      <c r="B1335" s="604"/>
      <c r="C1335" s="431" t="s">
        <v>1368</v>
      </c>
      <c r="D1335" s="3" t="s">
        <v>1279</v>
      </c>
      <c r="E1335" s="444" t="s">
        <v>1401</v>
      </c>
      <c r="F1335" s="444" t="s">
        <v>3201</v>
      </c>
      <c r="G1335" s="431" t="s">
        <v>5084</v>
      </c>
      <c r="H1335" s="444" t="s">
        <v>4109</v>
      </c>
      <c r="I1335" s="431" t="s">
        <v>5319</v>
      </c>
      <c r="J1335" s="431" t="s">
        <v>5272</v>
      </c>
      <c r="K1335" s="387" t="s">
        <v>5320</v>
      </c>
      <c r="L1335" s="3">
        <v>325</v>
      </c>
      <c r="M1335" s="3"/>
      <c r="N1335" s="3">
        <v>325</v>
      </c>
      <c r="O1335" s="377">
        <v>0</v>
      </c>
      <c r="P1335" s="3" t="s">
        <v>1361</v>
      </c>
      <c r="Q1335" s="2">
        <v>428</v>
      </c>
      <c r="R1335" s="2"/>
      <c r="S1335" s="2">
        <v>0</v>
      </c>
      <c r="T1335" s="2">
        <v>428</v>
      </c>
      <c r="U1335" s="349">
        <v>0</v>
      </c>
      <c r="V1335" s="349">
        <v>0</v>
      </c>
      <c r="W1335" s="349">
        <v>0</v>
      </c>
      <c r="X1335" s="349"/>
      <c r="Y1335" s="349">
        <v>0</v>
      </c>
      <c r="Z1335" s="349"/>
      <c r="AA1335" s="437">
        <v>0</v>
      </c>
      <c r="AB1335" s="601">
        <v>0</v>
      </c>
      <c r="AC1335" s="596">
        <v>0</v>
      </c>
      <c r="AD1335" s="2"/>
      <c r="AE1335" s="4"/>
      <c r="AF1335" s="495" t="s">
        <v>5405</v>
      </c>
      <c r="AG1335" s="511"/>
    </row>
    <row r="1336" spans="2:33" x14ac:dyDescent="0.25">
      <c r="B1336" s="604"/>
      <c r="C1336" s="431" t="s">
        <v>1368</v>
      </c>
      <c r="D1336" s="3" t="s">
        <v>1279</v>
      </c>
      <c r="E1336" s="444" t="s">
        <v>1402</v>
      </c>
      <c r="F1336" s="444" t="s">
        <v>3201</v>
      </c>
      <c r="G1336" s="431" t="s">
        <v>5321</v>
      </c>
      <c r="H1336" s="444" t="s">
        <v>4109</v>
      </c>
      <c r="I1336" s="431" t="s">
        <v>5322</v>
      </c>
      <c r="J1336" s="431" t="s">
        <v>5275</v>
      </c>
      <c r="K1336" s="387" t="s">
        <v>5323</v>
      </c>
      <c r="L1336" s="3">
        <v>69</v>
      </c>
      <c r="M1336" s="3"/>
      <c r="N1336" s="3">
        <v>69</v>
      </c>
      <c r="O1336" s="377">
        <v>0</v>
      </c>
      <c r="P1336" s="3" t="s">
        <v>1361</v>
      </c>
      <c r="Q1336" s="2">
        <v>91</v>
      </c>
      <c r="R1336" s="2"/>
      <c r="S1336" s="2">
        <v>0</v>
      </c>
      <c r="T1336" s="2">
        <v>91</v>
      </c>
      <c r="U1336" s="349">
        <v>0</v>
      </c>
      <c r="V1336" s="349">
        <v>0</v>
      </c>
      <c r="W1336" s="349">
        <v>0</v>
      </c>
      <c r="X1336" s="349"/>
      <c r="Y1336" s="349">
        <v>0</v>
      </c>
      <c r="Z1336" s="349"/>
      <c r="AA1336" s="437">
        <v>0</v>
      </c>
      <c r="AB1336" s="601">
        <v>0</v>
      </c>
      <c r="AC1336" s="596">
        <v>0</v>
      </c>
      <c r="AD1336" s="2"/>
      <c r="AE1336" s="4"/>
      <c r="AF1336" s="495" t="s">
        <v>5405</v>
      </c>
      <c r="AG1336" s="511"/>
    </row>
    <row r="1337" spans="2:33" x14ac:dyDescent="0.25">
      <c r="B1337" s="430" t="s">
        <v>5276</v>
      </c>
      <c r="C1337" s="431" t="s">
        <v>1368</v>
      </c>
      <c r="D1337" s="3" t="s">
        <v>1279</v>
      </c>
      <c r="E1337" s="444" t="s">
        <v>1425</v>
      </c>
      <c r="F1337" s="444" t="s">
        <v>3201</v>
      </c>
      <c r="G1337" s="431" t="s">
        <v>4450</v>
      </c>
      <c r="H1337" s="444" t="s">
        <v>4109</v>
      </c>
      <c r="I1337" s="431" t="s">
        <v>4271</v>
      </c>
      <c r="J1337" s="431" t="s">
        <v>4035</v>
      </c>
      <c r="K1337" s="387" t="s">
        <v>5324</v>
      </c>
      <c r="L1337" s="3">
        <v>256</v>
      </c>
      <c r="M1337" s="3"/>
      <c r="N1337" s="3">
        <v>256</v>
      </c>
      <c r="O1337" s="377">
        <v>0</v>
      </c>
      <c r="P1337" s="3" t="s">
        <v>1361</v>
      </c>
      <c r="Q1337" s="2">
        <v>337</v>
      </c>
      <c r="R1337" s="2"/>
      <c r="S1337" s="2">
        <v>0</v>
      </c>
      <c r="T1337" s="2">
        <v>337</v>
      </c>
      <c r="U1337" s="349">
        <v>0</v>
      </c>
      <c r="V1337" s="349">
        <v>0</v>
      </c>
      <c r="W1337" s="349">
        <v>0</v>
      </c>
      <c r="X1337" s="349"/>
      <c r="Y1337" s="349">
        <v>0</v>
      </c>
      <c r="Z1337" s="349"/>
      <c r="AA1337" s="437">
        <v>0</v>
      </c>
      <c r="AB1337" s="601">
        <v>0</v>
      </c>
      <c r="AC1337" s="596">
        <v>0</v>
      </c>
      <c r="AD1337" s="2"/>
      <c r="AE1337" s="4"/>
      <c r="AF1337" s="495" t="s">
        <v>5405</v>
      </c>
      <c r="AG1337" s="511"/>
    </row>
    <row r="1338" spans="2:33" x14ac:dyDescent="0.25">
      <c r="B1338" s="430" t="s">
        <v>5277</v>
      </c>
      <c r="C1338" s="431" t="s">
        <v>1368</v>
      </c>
      <c r="D1338" s="3" t="s">
        <v>1279</v>
      </c>
      <c r="E1338" s="444" t="s">
        <v>1426</v>
      </c>
      <c r="F1338" s="444" t="s">
        <v>3201</v>
      </c>
      <c r="G1338" s="431" t="s">
        <v>4451</v>
      </c>
      <c r="H1338" s="444" t="s">
        <v>4109</v>
      </c>
      <c r="I1338" s="431" t="s">
        <v>4272</v>
      </c>
      <c r="J1338" s="431" t="s">
        <v>4036</v>
      </c>
      <c r="K1338" s="387" t="s">
        <v>5325</v>
      </c>
      <c r="L1338" s="3">
        <v>287</v>
      </c>
      <c r="M1338" s="3"/>
      <c r="N1338" s="3">
        <v>287</v>
      </c>
      <c r="O1338" s="377">
        <v>0</v>
      </c>
      <c r="P1338" s="3" t="s">
        <v>1361</v>
      </c>
      <c r="Q1338" s="2">
        <v>378</v>
      </c>
      <c r="R1338" s="2"/>
      <c r="S1338" s="2">
        <v>0</v>
      </c>
      <c r="T1338" s="2">
        <v>378</v>
      </c>
      <c r="U1338" s="349">
        <v>0</v>
      </c>
      <c r="V1338" s="349">
        <v>0</v>
      </c>
      <c r="W1338" s="349">
        <v>0</v>
      </c>
      <c r="X1338" s="349"/>
      <c r="Y1338" s="349">
        <v>0</v>
      </c>
      <c r="Z1338" s="349"/>
      <c r="AA1338" s="437">
        <v>0</v>
      </c>
      <c r="AB1338" s="601">
        <v>0</v>
      </c>
      <c r="AC1338" s="596">
        <v>0</v>
      </c>
      <c r="AD1338" s="2"/>
      <c r="AE1338" s="4"/>
      <c r="AF1338" s="495" t="s">
        <v>5405</v>
      </c>
      <c r="AG1338" s="511"/>
    </row>
    <row r="1339" spans="2:33" x14ac:dyDescent="0.25">
      <c r="B1339" s="430" t="s">
        <v>5278</v>
      </c>
      <c r="C1339" s="431" t="s">
        <v>1368</v>
      </c>
      <c r="D1339" s="3" t="s">
        <v>1279</v>
      </c>
      <c r="E1339" s="444" t="s">
        <v>1427</v>
      </c>
      <c r="F1339" s="444" t="s">
        <v>3201</v>
      </c>
      <c r="G1339" s="431" t="s">
        <v>4452</v>
      </c>
      <c r="H1339" s="444" t="s">
        <v>4109</v>
      </c>
      <c r="I1339" s="431" t="s">
        <v>4273</v>
      </c>
      <c r="J1339" s="431" t="s">
        <v>4037</v>
      </c>
      <c r="K1339" s="387" t="s">
        <v>5326</v>
      </c>
      <c r="L1339" s="3">
        <v>38</v>
      </c>
      <c r="M1339" s="3"/>
      <c r="N1339" s="3">
        <v>38</v>
      </c>
      <c r="O1339" s="377">
        <v>0</v>
      </c>
      <c r="P1339" s="3" t="s">
        <v>1361</v>
      </c>
      <c r="Q1339" s="2">
        <v>50</v>
      </c>
      <c r="R1339" s="2"/>
      <c r="S1339" s="2">
        <v>0</v>
      </c>
      <c r="T1339" s="2">
        <v>50</v>
      </c>
      <c r="U1339" s="349">
        <v>0</v>
      </c>
      <c r="V1339" s="349">
        <v>0</v>
      </c>
      <c r="W1339" s="349">
        <v>0</v>
      </c>
      <c r="X1339" s="349"/>
      <c r="Y1339" s="349">
        <v>0</v>
      </c>
      <c r="Z1339" s="349"/>
      <c r="AA1339" s="437">
        <v>0</v>
      </c>
      <c r="AB1339" s="601">
        <v>0</v>
      </c>
      <c r="AC1339" s="596">
        <v>0</v>
      </c>
      <c r="AD1339" s="2"/>
      <c r="AE1339" s="4"/>
      <c r="AF1339" s="495" t="s">
        <v>5405</v>
      </c>
      <c r="AG1339" s="511"/>
    </row>
    <row r="1340" spans="2:33" x14ac:dyDescent="0.25">
      <c r="B1340" s="430" t="s">
        <v>5279</v>
      </c>
      <c r="C1340" s="431" t="s">
        <v>1368</v>
      </c>
      <c r="D1340" s="3" t="s">
        <v>1279</v>
      </c>
      <c r="E1340" s="444" t="s">
        <v>1428</v>
      </c>
      <c r="F1340" s="444" t="s">
        <v>3201</v>
      </c>
      <c r="G1340" s="431" t="s">
        <v>4453</v>
      </c>
      <c r="H1340" s="444" t="s">
        <v>4109</v>
      </c>
      <c r="I1340" s="431" t="s">
        <v>4274</v>
      </c>
      <c r="J1340" s="431" t="s">
        <v>4038</v>
      </c>
      <c r="K1340" s="387" t="s">
        <v>5327</v>
      </c>
      <c r="L1340" s="3">
        <v>38</v>
      </c>
      <c r="M1340" s="3"/>
      <c r="N1340" s="3">
        <v>38</v>
      </c>
      <c r="O1340" s="377">
        <v>0</v>
      </c>
      <c r="P1340" s="3" t="s">
        <v>1361</v>
      </c>
      <c r="Q1340" s="2">
        <v>50</v>
      </c>
      <c r="R1340" s="2"/>
      <c r="S1340" s="2">
        <v>0</v>
      </c>
      <c r="T1340" s="2">
        <v>50</v>
      </c>
      <c r="U1340" s="349">
        <v>0</v>
      </c>
      <c r="V1340" s="349">
        <v>0</v>
      </c>
      <c r="W1340" s="349">
        <v>0</v>
      </c>
      <c r="X1340" s="349"/>
      <c r="Y1340" s="349">
        <v>0</v>
      </c>
      <c r="Z1340" s="349"/>
      <c r="AA1340" s="437">
        <v>0</v>
      </c>
      <c r="AB1340" s="601">
        <v>0</v>
      </c>
      <c r="AC1340" s="596">
        <v>0</v>
      </c>
      <c r="AD1340" s="2"/>
      <c r="AE1340" s="4"/>
      <c r="AF1340" s="495" t="s">
        <v>5405</v>
      </c>
      <c r="AG1340" s="511"/>
    </row>
    <row r="1341" spans="2:33" x14ac:dyDescent="0.25">
      <c r="B1341" s="430" t="s">
        <v>5280</v>
      </c>
      <c r="C1341" s="431" t="s">
        <v>1368</v>
      </c>
      <c r="D1341" s="3" t="s">
        <v>1279</v>
      </c>
      <c r="E1341" s="444" t="s">
        <v>1429</v>
      </c>
      <c r="F1341" s="444" t="s">
        <v>3201</v>
      </c>
      <c r="G1341" s="431" t="s">
        <v>4454</v>
      </c>
      <c r="H1341" s="444" t="s">
        <v>4109</v>
      </c>
      <c r="I1341" s="431" t="s">
        <v>4275</v>
      </c>
      <c r="J1341" s="431" t="s">
        <v>4039</v>
      </c>
      <c r="K1341" s="387" t="s">
        <v>5328</v>
      </c>
      <c r="L1341" s="3">
        <v>76</v>
      </c>
      <c r="M1341" s="3"/>
      <c r="N1341" s="3">
        <v>76</v>
      </c>
      <c r="O1341" s="377">
        <v>0</v>
      </c>
      <c r="P1341" s="3" t="s">
        <v>1361</v>
      </c>
      <c r="Q1341" s="2">
        <v>100</v>
      </c>
      <c r="R1341" s="2"/>
      <c r="S1341" s="2">
        <v>0</v>
      </c>
      <c r="T1341" s="2">
        <v>100</v>
      </c>
      <c r="U1341" s="349">
        <v>0</v>
      </c>
      <c r="V1341" s="349">
        <v>0</v>
      </c>
      <c r="W1341" s="349">
        <v>0</v>
      </c>
      <c r="X1341" s="349"/>
      <c r="Y1341" s="349">
        <v>0</v>
      </c>
      <c r="Z1341" s="349"/>
      <c r="AA1341" s="437">
        <v>0</v>
      </c>
      <c r="AB1341" s="601">
        <v>0</v>
      </c>
      <c r="AC1341" s="596">
        <v>0</v>
      </c>
      <c r="AD1341" s="2"/>
      <c r="AE1341" s="4"/>
      <c r="AF1341" s="495" t="s">
        <v>5405</v>
      </c>
      <c r="AG1341" s="511"/>
    </row>
    <row r="1342" spans="2:33" x14ac:dyDescent="0.25">
      <c r="B1342" s="430" t="s">
        <v>5281</v>
      </c>
      <c r="C1342" s="431" t="s">
        <v>1368</v>
      </c>
      <c r="D1342" s="3" t="s">
        <v>1279</v>
      </c>
      <c r="E1342" s="444" t="s">
        <v>1430</v>
      </c>
      <c r="F1342" s="444" t="s">
        <v>3201</v>
      </c>
      <c r="G1342" s="431" t="s">
        <v>4455</v>
      </c>
      <c r="H1342" s="444" t="s">
        <v>4109</v>
      </c>
      <c r="I1342" s="431" t="s">
        <v>4276</v>
      </c>
      <c r="J1342" s="431" t="s">
        <v>4040</v>
      </c>
      <c r="K1342" s="387" t="s">
        <v>5329</v>
      </c>
      <c r="L1342" s="3">
        <v>327</v>
      </c>
      <c r="M1342" s="3"/>
      <c r="N1342" s="3">
        <v>327</v>
      </c>
      <c r="O1342" s="377">
        <v>0</v>
      </c>
      <c r="P1342" s="3" t="s">
        <v>1361</v>
      </c>
      <c r="Q1342" s="2">
        <v>431</v>
      </c>
      <c r="R1342" s="2"/>
      <c r="S1342" s="2">
        <v>0</v>
      </c>
      <c r="T1342" s="2">
        <v>431</v>
      </c>
      <c r="U1342" s="349">
        <v>0</v>
      </c>
      <c r="V1342" s="349">
        <v>0</v>
      </c>
      <c r="W1342" s="349">
        <v>0</v>
      </c>
      <c r="X1342" s="349"/>
      <c r="Y1342" s="349">
        <v>0</v>
      </c>
      <c r="Z1342" s="349"/>
      <c r="AA1342" s="437">
        <v>0</v>
      </c>
      <c r="AB1342" s="601">
        <v>0</v>
      </c>
      <c r="AC1342" s="596">
        <v>0</v>
      </c>
      <c r="AD1342" s="2"/>
      <c r="AE1342" s="4"/>
      <c r="AF1342" s="495" t="s">
        <v>5405</v>
      </c>
      <c r="AG1342" s="511"/>
    </row>
    <row r="1343" spans="2:33" x14ac:dyDescent="0.25">
      <c r="B1343" s="430" t="s">
        <v>5282</v>
      </c>
      <c r="C1343" s="431" t="s">
        <v>1368</v>
      </c>
      <c r="D1343" s="3" t="s">
        <v>1279</v>
      </c>
      <c r="E1343" s="444" t="s">
        <v>1431</v>
      </c>
      <c r="F1343" s="444" t="s">
        <v>3201</v>
      </c>
      <c r="G1343" s="431" t="s">
        <v>4456</v>
      </c>
      <c r="H1343" s="444" t="s">
        <v>4109</v>
      </c>
      <c r="I1343" s="431" t="s">
        <v>4277</v>
      </c>
      <c r="J1343" s="431" t="s">
        <v>4041</v>
      </c>
      <c r="K1343" s="387" t="s">
        <v>5330</v>
      </c>
      <c r="L1343" s="3">
        <v>168</v>
      </c>
      <c r="M1343" s="3"/>
      <c r="N1343" s="3">
        <v>168</v>
      </c>
      <c r="O1343" s="377">
        <v>0</v>
      </c>
      <c r="P1343" s="3" t="s">
        <v>1361</v>
      </c>
      <c r="Q1343" s="2">
        <v>221</v>
      </c>
      <c r="R1343" s="2"/>
      <c r="S1343" s="2">
        <v>0</v>
      </c>
      <c r="T1343" s="2">
        <v>221</v>
      </c>
      <c r="U1343" s="349">
        <v>0</v>
      </c>
      <c r="V1343" s="349">
        <v>0</v>
      </c>
      <c r="W1343" s="349">
        <v>0</v>
      </c>
      <c r="X1343" s="349"/>
      <c r="Y1343" s="349">
        <v>0</v>
      </c>
      <c r="Z1343" s="349"/>
      <c r="AA1343" s="437">
        <v>0</v>
      </c>
      <c r="AB1343" s="601">
        <v>0</v>
      </c>
      <c r="AC1343" s="596">
        <v>0</v>
      </c>
      <c r="AD1343" s="2"/>
      <c r="AE1343" s="4"/>
      <c r="AF1343" s="495" t="s">
        <v>5405</v>
      </c>
      <c r="AG1343" s="511"/>
    </row>
    <row r="1344" spans="2:33" x14ac:dyDescent="0.25">
      <c r="B1344" s="430" t="s">
        <v>5283</v>
      </c>
      <c r="C1344" s="431" t="s">
        <v>1368</v>
      </c>
      <c r="D1344" s="3" t="s">
        <v>1279</v>
      </c>
      <c r="E1344" s="444" t="s">
        <v>1432</v>
      </c>
      <c r="F1344" s="444" t="s">
        <v>3201</v>
      </c>
      <c r="G1344" s="431" t="s">
        <v>4457</v>
      </c>
      <c r="H1344" s="444" t="s">
        <v>4109</v>
      </c>
      <c r="I1344" s="431" t="s">
        <v>4278</v>
      </c>
      <c r="J1344" s="431" t="s">
        <v>4042</v>
      </c>
      <c r="K1344" s="387" t="s">
        <v>5331</v>
      </c>
      <c r="L1344" s="3">
        <v>290</v>
      </c>
      <c r="M1344" s="3"/>
      <c r="N1344" s="3">
        <v>290</v>
      </c>
      <c r="O1344" s="377">
        <v>0</v>
      </c>
      <c r="P1344" s="3" t="s">
        <v>1361</v>
      </c>
      <c r="Q1344" s="2">
        <v>382</v>
      </c>
      <c r="R1344" s="2"/>
      <c r="S1344" s="2">
        <v>0</v>
      </c>
      <c r="T1344" s="2">
        <v>382</v>
      </c>
      <c r="U1344" s="349">
        <v>0</v>
      </c>
      <c r="V1344" s="349">
        <v>0</v>
      </c>
      <c r="W1344" s="349">
        <v>0</v>
      </c>
      <c r="X1344" s="349"/>
      <c r="Y1344" s="349">
        <v>0</v>
      </c>
      <c r="Z1344" s="349"/>
      <c r="AA1344" s="437">
        <v>0</v>
      </c>
      <c r="AB1344" s="601">
        <v>0</v>
      </c>
      <c r="AC1344" s="596">
        <v>0</v>
      </c>
      <c r="AD1344" s="2"/>
      <c r="AE1344" s="4"/>
      <c r="AF1344" s="495" t="s">
        <v>5405</v>
      </c>
      <c r="AG1344" s="511"/>
    </row>
    <row r="1345" spans="2:33" x14ac:dyDescent="0.25">
      <c r="B1345" s="430" t="s">
        <v>5284</v>
      </c>
      <c r="C1345" s="431" t="s">
        <v>1368</v>
      </c>
      <c r="D1345" s="3" t="s">
        <v>1279</v>
      </c>
      <c r="E1345" s="444" t="s">
        <v>1433</v>
      </c>
      <c r="F1345" s="444" t="s">
        <v>3201</v>
      </c>
      <c r="G1345" s="431" t="s">
        <v>4458</v>
      </c>
      <c r="H1345" s="444" t="s">
        <v>4109</v>
      </c>
      <c r="I1345" s="431" t="s">
        <v>4279</v>
      </c>
      <c r="J1345" s="431" t="s">
        <v>4043</v>
      </c>
      <c r="K1345" s="387" t="s">
        <v>5332</v>
      </c>
      <c r="L1345" s="3">
        <v>286</v>
      </c>
      <c r="M1345" s="3"/>
      <c r="N1345" s="3">
        <v>286</v>
      </c>
      <c r="O1345" s="377">
        <v>0</v>
      </c>
      <c r="P1345" s="3" t="s">
        <v>1361</v>
      </c>
      <c r="Q1345" s="2">
        <v>377</v>
      </c>
      <c r="R1345" s="2"/>
      <c r="S1345" s="2">
        <v>0</v>
      </c>
      <c r="T1345" s="2">
        <v>377</v>
      </c>
      <c r="U1345" s="349">
        <v>0</v>
      </c>
      <c r="V1345" s="349">
        <v>0</v>
      </c>
      <c r="W1345" s="349">
        <v>0</v>
      </c>
      <c r="X1345" s="349"/>
      <c r="Y1345" s="349">
        <v>0</v>
      </c>
      <c r="Z1345" s="349"/>
      <c r="AA1345" s="437">
        <v>0</v>
      </c>
      <c r="AB1345" s="601">
        <v>0</v>
      </c>
      <c r="AC1345" s="596">
        <v>0</v>
      </c>
      <c r="AD1345" s="2"/>
      <c r="AE1345" s="4"/>
      <c r="AF1345" s="495" t="s">
        <v>5405</v>
      </c>
      <c r="AG1345" s="511"/>
    </row>
    <row r="1346" spans="2:33" x14ac:dyDescent="0.25">
      <c r="B1346" s="604"/>
      <c r="C1346" s="431" t="s">
        <v>1368</v>
      </c>
      <c r="D1346" s="3" t="s">
        <v>1279</v>
      </c>
      <c r="E1346" s="444" t="s">
        <v>3291</v>
      </c>
      <c r="F1346" s="444" t="s">
        <v>3201</v>
      </c>
      <c r="G1346" s="431" t="s">
        <v>5333</v>
      </c>
      <c r="H1346" s="444" t="s">
        <v>4109</v>
      </c>
      <c r="I1346" s="431" t="s">
        <v>5334</v>
      </c>
      <c r="J1346" s="431" t="s">
        <v>5335</v>
      </c>
      <c r="K1346" s="387" t="s">
        <v>5336</v>
      </c>
      <c r="L1346" s="3">
        <v>117</v>
      </c>
      <c r="M1346" s="3"/>
      <c r="N1346" s="3">
        <v>117</v>
      </c>
      <c r="O1346" s="377">
        <v>0</v>
      </c>
      <c r="P1346" s="3" t="s">
        <v>1361</v>
      </c>
      <c r="Q1346" s="2">
        <v>154</v>
      </c>
      <c r="R1346" s="2"/>
      <c r="S1346" s="2">
        <v>0</v>
      </c>
      <c r="T1346" s="2">
        <v>154</v>
      </c>
      <c r="U1346" s="349">
        <v>0</v>
      </c>
      <c r="V1346" s="349">
        <v>0</v>
      </c>
      <c r="W1346" s="349">
        <v>0</v>
      </c>
      <c r="X1346" s="349"/>
      <c r="Y1346" s="349">
        <v>0</v>
      </c>
      <c r="Z1346" s="349"/>
      <c r="AA1346" s="437">
        <v>0</v>
      </c>
      <c r="AB1346" s="601">
        <v>0</v>
      </c>
      <c r="AC1346" s="596">
        <v>0</v>
      </c>
      <c r="AD1346" s="2"/>
      <c r="AE1346" s="4"/>
      <c r="AF1346" s="495" t="s">
        <v>5405</v>
      </c>
      <c r="AG1346" s="511"/>
    </row>
    <row r="1347" spans="2:33" x14ac:dyDescent="0.25">
      <c r="B1347" s="604"/>
      <c r="C1347" s="431" t="s">
        <v>1368</v>
      </c>
      <c r="D1347" s="3" t="s">
        <v>1279</v>
      </c>
      <c r="E1347" s="444" t="s">
        <v>3292</v>
      </c>
      <c r="F1347" s="444" t="s">
        <v>3201</v>
      </c>
      <c r="G1347" s="431" t="s">
        <v>5337</v>
      </c>
      <c r="H1347" s="444" t="s">
        <v>4109</v>
      </c>
      <c r="I1347" s="431" t="s">
        <v>5338</v>
      </c>
      <c r="J1347" s="431" t="s">
        <v>5339</v>
      </c>
      <c r="K1347" s="387" t="s">
        <v>5340</v>
      </c>
      <c r="L1347" s="3">
        <v>52</v>
      </c>
      <c r="M1347" s="3"/>
      <c r="N1347" s="3">
        <v>52</v>
      </c>
      <c r="O1347" s="377">
        <v>0</v>
      </c>
      <c r="P1347" s="3" t="s">
        <v>1361</v>
      </c>
      <c r="Q1347" s="2">
        <v>69</v>
      </c>
      <c r="R1347" s="2"/>
      <c r="S1347" s="2">
        <v>0</v>
      </c>
      <c r="T1347" s="2">
        <v>0</v>
      </c>
      <c r="U1347" s="349">
        <v>0</v>
      </c>
      <c r="V1347" s="349">
        <v>0</v>
      </c>
      <c r="W1347" s="349">
        <v>0</v>
      </c>
      <c r="X1347" s="349"/>
      <c r="Y1347" s="349">
        <v>0</v>
      </c>
      <c r="Z1347" s="349"/>
      <c r="AA1347" s="437">
        <v>0</v>
      </c>
      <c r="AB1347" s="601">
        <v>0</v>
      </c>
      <c r="AC1347" s="596">
        <v>0</v>
      </c>
      <c r="AD1347" s="2"/>
      <c r="AE1347" s="4"/>
      <c r="AF1347" s="495" t="s">
        <v>5405</v>
      </c>
      <c r="AG1347" s="511"/>
    </row>
    <row r="1348" spans="2:33" x14ac:dyDescent="0.25">
      <c r="B1348" s="604"/>
      <c r="C1348" s="431" t="s">
        <v>1368</v>
      </c>
      <c r="D1348" s="3" t="s">
        <v>1279</v>
      </c>
      <c r="E1348" s="444" t="s">
        <v>3293</v>
      </c>
      <c r="F1348" s="444" t="s">
        <v>3201</v>
      </c>
      <c r="G1348" s="431" t="s">
        <v>5341</v>
      </c>
      <c r="H1348" s="444" t="s">
        <v>4109</v>
      </c>
      <c r="I1348" s="431" t="s">
        <v>5342</v>
      </c>
      <c r="J1348" s="431" t="s">
        <v>5343</v>
      </c>
      <c r="K1348" s="387" t="s">
        <v>5344</v>
      </c>
      <c r="L1348" s="3">
        <v>104</v>
      </c>
      <c r="M1348" s="3"/>
      <c r="N1348" s="3">
        <v>104</v>
      </c>
      <c r="O1348" s="377">
        <v>0</v>
      </c>
      <c r="P1348" s="3" t="s">
        <v>1361</v>
      </c>
      <c r="Q1348" s="2">
        <v>137</v>
      </c>
      <c r="R1348" s="2"/>
      <c r="S1348" s="2">
        <v>0</v>
      </c>
      <c r="T1348" s="2">
        <v>137</v>
      </c>
      <c r="U1348" s="349">
        <v>0</v>
      </c>
      <c r="V1348" s="349">
        <v>0</v>
      </c>
      <c r="W1348" s="349">
        <v>0</v>
      </c>
      <c r="X1348" s="349"/>
      <c r="Y1348" s="349">
        <v>0</v>
      </c>
      <c r="Z1348" s="349"/>
      <c r="AA1348" s="437">
        <v>0</v>
      </c>
      <c r="AB1348" s="601">
        <v>0</v>
      </c>
      <c r="AC1348" s="596">
        <v>0</v>
      </c>
      <c r="AD1348" s="2"/>
      <c r="AE1348" s="4"/>
      <c r="AF1348" s="495" t="s">
        <v>5405</v>
      </c>
      <c r="AG1348" s="511"/>
    </row>
    <row r="1349" spans="2:33" x14ac:dyDescent="0.25">
      <c r="B1349" s="604"/>
      <c r="C1349" s="431" t="s">
        <v>1368</v>
      </c>
      <c r="D1349" s="3" t="s">
        <v>1279</v>
      </c>
      <c r="E1349" s="444" t="s">
        <v>3306</v>
      </c>
      <c r="F1349" s="444" t="s">
        <v>3201</v>
      </c>
      <c r="G1349" s="431" t="s">
        <v>5345</v>
      </c>
      <c r="H1349" s="444" t="s">
        <v>4109</v>
      </c>
      <c r="I1349" s="431" t="s">
        <v>5346</v>
      </c>
      <c r="J1349" s="431" t="s">
        <v>5347</v>
      </c>
      <c r="K1349" s="387" t="s">
        <v>5348</v>
      </c>
      <c r="L1349" s="3">
        <v>64</v>
      </c>
      <c r="M1349" s="3"/>
      <c r="N1349" s="3">
        <v>64</v>
      </c>
      <c r="O1349" s="377">
        <v>0</v>
      </c>
      <c r="P1349" s="3" t="s">
        <v>1361</v>
      </c>
      <c r="Q1349" s="2">
        <v>84</v>
      </c>
      <c r="R1349" s="2"/>
      <c r="S1349" s="2">
        <v>0</v>
      </c>
      <c r="T1349" s="2">
        <v>0</v>
      </c>
      <c r="U1349" s="349">
        <v>0</v>
      </c>
      <c r="V1349" s="349">
        <v>0</v>
      </c>
      <c r="W1349" s="349">
        <v>0</v>
      </c>
      <c r="X1349" s="349"/>
      <c r="Y1349" s="349">
        <v>0</v>
      </c>
      <c r="Z1349" s="349"/>
      <c r="AA1349" s="437">
        <v>0</v>
      </c>
      <c r="AB1349" s="601">
        <v>0</v>
      </c>
      <c r="AC1349" s="596">
        <v>0</v>
      </c>
      <c r="AD1349" s="2"/>
      <c r="AE1349" s="4"/>
      <c r="AF1349" s="495" t="s">
        <v>5405</v>
      </c>
      <c r="AG1349" s="511"/>
    </row>
    <row r="1350" spans="2:33" x14ac:dyDescent="0.25">
      <c r="B1350" s="604"/>
      <c r="C1350" s="431" t="s">
        <v>1368</v>
      </c>
      <c r="D1350" s="3" t="s">
        <v>1279</v>
      </c>
      <c r="E1350" s="444" t="s">
        <v>3217</v>
      </c>
      <c r="F1350" s="444" t="s">
        <v>3201</v>
      </c>
      <c r="G1350" s="431" t="s">
        <v>5349</v>
      </c>
      <c r="H1350" s="444" t="s">
        <v>4109</v>
      </c>
      <c r="I1350" s="431" t="s">
        <v>5350</v>
      </c>
      <c r="J1350" s="431" t="s">
        <v>5351</v>
      </c>
      <c r="K1350" s="387" t="s">
        <v>5352</v>
      </c>
      <c r="L1350" s="3">
        <v>127</v>
      </c>
      <c r="M1350" s="3"/>
      <c r="N1350" s="3">
        <v>127</v>
      </c>
      <c r="O1350" s="377">
        <v>0</v>
      </c>
      <c r="P1350" s="3" t="s">
        <v>1361</v>
      </c>
      <c r="Q1350" s="2">
        <v>167</v>
      </c>
      <c r="R1350" s="2"/>
      <c r="S1350" s="2">
        <v>0</v>
      </c>
      <c r="T1350" s="2">
        <v>167</v>
      </c>
      <c r="U1350" s="349">
        <v>0</v>
      </c>
      <c r="V1350" s="349">
        <v>0</v>
      </c>
      <c r="W1350" s="349">
        <v>0</v>
      </c>
      <c r="X1350" s="349"/>
      <c r="Y1350" s="349">
        <v>0</v>
      </c>
      <c r="Z1350" s="349"/>
      <c r="AA1350" s="437">
        <v>0</v>
      </c>
      <c r="AB1350" s="601">
        <v>0</v>
      </c>
      <c r="AC1350" s="596">
        <v>0</v>
      </c>
      <c r="AD1350" s="2"/>
      <c r="AE1350" s="4"/>
      <c r="AF1350" s="495" t="s">
        <v>5405</v>
      </c>
      <c r="AG1350" s="511"/>
    </row>
    <row r="1351" spans="2:33" x14ac:dyDescent="0.25">
      <c r="B1351" s="604"/>
      <c r="C1351" s="431" t="s">
        <v>1368</v>
      </c>
      <c r="D1351" s="3" t="s">
        <v>1279</v>
      </c>
      <c r="E1351" s="444" t="s">
        <v>3219</v>
      </c>
      <c r="F1351" s="444" t="s">
        <v>3201</v>
      </c>
      <c r="G1351" s="431" t="s">
        <v>5353</v>
      </c>
      <c r="H1351" s="444" t="s">
        <v>4109</v>
      </c>
      <c r="I1351" s="431" t="s">
        <v>5354</v>
      </c>
      <c r="J1351" s="431" t="s">
        <v>5355</v>
      </c>
      <c r="K1351" s="387" t="s">
        <v>5356</v>
      </c>
      <c r="L1351" s="3">
        <v>98</v>
      </c>
      <c r="M1351" s="3"/>
      <c r="N1351" s="3">
        <v>98</v>
      </c>
      <c r="O1351" s="377">
        <v>0</v>
      </c>
      <c r="P1351" s="3" t="s">
        <v>1361</v>
      </c>
      <c r="Q1351" s="2">
        <v>129</v>
      </c>
      <c r="R1351" s="2"/>
      <c r="S1351" s="2">
        <v>0</v>
      </c>
      <c r="T1351" s="2">
        <v>129</v>
      </c>
      <c r="U1351" s="349">
        <v>0</v>
      </c>
      <c r="V1351" s="349">
        <v>0</v>
      </c>
      <c r="W1351" s="349">
        <v>0</v>
      </c>
      <c r="X1351" s="349"/>
      <c r="Y1351" s="349">
        <v>0</v>
      </c>
      <c r="Z1351" s="349"/>
      <c r="AA1351" s="437">
        <v>0</v>
      </c>
      <c r="AB1351" s="601">
        <v>0</v>
      </c>
      <c r="AC1351" s="596">
        <v>0</v>
      </c>
      <c r="AD1351" s="2"/>
      <c r="AE1351" s="4"/>
      <c r="AF1351" s="495" t="s">
        <v>5405</v>
      </c>
      <c r="AG1351" s="511"/>
    </row>
    <row r="1352" spans="2:33" x14ac:dyDescent="0.25">
      <c r="B1352" s="604"/>
      <c r="C1352" s="431" t="s">
        <v>1368</v>
      </c>
      <c r="D1352" s="3" t="s">
        <v>1279</v>
      </c>
      <c r="E1352" s="444" t="s">
        <v>3221</v>
      </c>
      <c r="F1352" s="444" t="s">
        <v>3201</v>
      </c>
      <c r="G1352" s="431" t="s">
        <v>5357</v>
      </c>
      <c r="H1352" s="444" t="s">
        <v>4109</v>
      </c>
      <c r="I1352" s="431" t="s">
        <v>5358</v>
      </c>
      <c r="J1352" s="431" t="s">
        <v>5359</v>
      </c>
      <c r="K1352" s="387" t="s">
        <v>5360</v>
      </c>
      <c r="L1352" s="3">
        <v>94</v>
      </c>
      <c r="M1352" s="3"/>
      <c r="N1352" s="3">
        <v>94</v>
      </c>
      <c r="O1352" s="377">
        <v>0</v>
      </c>
      <c r="P1352" s="3" t="s">
        <v>1361</v>
      </c>
      <c r="Q1352" s="2">
        <v>124</v>
      </c>
      <c r="R1352" s="2"/>
      <c r="S1352" s="2">
        <v>0</v>
      </c>
      <c r="T1352" s="2">
        <v>124</v>
      </c>
      <c r="U1352" s="349">
        <v>0</v>
      </c>
      <c r="V1352" s="349">
        <v>0</v>
      </c>
      <c r="W1352" s="349">
        <v>0</v>
      </c>
      <c r="X1352" s="349"/>
      <c r="Y1352" s="349">
        <v>0</v>
      </c>
      <c r="Z1352" s="349"/>
      <c r="AA1352" s="437">
        <v>0</v>
      </c>
      <c r="AB1352" s="601">
        <v>0</v>
      </c>
      <c r="AC1352" s="596">
        <v>0</v>
      </c>
      <c r="AD1352" s="2"/>
      <c r="AE1352" s="4"/>
      <c r="AF1352" s="495" t="s">
        <v>5405</v>
      </c>
      <c r="AG1352" s="511"/>
    </row>
    <row r="1353" spans="2:33" x14ac:dyDescent="0.25">
      <c r="B1353" s="604"/>
      <c r="C1353" s="431" t="s">
        <v>1368</v>
      </c>
      <c r="D1353" s="3" t="s">
        <v>1279</v>
      </c>
      <c r="E1353" s="444" t="s">
        <v>3222</v>
      </c>
      <c r="F1353" s="444" t="s">
        <v>3201</v>
      </c>
      <c r="G1353" s="431" t="s">
        <v>5361</v>
      </c>
      <c r="H1353" s="444" t="s">
        <v>4109</v>
      </c>
      <c r="I1353" s="431" t="s">
        <v>5362</v>
      </c>
      <c r="J1353" s="431" t="s">
        <v>5363</v>
      </c>
      <c r="K1353" s="387" t="s">
        <v>5364</v>
      </c>
      <c r="L1353" s="3">
        <v>51</v>
      </c>
      <c r="M1353" s="3"/>
      <c r="N1353" s="3">
        <v>51</v>
      </c>
      <c r="O1353" s="377">
        <v>0</v>
      </c>
      <c r="P1353" s="3" t="s">
        <v>1361</v>
      </c>
      <c r="Q1353" s="2">
        <v>67</v>
      </c>
      <c r="R1353" s="2"/>
      <c r="S1353" s="2">
        <v>0</v>
      </c>
      <c r="T1353" s="2">
        <v>67</v>
      </c>
      <c r="U1353" s="349">
        <v>0</v>
      </c>
      <c r="V1353" s="349">
        <v>0</v>
      </c>
      <c r="W1353" s="349">
        <v>0</v>
      </c>
      <c r="X1353" s="349"/>
      <c r="Y1353" s="349">
        <v>0</v>
      </c>
      <c r="Z1353" s="349"/>
      <c r="AA1353" s="437">
        <v>0</v>
      </c>
      <c r="AB1353" s="601">
        <v>0</v>
      </c>
      <c r="AC1353" s="596">
        <v>0</v>
      </c>
      <c r="AD1353" s="2"/>
      <c r="AE1353" s="4"/>
      <c r="AF1353" s="495" t="s">
        <v>5405</v>
      </c>
      <c r="AG1353" s="511"/>
    </row>
    <row r="1354" spans="2:33" x14ac:dyDescent="0.25">
      <c r="B1354" s="604"/>
      <c r="C1354" s="431" t="s">
        <v>1368</v>
      </c>
      <c r="D1354" s="3" t="s">
        <v>1279</v>
      </c>
      <c r="E1354" s="444" t="s">
        <v>3223</v>
      </c>
      <c r="F1354" s="444" t="s">
        <v>3201</v>
      </c>
      <c r="G1354" s="431" t="s">
        <v>5365</v>
      </c>
      <c r="H1354" s="444" t="s">
        <v>4109</v>
      </c>
      <c r="I1354" s="431" t="s">
        <v>5366</v>
      </c>
      <c r="J1354" s="431" t="s">
        <v>5367</v>
      </c>
      <c r="K1354" s="387" t="s">
        <v>5368</v>
      </c>
      <c r="L1354" s="3">
        <v>41</v>
      </c>
      <c r="M1354" s="3"/>
      <c r="N1354" s="3">
        <v>41</v>
      </c>
      <c r="O1354" s="377">
        <v>0</v>
      </c>
      <c r="P1354" s="3" t="s">
        <v>1361</v>
      </c>
      <c r="Q1354" s="2">
        <v>54</v>
      </c>
      <c r="R1354" s="2"/>
      <c r="S1354" s="2">
        <v>0</v>
      </c>
      <c r="T1354" s="2">
        <v>54</v>
      </c>
      <c r="U1354" s="349">
        <v>0</v>
      </c>
      <c r="V1354" s="349">
        <v>0</v>
      </c>
      <c r="W1354" s="349">
        <v>0</v>
      </c>
      <c r="X1354" s="349"/>
      <c r="Y1354" s="349">
        <v>0</v>
      </c>
      <c r="Z1354" s="349"/>
      <c r="AA1354" s="437">
        <v>0</v>
      </c>
      <c r="AB1354" s="601">
        <v>0</v>
      </c>
      <c r="AC1354" s="596">
        <v>0</v>
      </c>
      <c r="AD1354" s="2"/>
      <c r="AE1354" s="4"/>
      <c r="AF1354" s="495" t="s">
        <v>5405</v>
      </c>
      <c r="AG1354" s="511"/>
    </row>
    <row r="1355" spans="2:33" x14ac:dyDescent="0.25">
      <c r="B1355" s="604"/>
      <c r="C1355" s="431" t="s">
        <v>1368</v>
      </c>
      <c r="D1355" s="3" t="s">
        <v>1279</v>
      </c>
      <c r="E1355" s="444" t="s">
        <v>3224</v>
      </c>
      <c r="F1355" s="444" t="s">
        <v>3201</v>
      </c>
      <c r="G1355" s="431" t="s">
        <v>5369</v>
      </c>
      <c r="H1355" s="444" t="s">
        <v>4109</v>
      </c>
      <c r="I1355" s="431" t="s">
        <v>5370</v>
      </c>
      <c r="J1355" s="431" t="s">
        <v>5371</v>
      </c>
      <c r="K1355" s="387" t="s">
        <v>5372</v>
      </c>
      <c r="L1355" s="3">
        <v>46</v>
      </c>
      <c r="M1355" s="3"/>
      <c r="N1355" s="3">
        <v>46</v>
      </c>
      <c r="O1355" s="377">
        <v>0</v>
      </c>
      <c r="P1355" s="3" t="s">
        <v>1361</v>
      </c>
      <c r="Q1355" s="2">
        <v>61</v>
      </c>
      <c r="R1355" s="2"/>
      <c r="S1355" s="2">
        <v>0</v>
      </c>
      <c r="T1355" s="2">
        <v>61</v>
      </c>
      <c r="U1355" s="349">
        <v>0</v>
      </c>
      <c r="V1355" s="349">
        <v>0</v>
      </c>
      <c r="W1355" s="349">
        <v>0</v>
      </c>
      <c r="X1355" s="349"/>
      <c r="Y1355" s="349">
        <v>0</v>
      </c>
      <c r="Z1355" s="349"/>
      <c r="AA1355" s="437">
        <v>0</v>
      </c>
      <c r="AB1355" s="601">
        <v>0</v>
      </c>
      <c r="AC1355" s="596">
        <v>0</v>
      </c>
      <c r="AD1355" s="2"/>
      <c r="AE1355" s="4"/>
      <c r="AF1355" s="495" t="s">
        <v>5405</v>
      </c>
      <c r="AG1355" s="511"/>
    </row>
    <row r="1356" spans="2:33" x14ac:dyDescent="0.25">
      <c r="B1356" s="604"/>
      <c r="C1356" s="431" t="s">
        <v>1368</v>
      </c>
      <c r="D1356" s="3" t="s">
        <v>1279</v>
      </c>
      <c r="E1356" s="444" t="s">
        <v>3225</v>
      </c>
      <c r="F1356" s="444" t="s">
        <v>3201</v>
      </c>
      <c r="G1356" s="431" t="s">
        <v>5373</v>
      </c>
      <c r="H1356" s="444" t="s">
        <v>4109</v>
      </c>
      <c r="I1356" s="431" t="s">
        <v>5374</v>
      </c>
      <c r="J1356" s="431" t="s">
        <v>5375</v>
      </c>
      <c r="K1356" s="387" t="s">
        <v>5376</v>
      </c>
      <c r="L1356" s="3">
        <v>42</v>
      </c>
      <c r="M1356" s="3"/>
      <c r="N1356" s="3">
        <v>42</v>
      </c>
      <c r="O1356" s="377">
        <v>0</v>
      </c>
      <c r="P1356" s="3" t="s">
        <v>1361</v>
      </c>
      <c r="Q1356" s="2">
        <v>55</v>
      </c>
      <c r="R1356" s="2"/>
      <c r="S1356" s="2">
        <v>0</v>
      </c>
      <c r="T1356" s="2">
        <v>55</v>
      </c>
      <c r="U1356" s="349">
        <v>0</v>
      </c>
      <c r="V1356" s="349">
        <v>0</v>
      </c>
      <c r="W1356" s="349">
        <v>0</v>
      </c>
      <c r="X1356" s="349"/>
      <c r="Y1356" s="349">
        <v>0</v>
      </c>
      <c r="Z1356" s="349"/>
      <c r="AA1356" s="437">
        <v>0</v>
      </c>
      <c r="AB1356" s="601">
        <v>0</v>
      </c>
      <c r="AC1356" s="596">
        <v>0</v>
      </c>
      <c r="AD1356" s="2"/>
      <c r="AE1356" s="4"/>
      <c r="AF1356" s="495" t="s">
        <v>5405</v>
      </c>
      <c r="AG1356" s="511"/>
    </row>
    <row r="1357" spans="2:33" x14ac:dyDescent="0.25">
      <c r="B1357" s="604"/>
      <c r="C1357" s="431" t="s">
        <v>1368</v>
      </c>
      <c r="D1357" s="3" t="s">
        <v>1279</v>
      </c>
      <c r="E1357" s="444" t="s">
        <v>3226</v>
      </c>
      <c r="F1357" s="444" t="s">
        <v>3201</v>
      </c>
      <c r="G1357" s="431" t="s">
        <v>5377</v>
      </c>
      <c r="H1357" s="444" t="s">
        <v>4109</v>
      </c>
      <c r="I1357" s="431" t="s">
        <v>5378</v>
      </c>
      <c r="J1357" s="431" t="s">
        <v>5379</v>
      </c>
      <c r="K1357" s="387" t="s">
        <v>5380</v>
      </c>
      <c r="L1357" s="3">
        <v>92</v>
      </c>
      <c r="M1357" s="3"/>
      <c r="N1357" s="3">
        <v>92</v>
      </c>
      <c r="O1357" s="377">
        <v>0</v>
      </c>
      <c r="P1357" s="3" t="s">
        <v>1361</v>
      </c>
      <c r="Q1357" s="2">
        <v>121</v>
      </c>
      <c r="R1357" s="2"/>
      <c r="S1357" s="2">
        <v>0</v>
      </c>
      <c r="T1357" s="2">
        <v>121</v>
      </c>
      <c r="U1357" s="349">
        <v>0</v>
      </c>
      <c r="V1357" s="349">
        <v>0</v>
      </c>
      <c r="W1357" s="349">
        <v>0</v>
      </c>
      <c r="X1357" s="349"/>
      <c r="Y1357" s="349">
        <v>0</v>
      </c>
      <c r="Z1357" s="349"/>
      <c r="AA1357" s="437">
        <v>0</v>
      </c>
      <c r="AB1357" s="601">
        <v>0</v>
      </c>
      <c r="AC1357" s="596">
        <v>0</v>
      </c>
      <c r="AD1357" s="2"/>
      <c r="AE1357" s="4"/>
      <c r="AF1357" s="495" t="s">
        <v>5405</v>
      </c>
      <c r="AG1357" s="511"/>
    </row>
    <row r="1358" spans="2:33" x14ac:dyDescent="0.25">
      <c r="B1358" s="604"/>
      <c r="C1358" s="431" t="s">
        <v>1368</v>
      </c>
      <c r="D1358" s="3" t="s">
        <v>1279</v>
      </c>
      <c r="E1358" s="444" t="s">
        <v>3236</v>
      </c>
      <c r="F1358" s="444" t="s">
        <v>3201</v>
      </c>
      <c r="G1358" s="431" t="s">
        <v>5381</v>
      </c>
      <c r="H1358" s="444" t="s">
        <v>4109</v>
      </c>
      <c r="I1358" s="431" t="s">
        <v>5382</v>
      </c>
      <c r="J1358" s="431" t="s">
        <v>5383</v>
      </c>
      <c r="K1358" s="387" t="s">
        <v>5384</v>
      </c>
      <c r="L1358" s="3">
        <v>64</v>
      </c>
      <c r="M1358" s="3"/>
      <c r="N1358" s="3">
        <v>64</v>
      </c>
      <c r="O1358" s="377">
        <v>0</v>
      </c>
      <c r="P1358" s="3" t="s">
        <v>1361</v>
      </c>
      <c r="Q1358" s="2">
        <v>84</v>
      </c>
      <c r="R1358" s="2"/>
      <c r="S1358" s="2">
        <v>0</v>
      </c>
      <c r="T1358" s="2">
        <v>84</v>
      </c>
      <c r="U1358" s="349">
        <v>0</v>
      </c>
      <c r="V1358" s="349">
        <v>0</v>
      </c>
      <c r="W1358" s="349">
        <v>0</v>
      </c>
      <c r="X1358" s="349"/>
      <c r="Y1358" s="349">
        <v>0</v>
      </c>
      <c r="Z1358" s="349"/>
      <c r="AA1358" s="437">
        <v>0</v>
      </c>
      <c r="AB1358" s="601">
        <v>0</v>
      </c>
      <c r="AC1358" s="596">
        <v>0</v>
      </c>
      <c r="AD1358" s="2"/>
      <c r="AE1358" s="4"/>
      <c r="AF1358" s="495" t="s">
        <v>5405</v>
      </c>
      <c r="AG1358" s="511"/>
    </row>
    <row r="1359" spans="2:33" x14ac:dyDescent="0.25">
      <c r="B1359" s="604"/>
      <c r="C1359" s="431" t="s">
        <v>1368</v>
      </c>
      <c r="D1359" s="3" t="s">
        <v>1279</v>
      </c>
      <c r="E1359" s="444" t="s">
        <v>3230</v>
      </c>
      <c r="F1359" s="444" t="s">
        <v>3201</v>
      </c>
      <c r="G1359" s="431" t="s">
        <v>5385</v>
      </c>
      <c r="H1359" s="444" t="s">
        <v>4109</v>
      </c>
      <c r="I1359" s="431" t="s">
        <v>5386</v>
      </c>
      <c r="J1359" s="431" t="s">
        <v>5387</v>
      </c>
      <c r="K1359" s="387" t="s">
        <v>5388</v>
      </c>
      <c r="L1359" s="3">
        <v>49</v>
      </c>
      <c r="M1359" s="3"/>
      <c r="N1359" s="3">
        <v>49</v>
      </c>
      <c r="O1359" s="377">
        <v>0</v>
      </c>
      <c r="P1359" s="3" t="s">
        <v>1361</v>
      </c>
      <c r="Q1359" s="2">
        <v>65</v>
      </c>
      <c r="R1359" s="2"/>
      <c r="S1359" s="2">
        <v>0</v>
      </c>
      <c r="T1359" s="2">
        <v>65</v>
      </c>
      <c r="U1359" s="349">
        <v>0</v>
      </c>
      <c r="V1359" s="349">
        <v>0</v>
      </c>
      <c r="W1359" s="349">
        <v>0</v>
      </c>
      <c r="X1359" s="349"/>
      <c r="Y1359" s="349">
        <v>0</v>
      </c>
      <c r="Z1359" s="349"/>
      <c r="AA1359" s="437">
        <v>0</v>
      </c>
      <c r="AB1359" s="601">
        <v>0</v>
      </c>
      <c r="AC1359" s="596">
        <v>0</v>
      </c>
      <c r="AD1359" s="2"/>
      <c r="AE1359" s="4"/>
      <c r="AF1359" s="495" t="s">
        <v>5405</v>
      </c>
      <c r="AG1359" s="511"/>
    </row>
    <row r="1360" spans="2:33" x14ac:dyDescent="0.25">
      <c r="B1360" s="604"/>
      <c r="C1360" s="431" t="s">
        <v>1368</v>
      </c>
      <c r="D1360" s="3" t="s">
        <v>1279</v>
      </c>
      <c r="E1360" s="444" t="s">
        <v>3231</v>
      </c>
      <c r="F1360" s="444" t="s">
        <v>3201</v>
      </c>
      <c r="G1360" s="431" t="s">
        <v>5389</v>
      </c>
      <c r="H1360" s="444" t="s">
        <v>4109</v>
      </c>
      <c r="I1360" s="431" t="s">
        <v>5390</v>
      </c>
      <c r="J1360" s="431" t="s">
        <v>5391</v>
      </c>
      <c r="K1360" s="387" t="s">
        <v>5392</v>
      </c>
      <c r="L1360" s="3">
        <v>40</v>
      </c>
      <c r="M1360" s="3"/>
      <c r="N1360" s="3">
        <v>40</v>
      </c>
      <c r="O1360" s="377">
        <v>0</v>
      </c>
      <c r="P1360" s="3" t="s">
        <v>1361</v>
      </c>
      <c r="Q1360" s="2">
        <v>53</v>
      </c>
      <c r="R1360" s="2"/>
      <c r="S1360" s="2">
        <v>0</v>
      </c>
      <c r="T1360" s="2">
        <v>53</v>
      </c>
      <c r="U1360" s="349">
        <v>0</v>
      </c>
      <c r="V1360" s="349">
        <v>0</v>
      </c>
      <c r="W1360" s="349">
        <v>0</v>
      </c>
      <c r="X1360" s="349"/>
      <c r="Y1360" s="349">
        <v>0</v>
      </c>
      <c r="Z1360" s="349"/>
      <c r="AA1360" s="437">
        <v>0</v>
      </c>
      <c r="AB1360" s="601">
        <v>0</v>
      </c>
      <c r="AC1360" s="596">
        <v>0</v>
      </c>
      <c r="AD1360" s="2"/>
      <c r="AE1360" s="4"/>
      <c r="AF1360" s="495" t="s">
        <v>5405</v>
      </c>
      <c r="AG1360" s="511"/>
    </row>
    <row r="1361" spans="2:33" x14ac:dyDescent="0.25">
      <c r="B1361" s="604"/>
      <c r="C1361" s="431" t="s">
        <v>1368</v>
      </c>
      <c r="D1361" s="3" t="s">
        <v>1279</v>
      </c>
      <c r="E1361" s="444" t="s">
        <v>3232</v>
      </c>
      <c r="F1361" s="444" t="s">
        <v>3201</v>
      </c>
      <c r="G1361" s="431" t="s">
        <v>5393</v>
      </c>
      <c r="H1361" s="444" t="s">
        <v>4109</v>
      </c>
      <c r="I1361" s="431" t="s">
        <v>5394</v>
      </c>
      <c r="J1361" s="431" t="s">
        <v>5395</v>
      </c>
      <c r="K1361" s="387" t="s">
        <v>5396</v>
      </c>
      <c r="L1361" s="3">
        <v>40</v>
      </c>
      <c r="M1361" s="3"/>
      <c r="N1361" s="3">
        <v>40</v>
      </c>
      <c r="O1361" s="377">
        <v>0</v>
      </c>
      <c r="P1361" s="3" t="s">
        <v>1361</v>
      </c>
      <c r="Q1361" s="2">
        <v>53</v>
      </c>
      <c r="R1361" s="2"/>
      <c r="S1361" s="2">
        <v>0</v>
      </c>
      <c r="T1361" s="2">
        <v>53</v>
      </c>
      <c r="U1361" s="349">
        <v>0</v>
      </c>
      <c r="V1361" s="349">
        <v>0</v>
      </c>
      <c r="W1361" s="349">
        <v>0</v>
      </c>
      <c r="X1361" s="349"/>
      <c r="Y1361" s="349">
        <v>0</v>
      </c>
      <c r="Z1361" s="349"/>
      <c r="AA1361" s="437">
        <v>0</v>
      </c>
      <c r="AB1361" s="601">
        <v>0</v>
      </c>
      <c r="AC1361" s="596">
        <v>0</v>
      </c>
      <c r="AD1361" s="2"/>
      <c r="AE1361" s="4"/>
      <c r="AF1361" s="495" t="s">
        <v>5405</v>
      </c>
      <c r="AG1361" s="511"/>
    </row>
    <row r="1362" spans="2:33" x14ac:dyDescent="0.25">
      <c r="B1362" s="604"/>
      <c r="C1362" s="431" t="s">
        <v>1368</v>
      </c>
      <c r="D1362" s="3" t="s">
        <v>1279</v>
      </c>
      <c r="E1362" s="444" t="s">
        <v>3233</v>
      </c>
      <c r="F1362" s="444" t="s">
        <v>3201</v>
      </c>
      <c r="G1362" s="431" t="s">
        <v>5397</v>
      </c>
      <c r="H1362" s="444" t="s">
        <v>4109</v>
      </c>
      <c r="I1362" s="431" t="s">
        <v>5398</v>
      </c>
      <c r="J1362" s="431" t="s">
        <v>5399</v>
      </c>
      <c r="K1362" s="387" t="s">
        <v>5400</v>
      </c>
      <c r="L1362" s="3">
        <v>64</v>
      </c>
      <c r="M1362" s="3"/>
      <c r="N1362" s="3">
        <v>64</v>
      </c>
      <c r="O1362" s="377">
        <v>0</v>
      </c>
      <c r="P1362" s="3" t="s">
        <v>1361</v>
      </c>
      <c r="Q1362" s="2">
        <v>84</v>
      </c>
      <c r="R1362" s="2"/>
      <c r="S1362" s="2">
        <v>0</v>
      </c>
      <c r="T1362" s="2">
        <v>84</v>
      </c>
      <c r="U1362" s="349">
        <v>0</v>
      </c>
      <c r="V1362" s="349">
        <v>0</v>
      </c>
      <c r="W1362" s="349">
        <v>0</v>
      </c>
      <c r="X1362" s="349"/>
      <c r="Y1362" s="349">
        <v>0</v>
      </c>
      <c r="Z1362" s="349"/>
      <c r="AA1362" s="437">
        <v>0</v>
      </c>
      <c r="AB1362" s="601">
        <v>0</v>
      </c>
      <c r="AC1362" s="596">
        <v>0</v>
      </c>
      <c r="AD1362" s="2"/>
      <c r="AE1362" s="4"/>
      <c r="AF1362" s="495" t="s">
        <v>5405</v>
      </c>
      <c r="AG1362" s="511"/>
    </row>
    <row r="1363" spans="2:33" x14ac:dyDescent="0.25">
      <c r="B1363" s="604"/>
      <c r="C1363" s="431" t="s">
        <v>1368</v>
      </c>
      <c r="D1363" s="3" t="s">
        <v>1279</v>
      </c>
      <c r="E1363" s="444" t="s">
        <v>3235</v>
      </c>
      <c r="F1363" s="444" t="s">
        <v>3201</v>
      </c>
      <c r="G1363" s="431" t="s">
        <v>5401</v>
      </c>
      <c r="H1363" s="444" t="s">
        <v>4109</v>
      </c>
      <c r="I1363" s="431" t="s">
        <v>5402</v>
      </c>
      <c r="J1363" s="431" t="s">
        <v>5403</v>
      </c>
      <c r="K1363" s="387" t="s">
        <v>5404</v>
      </c>
      <c r="L1363" s="3">
        <v>38</v>
      </c>
      <c r="M1363" s="3"/>
      <c r="N1363" s="3">
        <v>38</v>
      </c>
      <c r="O1363" s="377">
        <v>0</v>
      </c>
      <c r="P1363" s="3" t="s">
        <v>1361</v>
      </c>
      <c r="Q1363" s="2">
        <v>50</v>
      </c>
      <c r="R1363" s="2"/>
      <c r="S1363" s="2">
        <v>0</v>
      </c>
      <c r="T1363" s="2">
        <v>50</v>
      </c>
      <c r="U1363" s="349">
        <v>0</v>
      </c>
      <c r="V1363" s="349">
        <v>0</v>
      </c>
      <c r="W1363" s="349">
        <v>0</v>
      </c>
      <c r="X1363" s="349"/>
      <c r="Y1363" s="349">
        <v>0</v>
      </c>
      <c r="Z1363" s="349"/>
      <c r="AA1363" s="437">
        <v>0</v>
      </c>
      <c r="AB1363" s="601">
        <v>0</v>
      </c>
      <c r="AC1363" s="596">
        <v>0</v>
      </c>
      <c r="AD1363" s="2"/>
      <c r="AE1363" s="4"/>
      <c r="AF1363" s="495" t="s">
        <v>5405</v>
      </c>
      <c r="AG1363" s="511"/>
    </row>
    <row r="1364" spans="2:33" x14ac:dyDescent="0.25">
      <c r="B1364" s="604"/>
      <c r="C1364" s="431"/>
      <c r="D1364" s="3"/>
      <c r="E1364" s="444"/>
      <c r="F1364" s="444"/>
      <c r="G1364" s="431"/>
      <c r="H1364" s="444"/>
      <c r="I1364" s="431"/>
      <c r="J1364" s="431"/>
      <c r="K1364" s="387"/>
      <c r="L1364" s="3"/>
      <c r="M1364" s="3"/>
      <c r="N1364" s="3"/>
      <c r="O1364" s="377"/>
      <c r="P1364" s="3"/>
      <c r="Q1364" s="2"/>
      <c r="R1364" s="2"/>
      <c r="S1364" s="2"/>
      <c r="T1364" s="2"/>
      <c r="U1364" s="349"/>
      <c r="V1364" s="349"/>
      <c r="W1364" s="349"/>
      <c r="X1364" s="349"/>
      <c r="Y1364" s="349"/>
      <c r="Z1364" s="349"/>
      <c r="AA1364" s="437"/>
      <c r="AB1364" s="601"/>
      <c r="AC1364" s="596"/>
      <c r="AD1364" s="2"/>
      <c r="AE1364" s="4"/>
      <c r="AF1364" s="495"/>
      <c r="AG1364" s="511"/>
    </row>
    <row r="1365" spans="2:33" x14ac:dyDescent="0.25">
      <c r="B1365" s="598"/>
      <c r="C1365" s="589"/>
      <c r="D1365" s="3"/>
      <c r="E1365" s="431"/>
      <c r="F1365" s="431"/>
      <c r="G1365" s="589"/>
      <c r="H1365" s="589"/>
      <c r="I1365" s="589"/>
      <c r="J1365" s="589"/>
      <c r="K1365" s="588"/>
      <c r="L1365" s="3"/>
      <c r="M1365" s="3"/>
      <c r="N1365" s="3"/>
      <c r="O1365" s="3"/>
      <c r="P1365" s="3"/>
      <c r="Q1365" s="2"/>
      <c r="R1365" s="2"/>
      <c r="S1365" s="2"/>
      <c r="T1365" s="2"/>
      <c r="U1365" s="349"/>
      <c r="V1365" s="349"/>
      <c r="W1365" s="349"/>
      <c r="X1365" s="349"/>
      <c r="Y1365" s="349"/>
      <c r="Z1365" s="349"/>
      <c r="AA1365" s="437"/>
      <c r="AB1365" s="587"/>
      <c r="AC1365" s="348"/>
      <c r="AD1365" s="586"/>
      <c r="AE1365" s="585"/>
      <c r="AF1365" s="584"/>
      <c r="AG1365" s="583"/>
    </row>
    <row r="1366" spans="2:33" ht="26.25" x14ac:dyDescent="0.25">
      <c r="B1366" s="355" t="s">
        <v>6</v>
      </c>
      <c r="C1366" s="356" t="s">
        <v>7</v>
      </c>
      <c r="D1366" s="356" t="s">
        <v>18</v>
      </c>
      <c r="E1366" s="394" t="s">
        <v>1354</v>
      </c>
      <c r="F1366" s="537" t="s">
        <v>3199</v>
      </c>
      <c r="G1366" s="537" t="s">
        <v>3200</v>
      </c>
      <c r="H1366" s="537" t="s">
        <v>3202</v>
      </c>
      <c r="I1366" s="537" t="s">
        <v>1353</v>
      </c>
      <c r="J1366" s="537" t="s">
        <v>3425</v>
      </c>
      <c r="K1366" s="356" t="s">
        <v>8</v>
      </c>
      <c r="L1366" s="370"/>
      <c r="M1366" s="370"/>
      <c r="N1366" s="370"/>
      <c r="O1366" s="370"/>
      <c r="P1366" s="370"/>
      <c r="Q1366" s="371"/>
      <c r="R1366" s="371"/>
      <c r="S1366" s="371"/>
      <c r="T1366" s="371"/>
      <c r="U1366" s="590" t="s">
        <v>434</v>
      </c>
      <c r="V1366" s="373"/>
      <c r="W1366" s="373" t="s">
        <v>17</v>
      </c>
      <c r="X1366" s="373"/>
      <c r="Y1366" s="373"/>
      <c r="Z1366" s="373"/>
      <c r="AA1366" s="374"/>
      <c r="AB1366" s="371"/>
      <c r="AC1366" s="371"/>
      <c r="AD1366" s="380"/>
      <c r="AE1366" s="381"/>
      <c r="AF1366" s="493"/>
      <c r="AG1366" s="512"/>
    </row>
    <row r="1367" spans="2:33" x14ac:dyDescent="0.25">
      <c r="B1367" s="591"/>
      <c r="C1367" s="376"/>
      <c r="D1367" s="376"/>
      <c r="E1367" s="376"/>
      <c r="F1367" s="376"/>
      <c r="G1367" s="376"/>
      <c r="H1367" s="376"/>
      <c r="I1367" s="376"/>
      <c r="J1367" s="376"/>
      <c r="K1367" s="376" t="s">
        <v>5211</v>
      </c>
      <c r="L1367" s="377">
        <f>SUM(L1368:L1391)</f>
        <v>5245</v>
      </c>
      <c r="M1367" s="377">
        <f>SUM(M1368:M1391)</f>
        <v>0</v>
      </c>
      <c r="N1367" s="377">
        <f>SUM(N1368:N1391)</f>
        <v>5245</v>
      </c>
      <c r="O1367" s="377">
        <f>SUM(O1368:O1391)</f>
        <v>3033</v>
      </c>
      <c r="P1367" s="376"/>
      <c r="Q1367" s="377">
        <f>SUM(Q1368:Q1391)</f>
        <v>6911</v>
      </c>
      <c r="R1367" s="377">
        <f>SUM(R1368:R1396)</f>
        <v>0</v>
      </c>
      <c r="S1367" s="377">
        <f>SUM(S1368:S1396)</f>
        <v>0</v>
      </c>
      <c r="T1367" s="377">
        <f>SUM(T1368:T1391)</f>
        <v>8462</v>
      </c>
      <c r="U1367" s="368">
        <v>0.95</v>
      </c>
      <c r="V1367" s="368"/>
      <c r="W1367" s="368">
        <v>0.05</v>
      </c>
      <c r="X1367" s="368">
        <v>0</v>
      </c>
      <c r="Y1367" s="368">
        <v>0</v>
      </c>
      <c r="Z1367" s="368">
        <v>0</v>
      </c>
      <c r="AA1367" s="468">
        <f>IF(T1367,AB1367/T1367,0)</f>
        <v>0.5588513353817065</v>
      </c>
      <c r="AB1367" s="377">
        <f>SUM(AB1368:AB1391)</f>
        <v>4729</v>
      </c>
      <c r="AC1367" s="377">
        <f>SUM(AC1368:AC1391)</f>
        <v>3617</v>
      </c>
      <c r="AD1367" s="382"/>
      <c r="AE1367" s="383"/>
      <c r="AF1367" s="494"/>
      <c r="AG1367" s="513"/>
    </row>
    <row r="1368" spans="2:33" x14ac:dyDescent="0.25">
      <c r="B1368" s="592" t="s">
        <v>3182</v>
      </c>
      <c r="C1368" s="589" t="s">
        <v>1368</v>
      </c>
      <c r="D1368" s="3" t="s">
        <v>1279</v>
      </c>
      <c r="E1368" s="431" t="s">
        <v>1425</v>
      </c>
      <c r="F1368" s="431" t="s">
        <v>3201</v>
      </c>
      <c r="G1368" s="589" t="s">
        <v>4459</v>
      </c>
      <c r="H1368" s="589" t="s">
        <v>4109</v>
      </c>
      <c r="I1368" s="589" t="s">
        <v>4280</v>
      </c>
      <c r="J1368" s="589" t="s">
        <v>4035</v>
      </c>
      <c r="K1368" s="588" t="s">
        <v>5194</v>
      </c>
      <c r="L1368" s="3">
        <v>410</v>
      </c>
      <c r="M1368" s="3"/>
      <c r="N1368" s="3">
        <v>410</v>
      </c>
      <c r="O1368" s="3">
        <v>380</v>
      </c>
      <c r="P1368" s="3" t="s">
        <v>1361</v>
      </c>
      <c r="Q1368" s="572">
        <v>540</v>
      </c>
      <c r="R1368" s="2"/>
      <c r="S1368" s="2"/>
      <c r="T1368" s="572">
        <v>500</v>
      </c>
      <c r="U1368" s="349">
        <v>1</v>
      </c>
      <c r="V1368" s="349">
        <v>0.89</v>
      </c>
      <c r="W1368" s="349"/>
      <c r="X1368" s="349"/>
      <c r="Y1368" s="349"/>
      <c r="Z1368" s="349">
        <v>0</v>
      </c>
      <c r="AA1368" s="437">
        <v>0.879</v>
      </c>
      <c r="AB1368" s="587">
        <v>439</v>
      </c>
      <c r="AC1368" s="348">
        <v>312</v>
      </c>
      <c r="AD1368" s="586"/>
      <c r="AE1368" s="585"/>
      <c r="AF1368" s="584"/>
      <c r="AG1368" s="583"/>
    </row>
    <row r="1369" spans="2:33" x14ac:dyDescent="0.25">
      <c r="B1369" s="592" t="s">
        <v>3183</v>
      </c>
      <c r="C1369" s="589" t="s">
        <v>1368</v>
      </c>
      <c r="D1369" s="3" t="s">
        <v>1279</v>
      </c>
      <c r="E1369" s="431" t="s">
        <v>1426</v>
      </c>
      <c r="F1369" s="431" t="s">
        <v>3201</v>
      </c>
      <c r="G1369" s="589" t="s">
        <v>4460</v>
      </c>
      <c r="H1369" s="589" t="s">
        <v>4109</v>
      </c>
      <c r="I1369" s="589" t="s">
        <v>4281</v>
      </c>
      <c r="J1369" s="589" t="s">
        <v>4036</v>
      </c>
      <c r="K1369" s="588" t="s">
        <v>5195</v>
      </c>
      <c r="L1369" s="3">
        <v>410</v>
      </c>
      <c r="M1369" s="3"/>
      <c r="N1369" s="3">
        <v>410</v>
      </c>
      <c r="O1369" s="3">
        <v>380</v>
      </c>
      <c r="P1369" s="3" t="s">
        <v>1361</v>
      </c>
      <c r="Q1369" s="577">
        <v>540</v>
      </c>
      <c r="R1369" s="2"/>
      <c r="S1369" s="2"/>
      <c r="T1369" s="577">
        <v>625</v>
      </c>
      <c r="U1369" s="349">
        <v>1</v>
      </c>
      <c r="V1369" s="349">
        <v>0.9</v>
      </c>
      <c r="W1369" s="349"/>
      <c r="X1369" s="349"/>
      <c r="Y1369" s="349"/>
      <c r="Z1369" s="349">
        <v>0</v>
      </c>
      <c r="AA1369" s="437">
        <v>0.88500000000000001</v>
      </c>
      <c r="AB1369" s="587">
        <v>553</v>
      </c>
      <c r="AC1369" s="593">
        <v>329</v>
      </c>
      <c r="AD1369" s="586"/>
      <c r="AE1369" s="585"/>
      <c r="AF1369" s="584"/>
      <c r="AG1369" s="583"/>
    </row>
    <row r="1370" spans="2:33" x14ac:dyDescent="0.25">
      <c r="B1370" s="592" t="s">
        <v>3184</v>
      </c>
      <c r="C1370" s="589" t="s">
        <v>1368</v>
      </c>
      <c r="D1370" s="3" t="s">
        <v>1279</v>
      </c>
      <c r="E1370" s="431" t="s">
        <v>1427</v>
      </c>
      <c r="F1370" s="431" t="s">
        <v>3201</v>
      </c>
      <c r="G1370" s="589" t="s">
        <v>4461</v>
      </c>
      <c r="H1370" s="589" t="s">
        <v>4109</v>
      </c>
      <c r="I1370" s="589" t="s">
        <v>4282</v>
      </c>
      <c r="J1370" s="589" t="s">
        <v>4037</v>
      </c>
      <c r="K1370" s="588" t="s">
        <v>5196</v>
      </c>
      <c r="L1370" s="3">
        <v>305</v>
      </c>
      <c r="M1370" s="3"/>
      <c r="N1370" s="3">
        <v>305</v>
      </c>
      <c r="O1370" s="3">
        <v>248</v>
      </c>
      <c r="P1370" s="3" t="s">
        <v>1361</v>
      </c>
      <c r="Q1370" s="577">
        <v>402</v>
      </c>
      <c r="R1370" s="2"/>
      <c r="S1370" s="2"/>
      <c r="T1370" s="577">
        <v>300</v>
      </c>
      <c r="U1370" s="349">
        <v>1</v>
      </c>
      <c r="V1370" s="349">
        <v>0.73</v>
      </c>
      <c r="W1370" s="349"/>
      <c r="X1370" s="349"/>
      <c r="Y1370" s="349"/>
      <c r="Z1370" s="349">
        <v>0</v>
      </c>
      <c r="AA1370" s="437">
        <v>0.77500000000000002</v>
      </c>
      <c r="AB1370" s="587">
        <v>232</v>
      </c>
      <c r="AC1370" s="596">
        <v>201</v>
      </c>
      <c r="AD1370" s="586"/>
      <c r="AE1370" s="585"/>
      <c r="AF1370" s="584"/>
      <c r="AG1370" s="583"/>
    </row>
    <row r="1371" spans="2:33" x14ac:dyDescent="0.25">
      <c r="B1371" s="592" t="s">
        <v>3185</v>
      </c>
      <c r="C1371" s="589" t="s">
        <v>1368</v>
      </c>
      <c r="D1371" s="3" t="s">
        <v>1279</v>
      </c>
      <c r="E1371" s="431" t="s">
        <v>1428</v>
      </c>
      <c r="F1371" s="431" t="s">
        <v>3201</v>
      </c>
      <c r="G1371" s="589" t="s">
        <v>4462</v>
      </c>
      <c r="H1371" s="589" t="s">
        <v>4109</v>
      </c>
      <c r="I1371" s="589" t="s">
        <v>4283</v>
      </c>
      <c r="J1371" s="589" t="s">
        <v>4038</v>
      </c>
      <c r="K1371" s="588" t="s">
        <v>5197</v>
      </c>
      <c r="L1371" s="3">
        <v>240</v>
      </c>
      <c r="M1371" s="3"/>
      <c r="N1371" s="3">
        <v>240</v>
      </c>
      <c r="O1371" s="3">
        <v>185</v>
      </c>
      <c r="P1371" s="3" t="s">
        <v>1361</v>
      </c>
      <c r="Q1371" s="577">
        <v>316</v>
      </c>
      <c r="R1371" s="2"/>
      <c r="S1371" s="2"/>
      <c r="T1371" s="577">
        <v>300</v>
      </c>
      <c r="U1371" s="349">
        <v>1</v>
      </c>
      <c r="V1371" s="349">
        <v>0.66</v>
      </c>
      <c r="W1371" s="349"/>
      <c r="X1371" s="349"/>
      <c r="Y1371" s="349"/>
      <c r="Z1371" s="349">
        <v>0</v>
      </c>
      <c r="AA1371" s="437">
        <v>0.72899999999999998</v>
      </c>
      <c r="AB1371" s="587">
        <v>219</v>
      </c>
      <c r="AC1371" s="596">
        <v>180</v>
      </c>
      <c r="AD1371" s="586"/>
      <c r="AE1371" s="585"/>
      <c r="AF1371" s="584"/>
      <c r="AG1371" s="583"/>
    </row>
    <row r="1372" spans="2:33" x14ac:dyDescent="0.25">
      <c r="B1372" s="592" t="s">
        <v>3186</v>
      </c>
      <c r="C1372" s="589" t="s">
        <v>1368</v>
      </c>
      <c r="D1372" s="3" t="s">
        <v>1279</v>
      </c>
      <c r="E1372" s="431" t="s">
        <v>1429</v>
      </c>
      <c r="F1372" s="431" t="s">
        <v>3201</v>
      </c>
      <c r="G1372" s="589" t="s">
        <v>4463</v>
      </c>
      <c r="H1372" s="589" t="s">
        <v>4109</v>
      </c>
      <c r="I1372" s="589" t="s">
        <v>4284</v>
      </c>
      <c r="J1372" s="589" t="s">
        <v>4039</v>
      </c>
      <c r="K1372" s="588" t="s">
        <v>5198</v>
      </c>
      <c r="L1372" s="3">
        <v>240</v>
      </c>
      <c r="M1372" s="3"/>
      <c r="N1372" s="3">
        <v>240</v>
      </c>
      <c r="O1372" s="3">
        <v>185</v>
      </c>
      <c r="P1372" s="3" t="s">
        <v>1361</v>
      </c>
      <c r="Q1372" s="577">
        <v>316</v>
      </c>
      <c r="R1372" s="2"/>
      <c r="S1372" s="2"/>
      <c r="T1372" s="577">
        <v>125</v>
      </c>
      <c r="U1372" s="349">
        <v>1</v>
      </c>
      <c r="V1372" s="349">
        <v>0.66</v>
      </c>
      <c r="W1372" s="349"/>
      <c r="X1372" s="349"/>
      <c r="Y1372" s="349"/>
      <c r="Z1372" s="349">
        <v>0</v>
      </c>
      <c r="AA1372" s="437">
        <v>0.72899999999999998</v>
      </c>
      <c r="AB1372" s="587">
        <v>91</v>
      </c>
      <c r="AC1372" s="596">
        <v>67</v>
      </c>
      <c r="AD1372" s="586"/>
      <c r="AE1372" s="585"/>
      <c r="AF1372" s="584"/>
      <c r="AG1372" s="583"/>
    </row>
    <row r="1373" spans="2:33" x14ac:dyDescent="0.25">
      <c r="B1373" s="592" t="s">
        <v>3187</v>
      </c>
      <c r="C1373" s="589" t="s">
        <v>1368</v>
      </c>
      <c r="D1373" s="3" t="s">
        <v>1279</v>
      </c>
      <c r="E1373" s="431" t="s">
        <v>1430</v>
      </c>
      <c r="F1373" s="431" t="s">
        <v>3201</v>
      </c>
      <c r="G1373" s="589" t="s">
        <v>4464</v>
      </c>
      <c r="H1373" s="589" t="s">
        <v>4109</v>
      </c>
      <c r="I1373" s="589" t="s">
        <v>4285</v>
      </c>
      <c r="J1373" s="589" t="s">
        <v>4040</v>
      </c>
      <c r="K1373" s="588" t="s">
        <v>5199</v>
      </c>
      <c r="L1373" s="3">
        <v>280</v>
      </c>
      <c r="M1373" s="3"/>
      <c r="N1373" s="3">
        <v>280</v>
      </c>
      <c r="O1373" s="3">
        <v>215</v>
      </c>
      <c r="P1373" s="3" t="s">
        <v>1361</v>
      </c>
      <c r="Q1373" s="577">
        <v>369</v>
      </c>
      <c r="R1373" s="2"/>
      <c r="S1373" s="2"/>
      <c r="T1373" s="577">
        <v>350</v>
      </c>
      <c r="U1373" s="349">
        <v>1</v>
      </c>
      <c r="V1373" s="349">
        <v>0.66</v>
      </c>
      <c r="W1373" s="349"/>
      <c r="X1373" s="349"/>
      <c r="Y1373" s="349"/>
      <c r="Z1373" s="349">
        <v>0</v>
      </c>
      <c r="AA1373" s="437">
        <v>0.72899999999999998</v>
      </c>
      <c r="AB1373" s="587">
        <v>255</v>
      </c>
      <c r="AC1373" s="596">
        <v>101</v>
      </c>
      <c r="AD1373" s="586"/>
      <c r="AE1373" s="585"/>
      <c r="AF1373" s="584"/>
      <c r="AG1373" s="583"/>
    </row>
    <row r="1374" spans="2:33" x14ac:dyDescent="0.25">
      <c r="B1374" s="592" t="s">
        <v>3188</v>
      </c>
      <c r="C1374" s="589" t="s">
        <v>1368</v>
      </c>
      <c r="D1374" s="3" t="s">
        <v>1279</v>
      </c>
      <c r="E1374" s="431" t="s">
        <v>1431</v>
      </c>
      <c r="F1374" s="431" t="s">
        <v>3201</v>
      </c>
      <c r="G1374" s="589" t="s">
        <v>4465</v>
      </c>
      <c r="H1374" s="589" t="s">
        <v>4109</v>
      </c>
      <c r="I1374" s="589" t="s">
        <v>4286</v>
      </c>
      <c r="J1374" s="589" t="s">
        <v>4041</v>
      </c>
      <c r="K1374" s="588" t="s">
        <v>5200</v>
      </c>
      <c r="L1374" s="3">
        <v>200</v>
      </c>
      <c r="M1374" s="3"/>
      <c r="N1374" s="3">
        <v>200</v>
      </c>
      <c r="O1374" s="3">
        <v>155</v>
      </c>
      <c r="P1374" s="3" t="s">
        <v>1361</v>
      </c>
      <c r="Q1374" s="577">
        <v>264</v>
      </c>
      <c r="R1374" s="2"/>
      <c r="S1374" s="2"/>
      <c r="T1374" s="577">
        <v>275</v>
      </c>
      <c r="U1374" s="349">
        <v>1</v>
      </c>
      <c r="V1374" s="349">
        <v>0.67</v>
      </c>
      <c r="W1374" s="349"/>
      <c r="X1374" s="349"/>
      <c r="Y1374" s="349"/>
      <c r="Z1374" s="349">
        <v>0</v>
      </c>
      <c r="AA1374" s="437">
        <v>0.73599999999999999</v>
      </c>
      <c r="AB1374" s="587">
        <v>202</v>
      </c>
      <c r="AC1374" s="596">
        <v>104</v>
      </c>
      <c r="AD1374" s="586"/>
      <c r="AE1374" s="585"/>
      <c r="AF1374" s="584"/>
      <c r="AG1374" s="583"/>
    </row>
    <row r="1375" spans="2:33" x14ac:dyDescent="0.25">
      <c r="B1375" s="592" t="s">
        <v>3189</v>
      </c>
      <c r="C1375" s="589" t="s">
        <v>1368</v>
      </c>
      <c r="D1375" s="3" t="s">
        <v>1279</v>
      </c>
      <c r="E1375" s="431" t="s">
        <v>1432</v>
      </c>
      <c r="F1375" s="431" t="s">
        <v>3201</v>
      </c>
      <c r="G1375" s="589" t="s">
        <v>4466</v>
      </c>
      <c r="H1375" s="589" t="s">
        <v>4109</v>
      </c>
      <c r="I1375" s="589" t="s">
        <v>4287</v>
      </c>
      <c r="J1375" s="589" t="s">
        <v>4042</v>
      </c>
      <c r="K1375" s="588" t="s">
        <v>5201</v>
      </c>
      <c r="L1375" s="3">
        <v>240</v>
      </c>
      <c r="M1375" s="3"/>
      <c r="N1375" s="3">
        <v>240</v>
      </c>
      <c r="O1375" s="3">
        <v>185</v>
      </c>
      <c r="P1375" s="3" t="s">
        <v>1361</v>
      </c>
      <c r="Q1375" s="577">
        <v>316</v>
      </c>
      <c r="R1375" s="2"/>
      <c r="S1375" s="2"/>
      <c r="T1375" s="577">
        <v>275</v>
      </c>
      <c r="U1375" s="349">
        <v>1</v>
      </c>
      <c r="V1375" s="349">
        <v>0.66</v>
      </c>
      <c r="W1375" s="349"/>
      <c r="X1375" s="349"/>
      <c r="Y1375" s="349"/>
      <c r="Z1375" s="349">
        <v>0</v>
      </c>
      <c r="AA1375" s="437">
        <v>0.72899999999999998</v>
      </c>
      <c r="AB1375" s="587">
        <v>200</v>
      </c>
      <c r="AC1375" s="596">
        <v>96</v>
      </c>
      <c r="AD1375" s="586"/>
      <c r="AE1375" s="585"/>
      <c r="AF1375" s="584"/>
      <c r="AG1375" s="583"/>
    </row>
    <row r="1376" spans="2:33" x14ac:dyDescent="0.25">
      <c r="B1376" s="592" t="s">
        <v>3190</v>
      </c>
      <c r="C1376" s="589" t="s">
        <v>1368</v>
      </c>
      <c r="D1376" s="3" t="s">
        <v>1279</v>
      </c>
      <c r="E1376" s="431" t="s">
        <v>1433</v>
      </c>
      <c r="F1376" s="431" t="s">
        <v>3201</v>
      </c>
      <c r="G1376" s="589" t="s">
        <v>4467</v>
      </c>
      <c r="H1376" s="589" t="s">
        <v>4109</v>
      </c>
      <c r="I1376" s="589" t="s">
        <v>4288</v>
      </c>
      <c r="J1376" s="589" t="s">
        <v>4043</v>
      </c>
      <c r="K1376" s="588" t="s">
        <v>5202</v>
      </c>
      <c r="L1376" s="3">
        <v>160</v>
      </c>
      <c r="M1376" s="3"/>
      <c r="N1376" s="3">
        <v>160</v>
      </c>
      <c r="O1376" s="3">
        <v>118</v>
      </c>
      <c r="P1376" s="3" t="s">
        <v>1361</v>
      </c>
      <c r="Q1376" s="2">
        <v>211</v>
      </c>
      <c r="R1376" s="2"/>
      <c r="S1376" s="2"/>
      <c r="T1376" s="577">
        <v>200</v>
      </c>
      <c r="U1376" s="349">
        <v>1</v>
      </c>
      <c r="V1376" s="349">
        <v>0.6</v>
      </c>
      <c r="W1376" s="349"/>
      <c r="X1376" s="349"/>
      <c r="Y1376" s="349"/>
      <c r="Z1376" s="349">
        <v>0.2</v>
      </c>
      <c r="AA1376" s="437">
        <v>0.7</v>
      </c>
      <c r="AB1376" s="587">
        <v>140</v>
      </c>
      <c r="AC1376" s="348">
        <v>83</v>
      </c>
      <c r="AD1376" s="586"/>
      <c r="AE1376" s="585"/>
      <c r="AF1376" s="584"/>
      <c r="AG1376" s="583"/>
    </row>
    <row r="1377" spans="2:33" x14ac:dyDescent="0.25">
      <c r="B1377" s="592" t="s">
        <v>3163</v>
      </c>
      <c r="C1377" s="589" t="s">
        <v>1368</v>
      </c>
      <c r="D1377" s="3" t="s">
        <v>1279</v>
      </c>
      <c r="E1377" s="431" t="s">
        <v>1395</v>
      </c>
      <c r="F1377" s="431" t="s">
        <v>3201</v>
      </c>
      <c r="G1377" s="589" t="s">
        <v>4468</v>
      </c>
      <c r="H1377" s="589" t="s">
        <v>4109</v>
      </c>
      <c r="I1377" s="589" t="s">
        <v>4289</v>
      </c>
      <c r="J1377" s="589" t="s">
        <v>4044</v>
      </c>
      <c r="K1377" s="588" t="s">
        <v>5182</v>
      </c>
      <c r="L1377" s="3">
        <v>180</v>
      </c>
      <c r="M1377" s="3"/>
      <c r="N1377" s="3">
        <v>180</v>
      </c>
      <c r="O1377" s="3"/>
      <c r="P1377" s="3" t="s">
        <v>1361</v>
      </c>
      <c r="Q1377" s="2">
        <v>237</v>
      </c>
      <c r="R1377" s="2"/>
      <c r="S1377" s="2"/>
      <c r="T1377" s="577">
        <v>237</v>
      </c>
      <c r="U1377" s="349">
        <v>0</v>
      </c>
      <c r="V1377" s="349">
        <v>0</v>
      </c>
      <c r="W1377" s="349"/>
      <c r="X1377" s="349"/>
      <c r="Y1377" s="349"/>
      <c r="Z1377" s="349">
        <v>0</v>
      </c>
      <c r="AA1377" s="437">
        <v>0</v>
      </c>
      <c r="AB1377" s="587">
        <v>0</v>
      </c>
      <c r="AC1377" s="348">
        <v>0</v>
      </c>
      <c r="AD1377" s="586"/>
      <c r="AE1377" s="585"/>
      <c r="AF1377" s="584"/>
      <c r="AG1377" s="583"/>
    </row>
    <row r="1378" spans="2:33" x14ac:dyDescent="0.25">
      <c r="B1378" s="592" t="s">
        <v>3164</v>
      </c>
      <c r="C1378" s="589" t="s">
        <v>1368</v>
      </c>
      <c r="D1378" s="3" t="s">
        <v>1279</v>
      </c>
      <c r="E1378" s="431" t="s">
        <v>1397</v>
      </c>
      <c r="F1378" s="431" t="s">
        <v>3201</v>
      </c>
      <c r="G1378" s="589" t="s">
        <v>4469</v>
      </c>
      <c r="H1378" s="589" t="s">
        <v>4109</v>
      </c>
      <c r="I1378" s="589" t="s">
        <v>4290</v>
      </c>
      <c r="J1378" s="589" t="s">
        <v>4045</v>
      </c>
      <c r="K1378" s="588" t="s">
        <v>5183</v>
      </c>
      <c r="L1378" s="3">
        <v>280</v>
      </c>
      <c r="M1378" s="3"/>
      <c r="N1378" s="3">
        <v>280</v>
      </c>
      <c r="O1378" s="3">
        <v>202</v>
      </c>
      <c r="P1378" s="3" t="s">
        <v>1361</v>
      </c>
      <c r="Q1378" s="2">
        <v>369</v>
      </c>
      <c r="R1378" s="2"/>
      <c r="S1378" s="2"/>
      <c r="T1378" s="577">
        <v>780</v>
      </c>
      <c r="U1378" s="349">
        <v>1</v>
      </c>
      <c r="V1378" s="349">
        <v>0.65</v>
      </c>
      <c r="W1378" s="349"/>
      <c r="X1378" s="349"/>
      <c r="Y1378" s="349"/>
      <c r="Z1378" s="349">
        <v>0.2</v>
      </c>
      <c r="AA1378" s="437">
        <v>0.73299999999999998</v>
      </c>
      <c r="AB1378" s="587">
        <v>571</v>
      </c>
      <c r="AC1378" s="348">
        <v>563</v>
      </c>
      <c r="AD1378" s="586"/>
      <c r="AE1378" s="585"/>
      <c r="AF1378" s="584"/>
      <c r="AG1378" s="583"/>
    </row>
    <row r="1379" spans="2:33" x14ac:dyDescent="0.25">
      <c r="B1379" s="592" t="s">
        <v>3165</v>
      </c>
      <c r="C1379" s="589" t="s">
        <v>1368</v>
      </c>
      <c r="D1379" s="3" t="s">
        <v>1279</v>
      </c>
      <c r="E1379" s="431" t="s">
        <v>1398</v>
      </c>
      <c r="F1379" s="431" t="s">
        <v>3201</v>
      </c>
      <c r="G1379" s="589" t="s">
        <v>4470</v>
      </c>
      <c r="H1379" s="589" t="s">
        <v>4109</v>
      </c>
      <c r="I1379" s="589" t="s">
        <v>4291</v>
      </c>
      <c r="J1379" s="589" t="s">
        <v>4046</v>
      </c>
      <c r="K1379" s="588" t="s">
        <v>5184</v>
      </c>
      <c r="L1379" s="3">
        <v>240</v>
      </c>
      <c r="M1379" s="3"/>
      <c r="N1379" s="3">
        <v>240</v>
      </c>
      <c r="O1379" s="3">
        <v>185</v>
      </c>
      <c r="P1379" s="3" t="s">
        <v>1361</v>
      </c>
      <c r="Q1379" s="2">
        <v>316</v>
      </c>
      <c r="R1379" s="2"/>
      <c r="S1379" s="2"/>
      <c r="T1379" s="577">
        <v>780</v>
      </c>
      <c r="U1379" s="349">
        <v>1</v>
      </c>
      <c r="V1379" s="349">
        <v>0.8</v>
      </c>
      <c r="W1379" s="349"/>
      <c r="X1379" s="349"/>
      <c r="Y1379" s="349"/>
      <c r="Z1379" s="349">
        <v>0.75</v>
      </c>
      <c r="AA1379" s="437">
        <v>0.85799999999999998</v>
      </c>
      <c r="AB1379" s="587">
        <v>669</v>
      </c>
      <c r="AC1379" s="348">
        <v>503</v>
      </c>
      <c r="AD1379" s="586"/>
      <c r="AE1379" s="585"/>
      <c r="AF1379" s="584"/>
      <c r="AG1379" s="583"/>
    </row>
    <row r="1380" spans="2:33" x14ac:dyDescent="0.25">
      <c r="B1380" s="592" t="s">
        <v>3166</v>
      </c>
      <c r="C1380" s="589" t="s">
        <v>1368</v>
      </c>
      <c r="D1380" s="3" t="s">
        <v>1279</v>
      </c>
      <c r="E1380" s="431" t="s">
        <v>1374</v>
      </c>
      <c r="F1380" s="431" t="s">
        <v>3201</v>
      </c>
      <c r="G1380" s="589" t="s">
        <v>4471</v>
      </c>
      <c r="H1380" s="589" t="s">
        <v>4109</v>
      </c>
      <c r="I1380" s="589" t="s">
        <v>4292</v>
      </c>
      <c r="J1380" s="589" t="s">
        <v>4047</v>
      </c>
      <c r="K1380" s="588" t="s">
        <v>5185</v>
      </c>
      <c r="L1380" s="3">
        <v>200</v>
      </c>
      <c r="M1380" s="3"/>
      <c r="N1380" s="3">
        <v>200</v>
      </c>
      <c r="O1380" s="3">
        <v>146</v>
      </c>
      <c r="P1380" s="3" t="s">
        <v>1361</v>
      </c>
      <c r="Q1380" s="572">
        <v>264</v>
      </c>
      <c r="R1380" s="2"/>
      <c r="S1380" s="2"/>
      <c r="T1380" s="577">
        <v>780</v>
      </c>
      <c r="U1380" s="349">
        <v>1</v>
      </c>
      <c r="V1380" s="349">
        <v>0.6</v>
      </c>
      <c r="W1380" s="349"/>
      <c r="X1380" s="349"/>
      <c r="Y1380" s="349"/>
      <c r="Z1380" s="349">
        <v>0</v>
      </c>
      <c r="AA1380" s="437">
        <v>0.69</v>
      </c>
      <c r="AB1380" s="587">
        <v>538</v>
      </c>
      <c r="AC1380" s="593">
        <v>464</v>
      </c>
      <c r="AD1380" s="586"/>
      <c r="AE1380" s="585"/>
      <c r="AF1380" s="584"/>
      <c r="AG1380" s="583"/>
    </row>
    <row r="1381" spans="2:33" x14ac:dyDescent="0.25">
      <c r="B1381" s="592" t="s">
        <v>3167</v>
      </c>
      <c r="C1381" s="589" t="s">
        <v>1368</v>
      </c>
      <c r="D1381" s="3" t="s">
        <v>1279</v>
      </c>
      <c r="E1381" s="431" t="s">
        <v>1377</v>
      </c>
      <c r="F1381" s="431" t="s">
        <v>3201</v>
      </c>
      <c r="G1381" s="589" t="s">
        <v>4472</v>
      </c>
      <c r="H1381" s="589" t="s">
        <v>4109</v>
      </c>
      <c r="I1381" s="589" t="s">
        <v>4293</v>
      </c>
      <c r="J1381" s="589" t="s">
        <v>4048</v>
      </c>
      <c r="K1381" s="588" t="s">
        <v>5186</v>
      </c>
      <c r="L1381" s="3">
        <v>240</v>
      </c>
      <c r="M1381" s="3"/>
      <c r="N1381" s="3">
        <v>240</v>
      </c>
      <c r="O1381" s="3">
        <v>185</v>
      </c>
      <c r="P1381" s="3" t="s">
        <v>1361</v>
      </c>
      <c r="Q1381" s="577">
        <v>316</v>
      </c>
      <c r="R1381" s="2"/>
      <c r="S1381" s="2"/>
      <c r="T1381" s="577">
        <v>275</v>
      </c>
      <c r="U1381" s="349">
        <v>1</v>
      </c>
      <c r="V1381" s="349">
        <v>0.7</v>
      </c>
      <c r="W1381" s="349"/>
      <c r="X1381" s="349"/>
      <c r="Y1381" s="349"/>
      <c r="Z1381" s="349">
        <v>0.4</v>
      </c>
      <c r="AA1381" s="437">
        <v>0.77500000000000002</v>
      </c>
      <c r="AB1381" s="587">
        <v>213</v>
      </c>
      <c r="AC1381" s="596">
        <v>212</v>
      </c>
      <c r="AD1381" s="586"/>
      <c r="AE1381" s="585"/>
      <c r="AF1381" s="584"/>
      <c r="AG1381" s="583"/>
    </row>
    <row r="1382" spans="2:33" x14ac:dyDescent="0.25">
      <c r="B1382" s="592" t="s">
        <v>3168</v>
      </c>
      <c r="C1382" s="589" t="s">
        <v>1368</v>
      </c>
      <c r="D1382" s="3" t="s">
        <v>1279</v>
      </c>
      <c r="E1382" s="431" t="s">
        <v>1379</v>
      </c>
      <c r="F1382" s="431" t="s">
        <v>3201</v>
      </c>
      <c r="G1382" s="589" t="s">
        <v>4473</v>
      </c>
      <c r="H1382" s="589" t="s">
        <v>4109</v>
      </c>
      <c r="I1382" s="589" t="s">
        <v>4294</v>
      </c>
      <c r="J1382" s="589" t="s">
        <v>4049</v>
      </c>
      <c r="K1382" s="588" t="s">
        <v>5187</v>
      </c>
      <c r="L1382" s="3">
        <v>280</v>
      </c>
      <c r="M1382" s="3"/>
      <c r="N1382" s="3">
        <v>280</v>
      </c>
      <c r="O1382" s="3">
        <v>163</v>
      </c>
      <c r="P1382" s="3" t="s">
        <v>1361</v>
      </c>
      <c r="Q1382" s="577">
        <v>369</v>
      </c>
      <c r="R1382" s="2"/>
      <c r="S1382" s="2"/>
      <c r="T1382" s="577">
        <v>250</v>
      </c>
      <c r="U1382" s="349">
        <v>1</v>
      </c>
      <c r="V1382" s="349">
        <v>0.55000000000000004</v>
      </c>
      <c r="W1382" s="349"/>
      <c r="X1382" s="349"/>
      <c r="Y1382" s="349"/>
      <c r="Z1382" s="349">
        <v>0</v>
      </c>
      <c r="AA1382" s="437">
        <v>0.65800000000000003</v>
      </c>
      <c r="AB1382" s="587">
        <v>164</v>
      </c>
      <c r="AC1382" s="596">
        <v>162</v>
      </c>
      <c r="AD1382" s="586"/>
      <c r="AE1382" s="585"/>
      <c r="AF1382" s="584"/>
      <c r="AG1382" s="583"/>
    </row>
    <row r="1383" spans="2:33" x14ac:dyDescent="0.25">
      <c r="B1383" s="592" t="s">
        <v>3169</v>
      </c>
      <c r="C1383" s="589" t="s">
        <v>1368</v>
      </c>
      <c r="D1383" s="3" t="s">
        <v>1279</v>
      </c>
      <c r="E1383" s="431" t="s">
        <v>1381</v>
      </c>
      <c r="F1383" s="431" t="s">
        <v>3201</v>
      </c>
      <c r="G1383" s="589" t="s">
        <v>4474</v>
      </c>
      <c r="H1383" s="589" t="s">
        <v>4109</v>
      </c>
      <c r="I1383" s="589" t="s">
        <v>4295</v>
      </c>
      <c r="J1383" s="589" t="s">
        <v>4050</v>
      </c>
      <c r="K1383" s="588" t="s">
        <v>5188</v>
      </c>
      <c r="L1383" s="3">
        <v>200</v>
      </c>
      <c r="M1383" s="3"/>
      <c r="N1383" s="3">
        <v>200</v>
      </c>
      <c r="O1383" s="3">
        <v>101</v>
      </c>
      <c r="P1383" s="3" t="s">
        <v>1361</v>
      </c>
      <c r="Q1383" s="577">
        <v>264</v>
      </c>
      <c r="R1383" s="2"/>
      <c r="S1383" s="2"/>
      <c r="T1383" s="577">
        <v>510</v>
      </c>
      <c r="U1383" s="349">
        <v>1</v>
      </c>
      <c r="V1383" s="349">
        <v>0.27</v>
      </c>
      <c r="W1383" s="349"/>
      <c r="X1383" s="349"/>
      <c r="Y1383" s="349"/>
      <c r="Z1383" s="349">
        <v>0</v>
      </c>
      <c r="AA1383" s="437">
        <v>0.47599999999999998</v>
      </c>
      <c r="AB1383" s="587">
        <v>243</v>
      </c>
      <c r="AC1383" s="596">
        <v>240</v>
      </c>
      <c r="AD1383" s="586"/>
      <c r="AE1383" s="585"/>
      <c r="AF1383" s="584"/>
      <c r="AG1383" s="583"/>
    </row>
    <row r="1384" spans="2:33" x14ac:dyDescent="0.25">
      <c r="B1384" s="592" t="s">
        <v>3170</v>
      </c>
      <c r="C1384" s="589" t="s">
        <v>1368</v>
      </c>
      <c r="D1384" s="3" t="s">
        <v>1279</v>
      </c>
      <c r="E1384" s="431" t="s">
        <v>1396</v>
      </c>
      <c r="F1384" s="431" t="s">
        <v>3201</v>
      </c>
      <c r="G1384" s="589" t="s">
        <v>4475</v>
      </c>
      <c r="H1384" s="589" t="s">
        <v>4109</v>
      </c>
      <c r="I1384" s="589" t="s">
        <v>4296</v>
      </c>
      <c r="J1384" s="589" t="s">
        <v>4051</v>
      </c>
      <c r="K1384" s="588" t="s">
        <v>5189</v>
      </c>
      <c r="L1384" s="3">
        <v>290</v>
      </c>
      <c r="M1384" s="3"/>
      <c r="N1384" s="3">
        <v>290</v>
      </c>
      <c r="O1384" s="3">
        <v>0</v>
      </c>
      <c r="P1384" s="3" t="s">
        <v>1361</v>
      </c>
      <c r="Q1384" s="577">
        <v>382</v>
      </c>
      <c r="R1384" s="2"/>
      <c r="S1384" s="2"/>
      <c r="T1384" s="577">
        <v>780</v>
      </c>
      <c r="U1384" s="349">
        <v>0</v>
      </c>
      <c r="V1384" s="349">
        <v>0</v>
      </c>
      <c r="W1384" s="349"/>
      <c r="X1384" s="349"/>
      <c r="Y1384" s="349"/>
      <c r="Z1384" s="349">
        <v>0</v>
      </c>
      <c r="AA1384" s="437">
        <v>0</v>
      </c>
      <c r="AB1384" s="587">
        <v>0</v>
      </c>
      <c r="AC1384" s="596">
        <v>0</v>
      </c>
      <c r="AD1384" s="586"/>
      <c r="AE1384" s="585"/>
      <c r="AF1384" s="584"/>
      <c r="AG1384" s="583"/>
    </row>
    <row r="1385" spans="2:33" x14ac:dyDescent="0.25">
      <c r="B1385" s="3"/>
      <c r="C1385" s="589" t="s">
        <v>1368</v>
      </c>
      <c r="D1385" s="3" t="s">
        <v>1279</v>
      </c>
      <c r="E1385" s="431" t="s">
        <v>1399</v>
      </c>
      <c r="F1385" s="431" t="s">
        <v>3201</v>
      </c>
      <c r="G1385" s="589" t="s">
        <v>5264</v>
      </c>
      <c r="H1385" s="589" t="s">
        <v>4109</v>
      </c>
      <c r="I1385" s="589" t="s">
        <v>5265</v>
      </c>
      <c r="J1385" s="589" t="s">
        <v>5266</v>
      </c>
      <c r="K1385" s="588" t="s">
        <v>5190</v>
      </c>
      <c r="L1385" s="3">
        <v>240</v>
      </c>
      <c r="M1385" s="3"/>
      <c r="N1385" s="3">
        <v>240</v>
      </c>
      <c r="O1385" s="3">
        <v>0</v>
      </c>
      <c r="P1385" s="3" t="s">
        <v>1361</v>
      </c>
      <c r="Q1385" s="577">
        <v>316</v>
      </c>
      <c r="R1385" s="2"/>
      <c r="S1385" s="2"/>
      <c r="T1385" s="577">
        <v>316</v>
      </c>
      <c r="U1385" s="349">
        <v>0</v>
      </c>
      <c r="V1385" s="349">
        <v>0</v>
      </c>
      <c r="W1385" s="349"/>
      <c r="X1385" s="349"/>
      <c r="Y1385" s="349"/>
      <c r="Z1385" s="349">
        <v>0</v>
      </c>
      <c r="AA1385" s="437">
        <v>0</v>
      </c>
      <c r="AB1385" s="587">
        <v>0</v>
      </c>
      <c r="AC1385" s="596">
        <v>0</v>
      </c>
      <c r="AD1385" s="586"/>
      <c r="AE1385" s="585"/>
      <c r="AF1385" s="584"/>
      <c r="AG1385" s="583"/>
    </row>
    <row r="1386" spans="2:33" x14ac:dyDescent="0.25">
      <c r="B1386" s="3"/>
      <c r="C1386" s="589" t="s">
        <v>1368</v>
      </c>
      <c r="D1386" s="3" t="s">
        <v>1279</v>
      </c>
      <c r="E1386" s="431" t="s">
        <v>1400</v>
      </c>
      <c r="F1386" s="431" t="s">
        <v>3201</v>
      </c>
      <c r="G1386" s="589" t="s">
        <v>5267</v>
      </c>
      <c r="H1386" s="589" t="s">
        <v>4109</v>
      </c>
      <c r="I1386" s="589" t="s">
        <v>5268</v>
      </c>
      <c r="J1386" s="589" t="s">
        <v>5269</v>
      </c>
      <c r="K1386" s="588" t="s">
        <v>5191</v>
      </c>
      <c r="L1386" s="3">
        <v>280</v>
      </c>
      <c r="M1386" s="3"/>
      <c r="N1386" s="3">
        <v>280</v>
      </c>
      <c r="O1386" s="3">
        <v>0</v>
      </c>
      <c r="P1386" s="3" t="s">
        <v>1361</v>
      </c>
      <c r="Q1386" s="577">
        <v>369</v>
      </c>
      <c r="R1386" s="2"/>
      <c r="S1386" s="2"/>
      <c r="T1386" s="577">
        <v>369</v>
      </c>
      <c r="U1386" s="349">
        <v>0</v>
      </c>
      <c r="V1386" s="349">
        <v>0</v>
      </c>
      <c r="W1386" s="349"/>
      <c r="X1386" s="349"/>
      <c r="Y1386" s="349"/>
      <c r="Z1386" s="349">
        <v>0</v>
      </c>
      <c r="AA1386" s="437">
        <v>0</v>
      </c>
      <c r="AB1386" s="587">
        <v>0</v>
      </c>
      <c r="AC1386" s="596">
        <v>0</v>
      </c>
      <c r="AD1386" s="586"/>
      <c r="AE1386" s="585"/>
      <c r="AF1386" s="584"/>
      <c r="AG1386" s="583"/>
    </row>
    <row r="1387" spans="2:33" x14ac:dyDescent="0.25">
      <c r="B1387" s="3"/>
      <c r="C1387" s="589" t="s">
        <v>1368</v>
      </c>
      <c r="D1387" s="3" t="s">
        <v>1279</v>
      </c>
      <c r="E1387" s="431" t="s">
        <v>1401</v>
      </c>
      <c r="F1387" s="431" t="s">
        <v>3201</v>
      </c>
      <c r="G1387" s="589" t="s">
        <v>5270</v>
      </c>
      <c r="H1387" s="589" t="s">
        <v>4109</v>
      </c>
      <c r="I1387" s="589" t="s">
        <v>5271</v>
      </c>
      <c r="J1387" s="589" t="s">
        <v>5272</v>
      </c>
      <c r="K1387" s="588" t="s">
        <v>5192</v>
      </c>
      <c r="L1387" s="3">
        <v>280</v>
      </c>
      <c r="M1387" s="3"/>
      <c r="N1387" s="3">
        <v>280</v>
      </c>
      <c r="O1387" s="3">
        <v>0</v>
      </c>
      <c r="P1387" s="3" t="s">
        <v>1361</v>
      </c>
      <c r="Q1387" s="577">
        <v>369</v>
      </c>
      <c r="R1387" s="2"/>
      <c r="S1387" s="2"/>
      <c r="T1387" s="577">
        <v>369</v>
      </c>
      <c r="U1387" s="349">
        <v>0</v>
      </c>
      <c r="V1387" s="349">
        <v>0</v>
      </c>
      <c r="W1387" s="349"/>
      <c r="X1387" s="349"/>
      <c r="Y1387" s="349"/>
      <c r="Z1387" s="349">
        <v>0</v>
      </c>
      <c r="AA1387" s="437">
        <v>0</v>
      </c>
      <c r="AB1387" s="587">
        <v>0</v>
      </c>
      <c r="AC1387" s="596">
        <v>0</v>
      </c>
      <c r="AD1387" s="586"/>
      <c r="AE1387" s="585"/>
      <c r="AF1387" s="584"/>
      <c r="AG1387" s="583"/>
    </row>
    <row r="1388" spans="2:33" x14ac:dyDescent="0.25">
      <c r="B1388" s="3"/>
      <c r="C1388" s="589" t="s">
        <v>1368</v>
      </c>
      <c r="D1388" s="3" t="s">
        <v>1279</v>
      </c>
      <c r="E1388" s="431" t="s">
        <v>1402</v>
      </c>
      <c r="F1388" s="431" t="s">
        <v>3201</v>
      </c>
      <c r="G1388" s="589" t="s">
        <v>5273</v>
      </c>
      <c r="H1388" s="589" t="s">
        <v>4109</v>
      </c>
      <c r="I1388" s="589" t="s">
        <v>5274</v>
      </c>
      <c r="J1388" s="589" t="s">
        <v>5275</v>
      </c>
      <c r="K1388" s="588" t="s">
        <v>5193</v>
      </c>
      <c r="L1388" s="3">
        <v>50</v>
      </c>
      <c r="M1388" s="3"/>
      <c r="N1388" s="3">
        <v>50</v>
      </c>
      <c r="O1388" s="3">
        <v>0</v>
      </c>
      <c r="P1388" s="3" t="s">
        <v>1361</v>
      </c>
      <c r="Q1388" s="577">
        <v>66</v>
      </c>
      <c r="R1388" s="2"/>
      <c r="S1388" s="2"/>
      <c r="T1388" s="577">
        <v>66</v>
      </c>
      <c r="U1388" s="349">
        <v>0</v>
      </c>
      <c r="V1388" s="349">
        <v>0</v>
      </c>
      <c r="W1388" s="349"/>
      <c r="X1388" s="349"/>
      <c r="Y1388" s="349"/>
      <c r="Z1388" s="349">
        <v>0</v>
      </c>
      <c r="AA1388" s="437">
        <v>0</v>
      </c>
      <c r="AB1388" s="587">
        <v>0</v>
      </c>
      <c r="AC1388" s="596">
        <v>0</v>
      </c>
      <c r="AD1388" s="586"/>
      <c r="AE1388" s="585"/>
      <c r="AF1388" s="584"/>
      <c r="AG1388" s="583"/>
    </row>
    <row r="1389" spans="2:33" x14ac:dyDescent="0.25">
      <c r="B1389" s="592"/>
      <c r="C1389" s="589"/>
      <c r="D1389" s="3"/>
      <c r="E1389" s="431"/>
      <c r="F1389" s="431"/>
      <c r="G1389" s="589"/>
      <c r="H1389" s="589"/>
      <c r="I1389" s="589"/>
      <c r="J1389" s="589"/>
      <c r="K1389" s="588"/>
      <c r="L1389" s="3"/>
      <c r="M1389" s="3"/>
      <c r="N1389" s="3"/>
      <c r="O1389" s="3"/>
      <c r="P1389" s="3"/>
      <c r="Q1389" s="2"/>
      <c r="R1389" s="2"/>
      <c r="S1389" s="2"/>
      <c r="T1389" s="2"/>
      <c r="U1389" s="349"/>
      <c r="V1389" s="349"/>
      <c r="W1389" s="349"/>
      <c r="X1389" s="349"/>
      <c r="Y1389" s="349"/>
      <c r="Z1389" s="349"/>
      <c r="AA1389" s="437"/>
      <c r="AB1389" s="587"/>
      <c r="AC1389" s="348"/>
      <c r="AD1389" s="586"/>
      <c r="AE1389" s="585"/>
      <c r="AF1389" s="584"/>
      <c r="AG1389" s="583"/>
    </row>
    <row r="1390" spans="2:33" x14ac:dyDescent="0.25">
      <c r="B1390" s="592"/>
      <c r="C1390" s="589"/>
      <c r="D1390" s="3"/>
      <c r="E1390" s="431"/>
      <c r="F1390" s="431"/>
      <c r="G1390" s="589"/>
      <c r="H1390" s="589"/>
      <c r="I1390" s="589"/>
      <c r="J1390" s="589"/>
      <c r="K1390" s="588"/>
      <c r="L1390" s="3"/>
      <c r="M1390" s="3"/>
      <c r="N1390" s="3"/>
      <c r="O1390" s="3"/>
      <c r="P1390" s="3"/>
      <c r="Q1390" s="2"/>
      <c r="R1390" s="2"/>
      <c r="S1390" s="2"/>
      <c r="T1390" s="2"/>
      <c r="U1390" s="349"/>
      <c r="V1390" s="349"/>
      <c r="W1390" s="349"/>
      <c r="X1390" s="349"/>
      <c r="Y1390" s="349"/>
      <c r="Z1390" s="349"/>
      <c r="AA1390" s="437"/>
      <c r="AB1390" s="587"/>
      <c r="AC1390" s="348"/>
      <c r="AD1390" s="586"/>
      <c r="AE1390" s="585"/>
      <c r="AF1390" s="584"/>
      <c r="AG1390" s="583"/>
    </row>
    <row r="1391" spans="2:33" x14ac:dyDescent="0.25">
      <c r="B1391" s="592"/>
      <c r="C1391" s="558"/>
      <c r="D1391" s="3"/>
      <c r="E1391" s="444"/>
      <c r="F1391" s="444"/>
      <c r="G1391" s="558"/>
      <c r="H1391" s="558"/>
      <c r="I1391" s="558"/>
      <c r="J1391" s="558"/>
      <c r="K1391" s="559"/>
      <c r="L1391" s="3"/>
      <c r="M1391" s="3"/>
      <c r="N1391" s="3"/>
      <c r="O1391" s="387"/>
      <c r="P1391" s="3"/>
      <c r="Q1391" s="2"/>
      <c r="R1391" s="2"/>
      <c r="S1391" s="2"/>
      <c r="T1391" s="2"/>
      <c r="U1391" s="349"/>
      <c r="V1391" s="349"/>
      <c r="W1391" s="349"/>
      <c r="X1391" s="349"/>
      <c r="Y1391" s="349"/>
      <c r="Z1391" s="349"/>
      <c r="AA1391" s="437"/>
      <c r="AB1391" s="455"/>
      <c r="AC1391" s="467"/>
      <c r="AD1391" s="560"/>
      <c r="AE1391" s="564"/>
      <c r="AF1391" s="565"/>
      <c r="AG1391" s="566"/>
    </row>
    <row r="1392" spans="2:33" ht="26.25" x14ac:dyDescent="0.25">
      <c r="B1392" s="355" t="s">
        <v>6</v>
      </c>
      <c r="C1392" s="356" t="s">
        <v>7</v>
      </c>
      <c r="D1392" s="356" t="s">
        <v>18</v>
      </c>
      <c r="E1392" s="394" t="s">
        <v>1354</v>
      </c>
      <c r="F1392" s="537" t="s">
        <v>3199</v>
      </c>
      <c r="G1392" s="537" t="s">
        <v>3200</v>
      </c>
      <c r="H1392" s="537" t="s">
        <v>3202</v>
      </c>
      <c r="I1392" s="537" t="s">
        <v>1353</v>
      </c>
      <c r="J1392" s="537" t="s">
        <v>3425</v>
      </c>
      <c r="K1392" s="356" t="s">
        <v>8</v>
      </c>
      <c r="L1392" s="370"/>
      <c r="M1392" s="370"/>
      <c r="N1392" s="370"/>
      <c r="O1392" s="370"/>
      <c r="P1392" s="370"/>
      <c r="Q1392" s="371"/>
      <c r="R1392" s="371"/>
      <c r="S1392" s="371"/>
      <c r="T1392" s="371"/>
      <c r="U1392" s="372" t="s">
        <v>434</v>
      </c>
      <c r="V1392" s="373" t="s">
        <v>435</v>
      </c>
      <c r="W1392" s="373" t="s">
        <v>17</v>
      </c>
      <c r="X1392" s="373"/>
      <c r="Y1392" s="373"/>
      <c r="Z1392" s="373"/>
      <c r="AA1392" s="374"/>
      <c r="AB1392" s="371"/>
      <c r="AC1392" s="371"/>
      <c r="AD1392" s="380"/>
      <c r="AE1392" s="381"/>
      <c r="AF1392" s="493"/>
      <c r="AG1392" s="512"/>
    </row>
    <row r="1393" spans="2:33" x14ac:dyDescent="0.25">
      <c r="B1393" s="375"/>
      <c r="C1393" s="376"/>
      <c r="D1393" s="376"/>
      <c r="E1393" s="376"/>
      <c r="F1393" s="376"/>
      <c r="G1393" s="376"/>
      <c r="H1393" s="376"/>
      <c r="I1393" s="376"/>
      <c r="J1393" s="376"/>
      <c r="K1393" s="376" t="s">
        <v>1362</v>
      </c>
      <c r="L1393" s="376">
        <f>SUM(L1394:L1403)</f>
        <v>0</v>
      </c>
      <c r="M1393" s="376"/>
      <c r="N1393" s="376">
        <f>SUM(N1394:N1403)</f>
        <v>0</v>
      </c>
      <c r="O1393" s="376">
        <f>SUM(O1394:O1403)</f>
        <v>0</v>
      </c>
      <c r="P1393" s="376"/>
      <c r="Q1393" s="377">
        <f>SUM(Q1394:Q1403)</f>
        <v>0</v>
      </c>
      <c r="R1393" s="377">
        <f>SUM(R1394:R1403)</f>
        <v>0</v>
      </c>
      <c r="S1393" s="377">
        <f>SUM(S1394:S1403)</f>
        <v>0</v>
      </c>
      <c r="T1393" s="377">
        <f>SUM(T1394:T1403)</f>
        <v>0</v>
      </c>
      <c r="U1393" s="368">
        <v>0.9</v>
      </c>
      <c r="V1393" s="368">
        <v>0.05</v>
      </c>
      <c r="W1393" s="368">
        <v>0.05</v>
      </c>
      <c r="X1393" s="368">
        <v>0</v>
      </c>
      <c r="Y1393" s="368">
        <v>0</v>
      </c>
      <c r="Z1393" s="368">
        <v>0</v>
      </c>
      <c r="AA1393" s="468">
        <f>IF(T1393,AB1393/T1393,0)</f>
        <v>0</v>
      </c>
      <c r="AB1393" s="377">
        <f>SUM(AB1394:AB1403)</f>
        <v>0</v>
      </c>
      <c r="AC1393" s="377">
        <f>SUM(AC1394:AC1403)</f>
        <v>0</v>
      </c>
      <c r="AD1393" s="382"/>
      <c r="AE1393" s="383"/>
      <c r="AF1393" s="494"/>
      <c r="AG1393" s="513"/>
    </row>
    <row r="1394" spans="2:33" x14ac:dyDescent="0.25">
      <c r="B1394" s="430" t="s">
        <v>1743</v>
      </c>
      <c r="C1394" s="431" t="s">
        <v>1368</v>
      </c>
      <c r="D1394" s="3" t="s">
        <v>436</v>
      </c>
      <c r="E1394" s="431" t="s">
        <v>3204</v>
      </c>
      <c r="F1394" s="444" t="s">
        <v>3201</v>
      </c>
      <c r="G1394" s="431" t="s">
        <v>4432</v>
      </c>
      <c r="H1394" s="444" t="s">
        <v>4110</v>
      </c>
      <c r="I1394" s="431" t="s">
        <v>4253</v>
      </c>
      <c r="J1394" s="431" t="s">
        <v>4203</v>
      </c>
      <c r="K1394" s="387" t="s">
        <v>4079</v>
      </c>
      <c r="L1394" s="3">
        <v>0</v>
      </c>
      <c r="M1394" s="3"/>
      <c r="N1394" s="3">
        <v>0</v>
      </c>
      <c r="O1394" s="3"/>
      <c r="P1394" s="3" t="s">
        <v>1361</v>
      </c>
      <c r="Q1394" s="2">
        <v>0</v>
      </c>
      <c r="R1394" s="2"/>
      <c r="S1394" s="2">
        <v>0</v>
      </c>
      <c r="T1394" s="2">
        <v>0</v>
      </c>
      <c r="U1394" s="349">
        <v>0</v>
      </c>
      <c r="V1394" s="349">
        <v>0</v>
      </c>
      <c r="W1394" s="349">
        <v>0</v>
      </c>
      <c r="X1394" s="349"/>
      <c r="Y1394" s="349"/>
      <c r="Z1394" s="349"/>
      <c r="AA1394" s="350">
        <f>IF(T1394,AB1394/T1394,0)</f>
        <v>0</v>
      </c>
      <c r="AB1394" s="348">
        <f>(U1394*U$1393*T1394)+(V1394*V$1393*T1394)+(W1394*W$1393*T1394)+(Y1394*Y$1393*T1394)+(X1394*X$1393*T1394)+(Z1394*Z$1393*T1394)</f>
        <v>0</v>
      </c>
      <c r="AC1394" s="348">
        <v>0</v>
      </c>
      <c r="AD1394" s="2"/>
      <c r="AE1394" s="4"/>
      <c r="AF1394" s="495"/>
      <c r="AG1394" s="511"/>
    </row>
    <row r="1395" spans="2:33" x14ac:dyDescent="0.25">
      <c r="B1395" s="430" t="s">
        <v>1744</v>
      </c>
      <c r="C1395" s="431" t="s">
        <v>1368</v>
      </c>
      <c r="D1395" s="3" t="s">
        <v>436</v>
      </c>
      <c r="E1395" s="431" t="s">
        <v>3205</v>
      </c>
      <c r="F1395" s="444" t="s">
        <v>3201</v>
      </c>
      <c r="G1395" s="431" t="s">
        <v>4433</v>
      </c>
      <c r="H1395" s="444" t="s">
        <v>4109</v>
      </c>
      <c r="I1395" s="431" t="s">
        <v>4254</v>
      </c>
      <c r="J1395" s="431" t="s">
        <v>4204</v>
      </c>
      <c r="K1395" s="387" t="s">
        <v>4080</v>
      </c>
      <c r="L1395" s="3">
        <v>0</v>
      </c>
      <c r="M1395" s="3"/>
      <c r="N1395" s="3">
        <v>0</v>
      </c>
      <c r="O1395" s="3"/>
      <c r="P1395" s="3" t="s">
        <v>1361</v>
      </c>
      <c r="Q1395" s="2">
        <v>0</v>
      </c>
      <c r="R1395" s="2"/>
      <c r="S1395" s="2">
        <v>0</v>
      </c>
      <c r="T1395" s="2">
        <f t="shared" ref="T1395:T1403" si="213">Q1395+S1395</f>
        <v>0</v>
      </c>
      <c r="U1395" s="349">
        <v>0</v>
      </c>
      <c r="V1395" s="349">
        <v>0</v>
      </c>
      <c r="W1395" s="349">
        <v>0</v>
      </c>
      <c r="X1395" s="349"/>
      <c r="Y1395" s="349"/>
      <c r="Z1395" s="349"/>
      <c r="AA1395" s="350">
        <f t="shared" ref="AA1395:AA1403" si="214">IF(T1395,AB1395/T1395,0)</f>
        <v>0</v>
      </c>
      <c r="AB1395" s="348">
        <f t="shared" ref="AB1395:AB1403" si="215">(U1395*U$1393*T1395)+(V1395*V$1393*T1395)+(W1395*W$1393*T1395)+(Y1395*Y$1393*T1395)+(X1395*X$1393*T1395)+(Z1395*Z$1393*T1395)</f>
        <v>0</v>
      </c>
      <c r="AC1395" s="348">
        <v>0</v>
      </c>
      <c r="AD1395" s="2"/>
      <c r="AE1395" s="4"/>
      <c r="AF1395" s="495"/>
      <c r="AG1395" s="511"/>
    </row>
    <row r="1396" spans="2:33" x14ac:dyDescent="0.25">
      <c r="B1396" s="430" t="s">
        <v>1745</v>
      </c>
      <c r="C1396" s="431" t="s">
        <v>1368</v>
      </c>
      <c r="D1396" s="3" t="s">
        <v>436</v>
      </c>
      <c r="E1396" s="431" t="s">
        <v>3206</v>
      </c>
      <c r="F1396" s="444" t="s">
        <v>3201</v>
      </c>
      <c r="G1396" s="431" t="s">
        <v>4434</v>
      </c>
      <c r="H1396" s="444" t="s">
        <v>4110</v>
      </c>
      <c r="I1396" s="431" t="s">
        <v>4255</v>
      </c>
      <c r="J1396" s="431" t="s">
        <v>4205</v>
      </c>
      <c r="K1396" s="387" t="s">
        <v>4081</v>
      </c>
      <c r="L1396" s="3">
        <v>0</v>
      </c>
      <c r="M1396" s="3"/>
      <c r="N1396" s="3">
        <v>0</v>
      </c>
      <c r="O1396" s="3"/>
      <c r="P1396" s="3" t="s">
        <v>1361</v>
      </c>
      <c r="Q1396" s="2">
        <v>0</v>
      </c>
      <c r="R1396" s="2"/>
      <c r="S1396" s="2">
        <v>0</v>
      </c>
      <c r="T1396" s="2">
        <f t="shared" si="213"/>
        <v>0</v>
      </c>
      <c r="U1396" s="349">
        <v>0</v>
      </c>
      <c r="V1396" s="349">
        <v>0</v>
      </c>
      <c r="W1396" s="349">
        <v>0</v>
      </c>
      <c r="X1396" s="349"/>
      <c r="Y1396" s="349"/>
      <c r="Z1396" s="349"/>
      <c r="AA1396" s="350">
        <f t="shared" si="214"/>
        <v>0</v>
      </c>
      <c r="AB1396" s="348">
        <f t="shared" si="215"/>
        <v>0</v>
      </c>
      <c r="AC1396" s="348">
        <v>0</v>
      </c>
      <c r="AD1396" s="2"/>
      <c r="AE1396" s="4"/>
      <c r="AF1396" s="495"/>
      <c r="AG1396" s="511"/>
    </row>
    <row r="1397" spans="2:33" x14ac:dyDescent="0.25">
      <c r="B1397" s="430" t="s">
        <v>1746</v>
      </c>
      <c r="C1397" s="431" t="s">
        <v>1368</v>
      </c>
      <c r="D1397" s="3" t="s">
        <v>436</v>
      </c>
      <c r="E1397" s="431" t="s">
        <v>3207</v>
      </c>
      <c r="F1397" s="444" t="s">
        <v>3201</v>
      </c>
      <c r="G1397" s="431" t="s">
        <v>4435</v>
      </c>
      <c r="H1397" s="444" t="s">
        <v>4110</v>
      </c>
      <c r="I1397" s="431" t="s">
        <v>4256</v>
      </c>
      <c r="J1397" s="431" t="s">
        <v>4206</v>
      </c>
      <c r="K1397" s="387" t="s">
        <v>4082</v>
      </c>
      <c r="L1397" s="3">
        <v>0</v>
      </c>
      <c r="M1397" s="3"/>
      <c r="N1397" s="3">
        <v>0</v>
      </c>
      <c r="O1397" s="3"/>
      <c r="P1397" s="3" t="s">
        <v>1361</v>
      </c>
      <c r="Q1397" s="2">
        <v>0</v>
      </c>
      <c r="R1397" s="2"/>
      <c r="S1397" s="2">
        <v>0</v>
      </c>
      <c r="T1397" s="2">
        <f t="shared" si="213"/>
        <v>0</v>
      </c>
      <c r="U1397" s="349">
        <v>0</v>
      </c>
      <c r="V1397" s="349">
        <v>0</v>
      </c>
      <c r="W1397" s="349">
        <v>0</v>
      </c>
      <c r="X1397" s="349"/>
      <c r="Y1397" s="349"/>
      <c r="Z1397" s="349"/>
      <c r="AA1397" s="350">
        <f t="shared" si="214"/>
        <v>0</v>
      </c>
      <c r="AB1397" s="348">
        <f t="shared" si="215"/>
        <v>0</v>
      </c>
      <c r="AC1397" s="348">
        <v>0</v>
      </c>
      <c r="AD1397" s="2"/>
      <c r="AE1397" s="4"/>
      <c r="AF1397" s="495"/>
      <c r="AG1397" s="511"/>
    </row>
    <row r="1398" spans="2:33" x14ac:dyDescent="0.25">
      <c r="B1398" s="430" t="s">
        <v>1747</v>
      </c>
      <c r="C1398" s="431" t="s">
        <v>1368</v>
      </c>
      <c r="D1398" s="3" t="s">
        <v>436</v>
      </c>
      <c r="E1398" s="431" t="s">
        <v>3208</v>
      </c>
      <c r="F1398" s="444" t="s">
        <v>3201</v>
      </c>
      <c r="G1398" s="431" t="s">
        <v>4436</v>
      </c>
      <c r="H1398" s="444" t="s">
        <v>4110</v>
      </c>
      <c r="I1398" s="431" t="s">
        <v>4257</v>
      </c>
      <c r="J1398" s="431" t="s">
        <v>4207</v>
      </c>
      <c r="K1398" s="387" t="s">
        <v>4083</v>
      </c>
      <c r="L1398" s="3">
        <v>0</v>
      </c>
      <c r="M1398" s="3"/>
      <c r="N1398" s="3">
        <v>0</v>
      </c>
      <c r="O1398" s="3"/>
      <c r="P1398" s="3" t="s">
        <v>1361</v>
      </c>
      <c r="Q1398" s="2">
        <v>0</v>
      </c>
      <c r="R1398" s="2"/>
      <c r="S1398" s="2">
        <v>0</v>
      </c>
      <c r="T1398" s="2">
        <f t="shared" si="213"/>
        <v>0</v>
      </c>
      <c r="U1398" s="349">
        <v>0</v>
      </c>
      <c r="V1398" s="349">
        <v>0</v>
      </c>
      <c r="W1398" s="349">
        <v>0</v>
      </c>
      <c r="X1398" s="349"/>
      <c r="Y1398" s="349"/>
      <c r="Z1398" s="349"/>
      <c r="AA1398" s="350">
        <f t="shared" si="214"/>
        <v>0</v>
      </c>
      <c r="AB1398" s="348">
        <f t="shared" si="215"/>
        <v>0</v>
      </c>
      <c r="AC1398" s="348">
        <v>0</v>
      </c>
      <c r="AD1398" s="2"/>
      <c r="AE1398" s="4"/>
      <c r="AF1398" s="495"/>
      <c r="AG1398" s="511"/>
    </row>
    <row r="1399" spans="2:33" x14ac:dyDescent="0.25">
      <c r="B1399" s="430" t="s">
        <v>1748</v>
      </c>
      <c r="C1399" s="431" t="s">
        <v>1368</v>
      </c>
      <c r="D1399" s="3" t="s">
        <v>436</v>
      </c>
      <c r="E1399" s="431" t="s">
        <v>3209</v>
      </c>
      <c r="F1399" s="444" t="s">
        <v>3201</v>
      </c>
      <c r="G1399" s="431" t="s">
        <v>4437</v>
      </c>
      <c r="H1399" s="444" t="s">
        <v>4110</v>
      </c>
      <c r="I1399" s="431" t="s">
        <v>4258</v>
      </c>
      <c r="J1399" s="431" t="s">
        <v>4208</v>
      </c>
      <c r="K1399" s="387" t="s">
        <v>4084</v>
      </c>
      <c r="L1399" s="3">
        <v>0</v>
      </c>
      <c r="M1399" s="3"/>
      <c r="N1399" s="3">
        <v>0</v>
      </c>
      <c r="O1399" s="3"/>
      <c r="P1399" s="3" t="s">
        <v>1361</v>
      </c>
      <c r="Q1399" s="2">
        <v>0</v>
      </c>
      <c r="R1399" s="2"/>
      <c r="S1399" s="2">
        <v>0</v>
      </c>
      <c r="T1399" s="2">
        <f t="shared" si="213"/>
        <v>0</v>
      </c>
      <c r="U1399" s="349">
        <v>0</v>
      </c>
      <c r="V1399" s="349">
        <v>0</v>
      </c>
      <c r="W1399" s="349">
        <v>0</v>
      </c>
      <c r="X1399" s="349"/>
      <c r="Y1399" s="349"/>
      <c r="Z1399" s="349"/>
      <c r="AA1399" s="350">
        <f t="shared" si="214"/>
        <v>0</v>
      </c>
      <c r="AB1399" s="348">
        <f t="shared" si="215"/>
        <v>0</v>
      </c>
      <c r="AC1399" s="348">
        <v>0</v>
      </c>
      <c r="AD1399" s="2"/>
      <c r="AE1399" s="4"/>
      <c r="AF1399" s="495"/>
      <c r="AG1399" s="511"/>
    </row>
    <row r="1400" spans="2:33" x14ac:dyDescent="0.25">
      <c r="B1400" s="430" t="s">
        <v>1749</v>
      </c>
      <c r="C1400" s="431" t="s">
        <v>1368</v>
      </c>
      <c r="D1400" s="3" t="s">
        <v>436</v>
      </c>
      <c r="E1400" s="431" t="s">
        <v>3210</v>
      </c>
      <c r="F1400" s="444" t="s">
        <v>3201</v>
      </c>
      <c r="G1400" s="431" t="s">
        <v>4438</v>
      </c>
      <c r="H1400" s="444" t="s">
        <v>4109</v>
      </c>
      <c r="I1400" s="431" t="s">
        <v>4259</v>
      </c>
      <c r="J1400" s="431" t="s">
        <v>4209</v>
      </c>
      <c r="K1400" s="387" t="s">
        <v>4085</v>
      </c>
      <c r="L1400" s="3">
        <v>0</v>
      </c>
      <c r="M1400" s="3"/>
      <c r="N1400" s="3">
        <v>0</v>
      </c>
      <c r="O1400" s="3"/>
      <c r="P1400" s="3" t="s">
        <v>1361</v>
      </c>
      <c r="Q1400" s="2">
        <v>0</v>
      </c>
      <c r="R1400" s="2"/>
      <c r="S1400" s="2">
        <v>0</v>
      </c>
      <c r="T1400" s="2">
        <f t="shared" si="213"/>
        <v>0</v>
      </c>
      <c r="U1400" s="349">
        <v>0</v>
      </c>
      <c r="V1400" s="349">
        <v>0</v>
      </c>
      <c r="W1400" s="349">
        <v>0</v>
      </c>
      <c r="X1400" s="349"/>
      <c r="Y1400" s="349"/>
      <c r="Z1400" s="349"/>
      <c r="AA1400" s="350">
        <f t="shared" si="214"/>
        <v>0</v>
      </c>
      <c r="AB1400" s="348">
        <f t="shared" si="215"/>
        <v>0</v>
      </c>
      <c r="AC1400" s="348">
        <v>0</v>
      </c>
      <c r="AD1400" s="2"/>
      <c r="AE1400" s="4"/>
      <c r="AF1400" s="495"/>
      <c r="AG1400" s="511"/>
    </row>
    <row r="1401" spans="2:33" x14ac:dyDescent="0.25">
      <c r="B1401" s="430" t="s">
        <v>1750</v>
      </c>
      <c r="C1401" s="431" t="s">
        <v>1368</v>
      </c>
      <c r="D1401" s="3" t="s">
        <v>436</v>
      </c>
      <c r="E1401" s="431" t="s">
        <v>3211</v>
      </c>
      <c r="F1401" s="444" t="s">
        <v>3201</v>
      </c>
      <c r="G1401" s="431" t="s">
        <v>4439</v>
      </c>
      <c r="H1401" s="444" t="s">
        <v>4110</v>
      </c>
      <c r="I1401" s="431" t="s">
        <v>4260</v>
      </c>
      <c r="J1401" s="431" t="s">
        <v>4210</v>
      </c>
      <c r="K1401" s="387" t="s">
        <v>4086</v>
      </c>
      <c r="L1401" s="3">
        <v>0</v>
      </c>
      <c r="M1401" s="3"/>
      <c r="N1401" s="3">
        <v>0</v>
      </c>
      <c r="O1401" s="3"/>
      <c r="P1401" s="3" t="s">
        <v>1361</v>
      </c>
      <c r="Q1401" s="2">
        <v>0</v>
      </c>
      <c r="R1401" s="2"/>
      <c r="S1401" s="2">
        <v>0</v>
      </c>
      <c r="T1401" s="2">
        <f t="shared" si="213"/>
        <v>0</v>
      </c>
      <c r="U1401" s="349">
        <v>0</v>
      </c>
      <c r="V1401" s="349">
        <v>0</v>
      </c>
      <c r="W1401" s="349">
        <v>0</v>
      </c>
      <c r="X1401" s="349"/>
      <c r="Y1401" s="349"/>
      <c r="Z1401" s="349"/>
      <c r="AA1401" s="350">
        <f t="shared" si="214"/>
        <v>0</v>
      </c>
      <c r="AB1401" s="348">
        <f t="shared" si="215"/>
        <v>0</v>
      </c>
      <c r="AC1401" s="348">
        <v>0</v>
      </c>
      <c r="AD1401" s="2"/>
      <c r="AE1401" s="4"/>
      <c r="AF1401" s="495"/>
      <c r="AG1401" s="511"/>
    </row>
    <row r="1402" spans="2:33" x14ac:dyDescent="0.25">
      <c r="B1402" s="430" t="s">
        <v>1751</v>
      </c>
      <c r="C1402" s="431" t="s">
        <v>1368</v>
      </c>
      <c r="D1402" s="3" t="s">
        <v>436</v>
      </c>
      <c r="E1402" s="431" t="s">
        <v>3212</v>
      </c>
      <c r="F1402" s="444" t="s">
        <v>3201</v>
      </c>
      <c r="G1402" s="431" t="s">
        <v>4440</v>
      </c>
      <c r="H1402" s="444" t="s">
        <v>4110</v>
      </c>
      <c r="I1402" s="431" t="s">
        <v>4261</v>
      </c>
      <c r="J1402" s="431" t="s">
        <v>4211</v>
      </c>
      <c r="K1402" s="387" t="s">
        <v>4087</v>
      </c>
      <c r="L1402" s="3">
        <v>0</v>
      </c>
      <c r="M1402" s="3"/>
      <c r="N1402" s="3">
        <v>0</v>
      </c>
      <c r="O1402" s="3"/>
      <c r="P1402" s="3" t="s">
        <v>1361</v>
      </c>
      <c r="Q1402" s="2">
        <v>0</v>
      </c>
      <c r="R1402" s="2"/>
      <c r="S1402" s="2">
        <v>0</v>
      </c>
      <c r="T1402" s="2">
        <f t="shared" si="213"/>
        <v>0</v>
      </c>
      <c r="U1402" s="349">
        <v>0</v>
      </c>
      <c r="V1402" s="349">
        <v>0</v>
      </c>
      <c r="W1402" s="349">
        <v>0</v>
      </c>
      <c r="X1402" s="349"/>
      <c r="Y1402" s="349"/>
      <c r="Z1402" s="349"/>
      <c r="AA1402" s="350">
        <f t="shared" si="214"/>
        <v>0</v>
      </c>
      <c r="AB1402" s="348">
        <f t="shared" si="215"/>
        <v>0</v>
      </c>
      <c r="AC1402" s="348">
        <v>0</v>
      </c>
      <c r="AD1402" s="2"/>
      <c r="AE1402" s="4"/>
      <c r="AF1402" s="495"/>
      <c r="AG1402" s="511"/>
    </row>
    <row r="1403" spans="2:33" x14ac:dyDescent="0.25">
      <c r="B1403" s="430" t="s">
        <v>1752</v>
      </c>
      <c r="C1403" s="431" t="s">
        <v>1368</v>
      </c>
      <c r="D1403" s="3" t="s">
        <v>436</v>
      </c>
      <c r="E1403" s="431" t="s">
        <v>3213</v>
      </c>
      <c r="F1403" s="444" t="s">
        <v>3201</v>
      </c>
      <c r="G1403" s="431" t="s">
        <v>4441</v>
      </c>
      <c r="H1403" s="444" t="s">
        <v>4110</v>
      </c>
      <c r="I1403" s="431" t="s">
        <v>4262</v>
      </c>
      <c r="J1403" s="431" t="s">
        <v>4212</v>
      </c>
      <c r="K1403" s="387" t="s">
        <v>4088</v>
      </c>
      <c r="L1403" s="3">
        <v>0</v>
      </c>
      <c r="M1403" s="3"/>
      <c r="N1403" s="3">
        <v>0</v>
      </c>
      <c r="O1403" s="3"/>
      <c r="P1403" s="3" t="s">
        <v>1361</v>
      </c>
      <c r="Q1403" s="2">
        <v>0</v>
      </c>
      <c r="R1403" s="2"/>
      <c r="S1403" s="2">
        <v>0</v>
      </c>
      <c r="T1403" s="2">
        <f t="shared" si="213"/>
        <v>0</v>
      </c>
      <c r="U1403" s="349">
        <v>0</v>
      </c>
      <c r="V1403" s="349">
        <v>0</v>
      </c>
      <c r="W1403" s="349">
        <v>0</v>
      </c>
      <c r="X1403" s="349"/>
      <c r="Y1403" s="349"/>
      <c r="Z1403" s="349"/>
      <c r="AA1403" s="350">
        <f t="shared" si="214"/>
        <v>0</v>
      </c>
      <c r="AB1403" s="348">
        <f t="shared" si="215"/>
        <v>0</v>
      </c>
      <c r="AC1403" s="348">
        <v>0</v>
      </c>
      <c r="AD1403" s="2"/>
      <c r="AE1403" s="4"/>
      <c r="AF1403" s="495"/>
      <c r="AG1403" s="511"/>
    </row>
    <row r="1404" spans="2:33" ht="51.75" x14ac:dyDescent="0.25">
      <c r="B1404" s="355" t="s">
        <v>6</v>
      </c>
      <c r="C1404" s="356" t="s">
        <v>7</v>
      </c>
      <c r="D1404" s="356" t="s">
        <v>18</v>
      </c>
      <c r="E1404" s="394" t="s">
        <v>1354</v>
      </c>
      <c r="F1404" s="537" t="s">
        <v>3199</v>
      </c>
      <c r="G1404" s="537" t="s">
        <v>3200</v>
      </c>
      <c r="H1404" s="537" t="s">
        <v>3202</v>
      </c>
      <c r="I1404" s="537" t="s">
        <v>1353</v>
      </c>
      <c r="J1404" s="537" t="s">
        <v>3425</v>
      </c>
      <c r="K1404" s="356" t="s">
        <v>8</v>
      </c>
      <c r="L1404" s="370"/>
      <c r="M1404" s="370"/>
      <c r="N1404" s="370"/>
      <c r="O1404" s="370"/>
      <c r="P1404" s="370"/>
      <c r="Q1404" s="371"/>
      <c r="R1404" s="371"/>
      <c r="S1404" s="371"/>
      <c r="T1404" s="371"/>
      <c r="U1404" s="372" t="s">
        <v>103</v>
      </c>
      <c r="V1404" s="373"/>
      <c r="W1404" s="373" t="s">
        <v>389</v>
      </c>
      <c r="X1404" s="373" t="s">
        <v>390</v>
      </c>
      <c r="Y1404" s="373" t="s">
        <v>391</v>
      </c>
      <c r="Z1404" s="373"/>
      <c r="AA1404" s="374"/>
      <c r="AB1404" s="371"/>
      <c r="AC1404" s="371"/>
      <c r="AD1404" s="380"/>
      <c r="AE1404" s="381"/>
      <c r="AF1404" s="493"/>
      <c r="AG1404" s="512"/>
    </row>
    <row r="1405" spans="2:33" x14ac:dyDescent="0.25">
      <c r="B1405" s="375"/>
      <c r="C1405" s="376"/>
      <c r="D1405" s="376"/>
      <c r="E1405" s="376"/>
      <c r="F1405" s="376"/>
      <c r="G1405" s="376"/>
      <c r="H1405" s="376"/>
      <c r="I1405" s="376"/>
      <c r="J1405" s="376"/>
      <c r="K1405" s="376" t="s">
        <v>1497</v>
      </c>
      <c r="L1405" s="376">
        <f>SUM(L1406:L1452)</f>
        <v>21194</v>
      </c>
      <c r="M1405" s="376"/>
      <c r="N1405" s="376">
        <f>SUM(N1406:N1452)</f>
        <v>23151</v>
      </c>
      <c r="O1405" s="376">
        <f>SUM(O1406:O1452)</f>
        <v>4610</v>
      </c>
      <c r="P1405" s="376"/>
      <c r="Q1405" s="376">
        <f>SUM(Q1406:Q1452)</f>
        <v>30512</v>
      </c>
      <c r="R1405" s="376">
        <f>SUM(R1406:R1452)</f>
        <v>0</v>
      </c>
      <c r="S1405" s="376">
        <f>SUM(S1406:S1452)</f>
        <v>0</v>
      </c>
      <c r="T1405" s="376">
        <f>SUM(T1406:T1452)</f>
        <v>30512</v>
      </c>
      <c r="U1405" s="368">
        <v>0.05</v>
      </c>
      <c r="V1405" s="368">
        <v>0</v>
      </c>
      <c r="W1405" s="368">
        <v>0.9</v>
      </c>
      <c r="X1405" s="368">
        <v>0</v>
      </c>
      <c r="Y1405" s="368">
        <v>0.05</v>
      </c>
      <c r="Z1405" s="368">
        <v>0</v>
      </c>
      <c r="AA1405" s="468">
        <f>IF(T1405,AB1405/T1405,0)</f>
        <v>0.23639879391714735</v>
      </c>
      <c r="AB1405" s="376">
        <f>SUM(AB1406:AB1452)</f>
        <v>7213</v>
      </c>
      <c r="AC1405" s="376">
        <f>SUM(AC1406:AC1452)</f>
        <v>2748</v>
      </c>
      <c r="AD1405" s="382"/>
      <c r="AE1405" s="383"/>
      <c r="AF1405" s="494"/>
      <c r="AG1405" s="513"/>
    </row>
    <row r="1406" spans="2:33" x14ac:dyDescent="0.25">
      <c r="B1406" s="430" t="s">
        <v>1753</v>
      </c>
      <c r="C1406" s="431" t="s">
        <v>1368</v>
      </c>
      <c r="D1406" s="3" t="s">
        <v>1259</v>
      </c>
      <c r="E1406" s="431" t="s">
        <v>3204</v>
      </c>
      <c r="F1406" s="444" t="s">
        <v>3201</v>
      </c>
      <c r="G1406" s="431" t="s">
        <v>4422</v>
      </c>
      <c r="H1406" s="444" t="s">
        <v>4110</v>
      </c>
      <c r="I1406" s="431" t="s">
        <v>4243</v>
      </c>
      <c r="J1406" s="431" t="s">
        <v>4213</v>
      </c>
      <c r="K1406" s="387" t="s">
        <v>4089</v>
      </c>
      <c r="L1406" s="572">
        <v>92</v>
      </c>
      <c r="M1406" s="3">
        <v>0</v>
      </c>
      <c r="N1406" s="3">
        <v>92</v>
      </c>
      <c r="O1406" s="3">
        <v>0</v>
      </c>
      <c r="P1406" s="3" t="s">
        <v>1361</v>
      </c>
      <c r="Q1406" s="2">
        <v>121</v>
      </c>
      <c r="R1406" s="3"/>
      <c r="S1406" s="2">
        <v>0</v>
      </c>
      <c r="T1406" s="2">
        <v>121</v>
      </c>
      <c r="U1406" s="349">
        <v>0</v>
      </c>
      <c r="V1406" s="349"/>
      <c r="W1406" s="349">
        <v>0</v>
      </c>
      <c r="X1406" s="349"/>
      <c r="Y1406" s="349">
        <v>0</v>
      </c>
      <c r="Z1406" s="349"/>
      <c r="AA1406" s="350">
        <v>0</v>
      </c>
      <c r="AB1406" s="348">
        <v>0</v>
      </c>
      <c r="AC1406" s="348">
        <v>0</v>
      </c>
      <c r="AD1406" s="2"/>
      <c r="AE1406" s="4"/>
      <c r="AF1406" s="495"/>
      <c r="AG1406" s="511"/>
    </row>
    <row r="1407" spans="2:33" x14ac:dyDescent="0.25">
      <c r="B1407" s="430" t="s">
        <v>1754</v>
      </c>
      <c r="C1407" s="431" t="s">
        <v>1368</v>
      </c>
      <c r="D1407" s="3" t="s">
        <v>1259</v>
      </c>
      <c r="E1407" s="431" t="s">
        <v>3205</v>
      </c>
      <c r="F1407" s="444" t="s">
        <v>3201</v>
      </c>
      <c r="G1407" s="431" t="s">
        <v>4423</v>
      </c>
      <c r="H1407" s="444" t="s">
        <v>4109</v>
      </c>
      <c r="I1407" s="431" t="s">
        <v>4244</v>
      </c>
      <c r="J1407" s="431" t="s">
        <v>4214</v>
      </c>
      <c r="K1407" s="387" t="s">
        <v>4090</v>
      </c>
      <c r="L1407" s="577">
        <v>343</v>
      </c>
      <c r="M1407" s="3">
        <v>0</v>
      </c>
      <c r="N1407" s="3">
        <v>343</v>
      </c>
      <c r="O1407" s="3">
        <v>243</v>
      </c>
      <c r="P1407" s="3" t="s">
        <v>1361</v>
      </c>
      <c r="Q1407" s="2">
        <v>452</v>
      </c>
      <c r="R1407" s="3"/>
      <c r="S1407" s="2">
        <v>0</v>
      </c>
      <c r="T1407" s="2">
        <v>452</v>
      </c>
      <c r="U1407" s="349">
        <v>1</v>
      </c>
      <c r="V1407" s="349"/>
      <c r="W1407" s="349">
        <v>0.69</v>
      </c>
      <c r="X1407" s="349"/>
      <c r="Y1407" s="349">
        <v>0</v>
      </c>
      <c r="Z1407" s="349"/>
      <c r="AA1407" s="350">
        <v>0.67100000000000004</v>
      </c>
      <c r="AB1407" s="348">
        <v>303</v>
      </c>
      <c r="AC1407" s="348">
        <v>250</v>
      </c>
      <c r="AD1407" s="2"/>
      <c r="AE1407" s="4"/>
      <c r="AF1407" s="495"/>
      <c r="AG1407" s="511"/>
    </row>
    <row r="1408" spans="2:33" x14ac:dyDescent="0.25">
      <c r="B1408" s="430" t="s">
        <v>1755</v>
      </c>
      <c r="C1408" s="431" t="s">
        <v>1368</v>
      </c>
      <c r="D1408" s="3" t="s">
        <v>1259</v>
      </c>
      <c r="E1408" s="431" t="s">
        <v>3206</v>
      </c>
      <c r="F1408" s="444" t="s">
        <v>3201</v>
      </c>
      <c r="G1408" s="431" t="s">
        <v>4424</v>
      </c>
      <c r="H1408" s="444" t="s">
        <v>4110</v>
      </c>
      <c r="I1408" s="431" t="s">
        <v>4245</v>
      </c>
      <c r="J1408" s="431" t="s">
        <v>4215</v>
      </c>
      <c r="K1408" s="387" t="s">
        <v>4091</v>
      </c>
      <c r="L1408" s="577">
        <v>92</v>
      </c>
      <c r="M1408" s="3">
        <v>0</v>
      </c>
      <c r="N1408" s="3">
        <v>92</v>
      </c>
      <c r="O1408" s="3">
        <v>92</v>
      </c>
      <c r="P1408" s="3" t="s">
        <v>1361</v>
      </c>
      <c r="Q1408" s="2">
        <v>121</v>
      </c>
      <c r="R1408" s="3"/>
      <c r="S1408" s="2">
        <v>0</v>
      </c>
      <c r="T1408" s="2">
        <v>121</v>
      </c>
      <c r="U1408" s="349">
        <v>1</v>
      </c>
      <c r="V1408" s="349"/>
      <c r="W1408" s="349">
        <v>1</v>
      </c>
      <c r="X1408" s="349"/>
      <c r="Y1408" s="349">
        <v>0</v>
      </c>
      <c r="Z1408" s="349"/>
      <c r="AA1408" s="350">
        <v>0.95</v>
      </c>
      <c r="AB1408" s="348">
        <v>115</v>
      </c>
      <c r="AC1408" s="348">
        <v>46</v>
      </c>
      <c r="AD1408" s="2"/>
      <c r="AE1408" s="4"/>
      <c r="AF1408" s="495"/>
      <c r="AG1408" s="511"/>
    </row>
    <row r="1409" spans="2:33" x14ac:dyDescent="0.25">
      <c r="B1409" s="430" t="s">
        <v>1756</v>
      </c>
      <c r="C1409" s="431" t="s">
        <v>1368</v>
      </c>
      <c r="D1409" s="3" t="s">
        <v>1259</v>
      </c>
      <c r="E1409" s="431" t="s">
        <v>3207</v>
      </c>
      <c r="F1409" s="444" t="s">
        <v>3201</v>
      </c>
      <c r="G1409" s="431" t="s">
        <v>4425</v>
      </c>
      <c r="H1409" s="444" t="s">
        <v>4110</v>
      </c>
      <c r="I1409" s="431" t="s">
        <v>4246</v>
      </c>
      <c r="J1409" s="431" t="s">
        <v>4216</v>
      </c>
      <c r="K1409" s="387" t="s">
        <v>4092</v>
      </c>
      <c r="L1409" s="577">
        <v>92</v>
      </c>
      <c r="M1409" s="3">
        <v>0</v>
      </c>
      <c r="N1409" s="3">
        <v>92</v>
      </c>
      <c r="O1409" s="3">
        <v>92</v>
      </c>
      <c r="P1409" s="3" t="s">
        <v>1361</v>
      </c>
      <c r="Q1409" s="2">
        <v>121</v>
      </c>
      <c r="R1409" s="3"/>
      <c r="S1409" s="2">
        <v>0</v>
      </c>
      <c r="T1409" s="2">
        <v>121</v>
      </c>
      <c r="U1409" s="349">
        <v>1</v>
      </c>
      <c r="V1409" s="349"/>
      <c r="W1409" s="349">
        <v>1</v>
      </c>
      <c r="X1409" s="349"/>
      <c r="Y1409" s="349">
        <v>0</v>
      </c>
      <c r="Z1409" s="349"/>
      <c r="AA1409" s="350">
        <v>0.95</v>
      </c>
      <c r="AB1409" s="348">
        <v>115</v>
      </c>
      <c r="AC1409" s="348">
        <v>46</v>
      </c>
      <c r="AD1409" s="2"/>
      <c r="AE1409" s="4"/>
      <c r="AF1409" s="495"/>
      <c r="AG1409" s="511"/>
    </row>
    <row r="1410" spans="2:33" x14ac:dyDescent="0.25">
      <c r="B1410" s="430" t="s">
        <v>1757</v>
      </c>
      <c r="C1410" s="431" t="s">
        <v>1368</v>
      </c>
      <c r="D1410" s="3" t="s">
        <v>1259</v>
      </c>
      <c r="E1410" s="431" t="s">
        <v>3208</v>
      </c>
      <c r="F1410" s="444" t="s">
        <v>3201</v>
      </c>
      <c r="G1410" s="431" t="s">
        <v>4426</v>
      </c>
      <c r="H1410" s="444" t="s">
        <v>4110</v>
      </c>
      <c r="I1410" s="431" t="s">
        <v>4247</v>
      </c>
      <c r="J1410" s="431" t="s">
        <v>4217</v>
      </c>
      <c r="K1410" s="387" t="s">
        <v>4093</v>
      </c>
      <c r="L1410" s="577">
        <v>92</v>
      </c>
      <c r="M1410" s="3">
        <v>0</v>
      </c>
      <c r="N1410" s="3">
        <v>92</v>
      </c>
      <c r="O1410" s="3">
        <v>0</v>
      </c>
      <c r="P1410" s="3" t="s">
        <v>1361</v>
      </c>
      <c r="Q1410" s="2">
        <v>121</v>
      </c>
      <c r="R1410" s="3"/>
      <c r="S1410" s="2">
        <v>0</v>
      </c>
      <c r="T1410" s="2">
        <v>121</v>
      </c>
      <c r="U1410" s="349">
        <v>0</v>
      </c>
      <c r="V1410" s="349"/>
      <c r="W1410" s="349">
        <v>0</v>
      </c>
      <c r="X1410" s="349"/>
      <c r="Y1410" s="349">
        <v>0</v>
      </c>
      <c r="Z1410" s="349"/>
      <c r="AA1410" s="350">
        <v>0</v>
      </c>
      <c r="AB1410" s="348">
        <v>0</v>
      </c>
      <c r="AC1410" s="348">
        <v>0</v>
      </c>
      <c r="AD1410" s="2"/>
      <c r="AE1410" s="4"/>
      <c r="AF1410" s="495"/>
      <c r="AG1410" s="511"/>
    </row>
    <row r="1411" spans="2:33" x14ac:dyDescent="0.25">
      <c r="B1411" s="430" t="s">
        <v>1758</v>
      </c>
      <c r="C1411" s="431" t="s">
        <v>1368</v>
      </c>
      <c r="D1411" s="3" t="s">
        <v>1259</v>
      </c>
      <c r="E1411" s="431" t="s">
        <v>3209</v>
      </c>
      <c r="F1411" s="444" t="s">
        <v>3201</v>
      </c>
      <c r="G1411" s="431" t="s">
        <v>4427</v>
      </c>
      <c r="H1411" s="444" t="s">
        <v>4110</v>
      </c>
      <c r="I1411" s="431" t="s">
        <v>4248</v>
      </c>
      <c r="J1411" s="431" t="s">
        <v>4218</v>
      </c>
      <c r="K1411" s="387" t="s">
        <v>4094</v>
      </c>
      <c r="L1411" s="577">
        <v>92</v>
      </c>
      <c r="M1411" s="3">
        <v>0</v>
      </c>
      <c r="N1411" s="3">
        <v>92</v>
      </c>
      <c r="O1411" s="3">
        <v>85</v>
      </c>
      <c r="P1411" s="3" t="s">
        <v>1361</v>
      </c>
      <c r="Q1411" s="2">
        <v>121</v>
      </c>
      <c r="R1411" s="3"/>
      <c r="S1411" s="2">
        <v>0</v>
      </c>
      <c r="T1411" s="2">
        <v>121</v>
      </c>
      <c r="U1411" s="349">
        <v>1</v>
      </c>
      <c r="V1411" s="349"/>
      <c r="W1411" s="349">
        <v>0.84</v>
      </c>
      <c r="X1411" s="349"/>
      <c r="Y1411" s="349">
        <v>0</v>
      </c>
      <c r="Z1411" s="349"/>
      <c r="AA1411" s="350">
        <v>0.80600000000000005</v>
      </c>
      <c r="AB1411" s="348">
        <v>98</v>
      </c>
      <c r="AC1411" s="348">
        <v>38</v>
      </c>
      <c r="AD1411" s="2"/>
      <c r="AE1411" s="4"/>
      <c r="AF1411" s="495"/>
      <c r="AG1411" s="511"/>
    </row>
    <row r="1412" spans="2:33" x14ac:dyDescent="0.25">
      <c r="B1412" s="430" t="s">
        <v>1759</v>
      </c>
      <c r="C1412" s="431" t="s">
        <v>1368</v>
      </c>
      <c r="D1412" s="3" t="s">
        <v>1259</v>
      </c>
      <c r="E1412" s="431" t="s">
        <v>3210</v>
      </c>
      <c r="F1412" s="444" t="s">
        <v>3201</v>
      </c>
      <c r="G1412" s="431" t="s">
        <v>4428</v>
      </c>
      <c r="H1412" s="444" t="s">
        <v>4109</v>
      </c>
      <c r="I1412" s="431" t="s">
        <v>4249</v>
      </c>
      <c r="J1412" s="431" t="s">
        <v>4219</v>
      </c>
      <c r="K1412" s="387" t="s">
        <v>4095</v>
      </c>
      <c r="L1412" s="577">
        <v>343</v>
      </c>
      <c r="M1412" s="3">
        <v>0</v>
      </c>
      <c r="N1412" s="3">
        <v>343</v>
      </c>
      <c r="O1412" s="3">
        <v>310</v>
      </c>
      <c r="P1412" s="3" t="s">
        <v>1361</v>
      </c>
      <c r="Q1412" s="2">
        <v>452</v>
      </c>
      <c r="R1412" s="3"/>
      <c r="S1412" s="2">
        <v>0</v>
      </c>
      <c r="T1412" s="2">
        <v>452</v>
      </c>
      <c r="U1412" s="349">
        <v>1</v>
      </c>
      <c r="V1412" s="349"/>
      <c r="W1412" s="349">
        <v>0.81</v>
      </c>
      <c r="X1412" s="349"/>
      <c r="Y1412" s="349">
        <v>0</v>
      </c>
      <c r="Z1412" s="349"/>
      <c r="AA1412" s="350">
        <v>0.77900000000000003</v>
      </c>
      <c r="AB1412" s="348">
        <v>352</v>
      </c>
      <c r="AC1412" s="348">
        <v>283</v>
      </c>
      <c r="AD1412" s="2"/>
      <c r="AE1412" s="4"/>
      <c r="AF1412" s="495"/>
      <c r="AG1412" s="511"/>
    </row>
    <row r="1413" spans="2:33" x14ac:dyDescent="0.25">
      <c r="B1413" s="430" t="s">
        <v>1760</v>
      </c>
      <c r="C1413" s="431" t="s">
        <v>1368</v>
      </c>
      <c r="D1413" s="3" t="s">
        <v>1259</v>
      </c>
      <c r="E1413" s="431" t="s">
        <v>3211</v>
      </c>
      <c r="F1413" s="444" t="s">
        <v>3201</v>
      </c>
      <c r="G1413" s="431" t="s">
        <v>4429</v>
      </c>
      <c r="H1413" s="444" t="s">
        <v>4110</v>
      </c>
      <c r="I1413" s="431" t="s">
        <v>4250</v>
      </c>
      <c r="J1413" s="431" t="s">
        <v>4220</v>
      </c>
      <c r="K1413" s="387" t="s">
        <v>4096</v>
      </c>
      <c r="L1413" s="577">
        <v>46</v>
      </c>
      <c r="M1413" s="3">
        <v>0</v>
      </c>
      <c r="N1413" s="3">
        <v>46</v>
      </c>
      <c r="O1413" s="3">
        <v>46</v>
      </c>
      <c r="P1413" s="3" t="s">
        <v>1361</v>
      </c>
      <c r="Q1413" s="2">
        <v>61</v>
      </c>
      <c r="R1413" s="3"/>
      <c r="S1413" s="2">
        <v>0</v>
      </c>
      <c r="T1413" s="2">
        <v>61</v>
      </c>
      <c r="U1413" s="349">
        <v>1</v>
      </c>
      <c r="V1413" s="349"/>
      <c r="W1413" s="349">
        <v>0.9</v>
      </c>
      <c r="X1413" s="349"/>
      <c r="Y1413" s="349">
        <v>0</v>
      </c>
      <c r="Z1413" s="349"/>
      <c r="AA1413" s="350">
        <v>0.86</v>
      </c>
      <c r="AB1413" s="348">
        <v>52</v>
      </c>
      <c r="AC1413" s="348">
        <v>40</v>
      </c>
      <c r="AD1413" s="2"/>
      <c r="AE1413" s="4"/>
      <c r="AF1413" s="495"/>
      <c r="AG1413" s="511"/>
    </row>
    <row r="1414" spans="2:33" x14ac:dyDescent="0.25">
      <c r="B1414" s="430" t="s">
        <v>1761</v>
      </c>
      <c r="C1414" s="431" t="s">
        <v>1368</v>
      </c>
      <c r="D1414" s="3" t="s">
        <v>1259</v>
      </c>
      <c r="E1414" s="431" t="s">
        <v>3212</v>
      </c>
      <c r="F1414" s="444" t="s">
        <v>3201</v>
      </c>
      <c r="G1414" s="431" t="s">
        <v>4430</v>
      </c>
      <c r="H1414" s="444" t="s">
        <v>4110</v>
      </c>
      <c r="I1414" s="431" t="s">
        <v>4251</v>
      </c>
      <c r="J1414" s="431" t="s">
        <v>4221</v>
      </c>
      <c r="K1414" s="387" t="s">
        <v>4097</v>
      </c>
      <c r="L1414" s="577">
        <v>92</v>
      </c>
      <c r="M1414" s="3">
        <v>0</v>
      </c>
      <c r="N1414" s="3">
        <v>92</v>
      </c>
      <c r="O1414" s="3">
        <v>92</v>
      </c>
      <c r="P1414" s="3" t="s">
        <v>1361</v>
      </c>
      <c r="Q1414" s="2">
        <v>121</v>
      </c>
      <c r="R1414" s="3"/>
      <c r="S1414" s="2">
        <v>0</v>
      </c>
      <c r="T1414" s="2">
        <v>121</v>
      </c>
      <c r="U1414" s="349">
        <v>1</v>
      </c>
      <c r="V1414" s="349"/>
      <c r="W1414" s="349">
        <v>0.9</v>
      </c>
      <c r="X1414" s="349"/>
      <c r="Y1414" s="349">
        <v>0</v>
      </c>
      <c r="Z1414" s="349"/>
      <c r="AA1414" s="350">
        <v>0.86</v>
      </c>
      <c r="AB1414" s="348">
        <v>104</v>
      </c>
      <c r="AC1414" s="348">
        <v>98</v>
      </c>
      <c r="AD1414" s="2"/>
      <c r="AE1414" s="4"/>
      <c r="AF1414" s="495"/>
      <c r="AG1414" s="511"/>
    </row>
    <row r="1415" spans="2:33" x14ac:dyDescent="0.25">
      <c r="B1415" s="430" t="s">
        <v>1762</v>
      </c>
      <c r="C1415" s="431" t="s">
        <v>1368</v>
      </c>
      <c r="D1415" s="3" t="s">
        <v>1259</v>
      </c>
      <c r="E1415" s="431" t="s">
        <v>3213</v>
      </c>
      <c r="F1415" s="444" t="s">
        <v>3201</v>
      </c>
      <c r="G1415" s="431" t="s">
        <v>4431</v>
      </c>
      <c r="H1415" s="444" t="s">
        <v>4110</v>
      </c>
      <c r="I1415" s="431" t="s">
        <v>4252</v>
      </c>
      <c r="J1415" s="431" t="s">
        <v>4222</v>
      </c>
      <c r="K1415" s="387" t="s">
        <v>4098</v>
      </c>
      <c r="L1415" s="577">
        <v>46</v>
      </c>
      <c r="M1415" s="3">
        <v>0</v>
      </c>
      <c r="N1415" s="3">
        <v>46</v>
      </c>
      <c r="O1415" s="3">
        <v>46</v>
      </c>
      <c r="P1415" s="3" t="s">
        <v>1361</v>
      </c>
      <c r="Q1415" s="2">
        <v>61</v>
      </c>
      <c r="R1415" s="3"/>
      <c r="S1415" s="2">
        <v>0</v>
      </c>
      <c r="T1415" s="2">
        <v>61</v>
      </c>
      <c r="U1415" s="349">
        <v>1</v>
      </c>
      <c r="V1415" s="349"/>
      <c r="W1415" s="349">
        <v>0.9</v>
      </c>
      <c r="X1415" s="349"/>
      <c r="Y1415" s="349">
        <v>0</v>
      </c>
      <c r="Z1415" s="349"/>
      <c r="AA1415" s="350">
        <v>0.86</v>
      </c>
      <c r="AB1415" s="348">
        <v>52</v>
      </c>
      <c r="AC1415" s="348">
        <v>47</v>
      </c>
      <c r="AD1415" s="2"/>
      <c r="AE1415" s="4"/>
      <c r="AF1415" s="495"/>
      <c r="AG1415" s="511"/>
    </row>
    <row r="1416" spans="2:33" x14ac:dyDescent="0.25">
      <c r="B1416" s="430" t="s">
        <v>3191</v>
      </c>
      <c r="C1416" s="431" t="s">
        <v>1368</v>
      </c>
      <c r="D1416" s="3" t="s">
        <v>1279</v>
      </c>
      <c r="E1416" s="444" t="s">
        <v>1395</v>
      </c>
      <c r="F1416" s="444" t="s">
        <v>3201</v>
      </c>
      <c r="G1416" s="431" t="s">
        <v>4442</v>
      </c>
      <c r="H1416" s="444" t="s">
        <v>4109</v>
      </c>
      <c r="I1416" s="431" t="s">
        <v>4263</v>
      </c>
      <c r="J1416" s="431" t="s">
        <v>4044</v>
      </c>
      <c r="K1416" s="387" t="s">
        <v>5046</v>
      </c>
      <c r="L1416" s="577">
        <v>521</v>
      </c>
      <c r="M1416" s="3">
        <v>0</v>
      </c>
      <c r="N1416" s="3">
        <v>521</v>
      </c>
      <c r="O1416" s="387">
        <v>249</v>
      </c>
      <c r="P1416" s="3" t="s">
        <v>1361</v>
      </c>
      <c r="Q1416" s="2">
        <v>687</v>
      </c>
      <c r="R1416" s="3"/>
      <c r="S1416" s="2">
        <v>0</v>
      </c>
      <c r="T1416" s="2">
        <v>687</v>
      </c>
      <c r="U1416" s="570">
        <v>1</v>
      </c>
      <c r="V1416" s="349"/>
      <c r="W1416" s="349">
        <v>0.43</v>
      </c>
      <c r="X1416" s="349"/>
      <c r="Y1416" s="349">
        <v>0</v>
      </c>
      <c r="Z1416" s="349"/>
      <c r="AA1416" s="437">
        <v>0.437</v>
      </c>
      <c r="AB1416" s="348">
        <v>300</v>
      </c>
      <c r="AC1416" s="467">
        <v>250</v>
      </c>
      <c r="AD1416" s="2"/>
      <c r="AE1416" s="4"/>
      <c r="AF1416" s="495"/>
      <c r="AG1416" s="511"/>
    </row>
    <row r="1417" spans="2:33" x14ac:dyDescent="0.25">
      <c r="B1417" s="430" t="s">
        <v>3192</v>
      </c>
      <c r="C1417" s="431" t="s">
        <v>1368</v>
      </c>
      <c r="D1417" s="3" t="s">
        <v>1279</v>
      </c>
      <c r="E1417" s="444" t="s">
        <v>1397</v>
      </c>
      <c r="F1417" s="444" t="s">
        <v>3201</v>
      </c>
      <c r="G1417" s="431" t="s">
        <v>4443</v>
      </c>
      <c r="H1417" s="444" t="s">
        <v>4109</v>
      </c>
      <c r="I1417" s="431" t="s">
        <v>4264</v>
      </c>
      <c r="J1417" s="431" t="s">
        <v>4045</v>
      </c>
      <c r="K1417" s="387" t="s">
        <v>5047</v>
      </c>
      <c r="L1417" s="577">
        <v>991</v>
      </c>
      <c r="M1417" s="3">
        <v>0</v>
      </c>
      <c r="N1417" s="3">
        <v>991</v>
      </c>
      <c r="O1417" s="387">
        <v>0</v>
      </c>
      <c r="P1417" s="3" t="s">
        <v>1361</v>
      </c>
      <c r="Q1417" s="2">
        <v>1306</v>
      </c>
      <c r="R1417" s="3"/>
      <c r="S1417" s="2">
        <v>0</v>
      </c>
      <c r="T1417" s="2">
        <v>1306</v>
      </c>
      <c r="U1417" s="570">
        <v>0</v>
      </c>
      <c r="V1417" s="349"/>
      <c r="W1417" s="349">
        <v>0</v>
      </c>
      <c r="X1417" s="349"/>
      <c r="Y1417" s="349">
        <v>0</v>
      </c>
      <c r="Z1417" s="349"/>
      <c r="AA1417" s="437">
        <v>0</v>
      </c>
      <c r="AB1417" s="348">
        <v>0</v>
      </c>
      <c r="AC1417" s="467">
        <v>0</v>
      </c>
      <c r="AD1417" s="2"/>
      <c r="AE1417" s="4"/>
      <c r="AF1417" s="495"/>
      <c r="AG1417" s="511"/>
    </row>
    <row r="1418" spans="2:33" x14ac:dyDescent="0.25">
      <c r="B1418" s="430" t="s">
        <v>3193</v>
      </c>
      <c r="C1418" s="431" t="s">
        <v>1368</v>
      </c>
      <c r="D1418" s="3" t="s">
        <v>1279</v>
      </c>
      <c r="E1418" s="444" t="s">
        <v>1398</v>
      </c>
      <c r="F1418" s="444" t="s">
        <v>3201</v>
      </c>
      <c r="G1418" s="431" t="s">
        <v>4444</v>
      </c>
      <c r="H1418" s="444" t="s">
        <v>4109</v>
      </c>
      <c r="I1418" s="431" t="s">
        <v>4265</v>
      </c>
      <c r="J1418" s="431" t="s">
        <v>4046</v>
      </c>
      <c r="K1418" s="387" t="s">
        <v>5048</v>
      </c>
      <c r="L1418" s="577">
        <v>967</v>
      </c>
      <c r="M1418" s="3">
        <v>0</v>
      </c>
      <c r="N1418" s="3">
        <v>967</v>
      </c>
      <c r="O1418" s="387">
        <v>0</v>
      </c>
      <c r="P1418" s="3" t="s">
        <v>1361</v>
      </c>
      <c r="Q1418" s="2">
        <v>1275</v>
      </c>
      <c r="R1418" s="3"/>
      <c r="S1418" s="2">
        <v>0</v>
      </c>
      <c r="T1418" s="2">
        <v>1275</v>
      </c>
      <c r="U1418" s="570">
        <v>0</v>
      </c>
      <c r="V1418" s="349"/>
      <c r="W1418" s="349">
        <v>0</v>
      </c>
      <c r="X1418" s="349"/>
      <c r="Y1418" s="349">
        <v>0</v>
      </c>
      <c r="Z1418" s="349"/>
      <c r="AA1418" s="437">
        <v>0</v>
      </c>
      <c r="AB1418" s="348">
        <v>0</v>
      </c>
      <c r="AC1418" s="467">
        <v>0</v>
      </c>
      <c r="AD1418" s="2"/>
      <c r="AE1418" s="4"/>
      <c r="AF1418" s="495"/>
      <c r="AG1418" s="511"/>
    </row>
    <row r="1419" spans="2:33" x14ac:dyDescent="0.25">
      <c r="B1419" s="430" t="s">
        <v>3194</v>
      </c>
      <c r="C1419" s="431" t="s">
        <v>1368</v>
      </c>
      <c r="D1419" s="3" t="s">
        <v>1279</v>
      </c>
      <c r="E1419" s="444" t="s">
        <v>1374</v>
      </c>
      <c r="F1419" s="444" t="s">
        <v>3201</v>
      </c>
      <c r="G1419" s="431" t="s">
        <v>4445</v>
      </c>
      <c r="H1419" s="444" t="s">
        <v>4109</v>
      </c>
      <c r="I1419" s="431" t="s">
        <v>4266</v>
      </c>
      <c r="J1419" s="431" t="s">
        <v>4047</v>
      </c>
      <c r="K1419" s="387" t="s">
        <v>5049</v>
      </c>
      <c r="L1419" s="577">
        <v>981</v>
      </c>
      <c r="M1419" s="3">
        <v>0</v>
      </c>
      <c r="N1419" s="3">
        <v>981</v>
      </c>
      <c r="O1419" s="387">
        <v>0</v>
      </c>
      <c r="P1419" s="3" t="s">
        <v>1361</v>
      </c>
      <c r="Q1419" s="2">
        <v>1293</v>
      </c>
      <c r="R1419" s="3"/>
      <c r="S1419" s="2">
        <v>0</v>
      </c>
      <c r="T1419" s="2">
        <v>1293</v>
      </c>
      <c r="U1419" s="570">
        <v>0</v>
      </c>
      <c r="V1419" s="349"/>
      <c r="W1419" s="349">
        <v>0</v>
      </c>
      <c r="X1419" s="349"/>
      <c r="Y1419" s="349">
        <v>0</v>
      </c>
      <c r="Z1419" s="349"/>
      <c r="AA1419" s="437">
        <v>0</v>
      </c>
      <c r="AB1419" s="348">
        <v>0</v>
      </c>
      <c r="AC1419" s="467">
        <v>0</v>
      </c>
      <c r="AD1419" s="2"/>
      <c r="AE1419" s="4"/>
      <c r="AF1419" s="495"/>
      <c r="AG1419" s="511"/>
    </row>
    <row r="1420" spans="2:33" x14ac:dyDescent="0.25">
      <c r="B1420" s="430" t="s">
        <v>3195</v>
      </c>
      <c r="C1420" s="431" t="s">
        <v>1368</v>
      </c>
      <c r="D1420" s="3" t="s">
        <v>1279</v>
      </c>
      <c r="E1420" s="444" t="s">
        <v>1377</v>
      </c>
      <c r="F1420" s="444" t="s">
        <v>3201</v>
      </c>
      <c r="G1420" s="431" t="s">
        <v>4446</v>
      </c>
      <c r="H1420" s="444" t="s">
        <v>4109</v>
      </c>
      <c r="I1420" s="431" t="s">
        <v>4267</v>
      </c>
      <c r="J1420" s="431" t="s">
        <v>4048</v>
      </c>
      <c r="K1420" s="387" t="s">
        <v>5050</v>
      </c>
      <c r="L1420" s="582">
        <v>1094</v>
      </c>
      <c r="M1420" s="3">
        <v>0</v>
      </c>
      <c r="N1420" s="3">
        <v>1094</v>
      </c>
      <c r="O1420" s="387">
        <v>0</v>
      </c>
      <c r="P1420" s="3" t="s">
        <v>1361</v>
      </c>
      <c r="Q1420" s="2">
        <v>1442</v>
      </c>
      <c r="R1420" s="3"/>
      <c r="S1420" s="2">
        <v>0</v>
      </c>
      <c r="T1420" s="2">
        <v>1442</v>
      </c>
      <c r="U1420" s="570">
        <v>0</v>
      </c>
      <c r="V1420" s="349"/>
      <c r="W1420" s="349">
        <v>0</v>
      </c>
      <c r="X1420" s="349"/>
      <c r="Y1420" s="349">
        <v>0</v>
      </c>
      <c r="Z1420" s="349"/>
      <c r="AA1420" s="437">
        <v>0</v>
      </c>
      <c r="AB1420" s="348">
        <v>0</v>
      </c>
      <c r="AC1420" s="467">
        <v>0</v>
      </c>
      <c r="AD1420" s="2"/>
      <c r="AE1420" s="4"/>
      <c r="AF1420" s="495"/>
      <c r="AG1420" s="511"/>
    </row>
    <row r="1421" spans="2:33" x14ac:dyDescent="0.25">
      <c r="B1421" s="430" t="s">
        <v>3196</v>
      </c>
      <c r="C1421" s="431" t="s">
        <v>1368</v>
      </c>
      <c r="D1421" s="3" t="s">
        <v>1279</v>
      </c>
      <c r="E1421" s="444" t="s">
        <v>1379</v>
      </c>
      <c r="F1421" s="444" t="s">
        <v>3201</v>
      </c>
      <c r="G1421" s="431" t="s">
        <v>4447</v>
      </c>
      <c r="H1421" s="444" t="s">
        <v>4109</v>
      </c>
      <c r="I1421" s="431" t="s">
        <v>4268</v>
      </c>
      <c r="J1421" s="431" t="s">
        <v>4049</v>
      </c>
      <c r="K1421" s="387" t="s">
        <v>5051</v>
      </c>
      <c r="L1421" s="582">
        <v>1099</v>
      </c>
      <c r="M1421" s="3">
        <v>0</v>
      </c>
      <c r="N1421" s="3">
        <v>1099</v>
      </c>
      <c r="O1421" s="387">
        <v>0</v>
      </c>
      <c r="P1421" s="3" t="s">
        <v>1361</v>
      </c>
      <c r="Q1421" s="2">
        <v>1448</v>
      </c>
      <c r="R1421" s="3"/>
      <c r="S1421" s="2">
        <v>0</v>
      </c>
      <c r="T1421" s="2">
        <v>1448</v>
      </c>
      <c r="U1421" s="570">
        <v>0</v>
      </c>
      <c r="V1421" s="349"/>
      <c r="W1421" s="349">
        <v>0</v>
      </c>
      <c r="X1421" s="349"/>
      <c r="Y1421" s="349">
        <v>0</v>
      </c>
      <c r="Z1421" s="349"/>
      <c r="AA1421" s="437">
        <v>0</v>
      </c>
      <c r="AB1421" s="348">
        <v>0</v>
      </c>
      <c r="AC1421" s="467">
        <v>0</v>
      </c>
      <c r="AD1421" s="2"/>
      <c r="AE1421" s="4"/>
      <c r="AF1421" s="495"/>
      <c r="AG1421" s="511"/>
    </row>
    <row r="1422" spans="2:33" x14ac:dyDescent="0.25">
      <c r="B1422" s="430" t="s">
        <v>3197</v>
      </c>
      <c r="C1422" s="431" t="s">
        <v>1368</v>
      </c>
      <c r="D1422" s="3" t="s">
        <v>1279</v>
      </c>
      <c r="E1422" s="444" t="s">
        <v>1381</v>
      </c>
      <c r="F1422" s="444" t="s">
        <v>3201</v>
      </c>
      <c r="G1422" s="431" t="s">
        <v>4448</v>
      </c>
      <c r="H1422" s="444" t="s">
        <v>4109</v>
      </c>
      <c r="I1422" s="431" t="s">
        <v>4269</v>
      </c>
      <c r="J1422" s="431" t="s">
        <v>4050</v>
      </c>
      <c r="K1422" s="387" t="s">
        <v>5052</v>
      </c>
      <c r="L1422" s="577">
        <v>750</v>
      </c>
      <c r="M1422" s="3">
        <v>0</v>
      </c>
      <c r="N1422" s="3">
        <v>750</v>
      </c>
      <c r="O1422" s="387">
        <v>0</v>
      </c>
      <c r="P1422" s="3" t="s">
        <v>1361</v>
      </c>
      <c r="Q1422" s="2">
        <v>989</v>
      </c>
      <c r="R1422" s="3"/>
      <c r="S1422" s="2">
        <v>0</v>
      </c>
      <c r="T1422" s="2">
        <v>989</v>
      </c>
      <c r="U1422" s="570">
        <v>0</v>
      </c>
      <c r="V1422" s="349"/>
      <c r="W1422" s="349">
        <v>0</v>
      </c>
      <c r="X1422" s="349"/>
      <c r="Y1422" s="349">
        <v>0</v>
      </c>
      <c r="Z1422" s="349"/>
      <c r="AA1422" s="437">
        <v>0</v>
      </c>
      <c r="AB1422" s="348">
        <v>0</v>
      </c>
      <c r="AC1422" s="467">
        <v>0</v>
      </c>
      <c r="AD1422" s="2"/>
      <c r="AE1422" s="4"/>
      <c r="AF1422" s="495"/>
      <c r="AG1422" s="511"/>
    </row>
    <row r="1423" spans="2:33" x14ac:dyDescent="0.25">
      <c r="B1423" s="430" t="s">
        <v>3198</v>
      </c>
      <c r="C1423" s="431" t="s">
        <v>1368</v>
      </c>
      <c r="D1423" s="3" t="s">
        <v>1279</v>
      </c>
      <c r="E1423" s="444" t="s">
        <v>1396</v>
      </c>
      <c r="F1423" s="444" t="s">
        <v>3201</v>
      </c>
      <c r="G1423" s="431" t="s">
        <v>4449</v>
      </c>
      <c r="H1423" s="444" t="s">
        <v>4109</v>
      </c>
      <c r="I1423" s="431" t="s">
        <v>4270</v>
      </c>
      <c r="J1423" s="431" t="s">
        <v>4051</v>
      </c>
      <c r="K1423" s="387" t="s">
        <v>5053</v>
      </c>
      <c r="L1423" s="582">
        <v>1188</v>
      </c>
      <c r="M1423" s="3">
        <v>0</v>
      </c>
      <c r="N1423" s="3">
        <v>1188</v>
      </c>
      <c r="O1423" s="387">
        <v>0</v>
      </c>
      <c r="P1423" s="3" t="s">
        <v>1361</v>
      </c>
      <c r="Q1423" s="2">
        <v>1566</v>
      </c>
      <c r="R1423" s="3"/>
      <c r="S1423" s="2">
        <v>0</v>
      </c>
      <c r="T1423" s="2">
        <v>1566</v>
      </c>
      <c r="U1423" s="570">
        <v>0</v>
      </c>
      <c r="V1423" s="349"/>
      <c r="W1423" s="349">
        <v>0</v>
      </c>
      <c r="X1423" s="349"/>
      <c r="Y1423" s="349">
        <v>0</v>
      </c>
      <c r="Z1423" s="349"/>
      <c r="AA1423" s="437">
        <v>0</v>
      </c>
      <c r="AB1423" s="348">
        <v>0</v>
      </c>
      <c r="AC1423" s="467">
        <v>0</v>
      </c>
      <c r="AD1423" s="2"/>
      <c r="AE1423" s="4"/>
      <c r="AF1423" s="495"/>
      <c r="AG1423" s="511"/>
    </row>
    <row r="1424" spans="2:33" x14ac:dyDescent="0.25">
      <c r="B1424" s="598"/>
      <c r="C1424" s="431" t="s">
        <v>1368</v>
      </c>
      <c r="D1424" s="3" t="s">
        <v>1279</v>
      </c>
      <c r="E1424" s="431" t="s">
        <v>5082</v>
      </c>
      <c r="F1424" s="444" t="s">
        <v>3201</v>
      </c>
      <c r="G1424" s="431" t="s">
        <v>5082</v>
      </c>
      <c r="H1424" s="444" t="s">
        <v>4109</v>
      </c>
      <c r="I1424" s="431"/>
      <c r="J1424" s="431"/>
      <c r="K1424" s="387" t="s">
        <v>5054</v>
      </c>
      <c r="L1424" s="582">
        <v>720</v>
      </c>
      <c r="M1424" s="3">
        <v>392</v>
      </c>
      <c r="N1424" s="3">
        <v>1112</v>
      </c>
      <c r="O1424" s="387">
        <v>200</v>
      </c>
      <c r="P1424" s="3" t="s">
        <v>1361</v>
      </c>
      <c r="Q1424" s="2">
        <v>1466</v>
      </c>
      <c r="R1424" s="3"/>
      <c r="S1424" s="2">
        <v>0</v>
      </c>
      <c r="T1424" s="2">
        <v>1466</v>
      </c>
      <c r="U1424" s="570">
        <v>1</v>
      </c>
      <c r="V1424" s="349"/>
      <c r="W1424" s="349">
        <v>0.6</v>
      </c>
      <c r="X1424" s="349"/>
      <c r="Y1424" s="349">
        <v>0</v>
      </c>
      <c r="Z1424" s="349"/>
      <c r="AA1424" s="437">
        <v>0.59</v>
      </c>
      <c r="AB1424" s="348">
        <v>865</v>
      </c>
      <c r="AC1424" s="467">
        <v>197</v>
      </c>
      <c r="AD1424" s="2"/>
      <c r="AE1424" s="4"/>
      <c r="AF1424" s="495"/>
      <c r="AG1424" s="511"/>
    </row>
    <row r="1425" spans="2:33" x14ac:dyDescent="0.25">
      <c r="B1425" s="598"/>
      <c r="C1425" s="431" t="s">
        <v>1368</v>
      </c>
      <c r="D1425" s="3" t="s">
        <v>1279</v>
      </c>
      <c r="E1425" s="431" t="s">
        <v>5083</v>
      </c>
      <c r="F1425" s="444" t="s">
        <v>3201</v>
      </c>
      <c r="G1425" s="431" t="s">
        <v>5083</v>
      </c>
      <c r="H1425" s="444" t="s">
        <v>4109</v>
      </c>
      <c r="I1425" s="431"/>
      <c r="J1425" s="431"/>
      <c r="K1425" s="387" t="s">
        <v>5055</v>
      </c>
      <c r="L1425" s="582">
        <v>720</v>
      </c>
      <c r="M1425" s="3">
        <v>623</v>
      </c>
      <c r="N1425" s="3">
        <v>1343</v>
      </c>
      <c r="O1425" s="387">
        <v>190</v>
      </c>
      <c r="P1425" s="3" t="s">
        <v>1361</v>
      </c>
      <c r="Q1425" s="2">
        <v>1770</v>
      </c>
      <c r="R1425" s="3"/>
      <c r="S1425" s="2">
        <v>0</v>
      </c>
      <c r="T1425" s="2">
        <v>1770</v>
      </c>
      <c r="U1425" s="570">
        <v>1</v>
      </c>
      <c r="V1425" s="349"/>
      <c r="W1425" s="349">
        <v>0.35</v>
      </c>
      <c r="X1425" s="349"/>
      <c r="Y1425" s="349">
        <v>0</v>
      </c>
      <c r="Z1425" s="349"/>
      <c r="AA1425" s="437">
        <v>0.36499999999999999</v>
      </c>
      <c r="AB1425" s="348">
        <v>646</v>
      </c>
      <c r="AC1425" s="467">
        <v>133</v>
      </c>
      <c r="AD1425" s="2"/>
      <c r="AE1425" s="4"/>
      <c r="AF1425" s="495"/>
      <c r="AG1425" s="511"/>
    </row>
    <row r="1426" spans="2:33" x14ac:dyDescent="0.25">
      <c r="B1426" s="598"/>
      <c r="C1426" s="431" t="s">
        <v>1368</v>
      </c>
      <c r="D1426" s="3" t="s">
        <v>1279</v>
      </c>
      <c r="E1426" s="431" t="s">
        <v>5084</v>
      </c>
      <c r="F1426" s="444" t="s">
        <v>3201</v>
      </c>
      <c r="G1426" s="431" t="s">
        <v>5084</v>
      </c>
      <c r="H1426" s="444" t="s">
        <v>4109</v>
      </c>
      <c r="I1426" s="431"/>
      <c r="J1426" s="431"/>
      <c r="K1426" s="387" t="s">
        <v>5056</v>
      </c>
      <c r="L1426" s="577">
        <v>720</v>
      </c>
      <c r="M1426" s="3">
        <v>180</v>
      </c>
      <c r="N1426" s="3">
        <v>900</v>
      </c>
      <c r="O1426" s="387">
        <v>180</v>
      </c>
      <c r="P1426" s="3" t="s">
        <v>1361</v>
      </c>
      <c r="Q1426" s="2">
        <v>1186</v>
      </c>
      <c r="R1426" s="3"/>
      <c r="S1426" s="2">
        <v>0</v>
      </c>
      <c r="T1426" s="2">
        <v>1186</v>
      </c>
      <c r="U1426" s="570">
        <v>1</v>
      </c>
      <c r="V1426" s="349"/>
      <c r="W1426" s="349">
        <v>0.2</v>
      </c>
      <c r="X1426" s="349"/>
      <c r="Y1426" s="349">
        <v>0</v>
      </c>
      <c r="Z1426" s="349"/>
      <c r="AA1426" s="437">
        <v>0.23</v>
      </c>
      <c r="AB1426" s="348">
        <v>273</v>
      </c>
      <c r="AC1426" s="467">
        <v>88</v>
      </c>
      <c r="AD1426" s="2"/>
      <c r="AE1426" s="4"/>
      <c r="AF1426" s="495"/>
      <c r="AG1426" s="511"/>
    </row>
    <row r="1427" spans="2:33" x14ac:dyDescent="0.25">
      <c r="B1427" s="598"/>
      <c r="C1427" s="431" t="s">
        <v>1368</v>
      </c>
      <c r="D1427" s="3" t="s">
        <v>1279</v>
      </c>
      <c r="E1427" s="431" t="s">
        <v>5085</v>
      </c>
      <c r="F1427" s="444" t="s">
        <v>3201</v>
      </c>
      <c r="G1427" s="431" t="s">
        <v>5085</v>
      </c>
      <c r="H1427" s="444" t="s">
        <v>4109</v>
      </c>
      <c r="I1427" s="431"/>
      <c r="J1427" s="431"/>
      <c r="K1427" s="387" t="s">
        <v>5057</v>
      </c>
      <c r="L1427" s="577">
        <v>720</v>
      </c>
      <c r="M1427" s="3">
        <v>-156</v>
      </c>
      <c r="N1427" s="3">
        <v>564</v>
      </c>
      <c r="O1427" s="387">
        <v>380</v>
      </c>
      <c r="P1427" s="3" t="s">
        <v>1361</v>
      </c>
      <c r="Q1427" s="2">
        <v>743</v>
      </c>
      <c r="R1427" s="3"/>
      <c r="S1427" s="2">
        <v>0</v>
      </c>
      <c r="T1427" s="2">
        <v>743</v>
      </c>
      <c r="U1427" s="570">
        <v>1</v>
      </c>
      <c r="V1427" s="349"/>
      <c r="W1427" s="349">
        <v>0.5</v>
      </c>
      <c r="X1427" s="349"/>
      <c r="Y1427" s="349">
        <v>0</v>
      </c>
      <c r="Z1427" s="349"/>
      <c r="AA1427" s="437">
        <v>0.5</v>
      </c>
      <c r="AB1427" s="348">
        <v>372</v>
      </c>
      <c r="AC1427" s="467">
        <v>137</v>
      </c>
      <c r="AD1427" s="2"/>
      <c r="AE1427" s="4"/>
      <c r="AF1427" s="495"/>
      <c r="AG1427" s="511"/>
    </row>
    <row r="1428" spans="2:33" x14ac:dyDescent="0.25">
      <c r="B1428" s="477" t="s">
        <v>5276</v>
      </c>
      <c r="C1428" s="431" t="s">
        <v>1368</v>
      </c>
      <c r="D1428" s="3" t="s">
        <v>1279</v>
      </c>
      <c r="E1428" s="444" t="s">
        <v>1425</v>
      </c>
      <c r="F1428" s="444" t="s">
        <v>3201</v>
      </c>
      <c r="G1428" s="431" t="s">
        <v>4450</v>
      </c>
      <c r="H1428" s="444" t="s">
        <v>4109</v>
      </c>
      <c r="I1428" s="431" t="s">
        <v>4271</v>
      </c>
      <c r="J1428" s="431" t="s">
        <v>4035</v>
      </c>
      <c r="K1428" s="387" t="s">
        <v>5058</v>
      </c>
      <c r="L1428" s="582">
        <v>1051</v>
      </c>
      <c r="M1428" s="3">
        <v>0</v>
      </c>
      <c r="N1428" s="3">
        <v>1051</v>
      </c>
      <c r="O1428" s="387">
        <v>0</v>
      </c>
      <c r="P1428" s="3" t="s">
        <v>1361</v>
      </c>
      <c r="Q1428" s="2">
        <v>1385</v>
      </c>
      <c r="R1428" s="3"/>
      <c r="S1428" s="2">
        <v>0</v>
      </c>
      <c r="T1428" s="2">
        <v>1385</v>
      </c>
      <c r="U1428" s="570">
        <v>1</v>
      </c>
      <c r="V1428" s="349"/>
      <c r="W1428" s="349">
        <v>0</v>
      </c>
      <c r="X1428" s="349"/>
      <c r="Y1428" s="349">
        <v>0</v>
      </c>
      <c r="Z1428" s="349"/>
      <c r="AA1428" s="437">
        <v>0.05</v>
      </c>
      <c r="AB1428" s="348">
        <v>69</v>
      </c>
      <c r="AC1428" s="467">
        <v>0</v>
      </c>
      <c r="AD1428" s="2"/>
      <c r="AE1428" s="4"/>
      <c r="AF1428" s="495"/>
      <c r="AG1428" s="511"/>
    </row>
    <row r="1429" spans="2:33" x14ac:dyDescent="0.25">
      <c r="B1429" s="430" t="s">
        <v>5277</v>
      </c>
      <c r="C1429" s="431" t="s">
        <v>1368</v>
      </c>
      <c r="D1429" s="3" t="s">
        <v>1279</v>
      </c>
      <c r="E1429" s="444" t="s">
        <v>1426</v>
      </c>
      <c r="F1429" s="444" t="s">
        <v>3201</v>
      </c>
      <c r="G1429" s="431" t="s">
        <v>4451</v>
      </c>
      <c r="H1429" s="444" t="s">
        <v>4109</v>
      </c>
      <c r="I1429" s="431" t="s">
        <v>4272</v>
      </c>
      <c r="J1429" s="431" t="s">
        <v>4036</v>
      </c>
      <c r="K1429" s="387" t="s">
        <v>5059</v>
      </c>
      <c r="L1429" s="577">
        <v>932</v>
      </c>
      <c r="M1429" s="3">
        <v>0</v>
      </c>
      <c r="N1429" s="3">
        <v>932</v>
      </c>
      <c r="O1429" s="387">
        <v>140</v>
      </c>
      <c r="P1429" s="3" t="s">
        <v>1361</v>
      </c>
      <c r="Q1429" s="2">
        <v>1228</v>
      </c>
      <c r="R1429" s="3"/>
      <c r="S1429" s="2">
        <v>0</v>
      </c>
      <c r="T1429" s="2">
        <v>1228</v>
      </c>
      <c r="U1429" s="570">
        <v>1</v>
      </c>
      <c r="V1429" s="349"/>
      <c r="W1429" s="349">
        <v>0.14000000000000001</v>
      </c>
      <c r="X1429" s="349"/>
      <c r="Y1429" s="349">
        <v>0</v>
      </c>
      <c r="Z1429" s="349"/>
      <c r="AA1429" s="437">
        <v>0.17599999999999999</v>
      </c>
      <c r="AB1429" s="348">
        <v>216</v>
      </c>
      <c r="AC1429" s="467">
        <v>95</v>
      </c>
      <c r="AD1429" s="2"/>
      <c r="AE1429" s="4"/>
      <c r="AF1429" s="495"/>
      <c r="AG1429" s="511"/>
    </row>
    <row r="1430" spans="2:33" x14ac:dyDescent="0.25">
      <c r="B1430" s="477" t="s">
        <v>5278</v>
      </c>
      <c r="C1430" s="431" t="s">
        <v>1368</v>
      </c>
      <c r="D1430" s="3" t="s">
        <v>1279</v>
      </c>
      <c r="E1430" s="444" t="s">
        <v>1427</v>
      </c>
      <c r="F1430" s="444" t="s">
        <v>3201</v>
      </c>
      <c r="G1430" s="431" t="s">
        <v>4452</v>
      </c>
      <c r="H1430" s="444" t="s">
        <v>4109</v>
      </c>
      <c r="I1430" s="431" t="s">
        <v>4273</v>
      </c>
      <c r="J1430" s="431" t="s">
        <v>4037</v>
      </c>
      <c r="K1430" s="387" t="s">
        <v>5060</v>
      </c>
      <c r="L1430" s="577">
        <v>691</v>
      </c>
      <c r="M1430" s="3">
        <v>0</v>
      </c>
      <c r="N1430" s="3">
        <v>691</v>
      </c>
      <c r="O1430" s="387">
        <v>140</v>
      </c>
      <c r="P1430" s="3" t="s">
        <v>1361</v>
      </c>
      <c r="Q1430" s="2">
        <v>911</v>
      </c>
      <c r="R1430" s="3"/>
      <c r="S1430" s="2">
        <v>0</v>
      </c>
      <c r="T1430" s="2">
        <v>911</v>
      </c>
      <c r="U1430" s="570">
        <v>1</v>
      </c>
      <c r="V1430" s="349"/>
      <c r="W1430" s="349">
        <v>0.18</v>
      </c>
      <c r="X1430" s="349"/>
      <c r="Y1430" s="349">
        <v>0</v>
      </c>
      <c r="Z1430" s="349"/>
      <c r="AA1430" s="437">
        <v>0.21199999999999999</v>
      </c>
      <c r="AB1430" s="348">
        <v>193</v>
      </c>
      <c r="AC1430" s="467">
        <v>80</v>
      </c>
      <c r="AD1430" s="2"/>
      <c r="AE1430" s="4"/>
      <c r="AF1430" s="495"/>
      <c r="AG1430" s="511"/>
    </row>
    <row r="1431" spans="2:33" x14ac:dyDescent="0.25">
      <c r="B1431" s="477" t="s">
        <v>5279</v>
      </c>
      <c r="C1431" s="431" t="s">
        <v>1368</v>
      </c>
      <c r="D1431" s="3" t="s">
        <v>1279</v>
      </c>
      <c r="E1431" s="444" t="s">
        <v>1428</v>
      </c>
      <c r="F1431" s="444" t="s">
        <v>3201</v>
      </c>
      <c r="G1431" s="431" t="s">
        <v>4453</v>
      </c>
      <c r="H1431" s="444" t="s">
        <v>4109</v>
      </c>
      <c r="I1431" s="431" t="s">
        <v>4274</v>
      </c>
      <c r="J1431" s="431" t="s">
        <v>4038</v>
      </c>
      <c r="K1431" s="387" t="s">
        <v>5061</v>
      </c>
      <c r="L1431" s="577">
        <v>689</v>
      </c>
      <c r="M1431" s="3">
        <v>0</v>
      </c>
      <c r="N1431" s="3">
        <v>689</v>
      </c>
      <c r="O1431" s="3">
        <v>140</v>
      </c>
      <c r="P1431" s="3" t="s">
        <v>1361</v>
      </c>
      <c r="Q1431" s="2">
        <v>908</v>
      </c>
      <c r="R1431" s="3"/>
      <c r="S1431" s="2">
        <v>0</v>
      </c>
      <c r="T1431" s="2">
        <v>908</v>
      </c>
      <c r="U1431" s="570">
        <v>1</v>
      </c>
      <c r="V1431" s="349"/>
      <c r="W1431" s="349">
        <v>0.18</v>
      </c>
      <c r="X1431" s="349"/>
      <c r="Y1431" s="349">
        <v>0</v>
      </c>
      <c r="Z1431" s="349"/>
      <c r="AA1431" s="437">
        <v>0.21199999999999999</v>
      </c>
      <c r="AB1431" s="348">
        <v>193</v>
      </c>
      <c r="AC1431" s="467">
        <v>110</v>
      </c>
      <c r="AD1431" s="2"/>
      <c r="AE1431" s="4"/>
      <c r="AF1431" s="495"/>
      <c r="AG1431" s="511"/>
    </row>
    <row r="1432" spans="2:33" x14ac:dyDescent="0.25">
      <c r="B1432" s="477" t="s">
        <v>5280</v>
      </c>
      <c r="C1432" s="431" t="s">
        <v>1368</v>
      </c>
      <c r="D1432" s="3" t="s">
        <v>1279</v>
      </c>
      <c r="E1432" s="444" t="s">
        <v>1429</v>
      </c>
      <c r="F1432" s="444" t="s">
        <v>3201</v>
      </c>
      <c r="G1432" s="431" t="s">
        <v>4454</v>
      </c>
      <c r="H1432" s="444" t="s">
        <v>4109</v>
      </c>
      <c r="I1432" s="431" t="s">
        <v>4275</v>
      </c>
      <c r="J1432" s="431" t="s">
        <v>4039</v>
      </c>
      <c r="K1432" s="387" t="s">
        <v>5062</v>
      </c>
      <c r="L1432" s="577">
        <v>738</v>
      </c>
      <c r="M1432" s="3">
        <v>0</v>
      </c>
      <c r="N1432" s="3">
        <v>738</v>
      </c>
      <c r="O1432" s="3">
        <v>140</v>
      </c>
      <c r="P1432" s="3" t="s">
        <v>1361</v>
      </c>
      <c r="Q1432" s="2">
        <v>973</v>
      </c>
      <c r="R1432" s="3"/>
      <c r="S1432" s="2">
        <v>0</v>
      </c>
      <c r="T1432" s="2">
        <v>973</v>
      </c>
      <c r="U1432" s="570">
        <v>1</v>
      </c>
      <c r="V1432" s="349"/>
      <c r="W1432" s="349">
        <v>0.17</v>
      </c>
      <c r="X1432" s="349"/>
      <c r="Y1432" s="349">
        <v>0</v>
      </c>
      <c r="Z1432" s="349"/>
      <c r="AA1432" s="437">
        <v>0.20300000000000001</v>
      </c>
      <c r="AB1432" s="348">
        <v>197</v>
      </c>
      <c r="AC1432" s="467">
        <v>80</v>
      </c>
      <c r="AD1432" s="2"/>
      <c r="AE1432" s="4"/>
      <c r="AF1432" s="495"/>
      <c r="AG1432" s="511"/>
    </row>
    <row r="1433" spans="2:33" x14ac:dyDescent="0.25">
      <c r="B1433" s="430" t="s">
        <v>5281</v>
      </c>
      <c r="C1433" s="431" t="s">
        <v>1368</v>
      </c>
      <c r="D1433" s="3" t="s">
        <v>1279</v>
      </c>
      <c r="E1433" s="444" t="s">
        <v>1430</v>
      </c>
      <c r="F1433" s="444" t="s">
        <v>3201</v>
      </c>
      <c r="G1433" s="431" t="s">
        <v>4455</v>
      </c>
      <c r="H1433" s="444" t="s">
        <v>4109</v>
      </c>
      <c r="I1433" s="431" t="s">
        <v>4276</v>
      </c>
      <c r="J1433" s="431" t="s">
        <v>4040</v>
      </c>
      <c r="K1433" s="387" t="s">
        <v>5063</v>
      </c>
      <c r="L1433" s="577">
        <v>980</v>
      </c>
      <c r="M1433" s="3">
        <v>0</v>
      </c>
      <c r="N1433" s="3">
        <v>980</v>
      </c>
      <c r="O1433" s="3">
        <v>0</v>
      </c>
      <c r="P1433" s="3" t="s">
        <v>1361</v>
      </c>
      <c r="Q1433" s="2">
        <v>1292</v>
      </c>
      <c r="R1433" s="3"/>
      <c r="S1433" s="2">
        <v>0</v>
      </c>
      <c r="T1433" s="2">
        <v>1292</v>
      </c>
      <c r="U1433" s="570">
        <v>0</v>
      </c>
      <c r="V1433" s="349"/>
      <c r="W1433" s="349">
        <v>0</v>
      </c>
      <c r="X1433" s="349"/>
      <c r="Y1433" s="349">
        <v>0</v>
      </c>
      <c r="Z1433" s="349"/>
      <c r="AA1433" s="437">
        <v>0</v>
      </c>
      <c r="AB1433" s="348">
        <v>0</v>
      </c>
      <c r="AC1433" s="467">
        <v>0</v>
      </c>
      <c r="AD1433" s="2"/>
      <c r="AE1433" s="4"/>
      <c r="AF1433" s="495"/>
      <c r="AG1433" s="511"/>
    </row>
    <row r="1434" spans="2:33" x14ac:dyDescent="0.25">
      <c r="B1434" s="477" t="s">
        <v>5282</v>
      </c>
      <c r="C1434" s="431" t="s">
        <v>1368</v>
      </c>
      <c r="D1434" s="3" t="s">
        <v>1279</v>
      </c>
      <c r="E1434" s="444" t="s">
        <v>1431</v>
      </c>
      <c r="F1434" s="444" t="s">
        <v>3201</v>
      </c>
      <c r="G1434" s="431" t="s">
        <v>4456</v>
      </c>
      <c r="H1434" s="444" t="s">
        <v>4109</v>
      </c>
      <c r="I1434" s="431" t="s">
        <v>4277</v>
      </c>
      <c r="J1434" s="431" t="s">
        <v>4041</v>
      </c>
      <c r="K1434" s="387" t="s">
        <v>5064</v>
      </c>
      <c r="L1434" s="577">
        <v>651</v>
      </c>
      <c r="M1434" s="3">
        <v>0</v>
      </c>
      <c r="N1434" s="3">
        <v>651</v>
      </c>
      <c r="O1434" s="3">
        <v>105</v>
      </c>
      <c r="P1434" s="3" t="s">
        <v>1361</v>
      </c>
      <c r="Q1434" s="2">
        <v>858</v>
      </c>
      <c r="R1434" s="3"/>
      <c r="S1434" s="2">
        <v>0</v>
      </c>
      <c r="T1434" s="2">
        <v>858</v>
      </c>
      <c r="U1434" s="570">
        <v>1</v>
      </c>
      <c r="V1434" s="349"/>
      <c r="W1434" s="349">
        <v>0.15</v>
      </c>
      <c r="X1434" s="349"/>
      <c r="Y1434" s="349">
        <v>0</v>
      </c>
      <c r="Z1434" s="349"/>
      <c r="AA1434" s="437">
        <v>0.185</v>
      </c>
      <c r="AB1434" s="348">
        <v>159</v>
      </c>
      <c r="AC1434" s="467">
        <v>112</v>
      </c>
      <c r="AD1434" s="2"/>
      <c r="AE1434" s="4"/>
      <c r="AF1434" s="495"/>
      <c r="AG1434" s="511"/>
    </row>
    <row r="1435" spans="2:33" x14ac:dyDescent="0.25">
      <c r="B1435" s="477" t="s">
        <v>5283</v>
      </c>
      <c r="C1435" s="431" t="s">
        <v>1368</v>
      </c>
      <c r="D1435" s="3" t="s">
        <v>1279</v>
      </c>
      <c r="E1435" s="444" t="s">
        <v>1432</v>
      </c>
      <c r="F1435" s="444" t="s">
        <v>3201</v>
      </c>
      <c r="G1435" s="431" t="s">
        <v>4457</v>
      </c>
      <c r="H1435" s="444" t="s">
        <v>4109</v>
      </c>
      <c r="I1435" s="431" t="s">
        <v>4278</v>
      </c>
      <c r="J1435" s="431" t="s">
        <v>4042</v>
      </c>
      <c r="K1435" s="387" t="s">
        <v>5065</v>
      </c>
      <c r="L1435" s="577">
        <v>916</v>
      </c>
      <c r="M1435" s="3">
        <v>0</v>
      </c>
      <c r="N1435" s="3">
        <v>916</v>
      </c>
      <c r="O1435" s="3">
        <v>140</v>
      </c>
      <c r="P1435" s="3" t="s">
        <v>1361</v>
      </c>
      <c r="Q1435" s="2">
        <v>1207</v>
      </c>
      <c r="R1435" s="3"/>
      <c r="S1435" s="2">
        <v>0</v>
      </c>
      <c r="T1435" s="2">
        <v>1207</v>
      </c>
      <c r="U1435" s="349">
        <v>1</v>
      </c>
      <c r="V1435" s="349"/>
      <c r="W1435" s="349">
        <v>0.1</v>
      </c>
      <c r="X1435" s="349"/>
      <c r="Y1435" s="349">
        <v>0</v>
      </c>
      <c r="Z1435" s="349"/>
      <c r="AA1435" s="437">
        <v>0.14000000000000001</v>
      </c>
      <c r="AB1435" s="348">
        <v>169</v>
      </c>
      <c r="AC1435" s="467">
        <v>60</v>
      </c>
      <c r="AD1435" s="2"/>
      <c r="AE1435" s="4"/>
      <c r="AF1435" s="495"/>
      <c r="AG1435" s="511"/>
    </row>
    <row r="1436" spans="2:33" x14ac:dyDescent="0.25">
      <c r="B1436" s="477" t="s">
        <v>5284</v>
      </c>
      <c r="C1436" s="431" t="s">
        <v>1368</v>
      </c>
      <c r="D1436" s="3" t="s">
        <v>1279</v>
      </c>
      <c r="E1436" s="444" t="s">
        <v>1433</v>
      </c>
      <c r="F1436" s="444" t="s">
        <v>3201</v>
      </c>
      <c r="G1436" s="431" t="s">
        <v>4458</v>
      </c>
      <c r="H1436" s="444" t="s">
        <v>4109</v>
      </c>
      <c r="I1436" s="431" t="s">
        <v>4279</v>
      </c>
      <c r="J1436" s="431" t="s">
        <v>4043</v>
      </c>
      <c r="K1436" s="387" t="s">
        <v>5066</v>
      </c>
      <c r="L1436" s="577">
        <v>795</v>
      </c>
      <c r="M1436" s="3">
        <v>0</v>
      </c>
      <c r="N1436" s="3">
        <v>795</v>
      </c>
      <c r="O1436" s="3">
        <v>105</v>
      </c>
      <c r="P1436" s="3" t="s">
        <v>1361</v>
      </c>
      <c r="Q1436" s="2">
        <v>1048</v>
      </c>
      <c r="R1436" s="3"/>
      <c r="S1436" s="2">
        <v>0</v>
      </c>
      <c r="T1436" s="2">
        <v>1048</v>
      </c>
      <c r="U1436" s="349">
        <v>1</v>
      </c>
      <c r="V1436" s="349"/>
      <c r="W1436" s="349">
        <v>0.12</v>
      </c>
      <c r="X1436" s="349"/>
      <c r="Y1436" s="349">
        <v>0</v>
      </c>
      <c r="Z1436" s="349"/>
      <c r="AA1436" s="437">
        <v>0.158</v>
      </c>
      <c r="AB1436" s="348">
        <v>166</v>
      </c>
      <c r="AC1436" s="467">
        <v>60</v>
      </c>
      <c r="AD1436" s="2"/>
      <c r="AE1436" s="4"/>
      <c r="AF1436" s="495"/>
      <c r="AG1436" s="511"/>
    </row>
    <row r="1437" spans="2:33" x14ac:dyDescent="0.25">
      <c r="B1437" s="598"/>
      <c r="C1437" s="558" t="s">
        <v>1368</v>
      </c>
      <c r="D1437" s="3" t="s">
        <v>1279</v>
      </c>
      <c r="E1437" s="558" t="s">
        <v>4787</v>
      </c>
      <c r="F1437" s="444" t="s">
        <v>3201</v>
      </c>
      <c r="G1437" s="558"/>
      <c r="H1437" s="558"/>
      <c r="I1437" s="558"/>
      <c r="J1437" s="558"/>
      <c r="K1437" s="559" t="s">
        <v>5067</v>
      </c>
      <c r="L1437" s="577">
        <v>200</v>
      </c>
      <c r="M1437" s="3">
        <v>87</v>
      </c>
      <c r="N1437" s="3">
        <v>200</v>
      </c>
      <c r="O1437" s="559">
        <v>140</v>
      </c>
      <c r="P1437" s="3" t="s">
        <v>1361</v>
      </c>
      <c r="Q1437" s="2">
        <v>264</v>
      </c>
      <c r="R1437" s="3"/>
      <c r="S1437" s="2">
        <v>0</v>
      </c>
      <c r="T1437" s="2">
        <v>264</v>
      </c>
      <c r="U1437" s="349">
        <v>1</v>
      </c>
      <c r="V1437" s="349"/>
      <c r="W1437" s="349">
        <v>0.65</v>
      </c>
      <c r="X1437" s="349"/>
      <c r="Y1437" s="349">
        <v>0</v>
      </c>
      <c r="Z1437" s="349"/>
      <c r="AA1437" s="561">
        <v>0.63500000000000001</v>
      </c>
      <c r="AB1437" s="348">
        <v>167</v>
      </c>
      <c r="AC1437" s="563">
        <v>39</v>
      </c>
      <c r="AD1437" s="2"/>
      <c r="AE1437" s="4"/>
      <c r="AF1437" s="495"/>
      <c r="AG1437" s="511"/>
    </row>
    <row r="1438" spans="2:33" x14ac:dyDescent="0.25">
      <c r="B1438" s="430"/>
      <c r="C1438" s="558" t="s">
        <v>1368</v>
      </c>
      <c r="D1438" s="3" t="s">
        <v>1279</v>
      </c>
      <c r="E1438" s="558" t="s">
        <v>4788</v>
      </c>
      <c r="F1438" s="444" t="s">
        <v>3201</v>
      </c>
      <c r="G1438" s="558"/>
      <c r="H1438" s="558"/>
      <c r="I1438" s="558"/>
      <c r="J1438" s="558"/>
      <c r="K1438" s="559" t="s">
        <v>5068</v>
      </c>
      <c r="L1438" s="577">
        <v>120</v>
      </c>
      <c r="M1438" s="3">
        <v>91</v>
      </c>
      <c r="N1438" s="3">
        <v>211</v>
      </c>
      <c r="O1438" s="559">
        <v>75</v>
      </c>
      <c r="P1438" s="3" t="s">
        <v>1361</v>
      </c>
      <c r="Q1438" s="2">
        <v>278</v>
      </c>
      <c r="R1438" s="3"/>
      <c r="S1438" s="2">
        <v>0</v>
      </c>
      <c r="T1438" s="2">
        <v>278</v>
      </c>
      <c r="U1438" s="349">
        <v>0.7</v>
      </c>
      <c r="V1438" s="349"/>
      <c r="W1438" s="349">
        <v>0.7</v>
      </c>
      <c r="X1438" s="349"/>
      <c r="Y1438" s="349">
        <v>0</v>
      </c>
      <c r="Z1438" s="349"/>
      <c r="AA1438" s="561">
        <v>0.66500000000000004</v>
      </c>
      <c r="AB1438" s="348">
        <v>185</v>
      </c>
      <c r="AC1438" s="563">
        <v>89</v>
      </c>
      <c r="AD1438" s="2"/>
      <c r="AE1438" s="4"/>
      <c r="AF1438" s="495"/>
      <c r="AG1438" s="511"/>
    </row>
    <row r="1439" spans="2:33" x14ac:dyDescent="0.25">
      <c r="B1439" s="430"/>
      <c r="C1439" s="558" t="s">
        <v>1368</v>
      </c>
      <c r="D1439" s="3" t="s">
        <v>1279</v>
      </c>
      <c r="E1439" s="558" t="s">
        <v>4789</v>
      </c>
      <c r="F1439" s="444" t="s">
        <v>3201</v>
      </c>
      <c r="G1439" s="558"/>
      <c r="H1439" s="558"/>
      <c r="I1439" s="558"/>
      <c r="J1439" s="558"/>
      <c r="K1439" s="559" t="s">
        <v>5069</v>
      </c>
      <c r="L1439" s="577">
        <v>120</v>
      </c>
      <c r="M1439" s="3">
        <v>-28</v>
      </c>
      <c r="N1439" s="3">
        <v>92</v>
      </c>
      <c r="O1439" s="559">
        <v>75</v>
      </c>
      <c r="P1439" s="3" t="s">
        <v>1361</v>
      </c>
      <c r="Q1439" s="2">
        <v>121</v>
      </c>
      <c r="R1439" s="3"/>
      <c r="S1439" s="2">
        <v>0</v>
      </c>
      <c r="T1439" s="2">
        <v>121</v>
      </c>
      <c r="U1439" s="349">
        <v>0.7</v>
      </c>
      <c r="V1439" s="349"/>
      <c r="W1439" s="349">
        <v>0.7</v>
      </c>
      <c r="X1439" s="349"/>
      <c r="Y1439" s="349">
        <v>0</v>
      </c>
      <c r="Z1439" s="349"/>
      <c r="AA1439" s="561">
        <v>0.66500000000000004</v>
      </c>
      <c r="AB1439" s="348">
        <v>81</v>
      </c>
      <c r="AC1439" s="563">
        <v>89</v>
      </c>
      <c r="AD1439" s="2"/>
      <c r="AE1439" s="4"/>
      <c r="AF1439" s="495"/>
      <c r="AG1439" s="511"/>
    </row>
    <row r="1440" spans="2:33" x14ac:dyDescent="0.25">
      <c r="B1440" s="430"/>
      <c r="C1440" s="558" t="s">
        <v>1368</v>
      </c>
      <c r="D1440" s="3" t="s">
        <v>1279</v>
      </c>
      <c r="E1440" s="558" t="s">
        <v>4790</v>
      </c>
      <c r="F1440" s="444" t="s">
        <v>3201</v>
      </c>
      <c r="G1440" s="558"/>
      <c r="H1440" s="558"/>
      <c r="I1440" s="558"/>
      <c r="J1440" s="558"/>
      <c r="K1440" s="559" t="s">
        <v>5070</v>
      </c>
      <c r="L1440" s="577">
        <v>120</v>
      </c>
      <c r="M1440" s="3">
        <v>91</v>
      </c>
      <c r="N1440" s="3">
        <v>211</v>
      </c>
      <c r="O1440" s="559">
        <v>150</v>
      </c>
      <c r="P1440" s="3" t="s">
        <v>1361</v>
      </c>
      <c r="Q1440" s="2">
        <v>278</v>
      </c>
      <c r="R1440" s="3"/>
      <c r="S1440" s="2">
        <v>0</v>
      </c>
      <c r="T1440" s="2">
        <v>278</v>
      </c>
      <c r="U1440" s="349">
        <v>1</v>
      </c>
      <c r="V1440" s="349"/>
      <c r="W1440" s="349">
        <v>1</v>
      </c>
      <c r="X1440" s="349"/>
      <c r="Y1440" s="349">
        <v>0</v>
      </c>
      <c r="Z1440" s="349"/>
      <c r="AA1440" s="561">
        <v>0.95</v>
      </c>
      <c r="AB1440" s="348">
        <v>264</v>
      </c>
      <c r="AC1440" s="563">
        <v>55</v>
      </c>
      <c r="AD1440" s="2"/>
      <c r="AE1440" s="4"/>
      <c r="AF1440" s="495"/>
      <c r="AG1440" s="511"/>
    </row>
    <row r="1441" spans="2:33" x14ac:dyDescent="0.25">
      <c r="B1441" s="430"/>
      <c r="C1441" s="558" t="s">
        <v>1368</v>
      </c>
      <c r="D1441" s="3" t="s">
        <v>1279</v>
      </c>
      <c r="E1441" s="558" t="s">
        <v>4791</v>
      </c>
      <c r="F1441" s="444" t="s">
        <v>3201</v>
      </c>
      <c r="G1441" s="558"/>
      <c r="H1441" s="558"/>
      <c r="I1441" s="558"/>
      <c r="J1441" s="558"/>
      <c r="K1441" s="559" t="s">
        <v>5071</v>
      </c>
      <c r="L1441" s="577">
        <v>120</v>
      </c>
      <c r="M1441" s="3">
        <v>31</v>
      </c>
      <c r="N1441" s="3">
        <v>151</v>
      </c>
      <c r="O1441" s="559">
        <v>80</v>
      </c>
      <c r="P1441" s="3" t="s">
        <v>1361</v>
      </c>
      <c r="Q1441" s="2">
        <v>199</v>
      </c>
      <c r="R1441" s="3"/>
      <c r="S1441" s="2">
        <v>0</v>
      </c>
      <c r="T1441" s="2">
        <v>199</v>
      </c>
      <c r="U1441" s="349">
        <v>0</v>
      </c>
      <c r="V1441" s="349"/>
      <c r="W1441" s="349">
        <v>0</v>
      </c>
      <c r="X1441" s="349"/>
      <c r="Y1441" s="349">
        <v>0</v>
      </c>
      <c r="Z1441" s="349"/>
      <c r="AA1441" s="561">
        <v>0</v>
      </c>
      <c r="AB1441" s="348">
        <v>0</v>
      </c>
      <c r="AC1441" s="563">
        <v>0</v>
      </c>
      <c r="AD1441" s="2"/>
      <c r="AE1441" s="4"/>
      <c r="AF1441" s="495"/>
      <c r="AG1441" s="511"/>
    </row>
    <row r="1442" spans="2:33" x14ac:dyDescent="0.25">
      <c r="B1442" s="430"/>
      <c r="C1442" s="558" t="s">
        <v>1368</v>
      </c>
      <c r="D1442" s="3" t="s">
        <v>1279</v>
      </c>
      <c r="E1442" s="558" t="s">
        <v>4792</v>
      </c>
      <c r="F1442" s="444" t="s">
        <v>3201</v>
      </c>
      <c r="G1442" s="558"/>
      <c r="H1442" s="558"/>
      <c r="I1442" s="558"/>
      <c r="J1442" s="558"/>
      <c r="K1442" s="559" t="s">
        <v>5072</v>
      </c>
      <c r="L1442" s="577">
        <v>120</v>
      </c>
      <c r="M1442" s="3">
        <v>15</v>
      </c>
      <c r="N1442" s="3">
        <v>135</v>
      </c>
      <c r="O1442" s="559">
        <v>70</v>
      </c>
      <c r="P1442" s="3" t="s">
        <v>1361</v>
      </c>
      <c r="Q1442" s="2">
        <v>178</v>
      </c>
      <c r="R1442" s="3"/>
      <c r="S1442" s="2">
        <v>0</v>
      </c>
      <c r="T1442" s="2">
        <v>178</v>
      </c>
      <c r="U1442" s="349">
        <v>1</v>
      </c>
      <c r="V1442" s="349"/>
      <c r="W1442" s="349">
        <v>0.7</v>
      </c>
      <c r="X1442" s="349"/>
      <c r="Y1442" s="349">
        <v>0</v>
      </c>
      <c r="Z1442" s="349"/>
      <c r="AA1442" s="561">
        <v>0.68</v>
      </c>
      <c r="AB1442" s="348">
        <v>121</v>
      </c>
      <c r="AC1442" s="563">
        <v>64</v>
      </c>
      <c r="AD1442" s="2"/>
      <c r="AE1442" s="4"/>
      <c r="AF1442" s="495"/>
      <c r="AG1442" s="511"/>
    </row>
    <row r="1443" spans="2:33" x14ac:dyDescent="0.25">
      <c r="B1443" s="430"/>
      <c r="C1443" s="558" t="s">
        <v>1368</v>
      </c>
      <c r="D1443" s="3" t="s">
        <v>1279</v>
      </c>
      <c r="E1443" s="558" t="s">
        <v>4793</v>
      </c>
      <c r="F1443" s="444" t="s">
        <v>3201</v>
      </c>
      <c r="G1443" s="558"/>
      <c r="H1443" s="558"/>
      <c r="I1443" s="558"/>
      <c r="J1443" s="558"/>
      <c r="K1443" s="559" t="s">
        <v>5073</v>
      </c>
      <c r="L1443" s="577">
        <v>120</v>
      </c>
      <c r="M1443" s="3">
        <v>217</v>
      </c>
      <c r="N1443" s="3">
        <v>337</v>
      </c>
      <c r="O1443" s="559">
        <v>100</v>
      </c>
      <c r="P1443" s="3" t="s">
        <v>1361</v>
      </c>
      <c r="Q1443" s="2">
        <v>444</v>
      </c>
      <c r="R1443" s="3"/>
      <c r="S1443" s="2">
        <v>0</v>
      </c>
      <c r="T1443" s="2">
        <v>444</v>
      </c>
      <c r="U1443" s="349">
        <v>1</v>
      </c>
      <c r="V1443" s="349"/>
      <c r="W1443" s="349">
        <v>0.8</v>
      </c>
      <c r="X1443" s="349"/>
      <c r="Y1443" s="349">
        <v>0</v>
      </c>
      <c r="Z1443" s="349"/>
      <c r="AA1443" s="561">
        <v>0.77</v>
      </c>
      <c r="AB1443" s="348">
        <v>342</v>
      </c>
      <c r="AC1443" s="563">
        <v>60</v>
      </c>
      <c r="AD1443" s="2"/>
      <c r="AE1443" s="4"/>
      <c r="AF1443" s="495"/>
      <c r="AG1443" s="511"/>
    </row>
    <row r="1444" spans="2:33" x14ac:dyDescent="0.25">
      <c r="B1444" s="430"/>
      <c r="C1444" s="558" t="s">
        <v>1368</v>
      </c>
      <c r="D1444" s="3" t="s">
        <v>1279</v>
      </c>
      <c r="E1444" s="558" t="s">
        <v>4794</v>
      </c>
      <c r="F1444" s="444" t="s">
        <v>3201</v>
      </c>
      <c r="G1444" s="558"/>
      <c r="H1444" s="558"/>
      <c r="I1444" s="558"/>
      <c r="J1444" s="558"/>
      <c r="K1444" s="559" t="s">
        <v>5074</v>
      </c>
      <c r="L1444" s="577">
        <v>120</v>
      </c>
      <c r="M1444" s="3">
        <v>-28</v>
      </c>
      <c r="N1444" s="3">
        <v>92</v>
      </c>
      <c r="O1444" s="559">
        <v>80</v>
      </c>
      <c r="P1444" s="3" t="s">
        <v>1361</v>
      </c>
      <c r="Q1444" s="2">
        <v>121</v>
      </c>
      <c r="R1444" s="3"/>
      <c r="S1444" s="2">
        <v>0</v>
      </c>
      <c r="T1444" s="2">
        <v>121</v>
      </c>
      <c r="U1444" s="349">
        <v>0</v>
      </c>
      <c r="V1444" s="349"/>
      <c r="W1444" s="349">
        <v>0</v>
      </c>
      <c r="X1444" s="349"/>
      <c r="Y1444" s="349">
        <v>0</v>
      </c>
      <c r="Z1444" s="349"/>
      <c r="AA1444" s="561">
        <v>0</v>
      </c>
      <c r="AB1444" s="348">
        <v>0</v>
      </c>
      <c r="AC1444" s="563">
        <v>0</v>
      </c>
      <c r="AD1444" s="2"/>
      <c r="AE1444" s="4"/>
      <c r="AF1444" s="495"/>
      <c r="AG1444" s="511"/>
    </row>
    <row r="1445" spans="2:33" x14ac:dyDescent="0.25">
      <c r="B1445" s="430"/>
      <c r="C1445" s="558" t="s">
        <v>1368</v>
      </c>
      <c r="D1445" s="3" t="s">
        <v>1279</v>
      </c>
      <c r="E1445" s="558" t="s">
        <v>4795</v>
      </c>
      <c r="F1445" s="444" t="s">
        <v>3201</v>
      </c>
      <c r="G1445" s="558"/>
      <c r="H1445" s="558"/>
      <c r="I1445" s="558"/>
      <c r="J1445" s="558"/>
      <c r="K1445" s="559" t="s">
        <v>5075</v>
      </c>
      <c r="L1445" s="577">
        <v>120</v>
      </c>
      <c r="M1445" s="3">
        <v>-28</v>
      </c>
      <c r="N1445" s="3">
        <v>92</v>
      </c>
      <c r="O1445" s="559">
        <v>80</v>
      </c>
      <c r="P1445" s="3" t="s">
        <v>1361</v>
      </c>
      <c r="Q1445" s="2">
        <v>121</v>
      </c>
      <c r="R1445" s="3"/>
      <c r="S1445" s="2">
        <v>0</v>
      </c>
      <c r="T1445" s="2">
        <v>121</v>
      </c>
      <c r="U1445" s="349">
        <v>0</v>
      </c>
      <c r="V1445" s="349"/>
      <c r="W1445" s="349">
        <v>0</v>
      </c>
      <c r="X1445" s="349"/>
      <c r="Y1445" s="349">
        <v>0</v>
      </c>
      <c r="Z1445" s="349"/>
      <c r="AA1445" s="561">
        <v>0</v>
      </c>
      <c r="AB1445" s="348">
        <v>0</v>
      </c>
      <c r="AC1445" s="563">
        <v>0</v>
      </c>
      <c r="AD1445" s="2"/>
      <c r="AE1445" s="4"/>
      <c r="AF1445" s="495"/>
      <c r="AG1445" s="511"/>
    </row>
    <row r="1446" spans="2:33" x14ac:dyDescent="0.25">
      <c r="B1446" s="430"/>
      <c r="C1446" s="558" t="s">
        <v>1368</v>
      </c>
      <c r="D1446" s="3" t="s">
        <v>1279</v>
      </c>
      <c r="E1446" s="444" t="s">
        <v>5017</v>
      </c>
      <c r="F1446" s="444" t="s">
        <v>3201</v>
      </c>
      <c r="G1446" s="558"/>
      <c r="H1446" s="558"/>
      <c r="I1446" s="558"/>
      <c r="J1446" s="558"/>
      <c r="K1446" s="559" t="s">
        <v>5076</v>
      </c>
      <c r="L1446" s="577">
        <v>120</v>
      </c>
      <c r="M1446" s="3">
        <v>37</v>
      </c>
      <c r="N1446" s="3">
        <v>157</v>
      </c>
      <c r="O1446" s="3">
        <v>80</v>
      </c>
      <c r="P1446" s="3" t="s">
        <v>1361</v>
      </c>
      <c r="Q1446" s="2">
        <v>207</v>
      </c>
      <c r="R1446" s="3"/>
      <c r="S1446" s="2">
        <v>0</v>
      </c>
      <c r="T1446" s="2">
        <v>207</v>
      </c>
      <c r="U1446" s="349">
        <v>0</v>
      </c>
      <c r="V1446" s="349"/>
      <c r="W1446" s="349">
        <v>0</v>
      </c>
      <c r="X1446" s="349"/>
      <c r="Y1446" s="349">
        <v>0</v>
      </c>
      <c r="Z1446" s="349"/>
      <c r="AA1446" s="437">
        <v>0</v>
      </c>
      <c r="AB1446" s="348">
        <v>0</v>
      </c>
      <c r="AC1446" s="467">
        <v>0</v>
      </c>
      <c r="AD1446" s="2"/>
      <c r="AE1446" s="4"/>
      <c r="AF1446" s="495"/>
      <c r="AG1446" s="511"/>
    </row>
    <row r="1447" spans="2:33" x14ac:dyDescent="0.25">
      <c r="B1447" s="430"/>
      <c r="C1447" s="558" t="s">
        <v>1368</v>
      </c>
      <c r="D1447" s="3" t="s">
        <v>1279</v>
      </c>
      <c r="E1447" s="444" t="s">
        <v>5018</v>
      </c>
      <c r="F1447" s="444" t="s">
        <v>3201</v>
      </c>
      <c r="G1447" s="558"/>
      <c r="H1447" s="558"/>
      <c r="I1447" s="558"/>
      <c r="J1447" s="558"/>
      <c r="K1447" s="559" t="s">
        <v>5077</v>
      </c>
      <c r="L1447" s="577">
        <v>120</v>
      </c>
      <c r="M1447" s="3">
        <v>21</v>
      </c>
      <c r="N1447" s="3">
        <v>141</v>
      </c>
      <c r="O1447" s="3">
        <v>80</v>
      </c>
      <c r="P1447" s="3" t="s">
        <v>1361</v>
      </c>
      <c r="Q1447" s="2">
        <v>186</v>
      </c>
      <c r="R1447" s="3"/>
      <c r="S1447" s="2">
        <v>0</v>
      </c>
      <c r="T1447" s="2">
        <v>186</v>
      </c>
      <c r="U1447" s="349">
        <v>0</v>
      </c>
      <c r="V1447" s="349"/>
      <c r="W1447" s="349">
        <v>0</v>
      </c>
      <c r="X1447" s="349"/>
      <c r="Y1447" s="349">
        <v>0</v>
      </c>
      <c r="Z1447" s="349"/>
      <c r="AA1447" s="437">
        <v>0</v>
      </c>
      <c r="AB1447" s="348">
        <v>0</v>
      </c>
      <c r="AC1447" s="467">
        <v>0</v>
      </c>
      <c r="AD1447" s="2"/>
      <c r="AE1447" s="4"/>
      <c r="AF1447" s="495"/>
      <c r="AG1447" s="511"/>
    </row>
    <row r="1448" spans="2:33" x14ac:dyDescent="0.25">
      <c r="B1448" s="430"/>
      <c r="C1448" s="558" t="s">
        <v>1368</v>
      </c>
      <c r="D1448" s="3" t="s">
        <v>1279</v>
      </c>
      <c r="E1448" s="444" t="s">
        <v>5019</v>
      </c>
      <c r="F1448" s="444" t="s">
        <v>3201</v>
      </c>
      <c r="G1448" s="558"/>
      <c r="H1448" s="558"/>
      <c r="I1448" s="558"/>
      <c r="J1448" s="558"/>
      <c r="K1448" s="559" t="s">
        <v>5078</v>
      </c>
      <c r="L1448" s="577">
        <v>120</v>
      </c>
      <c r="M1448" s="3">
        <v>16</v>
      </c>
      <c r="N1448" s="3">
        <v>136</v>
      </c>
      <c r="O1448" s="3">
        <v>80</v>
      </c>
      <c r="P1448" s="3" t="s">
        <v>1361</v>
      </c>
      <c r="Q1448" s="2">
        <v>179</v>
      </c>
      <c r="R1448" s="3"/>
      <c r="S1448" s="2">
        <v>0</v>
      </c>
      <c r="T1448" s="2">
        <v>179</v>
      </c>
      <c r="U1448" s="349">
        <v>0</v>
      </c>
      <c r="V1448" s="349"/>
      <c r="W1448" s="349">
        <v>0</v>
      </c>
      <c r="X1448" s="349"/>
      <c r="Y1448" s="349">
        <v>0</v>
      </c>
      <c r="Z1448" s="349"/>
      <c r="AA1448" s="437">
        <v>0</v>
      </c>
      <c r="AB1448" s="348">
        <v>0</v>
      </c>
      <c r="AC1448" s="467">
        <v>0</v>
      </c>
      <c r="AD1448" s="2"/>
      <c r="AE1448" s="4"/>
      <c r="AF1448" s="495"/>
      <c r="AG1448" s="511"/>
    </row>
    <row r="1449" spans="2:33" x14ac:dyDescent="0.25">
      <c r="B1449" s="598"/>
      <c r="C1449" s="558" t="s">
        <v>1368</v>
      </c>
      <c r="D1449" s="3" t="s">
        <v>1279</v>
      </c>
      <c r="E1449" s="431" t="s">
        <v>5086</v>
      </c>
      <c r="F1449" s="444" t="s">
        <v>3201</v>
      </c>
      <c r="G1449" s="431"/>
      <c r="H1449" s="444"/>
      <c r="I1449" s="431"/>
      <c r="J1449" s="431"/>
      <c r="K1449" s="444" t="s">
        <v>5079</v>
      </c>
      <c r="L1449" s="577">
        <v>280</v>
      </c>
      <c r="M1449" s="3">
        <v>-22</v>
      </c>
      <c r="N1449" s="3">
        <v>258</v>
      </c>
      <c r="O1449" s="3">
        <v>280</v>
      </c>
      <c r="P1449" s="3" t="s">
        <v>1361</v>
      </c>
      <c r="Q1449" s="2">
        <v>340</v>
      </c>
      <c r="R1449" s="3"/>
      <c r="S1449" s="2">
        <v>0</v>
      </c>
      <c r="T1449" s="2">
        <v>340</v>
      </c>
      <c r="U1449" s="349">
        <v>1</v>
      </c>
      <c r="V1449" s="349"/>
      <c r="W1449" s="349">
        <v>1</v>
      </c>
      <c r="X1449" s="349"/>
      <c r="Y1449" s="349">
        <v>0</v>
      </c>
      <c r="Z1449" s="349"/>
      <c r="AA1449" s="437">
        <v>0.95</v>
      </c>
      <c r="AB1449" s="348">
        <v>323</v>
      </c>
      <c r="AC1449" s="467">
        <v>70</v>
      </c>
      <c r="AD1449" s="2"/>
      <c r="AE1449" s="4"/>
      <c r="AF1449" s="495"/>
      <c r="AG1449" s="511"/>
    </row>
    <row r="1450" spans="2:33" x14ac:dyDescent="0.25">
      <c r="B1450" s="598"/>
      <c r="C1450" s="558" t="s">
        <v>1368</v>
      </c>
      <c r="D1450" s="3" t="s">
        <v>1279</v>
      </c>
      <c r="E1450" s="431" t="s">
        <v>5087</v>
      </c>
      <c r="F1450" s="444" t="s">
        <v>3201</v>
      </c>
      <c r="G1450" s="431"/>
      <c r="H1450" s="444"/>
      <c r="I1450" s="431"/>
      <c r="J1450" s="431"/>
      <c r="K1450" s="444" t="s">
        <v>5080</v>
      </c>
      <c r="L1450" s="577">
        <v>75</v>
      </c>
      <c r="M1450" s="3">
        <v>165</v>
      </c>
      <c r="N1450" s="3">
        <v>240</v>
      </c>
      <c r="O1450" s="3">
        <v>50</v>
      </c>
      <c r="P1450" s="3" t="s">
        <v>1361</v>
      </c>
      <c r="Q1450" s="2">
        <v>316</v>
      </c>
      <c r="R1450" s="3"/>
      <c r="S1450" s="2">
        <v>0</v>
      </c>
      <c r="T1450" s="2">
        <v>316</v>
      </c>
      <c r="U1450" s="349">
        <v>1</v>
      </c>
      <c r="V1450" s="349"/>
      <c r="W1450" s="349">
        <v>0.65</v>
      </c>
      <c r="X1450" s="349"/>
      <c r="Y1450" s="349">
        <v>0</v>
      </c>
      <c r="Z1450" s="349"/>
      <c r="AA1450" s="437">
        <v>0.63500000000000001</v>
      </c>
      <c r="AB1450" s="348">
        <v>201</v>
      </c>
      <c r="AC1450" s="467">
        <v>17</v>
      </c>
      <c r="AD1450" s="2"/>
      <c r="AE1450" s="4"/>
      <c r="AF1450" s="495"/>
      <c r="AG1450" s="511"/>
    </row>
    <row r="1451" spans="2:33" x14ac:dyDescent="0.25">
      <c r="B1451" s="598"/>
      <c r="C1451" s="558" t="s">
        <v>1368</v>
      </c>
      <c r="D1451" s="3" t="s">
        <v>1279</v>
      </c>
      <c r="E1451" s="431" t="s">
        <v>5088</v>
      </c>
      <c r="F1451" s="444" t="s">
        <v>3201</v>
      </c>
      <c r="G1451" s="431"/>
      <c r="H1451" s="444"/>
      <c r="I1451" s="431"/>
      <c r="J1451" s="431"/>
      <c r="K1451" s="444" t="s">
        <v>5081</v>
      </c>
      <c r="L1451" s="577">
        <v>75</v>
      </c>
      <c r="M1451" s="3">
        <v>340</v>
      </c>
      <c r="N1451" s="3">
        <v>415</v>
      </c>
      <c r="O1451" s="3">
        <v>75</v>
      </c>
      <c r="P1451" s="3" t="s">
        <v>1361</v>
      </c>
      <c r="Q1451" s="2">
        <v>547</v>
      </c>
      <c r="R1451" s="3"/>
      <c r="S1451" s="2">
        <v>0</v>
      </c>
      <c r="T1451" s="2">
        <v>547</v>
      </c>
      <c r="U1451" s="349">
        <v>1</v>
      </c>
      <c r="V1451" s="349"/>
      <c r="W1451" s="349">
        <v>1</v>
      </c>
      <c r="X1451" s="349"/>
      <c r="Y1451" s="349">
        <v>0</v>
      </c>
      <c r="Z1451" s="349"/>
      <c r="AA1451" s="437">
        <v>0.95</v>
      </c>
      <c r="AB1451" s="348">
        <v>520</v>
      </c>
      <c r="AC1451" s="467">
        <v>15</v>
      </c>
      <c r="AD1451" s="2"/>
      <c r="AE1451" s="4"/>
      <c r="AF1451" s="495"/>
      <c r="AG1451" s="511"/>
    </row>
    <row r="1452" spans="2:33" x14ac:dyDescent="0.25">
      <c r="B1452" s="430"/>
      <c r="C1452" s="558"/>
      <c r="D1452" s="3"/>
      <c r="E1452" s="558"/>
      <c r="F1452" s="444"/>
      <c r="G1452" s="431"/>
      <c r="H1452" s="444"/>
      <c r="I1452" s="431"/>
      <c r="J1452" s="431"/>
      <c r="K1452" s="431"/>
      <c r="L1452" s="577"/>
      <c r="M1452" s="3"/>
      <c r="N1452" s="3"/>
      <c r="O1452" s="3"/>
      <c r="P1452" s="3"/>
      <c r="Q1452" s="2"/>
      <c r="R1452" s="3"/>
      <c r="S1452" s="2"/>
      <c r="T1452" s="2"/>
      <c r="U1452" s="570">
        <v>0</v>
      </c>
      <c r="V1452" s="349"/>
      <c r="W1452" s="349">
        <v>0</v>
      </c>
      <c r="X1452" s="349"/>
      <c r="Y1452" s="349">
        <v>0</v>
      </c>
      <c r="Z1452" s="349"/>
      <c r="AA1452" s="437">
        <v>0</v>
      </c>
      <c r="AB1452" s="348">
        <v>0</v>
      </c>
      <c r="AC1452" s="467">
        <v>0</v>
      </c>
      <c r="AD1452" s="2"/>
      <c r="AE1452" s="4"/>
      <c r="AF1452" s="495"/>
      <c r="AG1452" s="511"/>
    </row>
    <row r="1453" spans="2:33" x14ac:dyDescent="0.25">
      <c r="B1453" s="430"/>
      <c r="C1453" s="431"/>
      <c r="D1453" s="431"/>
      <c r="E1453" s="431"/>
      <c r="F1453" s="444"/>
      <c r="G1453" s="431"/>
      <c r="H1453" s="444"/>
      <c r="I1453" s="431"/>
      <c r="J1453" s="431"/>
      <c r="K1453" s="444"/>
      <c r="L1453" s="3"/>
      <c r="M1453" s="3"/>
      <c r="N1453" s="3"/>
      <c r="O1453" s="3"/>
      <c r="P1453" s="3"/>
      <c r="Q1453" s="2"/>
      <c r="R1453" s="3"/>
      <c r="S1453" s="2"/>
      <c r="T1453" s="2"/>
      <c r="U1453" s="570"/>
      <c r="V1453" s="349"/>
      <c r="W1453" s="349"/>
      <c r="X1453" s="349"/>
      <c r="Y1453" s="349"/>
      <c r="Z1453" s="349"/>
      <c r="AA1453" s="350"/>
      <c r="AB1453" s="348"/>
      <c r="AC1453" s="348"/>
      <c r="AD1453" s="2"/>
      <c r="AE1453" s="4"/>
      <c r="AF1453" s="495"/>
      <c r="AG1453" s="511"/>
    </row>
    <row r="1454" spans="2:33" x14ac:dyDescent="0.25">
      <c r="B1454" s="430"/>
      <c r="C1454" s="431"/>
      <c r="D1454" s="431"/>
      <c r="E1454" s="431"/>
      <c r="F1454" s="444"/>
      <c r="G1454" s="431"/>
      <c r="H1454" s="444"/>
      <c r="I1454" s="431"/>
      <c r="J1454" s="431"/>
      <c r="K1454" s="444"/>
      <c r="L1454" s="3"/>
      <c r="M1454" s="3"/>
      <c r="N1454" s="3"/>
      <c r="O1454" s="3"/>
      <c r="P1454" s="3"/>
      <c r="Q1454" s="2"/>
      <c r="R1454" s="3"/>
      <c r="S1454" s="2"/>
      <c r="T1454" s="2"/>
      <c r="U1454" s="570"/>
      <c r="V1454" s="349"/>
      <c r="W1454" s="349"/>
      <c r="X1454" s="349"/>
      <c r="Y1454" s="349"/>
      <c r="Z1454" s="349"/>
      <c r="AA1454" s="350"/>
      <c r="AB1454" s="348"/>
      <c r="AC1454" s="348"/>
      <c r="AD1454" s="2"/>
      <c r="AE1454" s="4"/>
      <c r="AF1454" s="495"/>
      <c r="AG1454" s="511"/>
    </row>
    <row r="1455" spans="2:33" x14ac:dyDescent="0.25">
      <c r="B1455" s="430"/>
      <c r="C1455" s="431"/>
      <c r="D1455" s="431"/>
      <c r="E1455" s="431"/>
      <c r="F1455" s="444"/>
      <c r="G1455" s="431"/>
      <c r="H1455" s="444"/>
      <c r="I1455" s="431"/>
      <c r="J1455" s="431"/>
      <c r="K1455" s="444"/>
      <c r="L1455" s="3"/>
      <c r="M1455" s="3"/>
      <c r="N1455" s="3"/>
      <c r="O1455" s="3"/>
      <c r="P1455" s="3"/>
      <c r="Q1455" s="2"/>
      <c r="R1455" s="3"/>
      <c r="S1455" s="2"/>
      <c r="T1455" s="2"/>
      <c r="U1455" s="570"/>
      <c r="V1455" s="349"/>
      <c r="W1455" s="349"/>
      <c r="X1455" s="349"/>
      <c r="Y1455" s="349"/>
      <c r="Z1455" s="349"/>
      <c r="AA1455" s="350"/>
      <c r="AB1455" s="348"/>
      <c r="AC1455" s="348"/>
      <c r="AD1455" s="2"/>
      <c r="AE1455" s="4"/>
      <c r="AF1455" s="495"/>
      <c r="AG1455" s="511"/>
    </row>
    <row r="1456" spans="2:33" x14ac:dyDescent="0.25">
      <c r="B1456" s="430"/>
      <c r="C1456" s="431"/>
      <c r="D1456" s="431"/>
      <c r="E1456" s="431"/>
      <c r="F1456" s="444"/>
      <c r="G1456" s="431"/>
      <c r="H1456" s="444"/>
      <c r="I1456" s="431"/>
      <c r="J1456" s="431"/>
      <c r="K1456" s="444"/>
      <c r="L1456" s="3"/>
      <c r="M1456" s="3"/>
      <c r="N1456" s="3"/>
      <c r="O1456" s="3"/>
      <c r="P1456" s="3"/>
      <c r="Q1456" s="2"/>
      <c r="R1456" s="3"/>
      <c r="S1456" s="2"/>
      <c r="T1456" s="2"/>
      <c r="U1456" s="570"/>
      <c r="V1456" s="349"/>
      <c r="W1456" s="349"/>
      <c r="X1456" s="349"/>
      <c r="Y1456" s="349"/>
      <c r="Z1456" s="349"/>
      <c r="AA1456" s="350"/>
      <c r="AB1456" s="348"/>
      <c r="AC1456" s="348"/>
      <c r="AD1456" s="2"/>
      <c r="AE1456" s="4"/>
      <c r="AF1456" s="495"/>
      <c r="AG1456" s="511"/>
    </row>
    <row r="1457" spans="2:33" x14ac:dyDescent="0.25">
      <c r="B1457" s="430"/>
      <c r="C1457" s="431"/>
      <c r="D1457" s="431"/>
      <c r="E1457" s="431"/>
      <c r="F1457" s="444"/>
      <c r="G1457" s="431"/>
      <c r="H1457" s="444"/>
      <c r="I1457" s="431"/>
      <c r="J1457" s="431"/>
      <c r="K1457" s="444"/>
      <c r="L1457" s="3"/>
      <c r="M1457" s="3"/>
      <c r="N1457" s="3"/>
      <c r="O1457" s="3"/>
      <c r="P1457" s="3"/>
      <c r="Q1457" s="2"/>
      <c r="R1457" s="3"/>
      <c r="S1457" s="2"/>
      <c r="T1457" s="2"/>
      <c r="U1457" s="570"/>
      <c r="V1457" s="349"/>
      <c r="W1457" s="349"/>
      <c r="X1457" s="349"/>
      <c r="Y1457" s="349"/>
      <c r="Z1457" s="349"/>
      <c r="AA1457" s="350"/>
      <c r="AB1457" s="348"/>
      <c r="AC1457" s="348"/>
      <c r="AD1457" s="2"/>
      <c r="AE1457" s="4"/>
      <c r="AF1457" s="495"/>
      <c r="AG1457" s="511"/>
    </row>
    <row r="1458" spans="2:33" ht="64.5" x14ac:dyDescent="0.25">
      <c r="B1458" s="355" t="s">
        <v>6</v>
      </c>
      <c r="C1458" s="356" t="s">
        <v>7</v>
      </c>
      <c r="D1458" s="356" t="s">
        <v>18</v>
      </c>
      <c r="E1458" s="394" t="s">
        <v>1354</v>
      </c>
      <c r="F1458" s="537" t="s">
        <v>3199</v>
      </c>
      <c r="G1458" s="537" t="s">
        <v>3200</v>
      </c>
      <c r="H1458" s="537" t="s">
        <v>3202</v>
      </c>
      <c r="I1458" s="537" t="s">
        <v>1353</v>
      </c>
      <c r="J1458" s="537" t="s">
        <v>3425</v>
      </c>
      <c r="K1458" s="356" t="s">
        <v>8</v>
      </c>
      <c r="L1458" s="370"/>
      <c r="M1458" s="370"/>
      <c r="N1458" s="370"/>
      <c r="O1458" s="370"/>
      <c r="P1458" s="370"/>
      <c r="Q1458" s="371"/>
      <c r="R1458" s="371"/>
      <c r="S1458" s="371"/>
      <c r="T1458" s="371"/>
      <c r="U1458" s="372" t="s">
        <v>408</v>
      </c>
      <c r="V1458" s="515" t="s">
        <v>409</v>
      </c>
      <c r="W1458" s="373" t="s">
        <v>1499</v>
      </c>
      <c r="X1458" s="373"/>
      <c r="Y1458" s="373"/>
      <c r="Z1458" s="373"/>
      <c r="AA1458" s="374"/>
      <c r="AB1458" s="371"/>
      <c r="AC1458" s="371"/>
      <c r="AD1458" s="380"/>
      <c r="AE1458" s="381"/>
      <c r="AF1458" s="493"/>
      <c r="AG1458" s="512"/>
    </row>
    <row r="1459" spans="2:33" x14ac:dyDescent="0.25">
      <c r="B1459" s="375"/>
      <c r="C1459" s="376"/>
      <c r="D1459" s="376"/>
      <c r="E1459" s="376"/>
      <c r="F1459" s="376"/>
      <c r="G1459" s="376"/>
      <c r="H1459" s="376"/>
      <c r="I1459" s="376"/>
      <c r="J1459" s="376"/>
      <c r="K1459" s="376" t="s">
        <v>1498</v>
      </c>
      <c r="L1459" s="376">
        <f>SUM(L1460:L1469)</f>
        <v>0</v>
      </c>
      <c r="M1459" s="376"/>
      <c r="N1459" s="376">
        <v>0</v>
      </c>
      <c r="O1459" s="376">
        <f>SUM(O1460:O1469)</f>
        <v>0</v>
      </c>
      <c r="P1459" s="376"/>
      <c r="Q1459" s="377">
        <f>SUM(Q1460:Q1469)</f>
        <v>0</v>
      </c>
      <c r="R1459" s="377">
        <f>SUM(R1460:R1469)</f>
        <v>0</v>
      </c>
      <c r="S1459" s="377">
        <f>SUM(S1460:S1469)</f>
        <v>0</v>
      </c>
      <c r="T1459" s="377">
        <f>SUM(T1460:T1469)</f>
        <v>0</v>
      </c>
      <c r="U1459" s="368">
        <v>0.1</v>
      </c>
      <c r="V1459" s="368">
        <v>0.8</v>
      </c>
      <c r="W1459" s="368">
        <v>0.1</v>
      </c>
      <c r="X1459" s="368">
        <v>0</v>
      </c>
      <c r="Y1459" s="368">
        <v>0</v>
      </c>
      <c r="Z1459" s="368">
        <v>0</v>
      </c>
      <c r="AA1459" s="468">
        <f t="shared" ref="AA1459:AA1469" si="216">IF(T1459,AB1459/T1459,0)</f>
        <v>0</v>
      </c>
      <c r="AB1459" s="377">
        <f>SUM(AB1460:AB1469)</f>
        <v>0</v>
      </c>
      <c r="AC1459" s="377">
        <f>SUM(AC1460:AC1469)</f>
        <v>0</v>
      </c>
      <c r="AD1459" s="382"/>
      <c r="AE1459" s="383"/>
      <c r="AF1459" s="494"/>
      <c r="AG1459" s="513"/>
    </row>
    <row r="1460" spans="2:33" x14ac:dyDescent="0.25">
      <c r="B1460" s="430" t="s">
        <v>1763</v>
      </c>
      <c r="C1460" s="431" t="s">
        <v>1368</v>
      </c>
      <c r="D1460" s="3"/>
      <c r="E1460" s="431" t="s">
        <v>3204</v>
      </c>
      <c r="F1460" s="444" t="s">
        <v>3201</v>
      </c>
      <c r="G1460" s="431" t="s">
        <v>4422</v>
      </c>
      <c r="H1460" s="444" t="s">
        <v>4110</v>
      </c>
      <c r="I1460" s="431" t="s">
        <v>4233</v>
      </c>
      <c r="J1460" s="431" t="s">
        <v>4223</v>
      </c>
      <c r="K1460" s="387" t="s">
        <v>4099</v>
      </c>
      <c r="L1460" s="3">
        <v>0</v>
      </c>
      <c r="M1460" s="3"/>
      <c r="N1460" s="3">
        <f t="shared" ref="N1460:N1469" si="217">+L1460</f>
        <v>0</v>
      </c>
      <c r="O1460" s="3"/>
      <c r="P1460" s="3" t="s">
        <v>1361</v>
      </c>
      <c r="Q1460" s="461">
        <v>0</v>
      </c>
      <c r="R1460" s="461"/>
      <c r="S1460" s="2">
        <v>0</v>
      </c>
      <c r="T1460" s="2">
        <f t="shared" ref="T1460:T1469" si="218">Q1460+S1460</f>
        <v>0</v>
      </c>
      <c r="U1460" s="349">
        <v>0</v>
      </c>
      <c r="V1460" s="349">
        <v>0</v>
      </c>
      <c r="W1460" s="349">
        <v>0</v>
      </c>
      <c r="X1460" s="349"/>
      <c r="Y1460" s="349"/>
      <c r="Z1460" s="349"/>
      <c r="AA1460" s="350">
        <f t="shared" si="216"/>
        <v>0</v>
      </c>
      <c r="AB1460" s="348">
        <f>(U1460*U$1459*T1460)+(V1460*V$1459*T1460)+(W1460*W$1459*T1460)+(Y1460*Y$1459*T1460)+(X1460*X$1459*T1460)+(Z1460*Z$1459*T1460)</f>
        <v>0</v>
      </c>
      <c r="AC1460" s="348">
        <v>0</v>
      </c>
      <c r="AD1460" s="2"/>
      <c r="AE1460" s="4"/>
      <c r="AF1460" s="4"/>
      <c r="AG1460" s="511"/>
    </row>
    <row r="1461" spans="2:33" x14ac:dyDescent="0.25">
      <c r="B1461" s="430" t="s">
        <v>1764</v>
      </c>
      <c r="C1461" s="431" t="s">
        <v>1368</v>
      </c>
      <c r="D1461" s="3"/>
      <c r="E1461" s="431" t="s">
        <v>3205</v>
      </c>
      <c r="F1461" s="444" t="s">
        <v>3201</v>
      </c>
      <c r="G1461" s="431" t="s">
        <v>4423</v>
      </c>
      <c r="H1461" s="444" t="s">
        <v>4109</v>
      </c>
      <c r="I1461" s="431" t="s">
        <v>4234</v>
      </c>
      <c r="J1461" s="431" t="s">
        <v>4224</v>
      </c>
      <c r="K1461" s="387" t="s">
        <v>4100</v>
      </c>
      <c r="L1461" s="3">
        <v>0</v>
      </c>
      <c r="M1461" s="3"/>
      <c r="N1461" s="3">
        <f t="shared" si="217"/>
        <v>0</v>
      </c>
      <c r="O1461" s="3"/>
      <c r="P1461" s="3" t="s">
        <v>1361</v>
      </c>
      <c r="Q1461" s="461">
        <v>0</v>
      </c>
      <c r="R1461" s="461"/>
      <c r="S1461" s="2">
        <v>0</v>
      </c>
      <c r="T1461" s="2">
        <f t="shared" si="218"/>
        <v>0</v>
      </c>
      <c r="U1461" s="349">
        <v>0</v>
      </c>
      <c r="V1461" s="349">
        <v>0</v>
      </c>
      <c r="W1461" s="349">
        <v>0</v>
      </c>
      <c r="X1461" s="349"/>
      <c r="Y1461" s="349"/>
      <c r="Z1461" s="349"/>
      <c r="AA1461" s="350">
        <f t="shared" si="216"/>
        <v>0</v>
      </c>
      <c r="AB1461" s="348">
        <f t="shared" ref="AB1461:AB1469" si="219">(U1461*U$1459*T1461)+(V1461*V$1459*T1461)+(W1461*W$1459*T1461)+(Y1461*Y$1459*T1461)+(X1461*X$1459*T1461)+(Z1461*Z$1459*T1461)</f>
        <v>0</v>
      </c>
      <c r="AC1461" s="348">
        <v>0</v>
      </c>
      <c r="AD1461" s="2"/>
      <c r="AE1461" s="4"/>
      <c r="AF1461" s="4"/>
      <c r="AG1461" s="511"/>
    </row>
    <row r="1462" spans="2:33" x14ac:dyDescent="0.25">
      <c r="B1462" s="430" t="s">
        <v>1765</v>
      </c>
      <c r="C1462" s="431" t="s">
        <v>1368</v>
      </c>
      <c r="D1462" s="3"/>
      <c r="E1462" s="431" t="s">
        <v>3206</v>
      </c>
      <c r="F1462" s="444" t="s">
        <v>3201</v>
      </c>
      <c r="G1462" s="431" t="s">
        <v>4424</v>
      </c>
      <c r="H1462" s="444" t="s">
        <v>4110</v>
      </c>
      <c r="I1462" s="431" t="s">
        <v>4235</v>
      </c>
      <c r="J1462" s="431" t="s">
        <v>4225</v>
      </c>
      <c r="K1462" s="387" t="s">
        <v>4101</v>
      </c>
      <c r="L1462" s="3">
        <v>0</v>
      </c>
      <c r="M1462" s="3"/>
      <c r="N1462" s="3">
        <f t="shared" si="217"/>
        <v>0</v>
      </c>
      <c r="O1462" s="3"/>
      <c r="P1462" s="3" t="s">
        <v>1361</v>
      </c>
      <c r="Q1462" s="461">
        <v>0</v>
      </c>
      <c r="R1462" s="461"/>
      <c r="S1462" s="2">
        <v>0</v>
      </c>
      <c r="T1462" s="2">
        <f t="shared" si="218"/>
        <v>0</v>
      </c>
      <c r="U1462" s="349">
        <v>0</v>
      </c>
      <c r="V1462" s="349">
        <v>0</v>
      </c>
      <c r="W1462" s="349">
        <v>0</v>
      </c>
      <c r="X1462" s="349"/>
      <c r="Y1462" s="349"/>
      <c r="Z1462" s="349"/>
      <c r="AA1462" s="350">
        <f t="shared" si="216"/>
        <v>0</v>
      </c>
      <c r="AB1462" s="348">
        <f t="shared" si="219"/>
        <v>0</v>
      </c>
      <c r="AC1462" s="348">
        <v>0</v>
      </c>
      <c r="AD1462" s="2"/>
      <c r="AE1462" s="4"/>
      <c r="AF1462" s="4"/>
      <c r="AG1462" s="511"/>
    </row>
    <row r="1463" spans="2:33" x14ac:dyDescent="0.25">
      <c r="B1463" s="430" t="s">
        <v>1766</v>
      </c>
      <c r="C1463" s="431" t="s">
        <v>1368</v>
      </c>
      <c r="D1463" s="3"/>
      <c r="E1463" s="431" t="s">
        <v>3207</v>
      </c>
      <c r="F1463" s="444" t="s">
        <v>3201</v>
      </c>
      <c r="G1463" s="431" t="s">
        <v>4425</v>
      </c>
      <c r="H1463" s="444" t="s">
        <v>4110</v>
      </c>
      <c r="I1463" s="431" t="s">
        <v>4236</v>
      </c>
      <c r="J1463" s="431" t="s">
        <v>4226</v>
      </c>
      <c r="K1463" s="387" t="s">
        <v>4102</v>
      </c>
      <c r="L1463" s="3">
        <v>0</v>
      </c>
      <c r="M1463" s="3"/>
      <c r="N1463" s="3">
        <f t="shared" si="217"/>
        <v>0</v>
      </c>
      <c r="O1463" s="3"/>
      <c r="P1463" s="3" t="s">
        <v>1361</v>
      </c>
      <c r="Q1463" s="461">
        <v>0</v>
      </c>
      <c r="R1463" s="461"/>
      <c r="S1463" s="2">
        <v>0</v>
      </c>
      <c r="T1463" s="2">
        <f t="shared" si="218"/>
        <v>0</v>
      </c>
      <c r="U1463" s="349">
        <v>0</v>
      </c>
      <c r="V1463" s="349">
        <v>0</v>
      </c>
      <c r="W1463" s="349">
        <v>0</v>
      </c>
      <c r="X1463" s="349"/>
      <c r="Y1463" s="349"/>
      <c r="Z1463" s="349"/>
      <c r="AA1463" s="350">
        <f t="shared" si="216"/>
        <v>0</v>
      </c>
      <c r="AB1463" s="348">
        <f t="shared" si="219"/>
        <v>0</v>
      </c>
      <c r="AC1463" s="348">
        <v>0</v>
      </c>
      <c r="AD1463" s="2"/>
      <c r="AE1463" s="4"/>
      <c r="AF1463" s="4"/>
      <c r="AG1463" s="511"/>
    </row>
    <row r="1464" spans="2:33" x14ac:dyDescent="0.25">
      <c r="B1464" s="430" t="s">
        <v>1767</v>
      </c>
      <c r="C1464" s="431" t="s">
        <v>1368</v>
      </c>
      <c r="D1464" s="3"/>
      <c r="E1464" s="431" t="s">
        <v>3208</v>
      </c>
      <c r="F1464" s="444" t="s">
        <v>3201</v>
      </c>
      <c r="G1464" s="431" t="s">
        <v>4426</v>
      </c>
      <c r="H1464" s="444" t="s">
        <v>4110</v>
      </c>
      <c r="I1464" s="431" t="s">
        <v>4237</v>
      </c>
      <c r="J1464" s="431" t="s">
        <v>4227</v>
      </c>
      <c r="K1464" s="387" t="s">
        <v>4103</v>
      </c>
      <c r="L1464" s="3">
        <v>0</v>
      </c>
      <c r="M1464" s="3"/>
      <c r="N1464" s="3">
        <f t="shared" si="217"/>
        <v>0</v>
      </c>
      <c r="O1464" s="3"/>
      <c r="P1464" s="3" t="s">
        <v>1361</v>
      </c>
      <c r="Q1464" s="461">
        <v>0</v>
      </c>
      <c r="R1464" s="461"/>
      <c r="S1464" s="2">
        <v>0</v>
      </c>
      <c r="T1464" s="2">
        <f t="shared" si="218"/>
        <v>0</v>
      </c>
      <c r="U1464" s="349">
        <v>0</v>
      </c>
      <c r="V1464" s="349">
        <v>0</v>
      </c>
      <c r="W1464" s="349">
        <v>0</v>
      </c>
      <c r="X1464" s="349"/>
      <c r="Y1464" s="349"/>
      <c r="Z1464" s="349"/>
      <c r="AA1464" s="350">
        <f t="shared" si="216"/>
        <v>0</v>
      </c>
      <c r="AB1464" s="348">
        <f t="shared" si="219"/>
        <v>0</v>
      </c>
      <c r="AC1464" s="348">
        <v>0</v>
      </c>
      <c r="AD1464" s="2"/>
      <c r="AE1464" s="4"/>
      <c r="AF1464" s="4"/>
      <c r="AG1464" s="511"/>
    </row>
    <row r="1465" spans="2:33" x14ac:dyDescent="0.25">
      <c r="B1465" s="430" t="s">
        <v>1768</v>
      </c>
      <c r="C1465" s="431" t="s">
        <v>1368</v>
      </c>
      <c r="D1465" s="3"/>
      <c r="E1465" s="431" t="s">
        <v>3209</v>
      </c>
      <c r="F1465" s="444" t="s">
        <v>3201</v>
      </c>
      <c r="G1465" s="431" t="s">
        <v>4427</v>
      </c>
      <c r="H1465" s="444" t="s">
        <v>4110</v>
      </c>
      <c r="I1465" s="431" t="s">
        <v>4238</v>
      </c>
      <c r="J1465" s="431" t="s">
        <v>4228</v>
      </c>
      <c r="K1465" s="387" t="s">
        <v>4104</v>
      </c>
      <c r="L1465" s="3">
        <v>0</v>
      </c>
      <c r="M1465" s="3"/>
      <c r="N1465" s="3">
        <f t="shared" si="217"/>
        <v>0</v>
      </c>
      <c r="O1465" s="3"/>
      <c r="P1465" s="3" t="s">
        <v>1361</v>
      </c>
      <c r="Q1465" s="461">
        <v>0</v>
      </c>
      <c r="R1465" s="461"/>
      <c r="S1465" s="2">
        <v>0</v>
      </c>
      <c r="T1465" s="2">
        <f t="shared" si="218"/>
        <v>0</v>
      </c>
      <c r="U1465" s="349">
        <v>0</v>
      </c>
      <c r="V1465" s="349">
        <v>0</v>
      </c>
      <c r="W1465" s="349">
        <v>0</v>
      </c>
      <c r="X1465" s="349"/>
      <c r="Y1465" s="349"/>
      <c r="Z1465" s="349"/>
      <c r="AA1465" s="350">
        <f t="shared" si="216"/>
        <v>0</v>
      </c>
      <c r="AB1465" s="348">
        <f t="shared" si="219"/>
        <v>0</v>
      </c>
      <c r="AC1465" s="348">
        <v>0</v>
      </c>
      <c r="AD1465" s="2"/>
      <c r="AE1465" s="4"/>
      <c r="AF1465" s="4"/>
      <c r="AG1465" s="511"/>
    </row>
    <row r="1466" spans="2:33" x14ac:dyDescent="0.25">
      <c r="B1466" s="430" t="s">
        <v>1769</v>
      </c>
      <c r="C1466" s="431" t="s">
        <v>1368</v>
      </c>
      <c r="D1466" s="3"/>
      <c r="E1466" s="431" t="s">
        <v>3210</v>
      </c>
      <c r="F1466" s="444" t="s">
        <v>3201</v>
      </c>
      <c r="G1466" s="431" t="s">
        <v>4428</v>
      </c>
      <c r="H1466" s="444" t="s">
        <v>4109</v>
      </c>
      <c r="I1466" s="431" t="s">
        <v>4239</v>
      </c>
      <c r="J1466" s="431" t="s">
        <v>4229</v>
      </c>
      <c r="K1466" s="387" t="s">
        <v>4105</v>
      </c>
      <c r="L1466" s="3">
        <v>0</v>
      </c>
      <c r="M1466" s="3"/>
      <c r="N1466" s="3">
        <f t="shared" si="217"/>
        <v>0</v>
      </c>
      <c r="O1466" s="3"/>
      <c r="P1466" s="3" t="s">
        <v>1361</v>
      </c>
      <c r="Q1466" s="461">
        <v>0</v>
      </c>
      <c r="R1466" s="461"/>
      <c r="S1466" s="2">
        <v>0</v>
      </c>
      <c r="T1466" s="2">
        <f t="shared" si="218"/>
        <v>0</v>
      </c>
      <c r="U1466" s="349">
        <v>0</v>
      </c>
      <c r="V1466" s="349">
        <v>0</v>
      </c>
      <c r="W1466" s="349">
        <v>0</v>
      </c>
      <c r="X1466" s="349"/>
      <c r="Y1466" s="349"/>
      <c r="Z1466" s="349"/>
      <c r="AA1466" s="350">
        <f t="shared" si="216"/>
        <v>0</v>
      </c>
      <c r="AB1466" s="348">
        <f t="shared" si="219"/>
        <v>0</v>
      </c>
      <c r="AC1466" s="348">
        <v>0</v>
      </c>
      <c r="AD1466" s="2"/>
      <c r="AE1466" s="4"/>
      <c r="AF1466" s="4"/>
      <c r="AG1466" s="511"/>
    </row>
    <row r="1467" spans="2:33" x14ac:dyDescent="0.25">
      <c r="B1467" s="430" t="s">
        <v>1770</v>
      </c>
      <c r="C1467" s="431" t="s">
        <v>1368</v>
      </c>
      <c r="D1467" s="3"/>
      <c r="E1467" s="431" t="s">
        <v>3211</v>
      </c>
      <c r="F1467" s="444" t="s">
        <v>3201</v>
      </c>
      <c r="G1467" s="431" t="s">
        <v>4429</v>
      </c>
      <c r="H1467" s="444" t="s">
        <v>4110</v>
      </c>
      <c r="I1467" s="431" t="s">
        <v>4240</v>
      </c>
      <c r="J1467" s="431" t="s">
        <v>4230</v>
      </c>
      <c r="K1467" s="387" t="s">
        <v>4106</v>
      </c>
      <c r="L1467" s="3">
        <v>0</v>
      </c>
      <c r="M1467" s="3"/>
      <c r="N1467" s="3">
        <f t="shared" si="217"/>
        <v>0</v>
      </c>
      <c r="O1467" s="3"/>
      <c r="P1467" s="3" t="s">
        <v>1361</v>
      </c>
      <c r="Q1467" s="461">
        <v>0</v>
      </c>
      <c r="R1467" s="461"/>
      <c r="S1467" s="2">
        <v>0</v>
      </c>
      <c r="T1467" s="2">
        <f t="shared" si="218"/>
        <v>0</v>
      </c>
      <c r="U1467" s="349">
        <v>0</v>
      </c>
      <c r="V1467" s="349">
        <v>0</v>
      </c>
      <c r="W1467" s="349">
        <v>0</v>
      </c>
      <c r="X1467" s="349"/>
      <c r="Y1467" s="349"/>
      <c r="Z1467" s="349"/>
      <c r="AA1467" s="350">
        <f t="shared" si="216"/>
        <v>0</v>
      </c>
      <c r="AB1467" s="348">
        <f t="shared" si="219"/>
        <v>0</v>
      </c>
      <c r="AC1467" s="348">
        <v>0</v>
      </c>
      <c r="AD1467" s="2"/>
      <c r="AE1467" s="4"/>
      <c r="AF1467" s="4"/>
      <c r="AG1467" s="511"/>
    </row>
    <row r="1468" spans="2:33" x14ac:dyDescent="0.25">
      <c r="B1468" s="430" t="s">
        <v>1771</v>
      </c>
      <c r="C1468" s="431" t="s">
        <v>1368</v>
      </c>
      <c r="D1468" s="3"/>
      <c r="E1468" s="431" t="s">
        <v>3212</v>
      </c>
      <c r="F1468" s="444" t="s">
        <v>3201</v>
      </c>
      <c r="G1468" s="431" t="s">
        <v>4430</v>
      </c>
      <c r="H1468" s="444" t="s">
        <v>4110</v>
      </c>
      <c r="I1468" s="431" t="s">
        <v>4241</v>
      </c>
      <c r="J1468" s="431" t="s">
        <v>4231</v>
      </c>
      <c r="K1468" s="387" t="s">
        <v>4107</v>
      </c>
      <c r="L1468" s="3">
        <v>0</v>
      </c>
      <c r="M1468" s="3"/>
      <c r="N1468" s="3">
        <f t="shared" si="217"/>
        <v>0</v>
      </c>
      <c r="O1468" s="3"/>
      <c r="P1468" s="3" t="s">
        <v>1361</v>
      </c>
      <c r="Q1468" s="461">
        <v>0</v>
      </c>
      <c r="R1468" s="461"/>
      <c r="S1468" s="2">
        <v>0</v>
      </c>
      <c r="T1468" s="2">
        <f t="shared" si="218"/>
        <v>0</v>
      </c>
      <c r="U1468" s="349">
        <v>0</v>
      </c>
      <c r="V1468" s="349">
        <v>0</v>
      </c>
      <c r="W1468" s="349">
        <v>0</v>
      </c>
      <c r="X1468" s="349"/>
      <c r="Y1468" s="349"/>
      <c r="Z1468" s="349"/>
      <c r="AA1468" s="350">
        <f t="shared" si="216"/>
        <v>0</v>
      </c>
      <c r="AB1468" s="348">
        <f t="shared" si="219"/>
        <v>0</v>
      </c>
      <c r="AC1468" s="348">
        <v>0</v>
      </c>
      <c r="AD1468" s="2"/>
      <c r="AE1468" s="4"/>
      <c r="AF1468" s="4"/>
      <c r="AG1468" s="511"/>
    </row>
    <row r="1469" spans="2:33" x14ac:dyDescent="0.25">
      <c r="B1469" s="430" t="s">
        <v>1772</v>
      </c>
      <c r="C1469" s="431" t="s">
        <v>1368</v>
      </c>
      <c r="D1469" s="3"/>
      <c r="E1469" s="431" t="s">
        <v>3213</v>
      </c>
      <c r="F1469" s="444" t="s">
        <v>3201</v>
      </c>
      <c r="G1469" s="431" t="s">
        <v>4431</v>
      </c>
      <c r="H1469" s="444" t="s">
        <v>4110</v>
      </c>
      <c r="I1469" s="431" t="s">
        <v>4242</v>
      </c>
      <c r="J1469" s="431" t="s">
        <v>4232</v>
      </c>
      <c r="K1469" s="387" t="s">
        <v>4108</v>
      </c>
      <c r="L1469" s="3">
        <v>0</v>
      </c>
      <c r="M1469" s="3"/>
      <c r="N1469" s="3">
        <f t="shared" si="217"/>
        <v>0</v>
      </c>
      <c r="O1469" s="3"/>
      <c r="P1469" s="3" t="s">
        <v>1361</v>
      </c>
      <c r="Q1469" s="461">
        <v>0</v>
      </c>
      <c r="R1469" s="461"/>
      <c r="S1469" s="2">
        <v>0</v>
      </c>
      <c r="T1469" s="2">
        <f t="shared" si="218"/>
        <v>0</v>
      </c>
      <c r="U1469" s="349">
        <v>0</v>
      </c>
      <c r="V1469" s="349">
        <v>0</v>
      </c>
      <c r="W1469" s="349">
        <v>0</v>
      </c>
      <c r="X1469" s="349"/>
      <c r="Y1469" s="349"/>
      <c r="Z1469" s="349"/>
      <c r="AA1469" s="350">
        <f t="shared" si="216"/>
        <v>0</v>
      </c>
      <c r="AB1469" s="348">
        <f t="shared" si="219"/>
        <v>0</v>
      </c>
      <c r="AC1469" s="348">
        <v>0</v>
      </c>
      <c r="AD1469" s="2"/>
      <c r="AE1469" s="4"/>
      <c r="AF1469" s="4"/>
      <c r="AG1469" s="511"/>
    </row>
    <row r="1470" spans="2:33" x14ac:dyDescent="0.25">
      <c r="B1470" s="477"/>
      <c r="C1470" s="415"/>
      <c r="D1470" s="415"/>
      <c r="E1470" s="471"/>
      <c r="F1470" s="415"/>
      <c r="G1470" s="415"/>
      <c r="H1470" s="415"/>
      <c r="I1470" s="415"/>
      <c r="J1470" s="415"/>
      <c r="K1470" s="471"/>
      <c r="L1470" s="415"/>
      <c r="M1470" s="415"/>
      <c r="N1470" s="415"/>
      <c r="O1470" s="415"/>
      <c r="P1470" s="415"/>
      <c r="Q1470" s="472"/>
      <c r="R1470" s="472"/>
      <c r="S1470" s="469"/>
      <c r="T1470" s="469"/>
      <c r="U1470" s="508"/>
      <c r="V1470" s="508"/>
      <c r="W1470" s="508"/>
      <c r="X1470" s="508"/>
      <c r="Y1470" s="508"/>
      <c r="Z1470" s="508"/>
      <c r="AA1470" s="506"/>
      <c r="AB1470" s="507"/>
      <c r="AC1470" s="507"/>
      <c r="AD1470" s="469"/>
      <c r="AE1470" s="470"/>
      <c r="AF1470" s="509"/>
      <c r="AG1470" s="505"/>
    </row>
    <row r="1471" spans="2:33" x14ac:dyDescent="0.25">
      <c r="B1471" s="477"/>
      <c r="C1471" s="415"/>
      <c r="D1471" s="415"/>
      <c r="E1471" s="471"/>
      <c r="F1471" s="415"/>
      <c r="G1471" s="415"/>
      <c r="H1471" s="415"/>
      <c r="I1471" s="415"/>
      <c r="J1471" s="415"/>
      <c r="K1471" s="471"/>
      <c r="L1471" s="415"/>
      <c r="M1471" s="415"/>
      <c r="N1471" s="415"/>
      <c r="O1471" s="415"/>
      <c r="P1471" s="415"/>
      <c r="Q1471" s="472"/>
      <c r="R1471" s="472"/>
      <c r="S1471" s="469"/>
      <c r="T1471" s="469"/>
      <c r="U1471" s="508"/>
      <c r="V1471" s="508"/>
      <c r="W1471" s="508"/>
      <c r="X1471" s="508"/>
      <c r="Y1471" s="508"/>
      <c r="Z1471" s="508"/>
      <c r="AA1471" s="506"/>
      <c r="AB1471" s="507"/>
      <c r="AC1471" s="507"/>
      <c r="AD1471" s="469"/>
      <c r="AE1471" s="470"/>
      <c r="AF1471" s="509"/>
      <c r="AG1471" s="505"/>
    </row>
    <row r="1472" spans="2:33" ht="15.75" thickBot="1" x14ac:dyDescent="0.3"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8"/>
    </row>
    <row r="1477" spans="27:31" ht="15.75" thickBot="1" x14ac:dyDescent="0.3"/>
    <row r="1478" spans="27:31" ht="27" thickBot="1" x14ac:dyDescent="0.3">
      <c r="AA1478" s="9" t="s">
        <v>546</v>
      </c>
      <c r="AB1478" s="10" t="s">
        <v>20</v>
      </c>
      <c r="AC1478" s="10" t="s">
        <v>3</v>
      </c>
      <c r="AD1478" s="10" t="s">
        <v>547</v>
      </c>
      <c r="AE1478" s="11" t="s">
        <v>4</v>
      </c>
    </row>
    <row r="1479" spans="27:31" x14ac:dyDescent="0.25">
      <c r="AA1479" s="12">
        <f>T7</f>
        <v>183811.67832628396</v>
      </c>
      <c r="AB1479" s="15">
        <f>AB7</f>
        <v>103538.68125778963</v>
      </c>
      <c r="AC1479" s="15">
        <f>AC7</f>
        <v>74744</v>
      </c>
      <c r="AD1479" s="16">
        <f>AB1479/AA1479</f>
        <v>0.56328674108506971</v>
      </c>
      <c r="AE1479" s="13">
        <f>IF(AC1479,AB1479/AC1479,0)</f>
        <v>1.3852440497938248</v>
      </c>
    </row>
    <row r="1480" spans="27:31" ht="15.75" thickBot="1" x14ac:dyDescent="0.3">
      <c r="AA1480" s="6"/>
      <c r="AB1480" s="7"/>
      <c r="AC1480" s="7"/>
      <c r="AD1480" s="7"/>
      <c r="AE1480" s="8"/>
    </row>
  </sheetData>
  <sortState xmlns:xlrd2="http://schemas.microsoft.com/office/spreadsheetml/2017/richdata2" ref="A1282:AG1321">
    <sortCondition ref="A1282:A1321"/>
  </sortState>
  <mergeCells count="4">
    <mergeCell ref="AC2:AF2"/>
    <mergeCell ref="U1278:Z1278"/>
    <mergeCell ref="U365:Z365"/>
    <mergeCell ref="V5:Z5"/>
  </mergeCells>
  <phoneticPr fontId="6" type="noConversion"/>
  <conditionalFormatting sqref="B139">
    <cfRule type="duplicateValues" dxfId="234" priority="18"/>
    <cfRule type="duplicateValues" dxfId="233" priority="19"/>
    <cfRule type="duplicateValues" dxfId="232" priority="20"/>
  </conditionalFormatting>
  <conditionalFormatting sqref="B153:B154">
    <cfRule type="duplicateValues" dxfId="231" priority="175"/>
  </conditionalFormatting>
  <conditionalFormatting sqref="B156">
    <cfRule type="duplicateValues" dxfId="230" priority="95"/>
  </conditionalFormatting>
  <conditionalFormatting sqref="B159">
    <cfRule type="duplicateValues" dxfId="229" priority="94"/>
  </conditionalFormatting>
  <conditionalFormatting sqref="B160:B164">
    <cfRule type="duplicateValues" dxfId="228" priority="93"/>
  </conditionalFormatting>
  <conditionalFormatting sqref="B174">
    <cfRule type="duplicateValues" dxfId="227" priority="237"/>
    <cfRule type="duplicateValues" dxfId="226" priority="238"/>
    <cfRule type="duplicateValues" dxfId="225" priority="239"/>
  </conditionalFormatting>
  <conditionalFormatting sqref="B308:B361">
    <cfRule type="duplicateValues" dxfId="224" priority="188"/>
  </conditionalFormatting>
  <conditionalFormatting sqref="B434">
    <cfRule type="duplicateValues" dxfId="223" priority="91"/>
    <cfRule type="duplicateValues" dxfId="222" priority="92"/>
  </conditionalFormatting>
  <conditionalFormatting sqref="B472">
    <cfRule type="duplicateValues" dxfId="221" priority="89"/>
    <cfRule type="duplicateValues" dxfId="220" priority="90"/>
  </conditionalFormatting>
  <conditionalFormatting sqref="B838">
    <cfRule type="duplicateValues" dxfId="219" priority="87"/>
    <cfRule type="duplicateValues" dxfId="218" priority="88"/>
  </conditionalFormatting>
  <conditionalFormatting sqref="B1069">
    <cfRule type="duplicateValues" dxfId="217" priority="173"/>
    <cfRule type="duplicateValues" dxfId="216" priority="174"/>
  </conditionalFormatting>
  <conditionalFormatting sqref="B1076:B1077">
    <cfRule type="duplicateValues" dxfId="215" priority="14"/>
    <cfRule type="duplicateValues" dxfId="214" priority="15"/>
    <cfRule type="duplicateValues" dxfId="213" priority="16"/>
    <cfRule type="duplicateValues" dxfId="212" priority="17"/>
  </conditionalFormatting>
  <conditionalFormatting sqref="B1079">
    <cfRule type="duplicateValues" dxfId="211" priority="85"/>
    <cfRule type="duplicateValues" dxfId="210" priority="86"/>
  </conditionalFormatting>
  <conditionalFormatting sqref="B1080">
    <cfRule type="duplicateValues" dxfId="209" priority="135"/>
    <cfRule type="duplicateValues" dxfId="208" priority="136"/>
    <cfRule type="duplicateValues" dxfId="207" priority="137"/>
    <cfRule type="duplicateValues" dxfId="206" priority="138"/>
  </conditionalFormatting>
  <conditionalFormatting sqref="B1094:B1095">
    <cfRule type="duplicateValues" dxfId="205" priority="171"/>
    <cfRule type="duplicateValues" dxfId="204" priority="172"/>
  </conditionalFormatting>
  <conditionalFormatting sqref="B1127:B1134 B1147:B1157 B1160:B1163">
    <cfRule type="duplicateValues" dxfId="203" priority="169"/>
    <cfRule type="duplicateValues" dxfId="202" priority="170"/>
  </conditionalFormatting>
  <conditionalFormatting sqref="B1135:B1146">
    <cfRule type="duplicateValues" dxfId="201" priority="8"/>
    <cfRule type="duplicateValues" dxfId="200" priority="9"/>
    <cfRule type="duplicateValues" dxfId="199" priority="10"/>
    <cfRule type="duplicateValues" dxfId="198" priority="11"/>
    <cfRule type="duplicateValues" dxfId="197" priority="12"/>
    <cfRule type="duplicateValues" dxfId="196" priority="13"/>
  </conditionalFormatting>
  <conditionalFormatting sqref="B1158:B1159">
    <cfRule type="duplicateValues" dxfId="195" priority="2"/>
    <cfRule type="duplicateValues" dxfId="194" priority="3"/>
    <cfRule type="duplicateValues" dxfId="193" priority="4"/>
    <cfRule type="duplicateValues" dxfId="192" priority="5"/>
    <cfRule type="duplicateValues" dxfId="191" priority="6"/>
    <cfRule type="duplicateValues" dxfId="190" priority="7"/>
  </conditionalFormatting>
  <conditionalFormatting sqref="B1164:B1173">
    <cfRule type="duplicateValues" dxfId="189" priority="149"/>
  </conditionalFormatting>
  <conditionalFormatting sqref="B1164:B1198">
    <cfRule type="duplicateValues" dxfId="188" priority="148"/>
  </conditionalFormatting>
  <conditionalFormatting sqref="B1176:B1198">
    <cfRule type="duplicateValues" dxfId="187" priority="147"/>
  </conditionalFormatting>
  <conditionalFormatting sqref="B1199:B1207">
    <cfRule type="duplicateValues" dxfId="186" priority="139"/>
    <cfRule type="duplicateValues" dxfId="185" priority="140"/>
    <cfRule type="duplicateValues" dxfId="184" priority="141"/>
    <cfRule type="duplicateValues" dxfId="183" priority="142"/>
  </conditionalFormatting>
  <conditionalFormatting sqref="B1208">
    <cfRule type="duplicateValues" dxfId="182" priority="121"/>
  </conditionalFormatting>
  <conditionalFormatting sqref="B1209:B1225">
    <cfRule type="duplicateValues" dxfId="181" priority="120"/>
  </conditionalFormatting>
  <conditionalFormatting sqref="B1226">
    <cfRule type="duplicateValues" dxfId="180" priority="83"/>
    <cfRule type="duplicateValues" dxfId="179" priority="84"/>
  </conditionalFormatting>
  <conditionalFormatting sqref="B1227">
    <cfRule type="duplicateValues" dxfId="178" priority="81"/>
    <cfRule type="duplicateValues" dxfId="177" priority="82"/>
  </conditionalFormatting>
  <conditionalFormatting sqref="B1228">
    <cfRule type="duplicateValues" dxfId="176" priority="119"/>
  </conditionalFormatting>
  <conditionalFormatting sqref="B1229">
    <cfRule type="duplicateValues" dxfId="175" priority="79"/>
    <cfRule type="duplicateValues" dxfId="174" priority="80"/>
  </conditionalFormatting>
  <conditionalFormatting sqref="B1230">
    <cfRule type="duplicateValues" dxfId="173" priority="118"/>
  </conditionalFormatting>
  <conditionalFormatting sqref="B1231">
    <cfRule type="duplicateValues" dxfId="172" priority="117"/>
  </conditionalFormatting>
  <conditionalFormatting sqref="B1232:B1234">
    <cfRule type="duplicateValues" dxfId="171" priority="77"/>
    <cfRule type="duplicateValues" dxfId="170" priority="78"/>
  </conditionalFormatting>
  <conditionalFormatting sqref="B1235">
    <cfRule type="duplicateValues" dxfId="169" priority="116"/>
  </conditionalFormatting>
  <conditionalFormatting sqref="B1236:B1237">
    <cfRule type="duplicateValues" dxfId="168" priority="75"/>
    <cfRule type="duplicateValues" dxfId="167" priority="76"/>
  </conditionalFormatting>
  <conditionalFormatting sqref="B1238">
    <cfRule type="duplicateValues" dxfId="166" priority="115"/>
  </conditionalFormatting>
  <conditionalFormatting sqref="B1239:B1240">
    <cfRule type="duplicateValues" dxfId="165" priority="73"/>
    <cfRule type="duplicateValues" dxfId="164" priority="74"/>
  </conditionalFormatting>
  <conditionalFormatting sqref="B1241">
    <cfRule type="duplicateValues" dxfId="163" priority="114"/>
  </conditionalFormatting>
  <conditionalFormatting sqref="B1242">
    <cfRule type="duplicateValues" dxfId="162" priority="113"/>
  </conditionalFormatting>
  <conditionalFormatting sqref="B1243">
    <cfRule type="duplicateValues" dxfId="161" priority="71"/>
    <cfRule type="duplicateValues" dxfId="160" priority="72"/>
  </conditionalFormatting>
  <conditionalFormatting sqref="B1244">
    <cfRule type="duplicateValues" dxfId="159" priority="112"/>
  </conditionalFormatting>
  <conditionalFormatting sqref="B1245">
    <cfRule type="duplicateValues" dxfId="158" priority="111"/>
  </conditionalFormatting>
  <conditionalFormatting sqref="B1246">
    <cfRule type="duplicateValues" dxfId="157" priority="110"/>
  </conditionalFormatting>
  <conditionalFormatting sqref="B1247">
    <cfRule type="duplicateValues" dxfId="156" priority="109"/>
  </conditionalFormatting>
  <conditionalFormatting sqref="B1248">
    <cfRule type="duplicateValues" dxfId="155" priority="108"/>
  </conditionalFormatting>
  <conditionalFormatting sqref="B1249">
    <cfRule type="duplicateValues" dxfId="154" priority="107"/>
  </conditionalFormatting>
  <conditionalFormatting sqref="B1250">
    <cfRule type="duplicateValues" dxfId="153" priority="106"/>
  </conditionalFormatting>
  <conditionalFormatting sqref="B1251:B1272">
    <cfRule type="duplicateValues" dxfId="152" priority="105"/>
  </conditionalFormatting>
  <conditionalFormatting sqref="B1273:B1277">
    <cfRule type="duplicateValues" dxfId="151" priority="69"/>
    <cfRule type="duplicateValues" dxfId="150" priority="70"/>
  </conditionalFormatting>
  <conditionalFormatting sqref="B1309:B1322">
    <cfRule type="duplicateValues" dxfId="149" priority="128"/>
    <cfRule type="duplicateValues" dxfId="148" priority="129"/>
    <cfRule type="duplicateValues" dxfId="147" priority="130"/>
    <cfRule type="duplicateValues" dxfId="146" priority="131"/>
  </conditionalFormatting>
  <conditionalFormatting sqref="B1365">
    <cfRule type="duplicateValues" dxfId="145" priority="283"/>
    <cfRule type="duplicateValues" dxfId="144" priority="284"/>
    <cfRule type="duplicateValues" dxfId="143" priority="285"/>
    <cfRule type="duplicateValues" dxfId="142" priority="286"/>
  </conditionalFormatting>
  <conditionalFormatting sqref="B1366:B1367">
    <cfRule type="duplicateValues" dxfId="141" priority="1"/>
  </conditionalFormatting>
  <conditionalFormatting sqref="B1406:B1415">
    <cfRule type="duplicateValues" dxfId="140" priority="96"/>
  </conditionalFormatting>
  <conditionalFormatting sqref="B1416:B1423">
    <cfRule type="duplicateValues" dxfId="139" priority="97"/>
  </conditionalFormatting>
  <conditionalFormatting sqref="B1424:B1428">
    <cfRule type="duplicateValues" dxfId="138" priority="61"/>
    <cfRule type="duplicateValues" dxfId="137" priority="62"/>
    <cfRule type="duplicateValues" dxfId="136" priority="63"/>
    <cfRule type="duplicateValues" dxfId="135" priority="64"/>
  </conditionalFormatting>
  <conditionalFormatting sqref="B1429 B1433 B1438:B1448 B1452:B1456">
    <cfRule type="duplicateValues" dxfId="134" priority="259"/>
  </conditionalFormatting>
  <conditionalFormatting sqref="B1430">
    <cfRule type="duplicateValues" dxfId="133" priority="57"/>
    <cfRule type="duplicateValues" dxfId="132" priority="58"/>
    <cfRule type="duplicateValues" dxfId="131" priority="59"/>
    <cfRule type="duplicateValues" dxfId="130" priority="60"/>
  </conditionalFormatting>
  <conditionalFormatting sqref="B1431">
    <cfRule type="duplicateValues" dxfId="129" priority="53"/>
    <cfRule type="duplicateValues" dxfId="128" priority="54"/>
    <cfRule type="duplicateValues" dxfId="127" priority="55"/>
    <cfRule type="duplicateValues" dxfId="126" priority="56"/>
  </conditionalFormatting>
  <conditionalFormatting sqref="B1432">
    <cfRule type="duplicateValues" dxfId="125" priority="49"/>
    <cfRule type="duplicateValues" dxfId="124" priority="50"/>
    <cfRule type="duplicateValues" dxfId="123" priority="51"/>
    <cfRule type="duplicateValues" dxfId="122" priority="52"/>
  </conditionalFormatting>
  <conditionalFormatting sqref="B1434">
    <cfRule type="duplicateValues" dxfId="121" priority="45"/>
    <cfRule type="duplicateValues" dxfId="120" priority="46"/>
    <cfRule type="duplicateValues" dxfId="119" priority="47"/>
    <cfRule type="duplicateValues" dxfId="118" priority="48"/>
  </conditionalFormatting>
  <conditionalFormatting sqref="B1435">
    <cfRule type="duplicateValues" dxfId="117" priority="41"/>
    <cfRule type="duplicateValues" dxfId="116" priority="42"/>
    <cfRule type="duplicateValues" dxfId="115" priority="43"/>
    <cfRule type="duplicateValues" dxfId="114" priority="44"/>
  </conditionalFormatting>
  <conditionalFormatting sqref="B1436">
    <cfRule type="duplicateValues" dxfId="113" priority="37"/>
    <cfRule type="duplicateValues" dxfId="112" priority="38"/>
    <cfRule type="duplicateValues" dxfId="111" priority="39"/>
    <cfRule type="duplicateValues" dxfId="110" priority="40"/>
  </conditionalFormatting>
  <conditionalFormatting sqref="B1437">
    <cfRule type="duplicateValues" dxfId="109" priority="33"/>
    <cfRule type="duplicateValues" dxfId="108" priority="34"/>
    <cfRule type="duplicateValues" dxfId="107" priority="35"/>
    <cfRule type="duplicateValues" dxfId="106" priority="36"/>
  </conditionalFormatting>
  <conditionalFormatting sqref="B1449">
    <cfRule type="duplicateValues" dxfId="105" priority="29"/>
    <cfRule type="duplicateValues" dxfId="104" priority="30"/>
    <cfRule type="duplicateValues" dxfId="103" priority="31"/>
    <cfRule type="duplicateValues" dxfId="102" priority="32"/>
  </conditionalFormatting>
  <conditionalFormatting sqref="B1450">
    <cfRule type="duplicateValues" dxfId="101" priority="25"/>
    <cfRule type="duplicateValues" dxfId="100" priority="26"/>
    <cfRule type="duplicateValues" dxfId="99" priority="27"/>
    <cfRule type="duplicateValues" dxfId="98" priority="28"/>
  </conditionalFormatting>
  <conditionalFormatting sqref="B1451">
    <cfRule type="duplicateValues" dxfId="97" priority="21"/>
    <cfRule type="duplicateValues" dxfId="96" priority="22"/>
    <cfRule type="duplicateValues" dxfId="95" priority="23"/>
    <cfRule type="duplicateValues" dxfId="94" priority="24"/>
  </conditionalFormatting>
  <conditionalFormatting sqref="B1096:B1134 B370:B433 B1070:B1075 B435:B471 B473:B837 B839:B1068 B1228 B1230:B1231 B1235 B1238 B1241:B1242 B1244:B1272 B1081:B1093 B1078 B1147:B1157 B1160:B1225">
    <cfRule type="duplicateValues" dxfId="93" priority="304"/>
  </conditionalFormatting>
  <conditionalFormatting sqref="B1392:B1405 B1323:B1364 B1:B138 B155 B175:B433 B1457:B1480 B1096:B1134 B1070:B1075 B157:B158 B165:B173 B435:B471 B473:B837 B839:B1068 B1228 B1230:B1231 B1235 B1238 B1241:B1242 B1244:B1272 B1278:B1308 B140:B152 B1081:B1093 B1078 B1147:B1157 B1160:B1225">
    <cfRule type="duplicateValues" dxfId="92" priority="321"/>
  </conditionalFormatting>
  <pageMargins left="0.25" right="0.25" top="0.75" bottom="0.75" header="0.3" footer="0.3"/>
  <pageSetup paperSize="3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B664-49A4-4574-B220-F711CEA1125F}">
  <dimension ref="A1:AA164"/>
  <sheetViews>
    <sheetView workbookViewId="0">
      <selection activeCell="F12" sqref="F12"/>
    </sheetView>
  </sheetViews>
  <sheetFormatPr defaultColWidth="15.5703125" defaultRowHeight="15" x14ac:dyDescent="0.25"/>
  <cols>
    <col min="1" max="1" width="14" bestFit="1" customWidth="1"/>
    <col min="2" max="2" width="4.5703125" bestFit="1" customWidth="1"/>
    <col min="3" max="3" width="7.85546875" bestFit="1" customWidth="1"/>
    <col min="4" max="4" width="13.5703125" bestFit="1" customWidth="1"/>
    <col min="5" max="5" width="4" bestFit="1" customWidth="1"/>
    <col min="6" max="6" width="45.85546875" bestFit="1" customWidth="1"/>
    <col min="7" max="7" width="13.28515625" bestFit="1" customWidth="1"/>
    <col min="8" max="8" width="10.140625" bestFit="1" customWidth="1"/>
    <col min="9" max="9" width="13.28515625" bestFit="1" customWidth="1"/>
    <col min="10" max="10" width="11.85546875" bestFit="1" customWidth="1"/>
    <col min="11" max="11" width="5" bestFit="1" customWidth="1"/>
    <col min="12" max="12" width="13.5703125" bestFit="1" customWidth="1"/>
    <col min="13" max="14" width="10.140625" bestFit="1" customWidth="1"/>
    <col min="15" max="15" width="13.5703125" bestFit="1" customWidth="1"/>
    <col min="17" max="20" width="6.140625" bestFit="1" customWidth="1"/>
    <col min="21" max="21" width="4" bestFit="1" customWidth="1"/>
    <col min="22" max="22" width="9.140625" bestFit="1" customWidth="1"/>
    <col min="23" max="23" width="11.7109375" bestFit="1" customWidth="1"/>
    <col min="24" max="24" width="12.28515625" bestFit="1" customWidth="1"/>
    <col min="27" max="27" width="45.7109375" customWidth="1"/>
  </cols>
  <sheetData>
    <row r="1" spans="1:27" ht="27" thickBot="1" x14ac:dyDescent="0.3">
      <c r="A1" s="351" t="s">
        <v>6</v>
      </c>
      <c r="B1" s="352" t="s">
        <v>7</v>
      </c>
      <c r="C1" s="352" t="s">
        <v>18</v>
      </c>
      <c r="D1" s="352"/>
      <c r="E1" s="352"/>
      <c r="F1" s="352" t="s">
        <v>8</v>
      </c>
      <c r="G1" s="353" t="s">
        <v>548</v>
      </c>
      <c r="H1" s="353" t="s">
        <v>0</v>
      </c>
      <c r="I1" s="352" t="s">
        <v>549</v>
      </c>
      <c r="J1" s="352" t="s">
        <v>553</v>
      </c>
      <c r="K1" s="352" t="s">
        <v>550</v>
      </c>
      <c r="L1" s="353" t="s">
        <v>552</v>
      </c>
      <c r="M1" s="538" t="s">
        <v>1469</v>
      </c>
      <c r="N1" s="353" t="s">
        <v>0</v>
      </c>
      <c r="O1" s="353" t="s">
        <v>551</v>
      </c>
      <c r="P1" s="535"/>
      <c r="Q1" s="609" t="s">
        <v>1364</v>
      </c>
      <c r="R1" s="607"/>
      <c r="S1" s="607"/>
      <c r="T1" s="607"/>
      <c r="U1" s="610"/>
      <c r="V1" s="353" t="s">
        <v>1</v>
      </c>
      <c r="W1" s="353" t="s">
        <v>2</v>
      </c>
      <c r="X1" s="353" t="s">
        <v>1365</v>
      </c>
      <c r="Y1" s="490"/>
      <c r="Z1" s="490"/>
      <c r="AA1" s="353" t="s">
        <v>5</v>
      </c>
    </row>
    <row r="2" spans="1:27" x14ac:dyDescent="0.25">
      <c r="A2" s="539"/>
      <c r="B2" s="540"/>
      <c r="C2" s="540"/>
      <c r="D2" s="541"/>
      <c r="E2" s="540"/>
      <c r="F2" s="376" t="s">
        <v>1355</v>
      </c>
      <c r="G2" s="692">
        <v>63030.515274500001</v>
      </c>
      <c r="H2" s="692">
        <v>-403.14629100000002</v>
      </c>
      <c r="I2" s="692">
        <v>28213.8689835</v>
      </c>
      <c r="J2" s="692" t="e">
        <v>#DIV/0!</v>
      </c>
      <c r="K2" s="693"/>
      <c r="L2" s="694">
        <v>61616.811734174466</v>
      </c>
      <c r="M2" s="694">
        <v>1071.5</v>
      </c>
      <c r="N2" s="694">
        <v>0</v>
      </c>
      <c r="O2" s="694">
        <v>69825.95232628379</v>
      </c>
      <c r="P2" s="693"/>
      <c r="Q2" s="544">
        <v>0.1</v>
      </c>
      <c r="R2" s="544">
        <v>0.4</v>
      </c>
      <c r="S2" s="544">
        <v>0.45</v>
      </c>
      <c r="T2" s="544">
        <v>0.05</v>
      </c>
      <c r="U2" s="544">
        <v>0</v>
      </c>
      <c r="V2" s="544">
        <v>0.70794393627471752</v>
      </c>
      <c r="W2" s="694">
        <v>43621.248239789675</v>
      </c>
      <c r="X2" s="694">
        <v>30710.25</v>
      </c>
      <c r="Y2" s="540"/>
      <c r="Z2" s="540"/>
      <c r="AA2" s="545"/>
    </row>
    <row r="3" spans="1:27" x14ac:dyDescent="0.25">
      <c r="A3" s="1" t="s">
        <v>1367</v>
      </c>
      <c r="B3" s="3" t="s">
        <v>1368</v>
      </c>
      <c r="C3" s="3" t="s">
        <v>1115</v>
      </c>
      <c r="D3" s="407" t="s">
        <v>1374</v>
      </c>
      <c r="E3" s="407" t="s">
        <v>3201</v>
      </c>
      <c r="F3" s="3" t="s">
        <v>3544</v>
      </c>
      <c r="G3" s="387">
        <v>23</v>
      </c>
      <c r="H3" s="387">
        <v>0</v>
      </c>
      <c r="I3" s="387">
        <v>23</v>
      </c>
      <c r="J3" s="442">
        <v>23</v>
      </c>
      <c r="K3" s="387" t="s">
        <v>5101</v>
      </c>
      <c r="L3" s="459">
        <v>437</v>
      </c>
      <c r="M3" s="459"/>
      <c r="N3" s="456">
        <v>0</v>
      </c>
      <c r="O3" s="456">
        <v>437</v>
      </c>
      <c r="P3" s="410"/>
      <c r="Q3" s="411">
        <v>1</v>
      </c>
      <c r="R3" s="411">
        <v>1</v>
      </c>
      <c r="S3" s="411">
        <v>1</v>
      </c>
      <c r="T3" s="411">
        <v>1</v>
      </c>
      <c r="U3" s="411">
        <v>0</v>
      </c>
      <c r="V3" s="412">
        <v>1</v>
      </c>
      <c r="W3" s="456">
        <v>437</v>
      </c>
      <c r="X3" s="456">
        <v>0</v>
      </c>
      <c r="Y3" s="2"/>
      <c r="Z3" s="4"/>
      <c r="AA3" s="5"/>
    </row>
    <row r="4" spans="1:27" x14ac:dyDescent="0.25">
      <c r="A4" s="1" t="s">
        <v>1376</v>
      </c>
      <c r="B4" s="3" t="s">
        <v>1368</v>
      </c>
      <c r="C4" s="3" t="s">
        <v>1115</v>
      </c>
      <c r="D4" s="407" t="s">
        <v>1377</v>
      </c>
      <c r="E4" s="407" t="s">
        <v>3201</v>
      </c>
      <c r="F4" s="3" t="s">
        <v>3426</v>
      </c>
      <c r="G4" s="387">
        <v>37.299999999999997</v>
      </c>
      <c r="H4" s="387">
        <v>0</v>
      </c>
      <c r="I4" s="387">
        <v>37.299999999999997</v>
      </c>
      <c r="J4" s="442">
        <v>37.299999999999997</v>
      </c>
      <c r="K4" s="387" t="s">
        <v>5101</v>
      </c>
      <c r="L4" s="459">
        <v>671</v>
      </c>
      <c r="M4" s="459"/>
      <c r="N4" s="456">
        <v>0</v>
      </c>
      <c r="O4" s="456">
        <v>671</v>
      </c>
      <c r="P4" s="410"/>
      <c r="Q4" s="411">
        <v>1</v>
      </c>
      <c r="R4" s="411">
        <v>1</v>
      </c>
      <c r="S4" s="411">
        <v>1</v>
      </c>
      <c r="T4" s="411">
        <v>1</v>
      </c>
      <c r="U4" s="411">
        <v>0</v>
      </c>
      <c r="V4" s="412">
        <v>1</v>
      </c>
      <c r="W4" s="456">
        <v>671</v>
      </c>
      <c r="X4" s="456">
        <v>0</v>
      </c>
      <c r="Y4" s="2"/>
      <c r="Z4" s="4"/>
      <c r="AA4" s="5"/>
    </row>
    <row r="5" spans="1:27" x14ac:dyDescent="0.25">
      <c r="A5" s="1" t="s">
        <v>1378</v>
      </c>
      <c r="B5" s="3" t="s">
        <v>1368</v>
      </c>
      <c r="C5" s="3" t="s">
        <v>1115</v>
      </c>
      <c r="D5" s="407" t="s">
        <v>1379</v>
      </c>
      <c r="E5" s="407" t="s">
        <v>3201</v>
      </c>
      <c r="F5" s="3" t="s">
        <v>3427</v>
      </c>
      <c r="G5" s="387">
        <v>43</v>
      </c>
      <c r="H5" s="387">
        <v>0</v>
      </c>
      <c r="I5" s="387">
        <v>43</v>
      </c>
      <c r="J5" s="442">
        <v>43</v>
      </c>
      <c r="K5" s="387" t="s">
        <v>5101</v>
      </c>
      <c r="L5" s="459">
        <v>693</v>
      </c>
      <c r="M5" s="459"/>
      <c r="N5" s="456">
        <v>0</v>
      </c>
      <c r="O5" s="456">
        <v>693</v>
      </c>
      <c r="P5" s="410"/>
      <c r="Q5" s="411">
        <v>1</v>
      </c>
      <c r="R5" s="411">
        <v>1</v>
      </c>
      <c r="S5" s="411">
        <v>1</v>
      </c>
      <c r="T5" s="411">
        <v>1</v>
      </c>
      <c r="U5" s="411">
        <v>0</v>
      </c>
      <c r="V5" s="412">
        <v>1</v>
      </c>
      <c r="W5" s="456">
        <v>693</v>
      </c>
      <c r="X5" s="456">
        <v>0</v>
      </c>
      <c r="Y5" s="2"/>
      <c r="Z5" s="4"/>
      <c r="AA5" s="5"/>
    </row>
    <row r="6" spans="1:27" x14ac:dyDescent="0.25">
      <c r="A6" s="1" t="s">
        <v>1380</v>
      </c>
      <c r="B6" s="3" t="s">
        <v>1368</v>
      </c>
      <c r="C6" s="3" t="s">
        <v>1115</v>
      </c>
      <c r="D6" s="407" t="s">
        <v>1381</v>
      </c>
      <c r="E6" s="407" t="s">
        <v>3201</v>
      </c>
      <c r="F6" s="3" t="s">
        <v>3428</v>
      </c>
      <c r="G6" s="387">
        <v>23.6</v>
      </c>
      <c r="H6" s="387">
        <v>0</v>
      </c>
      <c r="I6" s="387">
        <v>23.6</v>
      </c>
      <c r="J6" s="442">
        <v>23.6</v>
      </c>
      <c r="K6" s="387" t="s">
        <v>5101</v>
      </c>
      <c r="L6" s="459">
        <v>459</v>
      </c>
      <c r="M6" s="459"/>
      <c r="N6" s="456">
        <v>0</v>
      </c>
      <c r="O6" s="456">
        <v>459</v>
      </c>
      <c r="P6" s="410"/>
      <c r="Q6" s="411">
        <v>1</v>
      </c>
      <c r="R6" s="411">
        <v>1</v>
      </c>
      <c r="S6" s="411">
        <v>1</v>
      </c>
      <c r="T6" s="411">
        <v>1</v>
      </c>
      <c r="U6" s="411">
        <v>0</v>
      </c>
      <c r="V6" s="412">
        <v>1</v>
      </c>
      <c r="W6" s="456">
        <v>459.00000000000006</v>
      </c>
      <c r="X6" s="456">
        <v>0</v>
      </c>
      <c r="Y6" s="2"/>
      <c r="Z6" s="4"/>
      <c r="AA6" s="5"/>
    </row>
    <row r="7" spans="1:27" x14ac:dyDescent="0.25">
      <c r="A7" s="1" t="s">
        <v>1405</v>
      </c>
      <c r="B7" s="387" t="s">
        <v>1368</v>
      </c>
      <c r="C7" s="3" t="s">
        <v>1115</v>
      </c>
      <c r="D7" s="440" t="s">
        <v>1396</v>
      </c>
      <c r="E7" s="407" t="s">
        <v>3201</v>
      </c>
      <c r="F7" s="3" t="s">
        <v>3429</v>
      </c>
      <c r="G7" s="387">
        <v>42.7</v>
      </c>
      <c r="H7" s="387">
        <v>0</v>
      </c>
      <c r="I7" s="387">
        <v>42.7</v>
      </c>
      <c r="J7" s="442">
        <v>42.7</v>
      </c>
      <c r="K7" s="387" t="s">
        <v>5101</v>
      </c>
      <c r="L7" s="459">
        <v>786</v>
      </c>
      <c r="M7" s="459"/>
      <c r="N7" s="456">
        <v>0</v>
      </c>
      <c r="O7" s="456">
        <v>786</v>
      </c>
      <c r="P7" s="410"/>
      <c r="Q7" s="411">
        <v>1</v>
      </c>
      <c r="R7" s="411">
        <v>1</v>
      </c>
      <c r="S7" s="411">
        <v>1</v>
      </c>
      <c r="T7" s="411">
        <v>1</v>
      </c>
      <c r="U7" s="411">
        <v>0</v>
      </c>
      <c r="V7" s="412">
        <v>1</v>
      </c>
      <c r="W7" s="456">
        <v>786</v>
      </c>
      <c r="X7" s="456">
        <v>0</v>
      </c>
      <c r="Y7" s="2"/>
      <c r="Z7" s="4"/>
      <c r="AA7" s="5"/>
    </row>
    <row r="8" spans="1:27" x14ac:dyDescent="0.25">
      <c r="A8" s="1" t="s">
        <v>1406</v>
      </c>
      <c r="B8" s="387" t="s">
        <v>1368</v>
      </c>
      <c r="C8" s="3" t="s">
        <v>1115</v>
      </c>
      <c r="D8" s="440" t="s">
        <v>1399</v>
      </c>
      <c r="E8" s="407" t="s">
        <v>3201</v>
      </c>
      <c r="F8" s="3" t="s">
        <v>3430</v>
      </c>
      <c r="G8" s="387">
        <v>29.69</v>
      </c>
      <c r="H8" s="387">
        <v>0</v>
      </c>
      <c r="I8" s="387">
        <v>29.69</v>
      </c>
      <c r="J8" s="442">
        <v>29.69</v>
      </c>
      <c r="K8" s="387" t="s">
        <v>5101</v>
      </c>
      <c r="L8" s="459">
        <v>598</v>
      </c>
      <c r="M8" s="459"/>
      <c r="N8" s="456">
        <v>0</v>
      </c>
      <c r="O8" s="456">
        <v>598</v>
      </c>
      <c r="P8" s="410"/>
      <c r="Q8" s="411">
        <v>1</v>
      </c>
      <c r="R8" s="411">
        <v>1</v>
      </c>
      <c r="S8" s="411">
        <v>1</v>
      </c>
      <c r="T8" s="411">
        <v>1</v>
      </c>
      <c r="U8" s="411">
        <v>0</v>
      </c>
      <c r="V8" s="412">
        <v>1</v>
      </c>
      <c r="W8" s="456">
        <v>598</v>
      </c>
      <c r="X8" s="456">
        <v>0</v>
      </c>
      <c r="Y8" s="2"/>
      <c r="Z8" s="4"/>
      <c r="AA8" s="5"/>
    </row>
    <row r="9" spans="1:27" x14ac:dyDescent="0.25">
      <c r="A9" s="1" t="s">
        <v>1407</v>
      </c>
      <c r="B9" s="387" t="s">
        <v>1368</v>
      </c>
      <c r="C9" s="3" t="s">
        <v>1115</v>
      </c>
      <c r="D9" s="440" t="s">
        <v>1400</v>
      </c>
      <c r="E9" s="407" t="s">
        <v>3201</v>
      </c>
      <c r="F9" s="3" t="s">
        <v>3431</v>
      </c>
      <c r="G9" s="387">
        <v>31.29</v>
      </c>
      <c r="H9" s="387">
        <v>0</v>
      </c>
      <c r="I9" s="387">
        <v>31.29</v>
      </c>
      <c r="J9" s="442">
        <v>31.29</v>
      </c>
      <c r="K9" s="387" t="s">
        <v>5101</v>
      </c>
      <c r="L9" s="459">
        <v>590</v>
      </c>
      <c r="M9" s="459"/>
      <c r="N9" s="456">
        <v>0</v>
      </c>
      <c r="O9" s="456">
        <v>590</v>
      </c>
      <c r="P9" s="410"/>
      <c r="Q9" s="411">
        <v>1</v>
      </c>
      <c r="R9" s="411">
        <v>1</v>
      </c>
      <c r="S9" s="411">
        <v>1</v>
      </c>
      <c r="T9" s="411">
        <v>1</v>
      </c>
      <c r="U9" s="411">
        <v>0</v>
      </c>
      <c r="V9" s="412">
        <v>1</v>
      </c>
      <c r="W9" s="456">
        <v>590</v>
      </c>
      <c r="X9" s="456">
        <v>0</v>
      </c>
      <c r="Y9" s="2"/>
      <c r="Z9" s="4"/>
      <c r="AA9" s="5"/>
    </row>
    <row r="10" spans="1:27" x14ac:dyDescent="0.25">
      <c r="A10" s="1" t="s">
        <v>1408</v>
      </c>
      <c r="B10" s="387" t="s">
        <v>1368</v>
      </c>
      <c r="C10" s="3" t="s">
        <v>1115</v>
      </c>
      <c r="D10" s="440" t="s">
        <v>1401</v>
      </c>
      <c r="E10" s="407" t="s">
        <v>3201</v>
      </c>
      <c r="F10" s="3" t="s">
        <v>3432</v>
      </c>
      <c r="G10" s="387">
        <v>29.71</v>
      </c>
      <c r="H10" s="387">
        <v>0</v>
      </c>
      <c r="I10" s="387">
        <v>29.71</v>
      </c>
      <c r="J10" s="442">
        <v>29.710000000000008</v>
      </c>
      <c r="K10" s="387" t="s">
        <v>5101</v>
      </c>
      <c r="L10" s="459">
        <v>556.33000000000004</v>
      </c>
      <c r="M10" s="459"/>
      <c r="N10" s="456">
        <v>0</v>
      </c>
      <c r="O10" s="456">
        <v>556.33000000000004</v>
      </c>
      <c r="P10" s="410"/>
      <c r="Q10" s="411">
        <v>1</v>
      </c>
      <c r="R10" s="411">
        <v>1</v>
      </c>
      <c r="S10" s="411">
        <v>1</v>
      </c>
      <c r="T10" s="411">
        <v>1</v>
      </c>
      <c r="U10" s="411">
        <v>0</v>
      </c>
      <c r="V10" s="412">
        <v>1.0000000000000002</v>
      </c>
      <c r="W10" s="456">
        <v>556.33000000000015</v>
      </c>
      <c r="X10" s="456">
        <v>0</v>
      </c>
      <c r="Y10" s="2"/>
      <c r="Z10" s="4"/>
      <c r="AA10" s="5"/>
    </row>
    <row r="11" spans="1:27" x14ac:dyDescent="0.25">
      <c r="A11" s="1" t="s">
        <v>1409</v>
      </c>
      <c r="B11" s="387" t="s">
        <v>1368</v>
      </c>
      <c r="C11" s="3" t="s">
        <v>1115</v>
      </c>
      <c r="D11" s="440" t="s">
        <v>1402</v>
      </c>
      <c r="E11" s="407" t="s">
        <v>3201</v>
      </c>
      <c r="F11" s="3" t="s">
        <v>3433</v>
      </c>
      <c r="G11" s="387">
        <v>28</v>
      </c>
      <c r="H11" s="387">
        <v>0</v>
      </c>
      <c r="I11" s="387">
        <v>28</v>
      </c>
      <c r="J11" s="442">
        <v>0</v>
      </c>
      <c r="K11" s="387" t="s">
        <v>5101</v>
      </c>
      <c r="L11" s="459">
        <v>518</v>
      </c>
      <c r="M11" s="459"/>
      <c r="N11" s="456">
        <v>0</v>
      </c>
      <c r="O11" s="456">
        <v>518</v>
      </c>
      <c r="P11" s="410"/>
      <c r="Q11" s="411">
        <v>0</v>
      </c>
      <c r="R11" s="411">
        <v>0</v>
      </c>
      <c r="S11" s="411">
        <v>0</v>
      </c>
      <c r="T11" s="411">
        <v>0</v>
      </c>
      <c r="U11" s="411">
        <v>0</v>
      </c>
      <c r="V11" s="412">
        <v>0</v>
      </c>
      <c r="W11" s="456">
        <v>0</v>
      </c>
      <c r="X11" s="456">
        <v>0</v>
      </c>
      <c r="Y11" s="2"/>
      <c r="Z11" s="4"/>
      <c r="AA11" s="5"/>
    </row>
    <row r="12" spans="1:27" x14ac:dyDescent="0.25">
      <c r="A12" s="1" t="s">
        <v>1410</v>
      </c>
      <c r="B12" s="387" t="s">
        <v>1368</v>
      </c>
      <c r="C12" s="3" t="s">
        <v>1115</v>
      </c>
      <c r="D12" s="440" t="s">
        <v>1395</v>
      </c>
      <c r="E12" s="407" t="s">
        <v>3201</v>
      </c>
      <c r="F12" s="3" t="s">
        <v>3434</v>
      </c>
      <c r="G12" s="387">
        <v>18.48</v>
      </c>
      <c r="H12" s="387">
        <v>0</v>
      </c>
      <c r="I12" s="387">
        <v>18.48</v>
      </c>
      <c r="J12" s="442">
        <v>18.48</v>
      </c>
      <c r="K12" s="387" t="s">
        <v>5101</v>
      </c>
      <c r="L12" s="459">
        <v>365</v>
      </c>
      <c r="M12" s="459"/>
      <c r="N12" s="456">
        <v>0</v>
      </c>
      <c r="O12" s="456">
        <v>365</v>
      </c>
      <c r="P12" s="410"/>
      <c r="Q12" s="411">
        <v>1</v>
      </c>
      <c r="R12" s="411">
        <v>1</v>
      </c>
      <c r="S12" s="411">
        <v>1</v>
      </c>
      <c r="T12" s="411">
        <v>1</v>
      </c>
      <c r="U12" s="411">
        <v>0</v>
      </c>
      <c r="V12" s="412">
        <v>1</v>
      </c>
      <c r="W12" s="456">
        <v>365</v>
      </c>
      <c r="X12" s="456">
        <v>0</v>
      </c>
      <c r="Y12" s="2"/>
      <c r="Z12" s="4"/>
      <c r="AA12" s="5"/>
    </row>
    <row r="13" spans="1:27" x14ac:dyDescent="0.25">
      <c r="A13" s="1" t="s">
        <v>1411</v>
      </c>
      <c r="B13" s="387" t="s">
        <v>1368</v>
      </c>
      <c r="C13" s="3" t="s">
        <v>1115</v>
      </c>
      <c r="D13" s="440" t="s">
        <v>1397</v>
      </c>
      <c r="E13" s="407" t="s">
        <v>3201</v>
      </c>
      <c r="F13" s="3" t="s">
        <v>3435</v>
      </c>
      <c r="G13" s="387">
        <v>42.4</v>
      </c>
      <c r="H13" s="387">
        <v>0</v>
      </c>
      <c r="I13" s="387">
        <v>42.4</v>
      </c>
      <c r="J13" s="442">
        <v>42.4</v>
      </c>
      <c r="K13" s="387" t="s">
        <v>5101</v>
      </c>
      <c r="L13" s="459">
        <v>849</v>
      </c>
      <c r="M13" s="459"/>
      <c r="N13" s="456">
        <v>0</v>
      </c>
      <c r="O13" s="456">
        <v>849</v>
      </c>
      <c r="P13" s="410"/>
      <c r="Q13" s="411">
        <v>1</v>
      </c>
      <c r="R13" s="411">
        <v>1</v>
      </c>
      <c r="S13" s="411">
        <v>1</v>
      </c>
      <c r="T13" s="411">
        <v>1</v>
      </c>
      <c r="U13" s="411">
        <v>0</v>
      </c>
      <c r="V13" s="412">
        <v>1</v>
      </c>
      <c r="W13" s="456">
        <v>849</v>
      </c>
      <c r="X13" s="456">
        <v>0</v>
      </c>
      <c r="Y13" s="2"/>
      <c r="Z13" s="4"/>
      <c r="AA13" s="5"/>
    </row>
    <row r="14" spans="1:27" x14ac:dyDescent="0.25">
      <c r="A14" s="1" t="s">
        <v>1412</v>
      </c>
      <c r="B14" s="387" t="s">
        <v>1368</v>
      </c>
      <c r="C14" s="3" t="s">
        <v>1115</v>
      </c>
      <c r="D14" s="440" t="s">
        <v>1398</v>
      </c>
      <c r="E14" s="407" t="s">
        <v>3201</v>
      </c>
      <c r="F14" s="3" t="s">
        <v>3436</v>
      </c>
      <c r="G14" s="387">
        <v>39.832000000000001</v>
      </c>
      <c r="H14" s="387">
        <v>0</v>
      </c>
      <c r="I14" s="387">
        <v>39.832000000000001</v>
      </c>
      <c r="J14" s="442">
        <v>39.832000000000001</v>
      </c>
      <c r="K14" s="387" t="s">
        <v>5101</v>
      </c>
      <c r="L14" s="459">
        <v>770</v>
      </c>
      <c r="M14" s="459"/>
      <c r="N14" s="456">
        <v>0</v>
      </c>
      <c r="O14" s="456">
        <v>770</v>
      </c>
      <c r="P14" s="435"/>
      <c r="Q14" s="436">
        <v>1</v>
      </c>
      <c r="R14" s="436">
        <v>1</v>
      </c>
      <c r="S14" s="436">
        <v>1</v>
      </c>
      <c r="T14" s="436">
        <v>1</v>
      </c>
      <c r="U14" s="436">
        <v>0</v>
      </c>
      <c r="V14" s="437">
        <v>1</v>
      </c>
      <c r="W14" s="455">
        <v>770</v>
      </c>
      <c r="X14" s="455">
        <v>0</v>
      </c>
      <c r="Y14" s="434"/>
      <c r="Z14" s="438"/>
      <c r="AA14" s="439"/>
    </row>
    <row r="15" spans="1:27" x14ac:dyDescent="0.25">
      <c r="A15" s="1" t="s">
        <v>1444</v>
      </c>
      <c r="B15" s="387" t="s">
        <v>1368</v>
      </c>
      <c r="C15" s="3" t="s">
        <v>1115</v>
      </c>
      <c r="D15" s="441" t="s">
        <v>1425</v>
      </c>
      <c r="E15" s="407" t="s">
        <v>3201</v>
      </c>
      <c r="F15" s="3" t="s">
        <v>3437</v>
      </c>
      <c r="G15" s="442">
        <v>42.492013</v>
      </c>
      <c r="H15" s="387">
        <v>0</v>
      </c>
      <c r="I15" s="387">
        <v>42.492013</v>
      </c>
      <c r="J15" s="442">
        <v>42.492013</v>
      </c>
      <c r="K15" s="387" t="s">
        <v>5101</v>
      </c>
      <c r="L15" s="443">
        <v>774.35799999999995</v>
      </c>
      <c r="M15" s="443"/>
      <c r="N15" s="456">
        <v>0</v>
      </c>
      <c r="O15" s="2">
        <v>774.35799999999995</v>
      </c>
      <c r="P15" s="435"/>
      <c r="Q15" s="436">
        <v>1</v>
      </c>
      <c r="R15" s="436">
        <v>1</v>
      </c>
      <c r="S15" s="436">
        <v>1</v>
      </c>
      <c r="T15" s="436">
        <v>1</v>
      </c>
      <c r="U15" s="436">
        <v>0</v>
      </c>
      <c r="V15" s="437">
        <v>1</v>
      </c>
      <c r="W15" s="455">
        <v>774.35799999999995</v>
      </c>
      <c r="X15" s="455">
        <v>0</v>
      </c>
      <c r="Y15" s="434"/>
      <c r="Z15" s="438"/>
      <c r="AA15" s="439"/>
    </row>
    <row r="16" spans="1:27" x14ac:dyDescent="0.25">
      <c r="A16" s="1" t="s">
        <v>1445</v>
      </c>
      <c r="B16" s="387" t="s">
        <v>1368</v>
      </c>
      <c r="C16" s="3" t="s">
        <v>1115</v>
      </c>
      <c r="D16" s="441" t="s">
        <v>1426</v>
      </c>
      <c r="E16" s="407" t="s">
        <v>3201</v>
      </c>
      <c r="F16" s="3" t="s">
        <v>3438</v>
      </c>
      <c r="G16" s="442">
        <v>37.257821999999997</v>
      </c>
      <c r="H16" s="387">
        <v>0</v>
      </c>
      <c r="I16" s="387">
        <v>37.257821999999997</v>
      </c>
      <c r="J16" s="442">
        <v>37.257821999999997</v>
      </c>
      <c r="K16" s="387" t="s">
        <v>5101</v>
      </c>
      <c r="L16" s="443">
        <v>708.95799999999997</v>
      </c>
      <c r="M16" s="443"/>
      <c r="N16" s="456">
        <v>0</v>
      </c>
      <c r="O16" s="2">
        <v>708.95799999999997</v>
      </c>
      <c r="P16" s="435"/>
      <c r="Q16" s="436">
        <v>1</v>
      </c>
      <c r="R16" s="436">
        <v>1</v>
      </c>
      <c r="S16" s="436">
        <v>1</v>
      </c>
      <c r="T16" s="436">
        <v>1</v>
      </c>
      <c r="U16" s="436">
        <v>0</v>
      </c>
      <c r="V16" s="437">
        <v>1</v>
      </c>
      <c r="W16" s="455">
        <v>708.95799999999997</v>
      </c>
      <c r="X16" s="455">
        <v>0</v>
      </c>
      <c r="Y16" s="434"/>
      <c r="Z16" s="438"/>
      <c r="AA16" s="439"/>
    </row>
    <row r="17" spans="1:27" x14ac:dyDescent="0.25">
      <c r="A17" s="1" t="s">
        <v>1446</v>
      </c>
      <c r="B17" s="387" t="s">
        <v>1368</v>
      </c>
      <c r="C17" s="3" t="s">
        <v>1115</v>
      </c>
      <c r="D17" s="441" t="s">
        <v>1427</v>
      </c>
      <c r="E17" s="407" t="s">
        <v>3201</v>
      </c>
      <c r="F17" s="3" t="s">
        <v>3439</v>
      </c>
      <c r="G17" s="442">
        <v>36.109273000000002</v>
      </c>
      <c r="H17" s="387">
        <v>0</v>
      </c>
      <c r="I17" s="387">
        <v>36.109273000000002</v>
      </c>
      <c r="J17" s="442">
        <v>36.109273000000002</v>
      </c>
      <c r="K17" s="387" t="s">
        <v>5101</v>
      </c>
      <c r="L17" s="443">
        <v>623.57799999999997</v>
      </c>
      <c r="M17" s="443"/>
      <c r="N17" s="456">
        <v>0</v>
      </c>
      <c r="O17" s="2">
        <v>623.57799999999997</v>
      </c>
      <c r="P17" s="435"/>
      <c r="Q17" s="436">
        <v>1</v>
      </c>
      <c r="R17" s="436">
        <v>1</v>
      </c>
      <c r="S17" s="436">
        <v>1</v>
      </c>
      <c r="T17" s="436">
        <v>1</v>
      </c>
      <c r="U17" s="436">
        <v>0</v>
      </c>
      <c r="V17" s="437">
        <v>1</v>
      </c>
      <c r="W17" s="455">
        <v>623.57799999999997</v>
      </c>
      <c r="X17" s="455">
        <v>0</v>
      </c>
      <c r="Y17" s="434"/>
      <c r="Z17" s="438"/>
      <c r="AA17" s="439"/>
    </row>
    <row r="18" spans="1:27" x14ac:dyDescent="0.25">
      <c r="A18" s="1" t="s">
        <v>1447</v>
      </c>
      <c r="B18" s="387" t="s">
        <v>1368</v>
      </c>
      <c r="C18" s="387" t="s">
        <v>1115</v>
      </c>
      <c r="D18" s="441" t="s">
        <v>1428</v>
      </c>
      <c r="E18" s="407" t="s">
        <v>3201</v>
      </c>
      <c r="F18" s="3" t="s">
        <v>3440</v>
      </c>
      <c r="G18" s="442">
        <v>27.669292000000002</v>
      </c>
      <c r="H18" s="387">
        <v>0</v>
      </c>
      <c r="I18" s="387">
        <v>27.669292000000002</v>
      </c>
      <c r="J18" s="442">
        <v>27.669292000000009</v>
      </c>
      <c r="K18" s="387" t="s">
        <v>5101</v>
      </c>
      <c r="L18" s="443">
        <v>499.58600000000001</v>
      </c>
      <c r="M18" s="443"/>
      <c r="N18" s="459">
        <v>0</v>
      </c>
      <c r="O18" s="461">
        <v>499.58600000000001</v>
      </c>
      <c r="P18" s="435"/>
      <c r="Q18" s="436">
        <v>1</v>
      </c>
      <c r="R18" s="436">
        <v>1</v>
      </c>
      <c r="S18" s="436">
        <v>1</v>
      </c>
      <c r="T18" s="436">
        <v>1</v>
      </c>
      <c r="U18" s="436">
        <v>0</v>
      </c>
      <c r="V18" s="437">
        <v>1.0000000000000002</v>
      </c>
      <c r="W18" s="455">
        <v>499.58600000000007</v>
      </c>
      <c r="X18" s="455">
        <v>0</v>
      </c>
      <c r="Y18" s="434"/>
      <c r="Z18" s="438"/>
      <c r="AA18" s="439"/>
    </row>
    <row r="19" spans="1:27" x14ac:dyDescent="0.25">
      <c r="A19" s="1" t="s">
        <v>1448</v>
      </c>
      <c r="B19" s="387" t="s">
        <v>1368</v>
      </c>
      <c r="C19" s="387" t="s">
        <v>1115</v>
      </c>
      <c r="D19" s="441" t="s">
        <v>1429</v>
      </c>
      <c r="E19" s="407" t="s">
        <v>3201</v>
      </c>
      <c r="F19" s="3" t="s">
        <v>3441</v>
      </c>
      <c r="G19" s="442">
        <v>28.639538000000002</v>
      </c>
      <c r="H19" s="387">
        <v>0</v>
      </c>
      <c r="I19" s="387">
        <v>28.639538000000002</v>
      </c>
      <c r="J19" s="442">
        <v>28.639538000000002</v>
      </c>
      <c r="K19" s="387" t="s">
        <v>5101</v>
      </c>
      <c r="L19" s="443">
        <v>487.822</v>
      </c>
      <c r="M19" s="443"/>
      <c r="N19" s="459">
        <v>0</v>
      </c>
      <c r="O19" s="461">
        <v>487.822</v>
      </c>
      <c r="P19" s="435"/>
      <c r="Q19" s="436">
        <v>1</v>
      </c>
      <c r="R19" s="436">
        <v>1</v>
      </c>
      <c r="S19" s="436">
        <v>1</v>
      </c>
      <c r="T19" s="436">
        <v>1</v>
      </c>
      <c r="U19" s="436">
        <v>0</v>
      </c>
      <c r="V19" s="437">
        <v>1</v>
      </c>
      <c r="W19" s="455">
        <v>487.822</v>
      </c>
      <c r="X19" s="455">
        <v>0</v>
      </c>
      <c r="Y19" s="434"/>
      <c r="Z19" s="438"/>
      <c r="AA19" s="439"/>
    </row>
    <row r="20" spans="1:27" x14ac:dyDescent="0.25">
      <c r="A20" s="1" t="s">
        <v>1449</v>
      </c>
      <c r="B20" s="387" t="s">
        <v>1368</v>
      </c>
      <c r="C20" s="387" t="s">
        <v>1115</v>
      </c>
      <c r="D20" s="441" t="s">
        <v>1430</v>
      </c>
      <c r="E20" s="407" t="s">
        <v>3201</v>
      </c>
      <c r="F20" s="3" t="s">
        <v>3442</v>
      </c>
      <c r="G20" s="442">
        <v>42.791297499999999</v>
      </c>
      <c r="H20" s="387">
        <v>0</v>
      </c>
      <c r="I20" s="387">
        <v>42.791297499999999</v>
      </c>
      <c r="J20" s="442">
        <v>42.791297500000006</v>
      </c>
      <c r="K20" s="387" t="s">
        <v>5101</v>
      </c>
      <c r="L20" s="443">
        <v>760.62199999999996</v>
      </c>
      <c r="M20" s="443"/>
      <c r="N20" s="459">
        <v>0</v>
      </c>
      <c r="O20" s="461">
        <v>760.62199999999996</v>
      </c>
      <c r="P20" s="435"/>
      <c r="Q20" s="436">
        <v>1</v>
      </c>
      <c r="R20" s="436">
        <v>1</v>
      </c>
      <c r="S20" s="436">
        <v>1</v>
      </c>
      <c r="T20" s="436">
        <v>1</v>
      </c>
      <c r="U20" s="436">
        <v>0</v>
      </c>
      <c r="V20" s="437">
        <v>1.0000000000000002</v>
      </c>
      <c r="W20" s="455">
        <v>760.62200000000007</v>
      </c>
      <c r="X20" s="455">
        <v>0</v>
      </c>
      <c r="Y20" s="466"/>
      <c r="Z20" s="438"/>
      <c r="AA20" s="439"/>
    </row>
    <row r="21" spans="1:27" x14ac:dyDescent="0.25">
      <c r="A21" s="1" t="s">
        <v>1450</v>
      </c>
      <c r="B21" s="387" t="s">
        <v>1368</v>
      </c>
      <c r="C21" s="387" t="s">
        <v>1115</v>
      </c>
      <c r="D21" s="441" t="s">
        <v>1431</v>
      </c>
      <c r="E21" s="407" t="s">
        <v>3201</v>
      </c>
      <c r="F21" s="3" t="s">
        <v>3443</v>
      </c>
      <c r="G21" s="442">
        <v>19.840294</v>
      </c>
      <c r="H21" s="387">
        <v>0</v>
      </c>
      <c r="I21" s="387">
        <v>19.840294</v>
      </c>
      <c r="J21" s="442">
        <v>19.840294</v>
      </c>
      <c r="K21" s="387" t="s">
        <v>5101</v>
      </c>
      <c r="L21" s="443">
        <v>356.202</v>
      </c>
      <c r="M21" s="443"/>
      <c r="N21" s="459">
        <v>0</v>
      </c>
      <c r="O21" s="461">
        <v>356.202</v>
      </c>
      <c r="P21" s="435"/>
      <c r="Q21" s="436">
        <v>1</v>
      </c>
      <c r="R21" s="436">
        <v>1</v>
      </c>
      <c r="S21" s="436">
        <v>1</v>
      </c>
      <c r="T21" s="436">
        <v>1</v>
      </c>
      <c r="U21" s="436">
        <v>0</v>
      </c>
      <c r="V21" s="437">
        <v>1</v>
      </c>
      <c r="W21" s="455">
        <v>356.202</v>
      </c>
      <c r="X21" s="455">
        <v>0</v>
      </c>
      <c r="Y21" s="466"/>
      <c r="Z21" s="438"/>
      <c r="AA21" s="439"/>
    </row>
    <row r="22" spans="1:27" x14ac:dyDescent="0.25">
      <c r="A22" s="1" t="s">
        <v>1451</v>
      </c>
      <c r="B22" s="387" t="s">
        <v>1368</v>
      </c>
      <c r="C22" s="387" t="s">
        <v>1115</v>
      </c>
      <c r="D22" s="441" t="s">
        <v>1432</v>
      </c>
      <c r="E22" s="407" t="s">
        <v>3201</v>
      </c>
      <c r="F22" s="3" t="s">
        <v>3444</v>
      </c>
      <c r="G22" s="442">
        <v>30.195435</v>
      </c>
      <c r="H22" s="387">
        <v>0</v>
      </c>
      <c r="I22" s="387">
        <v>30.195435</v>
      </c>
      <c r="J22" s="442">
        <v>30.195435</v>
      </c>
      <c r="K22" s="387" t="s">
        <v>5101</v>
      </c>
      <c r="L22" s="443">
        <v>566.97900000000004</v>
      </c>
      <c r="M22" s="443"/>
      <c r="N22" s="459">
        <v>0</v>
      </c>
      <c r="O22" s="461">
        <v>566.97900000000004</v>
      </c>
      <c r="P22" s="435"/>
      <c r="Q22" s="436">
        <v>1</v>
      </c>
      <c r="R22" s="436">
        <v>1</v>
      </c>
      <c r="S22" s="436">
        <v>1</v>
      </c>
      <c r="T22" s="436">
        <v>1</v>
      </c>
      <c r="U22" s="436">
        <v>0</v>
      </c>
      <c r="V22" s="437">
        <v>1</v>
      </c>
      <c r="W22" s="455">
        <v>566.97900000000004</v>
      </c>
      <c r="X22" s="455">
        <v>0</v>
      </c>
      <c r="Y22" s="466"/>
      <c r="Z22" s="438"/>
      <c r="AA22" s="439"/>
    </row>
    <row r="23" spans="1:27" x14ac:dyDescent="0.25">
      <c r="A23" s="1" t="s">
        <v>1452</v>
      </c>
      <c r="B23" s="387" t="s">
        <v>1368</v>
      </c>
      <c r="C23" s="387" t="s">
        <v>1115</v>
      </c>
      <c r="D23" s="441" t="s">
        <v>1433</v>
      </c>
      <c r="E23" s="407" t="s">
        <v>3201</v>
      </c>
      <c r="F23" s="3" t="s">
        <v>3445</v>
      </c>
      <c r="G23" s="442">
        <v>26.112684000000002</v>
      </c>
      <c r="H23" s="387">
        <v>0</v>
      </c>
      <c r="I23" s="387">
        <v>26.112684000000002</v>
      </c>
      <c r="J23" s="442">
        <v>26.112684000000002</v>
      </c>
      <c r="K23" s="387" t="s">
        <v>5101</v>
      </c>
      <c r="L23" s="443">
        <v>480.20600000000002</v>
      </c>
      <c r="M23" s="443"/>
      <c r="N23" s="459">
        <v>0</v>
      </c>
      <c r="O23" s="461">
        <v>480.20600000000002</v>
      </c>
      <c r="P23" s="435"/>
      <c r="Q23" s="436">
        <v>1</v>
      </c>
      <c r="R23" s="436">
        <v>1</v>
      </c>
      <c r="S23" s="436">
        <v>1</v>
      </c>
      <c r="T23" s="436">
        <v>1</v>
      </c>
      <c r="U23" s="436">
        <v>0</v>
      </c>
      <c r="V23" s="437">
        <v>1</v>
      </c>
      <c r="W23" s="455">
        <v>480.20600000000002</v>
      </c>
      <c r="X23" s="455">
        <v>0</v>
      </c>
      <c r="Y23" s="466"/>
      <c r="Z23" s="438"/>
      <c r="AA23" s="439"/>
    </row>
    <row r="24" spans="1:27" x14ac:dyDescent="0.25">
      <c r="A24" s="1" t="s">
        <v>1460</v>
      </c>
      <c r="B24" s="387" t="s">
        <v>1368</v>
      </c>
      <c r="C24" s="387" t="s">
        <v>1115</v>
      </c>
      <c r="D24" s="441" t="s">
        <v>3204</v>
      </c>
      <c r="E24" s="407" t="s">
        <v>3201</v>
      </c>
      <c r="F24" s="3" t="s">
        <v>3446</v>
      </c>
      <c r="G24" s="442">
        <v>0</v>
      </c>
      <c r="H24" s="387">
        <v>4.28</v>
      </c>
      <c r="I24" s="387">
        <v>4.28</v>
      </c>
      <c r="J24" s="442">
        <v>0</v>
      </c>
      <c r="K24" s="387" t="s">
        <v>5101</v>
      </c>
      <c r="L24" s="443">
        <v>143.10732761829576</v>
      </c>
      <c r="M24" s="443"/>
      <c r="N24" s="459">
        <v>0</v>
      </c>
      <c r="O24" s="461">
        <v>143.10732761829576</v>
      </c>
      <c r="P24" s="435"/>
      <c r="Q24" s="436">
        <v>1</v>
      </c>
      <c r="R24" s="436">
        <v>1</v>
      </c>
      <c r="S24" s="436">
        <v>1</v>
      </c>
      <c r="T24" s="436">
        <v>1</v>
      </c>
      <c r="U24" s="436">
        <v>0</v>
      </c>
      <c r="V24" s="437">
        <v>1</v>
      </c>
      <c r="W24" s="455">
        <v>143.10732761829576</v>
      </c>
      <c r="X24" s="455"/>
      <c r="Y24" s="466"/>
      <c r="Z24" s="438"/>
      <c r="AA24" s="439"/>
    </row>
    <row r="25" spans="1:27" x14ac:dyDescent="0.25">
      <c r="A25" s="1" t="s">
        <v>1501</v>
      </c>
      <c r="B25" s="387" t="s">
        <v>1368</v>
      </c>
      <c r="C25" s="387" t="s">
        <v>1115</v>
      </c>
      <c r="D25" s="441" t="s">
        <v>3205</v>
      </c>
      <c r="E25" s="407" t="s">
        <v>3201</v>
      </c>
      <c r="F25" s="3" t="s">
        <v>3447</v>
      </c>
      <c r="G25" s="442">
        <v>17</v>
      </c>
      <c r="H25" s="387"/>
      <c r="I25" s="387">
        <v>17</v>
      </c>
      <c r="J25" s="442">
        <v>17</v>
      </c>
      <c r="K25" s="387" t="s">
        <v>5101</v>
      </c>
      <c r="L25" s="443"/>
      <c r="M25" s="443"/>
      <c r="N25" s="459"/>
      <c r="O25" s="461">
        <v>338</v>
      </c>
      <c r="P25" s="435"/>
      <c r="Q25" s="436">
        <v>1</v>
      </c>
      <c r="R25" s="436">
        <v>1</v>
      </c>
      <c r="S25" s="436">
        <v>1</v>
      </c>
      <c r="T25" s="436">
        <v>1</v>
      </c>
      <c r="U25" s="436">
        <v>0</v>
      </c>
      <c r="V25" s="437">
        <v>1</v>
      </c>
      <c r="W25" s="455">
        <v>338</v>
      </c>
      <c r="X25" s="455"/>
      <c r="Y25" s="466"/>
      <c r="Z25" s="438"/>
      <c r="AA25" s="439"/>
    </row>
    <row r="26" spans="1:27" x14ac:dyDescent="0.25">
      <c r="A26" s="1" t="s">
        <v>1461</v>
      </c>
      <c r="B26" s="387" t="s">
        <v>1368</v>
      </c>
      <c r="C26" s="387" t="s">
        <v>1115</v>
      </c>
      <c r="D26" s="441" t="s">
        <v>3206</v>
      </c>
      <c r="E26" s="407" t="s">
        <v>3201</v>
      </c>
      <c r="F26" s="3" t="s">
        <v>3448</v>
      </c>
      <c r="G26" s="442">
        <v>0</v>
      </c>
      <c r="H26" s="387">
        <v>11.752000000000001</v>
      </c>
      <c r="I26" s="387">
        <v>11.752000000000001</v>
      </c>
      <c r="J26" s="442">
        <v>0</v>
      </c>
      <c r="K26" s="387" t="s">
        <v>5101</v>
      </c>
      <c r="L26" s="443">
        <v>350.31139683158926</v>
      </c>
      <c r="M26" s="443">
        <v>30</v>
      </c>
      <c r="N26" s="459">
        <v>0</v>
      </c>
      <c r="O26" s="461">
        <v>350.31139683158926</v>
      </c>
      <c r="P26" s="435"/>
      <c r="Q26" s="436">
        <v>1</v>
      </c>
      <c r="R26" s="436">
        <v>1</v>
      </c>
      <c r="S26" s="436">
        <v>1</v>
      </c>
      <c r="T26" s="436">
        <v>1</v>
      </c>
      <c r="U26" s="436">
        <v>0</v>
      </c>
      <c r="V26" s="437">
        <v>1</v>
      </c>
      <c r="W26" s="455">
        <v>350.31139683158926</v>
      </c>
      <c r="X26" s="455">
        <v>56</v>
      </c>
      <c r="Y26" s="466"/>
      <c r="Z26" s="438"/>
      <c r="AA26" s="439"/>
    </row>
    <row r="27" spans="1:27" x14ac:dyDescent="0.25">
      <c r="A27" s="1" t="s">
        <v>1462</v>
      </c>
      <c r="B27" s="387" t="s">
        <v>1368</v>
      </c>
      <c r="C27" s="387" t="s">
        <v>1115</v>
      </c>
      <c r="D27" s="441" t="s">
        <v>3207</v>
      </c>
      <c r="E27" s="407" t="s">
        <v>3201</v>
      </c>
      <c r="F27" s="3" t="s">
        <v>3449</v>
      </c>
      <c r="G27" s="442">
        <v>0</v>
      </c>
      <c r="H27" s="387">
        <v>2.706</v>
      </c>
      <c r="I27" s="387">
        <v>2.706</v>
      </c>
      <c r="J27" s="442">
        <v>0</v>
      </c>
      <c r="K27" s="387" t="s">
        <v>5101</v>
      </c>
      <c r="L27" s="443">
        <v>68.861403867717087</v>
      </c>
      <c r="M27" s="443"/>
      <c r="N27" s="459">
        <v>0</v>
      </c>
      <c r="O27" s="461">
        <v>68.861403867717087</v>
      </c>
      <c r="P27" s="435"/>
      <c r="Q27" s="436">
        <v>1</v>
      </c>
      <c r="R27" s="436">
        <v>1</v>
      </c>
      <c r="S27" s="436">
        <v>1</v>
      </c>
      <c r="T27" s="436">
        <v>1</v>
      </c>
      <c r="U27" s="436">
        <v>0</v>
      </c>
      <c r="V27" s="437">
        <v>1</v>
      </c>
      <c r="W27" s="455">
        <v>68.861403867717087</v>
      </c>
      <c r="X27" s="455">
        <v>25</v>
      </c>
      <c r="Y27" s="466"/>
      <c r="Z27" s="438"/>
      <c r="AA27" s="439"/>
    </row>
    <row r="28" spans="1:27" x14ac:dyDescent="0.25">
      <c r="A28" s="1" t="s">
        <v>1463</v>
      </c>
      <c r="B28" s="387" t="s">
        <v>1368</v>
      </c>
      <c r="C28" s="387" t="s">
        <v>1115</v>
      </c>
      <c r="D28" s="441" t="s">
        <v>3208</v>
      </c>
      <c r="E28" s="407" t="s">
        <v>3201</v>
      </c>
      <c r="F28" s="3" t="s">
        <v>3450</v>
      </c>
      <c r="G28" s="442">
        <v>0</v>
      </c>
      <c r="H28" s="387">
        <v>11.804</v>
      </c>
      <c r="I28" s="387">
        <v>11.804</v>
      </c>
      <c r="J28" s="442">
        <v>0</v>
      </c>
      <c r="K28" s="387" t="s">
        <v>5101</v>
      </c>
      <c r="L28" s="443">
        <v>353.08117553023095</v>
      </c>
      <c r="M28" s="443"/>
      <c r="N28" s="459">
        <v>0</v>
      </c>
      <c r="O28" s="461">
        <v>353.08117553023095</v>
      </c>
      <c r="P28" s="435"/>
      <c r="Q28" s="436">
        <v>1</v>
      </c>
      <c r="R28" s="436">
        <v>1</v>
      </c>
      <c r="S28" s="436">
        <v>1</v>
      </c>
      <c r="T28" s="436">
        <v>1</v>
      </c>
      <c r="U28" s="436">
        <v>0</v>
      </c>
      <c r="V28" s="437">
        <v>1</v>
      </c>
      <c r="W28" s="455">
        <v>353.08117553023095</v>
      </c>
      <c r="X28" s="455">
        <v>0</v>
      </c>
      <c r="Y28" s="466"/>
      <c r="Z28" s="438"/>
      <c r="AA28" s="439"/>
    </row>
    <row r="29" spans="1:27" x14ac:dyDescent="0.25">
      <c r="A29" s="1" t="s">
        <v>1464</v>
      </c>
      <c r="B29" s="387" t="s">
        <v>1368</v>
      </c>
      <c r="C29" s="387" t="s">
        <v>1115</v>
      </c>
      <c r="D29" s="441" t="s">
        <v>3209</v>
      </c>
      <c r="E29" s="407" t="s">
        <v>3201</v>
      </c>
      <c r="F29" s="3" t="s">
        <v>3451</v>
      </c>
      <c r="G29" s="442">
        <v>0</v>
      </c>
      <c r="H29" s="387">
        <v>2.706</v>
      </c>
      <c r="I29" s="387">
        <v>2.706</v>
      </c>
      <c r="J29" s="442">
        <v>0</v>
      </c>
      <c r="K29" s="387" t="s">
        <v>5101</v>
      </c>
      <c r="L29" s="443">
        <v>68.861403867717087</v>
      </c>
      <c r="M29" s="443"/>
      <c r="N29" s="459">
        <v>0</v>
      </c>
      <c r="O29" s="461">
        <v>68.861403867717087</v>
      </c>
      <c r="P29" s="435"/>
      <c r="Q29" s="436">
        <v>1</v>
      </c>
      <c r="R29" s="436">
        <v>1</v>
      </c>
      <c r="S29" s="436">
        <v>1</v>
      </c>
      <c r="T29" s="436">
        <v>1</v>
      </c>
      <c r="U29" s="436">
        <v>0</v>
      </c>
      <c r="V29" s="437">
        <v>1</v>
      </c>
      <c r="W29" s="455">
        <v>68.861403867717087</v>
      </c>
      <c r="X29" s="455">
        <v>0</v>
      </c>
      <c r="Y29" s="466"/>
      <c r="Z29" s="438"/>
      <c r="AA29" s="439"/>
    </row>
    <row r="30" spans="1:27" x14ac:dyDescent="0.25">
      <c r="A30" s="1" t="s">
        <v>1465</v>
      </c>
      <c r="B30" s="387" t="s">
        <v>1368</v>
      </c>
      <c r="C30" s="387" t="s">
        <v>1115</v>
      </c>
      <c r="D30" s="441" t="s">
        <v>3210</v>
      </c>
      <c r="E30" s="407" t="s">
        <v>3201</v>
      </c>
      <c r="F30" s="3" t="s">
        <v>3452</v>
      </c>
      <c r="G30" s="442">
        <v>16</v>
      </c>
      <c r="H30" s="387"/>
      <c r="I30" s="387">
        <v>16</v>
      </c>
      <c r="J30" s="442">
        <v>15.95</v>
      </c>
      <c r="K30" s="387" t="s">
        <v>5101</v>
      </c>
      <c r="L30" s="443"/>
      <c r="M30" s="443"/>
      <c r="N30" s="459">
        <v>0</v>
      </c>
      <c r="O30" s="461">
        <v>320</v>
      </c>
      <c r="P30" s="435"/>
      <c r="Q30" s="436">
        <v>1</v>
      </c>
      <c r="R30" s="436">
        <v>1</v>
      </c>
      <c r="S30" s="436">
        <v>1</v>
      </c>
      <c r="T30" s="436">
        <v>1</v>
      </c>
      <c r="U30" s="436">
        <v>0</v>
      </c>
      <c r="V30" s="437">
        <v>1</v>
      </c>
      <c r="W30" s="455">
        <v>320</v>
      </c>
      <c r="X30" s="455">
        <v>0</v>
      </c>
      <c r="Y30" s="466"/>
      <c r="Z30" s="438"/>
      <c r="AA30" s="439"/>
    </row>
    <row r="31" spans="1:27" x14ac:dyDescent="0.25">
      <c r="A31" s="1" t="s">
        <v>1466</v>
      </c>
      <c r="B31" s="387" t="s">
        <v>1368</v>
      </c>
      <c r="C31" s="387" t="s">
        <v>1115</v>
      </c>
      <c r="D31" s="441" t="s">
        <v>3211</v>
      </c>
      <c r="E31" s="407" t="s">
        <v>3201</v>
      </c>
      <c r="F31" s="3" t="s">
        <v>3453</v>
      </c>
      <c r="G31" s="442">
        <v>0</v>
      </c>
      <c r="H31" s="387">
        <v>4.28</v>
      </c>
      <c r="I31" s="387">
        <v>4.28</v>
      </c>
      <c r="J31" s="442">
        <v>0</v>
      </c>
      <c r="K31" s="387" t="s">
        <v>5101</v>
      </c>
      <c r="L31" s="443">
        <v>131.14678699159649</v>
      </c>
      <c r="M31" s="443">
        <v>37.25</v>
      </c>
      <c r="N31" s="459">
        <v>0</v>
      </c>
      <c r="O31" s="461">
        <v>168.39678699159649</v>
      </c>
      <c r="P31" s="435"/>
      <c r="Q31" s="436">
        <v>1</v>
      </c>
      <c r="R31" s="436">
        <v>1</v>
      </c>
      <c r="S31" s="436">
        <v>1</v>
      </c>
      <c r="T31" s="436">
        <v>1</v>
      </c>
      <c r="U31" s="436">
        <v>0</v>
      </c>
      <c r="V31" s="437">
        <v>1.0000000000000002</v>
      </c>
      <c r="W31" s="455">
        <v>168.39678699159651</v>
      </c>
      <c r="X31" s="455">
        <v>73.5</v>
      </c>
      <c r="Y31" s="466"/>
      <c r="Z31" s="438"/>
      <c r="AA31" s="439"/>
    </row>
    <row r="32" spans="1:27" x14ac:dyDescent="0.25">
      <c r="A32" s="1" t="s">
        <v>1467</v>
      </c>
      <c r="B32" s="387" t="s">
        <v>1368</v>
      </c>
      <c r="C32" s="387" t="s">
        <v>1115</v>
      </c>
      <c r="D32" s="441" t="s">
        <v>3212</v>
      </c>
      <c r="E32" s="407" t="s">
        <v>3201</v>
      </c>
      <c r="F32" s="3" t="s">
        <v>3454</v>
      </c>
      <c r="G32" s="442">
        <v>0</v>
      </c>
      <c r="H32" s="387">
        <v>13.8</v>
      </c>
      <c r="I32" s="387">
        <v>13.8</v>
      </c>
      <c r="J32" s="442">
        <v>0</v>
      </c>
      <c r="K32" s="387" t="s">
        <v>5101</v>
      </c>
      <c r="L32" s="443">
        <v>411.62245347188298</v>
      </c>
      <c r="M32" s="443">
        <v>129</v>
      </c>
      <c r="N32" s="459">
        <v>0</v>
      </c>
      <c r="O32" s="461">
        <v>540.62245347188298</v>
      </c>
      <c r="P32" s="435"/>
      <c r="Q32" s="436">
        <v>1</v>
      </c>
      <c r="R32" s="436">
        <v>1</v>
      </c>
      <c r="S32" s="436">
        <v>1</v>
      </c>
      <c r="T32" s="436">
        <v>1</v>
      </c>
      <c r="U32" s="436">
        <v>0</v>
      </c>
      <c r="V32" s="437">
        <v>1</v>
      </c>
      <c r="W32" s="455">
        <v>540.62245347188298</v>
      </c>
      <c r="X32" s="455">
        <v>48</v>
      </c>
      <c r="Y32" s="466"/>
      <c r="Z32" s="438"/>
      <c r="AA32" s="439"/>
    </row>
    <row r="33" spans="1:27" x14ac:dyDescent="0.25">
      <c r="A33" s="1" t="s">
        <v>1468</v>
      </c>
      <c r="B33" s="387" t="s">
        <v>1368</v>
      </c>
      <c r="C33" s="387" t="s">
        <v>1115</v>
      </c>
      <c r="D33" s="441" t="s">
        <v>3213</v>
      </c>
      <c r="E33" s="407" t="s">
        <v>3201</v>
      </c>
      <c r="F33" s="3" t="s">
        <v>3455</v>
      </c>
      <c r="G33" s="442">
        <v>0</v>
      </c>
      <c r="H33" s="387"/>
      <c r="I33" s="387">
        <v>0</v>
      </c>
      <c r="J33" s="442">
        <v>0</v>
      </c>
      <c r="K33" s="387" t="s">
        <v>5101</v>
      </c>
      <c r="L33" s="443">
        <v>0</v>
      </c>
      <c r="M33" s="443"/>
      <c r="N33" s="459">
        <v>0</v>
      </c>
      <c r="O33" s="461">
        <v>0</v>
      </c>
      <c r="P33" s="435"/>
      <c r="Q33" s="436">
        <v>0</v>
      </c>
      <c r="R33" s="436">
        <v>0</v>
      </c>
      <c r="S33" s="436">
        <v>0</v>
      </c>
      <c r="T33" s="436">
        <v>0</v>
      </c>
      <c r="U33" s="436">
        <v>0</v>
      </c>
      <c r="V33" s="437">
        <v>0</v>
      </c>
      <c r="W33" s="455">
        <v>0</v>
      </c>
      <c r="X33" s="455">
        <v>0</v>
      </c>
      <c r="Y33" s="466"/>
      <c r="Z33" s="438"/>
      <c r="AA33" s="439" t="s">
        <v>1475</v>
      </c>
    </row>
    <row r="34" spans="1:27" ht="26.25" x14ac:dyDescent="0.25">
      <c r="A34" s="1" t="s">
        <v>1471</v>
      </c>
      <c r="B34" s="387" t="s">
        <v>1368</v>
      </c>
      <c r="C34" s="387" t="s">
        <v>1115</v>
      </c>
      <c r="D34" s="441" t="s">
        <v>3214</v>
      </c>
      <c r="E34" s="407" t="s">
        <v>3201</v>
      </c>
      <c r="F34" s="387" t="s">
        <v>5427</v>
      </c>
      <c r="G34" s="442">
        <v>0</v>
      </c>
      <c r="H34" s="387">
        <v>16.626722000000008</v>
      </c>
      <c r="I34" s="387">
        <v>16.626722000000008</v>
      </c>
      <c r="J34" s="442">
        <v>0</v>
      </c>
      <c r="K34" s="387" t="s">
        <v>5101</v>
      </c>
      <c r="L34" s="443">
        <v>660.31</v>
      </c>
      <c r="M34" s="443"/>
      <c r="N34" s="459">
        <v>0</v>
      </c>
      <c r="O34" s="461">
        <v>660.31</v>
      </c>
      <c r="P34" s="435"/>
      <c r="Q34" s="436">
        <v>1</v>
      </c>
      <c r="R34" s="436">
        <v>1</v>
      </c>
      <c r="S34" s="436">
        <v>1</v>
      </c>
      <c r="T34" s="436">
        <v>0</v>
      </c>
      <c r="U34" s="436">
        <v>0</v>
      </c>
      <c r="V34" s="437">
        <v>0.95000000000000007</v>
      </c>
      <c r="W34" s="455">
        <v>627.29449999999997</v>
      </c>
      <c r="X34" s="455">
        <v>0</v>
      </c>
      <c r="Y34" s="466"/>
      <c r="Z34" s="438"/>
      <c r="AA34" s="439" t="s">
        <v>5212</v>
      </c>
    </row>
    <row r="35" spans="1:27" x14ac:dyDescent="0.25">
      <c r="A35" s="1" t="s">
        <v>1476</v>
      </c>
      <c r="B35" s="387" t="s">
        <v>1368</v>
      </c>
      <c r="C35" s="387" t="s">
        <v>1115</v>
      </c>
      <c r="D35" s="441" t="s">
        <v>3217</v>
      </c>
      <c r="E35" s="407" t="s">
        <v>3201</v>
      </c>
      <c r="F35" s="3" t="s">
        <v>3458</v>
      </c>
      <c r="G35" s="442">
        <v>15.829000000000001</v>
      </c>
      <c r="H35" s="387">
        <v>0</v>
      </c>
      <c r="I35" s="387">
        <v>15.829000000000001</v>
      </c>
      <c r="J35" s="442">
        <v>15.829000000000001</v>
      </c>
      <c r="K35" s="387" t="s">
        <v>5101</v>
      </c>
      <c r="L35" s="443">
        <v>526.90704797938258</v>
      </c>
      <c r="M35" s="443"/>
      <c r="N35" s="459">
        <v>0</v>
      </c>
      <c r="O35" s="461">
        <v>526.90704797938258</v>
      </c>
      <c r="P35" s="435"/>
      <c r="Q35" s="436">
        <v>1</v>
      </c>
      <c r="R35" s="436">
        <v>1</v>
      </c>
      <c r="S35" s="436">
        <v>1</v>
      </c>
      <c r="T35" s="436">
        <v>1</v>
      </c>
      <c r="U35" s="436">
        <v>0</v>
      </c>
      <c r="V35" s="437">
        <v>1</v>
      </c>
      <c r="W35" s="455">
        <v>526.90704797938258</v>
      </c>
      <c r="X35" s="455">
        <v>0</v>
      </c>
      <c r="Y35" s="466"/>
      <c r="Z35" s="438"/>
      <c r="AA35" s="439"/>
    </row>
    <row r="36" spans="1:27" x14ac:dyDescent="0.25">
      <c r="A36" s="1" t="s">
        <v>1477</v>
      </c>
      <c r="B36" s="387" t="s">
        <v>1368</v>
      </c>
      <c r="C36" s="387" t="s">
        <v>1115</v>
      </c>
      <c r="D36" s="441" t="s">
        <v>3218</v>
      </c>
      <c r="E36" s="407" t="s">
        <v>3201</v>
      </c>
      <c r="F36" s="3" t="s">
        <v>3459</v>
      </c>
      <c r="G36" s="442">
        <v>14</v>
      </c>
      <c r="H36" s="387">
        <v>0</v>
      </c>
      <c r="I36" s="387">
        <v>14</v>
      </c>
      <c r="J36" s="442">
        <v>14.000000000000004</v>
      </c>
      <c r="K36" s="387" t="s">
        <v>5101</v>
      </c>
      <c r="L36" s="443">
        <v>227.66</v>
      </c>
      <c r="M36" s="443"/>
      <c r="N36" s="459">
        <v>0</v>
      </c>
      <c r="O36" s="461">
        <v>227.66</v>
      </c>
      <c r="P36" s="435"/>
      <c r="Q36" s="436">
        <v>1</v>
      </c>
      <c r="R36" s="436">
        <v>1</v>
      </c>
      <c r="S36" s="436">
        <v>1</v>
      </c>
      <c r="T36" s="436">
        <v>1</v>
      </c>
      <c r="U36" s="436">
        <v>0</v>
      </c>
      <c r="V36" s="437">
        <v>1.0000000000000002</v>
      </c>
      <c r="W36" s="455">
        <v>227.66000000000003</v>
      </c>
      <c r="X36" s="455">
        <v>0</v>
      </c>
      <c r="Y36" s="466"/>
      <c r="Z36" s="438"/>
      <c r="AA36" s="439"/>
    </row>
    <row r="37" spans="1:27" x14ac:dyDescent="0.25">
      <c r="A37" s="1" t="s">
        <v>1478</v>
      </c>
      <c r="B37" s="387" t="s">
        <v>1368</v>
      </c>
      <c r="C37" s="387" t="s">
        <v>1115</v>
      </c>
      <c r="D37" s="441" t="s">
        <v>3219</v>
      </c>
      <c r="E37" s="407" t="s">
        <v>3201</v>
      </c>
      <c r="F37" s="3" t="s">
        <v>3460</v>
      </c>
      <c r="G37" s="442">
        <v>2.762</v>
      </c>
      <c r="H37" s="387">
        <v>0</v>
      </c>
      <c r="I37" s="387">
        <v>2.762</v>
      </c>
      <c r="J37" s="442">
        <v>2.762</v>
      </c>
      <c r="K37" s="387" t="s">
        <v>5101</v>
      </c>
      <c r="L37" s="443">
        <v>71.725124246125063</v>
      </c>
      <c r="M37" s="443"/>
      <c r="N37" s="459">
        <v>0</v>
      </c>
      <c r="O37" s="461">
        <v>71.725124246125063</v>
      </c>
      <c r="P37" s="435"/>
      <c r="Q37" s="436">
        <v>1</v>
      </c>
      <c r="R37" s="436">
        <v>1</v>
      </c>
      <c r="S37" s="436">
        <v>1</v>
      </c>
      <c r="T37" s="436">
        <v>1</v>
      </c>
      <c r="U37" s="436">
        <v>0</v>
      </c>
      <c r="V37" s="437">
        <v>1</v>
      </c>
      <c r="W37" s="455">
        <v>71.725124246125063</v>
      </c>
      <c r="X37" s="455">
        <v>0</v>
      </c>
      <c r="Y37" s="466"/>
      <c r="Z37" s="438"/>
      <c r="AA37" s="439"/>
    </row>
    <row r="38" spans="1:27" x14ac:dyDescent="0.25">
      <c r="A38" s="1" t="s">
        <v>1479</v>
      </c>
      <c r="B38" s="387" t="s">
        <v>1368</v>
      </c>
      <c r="C38" s="387" t="s">
        <v>1115</v>
      </c>
      <c r="D38" s="441" t="s">
        <v>3220</v>
      </c>
      <c r="E38" s="407" t="s">
        <v>3201</v>
      </c>
      <c r="F38" s="3" t="s">
        <v>3461</v>
      </c>
      <c r="G38" s="442">
        <v>11.275</v>
      </c>
      <c r="H38" s="387">
        <v>0</v>
      </c>
      <c r="I38" s="387">
        <v>11.275</v>
      </c>
      <c r="J38" s="442">
        <v>11.275</v>
      </c>
      <c r="K38" s="387" t="s">
        <v>5101</v>
      </c>
      <c r="L38" s="443">
        <v>333.56977734019461</v>
      </c>
      <c r="M38" s="443"/>
      <c r="N38" s="459">
        <v>0</v>
      </c>
      <c r="O38" s="461">
        <v>333.56977734019461</v>
      </c>
      <c r="P38" s="435"/>
      <c r="Q38" s="436">
        <v>1</v>
      </c>
      <c r="R38" s="436">
        <v>1</v>
      </c>
      <c r="S38" s="436">
        <v>1</v>
      </c>
      <c r="T38" s="436">
        <v>1</v>
      </c>
      <c r="U38" s="436">
        <v>0</v>
      </c>
      <c r="V38" s="437">
        <v>1</v>
      </c>
      <c r="W38" s="455">
        <v>333.56977734019461</v>
      </c>
      <c r="X38" s="455">
        <v>0</v>
      </c>
      <c r="Y38" s="466"/>
      <c r="Z38" s="438"/>
      <c r="AA38" s="439"/>
    </row>
    <row r="39" spans="1:27" x14ac:dyDescent="0.25">
      <c r="A39" s="1" t="s">
        <v>1480</v>
      </c>
      <c r="B39" s="387" t="s">
        <v>1368</v>
      </c>
      <c r="C39" s="387" t="s">
        <v>1115</v>
      </c>
      <c r="D39" s="441" t="s">
        <v>3221</v>
      </c>
      <c r="E39" s="407" t="s">
        <v>3201</v>
      </c>
      <c r="F39" s="3" t="s">
        <v>3462</v>
      </c>
      <c r="G39" s="442">
        <v>2.8159999999999998</v>
      </c>
      <c r="H39" s="387">
        <v>0</v>
      </c>
      <c r="I39" s="387">
        <v>2.8159999999999998</v>
      </c>
      <c r="J39" s="442">
        <v>2.8159999999999998</v>
      </c>
      <c r="K39" s="387" t="s">
        <v>5101</v>
      </c>
      <c r="L39" s="443">
        <v>77.184350762210258</v>
      </c>
      <c r="M39" s="443"/>
      <c r="N39" s="459">
        <v>0</v>
      </c>
      <c r="O39" s="461">
        <v>77.184350762210258</v>
      </c>
      <c r="P39" s="435"/>
      <c r="Q39" s="436">
        <v>1</v>
      </c>
      <c r="R39" s="436">
        <v>1</v>
      </c>
      <c r="S39" s="436">
        <v>1</v>
      </c>
      <c r="T39" s="436">
        <v>1</v>
      </c>
      <c r="U39" s="436">
        <v>0</v>
      </c>
      <c r="V39" s="437">
        <v>1</v>
      </c>
      <c r="W39" s="455">
        <v>77.184350762210258</v>
      </c>
      <c r="X39" s="455">
        <v>0</v>
      </c>
      <c r="Y39" s="466"/>
      <c r="Z39" s="438"/>
      <c r="AA39" s="439"/>
    </row>
    <row r="40" spans="1:27" x14ac:dyDescent="0.25">
      <c r="A40" s="1" t="s">
        <v>1481</v>
      </c>
      <c r="B40" s="387" t="s">
        <v>1368</v>
      </c>
      <c r="C40" s="387" t="s">
        <v>1115</v>
      </c>
      <c r="D40" s="441" t="s">
        <v>3222</v>
      </c>
      <c r="E40" s="407" t="s">
        <v>3201</v>
      </c>
      <c r="F40" s="3" t="s">
        <v>3463</v>
      </c>
      <c r="G40" s="442">
        <v>11.265000000000001</v>
      </c>
      <c r="H40" s="387">
        <v>0</v>
      </c>
      <c r="I40" s="387">
        <v>11.265000000000001</v>
      </c>
      <c r="J40" s="442">
        <v>11.265000000000001</v>
      </c>
      <c r="K40" s="387" t="s">
        <v>5101</v>
      </c>
      <c r="L40" s="443">
        <v>332.95700640667866</v>
      </c>
      <c r="M40" s="443"/>
      <c r="N40" s="459">
        <v>0</v>
      </c>
      <c r="O40" s="461">
        <v>332.95700640667866</v>
      </c>
      <c r="P40" s="435"/>
      <c r="Q40" s="436">
        <v>1</v>
      </c>
      <c r="R40" s="436">
        <v>1</v>
      </c>
      <c r="S40" s="436">
        <v>1</v>
      </c>
      <c r="T40" s="436">
        <v>1</v>
      </c>
      <c r="U40" s="436">
        <v>0</v>
      </c>
      <c r="V40" s="437">
        <v>1</v>
      </c>
      <c r="W40" s="455">
        <v>332.95700640667866</v>
      </c>
      <c r="X40" s="455">
        <v>0</v>
      </c>
      <c r="Y40" s="466"/>
      <c r="Z40" s="438"/>
      <c r="AA40" s="439"/>
    </row>
    <row r="41" spans="1:27" x14ac:dyDescent="0.25">
      <c r="A41" s="1" t="s">
        <v>1482</v>
      </c>
      <c r="B41" s="387" t="s">
        <v>1368</v>
      </c>
      <c r="C41" s="387" t="s">
        <v>1115</v>
      </c>
      <c r="D41" s="441" t="s">
        <v>3223</v>
      </c>
      <c r="E41" s="407" t="s">
        <v>3201</v>
      </c>
      <c r="F41" s="3" t="s">
        <v>3464</v>
      </c>
      <c r="G41" s="442">
        <v>5.7939999999999996</v>
      </c>
      <c r="H41" s="387">
        <v>0</v>
      </c>
      <c r="I41" s="387">
        <v>5.7939999999999996</v>
      </c>
      <c r="J41" s="442">
        <v>5.7939999999999987</v>
      </c>
      <c r="K41" s="387" t="s">
        <v>5101</v>
      </c>
      <c r="L41" s="443">
        <v>158.71803285291574</v>
      </c>
      <c r="M41" s="443"/>
      <c r="N41" s="459">
        <v>0</v>
      </c>
      <c r="O41" s="461">
        <v>158.71803285291574</v>
      </c>
      <c r="P41" s="435"/>
      <c r="Q41" s="436">
        <v>1</v>
      </c>
      <c r="R41" s="436">
        <v>1</v>
      </c>
      <c r="S41" s="436">
        <v>1</v>
      </c>
      <c r="T41" s="436">
        <v>1</v>
      </c>
      <c r="U41" s="436">
        <v>0</v>
      </c>
      <c r="V41" s="437">
        <v>0.99999999999999978</v>
      </c>
      <c r="W41" s="455">
        <v>158.71803285291571</v>
      </c>
      <c r="X41" s="455">
        <v>0</v>
      </c>
      <c r="Y41" s="466"/>
      <c r="Z41" s="438"/>
      <c r="AA41" s="439"/>
    </row>
    <row r="42" spans="1:27" x14ac:dyDescent="0.25">
      <c r="A42" s="1" t="s">
        <v>1483</v>
      </c>
      <c r="B42" s="387" t="s">
        <v>1368</v>
      </c>
      <c r="C42" s="387" t="s">
        <v>1115</v>
      </c>
      <c r="D42" s="441" t="s">
        <v>3224</v>
      </c>
      <c r="E42" s="407" t="s">
        <v>3201</v>
      </c>
      <c r="F42" s="3" t="s">
        <v>3465</v>
      </c>
      <c r="G42" s="442">
        <v>14</v>
      </c>
      <c r="H42" s="387">
        <v>0</v>
      </c>
      <c r="I42" s="387">
        <v>14</v>
      </c>
      <c r="J42" s="442">
        <v>14</v>
      </c>
      <c r="K42" s="387" t="s">
        <v>5101</v>
      </c>
      <c r="L42" s="443">
        <v>205.3</v>
      </c>
      <c r="M42" s="443"/>
      <c r="N42" s="459">
        <v>0</v>
      </c>
      <c r="O42" s="461">
        <v>205.3</v>
      </c>
      <c r="P42" s="435"/>
      <c r="Q42" s="436">
        <v>1</v>
      </c>
      <c r="R42" s="436">
        <v>1</v>
      </c>
      <c r="S42" s="436">
        <v>1</v>
      </c>
      <c r="T42" s="436">
        <v>1</v>
      </c>
      <c r="U42" s="436">
        <v>0</v>
      </c>
      <c r="V42" s="437">
        <v>1</v>
      </c>
      <c r="W42" s="455">
        <v>205.3</v>
      </c>
      <c r="X42" s="455">
        <v>0</v>
      </c>
      <c r="Y42" s="466"/>
      <c r="Z42" s="438"/>
      <c r="AA42" s="439"/>
    </row>
    <row r="43" spans="1:27" x14ac:dyDescent="0.25">
      <c r="A43" s="1" t="s">
        <v>1484</v>
      </c>
      <c r="B43" s="387" t="s">
        <v>1368</v>
      </c>
      <c r="C43" s="387" t="s">
        <v>1115</v>
      </c>
      <c r="D43" s="441" t="s">
        <v>3225</v>
      </c>
      <c r="E43" s="407" t="s">
        <v>3201</v>
      </c>
      <c r="F43" s="3" t="s">
        <v>3466</v>
      </c>
      <c r="G43" s="442">
        <v>2.89</v>
      </c>
      <c r="H43" s="387">
        <v>0</v>
      </c>
      <c r="I43" s="387">
        <v>2.89</v>
      </c>
      <c r="J43" s="442">
        <v>2.89</v>
      </c>
      <c r="K43" s="387" t="s">
        <v>5101</v>
      </c>
      <c r="L43" s="443">
        <v>77.061506194822869</v>
      </c>
      <c r="M43" s="443"/>
      <c r="N43" s="459">
        <v>0</v>
      </c>
      <c r="O43" s="461">
        <v>77.061506194822869</v>
      </c>
      <c r="P43" s="435"/>
      <c r="Q43" s="436">
        <v>1</v>
      </c>
      <c r="R43" s="436">
        <v>1</v>
      </c>
      <c r="S43" s="436">
        <v>1</v>
      </c>
      <c r="T43" s="436">
        <v>1</v>
      </c>
      <c r="U43" s="436">
        <v>0</v>
      </c>
      <c r="V43" s="437">
        <v>1</v>
      </c>
      <c r="W43" s="455">
        <v>77.061506194822869</v>
      </c>
      <c r="X43" s="455">
        <v>0</v>
      </c>
      <c r="Y43" s="466"/>
      <c r="Z43" s="438"/>
      <c r="AA43" s="439"/>
    </row>
    <row r="44" spans="1:27" x14ac:dyDescent="0.25">
      <c r="A44" s="1" t="s">
        <v>1485</v>
      </c>
      <c r="B44" s="387" t="s">
        <v>1368</v>
      </c>
      <c r="C44" s="387" t="s">
        <v>1115</v>
      </c>
      <c r="D44" s="441" t="s">
        <v>3226</v>
      </c>
      <c r="E44" s="407" t="s">
        <v>3201</v>
      </c>
      <c r="F44" s="3" t="s">
        <v>3467</v>
      </c>
      <c r="G44" s="442">
        <v>17.382000000000001</v>
      </c>
      <c r="H44" s="387">
        <v>0</v>
      </c>
      <c r="I44" s="387">
        <v>17.382000000000001</v>
      </c>
      <c r="J44" s="442">
        <v>17.382000000000005</v>
      </c>
      <c r="K44" s="387" t="s">
        <v>5101</v>
      </c>
      <c r="L44" s="443">
        <v>577.38073821735622</v>
      </c>
      <c r="M44" s="443"/>
      <c r="N44" s="459">
        <v>0</v>
      </c>
      <c r="O44" s="461">
        <v>577.38073821735622</v>
      </c>
      <c r="P44" s="435"/>
      <c r="Q44" s="436">
        <v>1</v>
      </c>
      <c r="R44" s="436">
        <v>1</v>
      </c>
      <c r="S44" s="436">
        <v>1</v>
      </c>
      <c r="T44" s="436">
        <v>1</v>
      </c>
      <c r="U44" s="436">
        <v>0</v>
      </c>
      <c r="V44" s="437">
        <v>1.0000000000000002</v>
      </c>
      <c r="W44" s="455">
        <v>577.38073821735634</v>
      </c>
      <c r="X44" s="455">
        <v>0</v>
      </c>
      <c r="Y44" s="466"/>
      <c r="Z44" s="438"/>
      <c r="AA44" s="439"/>
    </row>
    <row r="45" spans="1:27" x14ac:dyDescent="0.25">
      <c r="A45" s="1" t="s">
        <v>1486</v>
      </c>
      <c r="B45" s="387" t="s">
        <v>1368</v>
      </c>
      <c r="C45" s="387" t="s">
        <v>1115</v>
      </c>
      <c r="D45" s="441" t="s">
        <v>3227</v>
      </c>
      <c r="E45" s="407" t="s">
        <v>3201</v>
      </c>
      <c r="F45" s="3" t="s">
        <v>3468</v>
      </c>
      <c r="G45" s="442">
        <v>11.215999999999999</v>
      </c>
      <c r="H45" s="387">
        <v>0</v>
      </c>
      <c r="I45" s="387">
        <v>11.215999999999999</v>
      </c>
      <c r="J45" s="442">
        <v>11.216000000000001</v>
      </c>
      <c r="K45" s="387" t="s">
        <v>5101</v>
      </c>
      <c r="L45" s="443">
        <v>330.22081404258375</v>
      </c>
      <c r="M45" s="443"/>
      <c r="N45" s="459">
        <v>0</v>
      </c>
      <c r="O45" s="461">
        <v>330.22081404258375</v>
      </c>
      <c r="P45" s="435"/>
      <c r="Q45" s="436">
        <v>1</v>
      </c>
      <c r="R45" s="436">
        <v>1</v>
      </c>
      <c r="S45" s="436">
        <v>1</v>
      </c>
      <c r="T45" s="436">
        <v>1</v>
      </c>
      <c r="U45" s="436">
        <v>0</v>
      </c>
      <c r="V45" s="437">
        <v>1.0000000000000002</v>
      </c>
      <c r="W45" s="455">
        <v>330.22081404258381</v>
      </c>
      <c r="X45" s="455">
        <v>0</v>
      </c>
      <c r="Y45" s="466"/>
      <c r="Z45" s="438"/>
      <c r="AA45" s="439"/>
    </row>
    <row r="46" spans="1:27" x14ac:dyDescent="0.25">
      <c r="A46" s="1" t="s">
        <v>1487</v>
      </c>
      <c r="B46" s="387" t="s">
        <v>1368</v>
      </c>
      <c r="C46" s="387" t="s">
        <v>1115</v>
      </c>
      <c r="D46" s="441" t="s">
        <v>3228</v>
      </c>
      <c r="E46" s="407" t="s">
        <v>3201</v>
      </c>
      <c r="F46" s="3" t="s">
        <v>3469</v>
      </c>
      <c r="G46" s="442">
        <v>5.2320000000000002</v>
      </c>
      <c r="H46" s="387">
        <v>0</v>
      </c>
      <c r="I46" s="387">
        <v>5.2320000000000002</v>
      </c>
      <c r="J46" s="442">
        <v>5.2320000000000002</v>
      </c>
      <c r="K46" s="387" t="s">
        <v>5101</v>
      </c>
      <c r="L46" s="443">
        <v>133.24989730935823</v>
      </c>
      <c r="M46" s="443"/>
      <c r="N46" s="459">
        <v>0</v>
      </c>
      <c r="O46" s="461">
        <v>133.24989730935823</v>
      </c>
      <c r="P46" s="435"/>
      <c r="Q46" s="436">
        <v>1</v>
      </c>
      <c r="R46" s="436">
        <v>1</v>
      </c>
      <c r="S46" s="436">
        <v>1</v>
      </c>
      <c r="T46" s="436">
        <v>1</v>
      </c>
      <c r="U46" s="436">
        <v>0</v>
      </c>
      <c r="V46" s="437">
        <v>1</v>
      </c>
      <c r="W46" s="455">
        <v>133.24989730935823</v>
      </c>
      <c r="X46" s="455">
        <v>0</v>
      </c>
      <c r="Y46" s="466"/>
      <c r="Z46" s="438"/>
      <c r="AA46" s="439"/>
    </row>
    <row r="47" spans="1:27" x14ac:dyDescent="0.25">
      <c r="A47" s="1" t="s">
        <v>1488</v>
      </c>
      <c r="B47" s="387" t="s">
        <v>1368</v>
      </c>
      <c r="C47" s="387" t="s">
        <v>1115</v>
      </c>
      <c r="D47" s="441" t="s">
        <v>3229</v>
      </c>
      <c r="E47" s="407" t="s">
        <v>3201</v>
      </c>
      <c r="F47" s="3" t="s">
        <v>3470</v>
      </c>
      <c r="G47" s="442">
        <v>9.3960000000000008</v>
      </c>
      <c r="H47" s="387">
        <v>0</v>
      </c>
      <c r="I47" s="387">
        <v>9.3960000000000008</v>
      </c>
      <c r="J47" s="442">
        <v>9.3960000000000008</v>
      </c>
      <c r="K47" s="387" t="s">
        <v>5101</v>
      </c>
      <c r="L47" s="443">
        <v>263.27397995813885</v>
      </c>
      <c r="M47" s="443"/>
      <c r="N47" s="459">
        <v>0</v>
      </c>
      <c r="O47" s="461">
        <v>263.27397995813885</v>
      </c>
      <c r="P47" s="435"/>
      <c r="Q47" s="436">
        <v>1</v>
      </c>
      <c r="R47" s="436">
        <v>1</v>
      </c>
      <c r="S47" s="436">
        <v>1</v>
      </c>
      <c r="T47" s="436">
        <v>1</v>
      </c>
      <c r="U47" s="436">
        <v>0</v>
      </c>
      <c r="V47" s="437">
        <v>1</v>
      </c>
      <c r="W47" s="455">
        <v>263.27397995813885</v>
      </c>
      <c r="X47" s="455">
        <v>0</v>
      </c>
      <c r="Y47" s="466"/>
      <c r="Z47" s="438"/>
      <c r="AA47" s="439"/>
    </row>
    <row r="48" spans="1:27" x14ac:dyDescent="0.25">
      <c r="A48" s="1" t="s">
        <v>1489</v>
      </c>
      <c r="B48" s="387" t="s">
        <v>1368</v>
      </c>
      <c r="C48" s="387" t="s">
        <v>1115</v>
      </c>
      <c r="D48" s="441" t="s">
        <v>3230</v>
      </c>
      <c r="E48" s="407" t="s">
        <v>3201</v>
      </c>
      <c r="F48" s="3" t="s">
        <v>3471</v>
      </c>
      <c r="G48" s="442">
        <v>14.705</v>
      </c>
      <c r="H48" s="387">
        <v>0</v>
      </c>
      <c r="I48" s="387">
        <v>14.705</v>
      </c>
      <c r="J48" s="442">
        <v>14.705</v>
      </c>
      <c r="K48" s="387" t="s">
        <v>5101</v>
      </c>
      <c r="L48" s="443">
        <v>448.66497344869941</v>
      </c>
      <c r="M48" s="443"/>
      <c r="N48" s="459">
        <v>0</v>
      </c>
      <c r="O48" s="461">
        <v>448.66497344869941</v>
      </c>
      <c r="P48" s="435"/>
      <c r="Q48" s="436">
        <v>1</v>
      </c>
      <c r="R48" s="436">
        <v>1</v>
      </c>
      <c r="S48" s="436">
        <v>1</v>
      </c>
      <c r="T48" s="436">
        <v>1</v>
      </c>
      <c r="U48" s="436">
        <v>0</v>
      </c>
      <c r="V48" s="437">
        <v>1</v>
      </c>
      <c r="W48" s="455">
        <v>448.66497344869941</v>
      </c>
      <c r="X48" s="455">
        <v>0</v>
      </c>
      <c r="Y48" s="466"/>
      <c r="Z48" s="438"/>
      <c r="AA48" s="439"/>
    </row>
    <row r="49" spans="1:27" x14ac:dyDescent="0.25">
      <c r="A49" s="1" t="s">
        <v>1490</v>
      </c>
      <c r="B49" s="387" t="s">
        <v>1368</v>
      </c>
      <c r="C49" s="387" t="s">
        <v>1115</v>
      </c>
      <c r="D49" s="441" t="s">
        <v>3231</v>
      </c>
      <c r="E49" s="407" t="s">
        <v>3201</v>
      </c>
      <c r="F49" s="3" t="s">
        <v>3472</v>
      </c>
      <c r="G49" s="442">
        <v>11.369</v>
      </c>
      <c r="H49" s="387">
        <v>0</v>
      </c>
      <c r="I49" s="387">
        <v>11.369</v>
      </c>
      <c r="J49" s="442">
        <v>11.369000000000002</v>
      </c>
      <c r="K49" s="387" t="s">
        <v>5101</v>
      </c>
      <c r="L49" s="443">
        <v>352.12996420441885</v>
      </c>
      <c r="M49" s="443"/>
      <c r="N49" s="459">
        <v>0</v>
      </c>
      <c r="O49" s="461">
        <v>352.12996420441885</v>
      </c>
      <c r="P49" s="435"/>
      <c r="Q49" s="436">
        <v>1</v>
      </c>
      <c r="R49" s="436">
        <v>1</v>
      </c>
      <c r="S49" s="436">
        <v>1</v>
      </c>
      <c r="T49" s="436">
        <v>1</v>
      </c>
      <c r="U49" s="436">
        <v>0</v>
      </c>
      <c r="V49" s="437">
        <v>1.0000000000000002</v>
      </c>
      <c r="W49" s="455">
        <v>352.12996420441891</v>
      </c>
      <c r="X49" s="455">
        <v>0</v>
      </c>
      <c r="Y49" s="466"/>
      <c r="Z49" s="438"/>
      <c r="AA49" s="439"/>
    </row>
    <row r="50" spans="1:27" x14ac:dyDescent="0.25">
      <c r="A50" s="1" t="s">
        <v>1491</v>
      </c>
      <c r="B50" s="387" t="s">
        <v>1368</v>
      </c>
      <c r="C50" s="387" t="s">
        <v>1115</v>
      </c>
      <c r="D50" s="441" t="s">
        <v>3232</v>
      </c>
      <c r="E50" s="407" t="s">
        <v>3201</v>
      </c>
      <c r="F50" s="3" t="s">
        <v>3473</v>
      </c>
      <c r="G50" s="442">
        <v>16.917000000000002</v>
      </c>
      <c r="H50" s="387">
        <v>0</v>
      </c>
      <c r="I50" s="387">
        <v>16.917000000000002</v>
      </c>
      <c r="J50" s="442">
        <v>16.917000000000005</v>
      </c>
      <c r="K50" s="387" t="s">
        <v>5101</v>
      </c>
      <c r="L50" s="443">
        <v>569.86616180618023</v>
      </c>
      <c r="M50" s="443"/>
      <c r="N50" s="459">
        <v>0</v>
      </c>
      <c r="O50" s="461">
        <v>569.86616180618023</v>
      </c>
      <c r="P50" s="435"/>
      <c r="Q50" s="436">
        <v>1</v>
      </c>
      <c r="R50" s="436">
        <v>1</v>
      </c>
      <c r="S50" s="436">
        <v>1</v>
      </c>
      <c r="T50" s="436">
        <v>1</v>
      </c>
      <c r="U50" s="436">
        <v>0</v>
      </c>
      <c r="V50" s="437">
        <v>1.0000000000000002</v>
      </c>
      <c r="W50" s="455">
        <v>569.86616180618034</v>
      </c>
      <c r="X50" s="455">
        <v>0</v>
      </c>
      <c r="Y50" s="466"/>
      <c r="Z50" s="438"/>
      <c r="AA50" s="439"/>
    </row>
    <row r="51" spans="1:27" x14ac:dyDescent="0.25">
      <c r="A51" s="1" t="s">
        <v>1492</v>
      </c>
      <c r="B51" s="387" t="s">
        <v>1368</v>
      </c>
      <c r="C51" s="387" t="s">
        <v>1115</v>
      </c>
      <c r="D51" s="441" t="s">
        <v>3233</v>
      </c>
      <c r="E51" s="407" t="s">
        <v>3201</v>
      </c>
      <c r="F51" s="3" t="s">
        <v>3474</v>
      </c>
      <c r="G51" s="442">
        <v>48.697461000000089</v>
      </c>
      <c r="H51" s="387">
        <v>0</v>
      </c>
      <c r="I51" s="387">
        <v>48.697461000000089</v>
      </c>
      <c r="J51" s="442">
        <v>0</v>
      </c>
      <c r="K51" s="387" t="s">
        <v>5101</v>
      </c>
      <c r="L51" s="443">
        <v>0</v>
      </c>
      <c r="M51" s="443"/>
      <c r="N51" s="459">
        <v>0</v>
      </c>
      <c r="O51" s="461">
        <v>0</v>
      </c>
      <c r="P51" s="435"/>
      <c r="Q51" s="436">
        <v>1</v>
      </c>
      <c r="R51" s="436">
        <v>1</v>
      </c>
      <c r="S51" s="436">
        <v>1</v>
      </c>
      <c r="T51" s="436">
        <v>0</v>
      </c>
      <c r="U51" s="436">
        <v>0</v>
      </c>
      <c r="V51" s="437">
        <v>0</v>
      </c>
      <c r="W51" s="455">
        <v>0</v>
      </c>
      <c r="X51" s="455">
        <v>0</v>
      </c>
      <c r="Y51" s="466"/>
      <c r="Z51" s="438"/>
      <c r="AA51" s="439"/>
    </row>
    <row r="52" spans="1:27" x14ac:dyDescent="0.25">
      <c r="A52" s="1" t="s">
        <v>1493</v>
      </c>
      <c r="B52" s="387" t="s">
        <v>1368</v>
      </c>
      <c r="C52" s="387" t="s">
        <v>1115</v>
      </c>
      <c r="D52" s="441" t="s">
        <v>3234</v>
      </c>
      <c r="E52" s="407" t="s">
        <v>3201</v>
      </c>
      <c r="F52" s="3" t="s">
        <v>3475</v>
      </c>
      <c r="G52" s="442">
        <v>37.646155000000284</v>
      </c>
      <c r="H52" s="387">
        <v>0</v>
      </c>
      <c r="I52" s="387">
        <v>37.646155000000284</v>
      </c>
      <c r="J52" s="442">
        <v>0</v>
      </c>
      <c r="K52" s="387" t="s">
        <v>5101</v>
      </c>
      <c r="L52" s="443">
        <v>0</v>
      </c>
      <c r="M52" s="443"/>
      <c r="N52" s="459">
        <v>0</v>
      </c>
      <c r="O52" s="461">
        <v>0</v>
      </c>
      <c r="P52" s="435"/>
      <c r="Q52" s="436">
        <v>1</v>
      </c>
      <c r="R52" s="436">
        <v>1</v>
      </c>
      <c r="S52" s="436">
        <v>1</v>
      </c>
      <c r="T52" s="436">
        <v>0</v>
      </c>
      <c r="U52" s="436">
        <v>0</v>
      </c>
      <c r="V52" s="437">
        <v>0</v>
      </c>
      <c r="W52" s="455">
        <v>0</v>
      </c>
      <c r="X52" s="455">
        <v>0</v>
      </c>
      <c r="Y52" s="466"/>
      <c r="Z52" s="438"/>
      <c r="AA52" s="439"/>
    </row>
    <row r="53" spans="1:27" x14ac:dyDescent="0.25">
      <c r="A53" s="1" t="s">
        <v>1494</v>
      </c>
      <c r="B53" s="387" t="s">
        <v>1368</v>
      </c>
      <c r="C53" s="387" t="s">
        <v>1115</v>
      </c>
      <c r="D53" s="441" t="s">
        <v>3235</v>
      </c>
      <c r="E53" s="407" t="s">
        <v>3201</v>
      </c>
      <c r="F53" s="3" t="s">
        <v>3476</v>
      </c>
      <c r="G53" s="442">
        <v>2.6</v>
      </c>
      <c r="H53" s="387">
        <v>0</v>
      </c>
      <c r="I53" s="387">
        <v>2.6</v>
      </c>
      <c r="J53" s="442">
        <v>2.6000000000000005</v>
      </c>
      <c r="K53" s="387" t="s">
        <v>5101</v>
      </c>
      <c r="L53" s="443">
        <v>101.69792900889659</v>
      </c>
      <c r="M53" s="443"/>
      <c r="N53" s="459">
        <v>0</v>
      </c>
      <c r="O53" s="461">
        <v>101.69792900889659</v>
      </c>
      <c r="P53" s="435"/>
      <c r="Q53" s="436">
        <v>1</v>
      </c>
      <c r="R53" s="436">
        <v>1</v>
      </c>
      <c r="S53" s="436">
        <v>1</v>
      </c>
      <c r="T53" s="436">
        <v>1</v>
      </c>
      <c r="U53" s="436">
        <v>0</v>
      </c>
      <c r="V53" s="437">
        <v>1.0000000000000002</v>
      </c>
      <c r="W53" s="455">
        <v>101.69792900889661</v>
      </c>
      <c r="X53" s="455">
        <v>0</v>
      </c>
      <c r="Y53" s="466"/>
      <c r="Z53" s="438"/>
      <c r="AA53" s="439"/>
    </row>
    <row r="54" spans="1:27" x14ac:dyDescent="0.25">
      <c r="A54" s="1" t="s">
        <v>1502</v>
      </c>
      <c r="B54" s="387" t="s">
        <v>1368</v>
      </c>
      <c r="C54" s="387" t="s">
        <v>1115</v>
      </c>
      <c r="D54" s="441" t="s">
        <v>3236</v>
      </c>
      <c r="E54" s="407" t="s">
        <v>3201</v>
      </c>
      <c r="F54" s="3" t="s">
        <v>3477</v>
      </c>
      <c r="G54" s="442">
        <v>26.16</v>
      </c>
      <c r="H54" s="387">
        <v>0</v>
      </c>
      <c r="I54" s="387">
        <v>26.16</v>
      </c>
      <c r="J54" s="442">
        <v>24.852</v>
      </c>
      <c r="K54" s="387" t="s">
        <v>5101</v>
      </c>
      <c r="L54" s="443"/>
      <c r="M54" s="443"/>
      <c r="N54" s="459"/>
      <c r="O54" s="461">
        <v>502</v>
      </c>
      <c r="P54" s="435"/>
      <c r="Q54" s="436">
        <v>1</v>
      </c>
      <c r="R54" s="436">
        <v>1</v>
      </c>
      <c r="S54" s="436">
        <v>1</v>
      </c>
      <c r="T54" s="436">
        <v>0</v>
      </c>
      <c r="U54" s="436">
        <v>0</v>
      </c>
      <c r="V54" s="437">
        <v>0.95</v>
      </c>
      <c r="W54" s="455">
        <v>476.9</v>
      </c>
      <c r="X54" s="455">
        <v>0</v>
      </c>
      <c r="Y54" s="466"/>
      <c r="Z54" s="438"/>
      <c r="AA54" s="439"/>
    </row>
    <row r="55" spans="1:27" x14ac:dyDescent="0.25">
      <c r="A55" s="1" t="s">
        <v>1503</v>
      </c>
      <c r="B55" s="387" t="s">
        <v>1368</v>
      </c>
      <c r="C55" s="387" t="s">
        <v>1115</v>
      </c>
      <c r="D55" s="441" t="s">
        <v>3237</v>
      </c>
      <c r="E55" s="407" t="s">
        <v>3201</v>
      </c>
      <c r="F55" s="3" t="s">
        <v>5423</v>
      </c>
      <c r="G55" s="442">
        <v>3.8714430000000011</v>
      </c>
      <c r="H55" s="387">
        <v>0</v>
      </c>
      <c r="I55" s="387">
        <v>3.8714430000000011</v>
      </c>
      <c r="J55" s="442">
        <v>3.8714430000000011</v>
      </c>
      <c r="K55" s="387" t="s">
        <v>5101</v>
      </c>
      <c r="L55" s="443">
        <v>148.22982045651705</v>
      </c>
      <c r="M55" s="443"/>
      <c r="N55" s="459">
        <v>0</v>
      </c>
      <c r="O55" s="461">
        <v>148.22982045651705</v>
      </c>
      <c r="P55" s="435"/>
      <c r="Q55" s="436">
        <v>1</v>
      </c>
      <c r="R55" s="436">
        <v>1</v>
      </c>
      <c r="S55" s="436">
        <v>1</v>
      </c>
      <c r="T55" s="436">
        <v>1</v>
      </c>
      <c r="U55" s="436">
        <v>0</v>
      </c>
      <c r="V55" s="437">
        <v>1</v>
      </c>
      <c r="W55" s="455">
        <v>148.22982045651705</v>
      </c>
      <c r="X55" s="455">
        <v>0</v>
      </c>
      <c r="Y55" s="466"/>
      <c r="Z55" s="438"/>
      <c r="AA55" s="439"/>
    </row>
    <row r="56" spans="1:27" x14ac:dyDescent="0.25">
      <c r="A56" s="1" t="s">
        <v>1557</v>
      </c>
      <c r="B56" s="387" t="s">
        <v>1368</v>
      </c>
      <c r="C56" s="387" t="s">
        <v>1115</v>
      </c>
      <c r="D56" s="441" t="s">
        <v>3291</v>
      </c>
      <c r="E56" s="407" t="s">
        <v>3201</v>
      </c>
      <c r="F56" s="407" t="s">
        <v>3529</v>
      </c>
      <c r="G56" s="442">
        <v>16.899999999999999</v>
      </c>
      <c r="H56" s="387">
        <v>0</v>
      </c>
      <c r="I56" s="387">
        <v>16.899999999999999</v>
      </c>
      <c r="J56" s="442"/>
      <c r="K56" s="387" t="s">
        <v>5101</v>
      </c>
      <c r="L56" s="443">
        <v>4302.0863893377864</v>
      </c>
      <c r="M56" s="443"/>
      <c r="N56" s="459">
        <v>0</v>
      </c>
      <c r="O56" s="461">
        <v>185.85</v>
      </c>
      <c r="P56" s="435"/>
      <c r="Q56" s="436">
        <v>1</v>
      </c>
      <c r="R56" s="436">
        <v>1</v>
      </c>
      <c r="S56" s="436">
        <v>1</v>
      </c>
      <c r="T56" s="436">
        <v>1</v>
      </c>
      <c r="U56" s="436">
        <v>0</v>
      </c>
      <c r="V56" s="437">
        <v>1</v>
      </c>
      <c r="W56" s="455">
        <v>185.85</v>
      </c>
      <c r="X56" s="455">
        <v>0</v>
      </c>
      <c r="Y56" s="466"/>
      <c r="Z56" s="438"/>
      <c r="AA56" s="439"/>
    </row>
    <row r="57" spans="1:27" x14ac:dyDescent="0.25">
      <c r="A57" s="1" t="s">
        <v>1558</v>
      </c>
      <c r="B57" s="387" t="s">
        <v>1368</v>
      </c>
      <c r="C57" s="387" t="s">
        <v>1115</v>
      </c>
      <c r="D57" s="441" t="s">
        <v>3292</v>
      </c>
      <c r="E57" s="407" t="s">
        <v>3201</v>
      </c>
      <c r="F57" s="407" t="s">
        <v>3530</v>
      </c>
      <c r="G57" s="442">
        <v>4.67</v>
      </c>
      <c r="H57" s="387">
        <v>0</v>
      </c>
      <c r="I57" s="387">
        <v>4.67</v>
      </c>
      <c r="J57" s="442"/>
      <c r="K57" s="387" t="s">
        <v>5101</v>
      </c>
      <c r="L57" s="443">
        <v>3948.4821299402365</v>
      </c>
      <c r="M57" s="443"/>
      <c r="N57" s="459">
        <v>0</v>
      </c>
      <c r="O57" s="461">
        <v>69.739999999999995</v>
      </c>
      <c r="P57" s="435"/>
      <c r="Q57" s="436">
        <v>1</v>
      </c>
      <c r="R57" s="436">
        <v>1</v>
      </c>
      <c r="S57" s="436">
        <v>1</v>
      </c>
      <c r="T57" s="436">
        <v>1</v>
      </c>
      <c r="U57" s="436">
        <v>0</v>
      </c>
      <c r="V57" s="437">
        <v>1</v>
      </c>
      <c r="W57" s="455">
        <v>69.739999999999995</v>
      </c>
      <c r="X57" s="455">
        <v>0</v>
      </c>
      <c r="Y57" s="466"/>
      <c r="Z57" s="438"/>
      <c r="AA57" s="439"/>
    </row>
    <row r="58" spans="1:27" x14ac:dyDescent="0.25">
      <c r="A58" s="1" t="s">
        <v>1560</v>
      </c>
      <c r="B58" s="387" t="s">
        <v>1368</v>
      </c>
      <c r="C58" s="387" t="s">
        <v>1115</v>
      </c>
      <c r="D58" s="441" t="s">
        <v>3294</v>
      </c>
      <c r="E58" s="407" t="s">
        <v>3201</v>
      </c>
      <c r="F58" s="407" t="s">
        <v>3531</v>
      </c>
      <c r="G58" s="442">
        <v>18.064</v>
      </c>
      <c r="H58" s="387">
        <v>0</v>
      </c>
      <c r="I58" s="387">
        <v>18.064</v>
      </c>
      <c r="J58" s="442"/>
      <c r="K58" s="387" t="s">
        <v>5101</v>
      </c>
      <c r="L58" s="443">
        <v>3445.0557495372732</v>
      </c>
      <c r="M58" s="443"/>
      <c r="N58" s="459">
        <v>0</v>
      </c>
      <c r="O58" s="461">
        <v>221.58</v>
      </c>
      <c r="P58" s="435"/>
      <c r="Q58" s="436">
        <v>1</v>
      </c>
      <c r="R58" s="436">
        <v>1</v>
      </c>
      <c r="S58" s="436">
        <v>1</v>
      </c>
      <c r="T58" s="436">
        <v>1</v>
      </c>
      <c r="U58" s="436">
        <v>0</v>
      </c>
      <c r="V58" s="437">
        <v>1.0000000000000002</v>
      </c>
      <c r="W58" s="455">
        <v>221.58000000000004</v>
      </c>
      <c r="X58" s="455">
        <v>0</v>
      </c>
      <c r="Y58" s="466"/>
      <c r="Z58" s="438"/>
      <c r="AA58" s="439"/>
    </row>
    <row r="59" spans="1:27" x14ac:dyDescent="0.25">
      <c r="A59" s="1" t="s">
        <v>1505</v>
      </c>
      <c r="B59" s="387" t="s">
        <v>1368</v>
      </c>
      <c r="C59" s="387" t="s">
        <v>1115</v>
      </c>
      <c r="D59" s="441" t="s">
        <v>3239</v>
      </c>
      <c r="E59" s="407" t="s">
        <v>3201</v>
      </c>
      <c r="F59" s="387" t="s">
        <v>5424</v>
      </c>
      <c r="G59" s="442">
        <v>4.6945100000000011</v>
      </c>
      <c r="H59" s="387">
        <v>0</v>
      </c>
      <c r="I59" s="387">
        <v>4.6945100000000011</v>
      </c>
      <c r="J59" s="442"/>
      <c r="K59" s="387" t="s">
        <v>5101</v>
      </c>
      <c r="L59" s="443">
        <v>180.13269954526538</v>
      </c>
      <c r="M59" s="443"/>
      <c r="N59" s="459">
        <v>0</v>
      </c>
      <c r="O59" s="461">
        <v>180.13269954526538</v>
      </c>
      <c r="P59" s="435"/>
      <c r="Q59" s="436">
        <v>1</v>
      </c>
      <c r="R59" s="436">
        <v>1</v>
      </c>
      <c r="S59" s="436">
        <v>1</v>
      </c>
      <c r="T59" s="436">
        <v>1</v>
      </c>
      <c r="U59" s="436">
        <v>0</v>
      </c>
      <c r="V59" s="437">
        <v>1</v>
      </c>
      <c r="W59" s="455">
        <v>180.13269954526538</v>
      </c>
      <c r="X59" s="455">
        <v>0</v>
      </c>
      <c r="Y59" s="466"/>
      <c r="Z59" s="438"/>
      <c r="AA59" s="439"/>
    </row>
    <row r="60" spans="1:27" x14ac:dyDescent="0.25">
      <c r="A60" s="571" t="s">
        <v>5214</v>
      </c>
      <c r="B60" s="387" t="s">
        <v>1368</v>
      </c>
      <c r="C60" s="387" t="s">
        <v>1115</v>
      </c>
      <c r="D60" s="441" t="s">
        <v>3241</v>
      </c>
      <c r="E60" s="407" t="s">
        <v>3201</v>
      </c>
      <c r="F60" s="387" t="s">
        <v>5425</v>
      </c>
      <c r="G60" s="442">
        <v>2.0880000000000001</v>
      </c>
      <c r="H60" s="387">
        <v>0</v>
      </c>
      <c r="I60" s="387">
        <v>2.0880000000000001</v>
      </c>
      <c r="J60" s="442"/>
      <c r="K60" s="387" t="s">
        <v>5101</v>
      </c>
      <c r="L60" s="443">
        <v>60.762</v>
      </c>
      <c r="M60" s="443"/>
      <c r="N60" s="459"/>
      <c r="O60" s="461">
        <v>60.762</v>
      </c>
      <c r="P60" s="435"/>
      <c r="Q60" s="436">
        <v>1</v>
      </c>
      <c r="R60" s="436">
        <v>1</v>
      </c>
      <c r="S60" s="436">
        <v>1</v>
      </c>
      <c r="T60" s="436">
        <v>1</v>
      </c>
      <c r="U60" s="436">
        <v>0</v>
      </c>
      <c r="V60" s="437">
        <v>1</v>
      </c>
      <c r="W60" s="455">
        <v>60.762</v>
      </c>
      <c r="X60" s="455">
        <v>0</v>
      </c>
      <c r="Y60" s="466"/>
      <c r="Z60" s="438"/>
      <c r="AA60" s="439" t="s">
        <v>5143</v>
      </c>
    </row>
    <row r="61" spans="1:27" x14ac:dyDescent="0.25">
      <c r="A61" s="1" t="s">
        <v>1509</v>
      </c>
      <c r="B61" s="387" t="s">
        <v>1368</v>
      </c>
      <c r="C61" s="387" t="s">
        <v>1115</v>
      </c>
      <c r="D61" s="441" t="s">
        <v>3243</v>
      </c>
      <c r="E61" s="407" t="s">
        <v>3201</v>
      </c>
      <c r="F61" s="387" t="s">
        <v>5426</v>
      </c>
      <c r="G61" s="442">
        <v>2.8709639999999998</v>
      </c>
      <c r="H61" s="387">
        <v>0</v>
      </c>
      <c r="I61" s="387">
        <v>2.8709639999999998</v>
      </c>
      <c r="J61" s="442"/>
      <c r="K61" s="387" t="s">
        <v>5101</v>
      </c>
      <c r="L61" s="443">
        <v>104.78093675159374</v>
      </c>
      <c r="M61" s="443"/>
      <c r="N61" s="459">
        <v>0</v>
      </c>
      <c r="O61" s="461">
        <v>104.78093675159374</v>
      </c>
      <c r="P61" s="435"/>
      <c r="Q61" s="436">
        <v>1</v>
      </c>
      <c r="R61" s="436">
        <v>1</v>
      </c>
      <c r="S61" s="436">
        <v>1</v>
      </c>
      <c r="T61" s="436">
        <v>1</v>
      </c>
      <c r="U61" s="436">
        <v>0</v>
      </c>
      <c r="V61" s="437">
        <v>1.0000000000000002</v>
      </c>
      <c r="W61" s="455">
        <v>104.78093675159376</v>
      </c>
      <c r="X61" s="455">
        <v>0</v>
      </c>
      <c r="Y61" s="466"/>
      <c r="Z61" s="438"/>
      <c r="AA61" s="439"/>
    </row>
    <row r="62" spans="1:27" x14ac:dyDescent="0.25">
      <c r="A62" s="1" t="s">
        <v>1774</v>
      </c>
      <c r="B62" s="387" t="s">
        <v>1368</v>
      </c>
      <c r="C62" s="387" t="s">
        <v>1115</v>
      </c>
      <c r="D62" s="387" t="s">
        <v>3744</v>
      </c>
      <c r="E62" s="387" t="s">
        <v>3201</v>
      </c>
      <c r="F62" s="407" t="s">
        <v>4112</v>
      </c>
      <c r="G62" s="442"/>
      <c r="H62" s="387">
        <v>0</v>
      </c>
      <c r="I62" s="387">
        <v>0</v>
      </c>
      <c r="J62" s="442"/>
      <c r="K62" s="387"/>
      <c r="L62" s="443">
        <v>250</v>
      </c>
      <c r="M62" s="443"/>
      <c r="N62" s="459">
        <v>0</v>
      </c>
      <c r="O62" s="461">
        <v>250</v>
      </c>
      <c r="P62" s="435"/>
      <c r="Q62" s="436">
        <v>1</v>
      </c>
      <c r="R62" s="436">
        <v>1</v>
      </c>
      <c r="S62" s="436">
        <v>1</v>
      </c>
      <c r="T62" s="436">
        <v>1</v>
      </c>
      <c r="U62" s="436">
        <v>0</v>
      </c>
      <c r="V62" s="437">
        <v>1</v>
      </c>
      <c r="W62" s="455">
        <v>250</v>
      </c>
      <c r="X62" s="458">
        <v>189.5</v>
      </c>
      <c r="Y62" s="466"/>
      <c r="Z62" s="482"/>
      <c r="AA62" s="483"/>
    </row>
    <row r="63" spans="1:27" x14ac:dyDescent="0.25">
      <c r="A63" s="1" t="s">
        <v>1472</v>
      </c>
      <c r="B63" s="387" t="s">
        <v>1368</v>
      </c>
      <c r="C63" s="387" t="s">
        <v>1115</v>
      </c>
      <c r="D63" s="441" t="s">
        <v>3215</v>
      </c>
      <c r="E63" s="407" t="s">
        <v>3201</v>
      </c>
      <c r="F63" s="387" t="s">
        <v>3456</v>
      </c>
      <c r="G63" s="442">
        <v>0</v>
      </c>
      <c r="H63" s="387">
        <v>11.500911000000004</v>
      </c>
      <c r="I63" s="387">
        <v>11.500911000000004</v>
      </c>
      <c r="J63" s="442">
        <v>0</v>
      </c>
      <c r="K63" s="387" t="s">
        <v>5101</v>
      </c>
      <c r="L63" s="443">
        <v>469.55</v>
      </c>
      <c r="M63" s="443"/>
      <c r="N63" s="459">
        <v>0</v>
      </c>
      <c r="O63" s="461">
        <v>469.55</v>
      </c>
      <c r="P63" s="435"/>
      <c r="Q63" s="436">
        <v>1</v>
      </c>
      <c r="R63" s="436">
        <v>0.6</v>
      </c>
      <c r="S63" s="436">
        <v>0.3</v>
      </c>
      <c r="T63" s="436">
        <v>0</v>
      </c>
      <c r="U63" s="436">
        <v>0</v>
      </c>
      <c r="V63" s="437">
        <v>0.47499999999999998</v>
      </c>
      <c r="W63" s="455">
        <v>223.03625</v>
      </c>
      <c r="X63" s="455">
        <v>0</v>
      </c>
      <c r="Y63" s="466"/>
      <c r="Z63" s="438"/>
      <c r="AA63" s="439"/>
    </row>
    <row r="64" spans="1:27" x14ac:dyDescent="0.25">
      <c r="A64" s="1" t="s">
        <v>1473</v>
      </c>
      <c r="B64" s="387" t="s">
        <v>1368</v>
      </c>
      <c r="C64" s="387" t="s">
        <v>1115</v>
      </c>
      <c r="D64" s="441" t="s">
        <v>3216</v>
      </c>
      <c r="E64" s="407" t="s">
        <v>3201</v>
      </c>
      <c r="F64" s="387" t="s">
        <v>3457</v>
      </c>
      <c r="G64" s="442">
        <v>0</v>
      </c>
      <c r="H64" s="387">
        <v>7.3980760000000041</v>
      </c>
      <c r="I64" s="387">
        <v>7.3980760000000041</v>
      </c>
      <c r="J64" s="442">
        <v>0</v>
      </c>
      <c r="K64" s="387" t="s">
        <v>5101</v>
      </c>
      <c r="L64" s="443">
        <v>323.05</v>
      </c>
      <c r="M64" s="443"/>
      <c r="N64" s="459">
        <v>0</v>
      </c>
      <c r="O64" s="461">
        <v>323.05</v>
      </c>
      <c r="P64" s="435"/>
      <c r="Q64" s="436">
        <v>1</v>
      </c>
      <c r="R64" s="436">
        <v>0.6</v>
      </c>
      <c r="S64" s="436">
        <v>0.3</v>
      </c>
      <c r="T64" s="436">
        <v>0</v>
      </c>
      <c r="U64" s="436">
        <v>0</v>
      </c>
      <c r="V64" s="437">
        <v>0.47499999999999998</v>
      </c>
      <c r="W64" s="455">
        <v>153.44874999999999</v>
      </c>
      <c r="X64" s="455">
        <v>0</v>
      </c>
      <c r="Y64" s="466"/>
      <c r="Z64" s="438"/>
      <c r="AA64" s="439"/>
    </row>
    <row r="65" spans="1:27" x14ac:dyDescent="0.25">
      <c r="A65" s="1" t="s">
        <v>1504</v>
      </c>
      <c r="B65" s="387" t="s">
        <v>1368</v>
      </c>
      <c r="C65" s="387" t="s">
        <v>1115</v>
      </c>
      <c r="D65" s="441" t="s">
        <v>3238</v>
      </c>
      <c r="E65" s="407" t="s">
        <v>3201</v>
      </c>
      <c r="F65" s="387" t="s">
        <v>3478</v>
      </c>
      <c r="G65" s="442">
        <v>6.4025960000000008</v>
      </c>
      <c r="H65" s="387">
        <v>0</v>
      </c>
      <c r="I65" s="387">
        <v>6.4025960000000008</v>
      </c>
      <c r="J65" s="442">
        <v>2.0648372100000008</v>
      </c>
      <c r="K65" s="387" t="s">
        <v>5101</v>
      </c>
      <c r="L65" s="443">
        <v>274.18456024689453</v>
      </c>
      <c r="M65" s="443"/>
      <c r="N65" s="459">
        <v>0</v>
      </c>
      <c r="O65" s="461">
        <v>274.18456024689453</v>
      </c>
      <c r="P65" s="435"/>
      <c r="Q65" s="436">
        <v>0.5</v>
      </c>
      <c r="R65" s="436">
        <v>0.4</v>
      </c>
      <c r="S65" s="436">
        <v>0.25</v>
      </c>
      <c r="T65" s="436">
        <v>0</v>
      </c>
      <c r="U65" s="436">
        <v>0</v>
      </c>
      <c r="V65" s="437">
        <v>0.32250000000000006</v>
      </c>
      <c r="W65" s="455">
        <v>88.424520679623498</v>
      </c>
      <c r="X65" s="455">
        <v>0</v>
      </c>
      <c r="Y65" s="466"/>
      <c r="Z65" s="438"/>
      <c r="AA65" s="439"/>
    </row>
    <row r="66" spans="1:27" x14ac:dyDescent="0.25">
      <c r="A66" s="1" t="s">
        <v>1506</v>
      </c>
      <c r="B66" s="387" t="s">
        <v>1368</v>
      </c>
      <c r="C66" s="387" t="s">
        <v>1115</v>
      </c>
      <c r="D66" s="441" t="s">
        <v>3240</v>
      </c>
      <c r="E66" s="407" t="s">
        <v>3201</v>
      </c>
      <c r="F66" s="407" t="s">
        <v>3479</v>
      </c>
      <c r="G66" s="442">
        <v>4.0552710000000003</v>
      </c>
      <c r="H66" s="387">
        <v>0</v>
      </c>
      <c r="I66" s="387">
        <v>4.0552710000000003</v>
      </c>
      <c r="J66" s="442"/>
      <c r="K66" s="387" t="s">
        <v>5101</v>
      </c>
      <c r="L66" s="443">
        <v>163.94245616734037</v>
      </c>
      <c r="M66" s="443"/>
      <c r="N66" s="459">
        <v>0</v>
      </c>
      <c r="O66" s="461">
        <v>163.94245616734037</v>
      </c>
      <c r="P66" s="435"/>
      <c r="Q66" s="436">
        <v>0.5</v>
      </c>
      <c r="R66" s="436">
        <v>0.4</v>
      </c>
      <c r="S66" s="436">
        <v>0.25</v>
      </c>
      <c r="T66" s="436">
        <v>0</v>
      </c>
      <c r="U66" s="436">
        <v>0</v>
      </c>
      <c r="V66" s="437">
        <v>0.32250000000000006</v>
      </c>
      <c r="W66" s="455">
        <v>52.871442113967277</v>
      </c>
      <c r="X66" s="455">
        <v>0</v>
      </c>
      <c r="Y66" s="466"/>
      <c r="Z66" s="438"/>
      <c r="AA66" s="439"/>
    </row>
    <row r="67" spans="1:27" x14ac:dyDescent="0.25">
      <c r="A67" s="1" t="s">
        <v>1507</v>
      </c>
      <c r="B67" s="387" t="s">
        <v>1368</v>
      </c>
      <c r="C67" s="387" t="s">
        <v>1115</v>
      </c>
      <c r="D67" s="441" t="s">
        <v>3241</v>
      </c>
      <c r="E67" s="407" t="s">
        <v>3201</v>
      </c>
      <c r="F67" s="407" t="s">
        <v>3480</v>
      </c>
      <c r="G67" s="442">
        <v>1.7010000000000001</v>
      </c>
      <c r="H67" s="387">
        <v>0</v>
      </c>
      <c r="I67" s="387">
        <v>1.7010000000000001</v>
      </c>
      <c r="J67" s="442"/>
      <c r="K67" s="387" t="s">
        <v>5101</v>
      </c>
      <c r="L67" s="443">
        <v>100.762</v>
      </c>
      <c r="M67" s="443"/>
      <c r="N67" s="459">
        <v>0</v>
      </c>
      <c r="O67" s="461">
        <v>100.762</v>
      </c>
      <c r="P67" s="435"/>
      <c r="Q67" s="436">
        <v>0</v>
      </c>
      <c r="R67" s="436">
        <v>0</v>
      </c>
      <c r="S67" s="436">
        <v>0</v>
      </c>
      <c r="T67" s="436">
        <v>0</v>
      </c>
      <c r="U67" s="436">
        <v>0</v>
      </c>
      <c r="V67" s="437">
        <v>0</v>
      </c>
      <c r="W67" s="455">
        <v>0</v>
      </c>
      <c r="X67" s="455">
        <v>0</v>
      </c>
      <c r="Y67" s="466"/>
      <c r="Z67" s="438"/>
      <c r="AA67" s="439" t="s">
        <v>5143</v>
      </c>
    </row>
    <row r="68" spans="1:27" x14ac:dyDescent="0.25">
      <c r="A68" s="1" t="s">
        <v>1508</v>
      </c>
      <c r="B68" s="387" t="s">
        <v>1368</v>
      </c>
      <c r="C68" s="387" t="s">
        <v>1115</v>
      </c>
      <c r="D68" s="441" t="s">
        <v>3242</v>
      </c>
      <c r="E68" s="407" t="s">
        <v>3201</v>
      </c>
      <c r="F68" s="407" t="s">
        <v>3481</v>
      </c>
      <c r="G68" s="442">
        <v>8.3351759999999988</v>
      </c>
      <c r="H68" s="387">
        <v>0</v>
      </c>
      <c r="I68" s="387">
        <v>8.3351759999999988</v>
      </c>
      <c r="J68" s="442"/>
      <c r="K68" s="387" t="s">
        <v>5101</v>
      </c>
      <c r="L68" s="443">
        <v>382.74376105041165</v>
      </c>
      <c r="M68" s="443"/>
      <c r="N68" s="459">
        <v>0</v>
      </c>
      <c r="O68" s="461">
        <v>382.74376105041165</v>
      </c>
      <c r="P68" s="435"/>
      <c r="Q68" s="436">
        <v>0</v>
      </c>
      <c r="R68" s="436">
        <v>0</v>
      </c>
      <c r="S68" s="436">
        <v>0</v>
      </c>
      <c r="T68" s="436">
        <v>0</v>
      </c>
      <c r="U68" s="436">
        <v>0</v>
      </c>
      <c r="V68" s="437">
        <v>0</v>
      </c>
      <c r="W68" s="455">
        <v>0</v>
      </c>
      <c r="X68" s="455">
        <v>0</v>
      </c>
      <c r="Y68" s="466"/>
      <c r="Z68" s="438"/>
      <c r="AA68" s="439"/>
    </row>
    <row r="69" spans="1:27" x14ac:dyDescent="0.25">
      <c r="A69" s="1" t="s">
        <v>1510</v>
      </c>
      <c r="B69" s="387" t="s">
        <v>1368</v>
      </c>
      <c r="C69" s="387" t="s">
        <v>1115</v>
      </c>
      <c r="D69" s="441" t="s">
        <v>3244</v>
      </c>
      <c r="E69" s="407" t="s">
        <v>3201</v>
      </c>
      <c r="F69" s="407" t="s">
        <v>3482</v>
      </c>
      <c r="G69" s="442">
        <v>3.1564910000000004</v>
      </c>
      <c r="H69" s="387">
        <v>0</v>
      </c>
      <c r="I69" s="387">
        <v>3.1564910000000004</v>
      </c>
      <c r="J69" s="442"/>
      <c r="K69" s="387" t="s">
        <v>5101</v>
      </c>
      <c r="L69" s="443">
        <v>137.91667414191767</v>
      </c>
      <c r="M69" s="443"/>
      <c r="N69" s="459">
        <v>0</v>
      </c>
      <c r="O69" s="461">
        <v>137.91667414191767</v>
      </c>
      <c r="P69" s="435"/>
      <c r="Q69" s="436">
        <v>0</v>
      </c>
      <c r="R69" s="436">
        <v>0</v>
      </c>
      <c r="S69" s="436">
        <v>0</v>
      </c>
      <c r="T69" s="436">
        <v>0</v>
      </c>
      <c r="U69" s="436">
        <v>0</v>
      </c>
      <c r="V69" s="437">
        <v>0</v>
      </c>
      <c r="W69" s="455">
        <v>0</v>
      </c>
      <c r="X69" s="455">
        <v>0</v>
      </c>
      <c r="Y69" s="466"/>
      <c r="Z69" s="438"/>
      <c r="AA69" s="439"/>
    </row>
    <row r="70" spans="1:27" x14ac:dyDescent="0.25">
      <c r="A70" s="1" t="s">
        <v>1511</v>
      </c>
      <c r="B70" s="387" t="s">
        <v>1368</v>
      </c>
      <c r="C70" s="387" t="s">
        <v>1115</v>
      </c>
      <c r="D70" s="441" t="s">
        <v>3245</v>
      </c>
      <c r="E70" s="407" t="s">
        <v>3201</v>
      </c>
      <c r="F70" s="407" t="s">
        <v>3483</v>
      </c>
      <c r="G70" s="442">
        <v>3.2202930000000007</v>
      </c>
      <c r="H70" s="387">
        <v>0</v>
      </c>
      <c r="I70" s="387">
        <v>3.2202930000000007</v>
      </c>
      <c r="J70" s="442"/>
      <c r="K70" s="387" t="s">
        <v>5101</v>
      </c>
      <c r="L70" s="443">
        <v>116.10247034888059</v>
      </c>
      <c r="M70" s="443"/>
      <c r="N70" s="459">
        <v>0</v>
      </c>
      <c r="O70" s="461">
        <v>116.10247034888059</v>
      </c>
      <c r="P70" s="435"/>
      <c r="Q70" s="436">
        <v>0.8</v>
      </c>
      <c r="R70" s="436">
        <v>0.65</v>
      </c>
      <c r="S70" s="436">
        <v>0.65</v>
      </c>
      <c r="T70" s="436">
        <v>0</v>
      </c>
      <c r="U70" s="436">
        <v>0</v>
      </c>
      <c r="V70" s="437">
        <v>0.63250000000000006</v>
      </c>
      <c r="W70" s="455">
        <v>73.434812495666975</v>
      </c>
      <c r="X70" s="455">
        <v>0</v>
      </c>
      <c r="Y70" s="466"/>
      <c r="Z70" s="438"/>
      <c r="AA70" s="439"/>
    </row>
    <row r="71" spans="1:27" x14ac:dyDescent="0.25">
      <c r="A71" s="1" t="s">
        <v>1512</v>
      </c>
      <c r="B71" s="387" t="s">
        <v>1368</v>
      </c>
      <c r="C71" s="387" t="s">
        <v>1115</v>
      </c>
      <c r="D71" s="441" t="s">
        <v>3246</v>
      </c>
      <c r="E71" s="407" t="s">
        <v>3201</v>
      </c>
      <c r="F71" s="407" t="s">
        <v>3484</v>
      </c>
      <c r="G71" s="442">
        <v>0.44088800000000006</v>
      </c>
      <c r="H71" s="387">
        <v>0</v>
      </c>
      <c r="I71" s="387">
        <v>0.44088800000000006</v>
      </c>
      <c r="J71" s="442"/>
      <c r="K71" s="387" t="s">
        <v>5101</v>
      </c>
      <c r="L71" s="443">
        <v>20.189460907342202</v>
      </c>
      <c r="M71" s="443"/>
      <c r="N71" s="459">
        <v>0</v>
      </c>
      <c r="O71" s="461">
        <v>20.189460907342202</v>
      </c>
      <c r="P71" s="435"/>
      <c r="Q71" s="436">
        <v>0</v>
      </c>
      <c r="R71" s="436">
        <v>0</v>
      </c>
      <c r="S71" s="436">
        <v>0</v>
      </c>
      <c r="T71" s="436">
        <v>0</v>
      </c>
      <c r="U71" s="436">
        <v>0</v>
      </c>
      <c r="V71" s="437">
        <v>0</v>
      </c>
      <c r="W71" s="455">
        <v>0</v>
      </c>
      <c r="X71" s="455">
        <v>0</v>
      </c>
      <c r="Y71" s="466"/>
      <c r="Z71" s="438"/>
      <c r="AA71" s="439"/>
    </row>
    <row r="72" spans="1:27" x14ac:dyDescent="0.25">
      <c r="A72" s="1" t="s">
        <v>1513</v>
      </c>
      <c r="B72" s="387" t="s">
        <v>1368</v>
      </c>
      <c r="C72" s="387" t="s">
        <v>1115</v>
      </c>
      <c r="D72" s="441" t="s">
        <v>3247</v>
      </c>
      <c r="E72" s="407" t="s">
        <v>3201</v>
      </c>
      <c r="F72" s="407" t="s">
        <v>3485</v>
      </c>
      <c r="G72" s="442">
        <v>16.384612999999998</v>
      </c>
      <c r="H72" s="387">
        <v>0</v>
      </c>
      <c r="I72" s="387">
        <v>16.384612999999998</v>
      </c>
      <c r="J72" s="442"/>
      <c r="K72" s="387" t="s">
        <v>5101</v>
      </c>
      <c r="L72" s="443">
        <v>678.96679589704524</v>
      </c>
      <c r="M72" s="443"/>
      <c r="N72" s="459">
        <v>0</v>
      </c>
      <c r="O72" s="461">
        <v>678.96679589704524</v>
      </c>
      <c r="P72" s="435"/>
      <c r="Q72" s="436">
        <v>0</v>
      </c>
      <c r="R72" s="436">
        <v>0</v>
      </c>
      <c r="S72" s="436">
        <v>0</v>
      </c>
      <c r="T72" s="436">
        <v>0</v>
      </c>
      <c r="U72" s="436">
        <v>0</v>
      </c>
      <c r="V72" s="437">
        <v>0</v>
      </c>
      <c r="W72" s="455">
        <v>0</v>
      </c>
      <c r="X72" s="455">
        <v>0</v>
      </c>
      <c r="Y72" s="466"/>
      <c r="Z72" s="438"/>
      <c r="AA72" s="439"/>
    </row>
    <row r="73" spans="1:27" x14ac:dyDescent="0.25">
      <c r="A73" s="1" t="s">
        <v>1514</v>
      </c>
      <c r="B73" s="387" t="s">
        <v>1368</v>
      </c>
      <c r="C73" s="387" t="s">
        <v>1115</v>
      </c>
      <c r="D73" s="441" t="s">
        <v>3248</v>
      </c>
      <c r="E73" s="407" t="s">
        <v>3201</v>
      </c>
      <c r="F73" s="407" t="s">
        <v>3486</v>
      </c>
      <c r="G73" s="442">
        <v>4.0970000000000004</v>
      </c>
      <c r="H73" s="387">
        <v>0</v>
      </c>
      <c r="I73" s="387">
        <v>4.0970000000000004</v>
      </c>
      <c r="J73" s="442"/>
      <c r="K73" s="387" t="s">
        <v>5101</v>
      </c>
      <c r="L73" s="443">
        <v>156.54419802112346</v>
      </c>
      <c r="M73" s="443"/>
      <c r="N73" s="459">
        <v>0</v>
      </c>
      <c r="O73" s="461">
        <v>156.54419802112346</v>
      </c>
      <c r="P73" s="435"/>
      <c r="Q73" s="436">
        <v>1</v>
      </c>
      <c r="R73" s="436">
        <v>0.8</v>
      </c>
      <c r="S73" s="436">
        <v>0.5</v>
      </c>
      <c r="T73" s="436">
        <v>0</v>
      </c>
      <c r="U73" s="436">
        <v>0</v>
      </c>
      <c r="V73" s="437">
        <v>0.64500000000000013</v>
      </c>
      <c r="W73" s="455">
        <v>100.97100772362465</v>
      </c>
      <c r="X73" s="455">
        <v>0</v>
      </c>
      <c r="Y73" s="466"/>
      <c r="Z73" s="438"/>
      <c r="AA73" s="439"/>
    </row>
    <row r="74" spans="1:27" x14ac:dyDescent="0.25">
      <c r="A74" s="1" t="s">
        <v>1515</v>
      </c>
      <c r="B74" s="387" t="s">
        <v>1368</v>
      </c>
      <c r="C74" s="387" t="s">
        <v>1115</v>
      </c>
      <c r="D74" s="441" t="s">
        <v>3249</v>
      </c>
      <c r="E74" s="407" t="s">
        <v>3201</v>
      </c>
      <c r="F74" s="407" t="s">
        <v>3487</v>
      </c>
      <c r="G74" s="442">
        <v>0.82599999999999996</v>
      </c>
      <c r="H74" s="387">
        <v>0</v>
      </c>
      <c r="I74" s="387">
        <v>0.82599999999999996</v>
      </c>
      <c r="J74" s="442"/>
      <c r="K74" s="387" t="s">
        <v>5101</v>
      </c>
      <c r="L74" s="443">
        <v>38.364419249457697</v>
      </c>
      <c r="M74" s="443"/>
      <c r="N74" s="459">
        <v>0</v>
      </c>
      <c r="O74" s="461">
        <v>38.364419249457697</v>
      </c>
      <c r="P74" s="435"/>
      <c r="Q74" s="436">
        <v>1</v>
      </c>
      <c r="R74" s="436">
        <v>0.8</v>
      </c>
      <c r="S74" s="436">
        <v>0.5</v>
      </c>
      <c r="T74" s="436">
        <v>0</v>
      </c>
      <c r="U74" s="436">
        <v>0</v>
      </c>
      <c r="V74" s="437">
        <v>0.64500000000000002</v>
      </c>
      <c r="W74" s="455">
        <v>24.745050415900216</v>
      </c>
      <c r="X74" s="455">
        <v>0</v>
      </c>
      <c r="Y74" s="466"/>
      <c r="Z74" s="438"/>
      <c r="AA74" s="439"/>
    </row>
    <row r="75" spans="1:27" x14ac:dyDescent="0.25">
      <c r="A75" s="1" t="s">
        <v>1516</v>
      </c>
      <c r="B75" s="387" t="s">
        <v>1368</v>
      </c>
      <c r="C75" s="387" t="s">
        <v>1115</v>
      </c>
      <c r="D75" s="441" t="s">
        <v>3250</v>
      </c>
      <c r="E75" s="407" t="s">
        <v>3201</v>
      </c>
      <c r="F75" s="407" t="s">
        <v>3488</v>
      </c>
      <c r="G75" s="442">
        <v>2.5910000000000002</v>
      </c>
      <c r="H75" s="387">
        <v>0</v>
      </c>
      <c r="I75" s="387">
        <v>2.5910000000000002</v>
      </c>
      <c r="J75" s="442"/>
      <c r="K75" s="387" t="s">
        <v>5101</v>
      </c>
      <c r="L75" s="443">
        <v>86.375730523808883</v>
      </c>
      <c r="M75" s="443"/>
      <c r="N75" s="459">
        <v>0</v>
      </c>
      <c r="O75" s="461">
        <v>86.375730523808883</v>
      </c>
      <c r="P75" s="435"/>
      <c r="Q75" s="436">
        <v>1</v>
      </c>
      <c r="R75" s="436">
        <v>0.8</v>
      </c>
      <c r="S75" s="436">
        <v>0.5</v>
      </c>
      <c r="T75" s="436">
        <v>0</v>
      </c>
      <c r="U75" s="436">
        <v>0</v>
      </c>
      <c r="V75" s="437">
        <v>0.64500000000000013</v>
      </c>
      <c r="W75" s="455">
        <v>55.712346187856738</v>
      </c>
      <c r="X75" s="455">
        <v>0</v>
      </c>
      <c r="Y75" s="466"/>
      <c r="Z75" s="438"/>
      <c r="AA75" s="439"/>
    </row>
    <row r="76" spans="1:27" x14ac:dyDescent="0.25">
      <c r="A76" s="1" t="s">
        <v>1517</v>
      </c>
      <c r="B76" s="387" t="s">
        <v>1368</v>
      </c>
      <c r="C76" s="387" t="s">
        <v>1115</v>
      </c>
      <c r="D76" s="441" t="s">
        <v>3251</v>
      </c>
      <c r="E76" s="407" t="s">
        <v>3201</v>
      </c>
      <c r="F76" s="407" t="s">
        <v>3489</v>
      </c>
      <c r="G76" s="442">
        <v>0.88</v>
      </c>
      <c r="H76" s="387">
        <v>0</v>
      </c>
      <c r="I76" s="387">
        <v>0.88</v>
      </c>
      <c r="J76" s="442"/>
      <c r="K76" s="387" t="s">
        <v>5101</v>
      </c>
      <c r="L76" s="443">
        <v>41.125863900065397</v>
      </c>
      <c r="M76" s="443"/>
      <c r="N76" s="459">
        <v>0</v>
      </c>
      <c r="O76" s="461">
        <v>41.125863900065397</v>
      </c>
      <c r="P76" s="435"/>
      <c r="Q76" s="436">
        <v>1</v>
      </c>
      <c r="R76" s="436">
        <v>0.8</v>
      </c>
      <c r="S76" s="436">
        <v>1</v>
      </c>
      <c r="T76" s="436">
        <v>0</v>
      </c>
      <c r="U76" s="436">
        <v>0</v>
      </c>
      <c r="V76" s="437">
        <v>0.87000000000000011</v>
      </c>
      <c r="W76" s="455">
        <v>35.779501593056899</v>
      </c>
      <c r="X76" s="455">
        <v>0</v>
      </c>
      <c r="Y76" s="466"/>
      <c r="Z76" s="438"/>
      <c r="AA76" s="439"/>
    </row>
    <row r="77" spans="1:27" x14ac:dyDescent="0.25">
      <c r="A77" s="1" t="s">
        <v>1518</v>
      </c>
      <c r="B77" s="387" t="s">
        <v>1368</v>
      </c>
      <c r="C77" s="387" t="s">
        <v>1115</v>
      </c>
      <c r="D77" s="441" t="s">
        <v>3252</v>
      </c>
      <c r="E77" s="407" t="s">
        <v>3201</v>
      </c>
      <c r="F77" s="407" t="s">
        <v>3490</v>
      </c>
      <c r="G77" s="442">
        <v>17.353850000000012</v>
      </c>
      <c r="H77" s="387">
        <v>0</v>
      </c>
      <c r="I77" s="387">
        <v>17.353850000000012</v>
      </c>
      <c r="J77" s="442"/>
      <c r="K77" s="387" t="s">
        <v>5101</v>
      </c>
      <c r="L77" s="443">
        <v>721.97711027339847</v>
      </c>
      <c r="M77" s="443"/>
      <c r="N77" s="459">
        <v>0</v>
      </c>
      <c r="O77" s="461">
        <v>721.97711027339847</v>
      </c>
      <c r="P77" s="435"/>
      <c r="Q77" s="436">
        <v>0</v>
      </c>
      <c r="R77" s="436">
        <v>0</v>
      </c>
      <c r="S77" s="436">
        <v>0</v>
      </c>
      <c r="T77" s="436">
        <v>0</v>
      </c>
      <c r="U77" s="436">
        <v>0</v>
      </c>
      <c r="V77" s="437">
        <v>0</v>
      </c>
      <c r="W77" s="455">
        <v>0</v>
      </c>
      <c r="X77" s="455">
        <v>0</v>
      </c>
      <c r="Y77" s="466"/>
      <c r="Z77" s="438"/>
      <c r="AA77" s="439"/>
    </row>
    <row r="78" spans="1:27" x14ac:dyDescent="0.25">
      <c r="A78" s="1" t="s">
        <v>1519</v>
      </c>
      <c r="B78" s="387" t="s">
        <v>1368</v>
      </c>
      <c r="C78" s="387" t="s">
        <v>1115</v>
      </c>
      <c r="D78" s="441" t="s">
        <v>3253</v>
      </c>
      <c r="E78" s="407" t="s">
        <v>3201</v>
      </c>
      <c r="F78" s="407" t="s">
        <v>3491</v>
      </c>
      <c r="G78" s="442">
        <v>7.2167730000000017</v>
      </c>
      <c r="H78" s="387">
        <v>0</v>
      </c>
      <c r="I78" s="387">
        <v>7.2167730000000017</v>
      </c>
      <c r="J78" s="442"/>
      <c r="K78" s="387" t="s">
        <v>5101</v>
      </c>
      <c r="L78" s="443">
        <v>295.49625133880249</v>
      </c>
      <c r="M78" s="443"/>
      <c r="N78" s="459">
        <v>0</v>
      </c>
      <c r="O78" s="461">
        <v>295.49625133880249</v>
      </c>
      <c r="P78" s="435"/>
      <c r="Q78" s="436">
        <v>0</v>
      </c>
      <c r="R78" s="436">
        <v>0</v>
      </c>
      <c r="S78" s="436">
        <v>0</v>
      </c>
      <c r="T78" s="436">
        <v>0</v>
      </c>
      <c r="U78" s="436">
        <v>0</v>
      </c>
      <c r="V78" s="437">
        <v>0</v>
      </c>
      <c r="W78" s="455">
        <v>0</v>
      </c>
      <c r="X78" s="455">
        <v>0</v>
      </c>
      <c r="Y78" s="466"/>
      <c r="Z78" s="438"/>
      <c r="AA78" s="439"/>
    </row>
    <row r="79" spans="1:27" x14ac:dyDescent="0.25">
      <c r="A79" s="1" t="s">
        <v>1520</v>
      </c>
      <c r="B79" s="387" t="s">
        <v>1368</v>
      </c>
      <c r="C79" s="387" t="s">
        <v>1115</v>
      </c>
      <c r="D79" s="441" t="s">
        <v>3254</v>
      </c>
      <c r="E79" s="407" t="s">
        <v>3201</v>
      </c>
      <c r="F79" s="407" t="s">
        <v>3492</v>
      </c>
      <c r="G79" s="442">
        <v>6.5010350000000008</v>
      </c>
      <c r="H79" s="387">
        <v>0</v>
      </c>
      <c r="I79" s="387">
        <v>6.5010350000000008</v>
      </c>
      <c r="J79" s="442"/>
      <c r="K79" s="387" t="s">
        <v>5101</v>
      </c>
      <c r="L79" s="443">
        <v>274.14394259834046</v>
      </c>
      <c r="M79" s="443"/>
      <c r="N79" s="459">
        <v>0</v>
      </c>
      <c r="O79" s="461">
        <v>274.14394259834046</v>
      </c>
      <c r="P79" s="435"/>
      <c r="Q79" s="436">
        <v>0.5</v>
      </c>
      <c r="R79" s="436">
        <v>0.3</v>
      </c>
      <c r="S79" s="436">
        <v>0.2</v>
      </c>
      <c r="T79" s="436">
        <v>0</v>
      </c>
      <c r="U79" s="436">
        <v>0</v>
      </c>
      <c r="V79" s="437">
        <v>0.26</v>
      </c>
      <c r="W79" s="455">
        <v>71.277425075568516</v>
      </c>
      <c r="X79" s="455">
        <v>0</v>
      </c>
      <c r="Y79" s="466"/>
      <c r="Z79" s="438"/>
      <c r="AA79" s="439"/>
    </row>
    <row r="80" spans="1:27" x14ac:dyDescent="0.25">
      <c r="A80" s="1" t="s">
        <v>1521</v>
      </c>
      <c r="B80" s="387" t="s">
        <v>1368</v>
      </c>
      <c r="C80" s="387" t="s">
        <v>1115</v>
      </c>
      <c r="D80" s="441" t="s">
        <v>3255</v>
      </c>
      <c r="E80" s="407" t="s">
        <v>3201</v>
      </c>
      <c r="F80" s="407" t="s">
        <v>3493</v>
      </c>
      <c r="G80" s="442">
        <v>3.8069999999999999</v>
      </c>
      <c r="H80" s="387">
        <v>0</v>
      </c>
      <c r="I80" s="387">
        <v>3.8069999999999999</v>
      </c>
      <c r="J80" s="442"/>
      <c r="K80" s="387" t="s">
        <v>5101</v>
      </c>
      <c r="L80" s="443">
        <v>174.57418115944515</v>
      </c>
      <c r="M80" s="443"/>
      <c r="N80" s="459">
        <v>0</v>
      </c>
      <c r="O80" s="461">
        <v>174.57418115944515</v>
      </c>
      <c r="P80" s="435"/>
      <c r="Q80" s="436">
        <v>0.5</v>
      </c>
      <c r="R80" s="436">
        <v>0.3</v>
      </c>
      <c r="S80" s="436">
        <v>0.2</v>
      </c>
      <c r="T80" s="436">
        <v>0</v>
      </c>
      <c r="U80" s="436">
        <v>0</v>
      </c>
      <c r="V80" s="437">
        <v>0.26</v>
      </c>
      <c r="W80" s="455">
        <v>45.389287101455736</v>
      </c>
      <c r="X80" s="455">
        <v>0</v>
      </c>
      <c r="Y80" s="466"/>
      <c r="Z80" s="438"/>
      <c r="AA80" s="439"/>
    </row>
    <row r="81" spans="1:27" x14ac:dyDescent="0.25">
      <c r="A81" s="1" t="s">
        <v>1522</v>
      </c>
      <c r="B81" s="387" t="s">
        <v>1368</v>
      </c>
      <c r="C81" s="387" t="s">
        <v>1115</v>
      </c>
      <c r="D81" s="441" t="s">
        <v>3256</v>
      </c>
      <c r="E81" s="407" t="s">
        <v>3201</v>
      </c>
      <c r="F81" s="407" t="s">
        <v>3494</v>
      </c>
      <c r="G81" s="442">
        <v>3.5270000000000001</v>
      </c>
      <c r="H81" s="387">
        <v>0</v>
      </c>
      <c r="I81" s="387">
        <v>3.5270000000000001</v>
      </c>
      <c r="J81" s="442"/>
      <c r="K81" s="387" t="s">
        <v>5101</v>
      </c>
      <c r="L81" s="443">
        <v>150.99177553346397</v>
      </c>
      <c r="M81" s="443"/>
      <c r="N81" s="459">
        <v>0</v>
      </c>
      <c r="O81" s="461">
        <v>150.99177553346397</v>
      </c>
      <c r="P81" s="435"/>
      <c r="Q81" s="436">
        <v>0</v>
      </c>
      <c r="R81" s="436">
        <v>0</v>
      </c>
      <c r="S81" s="436">
        <v>0</v>
      </c>
      <c r="T81" s="436">
        <v>0</v>
      </c>
      <c r="U81" s="436">
        <v>0</v>
      </c>
      <c r="V81" s="437">
        <v>0</v>
      </c>
      <c r="W81" s="455">
        <v>0</v>
      </c>
      <c r="X81" s="455">
        <v>0</v>
      </c>
      <c r="Y81" s="466"/>
      <c r="Z81" s="438"/>
      <c r="AA81" s="439"/>
    </row>
    <row r="82" spans="1:27" x14ac:dyDescent="0.25">
      <c r="A82" s="1" t="s">
        <v>1523</v>
      </c>
      <c r="B82" s="387" t="s">
        <v>1368</v>
      </c>
      <c r="C82" s="387" t="s">
        <v>1115</v>
      </c>
      <c r="D82" s="441" t="s">
        <v>3257</v>
      </c>
      <c r="E82" s="407" t="s">
        <v>3201</v>
      </c>
      <c r="F82" s="407" t="s">
        <v>3495</v>
      </c>
      <c r="G82" s="442">
        <v>4.3977139999999988</v>
      </c>
      <c r="H82" s="387">
        <v>0</v>
      </c>
      <c r="I82" s="387">
        <v>4.3977139999999988</v>
      </c>
      <c r="J82" s="442"/>
      <c r="K82" s="387" t="s">
        <v>5101</v>
      </c>
      <c r="L82" s="443">
        <v>158.9577857442811</v>
      </c>
      <c r="M82" s="443"/>
      <c r="N82" s="459">
        <v>0</v>
      </c>
      <c r="O82" s="461">
        <v>158.9577857442811</v>
      </c>
      <c r="P82" s="435"/>
      <c r="Q82" s="436">
        <v>0</v>
      </c>
      <c r="R82" s="436">
        <v>0</v>
      </c>
      <c r="S82" s="436">
        <v>0</v>
      </c>
      <c r="T82" s="436">
        <v>0</v>
      </c>
      <c r="U82" s="436">
        <v>0</v>
      </c>
      <c r="V82" s="437">
        <v>0</v>
      </c>
      <c r="W82" s="455">
        <v>0</v>
      </c>
      <c r="X82" s="455">
        <v>0</v>
      </c>
      <c r="Y82" s="466"/>
      <c r="Z82" s="438"/>
      <c r="AA82" s="439"/>
    </row>
    <row r="83" spans="1:27" x14ac:dyDescent="0.25">
      <c r="A83" s="1" t="s">
        <v>1524</v>
      </c>
      <c r="B83" s="387" t="s">
        <v>1368</v>
      </c>
      <c r="C83" s="387" t="s">
        <v>1115</v>
      </c>
      <c r="D83" s="441" t="s">
        <v>3258</v>
      </c>
      <c r="E83" s="407" t="s">
        <v>3201</v>
      </c>
      <c r="F83" s="407" t="s">
        <v>3496</v>
      </c>
      <c r="G83" s="442">
        <v>1.4726869999999999</v>
      </c>
      <c r="H83" s="387">
        <v>0</v>
      </c>
      <c r="I83" s="387">
        <v>1.4726869999999999</v>
      </c>
      <c r="J83" s="442"/>
      <c r="K83" s="387" t="s">
        <v>5101</v>
      </c>
      <c r="L83" s="443">
        <v>69.140824607895553</v>
      </c>
      <c r="M83" s="443"/>
      <c r="N83" s="459">
        <v>0</v>
      </c>
      <c r="O83" s="461">
        <v>69.140824607895553</v>
      </c>
      <c r="P83" s="435"/>
      <c r="Q83" s="436">
        <v>0</v>
      </c>
      <c r="R83" s="436">
        <v>0</v>
      </c>
      <c r="S83" s="436">
        <v>0</v>
      </c>
      <c r="T83" s="436">
        <v>0</v>
      </c>
      <c r="U83" s="436">
        <v>0</v>
      </c>
      <c r="V83" s="437">
        <v>0</v>
      </c>
      <c r="W83" s="455">
        <v>0</v>
      </c>
      <c r="X83" s="455">
        <v>0</v>
      </c>
      <c r="Y83" s="466"/>
      <c r="Z83" s="438"/>
      <c r="AA83" s="439"/>
    </row>
    <row r="84" spans="1:27" x14ac:dyDescent="0.25">
      <c r="A84" s="1" t="s">
        <v>1525</v>
      </c>
      <c r="B84" s="387" t="s">
        <v>1368</v>
      </c>
      <c r="C84" s="387" t="s">
        <v>1115</v>
      </c>
      <c r="D84" s="441" t="s">
        <v>3259</v>
      </c>
      <c r="E84" s="407" t="s">
        <v>3201</v>
      </c>
      <c r="F84" s="407" t="s">
        <v>3497</v>
      </c>
      <c r="G84" s="442">
        <v>2.0607030000000002</v>
      </c>
      <c r="H84" s="387">
        <v>0</v>
      </c>
      <c r="I84" s="387">
        <v>2.0607030000000002</v>
      </c>
      <c r="J84" s="442"/>
      <c r="K84" s="387" t="s">
        <v>5101</v>
      </c>
      <c r="L84" s="443">
        <v>72.407079866014399</v>
      </c>
      <c r="M84" s="443"/>
      <c r="N84" s="459">
        <v>0</v>
      </c>
      <c r="O84" s="461">
        <v>72.407079866014399</v>
      </c>
      <c r="P84" s="435"/>
      <c r="Q84" s="436">
        <v>0</v>
      </c>
      <c r="R84" s="436">
        <v>0</v>
      </c>
      <c r="S84" s="436">
        <v>0</v>
      </c>
      <c r="T84" s="436">
        <v>0</v>
      </c>
      <c r="U84" s="436">
        <v>0</v>
      </c>
      <c r="V84" s="437">
        <v>0</v>
      </c>
      <c r="W84" s="455">
        <v>0</v>
      </c>
      <c r="X84" s="455">
        <v>0</v>
      </c>
      <c r="Y84" s="466"/>
      <c r="Z84" s="438"/>
      <c r="AA84" s="439"/>
    </row>
    <row r="85" spans="1:27" x14ac:dyDescent="0.25">
      <c r="A85" s="1" t="s">
        <v>1526</v>
      </c>
      <c r="B85" s="387" t="s">
        <v>1368</v>
      </c>
      <c r="C85" s="387" t="s">
        <v>1115</v>
      </c>
      <c r="D85" s="441" t="s">
        <v>3260</v>
      </c>
      <c r="E85" s="407" t="s">
        <v>3201</v>
      </c>
      <c r="F85" s="407" t="s">
        <v>3498</v>
      </c>
      <c r="G85" s="442">
        <v>0.27152800000000005</v>
      </c>
      <c r="H85" s="387">
        <v>0</v>
      </c>
      <c r="I85" s="387">
        <v>0.27152800000000005</v>
      </c>
      <c r="J85" s="442"/>
      <c r="K85" s="387" t="s">
        <v>5101</v>
      </c>
      <c r="L85" s="443">
        <v>12.006263860985735</v>
      </c>
      <c r="M85" s="443"/>
      <c r="N85" s="459">
        <v>0</v>
      </c>
      <c r="O85" s="461">
        <v>12.006263860985735</v>
      </c>
      <c r="P85" s="435"/>
      <c r="Q85" s="436">
        <v>0</v>
      </c>
      <c r="R85" s="436">
        <v>0</v>
      </c>
      <c r="S85" s="436">
        <v>0</v>
      </c>
      <c r="T85" s="436">
        <v>0</v>
      </c>
      <c r="U85" s="436">
        <v>0</v>
      </c>
      <c r="V85" s="437">
        <v>0</v>
      </c>
      <c r="W85" s="455">
        <v>0</v>
      </c>
      <c r="X85" s="455">
        <v>0</v>
      </c>
      <c r="Y85" s="466"/>
      <c r="Z85" s="438"/>
      <c r="AA85" s="439"/>
    </row>
    <row r="86" spans="1:27" x14ac:dyDescent="0.25">
      <c r="A86" s="1" t="s">
        <v>1527</v>
      </c>
      <c r="B86" s="387" t="s">
        <v>1368</v>
      </c>
      <c r="C86" s="387" t="s">
        <v>1115</v>
      </c>
      <c r="D86" s="441" t="s">
        <v>3261</v>
      </c>
      <c r="E86" s="407" t="s">
        <v>3201</v>
      </c>
      <c r="F86" s="407" t="s">
        <v>3499</v>
      </c>
      <c r="G86" s="442">
        <v>3.6742689999999998</v>
      </c>
      <c r="H86" s="387">
        <v>0</v>
      </c>
      <c r="I86" s="387">
        <v>3.6742689999999998</v>
      </c>
      <c r="J86" s="442"/>
      <c r="K86" s="387" t="s">
        <v>5101</v>
      </c>
      <c r="L86" s="443">
        <v>137.0674759765545</v>
      </c>
      <c r="M86" s="443"/>
      <c r="N86" s="459">
        <v>0</v>
      </c>
      <c r="O86" s="461">
        <v>137.0674759765545</v>
      </c>
      <c r="P86" s="435"/>
      <c r="Q86" s="436">
        <v>0</v>
      </c>
      <c r="R86" s="436">
        <v>0</v>
      </c>
      <c r="S86" s="436">
        <v>0</v>
      </c>
      <c r="T86" s="436">
        <v>0</v>
      </c>
      <c r="U86" s="436">
        <v>0</v>
      </c>
      <c r="V86" s="437">
        <v>0</v>
      </c>
      <c r="W86" s="455">
        <v>0</v>
      </c>
      <c r="X86" s="455">
        <v>0</v>
      </c>
      <c r="Y86" s="466"/>
      <c r="Z86" s="438"/>
      <c r="AA86" s="439"/>
    </row>
    <row r="87" spans="1:27" x14ac:dyDescent="0.25">
      <c r="A87" s="1" t="s">
        <v>1528</v>
      </c>
      <c r="B87" s="387" t="s">
        <v>1368</v>
      </c>
      <c r="C87" s="387" t="s">
        <v>1115</v>
      </c>
      <c r="D87" s="441" t="s">
        <v>3262</v>
      </c>
      <c r="E87" s="407" t="s">
        <v>3201</v>
      </c>
      <c r="F87" s="407" t="s">
        <v>3500</v>
      </c>
      <c r="G87" s="442">
        <v>0.71402700000000008</v>
      </c>
      <c r="H87" s="387">
        <v>0</v>
      </c>
      <c r="I87" s="387">
        <v>0.71402700000000008</v>
      </c>
      <c r="J87" s="442"/>
      <c r="K87" s="387" t="s">
        <v>5101</v>
      </c>
      <c r="L87" s="443">
        <v>33.088585354060676</v>
      </c>
      <c r="M87" s="443"/>
      <c r="N87" s="459">
        <v>0</v>
      </c>
      <c r="O87" s="461">
        <v>33.088585354060676</v>
      </c>
      <c r="P87" s="435"/>
      <c r="Q87" s="436">
        <v>0</v>
      </c>
      <c r="R87" s="436">
        <v>0</v>
      </c>
      <c r="S87" s="436">
        <v>0</v>
      </c>
      <c r="T87" s="436">
        <v>0</v>
      </c>
      <c r="U87" s="436">
        <v>0</v>
      </c>
      <c r="V87" s="437">
        <v>0</v>
      </c>
      <c r="W87" s="455">
        <v>0</v>
      </c>
      <c r="X87" s="455">
        <v>0</v>
      </c>
      <c r="Y87" s="466"/>
      <c r="Z87" s="438"/>
      <c r="AA87" s="439"/>
    </row>
    <row r="88" spans="1:27" x14ac:dyDescent="0.25">
      <c r="A88" s="1" t="s">
        <v>1529</v>
      </c>
      <c r="B88" s="387" t="s">
        <v>1368</v>
      </c>
      <c r="C88" s="387" t="s">
        <v>1115</v>
      </c>
      <c r="D88" s="441" t="s">
        <v>3263</v>
      </c>
      <c r="E88" s="407" t="s">
        <v>3201</v>
      </c>
      <c r="F88" s="407" t="s">
        <v>3501</v>
      </c>
      <c r="G88" s="442">
        <v>3.1185169999999993</v>
      </c>
      <c r="H88" s="387">
        <v>0</v>
      </c>
      <c r="I88" s="387">
        <v>3.1185169999999993</v>
      </c>
      <c r="J88" s="442"/>
      <c r="K88" s="387" t="s">
        <v>5101</v>
      </c>
      <c r="L88" s="443">
        <v>109.75772261025718</v>
      </c>
      <c r="M88" s="443"/>
      <c r="N88" s="459">
        <v>0</v>
      </c>
      <c r="O88" s="461">
        <v>335</v>
      </c>
      <c r="P88" s="435"/>
      <c r="Q88" s="436">
        <v>1</v>
      </c>
      <c r="R88" s="436">
        <v>0.95</v>
      </c>
      <c r="S88" s="436">
        <v>0.95</v>
      </c>
      <c r="T88" s="436">
        <v>0.3</v>
      </c>
      <c r="U88" s="436">
        <v>0</v>
      </c>
      <c r="V88" s="437">
        <v>0.9225000000000001</v>
      </c>
      <c r="W88" s="455">
        <v>309.03750000000002</v>
      </c>
      <c r="X88" s="455">
        <v>0</v>
      </c>
      <c r="Y88" s="466"/>
      <c r="Z88" s="438"/>
      <c r="AA88" s="439"/>
    </row>
    <row r="89" spans="1:27" x14ac:dyDescent="0.25">
      <c r="A89" s="1" t="s">
        <v>1530</v>
      </c>
      <c r="B89" s="387" t="s">
        <v>1368</v>
      </c>
      <c r="C89" s="387" t="s">
        <v>1115</v>
      </c>
      <c r="D89" s="441" t="s">
        <v>3264</v>
      </c>
      <c r="E89" s="407" t="s">
        <v>3201</v>
      </c>
      <c r="F89" s="407" t="s">
        <v>3502</v>
      </c>
      <c r="G89" s="442">
        <v>0.20604500000000001</v>
      </c>
      <c r="H89" s="387">
        <v>0</v>
      </c>
      <c r="I89" s="387">
        <v>0.20604500000000001</v>
      </c>
      <c r="J89" s="442"/>
      <c r="K89" s="387" t="s">
        <v>5101</v>
      </c>
      <c r="L89" s="443">
        <v>9.1107754531275056</v>
      </c>
      <c r="M89" s="443"/>
      <c r="N89" s="459">
        <v>0</v>
      </c>
      <c r="O89" s="461">
        <v>175.78100000000001</v>
      </c>
      <c r="P89" s="435"/>
      <c r="Q89" s="436">
        <v>1</v>
      </c>
      <c r="R89" s="436">
        <v>0.65</v>
      </c>
      <c r="S89" s="436">
        <v>0.6</v>
      </c>
      <c r="T89" s="436">
        <v>0.15</v>
      </c>
      <c r="U89" s="436">
        <v>0</v>
      </c>
      <c r="V89" s="437">
        <v>0.63749999999999996</v>
      </c>
      <c r="W89" s="455">
        <v>112.0603875</v>
      </c>
      <c r="X89" s="455">
        <v>0</v>
      </c>
      <c r="Y89" s="466"/>
      <c r="Z89" s="438"/>
      <c r="AA89" s="439" t="s">
        <v>5023</v>
      </c>
    </row>
    <row r="90" spans="1:27" x14ac:dyDescent="0.25">
      <c r="A90" s="1" t="s">
        <v>1531</v>
      </c>
      <c r="B90" s="387" t="s">
        <v>1368</v>
      </c>
      <c r="C90" s="387" t="s">
        <v>1115</v>
      </c>
      <c r="D90" s="441" t="s">
        <v>3265</v>
      </c>
      <c r="E90" s="407" t="s">
        <v>3201</v>
      </c>
      <c r="F90" s="407" t="s">
        <v>3503</v>
      </c>
      <c r="G90" s="442">
        <v>3.0154899999999998</v>
      </c>
      <c r="H90" s="387">
        <v>0</v>
      </c>
      <c r="I90" s="387">
        <v>3.0154899999999998</v>
      </c>
      <c r="J90" s="442"/>
      <c r="K90" s="387" t="s">
        <v>5101</v>
      </c>
      <c r="L90" s="443">
        <v>96.178822062642709</v>
      </c>
      <c r="M90" s="443"/>
      <c r="N90" s="459">
        <v>0</v>
      </c>
      <c r="O90" s="461">
        <v>96.178822062642709</v>
      </c>
      <c r="P90" s="435"/>
      <c r="Q90" s="436">
        <v>0</v>
      </c>
      <c r="R90" s="436">
        <v>0</v>
      </c>
      <c r="S90" s="436">
        <v>0</v>
      </c>
      <c r="T90" s="436">
        <v>0</v>
      </c>
      <c r="U90" s="436">
        <v>0</v>
      </c>
      <c r="V90" s="437">
        <v>0</v>
      </c>
      <c r="W90" s="455">
        <v>0</v>
      </c>
      <c r="X90" s="455">
        <v>0</v>
      </c>
      <c r="Y90" s="466"/>
      <c r="Z90" s="438"/>
      <c r="AA90" s="439"/>
    </row>
    <row r="91" spans="1:27" x14ac:dyDescent="0.25">
      <c r="A91" s="1" t="s">
        <v>1532</v>
      </c>
      <c r="B91" s="387" t="s">
        <v>1368</v>
      </c>
      <c r="C91" s="387" t="s">
        <v>1115</v>
      </c>
      <c r="D91" s="441" t="s">
        <v>3266</v>
      </c>
      <c r="E91" s="407" t="s">
        <v>3201</v>
      </c>
      <c r="F91" s="407" t="s">
        <v>3504</v>
      </c>
      <c r="G91" s="442">
        <v>2.3848839999999996</v>
      </c>
      <c r="H91" s="387">
        <v>0</v>
      </c>
      <c r="I91" s="387">
        <v>2.3848839999999996</v>
      </c>
      <c r="J91" s="442"/>
      <c r="K91" s="387" t="s">
        <v>5101</v>
      </c>
      <c r="L91" s="443">
        <v>111.41767552794271</v>
      </c>
      <c r="M91" s="443"/>
      <c r="N91" s="459">
        <v>0</v>
      </c>
      <c r="O91" s="461">
        <v>111.41767552794271</v>
      </c>
      <c r="P91" s="435"/>
      <c r="Q91" s="436">
        <v>0</v>
      </c>
      <c r="R91" s="436">
        <v>0</v>
      </c>
      <c r="S91" s="436">
        <v>0</v>
      </c>
      <c r="T91" s="436">
        <v>0</v>
      </c>
      <c r="U91" s="436">
        <v>0</v>
      </c>
      <c r="V91" s="437">
        <v>0</v>
      </c>
      <c r="W91" s="455">
        <v>0</v>
      </c>
      <c r="X91" s="455">
        <v>0</v>
      </c>
      <c r="Y91" s="466"/>
      <c r="Z91" s="438"/>
      <c r="AA91" s="439"/>
    </row>
    <row r="92" spans="1:27" x14ac:dyDescent="0.25">
      <c r="A92" s="1" t="s">
        <v>1533</v>
      </c>
      <c r="B92" s="387" t="s">
        <v>1368</v>
      </c>
      <c r="C92" s="387" t="s">
        <v>1115</v>
      </c>
      <c r="D92" s="441" t="s">
        <v>3267</v>
      </c>
      <c r="E92" s="407" t="s">
        <v>3201</v>
      </c>
      <c r="F92" s="407" t="s">
        <v>3505</v>
      </c>
      <c r="G92" s="442">
        <v>3.4846570000000012</v>
      </c>
      <c r="H92" s="387">
        <v>0</v>
      </c>
      <c r="I92" s="387">
        <v>3.4846570000000012</v>
      </c>
      <c r="J92" s="442"/>
      <c r="K92" s="387" t="s">
        <v>5101</v>
      </c>
      <c r="L92" s="443">
        <v>127.68428664444333</v>
      </c>
      <c r="M92" s="443"/>
      <c r="N92" s="459">
        <v>0</v>
      </c>
      <c r="O92" s="461">
        <v>127.68428664444333</v>
      </c>
      <c r="P92" s="435"/>
      <c r="Q92" s="436">
        <v>0</v>
      </c>
      <c r="R92" s="436">
        <v>0</v>
      </c>
      <c r="S92" s="436">
        <v>0</v>
      </c>
      <c r="T92" s="436">
        <v>0</v>
      </c>
      <c r="U92" s="436">
        <v>0</v>
      </c>
      <c r="V92" s="437">
        <v>0</v>
      </c>
      <c r="W92" s="455">
        <v>0</v>
      </c>
      <c r="X92" s="455">
        <v>0</v>
      </c>
      <c r="Y92" s="466"/>
      <c r="Z92" s="438"/>
      <c r="AA92" s="439"/>
    </row>
    <row r="93" spans="1:27" x14ac:dyDescent="0.25">
      <c r="A93" s="1" t="s">
        <v>1534</v>
      </c>
      <c r="B93" s="387" t="s">
        <v>1368</v>
      </c>
      <c r="C93" s="387" t="s">
        <v>1115</v>
      </c>
      <c r="D93" s="441" t="s">
        <v>3268</v>
      </c>
      <c r="E93" s="407" t="s">
        <v>3201</v>
      </c>
      <c r="F93" s="407" t="s">
        <v>3506</v>
      </c>
      <c r="G93" s="442">
        <v>2.0658810000000001</v>
      </c>
      <c r="H93" s="387">
        <v>0</v>
      </c>
      <c r="I93" s="387">
        <v>2.0658810000000001</v>
      </c>
      <c r="J93" s="442"/>
      <c r="K93" s="387" t="s">
        <v>5101</v>
      </c>
      <c r="L93" s="443">
        <v>97.968013463857375</v>
      </c>
      <c r="M93" s="443"/>
      <c r="N93" s="459">
        <v>0</v>
      </c>
      <c r="O93" s="461">
        <v>97.968013463857375</v>
      </c>
      <c r="P93" s="435"/>
      <c r="Q93" s="436">
        <v>0</v>
      </c>
      <c r="R93" s="436">
        <v>0</v>
      </c>
      <c r="S93" s="436">
        <v>0</v>
      </c>
      <c r="T93" s="436">
        <v>0</v>
      </c>
      <c r="U93" s="436">
        <v>0</v>
      </c>
      <c r="V93" s="437">
        <v>0</v>
      </c>
      <c r="W93" s="455">
        <v>0</v>
      </c>
      <c r="X93" s="455">
        <v>0</v>
      </c>
      <c r="Y93" s="466"/>
      <c r="Z93" s="438"/>
      <c r="AA93" s="439"/>
    </row>
    <row r="94" spans="1:27" x14ac:dyDescent="0.25">
      <c r="A94" s="1" t="s">
        <v>1535</v>
      </c>
      <c r="B94" s="387" t="s">
        <v>1368</v>
      </c>
      <c r="C94" s="387" t="s">
        <v>1115</v>
      </c>
      <c r="D94" s="441" t="s">
        <v>3269</v>
      </c>
      <c r="E94" s="407" t="s">
        <v>3201</v>
      </c>
      <c r="F94" s="407" t="s">
        <v>3507</v>
      </c>
      <c r="G94" s="442">
        <v>3.3348330000000006</v>
      </c>
      <c r="H94" s="387">
        <v>0</v>
      </c>
      <c r="I94" s="387">
        <v>3.3348330000000006</v>
      </c>
      <c r="J94" s="442"/>
      <c r="K94" s="387" t="s">
        <v>5101</v>
      </c>
      <c r="L94" s="443">
        <v>111.69567107199444</v>
      </c>
      <c r="M94" s="443"/>
      <c r="N94" s="459">
        <v>0</v>
      </c>
      <c r="O94" s="461">
        <v>111.69567107199444</v>
      </c>
      <c r="P94" s="435"/>
      <c r="Q94" s="436">
        <v>0</v>
      </c>
      <c r="R94" s="436">
        <v>0</v>
      </c>
      <c r="S94" s="436">
        <v>0</v>
      </c>
      <c r="T94" s="436">
        <v>0</v>
      </c>
      <c r="U94" s="436">
        <v>0</v>
      </c>
      <c r="V94" s="437">
        <v>0</v>
      </c>
      <c r="W94" s="455">
        <v>0</v>
      </c>
      <c r="X94" s="455">
        <v>0</v>
      </c>
      <c r="Y94" s="466"/>
      <c r="Z94" s="438"/>
      <c r="AA94" s="439"/>
    </row>
    <row r="95" spans="1:27" x14ac:dyDescent="0.25">
      <c r="A95" s="1" t="s">
        <v>1536</v>
      </c>
      <c r="B95" s="387" t="s">
        <v>1368</v>
      </c>
      <c r="C95" s="387" t="s">
        <v>1115</v>
      </c>
      <c r="D95" s="441" t="s">
        <v>3270</v>
      </c>
      <c r="E95" s="407" t="s">
        <v>3201</v>
      </c>
      <c r="F95" s="407" t="s">
        <v>3508</v>
      </c>
      <c r="G95" s="442">
        <v>0.62988199999999994</v>
      </c>
      <c r="H95" s="387">
        <v>0</v>
      </c>
      <c r="I95" s="387">
        <v>0.62988199999999994</v>
      </c>
      <c r="J95" s="442"/>
      <c r="K95" s="387" t="s">
        <v>5101</v>
      </c>
      <c r="L95" s="443">
        <v>29.079761300794047</v>
      </c>
      <c r="M95" s="443"/>
      <c r="N95" s="459">
        <v>0</v>
      </c>
      <c r="O95" s="461">
        <v>29.079761300794047</v>
      </c>
      <c r="P95" s="435"/>
      <c r="Q95" s="436">
        <v>0</v>
      </c>
      <c r="R95" s="436">
        <v>0</v>
      </c>
      <c r="S95" s="436">
        <v>0</v>
      </c>
      <c r="T95" s="436">
        <v>0</v>
      </c>
      <c r="U95" s="436">
        <v>0</v>
      </c>
      <c r="V95" s="437">
        <v>0</v>
      </c>
      <c r="W95" s="455">
        <v>0</v>
      </c>
      <c r="X95" s="455">
        <v>0</v>
      </c>
      <c r="Y95" s="466"/>
      <c r="Z95" s="438"/>
      <c r="AA95" s="439"/>
    </row>
    <row r="96" spans="1:27" x14ac:dyDescent="0.25">
      <c r="A96" s="1" t="s">
        <v>1537</v>
      </c>
      <c r="B96" s="387" t="s">
        <v>1368</v>
      </c>
      <c r="C96" s="387" t="s">
        <v>1115</v>
      </c>
      <c r="D96" s="441" t="s">
        <v>3271</v>
      </c>
      <c r="E96" s="407" t="s">
        <v>3201</v>
      </c>
      <c r="F96" s="407" t="s">
        <v>3509</v>
      </c>
      <c r="G96" s="442">
        <v>3.261848000000001</v>
      </c>
      <c r="H96" s="387">
        <v>0</v>
      </c>
      <c r="I96" s="387">
        <v>3.261848000000001</v>
      </c>
      <c r="J96" s="442"/>
      <c r="K96" s="387" t="s">
        <v>5101</v>
      </c>
      <c r="L96" s="443">
        <v>117.35043716763656</v>
      </c>
      <c r="M96" s="443"/>
      <c r="N96" s="459">
        <v>0</v>
      </c>
      <c r="O96" s="461">
        <v>117.35043716763656</v>
      </c>
      <c r="P96" s="435"/>
      <c r="Q96" s="436">
        <v>0</v>
      </c>
      <c r="R96" s="436">
        <v>0</v>
      </c>
      <c r="S96" s="436">
        <v>0</v>
      </c>
      <c r="T96" s="436">
        <v>0</v>
      </c>
      <c r="U96" s="436">
        <v>0</v>
      </c>
      <c r="V96" s="437">
        <v>0</v>
      </c>
      <c r="W96" s="455">
        <v>0</v>
      </c>
      <c r="X96" s="455">
        <v>0</v>
      </c>
      <c r="Y96" s="466"/>
      <c r="Z96" s="438"/>
      <c r="AA96" s="439"/>
    </row>
    <row r="97" spans="1:27" x14ac:dyDescent="0.25">
      <c r="A97" s="1" t="s">
        <v>1538</v>
      </c>
      <c r="B97" s="387" t="s">
        <v>1368</v>
      </c>
      <c r="C97" s="387" t="s">
        <v>1115</v>
      </c>
      <c r="D97" s="441" t="s">
        <v>3272</v>
      </c>
      <c r="E97" s="407" t="s">
        <v>3201</v>
      </c>
      <c r="F97" s="407" t="s">
        <v>3510</v>
      </c>
      <c r="G97" s="442">
        <v>0.41516399999999998</v>
      </c>
      <c r="H97" s="387">
        <v>0</v>
      </c>
      <c r="I97" s="387">
        <v>0.41516399999999998</v>
      </c>
      <c r="J97" s="442"/>
      <c r="K97" s="387" t="s">
        <v>5101</v>
      </c>
      <c r="L97" s="443">
        <v>19.440911889223358</v>
      </c>
      <c r="M97" s="443"/>
      <c r="N97" s="459">
        <v>0</v>
      </c>
      <c r="O97" s="461">
        <v>19.440911889223358</v>
      </c>
      <c r="P97" s="435"/>
      <c r="Q97" s="436">
        <v>0</v>
      </c>
      <c r="R97" s="436">
        <v>0</v>
      </c>
      <c r="S97" s="436">
        <v>0</v>
      </c>
      <c r="T97" s="436">
        <v>0</v>
      </c>
      <c r="U97" s="436">
        <v>0</v>
      </c>
      <c r="V97" s="437">
        <v>0</v>
      </c>
      <c r="W97" s="455">
        <v>0</v>
      </c>
      <c r="X97" s="455">
        <v>0</v>
      </c>
      <c r="Y97" s="466"/>
      <c r="Z97" s="438"/>
      <c r="AA97" s="439"/>
    </row>
    <row r="98" spans="1:27" x14ac:dyDescent="0.25">
      <c r="A98" s="1" t="s">
        <v>1539</v>
      </c>
      <c r="B98" s="387" t="s">
        <v>1368</v>
      </c>
      <c r="C98" s="387" t="s">
        <v>1115</v>
      </c>
      <c r="D98" s="441" t="s">
        <v>3273</v>
      </c>
      <c r="E98" s="407" t="s">
        <v>3201</v>
      </c>
      <c r="F98" s="407" t="s">
        <v>3511</v>
      </c>
      <c r="G98" s="442">
        <v>2.6467029999999991</v>
      </c>
      <c r="H98" s="387">
        <v>0</v>
      </c>
      <c r="I98" s="387">
        <v>2.6467029999999991</v>
      </c>
      <c r="J98" s="442"/>
      <c r="K98" s="387" t="s">
        <v>5101</v>
      </c>
      <c r="L98" s="443">
        <v>89.404556990744098</v>
      </c>
      <c r="M98" s="443"/>
      <c r="N98" s="459">
        <v>0</v>
      </c>
      <c r="O98" s="461">
        <v>89.404556990744098</v>
      </c>
      <c r="P98" s="435"/>
      <c r="Q98" s="436">
        <v>1</v>
      </c>
      <c r="R98" s="436">
        <v>1</v>
      </c>
      <c r="S98" s="436">
        <v>1</v>
      </c>
      <c r="T98" s="436">
        <v>1</v>
      </c>
      <c r="U98" s="436">
        <v>0</v>
      </c>
      <c r="V98" s="437">
        <v>1.0000000000000002</v>
      </c>
      <c r="W98" s="455">
        <v>89.404556990744112</v>
      </c>
      <c r="X98" s="455">
        <v>0</v>
      </c>
      <c r="Y98" s="466"/>
      <c r="Z98" s="438"/>
      <c r="AA98" s="439"/>
    </row>
    <row r="99" spans="1:27" x14ac:dyDescent="0.25">
      <c r="A99" s="1" t="s">
        <v>1540</v>
      </c>
      <c r="B99" s="387" t="s">
        <v>1368</v>
      </c>
      <c r="C99" s="387" t="s">
        <v>1115</v>
      </c>
      <c r="D99" s="441" t="s">
        <v>3274</v>
      </c>
      <c r="E99" s="407" t="s">
        <v>3201</v>
      </c>
      <c r="F99" s="407" t="s">
        <v>3512</v>
      </c>
      <c r="G99" s="442">
        <v>0.198708</v>
      </c>
      <c r="H99" s="387">
        <v>0</v>
      </c>
      <c r="I99" s="387">
        <v>0.198708</v>
      </c>
      <c r="J99" s="442"/>
      <c r="K99" s="387" t="s">
        <v>5101</v>
      </c>
      <c r="L99" s="443">
        <v>10.207086594006341</v>
      </c>
      <c r="M99" s="443"/>
      <c r="N99" s="459">
        <v>0</v>
      </c>
      <c r="O99" s="461">
        <v>10.207086594006341</v>
      </c>
      <c r="P99" s="435"/>
      <c r="Q99" s="436">
        <v>0</v>
      </c>
      <c r="R99" s="436">
        <v>0</v>
      </c>
      <c r="S99" s="436">
        <v>0</v>
      </c>
      <c r="T99" s="436">
        <v>0</v>
      </c>
      <c r="U99" s="436">
        <v>0</v>
      </c>
      <c r="V99" s="437">
        <v>0</v>
      </c>
      <c r="W99" s="455">
        <v>0</v>
      </c>
      <c r="X99" s="455">
        <v>0</v>
      </c>
      <c r="Y99" s="466"/>
      <c r="Z99" s="438"/>
      <c r="AA99" s="439"/>
    </row>
    <row r="100" spans="1:27" x14ac:dyDescent="0.25">
      <c r="A100" s="1" t="s">
        <v>1541</v>
      </c>
      <c r="B100" s="387" t="s">
        <v>1368</v>
      </c>
      <c r="C100" s="387" t="s">
        <v>1115</v>
      </c>
      <c r="D100" s="441" t="s">
        <v>3275</v>
      </c>
      <c r="E100" s="407" t="s">
        <v>3201</v>
      </c>
      <c r="F100" s="407" t="s">
        <v>3513</v>
      </c>
      <c r="G100" s="442">
        <v>18.02898200000002</v>
      </c>
      <c r="H100" s="387">
        <v>0</v>
      </c>
      <c r="I100" s="387">
        <v>18.02898200000002</v>
      </c>
      <c r="J100" s="442"/>
      <c r="K100" s="387" t="s">
        <v>5101</v>
      </c>
      <c r="L100" s="443">
        <v>729.47023602772811</v>
      </c>
      <c r="M100" s="443"/>
      <c r="N100" s="459">
        <v>0</v>
      </c>
      <c r="O100" s="461">
        <v>729.47023602772811</v>
      </c>
      <c r="P100" s="435"/>
      <c r="Q100" s="436">
        <v>0</v>
      </c>
      <c r="R100" s="436">
        <v>0</v>
      </c>
      <c r="S100" s="436">
        <v>0</v>
      </c>
      <c r="T100" s="436">
        <v>0</v>
      </c>
      <c r="U100" s="436">
        <v>0</v>
      </c>
      <c r="V100" s="437">
        <v>0</v>
      </c>
      <c r="W100" s="455">
        <v>0</v>
      </c>
      <c r="X100" s="455">
        <v>0</v>
      </c>
      <c r="Y100" s="466"/>
      <c r="Z100" s="438"/>
      <c r="AA100" s="439"/>
    </row>
    <row r="101" spans="1:27" x14ac:dyDescent="0.25">
      <c r="A101" s="1" t="s">
        <v>1542</v>
      </c>
      <c r="B101" s="387" t="s">
        <v>1368</v>
      </c>
      <c r="C101" s="387" t="s">
        <v>1115</v>
      </c>
      <c r="D101" s="441" t="s">
        <v>3276</v>
      </c>
      <c r="E101" s="407" t="s">
        <v>3201</v>
      </c>
      <c r="F101" s="407" t="s">
        <v>3514</v>
      </c>
      <c r="G101" s="442">
        <v>6.215130000000002</v>
      </c>
      <c r="H101" s="387">
        <v>0</v>
      </c>
      <c r="I101" s="387">
        <v>6.215130000000002</v>
      </c>
      <c r="J101" s="442"/>
      <c r="K101" s="387" t="s">
        <v>5101</v>
      </c>
      <c r="L101" s="443">
        <v>267.19044585029951</v>
      </c>
      <c r="M101" s="443"/>
      <c r="N101" s="459">
        <v>0</v>
      </c>
      <c r="O101" s="461">
        <v>267.19044585029951</v>
      </c>
      <c r="P101" s="435"/>
      <c r="Q101" s="436">
        <v>0</v>
      </c>
      <c r="R101" s="436">
        <v>0</v>
      </c>
      <c r="S101" s="436">
        <v>0</v>
      </c>
      <c r="T101" s="436">
        <v>0</v>
      </c>
      <c r="U101" s="436">
        <v>0</v>
      </c>
      <c r="V101" s="437">
        <v>0</v>
      </c>
      <c r="W101" s="455">
        <v>0</v>
      </c>
      <c r="X101" s="455">
        <v>0</v>
      </c>
      <c r="Y101" s="466"/>
      <c r="Z101" s="438"/>
      <c r="AA101" s="439"/>
    </row>
    <row r="102" spans="1:27" x14ac:dyDescent="0.25">
      <c r="A102" s="1" t="s">
        <v>1543</v>
      </c>
      <c r="B102" s="387" t="s">
        <v>1368</v>
      </c>
      <c r="C102" s="387" t="s">
        <v>1115</v>
      </c>
      <c r="D102" s="441" t="s">
        <v>3277</v>
      </c>
      <c r="E102" s="407" t="s">
        <v>3201</v>
      </c>
      <c r="F102" s="407" t="s">
        <v>3515</v>
      </c>
      <c r="G102" s="442">
        <v>0.98784299999999992</v>
      </c>
      <c r="H102" s="387">
        <v>0</v>
      </c>
      <c r="I102" s="387">
        <v>0.98784299999999992</v>
      </c>
      <c r="J102" s="442"/>
      <c r="K102" s="387" t="s">
        <v>5101</v>
      </c>
      <c r="L102" s="443">
        <v>47.248722998141048</v>
      </c>
      <c r="M102" s="443"/>
      <c r="N102" s="459">
        <v>0</v>
      </c>
      <c r="O102" s="461">
        <v>47.248722998141048</v>
      </c>
      <c r="P102" s="435"/>
      <c r="Q102" s="436">
        <v>0</v>
      </c>
      <c r="R102" s="436">
        <v>0</v>
      </c>
      <c r="S102" s="436">
        <v>0</v>
      </c>
      <c r="T102" s="436">
        <v>0</v>
      </c>
      <c r="U102" s="436">
        <v>0</v>
      </c>
      <c r="V102" s="437">
        <v>0</v>
      </c>
      <c r="W102" s="455">
        <v>0</v>
      </c>
      <c r="X102" s="455">
        <v>0</v>
      </c>
      <c r="Y102" s="466"/>
      <c r="Z102" s="438"/>
      <c r="AA102" s="439"/>
    </row>
    <row r="103" spans="1:27" x14ac:dyDescent="0.25">
      <c r="A103" s="1" t="s">
        <v>1544</v>
      </c>
      <c r="B103" s="387" t="s">
        <v>1368</v>
      </c>
      <c r="C103" s="387" t="s">
        <v>1115</v>
      </c>
      <c r="D103" s="441" t="s">
        <v>3278</v>
      </c>
      <c r="E103" s="407" t="s">
        <v>3201</v>
      </c>
      <c r="F103" s="407" t="s">
        <v>3516</v>
      </c>
      <c r="G103" s="442">
        <v>0.38257500000000005</v>
      </c>
      <c r="H103" s="387">
        <v>0</v>
      </c>
      <c r="I103" s="387">
        <v>0.38257500000000005</v>
      </c>
      <c r="J103" s="442"/>
      <c r="K103" s="387" t="s">
        <v>5101</v>
      </c>
      <c r="L103" s="443">
        <v>16.91647416331508</v>
      </c>
      <c r="M103" s="443"/>
      <c r="N103" s="459">
        <v>0</v>
      </c>
      <c r="O103" s="461">
        <v>225</v>
      </c>
      <c r="P103" s="435"/>
      <c r="Q103" s="436">
        <v>1</v>
      </c>
      <c r="R103" s="436">
        <v>0.85</v>
      </c>
      <c r="S103" s="436">
        <v>0.8</v>
      </c>
      <c r="T103" s="436">
        <v>0.15</v>
      </c>
      <c r="U103" s="436">
        <v>0</v>
      </c>
      <c r="V103" s="437">
        <v>0.8075</v>
      </c>
      <c r="W103" s="455">
        <v>181.6875</v>
      </c>
      <c r="X103" s="455">
        <v>0</v>
      </c>
      <c r="Y103" s="466"/>
      <c r="Z103" s="438"/>
      <c r="AA103" s="439" t="s">
        <v>5023</v>
      </c>
    </row>
    <row r="104" spans="1:27" x14ac:dyDescent="0.25">
      <c r="A104" s="1" t="s">
        <v>1545</v>
      </c>
      <c r="B104" s="387" t="s">
        <v>1368</v>
      </c>
      <c r="C104" s="387" t="s">
        <v>1115</v>
      </c>
      <c r="D104" s="441" t="s">
        <v>3279</v>
      </c>
      <c r="E104" s="407" t="s">
        <v>3201</v>
      </c>
      <c r="F104" s="407" t="s">
        <v>3517</v>
      </c>
      <c r="G104" s="442">
        <v>2.1929620000000001</v>
      </c>
      <c r="H104" s="387">
        <v>0</v>
      </c>
      <c r="I104" s="387">
        <v>2.1929620000000001</v>
      </c>
      <c r="J104" s="442"/>
      <c r="K104" s="387" t="s">
        <v>5101</v>
      </c>
      <c r="L104" s="443">
        <v>106.8640257983958</v>
      </c>
      <c r="M104" s="443"/>
      <c r="N104" s="459">
        <v>0</v>
      </c>
      <c r="O104" s="461">
        <v>106.8640257983958</v>
      </c>
      <c r="P104" s="435"/>
      <c r="Q104" s="436">
        <v>0</v>
      </c>
      <c r="R104" s="436">
        <v>0</v>
      </c>
      <c r="S104" s="436">
        <v>0</v>
      </c>
      <c r="T104" s="436">
        <v>0</v>
      </c>
      <c r="U104" s="436">
        <v>0</v>
      </c>
      <c r="V104" s="437">
        <v>0</v>
      </c>
      <c r="W104" s="455">
        <v>0</v>
      </c>
      <c r="X104" s="455">
        <v>0</v>
      </c>
      <c r="Y104" s="466"/>
      <c r="Z104" s="438"/>
      <c r="AA104" s="439"/>
    </row>
    <row r="105" spans="1:27" x14ac:dyDescent="0.25">
      <c r="A105" s="1" t="s">
        <v>1546</v>
      </c>
      <c r="B105" s="387" t="s">
        <v>1368</v>
      </c>
      <c r="C105" s="387" t="s">
        <v>1115</v>
      </c>
      <c r="D105" s="441" t="s">
        <v>3280</v>
      </c>
      <c r="E105" s="407" t="s">
        <v>3201</v>
      </c>
      <c r="F105" s="407" t="s">
        <v>3518</v>
      </c>
      <c r="G105" s="442">
        <v>3.0211739999999994</v>
      </c>
      <c r="H105" s="387">
        <v>0</v>
      </c>
      <c r="I105" s="387">
        <v>3.0211739999999994</v>
      </c>
      <c r="J105" s="442"/>
      <c r="K105" s="387" t="s">
        <v>5101</v>
      </c>
      <c r="L105" s="443">
        <v>138.65509113453751</v>
      </c>
      <c r="M105" s="443"/>
      <c r="N105" s="459">
        <v>0</v>
      </c>
      <c r="O105" s="461">
        <v>138.65509113453751</v>
      </c>
      <c r="P105" s="435"/>
      <c r="Q105" s="436">
        <v>0</v>
      </c>
      <c r="R105" s="436">
        <v>0</v>
      </c>
      <c r="S105" s="436">
        <v>0</v>
      </c>
      <c r="T105" s="436">
        <v>0</v>
      </c>
      <c r="U105" s="436">
        <v>0</v>
      </c>
      <c r="V105" s="437">
        <v>0</v>
      </c>
      <c r="W105" s="455">
        <v>0</v>
      </c>
      <c r="X105" s="455">
        <v>0</v>
      </c>
      <c r="Y105" s="466"/>
      <c r="Z105" s="438"/>
      <c r="AA105" s="439"/>
    </row>
    <row r="106" spans="1:27" x14ac:dyDescent="0.25">
      <c r="A106" s="1" t="s">
        <v>1547</v>
      </c>
      <c r="B106" s="387" t="s">
        <v>1368</v>
      </c>
      <c r="C106" s="387" t="s">
        <v>1115</v>
      </c>
      <c r="D106" s="441" t="s">
        <v>3281</v>
      </c>
      <c r="E106" s="407" t="s">
        <v>3201</v>
      </c>
      <c r="F106" s="407" t="s">
        <v>3519</v>
      </c>
      <c r="G106" s="442">
        <v>12.088328999999998</v>
      </c>
      <c r="H106" s="387">
        <v>0</v>
      </c>
      <c r="I106" s="387">
        <v>12.088328999999998</v>
      </c>
      <c r="J106" s="442"/>
      <c r="K106" s="387" t="s">
        <v>5101</v>
      </c>
      <c r="L106" s="443">
        <v>461.44955175438503</v>
      </c>
      <c r="M106" s="443"/>
      <c r="N106" s="459">
        <v>0</v>
      </c>
      <c r="O106" s="461">
        <v>461.44955175438503</v>
      </c>
      <c r="P106" s="435"/>
      <c r="Q106" s="436">
        <v>0</v>
      </c>
      <c r="R106" s="436">
        <v>0</v>
      </c>
      <c r="S106" s="436">
        <v>0</v>
      </c>
      <c r="T106" s="436">
        <v>0</v>
      </c>
      <c r="U106" s="436">
        <v>0</v>
      </c>
      <c r="V106" s="437">
        <v>0</v>
      </c>
      <c r="W106" s="455">
        <v>0</v>
      </c>
      <c r="X106" s="455">
        <v>0</v>
      </c>
      <c r="Y106" s="466"/>
      <c r="Z106" s="438"/>
      <c r="AA106" s="439"/>
    </row>
    <row r="107" spans="1:27" x14ac:dyDescent="0.25">
      <c r="A107" s="1" t="s">
        <v>1548</v>
      </c>
      <c r="B107" s="387" t="s">
        <v>1368</v>
      </c>
      <c r="C107" s="387" t="s">
        <v>1115</v>
      </c>
      <c r="D107" s="441" t="s">
        <v>3282</v>
      </c>
      <c r="E107" s="407" t="s">
        <v>3201</v>
      </c>
      <c r="F107" s="407" t="s">
        <v>3520</v>
      </c>
      <c r="G107" s="442">
        <v>0.49049799999999999</v>
      </c>
      <c r="H107" s="387">
        <v>0</v>
      </c>
      <c r="I107" s="387">
        <v>0.49049799999999999</v>
      </c>
      <c r="J107" s="442"/>
      <c r="K107" s="387" t="s">
        <v>5101</v>
      </c>
      <c r="L107" s="443">
        <v>23.888393820622255</v>
      </c>
      <c r="M107" s="443"/>
      <c r="N107" s="459">
        <v>0</v>
      </c>
      <c r="O107" s="461">
        <v>23.888393820622255</v>
      </c>
      <c r="P107" s="435"/>
      <c r="Q107" s="436">
        <v>0</v>
      </c>
      <c r="R107" s="436">
        <v>0</v>
      </c>
      <c r="S107" s="436">
        <v>0</v>
      </c>
      <c r="T107" s="436">
        <v>0</v>
      </c>
      <c r="U107" s="436">
        <v>0</v>
      </c>
      <c r="V107" s="437">
        <v>0</v>
      </c>
      <c r="W107" s="455">
        <v>0</v>
      </c>
      <c r="X107" s="455">
        <v>0</v>
      </c>
      <c r="Y107" s="466"/>
      <c r="Z107" s="438"/>
      <c r="AA107" s="439"/>
    </row>
    <row r="108" spans="1:27" x14ac:dyDescent="0.25">
      <c r="A108" s="1" t="s">
        <v>1549</v>
      </c>
      <c r="B108" s="387" t="s">
        <v>1368</v>
      </c>
      <c r="C108" s="387" t="s">
        <v>1115</v>
      </c>
      <c r="D108" s="441" t="s">
        <v>3283</v>
      </c>
      <c r="E108" s="407" t="s">
        <v>3201</v>
      </c>
      <c r="F108" s="407" t="s">
        <v>3521</v>
      </c>
      <c r="G108" s="442">
        <v>2.9262299999999999</v>
      </c>
      <c r="H108" s="387">
        <v>0</v>
      </c>
      <c r="I108" s="387">
        <v>2.9262299999999999</v>
      </c>
      <c r="J108" s="442"/>
      <c r="K108" s="387" t="s">
        <v>5101</v>
      </c>
      <c r="L108" s="443">
        <v>126.70982090862137</v>
      </c>
      <c r="M108" s="443"/>
      <c r="N108" s="459">
        <v>0</v>
      </c>
      <c r="O108" s="461">
        <v>126.70982090862137</v>
      </c>
      <c r="P108" s="435"/>
      <c r="Q108" s="436">
        <v>0</v>
      </c>
      <c r="R108" s="436">
        <v>0</v>
      </c>
      <c r="S108" s="436">
        <v>0</v>
      </c>
      <c r="T108" s="436">
        <v>0</v>
      </c>
      <c r="U108" s="436">
        <v>0</v>
      </c>
      <c r="V108" s="437">
        <v>0</v>
      </c>
      <c r="W108" s="455">
        <v>0</v>
      </c>
      <c r="X108" s="455">
        <v>0</v>
      </c>
      <c r="Y108" s="466"/>
      <c r="Z108" s="438"/>
      <c r="AA108" s="439"/>
    </row>
    <row r="109" spans="1:27" x14ac:dyDescent="0.25">
      <c r="A109" s="1" t="s">
        <v>1550</v>
      </c>
      <c r="B109" s="387" t="s">
        <v>1368</v>
      </c>
      <c r="C109" s="387" t="s">
        <v>1115</v>
      </c>
      <c r="D109" s="441" t="s">
        <v>3284</v>
      </c>
      <c r="E109" s="407" t="s">
        <v>3201</v>
      </c>
      <c r="F109" s="407" t="s">
        <v>3522</v>
      </c>
      <c r="G109" s="442">
        <v>18.329993500000011</v>
      </c>
      <c r="H109" s="387">
        <v>0</v>
      </c>
      <c r="I109" s="387">
        <v>18.329993500000011</v>
      </c>
      <c r="J109" s="442"/>
      <c r="K109" s="387" t="s">
        <v>5101</v>
      </c>
      <c r="L109" s="443">
        <v>742.12699424524635</v>
      </c>
      <c r="M109" s="443"/>
      <c r="N109" s="459">
        <v>0</v>
      </c>
      <c r="O109" s="461">
        <v>742.12699424524635</v>
      </c>
      <c r="P109" s="435"/>
      <c r="Q109" s="436">
        <v>0</v>
      </c>
      <c r="R109" s="436">
        <v>0</v>
      </c>
      <c r="S109" s="436">
        <v>0</v>
      </c>
      <c r="T109" s="436">
        <v>0</v>
      </c>
      <c r="U109" s="436">
        <v>0</v>
      </c>
      <c r="V109" s="437">
        <v>0</v>
      </c>
      <c r="W109" s="455">
        <v>0</v>
      </c>
      <c r="X109" s="455">
        <v>0</v>
      </c>
      <c r="Y109" s="466"/>
      <c r="Z109" s="438"/>
      <c r="AA109" s="439"/>
    </row>
    <row r="110" spans="1:27" x14ac:dyDescent="0.25">
      <c r="A110" s="1" t="s">
        <v>1551</v>
      </c>
      <c r="B110" s="387" t="s">
        <v>1368</v>
      </c>
      <c r="C110" s="387" t="s">
        <v>1115</v>
      </c>
      <c r="D110" s="441" t="s">
        <v>3285</v>
      </c>
      <c r="E110" s="407" t="s">
        <v>3201</v>
      </c>
      <c r="F110" s="407" t="s">
        <v>3523</v>
      </c>
      <c r="G110" s="442">
        <v>8.6268340000000023</v>
      </c>
      <c r="H110" s="387">
        <v>0</v>
      </c>
      <c r="I110" s="387">
        <v>8.6268340000000023</v>
      </c>
      <c r="J110" s="442"/>
      <c r="K110" s="387" t="s">
        <v>5101</v>
      </c>
      <c r="L110" s="443">
        <v>359.53913805103502</v>
      </c>
      <c r="M110" s="443"/>
      <c r="N110" s="459">
        <v>0</v>
      </c>
      <c r="O110" s="461">
        <v>359.53913805103502</v>
      </c>
      <c r="P110" s="435"/>
      <c r="Q110" s="436">
        <v>1</v>
      </c>
      <c r="R110" s="436">
        <v>0.9</v>
      </c>
      <c r="S110" s="436">
        <v>0.8</v>
      </c>
      <c r="T110" s="436">
        <v>0</v>
      </c>
      <c r="U110" s="436">
        <v>0</v>
      </c>
      <c r="V110" s="437">
        <v>0.82</v>
      </c>
      <c r="W110" s="455">
        <v>294.8220932018487</v>
      </c>
      <c r="X110" s="455">
        <v>0</v>
      </c>
      <c r="Y110" s="466"/>
      <c r="Z110" s="438"/>
      <c r="AA110" s="439"/>
    </row>
    <row r="111" spans="1:27" x14ac:dyDescent="0.25">
      <c r="A111" s="1" t="s">
        <v>1552</v>
      </c>
      <c r="B111" s="387" t="s">
        <v>1368</v>
      </c>
      <c r="C111" s="387" t="s">
        <v>1115</v>
      </c>
      <c r="D111" s="441" t="s">
        <v>3286</v>
      </c>
      <c r="E111" s="407" t="s">
        <v>3201</v>
      </c>
      <c r="F111" s="407" t="s">
        <v>3524</v>
      </c>
      <c r="G111" s="442">
        <v>3.7871250000000001</v>
      </c>
      <c r="H111" s="387">
        <v>0</v>
      </c>
      <c r="I111" s="387">
        <v>3.7871250000000001</v>
      </c>
      <c r="J111" s="442"/>
      <c r="K111" s="387" t="s">
        <v>5101</v>
      </c>
      <c r="L111" s="443">
        <v>141.78375910316453</v>
      </c>
      <c r="M111" s="443"/>
      <c r="N111" s="459">
        <v>0</v>
      </c>
      <c r="O111" s="461">
        <v>141.78375910316453</v>
      </c>
      <c r="P111" s="435"/>
      <c r="Q111" s="436">
        <v>0</v>
      </c>
      <c r="R111" s="436">
        <v>0</v>
      </c>
      <c r="S111" s="436">
        <v>0</v>
      </c>
      <c r="T111" s="436">
        <v>0</v>
      </c>
      <c r="U111" s="436">
        <v>0</v>
      </c>
      <c r="V111" s="437">
        <v>0</v>
      </c>
      <c r="W111" s="455">
        <v>0</v>
      </c>
      <c r="X111" s="455">
        <v>0</v>
      </c>
      <c r="Y111" s="466"/>
      <c r="Z111" s="438"/>
      <c r="AA111" s="439"/>
    </row>
    <row r="112" spans="1:27" x14ac:dyDescent="0.25">
      <c r="A112" s="1" t="s">
        <v>1553</v>
      </c>
      <c r="B112" s="387" t="s">
        <v>1368</v>
      </c>
      <c r="C112" s="387" t="s">
        <v>1115</v>
      </c>
      <c r="D112" s="441" t="s">
        <v>3287</v>
      </c>
      <c r="E112" s="407" t="s">
        <v>3201</v>
      </c>
      <c r="F112" s="407" t="s">
        <v>3525</v>
      </c>
      <c r="G112" s="442">
        <v>0.27152800000000005</v>
      </c>
      <c r="H112" s="387">
        <v>0</v>
      </c>
      <c r="I112" s="387">
        <v>0.27152800000000005</v>
      </c>
      <c r="J112" s="442"/>
      <c r="K112" s="387" t="s">
        <v>5101</v>
      </c>
      <c r="L112" s="443">
        <v>12.006263860985735</v>
      </c>
      <c r="M112" s="443"/>
      <c r="N112" s="459">
        <v>0</v>
      </c>
      <c r="O112" s="461">
        <v>12.006263860985735</v>
      </c>
      <c r="P112" s="435"/>
      <c r="Q112" s="436">
        <v>0</v>
      </c>
      <c r="R112" s="436">
        <v>0</v>
      </c>
      <c r="S112" s="436">
        <v>0</v>
      </c>
      <c r="T112" s="436">
        <v>0</v>
      </c>
      <c r="U112" s="436">
        <v>0</v>
      </c>
      <c r="V112" s="437">
        <v>0</v>
      </c>
      <c r="W112" s="455">
        <v>0</v>
      </c>
      <c r="X112" s="455">
        <v>0</v>
      </c>
      <c r="Y112" s="466"/>
      <c r="Z112" s="438"/>
      <c r="AA112" s="439"/>
    </row>
    <row r="113" spans="1:27" x14ac:dyDescent="0.25">
      <c r="A113" s="1" t="s">
        <v>1554</v>
      </c>
      <c r="B113" s="387" t="s">
        <v>1368</v>
      </c>
      <c r="C113" s="387" t="s">
        <v>1115</v>
      </c>
      <c r="D113" s="441" t="s">
        <v>3288</v>
      </c>
      <c r="E113" s="407" t="s">
        <v>3201</v>
      </c>
      <c r="F113" s="407" t="s">
        <v>3526</v>
      </c>
      <c r="G113" s="442">
        <v>0.33629799999999999</v>
      </c>
      <c r="H113" s="387">
        <v>0</v>
      </c>
      <c r="I113" s="387">
        <v>0.33629799999999999</v>
      </c>
      <c r="J113" s="442"/>
      <c r="K113" s="387" t="s">
        <v>5101</v>
      </c>
      <c r="L113" s="443">
        <v>15.865209036833429</v>
      </c>
      <c r="M113" s="443"/>
      <c r="N113" s="459">
        <v>0</v>
      </c>
      <c r="O113" s="461">
        <v>15.865209036833429</v>
      </c>
      <c r="P113" s="435"/>
      <c r="Q113" s="436">
        <v>0</v>
      </c>
      <c r="R113" s="436">
        <v>0</v>
      </c>
      <c r="S113" s="436">
        <v>0</v>
      </c>
      <c r="T113" s="436">
        <v>0</v>
      </c>
      <c r="U113" s="436">
        <v>0</v>
      </c>
      <c r="V113" s="437">
        <v>0</v>
      </c>
      <c r="W113" s="455">
        <v>0</v>
      </c>
      <c r="X113" s="455">
        <v>0</v>
      </c>
      <c r="Y113" s="466"/>
      <c r="Z113" s="438"/>
      <c r="AA113" s="439"/>
    </row>
    <row r="114" spans="1:27" x14ac:dyDescent="0.25">
      <c r="A114" s="1" t="s">
        <v>1555</v>
      </c>
      <c r="B114" s="387" t="s">
        <v>1368</v>
      </c>
      <c r="C114" s="387" t="s">
        <v>1115</v>
      </c>
      <c r="D114" s="441" t="s">
        <v>3289</v>
      </c>
      <c r="E114" s="407" t="s">
        <v>3201</v>
      </c>
      <c r="F114" s="407" t="s">
        <v>3527</v>
      </c>
      <c r="G114" s="442">
        <v>0.33382699999999998</v>
      </c>
      <c r="H114" s="387">
        <v>0</v>
      </c>
      <c r="I114" s="387">
        <v>0.33382699999999998</v>
      </c>
      <c r="J114" s="442"/>
      <c r="K114" s="387" t="s">
        <v>5101</v>
      </c>
      <c r="L114" s="443">
        <v>16.381890068340809</v>
      </c>
      <c r="M114" s="443"/>
      <c r="N114" s="459">
        <v>0</v>
      </c>
      <c r="O114" s="461">
        <v>16.381890068340809</v>
      </c>
      <c r="P114" s="435"/>
      <c r="Q114" s="436">
        <v>0</v>
      </c>
      <c r="R114" s="436">
        <v>0</v>
      </c>
      <c r="S114" s="436">
        <v>0</v>
      </c>
      <c r="T114" s="436">
        <v>0</v>
      </c>
      <c r="U114" s="436">
        <v>0</v>
      </c>
      <c r="V114" s="437">
        <v>0</v>
      </c>
      <c r="W114" s="455">
        <v>0</v>
      </c>
      <c r="X114" s="455">
        <v>0</v>
      </c>
      <c r="Y114" s="466"/>
      <c r="Z114" s="438"/>
      <c r="AA114" s="439"/>
    </row>
    <row r="115" spans="1:27" x14ac:dyDescent="0.25">
      <c r="A115" s="1" t="s">
        <v>1556</v>
      </c>
      <c r="B115" s="387" t="s">
        <v>1368</v>
      </c>
      <c r="C115" s="387" t="s">
        <v>1115</v>
      </c>
      <c r="D115" s="441" t="s">
        <v>3290</v>
      </c>
      <c r="E115" s="407" t="s">
        <v>3201</v>
      </c>
      <c r="F115" s="407" t="s">
        <v>3528</v>
      </c>
      <c r="G115" s="442">
        <v>1.7567360000000001</v>
      </c>
      <c r="H115" s="387">
        <v>0</v>
      </c>
      <c r="I115" s="387">
        <v>1.7567360000000001</v>
      </c>
      <c r="J115" s="442"/>
      <c r="K115" s="387" t="s">
        <v>5101</v>
      </c>
      <c r="L115" s="443">
        <v>70.648975609795997</v>
      </c>
      <c r="M115" s="443"/>
      <c r="N115" s="459">
        <v>0</v>
      </c>
      <c r="O115" s="461">
        <v>70.648975609795997</v>
      </c>
      <c r="P115" s="435"/>
      <c r="Q115" s="436">
        <v>0</v>
      </c>
      <c r="R115" s="436">
        <v>0</v>
      </c>
      <c r="S115" s="436">
        <v>0</v>
      </c>
      <c r="T115" s="436">
        <v>0</v>
      </c>
      <c r="U115" s="436">
        <v>0</v>
      </c>
      <c r="V115" s="437">
        <v>0</v>
      </c>
      <c r="W115" s="455">
        <v>0</v>
      </c>
      <c r="X115" s="455">
        <v>0</v>
      </c>
      <c r="Y115" s="466"/>
      <c r="Z115" s="438"/>
      <c r="AA115" s="439"/>
    </row>
    <row r="116" spans="1:27" x14ac:dyDescent="0.25">
      <c r="A116" s="1" t="s">
        <v>1559</v>
      </c>
      <c r="B116" s="387" t="s">
        <v>1368</v>
      </c>
      <c r="C116" s="387" t="s">
        <v>1115</v>
      </c>
      <c r="D116" s="441" t="s">
        <v>3293</v>
      </c>
      <c r="E116" s="407" t="s">
        <v>3201</v>
      </c>
      <c r="F116" s="407" t="s">
        <v>5428</v>
      </c>
      <c r="G116" s="442">
        <v>113.15730049999979</v>
      </c>
      <c r="H116" s="387">
        <v>0</v>
      </c>
      <c r="I116" s="387">
        <v>113.15730049999979</v>
      </c>
      <c r="J116" s="442"/>
      <c r="K116" s="387" t="s">
        <v>5101</v>
      </c>
      <c r="L116" s="443">
        <v>3958.741166848703</v>
      </c>
      <c r="M116" s="443"/>
      <c r="N116" s="459">
        <v>0</v>
      </c>
      <c r="O116" s="461">
        <v>507</v>
      </c>
      <c r="P116" s="435"/>
      <c r="Q116" s="436">
        <v>1</v>
      </c>
      <c r="R116" s="436">
        <v>0.85</v>
      </c>
      <c r="S116" s="436">
        <v>0.8</v>
      </c>
      <c r="T116" s="436">
        <v>0</v>
      </c>
      <c r="U116" s="436">
        <v>0</v>
      </c>
      <c r="V116" s="437">
        <v>0.8</v>
      </c>
      <c r="W116" s="455">
        <v>405.6</v>
      </c>
      <c r="X116" s="455">
        <v>0</v>
      </c>
      <c r="Y116" s="466"/>
      <c r="Z116" s="438"/>
      <c r="AA116" s="439"/>
    </row>
    <row r="117" spans="1:27" x14ac:dyDescent="0.25">
      <c r="A117" s="1" t="s">
        <v>1561</v>
      </c>
      <c r="B117" s="387" t="s">
        <v>1368</v>
      </c>
      <c r="C117" s="387" t="s">
        <v>1115</v>
      </c>
      <c r="D117" s="441" t="s">
        <v>3295</v>
      </c>
      <c r="E117" s="407" t="s">
        <v>3201</v>
      </c>
      <c r="F117" s="407" t="s">
        <v>3532</v>
      </c>
      <c r="G117" s="442">
        <v>3.706</v>
      </c>
      <c r="H117" s="387">
        <v>0</v>
      </c>
      <c r="I117" s="387">
        <v>3.706</v>
      </c>
      <c r="J117" s="442"/>
      <c r="K117" s="387" t="s">
        <v>5101</v>
      </c>
      <c r="L117" s="443">
        <v>128.47035856653687</v>
      </c>
      <c r="M117" s="443"/>
      <c r="N117" s="459">
        <v>0</v>
      </c>
      <c r="O117" s="461">
        <v>128.47035856653687</v>
      </c>
      <c r="P117" s="435"/>
      <c r="Q117" s="436">
        <v>0</v>
      </c>
      <c r="R117" s="436">
        <v>0</v>
      </c>
      <c r="S117" s="436">
        <v>0</v>
      </c>
      <c r="T117" s="436">
        <v>0</v>
      </c>
      <c r="U117" s="436">
        <v>0</v>
      </c>
      <c r="V117" s="437">
        <v>0</v>
      </c>
      <c r="W117" s="455">
        <v>0</v>
      </c>
      <c r="X117" s="455">
        <v>0</v>
      </c>
      <c r="Y117" s="466"/>
      <c r="Z117" s="438"/>
      <c r="AA117" s="439"/>
    </row>
    <row r="118" spans="1:27" x14ac:dyDescent="0.25">
      <c r="A118" s="1" t="s">
        <v>1562</v>
      </c>
      <c r="B118" s="387" t="s">
        <v>1368</v>
      </c>
      <c r="C118" s="387" t="s">
        <v>1115</v>
      </c>
      <c r="D118" s="441" t="s">
        <v>3296</v>
      </c>
      <c r="E118" s="407" t="s">
        <v>3201</v>
      </c>
      <c r="F118" s="407" t="s">
        <v>3533</v>
      </c>
      <c r="G118" s="442">
        <v>1.3</v>
      </c>
      <c r="H118" s="387">
        <v>0</v>
      </c>
      <c r="I118" s="387">
        <v>1.3</v>
      </c>
      <c r="J118" s="442"/>
      <c r="K118" s="387" t="s">
        <v>5101</v>
      </c>
      <c r="L118" s="443">
        <v>59.655651742665256</v>
      </c>
      <c r="M118" s="443"/>
      <c r="N118" s="459">
        <v>0</v>
      </c>
      <c r="O118" s="461">
        <v>59.655651742665256</v>
      </c>
      <c r="P118" s="435"/>
      <c r="Q118" s="436">
        <v>0</v>
      </c>
      <c r="R118" s="436">
        <v>0</v>
      </c>
      <c r="S118" s="436">
        <v>0</v>
      </c>
      <c r="T118" s="436">
        <v>0</v>
      </c>
      <c r="U118" s="436">
        <v>0</v>
      </c>
      <c r="V118" s="437">
        <v>0</v>
      </c>
      <c r="W118" s="455">
        <v>0</v>
      </c>
      <c r="X118" s="455">
        <v>0</v>
      </c>
      <c r="Y118" s="466"/>
      <c r="Z118" s="438"/>
      <c r="AA118" s="439"/>
    </row>
    <row r="119" spans="1:27" x14ac:dyDescent="0.25">
      <c r="A119" s="1" t="s">
        <v>1563</v>
      </c>
      <c r="B119" s="387" t="s">
        <v>1368</v>
      </c>
      <c r="C119" s="387" t="s">
        <v>1115</v>
      </c>
      <c r="D119" s="441" t="s">
        <v>3297</v>
      </c>
      <c r="E119" s="407" t="s">
        <v>3201</v>
      </c>
      <c r="F119" s="407" t="s">
        <v>3534</v>
      </c>
      <c r="G119" s="442">
        <v>4.7519999999999998</v>
      </c>
      <c r="H119" s="387">
        <v>0</v>
      </c>
      <c r="I119" s="387">
        <v>4.7519999999999998</v>
      </c>
      <c r="J119" s="442"/>
      <c r="K119" s="387" t="s">
        <v>5101</v>
      </c>
      <c r="L119" s="443">
        <v>177.32621332063877</v>
      </c>
      <c r="M119" s="443"/>
      <c r="N119" s="459">
        <v>0</v>
      </c>
      <c r="O119" s="461">
        <v>177.32621332063877</v>
      </c>
      <c r="P119" s="435"/>
      <c r="Q119" s="436">
        <v>0</v>
      </c>
      <c r="R119" s="436">
        <v>0</v>
      </c>
      <c r="S119" s="436">
        <v>0</v>
      </c>
      <c r="T119" s="436">
        <v>0</v>
      </c>
      <c r="U119" s="436">
        <v>0</v>
      </c>
      <c r="V119" s="437">
        <v>0</v>
      </c>
      <c r="W119" s="455">
        <v>0</v>
      </c>
      <c r="X119" s="455">
        <v>0</v>
      </c>
      <c r="Y119" s="466"/>
      <c r="Z119" s="438"/>
      <c r="AA119" s="439"/>
    </row>
    <row r="120" spans="1:27" x14ac:dyDescent="0.25">
      <c r="A120" s="1" t="s">
        <v>1564</v>
      </c>
      <c r="B120" s="387" t="s">
        <v>1368</v>
      </c>
      <c r="C120" s="387" t="s">
        <v>1115</v>
      </c>
      <c r="D120" s="441" t="s">
        <v>3298</v>
      </c>
      <c r="E120" s="407" t="s">
        <v>3201</v>
      </c>
      <c r="F120" s="407" t="s">
        <v>3535</v>
      </c>
      <c r="G120" s="442">
        <v>0.46700000000000003</v>
      </c>
      <c r="H120" s="387">
        <v>0</v>
      </c>
      <c r="I120" s="387">
        <v>0.46700000000000003</v>
      </c>
      <c r="J120" s="442"/>
      <c r="K120" s="387" t="s">
        <v>5101</v>
      </c>
      <c r="L120" s="443">
        <v>21.798324662884298</v>
      </c>
      <c r="M120" s="443"/>
      <c r="N120" s="459">
        <v>0</v>
      </c>
      <c r="O120" s="461">
        <v>21.798324662884298</v>
      </c>
      <c r="P120" s="435"/>
      <c r="Q120" s="436">
        <v>0</v>
      </c>
      <c r="R120" s="436">
        <v>0</v>
      </c>
      <c r="S120" s="436">
        <v>0</v>
      </c>
      <c r="T120" s="436">
        <v>0</v>
      </c>
      <c r="U120" s="436">
        <v>0</v>
      </c>
      <c r="V120" s="437">
        <v>0</v>
      </c>
      <c r="W120" s="455">
        <v>0</v>
      </c>
      <c r="X120" s="455">
        <v>0</v>
      </c>
      <c r="Y120" s="466"/>
      <c r="Z120" s="438"/>
      <c r="AA120" s="439"/>
    </row>
    <row r="121" spans="1:27" x14ac:dyDescent="0.25">
      <c r="A121" s="1" t="s">
        <v>1565</v>
      </c>
      <c r="B121" s="387" t="s">
        <v>1368</v>
      </c>
      <c r="C121" s="387" t="s">
        <v>1115</v>
      </c>
      <c r="D121" s="441" t="s">
        <v>3299</v>
      </c>
      <c r="E121" s="407" t="s">
        <v>3201</v>
      </c>
      <c r="F121" s="407" t="s">
        <v>3536</v>
      </c>
      <c r="G121" s="442">
        <v>3.214</v>
      </c>
      <c r="H121" s="387">
        <v>0</v>
      </c>
      <c r="I121" s="387">
        <v>3.214</v>
      </c>
      <c r="J121" s="442"/>
      <c r="K121" s="387" t="s">
        <v>5101</v>
      </c>
      <c r="L121" s="443">
        <v>104.97941777345018</v>
      </c>
      <c r="M121" s="443"/>
      <c r="N121" s="459">
        <v>0</v>
      </c>
      <c r="O121" s="461">
        <v>104.97941777345018</v>
      </c>
      <c r="P121" s="435"/>
      <c r="Q121" s="436">
        <v>0</v>
      </c>
      <c r="R121" s="436">
        <v>0</v>
      </c>
      <c r="S121" s="436">
        <v>0</v>
      </c>
      <c r="T121" s="436">
        <v>0</v>
      </c>
      <c r="U121" s="436">
        <v>0</v>
      </c>
      <c r="V121" s="437">
        <v>0</v>
      </c>
      <c r="W121" s="455">
        <v>0</v>
      </c>
      <c r="X121" s="455">
        <v>0</v>
      </c>
      <c r="Y121" s="466"/>
      <c r="Z121" s="438"/>
      <c r="AA121" s="439"/>
    </row>
    <row r="122" spans="1:27" x14ac:dyDescent="0.25">
      <c r="A122" s="1" t="s">
        <v>1566</v>
      </c>
      <c r="B122" s="387" t="s">
        <v>1368</v>
      </c>
      <c r="C122" s="387" t="s">
        <v>1115</v>
      </c>
      <c r="D122" s="441" t="s">
        <v>3300</v>
      </c>
      <c r="E122" s="407" t="s">
        <v>3201</v>
      </c>
      <c r="F122" s="407" t="s">
        <v>3537</v>
      </c>
      <c r="G122" s="442">
        <v>1.2110000000000001</v>
      </c>
      <c r="H122" s="387">
        <v>0</v>
      </c>
      <c r="I122" s="387">
        <v>1.2110000000000001</v>
      </c>
      <c r="J122" s="442"/>
      <c r="K122" s="387" t="s">
        <v>5101</v>
      </c>
      <c r="L122" s="443">
        <v>56.870749088106635</v>
      </c>
      <c r="M122" s="443"/>
      <c r="N122" s="459">
        <v>0</v>
      </c>
      <c r="O122" s="461">
        <v>56.870749088106635</v>
      </c>
      <c r="P122" s="435"/>
      <c r="Q122" s="436">
        <v>0</v>
      </c>
      <c r="R122" s="436">
        <v>0</v>
      </c>
      <c r="S122" s="436">
        <v>0</v>
      </c>
      <c r="T122" s="436">
        <v>0</v>
      </c>
      <c r="U122" s="436">
        <v>0</v>
      </c>
      <c r="V122" s="437">
        <v>0</v>
      </c>
      <c r="W122" s="455">
        <v>0</v>
      </c>
      <c r="X122" s="455">
        <v>0</v>
      </c>
      <c r="Y122" s="466"/>
      <c r="Z122" s="438"/>
      <c r="AA122" s="439"/>
    </row>
    <row r="123" spans="1:27" x14ac:dyDescent="0.25">
      <c r="A123" s="1" t="s">
        <v>1567</v>
      </c>
      <c r="B123" s="387" t="s">
        <v>1368</v>
      </c>
      <c r="C123" s="387" t="s">
        <v>1115</v>
      </c>
      <c r="D123" s="441" t="s">
        <v>3301</v>
      </c>
      <c r="E123" s="407" t="s">
        <v>3201</v>
      </c>
      <c r="F123" s="407" t="s">
        <v>3538</v>
      </c>
      <c r="G123" s="442">
        <v>17.827338000000022</v>
      </c>
      <c r="H123" s="387">
        <v>0</v>
      </c>
      <c r="I123" s="387">
        <v>17.827338000000022</v>
      </c>
      <c r="J123" s="442"/>
      <c r="K123" s="387" t="s">
        <v>5101</v>
      </c>
      <c r="L123" s="443">
        <v>720.08974006475694</v>
      </c>
      <c r="M123" s="443"/>
      <c r="N123" s="459">
        <v>0</v>
      </c>
      <c r="O123" s="461">
        <v>720.08974006475694</v>
      </c>
      <c r="P123" s="435"/>
      <c r="Q123" s="436">
        <v>0</v>
      </c>
      <c r="R123" s="436">
        <v>0</v>
      </c>
      <c r="S123" s="436">
        <v>0</v>
      </c>
      <c r="T123" s="436">
        <v>0</v>
      </c>
      <c r="U123" s="436">
        <v>0</v>
      </c>
      <c r="V123" s="437">
        <v>0</v>
      </c>
      <c r="W123" s="455">
        <v>0</v>
      </c>
      <c r="X123" s="455">
        <v>0</v>
      </c>
      <c r="Y123" s="466"/>
      <c r="Z123" s="438"/>
      <c r="AA123" s="439"/>
    </row>
    <row r="124" spans="1:27" x14ac:dyDescent="0.25">
      <c r="A124" s="1" t="s">
        <v>1568</v>
      </c>
      <c r="B124" s="387" t="s">
        <v>1368</v>
      </c>
      <c r="C124" s="387" t="s">
        <v>1115</v>
      </c>
      <c r="D124" s="441" t="s">
        <v>3302</v>
      </c>
      <c r="E124" s="407" t="s">
        <v>3201</v>
      </c>
      <c r="F124" s="407" t="s">
        <v>3539</v>
      </c>
      <c r="G124" s="442">
        <v>17.815952000000028</v>
      </c>
      <c r="H124" s="387">
        <v>0</v>
      </c>
      <c r="I124" s="387">
        <v>17.815952000000028</v>
      </c>
      <c r="J124" s="442"/>
      <c r="K124" s="387" t="s">
        <v>5101</v>
      </c>
      <c r="L124" s="443">
        <v>719.5838834180089</v>
      </c>
      <c r="M124" s="443"/>
      <c r="N124" s="459">
        <v>0</v>
      </c>
      <c r="O124" s="461">
        <v>719.5838834180089</v>
      </c>
      <c r="P124" s="435"/>
      <c r="Q124" s="436">
        <v>0</v>
      </c>
      <c r="R124" s="436">
        <v>0</v>
      </c>
      <c r="S124" s="436">
        <v>0</v>
      </c>
      <c r="T124" s="436">
        <v>0</v>
      </c>
      <c r="U124" s="436">
        <v>0</v>
      </c>
      <c r="V124" s="437">
        <v>0</v>
      </c>
      <c r="W124" s="455">
        <v>0</v>
      </c>
      <c r="X124" s="455">
        <v>0</v>
      </c>
      <c r="Y124" s="466"/>
      <c r="Z124" s="438"/>
      <c r="AA124" s="439"/>
    </row>
    <row r="125" spans="1:27" x14ac:dyDescent="0.25">
      <c r="A125" s="1" t="s">
        <v>1569</v>
      </c>
      <c r="B125" s="387" t="s">
        <v>1368</v>
      </c>
      <c r="C125" s="387" t="s">
        <v>1115</v>
      </c>
      <c r="D125" s="441" t="s">
        <v>3303</v>
      </c>
      <c r="E125" s="407" t="s">
        <v>3201</v>
      </c>
      <c r="F125" s="407" t="s">
        <v>3540</v>
      </c>
      <c r="G125" s="442">
        <v>1.47</v>
      </c>
      <c r="H125" s="387">
        <v>0</v>
      </c>
      <c r="I125" s="387">
        <v>1.47</v>
      </c>
      <c r="J125" s="442"/>
      <c r="K125" s="387" t="s">
        <v>5101</v>
      </c>
      <c r="L125" s="443">
        <v>63.3151597553275</v>
      </c>
      <c r="M125" s="443"/>
      <c r="N125" s="459">
        <v>0</v>
      </c>
      <c r="O125" s="461">
        <v>63.3151597553275</v>
      </c>
      <c r="P125" s="435"/>
      <c r="Q125" s="436">
        <v>0</v>
      </c>
      <c r="R125" s="436">
        <v>0</v>
      </c>
      <c r="S125" s="436">
        <v>0</v>
      </c>
      <c r="T125" s="436">
        <v>0</v>
      </c>
      <c r="U125" s="436">
        <v>0</v>
      </c>
      <c r="V125" s="437">
        <v>0</v>
      </c>
      <c r="W125" s="455">
        <v>0</v>
      </c>
      <c r="X125" s="455">
        <v>0</v>
      </c>
      <c r="Y125" s="466"/>
      <c r="Z125" s="438"/>
      <c r="AA125" s="439"/>
    </row>
    <row r="126" spans="1:27" x14ac:dyDescent="0.25">
      <c r="A126" s="1" t="s">
        <v>1570</v>
      </c>
      <c r="B126" s="387" t="s">
        <v>1368</v>
      </c>
      <c r="C126" s="387" t="s">
        <v>1115</v>
      </c>
      <c r="D126" s="441" t="s">
        <v>3304</v>
      </c>
      <c r="E126" s="407" t="s">
        <v>3201</v>
      </c>
      <c r="F126" s="407" t="s">
        <v>3541</v>
      </c>
      <c r="G126" s="442">
        <v>6.7649999999999997</v>
      </c>
      <c r="H126" s="387">
        <v>0</v>
      </c>
      <c r="I126" s="387">
        <v>6.7649999999999997</v>
      </c>
      <c r="J126" s="442"/>
      <c r="K126" s="387" t="s">
        <v>5101</v>
      </c>
      <c r="L126" s="443">
        <v>270.66221609250397</v>
      </c>
      <c r="M126" s="443"/>
      <c r="N126" s="459">
        <v>0</v>
      </c>
      <c r="O126" s="461">
        <v>270.66221609250397</v>
      </c>
      <c r="P126" s="435"/>
      <c r="Q126" s="436">
        <v>0</v>
      </c>
      <c r="R126" s="436">
        <v>0</v>
      </c>
      <c r="S126" s="436">
        <v>0</v>
      </c>
      <c r="T126" s="436">
        <v>0</v>
      </c>
      <c r="U126" s="436">
        <v>0</v>
      </c>
      <c r="V126" s="437">
        <v>0</v>
      </c>
      <c r="W126" s="455">
        <v>0</v>
      </c>
      <c r="X126" s="455">
        <v>0</v>
      </c>
      <c r="Y126" s="466"/>
      <c r="Z126" s="438"/>
      <c r="AA126" s="439"/>
    </row>
    <row r="127" spans="1:27" x14ac:dyDescent="0.25">
      <c r="A127" s="1" t="s">
        <v>1571</v>
      </c>
      <c r="B127" s="387" t="s">
        <v>1368</v>
      </c>
      <c r="C127" s="387" t="s">
        <v>1115</v>
      </c>
      <c r="D127" s="441" t="s">
        <v>3305</v>
      </c>
      <c r="E127" s="407" t="s">
        <v>3201</v>
      </c>
      <c r="F127" s="407" t="s">
        <v>3542</v>
      </c>
      <c r="G127" s="442">
        <v>4.1310000000000002</v>
      </c>
      <c r="H127" s="387">
        <v>0</v>
      </c>
      <c r="I127" s="387">
        <v>4.1310000000000002</v>
      </c>
      <c r="J127" s="442"/>
      <c r="K127" s="387" t="s">
        <v>5101</v>
      </c>
      <c r="L127" s="443">
        <v>170.39582275715836</v>
      </c>
      <c r="M127" s="443"/>
      <c r="N127" s="459">
        <v>0</v>
      </c>
      <c r="O127" s="461">
        <v>170.39582275715836</v>
      </c>
      <c r="P127" s="435"/>
      <c r="Q127" s="436">
        <v>0</v>
      </c>
      <c r="R127" s="436">
        <v>0</v>
      </c>
      <c r="S127" s="436">
        <v>0</v>
      </c>
      <c r="T127" s="436">
        <v>0</v>
      </c>
      <c r="U127" s="436">
        <v>0</v>
      </c>
      <c r="V127" s="437">
        <v>0</v>
      </c>
      <c r="W127" s="455">
        <v>0</v>
      </c>
      <c r="X127" s="455">
        <v>0</v>
      </c>
      <c r="Y127" s="466"/>
      <c r="Z127" s="438"/>
      <c r="AA127" s="439"/>
    </row>
    <row r="128" spans="1:27" x14ac:dyDescent="0.25">
      <c r="A128" s="1" t="s">
        <v>1572</v>
      </c>
      <c r="B128" s="387" t="s">
        <v>1368</v>
      </c>
      <c r="C128" s="387" t="s">
        <v>1115</v>
      </c>
      <c r="D128" s="441" t="s">
        <v>3306</v>
      </c>
      <c r="E128" s="407" t="s">
        <v>3201</v>
      </c>
      <c r="F128" s="407" t="s">
        <v>3543</v>
      </c>
      <c r="G128" s="442">
        <v>131.22291199999981</v>
      </c>
      <c r="H128" s="387">
        <v>0</v>
      </c>
      <c r="I128" s="387">
        <v>131.22291199999981</v>
      </c>
      <c r="J128" s="442"/>
      <c r="K128" s="387" t="s">
        <v>5101</v>
      </c>
      <c r="L128" s="443">
        <v>3854.9626725824332</v>
      </c>
      <c r="M128" s="443"/>
      <c r="N128" s="459">
        <v>0</v>
      </c>
      <c r="O128" s="461">
        <v>3854.9626725824332</v>
      </c>
      <c r="P128" s="435"/>
      <c r="Q128" s="436">
        <v>0</v>
      </c>
      <c r="R128" s="436">
        <v>0</v>
      </c>
      <c r="S128" s="436">
        <v>0</v>
      </c>
      <c r="T128" s="436">
        <v>0</v>
      </c>
      <c r="U128" s="436">
        <v>0</v>
      </c>
      <c r="V128" s="437">
        <v>0</v>
      </c>
      <c r="W128" s="455">
        <v>0</v>
      </c>
      <c r="X128" s="455">
        <v>0</v>
      </c>
      <c r="Y128" s="466"/>
      <c r="Z128" s="438"/>
      <c r="AA128" s="439"/>
    </row>
    <row r="129" spans="1:27" x14ac:dyDescent="0.25">
      <c r="A129" s="571" t="s">
        <v>5145</v>
      </c>
      <c r="B129" s="387" t="s">
        <v>1368</v>
      </c>
      <c r="C129" s="387" t="s">
        <v>1115</v>
      </c>
      <c r="D129" s="441" t="s">
        <v>3226</v>
      </c>
      <c r="E129" s="407"/>
      <c r="F129" s="407" t="s">
        <v>5099</v>
      </c>
      <c r="G129" s="442"/>
      <c r="H129" s="387">
        <v>0</v>
      </c>
      <c r="I129" s="387"/>
      <c r="J129" s="442"/>
      <c r="K129" s="387" t="s">
        <v>5101</v>
      </c>
      <c r="L129" s="443">
        <v>130</v>
      </c>
      <c r="M129" s="443"/>
      <c r="N129" s="459">
        <v>0</v>
      </c>
      <c r="O129" s="461">
        <v>130.25</v>
      </c>
      <c r="P129" s="435"/>
      <c r="Q129" s="436">
        <v>1</v>
      </c>
      <c r="R129" s="436">
        <v>0.8</v>
      </c>
      <c r="S129" s="436">
        <v>0.75</v>
      </c>
      <c r="T129" s="436">
        <v>0</v>
      </c>
      <c r="U129" s="436">
        <v>0</v>
      </c>
      <c r="V129" s="437">
        <v>0.75750000000000006</v>
      </c>
      <c r="W129" s="455">
        <v>98.664375000000007</v>
      </c>
      <c r="X129" s="455">
        <v>0</v>
      </c>
      <c r="Y129" s="466"/>
      <c r="Z129" s="438"/>
      <c r="AA129" s="439"/>
    </row>
    <row r="130" spans="1:27" x14ac:dyDescent="0.25">
      <c r="A130" s="1" t="s">
        <v>4745</v>
      </c>
      <c r="B130" s="444" t="s">
        <v>1368</v>
      </c>
      <c r="C130" s="387" t="s">
        <v>1115</v>
      </c>
      <c r="D130" s="444" t="s">
        <v>1395</v>
      </c>
      <c r="E130" s="407" t="s">
        <v>3201</v>
      </c>
      <c r="F130" s="553" t="s">
        <v>5429</v>
      </c>
      <c r="G130" s="442">
        <v>14.26</v>
      </c>
      <c r="H130" s="387">
        <v>0</v>
      </c>
      <c r="I130" s="387">
        <v>14.26</v>
      </c>
      <c r="J130" s="442">
        <v>6.8305400000000001</v>
      </c>
      <c r="K130" s="387" t="s">
        <v>5101</v>
      </c>
      <c r="L130" s="443">
        <v>354.5</v>
      </c>
      <c r="M130" s="443"/>
      <c r="N130" s="459">
        <v>0</v>
      </c>
      <c r="O130" s="461">
        <v>354.5</v>
      </c>
      <c r="P130" s="435"/>
      <c r="Q130" s="436">
        <v>0.67</v>
      </c>
      <c r="R130" s="436">
        <v>0.56999999999999995</v>
      </c>
      <c r="S130" s="436">
        <v>0.5</v>
      </c>
      <c r="T130" s="436">
        <v>0.21</v>
      </c>
      <c r="U130" s="436">
        <v>0</v>
      </c>
      <c r="V130" s="437">
        <v>0.47899999999999998</v>
      </c>
      <c r="W130" s="455">
        <v>188.06224999999998</v>
      </c>
      <c r="X130" s="458">
        <v>0</v>
      </c>
      <c r="Y130" s="554"/>
      <c r="Z130" s="482"/>
      <c r="AA130" s="483"/>
    </row>
    <row r="131" spans="1:27" x14ac:dyDescent="0.25">
      <c r="A131" s="1" t="s">
        <v>4746</v>
      </c>
      <c r="B131" s="444" t="s">
        <v>1368</v>
      </c>
      <c r="C131" s="387" t="s">
        <v>1115</v>
      </c>
      <c r="D131" s="444" t="s">
        <v>1381</v>
      </c>
      <c r="E131" s="407" t="s">
        <v>3201</v>
      </c>
      <c r="F131" s="553" t="s">
        <v>5430</v>
      </c>
      <c r="G131" s="442">
        <v>70.2</v>
      </c>
      <c r="H131" s="387">
        <v>0</v>
      </c>
      <c r="I131" s="387">
        <v>70.2</v>
      </c>
      <c r="J131" s="442">
        <v>69.533100000000005</v>
      </c>
      <c r="K131" s="387" t="s">
        <v>5101</v>
      </c>
      <c r="L131" s="443">
        <v>3778</v>
      </c>
      <c r="M131" s="443"/>
      <c r="N131" s="459">
        <v>0</v>
      </c>
      <c r="O131" s="461">
        <v>3778</v>
      </c>
      <c r="P131" s="435"/>
      <c r="Q131" s="436">
        <v>1</v>
      </c>
      <c r="R131" s="436">
        <v>1</v>
      </c>
      <c r="S131" s="436">
        <v>0.99</v>
      </c>
      <c r="T131" s="436">
        <v>0.9</v>
      </c>
      <c r="U131" s="436">
        <v>0</v>
      </c>
      <c r="V131" s="437">
        <v>0.99050000000000005</v>
      </c>
      <c r="W131" s="455">
        <v>3742.1090000000004</v>
      </c>
      <c r="X131" s="458">
        <v>0</v>
      </c>
      <c r="Y131" s="554"/>
      <c r="Z131" s="482"/>
      <c r="AA131" s="483"/>
    </row>
    <row r="132" spans="1:27" x14ac:dyDescent="0.25">
      <c r="A132" s="1" t="s">
        <v>4747</v>
      </c>
      <c r="B132" s="444" t="s">
        <v>1368</v>
      </c>
      <c r="C132" s="387" t="s">
        <v>1115</v>
      </c>
      <c r="D132" s="444" t="s">
        <v>1396</v>
      </c>
      <c r="E132" s="407" t="s">
        <v>3201</v>
      </c>
      <c r="F132" s="553" t="s">
        <v>5431</v>
      </c>
      <c r="G132" s="442">
        <v>2.63</v>
      </c>
      <c r="H132" s="387">
        <v>0</v>
      </c>
      <c r="I132" s="387">
        <v>2.63</v>
      </c>
      <c r="J132" s="442">
        <v>2.38015</v>
      </c>
      <c r="K132" s="387" t="s">
        <v>5101</v>
      </c>
      <c r="L132" s="443">
        <v>1100</v>
      </c>
      <c r="M132" s="443"/>
      <c r="N132" s="459">
        <v>0</v>
      </c>
      <c r="O132" s="461">
        <v>1100</v>
      </c>
      <c r="P132" s="435"/>
      <c r="Q132" s="411">
        <v>1</v>
      </c>
      <c r="R132" s="411">
        <v>1</v>
      </c>
      <c r="S132" s="411">
        <v>0.9</v>
      </c>
      <c r="T132" s="411">
        <v>0</v>
      </c>
      <c r="U132" s="411">
        <v>0</v>
      </c>
      <c r="V132" s="437">
        <v>0.90500000000000003</v>
      </c>
      <c r="W132" s="455">
        <v>995.5</v>
      </c>
      <c r="X132" s="458">
        <v>0</v>
      </c>
      <c r="Y132" s="554"/>
      <c r="Z132" s="482"/>
      <c r="AA132" s="483"/>
    </row>
    <row r="133" spans="1:27" x14ac:dyDescent="0.25">
      <c r="A133" s="1" t="s">
        <v>4819</v>
      </c>
      <c r="B133" s="444" t="s">
        <v>1368</v>
      </c>
      <c r="C133" s="387" t="s">
        <v>1115</v>
      </c>
      <c r="D133" s="444" t="s">
        <v>1374</v>
      </c>
      <c r="E133" s="407" t="s">
        <v>3201</v>
      </c>
      <c r="F133" s="553" t="s">
        <v>5432</v>
      </c>
      <c r="G133" s="442">
        <v>46.55</v>
      </c>
      <c r="H133" s="387">
        <v>0</v>
      </c>
      <c r="I133" s="387">
        <v>46.55</v>
      </c>
      <c r="J133" s="442">
        <v>39.102000000000004</v>
      </c>
      <c r="K133" s="387" t="s">
        <v>5101</v>
      </c>
      <c r="L133" s="443">
        <v>1772.71</v>
      </c>
      <c r="M133" s="443"/>
      <c r="N133" s="459">
        <v>0</v>
      </c>
      <c r="O133" s="461">
        <v>1772.71</v>
      </c>
      <c r="P133" s="435"/>
      <c r="Q133" s="557">
        <v>1</v>
      </c>
      <c r="R133" s="557">
        <v>0.95</v>
      </c>
      <c r="S133" s="557">
        <v>0.8</v>
      </c>
      <c r="T133" s="557">
        <v>0</v>
      </c>
      <c r="U133" s="557">
        <v>0</v>
      </c>
      <c r="V133" s="437">
        <v>0.84000000000000008</v>
      </c>
      <c r="W133" s="455">
        <v>1489.0764000000001</v>
      </c>
      <c r="X133" s="458">
        <v>0</v>
      </c>
      <c r="Y133" s="554"/>
      <c r="Z133" s="482"/>
      <c r="AA133" s="483"/>
    </row>
    <row r="134" spans="1:27" ht="15.75" thickBot="1" x14ac:dyDescent="0.3">
      <c r="A134" s="568" t="s">
        <v>4820</v>
      </c>
      <c r="B134" s="444" t="s">
        <v>1368</v>
      </c>
      <c r="C134" s="387" t="s">
        <v>1115</v>
      </c>
      <c r="D134" s="444" t="s">
        <v>1377</v>
      </c>
      <c r="E134" s="407" t="s">
        <v>3201</v>
      </c>
      <c r="F134" s="553" t="s">
        <v>5433</v>
      </c>
      <c r="G134" s="442">
        <v>20.53</v>
      </c>
      <c r="H134" s="387">
        <v>0</v>
      </c>
      <c r="I134" s="387">
        <v>20.53</v>
      </c>
      <c r="J134" s="442">
        <v>19.503499999999999</v>
      </c>
      <c r="K134" s="387" t="s">
        <v>5101</v>
      </c>
      <c r="L134" s="443">
        <v>614</v>
      </c>
      <c r="M134" s="443"/>
      <c r="N134" s="459">
        <v>0</v>
      </c>
      <c r="O134" s="461">
        <v>614</v>
      </c>
      <c r="P134" s="435"/>
      <c r="Q134" s="411">
        <v>1</v>
      </c>
      <c r="R134" s="411">
        <v>1</v>
      </c>
      <c r="S134" s="411">
        <v>1</v>
      </c>
      <c r="T134" s="411">
        <v>0</v>
      </c>
      <c r="U134" s="411">
        <v>0</v>
      </c>
      <c r="V134" s="437">
        <v>0.95</v>
      </c>
      <c r="W134" s="455">
        <v>583.29999999999995</v>
      </c>
      <c r="X134" s="458">
        <v>0</v>
      </c>
      <c r="Y134" s="554"/>
      <c r="Z134" s="482"/>
      <c r="AA134" s="483"/>
    </row>
    <row r="135" spans="1:27" x14ac:dyDescent="0.25">
      <c r="A135" s="430" t="s">
        <v>4965</v>
      </c>
      <c r="B135" s="444" t="s">
        <v>1368</v>
      </c>
      <c r="C135" s="387" t="s">
        <v>1115</v>
      </c>
      <c r="D135" s="444" t="s">
        <v>3291</v>
      </c>
      <c r="E135" s="407" t="s">
        <v>3201</v>
      </c>
      <c r="F135" s="553" t="s">
        <v>5434</v>
      </c>
      <c r="G135" s="442">
        <v>8.3800000000000008</v>
      </c>
      <c r="H135" s="387">
        <v>0</v>
      </c>
      <c r="I135" s="387">
        <v>8.3800000000000008</v>
      </c>
      <c r="J135" s="442">
        <v>6.7040000000000006</v>
      </c>
      <c r="K135" s="387" t="s">
        <v>5101</v>
      </c>
      <c r="L135" s="443">
        <v>415.15</v>
      </c>
      <c r="M135" s="443"/>
      <c r="N135" s="459">
        <v>0</v>
      </c>
      <c r="O135" s="461">
        <v>415.15</v>
      </c>
      <c r="P135" s="435"/>
      <c r="Q135" s="411">
        <v>1</v>
      </c>
      <c r="R135" s="411">
        <v>0.85</v>
      </c>
      <c r="S135" s="411">
        <v>0.8</v>
      </c>
      <c r="T135" s="411">
        <v>0</v>
      </c>
      <c r="U135" s="411">
        <v>0</v>
      </c>
      <c r="V135" s="437">
        <v>0.8</v>
      </c>
      <c r="W135" s="455">
        <v>332.12</v>
      </c>
      <c r="X135" s="458">
        <v>0</v>
      </c>
      <c r="Y135" s="554"/>
      <c r="Z135" s="482"/>
      <c r="AA135" s="483"/>
    </row>
    <row r="136" spans="1:27" x14ac:dyDescent="0.25">
      <c r="A136" s="1" t="s">
        <v>5114</v>
      </c>
      <c r="B136" s="444" t="s">
        <v>1368</v>
      </c>
      <c r="C136" s="387" t="s">
        <v>1115</v>
      </c>
      <c r="D136" s="444" t="s">
        <v>3292</v>
      </c>
      <c r="E136" s="407" t="s">
        <v>3201</v>
      </c>
      <c r="F136" s="553" t="s">
        <v>5435</v>
      </c>
      <c r="G136" s="442">
        <v>92</v>
      </c>
      <c r="H136" s="387">
        <v>0</v>
      </c>
      <c r="I136" s="387">
        <v>92</v>
      </c>
      <c r="J136" s="442">
        <v>73.600000000000009</v>
      </c>
      <c r="K136" s="387" t="s">
        <v>5101</v>
      </c>
      <c r="L136" s="443">
        <v>658.66</v>
      </c>
      <c r="M136" s="443"/>
      <c r="N136" s="459">
        <v>0</v>
      </c>
      <c r="O136" s="461">
        <v>658.66</v>
      </c>
      <c r="P136" s="435"/>
      <c r="Q136" s="411">
        <v>1</v>
      </c>
      <c r="R136" s="411">
        <v>0.85</v>
      </c>
      <c r="S136" s="411">
        <v>0.8</v>
      </c>
      <c r="T136" s="411">
        <v>0</v>
      </c>
      <c r="U136" s="411">
        <v>0</v>
      </c>
      <c r="V136" s="437">
        <v>0.8</v>
      </c>
      <c r="W136" s="455">
        <v>526.928</v>
      </c>
      <c r="X136" s="458">
        <v>0</v>
      </c>
      <c r="Y136" s="554"/>
      <c r="Z136" s="482"/>
      <c r="AA136" s="483"/>
    </row>
    <row r="137" spans="1:27" x14ac:dyDescent="0.25">
      <c r="A137" s="430" t="s">
        <v>4966</v>
      </c>
      <c r="B137" s="444" t="s">
        <v>1368</v>
      </c>
      <c r="C137" s="387" t="s">
        <v>1115</v>
      </c>
      <c r="D137" s="444" t="s">
        <v>3294</v>
      </c>
      <c r="E137" s="407" t="s">
        <v>3201</v>
      </c>
      <c r="F137" s="553" t="s">
        <v>5436</v>
      </c>
      <c r="G137" s="442">
        <v>11.1</v>
      </c>
      <c r="H137" s="387">
        <v>0</v>
      </c>
      <c r="I137" s="387">
        <v>11.1</v>
      </c>
      <c r="J137" s="442">
        <v>9.1020000000000003</v>
      </c>
      <c r="K137" s="387" t="s">
        <v>5101</v>
      </c>
      <c r="L137" s="443">
        <v>414.42</v>
      </c>
      <c r="M137" s="443"/>
      <c r="N137" s="459">
        <v>0</v>
      </c>
      <c r="O137" s="461">
        <v>414.42</v>
      </c>
      <c r="P137" s="435"/>
      <c r="Q137" s="411">
        <v>1</v>
      </c>
      <c r="R137" s="411">
        <v>0.9</v>
      </c>
      <c r="S137" s="411">
        <v>0.8</v>
      </c>
      <c r="T137" s="411">
        <v>0</v>
      </c>
      <c r="U137" s="411">
        <v>0</v>
      </c>
      <c r="V137" s="437">
        <v>0.82000000000000006</v>
      </c>
      <c r="W137" s="455">
        <v>339.82440000000003</v>
      </c>
      <c r="X137" s="458">
        <v>0</v>
      </c>
      <c r="Y137" s="554"/>
      <c r="Z137" s="482"/>
      <c r="AA137" s="483"/>
    </row>
    <row r="138" spans="1:27" x14ac:dyDescent="0.25">
      <c r="A138" s="430" t="s">
        <v>4967</v>
      </c>
      <c r="B138" s="444" t="s">
        <v>1368</v>
      </c>
      <c r="C138" s="387" t="s">
        <v>1115</v>
      </c>
      <c r="D138" s="444" t="s">
        <v>1397</v>
      </c>
      <c r="E138" s="407" t="s">
        <v>3201</v>
      </c>
      <c r="F138" s="553" t="s">
        <v>5437</v>
      </c>
      <c r="G138" s="442">
        <v>37.5</v>
      </c>
      <c r="H138" s="387">
        <v>0</v>
      </c>
      <c r="I138" s="387">
        <v>37.5</v>
      </c>
      <c r="J138" s="442">
        <v>30</v>
      </c>
      <c r="K138" s="387" t="s">
        <v>5101</v>
      </c>
      <c r="L138" s="443">
        <v>1689.44</v>
      </c>
      <c r="M138" s="443"/>
      <c r="N138" s="459">
        <v>0</v>
      </c>
      <c r="O138" s="461">
        <v>1689.44</v>
      </c>
      <c r="P138" s="435"/>
      <c r="Q138" s="411">
        <v>1</v>
      </c>
      <c r="R138" s="411">
        <v>0.85</v>
      </c>
      <c r="S138" s="411">
        <v>0.8</v>
      </c>
      <c r="T138" s="411">
        <v>0</v>
      </c>
      <c r="U138" s="411">
        <v>0</v>
      </c>
      <c r="V138" s="437">
        <v>0.8</v>
      </c>
      <c r="W138" s="455">
        <v>1351.5520000000001</v>
      </c>
      <c r="X138" s="458">
        <v>0</v>
      </c>
      <c r="Y138" s="554"/>
      <c r="Z138" s="482"/>
      <c r="AA138" s="483"/>
    </row>
    <row r="139" spans="1:27" x14ac:dyDescent="0.25">
      <c r="A139" s="430" t="s">
        <v>5115</v>
      </c>
      <c r="B139" s="444" t="s">
        <v>1368</v>
      </c>
      <c r="C139" s="387" t="s">
        <v>1115</v>
      </c>
      <c r="D139" s="444" t="s">
        <v>1399</v>
      </c>
      <c r="E139" s="407" t="s">
        <v>3201</v>
      </c>
      <c r="F139" s="553" t="s">
        <v>5438</v>
      </c>
      <c r="G139" s="442">
        <v>57.93</v>
      </c>
      <c r="H139" s="387">
        <v>0</v>
      </c>
      <c r="I139" s="387">
        <v>57.93</v>
      </c>
      <c r="J139" s="442">
        <v>38.813099999999999</v>
      </c>
      <c r="K139" s="387" t="s">
        <v>5101</v>
      </c>
      <c r="L139" s="443">
        <v>2991</v>
      </c>
      <c r="M139" s="443"/>
      <c r="N139" s="459">
        <v>0</v>
      </c>
      <c r="O139" s="461">
        <v>2991</v>
      </c>
      <c r="P139" s="435"/>
      <c r="Q139" s="411">
        <v>1</v>
      </c>
      <c r="R139" s="411">
        <v>0.75</v>
      </c>
      <c r="S139" s="411">
        <v>0.6</v>
      </c>
      <c r="T139" s="411">
        <v>0</v>
      </c>
      <c r="U139" s="411">
        <v>0</v>
      </c>
      <c r="V139" s="437">
        <v>0.67</v>
      </c>
      <c r="W139" s="455">
        <v>2003.9700000000003</v>
      </c>
      <c r="X139" s="458">
        <v>0</v>
      </c>
      <c r="Y139" s="554"/>
      <c r="Z139" s="482"/>
      <c r="AA139" s="483"/>
    </row>
    <row r="140" spans="1:27" x14ac:dyDescent="0.25">
      <c r="A140" s="1" t="s">
        <v>5116</v>
      </c>
      <c r="B140" s="444" t="s">
        <v>1368</v>
      </c>
      <c r="C140" s="387" t="s">
        <v>1115</v>
      </c>
      <c r="D140" s="444" t="s">
        <v>1400</v>
      </c>
      <c r="E140" s="407" t="s">
        <v>3201</v>
      </c>
      <c r="F140" s="553" t="s">
        <v>5439</v>
      </c>
      <c r="G140" s="442">
        <v>43</v>
      </c>
      <c r="H140" s="387">
        <v>0</v>
      </c>
      <c r="I140" s="387">
        <v>43</v>
      </c>
      <c r="J140" s="442">
        <v>19.565000000000001</v>
      </c>
      <c r="K140" s="387" t="s">
        <v>5101</v>
      </c>
      <c r="L140" s="443">
        <v>2847</v>
      </c>
      <c r="M140" s="443"/>
      <c r="N140" s="459">
        <v>0</v>
      </c>
      <c r="O140" s="461">
        <v>2847</v>
      </c>
      <c r="P140" s="435"/>
      <c r="Q140" s="411">
        <v>1</v>
      </c>
      <c r="R140" s="411">
        <v>0.55000000000000004</v>
      </c>
      <c r="S140" s="411">
        <v>0.3</v>
      </c>
      <c r="T140" s="411">
        <v>0</v>
      </c>
      <c r="U140" s="411">
        <v>0</v>
      </c>
      <c r="V140" s="437">
        <v>0.45500000000000002</v>
      </c>
      <c r="W140" s="455">
        <v>1295.385</v>
      </c>
      <c r="X140" s="458">
        <v>0</v>
      </c>
      <c r="Y140" s="554"/>
      <c r="Z140" s="482"/>
      <c r="AA140" s="483"/>
    </row>
    <row r="141" spans="1:27" x14ac:dyDescent="0.25">
      <c r="A141" s="1" t="s">
        <v>5117</v>
      </c>
      <c r="B141" s="444" t="s">
        <v>1368</v>
      </c>
      <c r="C141" s="387" t="s">
        <v>1115</v>
      </c>
      <c r="D141" s="444" t="s">
        <v>1401</v>
      </c>
      <c r="E141" s="407" t="s">
        <v>3201</v>
      </c>
      <c r="F141" s="553" t="s">
        <v>5440</v>
      </c>
      <c r="G141" s="442">
        <v>42</v>
      </c>
      <c r="H141" s="387">
        <v>0</v>
      </c>
      <c r="I141" s="387">
        <v>42</v>
      </c>
      <c r="J141" s="442">
        <v>7.98</v>
      </c>
      <c r="K141" s="387" t="s">
        <v>5101</v>
      </c>
      <c r="L141" s="443">
        <v>1453.84</v>
      </c>
      <c r="M141" s="443"/>
      <c r="N141" s="459">
        <v>0</v>
      </c>
      <c r="O141" s="461">
        <v>1453.84</v>
      </c>
      <c r="P141" s="435"/>
      <c r="Q141" s="411">
        <v>0.85</v>
      </c>
      <c r="R141" s="411">
        <v>0.15</v>
      </c>
      <c r="S141" s="411">
        <v>0.1</v>
      </c>
      <c r="T141" s="411">
        <v>0</v>
      </c>
      <c r="U141" s="411">
        <v>0</v>
      </c>
      <c r="V141" s="437">
        <v>0.19</v>
      </c>
      <c r="W141" s="455">
        <v>276.2296</v>
      </c>
      <c r="X141" s="458">
        <v>0</v>
      </c>
      <c r="Y141" s="554"/>
      <c r="Z141" s="482"/>
      <c r="AA141" s="483"/>
    </row>
    <row r="142" spans="1:27" x14ac:dyDescent="0.25">
      <c r="A142" s="1" t="s">
        <v>5118</v>
      </c>
      <c r="B142" s="444" t="s">
        <v>1368</v>
      </c>
      <c r="C142" s="387" t="s">
        <v>1115</v>
      </c>
      <c r="D142" s="444" t="s">
        <v>1398</v>
      </c>
      <c r="E142" s="407" t="s">
        <v>3201</v>
      </c>
      <c r="F142" s="553" t="s">
        <v>5441</v>
      </c>
      <c r="G142" s="442">
        <v>37.770000000000003</v>
      </c>
      <c r="H142" s="387">
        <v>0</v>
      </c>
      <c r="I142" s="387">
        <v>214.4</v>
      </c>
      <c r="J142" s="442">
        <v>31.821224999999998</v>
      </c>
      <c r="K142" s="387" t="s">
        <v>5101</v>
      </c>
      <c r="L142" s="443">
        <v>1469.13</v>
      </c>
      <c r="M142" s="443"/>
      <c r="N142" s="459">
        <v>0</v>
      </c>
      <c r="O142" s="461">
        <v>1469.13</v>
      </c>
      <c r="P142" s="435"/>
      <c r="Q142" s="411">
        <v>1</v>
      </c>
      <c r="R142" s="411">
        <v>0.9</v>
      </c>
      <c r="S142" s="411">
        <v>0.85</v>
      </c>
      <c r="T142" s="411">
        <v>0</v>
      </c>
      <c r="U142" s="411">
        <v>0</v>
      </c>
      <c r="V142" s="437">
        <v>0.84249999999999992</v>
      </c>
      <c r="W142" s="455">
        <v>1237.742025</v>
      </c>
      <c r="X142" s="458">
        <v>0</v>
      </c>
      <c r="Y142" s="554"/>
      <c r="Z142" s="482"/>
      <c r="AA142" s="483"/>
    </row>
    <row r="143" spans="1:27" x14ac:dyDescent="0.25">
      <c r="A143" s="430"/>
      <c r="B143" s="444" t="s">
        <v>1368</v>
      </c>
      <c r="C143" s="387" t="s">
        <v>1115</v>
      </c>
      <c r="D143" s="444" t="s">
        <v>1425</v>
      </c>
      <c r="E143" s="407" t="s">
        <v>3201</v>
      </c>
      <c r="F143" s="553" t="s">
        <v>5442</v>
      </c>
      <c r="G143" s="442">
        <v>1</v>
      </c>
      <c r="H143" s="387">
        <v>0</v>
      </c>
      <c r="I143" s="387"/>
      <c r="J143" s="442"/>
      <c r="K143" s="387"/>
      <c r="L143" s="443"/>
      <c r="M143" s="443"/>
      <c r="N143" s="459">
        <v>0</v>
      </c>
      <c r="O143" s="461">
        <v>17.16</v>
      </c>
      <c r="P143" s="435"/>
      <c r="Q143" s="411">
        <v>0</v>
      </c>
      <c r="R143" s="411">
        <v>0</v>
      </c>
      <c r="S143" s="411">
        <v>0</v>
      </c>
      <c r="T143" s="411">
        <v>0</v>
      </c>
      <c r="U143" s="411">
        <v>0</v>
      </c>
      <c r="V143" s="437">
        <v>0</v>
      </c>
      <c r="W143" s="455">
        <v>0</v>
      </c>
      <c r="X143" s="458">
        <v>0</v>
      </c>
      <c r="Y143" s="554"/>
      <c r="Z143" s="482"/>
      <c r="AA143" s="483"/>
    </row>
    <row r="144" spans="1:27" x14ac:dyDescent="0.25">
      <c r="A144" s="1" t="s">
        <v>5119</v>
      </c>
      <c r="B144" s="444" t="s">
        <v>1368</v>
      </c>
      <c r="C144" s="387" t="s">
        <v>1115</v>
      </c>
      <c r="D144" s="444" t="s">
        <v>1426</v>
      </c>
      <c r="E144" s="407" t="s">
        <v>3201</v>
      </c>
      <c r="F144" s="553" t="s">
        <v>5443</v>
      </c>
      <c r="G144" s="442">
        <v>38</v>
      </c>
      <c r="H144" s="387">
        <v>0</v>
      </c>
      <c r="I144" s="387"/>
      <c r="J144" s="442"/>
      <c r="K144" s="387" t="s">
        <v>5101</v>
      </c>
      <c r="L144" s="443">
        <v>1270.33</v>
      </c>
      <c r="M144" s="443"/>
      <c r="N144" s="459">
        <v>0</v>
      </c>
      <c r="O144" s="461">
        <v>1270.33</v>
      </c>
      <c r="P144" s="435"/>
      <c r="Q144" s="411">
        <v>0.2</v>
      </c>
      <c r="R144" s="411">
        <v>0.2</v>
      </c>
      <c r="S144" s="411">
        <v>0.2</v>
      </c>
      <c r="T144" s="411">
        <v>0</v>
      </c>
      <c r="U144" s="411">
        <v>0</v>
      </c>
      <c r="V144" s="437">
        <v>0.19000000000000003</v>
      </c>
      <c r="W144" s="455">
        <v>241.36270000000002</v>
      </c>
      <c r="X144" s="458">
        <v>0</v>
      </c>
      <c r="Y144" s="554"/>
      <c r="Z144" s="482"/>
      <c r="AA144" s="483"/>
    </row>
    <row r="145" spans="1:27" x14ac:dyDescent="0.25">
      <c r="A145" s="430"/>
      <c r="B145" s="444" t="s">
        <v>1368</v>
      </c>
      <c r="C145" s="387" t="s">
        <v>1115</v>
      </c>
      <c r="D145" s="444" t="s">
        <v>1427</v>
      </c>
      <c r="E145" s="407" t="s">
        <v>3201</v>
      </c>
      <c r="F145" s="553" t="s">
        <v>5444</v>
      </c>
      <c r="G145" s="442">
        <v>5.7</v>
      </c>
      <c r="H145" s="387">
        <v>0</v>
      </c>
      <c r="I145" s="387"/>
      <c r="J145" s="442"/>
      <c r="K145" s="387" t="s">
        <v>5101</v>
      </c>
      <c r="L145" s="443"/>
      <c r="M145" s="443"/>
      <c r="N145" s="459">
        <v>0</v>
      </c>
      <c r="O145" s="461">
        <v>166.65</v>
      </c>
      <c r="P145" s="435"/>
      <c r="Q145" s="411">
        <v>0</v>
      </c>
      <c r="R145" s="411">
        <v>0</v>
      </c>
      <c r="S145" s="411">
        <v>0</v>
      </c>
      <c r="T145" s="411">
        <v>0</v>
      </c>
      <c r="U145" s="411">
        <v>0</v>
      </c>
      <c r="V145" s="437">
        <v>0</v>
      </c>
      <c r="W145" s="455">
        <v>0</v>
      </c>
      <c r="X145" s="458">
        <v>0</v>
      </c>
      <c r="Y145" s="554"/>
      <c r="Z145" s="482"/>
      <c r="AA145" s="483"/>
    </row>
    <row r="146" spans="1:27" x14ac:dyDescent="0.25">
      <c r="A146" s="430"/>
      <c r="B146" s="444" t="s">
        <v>1368</v>
      </c>
      <c r="C146" s="387" t="s">
        <v>1115</v>
      </c>
      <c r="D146" s="444" t="s">
        <v>1428</v>
      </c>
      <c r="E146" s="407" t="s">
        <v>3201</v>
      </c>
      <c r="F146" s="553" t="s">
        <v>5445</v>
      </c>
      <c r="G146" s="442"/>
      <c r="H146" s="387">
        <v>0</v>
      </c>
      <c r="I146" s="387"/>
      <c r="J146" s="442"/>
      <c r="K146" s="387"/>
      <c r="L146" s="443"/>
      <c r="M146" s="443"/>
      <c r="N146" s="459">
        <v>0</v>
      </c>
      <c r="O146" s="461">
        <v>314.12</v>
      </c>
      <c r="P146" s="435"/>
      <c r="Q146" s="411">
        <v>0</v>
      </c>
      <c r="R146" s="411">
        <v>0</v>
      </c>
      <c r="S146" s="411">
        <v>0</v>
      </c>
      <c r="T146" s="411">
        <v>0</v>
      </c>
      <c r="U146" s="411">
        <v>0</v>
      </c>
      <c r="V146" s="437">
        <v>0</v>
      </c>
      <c r="W146" s="455">
        <v>0</v>
      </c>
      <c r="X146" s="458">
        <v>0</v>
      </c>
      <c r="Y146" s="554"/>
      <c r="Z146" s="482"/>
      <c r="AA146" s="483"/>
    </row>
    <row r="147" spans="1:27" x14ac:dyDescent="0.25">
      <c r="A147" s="430"/>
      <c r="B147" s="444" t="s">
        <v>1368</v>
      </c>
      <c r="C147" s="387" t="s">
        <v>1115</v>
      </c>
      <c r="D147" s="444" t="s">
        <v>1429</v>
      </c>
      <c r="E147" s="407" t="s">
        <v>3201</v>
      </c>
      <c r="F147" s="553" t="s">
        <v>5446</v>
      </c>
      <c r="G147" s="442"/>
      <c r="H147" s="387">
        <v>0</v>
      </c>
      <c r="I147" s="387"/>
      <c r="J147" s="442"/>
      <c r="K147" s="387"/>
      <c r="L147" s="443"/>
      <c r="M147" s="443"/>
      <c r="N147" s="459">
        <v>0</v>
      </c>
      <c r="O147" s="461">
        <v>169.16</v>
      </c>
      <c r="P147" s="435"/>
      <c r="Q147" s="411">
        <v>0</v>
      </c>
      <c r="R147" s="411">
        <v>0</v>
      </c>
      <c r="S147" s="411">
        <v>0</v>
      </c>
      <c r="T147" s="411">
        <v>0</v>
      </c>
      <c r="U147" s="411">
        <v>0</v>
      </c>
      <c r="V147" s="437">
        <v>0</v>
      </c>
      <c r="W147" s="455">
        <v>0</v>
      </c>
      <c r="X147" s="458">
        <v>0</v>
      </c>
      <c r="Y147" s="554"/>
      <c r="Z147" s="482"/>
      <c r="AA147" s="483"/>
    </row>
    <row r="148" spans="1:27" x14ac:dyDescent="0.25">
      <c r="A148" s="430"/>
      <c r="B148" s="444" t="s">
        <v>1368</v>
      </c>
      <c r="C148" s="387" t="s">
        <v>1115</v>
      </c>
      <c r="D148" s="444" t="s">
        <v>1430</v>
      </c>
      <c r="E148" s="407" t="s">
        <v>3201</v>
      </c>
      <c r="F148" s="553" t="s">
        <v>5447</v>
      </c>
      <c r="G148" s="442"/>
      <c r="H148" s="387">
        <v>0</v>
      </c>
      <c r="I148" s="387"/>
      <c r="J148" s="442"/>
      <c r="K148" s="387"/>
      <c r="L148" s="443"/>
      <c r="M148" s="443"/>
      <c r="N148" s="459">
        <v>0</v>
      </c>
      <c r="O148" s="461">
        <v>620.25</v>
      </c>
      <c r="P148" s="435"/>
      <c r="Q148" s="411">
        <v>0.25</v>
      </c>
      <c r="R148" s="411">
        <v>0.15</v>
      </c>
      <c r="S148" s="411">
        <v>0.1</v>
      </c>
      <c r="T148" s="411">
        <v>0</v>
      </c>
      <c r="U148" s="411">
        <v>0</v>
      </c>
      <c r="V148" s="437">
        <v>0.12999999999999998</v>
      </c>
      <c r="W148" s="455">
        <v>80.632499999999993</v>
      </c>
      <c r="X148" s="458">
        <v>0</v>
      </c>
      <c r="Y148" s="554"/>
      <c r="Z148" s="482"/>
      <c r="AA148" s="483"/>
    </row>
    <row r="149" spans="1:27" x14ac:dyDescent="0.25">
      <c r="A149" s="430"/>
      <c r="B149" s="444" t="s">
        <v>1368</v>
      </c>
      <c r="C149" s="387" t="s">
        <v>1115</v>
      </c>
      <c r="D149" s="444" t="s">
        <v>1431</v>
      </c>
      <c r="E149" s="407" t="s">
        <v>3201</v>
      </c>
      <c r="F149" s="553" t="s">
        <v>5448</v>
      </c>
      <c r="G149" s="442"/>
      <c r="H149" s="387">
        <v>0</v>
      </c>
      <c r="I149" s="387"/>
      <c r="J149" s="442"/>
      <c r="K149" s="387"/>
      <c r="L149" s="443"/>
      <c r="M149" s="443"/>
      <c r="N149" s="459">
        <v>0</v>
      </c>
      <c r="O149" s="461">
        <v>598.37</v>
      </c>
      <c r="P149" s="435"/>
      <c r="Q149" s="411">
        <v>0.25</v>
      </c>
      <c r="R149" s="411">
        <v>0.1</v>
      </c>
      <c r="S149" s="411">
        <v>0.05</v>
      </c>
      <c r="T149" s="411">
        <v>0</v>
      </c>
      <c r="U149" s="411">
        <v>0</v>
      </c>
      <c r="V149" s="437">
        <v>8.7500000000000008E-2</v>
      </c>
      <c r="W149" s="455">
        <v>52.357375000000005</v>
      </c>
      <c r="X149" s="458">
        <v>0</v>
      </c>
      <c r="Y149" s="554"/>
      <c r="Z149" s="482"/>
      <c r="AA149" s="483"/>
    </row>
    <row r="150" spans="1:27" x14ac:dyDescent="0.25">
      <c r="A150" s="430"/>
      <c r="B150" s="444" t="s">
        <v>1368</v>
      </c>
      <c r="C150" s="387" t="s">
        <v>1115</v>
      </c>
      <c r="D150" s="444" t="s">
        <v>1432</v>
      </c>
      <c r="E150" s="407" t="s">
        <v>3201</v>
      </c>
      <c r="F150" s="553" t="s">
        <v>5449</v>
      </c>
      <c r="G150" s="442"/>
      <c r="H150" s="387">
        <v>0</v>
      </c>
      <c r="I150" s="387"/>
      <c r="J150" s="442"/>
      <c r="K150" s="387"/>
      <c r="L150" s="443"/>
      <c r="M150" s="443"/>
      <c r="N150" s="459">
        <v>0</v>
      </c>
      <c r="O150" s="461">
        <v>1957.91</v>
      </c>
      <c r="P150" s="435"/>
      <c r="Q150" s="411">
        <v>0.1</v>
      </c>
      <c r="R150" s="411">
        <v>0.05</v>
      </c>
      <c r="S150" s="411">
        <v>0.05</v>
      </c>
      <c r="T150" s="411">
        <v>0</v>
      </c>
      <c r="U150" s="411">
        <v>0</v>
      </c>
      <c r="V150" s="437">
        <v>5.2500000000000005E-2</v>
      </c>
      <c r="W150" s="455">
        <v>102.79027500000001</v>
      </c>
      <c r="X150" s="458">
        <v>0</v>
      </c>
      <c r="Y150" s="554"/>
      <c r="Z150" s="482"/>
      <c r="AA150" s="483"/>
    </row>
    <row r="151" spans="1:27" x14ac:dyDescent="0.25">
      <c r="A151" s="430"/>
      <c r="B151" s="444" t="s">
        <v>1368</v>
      </c>
      <c r="C151" s="387" t="s">
        <v>1115</v>
      </c>
      <c r="D151" s="444" t="s">
        <v>1433</v>
      </c>
      <c r="E151" s="407" t="s">
        <v>3201</v>
      </c>
      <c r="F151" s="553" t="s">
        <v>5450</v>
      </c>
      <c r="G151" s="442"/>
      <c r="H151" s="387">
        <v>0</v>
      </c>
      <c r="I151" s="387"/>
      <c r="J151" s="442"/>
      <c r="K151" s="387"/>
      <c r="L151" s="443"/>
      <c r="M151" s="443"/>
      <c r="N151" s="459">
        <v>0</v>
      </c>
      <c r="O151" s="461">
        <v>624.53</v>
      </c>
      <c r="P151" s="435"/>
      <c r="Q151" s="411">
        <v>0</v>
      </c>
      <c r="R151" s="411">
        <v>0</v>
      </c>
      <c r="S151" s="411">
        <v>0</v>
      </c>
      <c r="T151" s="411">
        <v>0</v>
      </c>
      <c r="U151" s="411">
        <v>0</v>
      </c>
      <c r="V151" s="437">
        <v>0</v>
      </c>
      <c r="W151" s="455">
        <v>0</v>
      </c>
      <c r="X151" s="458">
        <v>0</v>
      </c>
      <c r="Y151" s="554"/>
      <c r="Z151" s="482"/>
      <c r="AA151" s="483"/>
    </row>
    <row r="152" spans="1:27" x14ac:dyDescent="0.25">
      <c r="A152" s="430"/>
      <c r="B152" s="444" t="s">
        <v>1368</v>
      </c>
      <c r="C152" s="387" t="s">
        <v>1115</v>
      </c>
      <c r="D152" s="441" t="s">
        <v>3237</v>
      </c>
      <c r="E152" s="407" t="s">
        <v>3201</v>
      </c>
      <c r="F152" s="553" t="s">
        <v>5451</v>
      </c>
      <c r="G152" s="442">
        <v>3</v>
      </c>
      <c r="H152" s="387">
        <v>0</v>
      </c>
      <c r="I152" s="387"/>
      <c r="J152" s="442"/>
      <c r="K152" s="387"/>
      <c r="L152" s="461"/>
      <c r="M152" s="443"/>
      <c r="N152" s="459">
        <v>0</v>
      </c>
      <c r="O152" s="461">
        <v>150.44999999999999</v>
      </c>
      <c r="P152" s="435"/>
      <c r="Q152" s="411">
        <v>0.5</v>
      </c>
      <c r="R152" s="411">
        <v>0.4</v>
      </c>
      <c r="S152" s="411">
        <v>0.25</v>
      </c>
      <c r="T152" s="411">
        <v>0</v>
      </c>
      <c r="U152" s="411">
        <v>0</v>
      </c>
      <c r="V152" s="437">
        <v>0.32250000000000006</v>
      </c>
      <c r="W152" s="455">
        <v>48.520125000000007</v>
      </c>
      <c r="X152" s="458"/>
      <c r="Y152" s="554"/>
      <c r="Z152" s="482"/>
      <c r="AA152" s="483"/>
    </row>
    <row r="153" spans="1:27" x14ac:dyDescent="0.25">
      <c r="A153" s="430"/>
      <c r="B153" s="444" t="s">
        <v>1368</v>
      </c>
      <c r="C153" s="387" t="s">
        <v>1115</v>
      </c>
      <c r="D153" s="441" t="s">
        <v>3239</v>
      </c>
      <c r="E153" s="407" t="s">
        <v>3201</v>
      </c>
      <c r="F153" s="553" t="s">
        <v>5452</v>
      </c>
      <c r="G153" s="442">
        <v>0.92200000000000004</v>
      </c>
      <c r="H153" s="387">
        <v>0</v>
      </c>
      <c r="I153" s="387"/>
      <c r="J153" s="442"/>
      <c r="K153" s="387"/>
      <c r="L153" s="461"/>
      <c r="M153" s="443"/>
      <c r="N153" s="459">
        <v>0</v>
      </c>
      <c r="O153" s="461">
        <v>125.27</v>
      </c>
      <c r="P153" s="435"/>
      <c r="Q153" s="411">
        <v>0.5</v>
      </c>
      <c r="R153" s="411">
        <v>0.4</v>
      </c>
      <c r="S153" s="411">
        <v>0.25</v>
      </c>
      <c r="T153" s="411">
        <v>0</v>
      </c>
      <c r="U153" s="411">
        <v>0</v>
      </c>
      <c r="V153" s="437">
        <v>0.32250000000000001</v>
      </c>
      <c r="W153" s="455">
        <v>40.399574999999999</v>
      </c>
      <c r="X153" s="458"/>
      <c r="Y153" s="554"/>
      <c r="Z153" s="482"/>
      <c r="AA153" s="483"/>
    </row>
    <row r="154" spans="1:27" x14ac:dyDescent="0.25">
      <c r="A154" s="430" t="s">
        <v>4957</v>
      </c>
      <c r="B154" s="444" t="s">
        <v>1368</v>
      </c>
      <c r="C154" s="387" t="s">
        <v>1115</v>
      </c>
      <c r="D154" s="444" t="s">
        <v>4872</v>
      </c>
      <c r="E154" s="407" t="s">
        <v>3201</v>
      </c>
      <c r="F154" s="553" t="s">
        <v>4961</v>
      </c>
      <c r="G154" s="442"/>
      <c r="H154" s="387">
        <v>0</v>
      </c>
      <c r="I154" s="387"/>
      <c r="J154" s="442"/>
      <c r="K154" s="387"/>
      <c r="L154" s="443"/>
      <c r="M154" s="443"/>
      <c r="N154" s="459">
        <v>0</v>
      </c>
      <c r="O154" s="461">
        <v>1400</v>
      </c>
      <c r="P154" s="435"/>
      <c r="Q154" s="411">
        <v>1</v>
      </c>
      <c r="R154" s="411">
        <v>1</v>
      </c>
      <c r="S154" s="411">
        <v>1</v>
      </c>
      <c r="T154" s="411">
        <v>0</v>
      </c>
      <c r="U154" s="411">
        <v>0</v>
      </c>
      <c r="V154" s="437">
        <v>0.95</v>
      </c>
      <c r="W154" s="455">
        <v>1330</v>
      </c>
      <c r="X154" s="458">
        <v>0</v>
      </c>
      <c r="Y154" s="554"/>
      <c r="Z154" s="482"/>
      <c r="AA154" s="483"/>
    </row>
    <row r="155" spans="1:27" x14ac:dyDescent="0.25">
      <c r="A155" s="430" t="s">
        <v>4968</v>
      </c>
      <c r="B155" s="444" t="s">
        <v>1368</v>
      </c>
      <c r="C155" s="387" t="s">
        <v>1115</v>
      </c>
      <c r="D155" s="444" t="s">
        <v>4872</v>
      </c>
      <c r="E155" s="407" t="s">
        <v>3201</v>
      </c>
      <c r="F155" s="553" t="s">
        <v>4964</v>
      </c>
      <c r="G155" s="442"/>
      <c r="H155" s="387">
        <v>0</v>
      </c>
      <c r="I155" s="387"/>
      <c r="J155" s="471"/>
      <c r="K155" s="387"/>
      <c r="L155" s="443"/>
      <c r="M155" s="443"/>
      <c r="N155" s="459">
        <v>0</v>
      </c>
      <c r="O155" s="443">
        <v>1400</v>
      </c>
      <c r="P155" s="435"/>
      <c r="Q155" s="411">
        <v>1</v>
      </c>
      <c r="R155" s="411">
        <v>1</v>
      </c>
      <c r="S155" s="411">
        <v>1</v>
      </c>
      <c r="T155" s="411">
        <v>0</v>
      </c>
      <c r="U155" s="411">
        <v>0</v>
      </c>
      <c r="V155" s="437">
        <v>0.95</v>
      </c>
      <c r="W155" s="455">
        <v>1330</v>
      </c>
      <c r="X155" s="458">
        <v>0</v>
      </c>
    </row>
    <row r="156" spans="1:27" x14ac:dyDescent="0.25">
      <c r="A156" s="1" t="s">
        <v>1573</v>
      </c>
      <c r="B156" s="387" t="s">
        <v>1368</v>
      </c>
      <c r="C156" s="387" t="s">
        <v>1115</v>
      </c>
      <c r="D156" s="387" t="s">
        <v>3715</v>
      </c>
      <c r="E156" s="387" t="s">
        <v>3201</v>
      </c>
      <c r="F156" s="407" t="s">
        <v>3743</v>
      </c>
      <c r="G156" s="442"/>
      <c r="H156" s="387">
        <v>0</v>
      </c>
      <c r="I156" s="387">
        <v>0</v>
      </c>
      <c r="J156" s="442"/>
      <c r="K156" s="387"/>
      <c r="L156" s="443">
        <v>300</v>
      </c>
      <c r="M156" s="443"/>
      <c r="N156" s="459">
        <v>0</v>
      </c>
      <c r="O156" s="461">
        <v>300</v>
      </c>
      <c r="P156" s="435"/>
      <c r="Q156" s="436">
        <v>1</v>
      </c>
      <c r="R156" s="436">
        <v>1</v>
      </c>
      <c r="S156" s="436">
        <v>1</v>
      </c>
      <c r="T156" s="436">
        <v>0</v>
      </c>
      <c r="U156" s="436">
        <v>0</v>
      </c>
      <c r="V156" s="437">
        <v>0.95</v>
      </c>
      <c r="W156" s="455">
        <v>285</v>
      </c>
      <c r="X156" s="455">
        <v>204</v>
      </c>
      <c r="Y156" s="466"/>
      <c r="Z156" s="438"/>
      <c r="AA156" s="439"/>
    </row>
    <row r="157" spans="1:27" x14ac:dyDescent="0.25">
      <c r="A157" s="1" t="s">
        <v>1574</v>
      </c>
      <c r="B157" s="387" t="s">
        <v>1368</v>
      </c>
      <c r="C157" s="387" t="s">
        <v>1115</v>
      </c>
      <c r="D157" s="387" t="s">
        <v>3716</v>
      </c>
      <c r="E157" s="387" t="s">
        <v>3201</v>
      </c>
      <c r="F157" s="407" t="s">
        <v>3736</v>
      </c>
      <c r="G157" s="442"/>
      <c r="H157" s="387">
        <v>0</v>
      </c>
      <c r="I157" s="387">
        <v>0</v>
      </c>
      <c r="J157" s="442"/>
      <c r="K157" s="387"/>
      <c r="L157" s="443">
        <v>300</v>
      </c>
      <c r="M157" s="443"/>
      <c r="N157" s="459">
        <v>0</v>
      </c>
      <c r="O157" s="461">
        <v>300</v>
      </c>
      <c r="P157" s="435"/>
      <c r="Q157" s="436">
        <v>1</v>
      </c>
      <c r="R157" s="436">
        <v>1</v>
      </c>
      <c r="S157" s="436">
        <v>1</v>
      </c>
      <c r="T157" s="436">
        <v>0</v>
      </c>
      <c r="U157" s="436">
        <v>0</v>
      </c>
      <c r="V157" s="437">
        <v>0.95</v>
      </c>
      <c r="W157" s="455">
        <v>285</v>
      </c>
      <c r="X157" s="455">
        <v>264</v>
      </c>
      <c r="Y157" s="466"/>
      <c r="Z157" s="438"/>
      <c r="AA157" s="439"/>
    </row>
    <row r="158" spans="1:27" x14ac:dyDescent="0.25">
      <c r="A158" s="1" t="s">
        <v>1773</v>
      </c>
      <c r="B158" s="387" t="s">
        <v>1368</v>
      </c>
      <c r="C158" s="387" t="s">
        <v>1115</v>
      </c>
      <c r="D158" s="387" t="s">
        <v>3712</v>
      </c>
      <c r="E158" s="387" t="s">
        <v>3201</v>
      </c>
      <c r="F158" s="407" t="s">
        <v>3735</v>
      </c>
      <c r="G158" s="442"/>
      <c r="H158" s="387">
        <v>0</v>
      </c>
      <c r="I158" s="387">
        <v>0</v>
      </c>
      <c r="J158" s="442"/>
      <c r="K158" s="387"/>
      <c r="L158" s="443">
        <v>600</v>
      </c>
      <c r="M158" s="443"/>
      <c r="N158" s="459">
        <v>0</v>
      </c>
      <c r="O158" s="461">
        <v>600</v>
      </c>
      <c r="P158" s="435"/>
      <c r="Q158" s="436">
        <v>1</v>
      </c>
      <c r="R158" s="436">
        <v>1</v>
      </c>
      <c r="S158" s="436">
        <v>0.5</v>
      </c>
      <c r="T158" s="436">
        <v>0</v>
      </c>
      <c r="U158" s="436">
        <v>0</v>
      </c>
      <c r="V158" s="437">
        <v>0.72499999999999998</v>
      </c>
      <c r="W158" s="455">
        <v>435</v>
      </c>
      <c r="X158" s="458">
        <v>292.625</v>
      </c>
      <c r="Y158" s="466"/>
      <c r="Z158" s="482"/>
      <c r="AA158" s="483"/>
    </row>
    <row r="159" spans="1:27" x14ac:dyDescent="0.25">
      <c r="A159" s="1" t="s">
        <v>1775</v>
      </c>
      <c r="B159" s="387" t="s">
        <v>1368</v>
      </c>
      <c r="C159" s="387" t="s">
        <v>1115</v>
      </c>
      <c r="D159" s="387" t="s">
        <v>3713</v>
      </c>
      <c r="E159" s="387" t="s">
        <v>3201</v>
      </c>
      <c r="F159" s="407" t="s">
        <v>3737</v>
      </c>
      <c r="G159" s="442"/>
      <c r="H159" s="387">
        <v>0</v>
      </c>
      <c r="I159" s="387">
        <v>0</v>
      </c>
      <c r="J159" s="442"/>
      <c r="K159" s="387"/>
      <c r="L159" s="443">
        <v>800</v>
      </c>
      <c r="M159" s="443"/>
      <c r="N159" s="459">
        <v>0</v>
      </c>
      <c r="O159" s="461">
        <v>400</v>
      </c>
      <c r="P159" s="435"/>
      <c r="Q159" s="436">
        <v>1</v>
      </c>
      <c r="R159" s="436">
        <v>1</v>
      </c>
      <c r="S159" s="436">
        <v>1</v>
      </c>
      <c r="T159" s="436">
        <v>0</v>
      </c>
      <c r="U159" s="436">
        <v>0</v>
      </c>
      <c r="V159" s="437">
        <v>0.95</v>
      </c>
      <c r="W159" s="455">
        <v>380</v>
      </c>
      <c r="X159" s="458">
        <v>175.25</v>
      </c>
      <c r="Y159" s="466"/>
      <c r="Z159" s="482"/>
      <c r="AA159" s="483"/>
    </row>
    <row r="160" spans="1:27" x14ac:dyDescent="0.25">
      <c r="A160" s="1" t="s">
        <v>3148</v>
      </c>
      <c r="B160" s="387" t="s">
        <v>1368</v>
      </c>
      <c r="C160" s="387" t="s">
        <v>1115</v>
      </c>
      <c r="D160" s="387" t="s">
        <v>3714</v>
      </c>
      <c r="E160" s="387" t="s">
        <v>3201</v>
      </c>
      <c r="F160" s="407" t="s">
        <v>3738</v>
      </c>
      <c r="G160" s="442"/>
      <c r="H160" s="387">
        <v>0</v>
      </c>
      <c r="I160" s="387">
        <v>0</v>
      </c>
      <c r="J160" s="442"/>
      <c r="K160" s="387"/>
      <c r="L160" s="443">
        <v>300</v>
      </c>
      <c r="M160" s="443"/>
      <c r="N160" s="459">
        <v>0</v>
      </c>
      <c r="O160" s="461">
        <v>300</v>
      </c>
      <c r="P160" s="435"/>
      <c r="Q160" s="436">
        <v>1</v>
      </c>
      <c r="R160" s="436">
        <v>0.95</v>
      </c>
      <c r="S160" s="436">
        <v>0.93</v>
      </c>
      <c r="T160" s="436">
        <v>0</v>
      </c>
      <c r="U160" s="436">
        <v>0</v>
      </c>
      <c r="V160" s="437">
        <v>0.89850000000000008</v>
      </c>
      <c r="W160" s="455">
        <v>269.55</v>
      </c>
      <c r="X160" s="458">
        <v>0</v>
      </c>
      <c r="Y160" s="466"/>
      <c r="Z160" s="482"/>
      <c r="AA160" s="483"/>
    </row>
    <row r="161" spans="1:27" x14ac:dyDescent="0.25">
      <c r="A161" s="1" t="s">
        <v>3149</v>
      </c>
      <c r="B161" s="387" t="s">
        <v>1368</v>
      </c>
      <c r="C161" s="387" t="s">
        <v>1115</v>
      </c>
      <c r="D161" s="387" t="s">
        <v>3717</v>
      </c>
      <c r="E161" s="387" t="s">
        <v>3201</v>
      </c>
      <c r="F161" s="407" t="s">
        <v>3739</v>
      </c>
      <c r="G161" s="442"/>
      <c r="H161" s="387">
        <v>0</v>
      </c>
      <c r="I161" s="387">
        <v>0</v>
      </c>
      <c r="J161" s="442"/>
      <c r="K161" s="387"/>
      <c r="L161" s="443"/>
      <c r="M161" s="443"/>
      <c r="N161" s="459">
        <v>0</v>
      </c>
      <c r="O161" s="461">
        <v>300</v>
      </c>
      <c r="P161" s="435"/>
      <c r="Q161" s="436">
        <v>1</v>
      </c>
      <c r="R161" s="436">
        <v>0.75</v>
      </c>
      <c r="S161" s="436">
        <v>0.5</v>
      </c>
      <c r="T161" s="436">
        <v>0</v>
      </c>
      <c r="U161" s="436">
        <v>0</v>
      </c>
      <c r="V161" s="437">
        <v>0.625</v>
      </c>
      <c r="W161" s="455">
        <v>187.5</v>
      </c>
      <c r="X161" s="458">
        <v>0</v>
      </c>
      <c r="Y161" s="466"/>
      <c r="Z161" s="482"/>
      <c r="AA161" s="483"/>
    </row>
    <row r="162" spans="1:27" x14ac:dyDescent="0.25">
      <c r="A162" s="1" t="s">
        <v>3150</v>
      </c>
      <c r="B162" s="387" t="s">
        <v>1368</v>
      </c>
      <c r="C162" s="387" t="s">
        <v>1115</v>
      </c>
      <c r="D162" s="387" t="s">
        <v>3718</v>
      </c>
      <c r="E162" s="387" t="s">
        <v>3201</v>
      </c>
      <c r="F162" s="407" t="s">
        <v>3740</v>
      </c>
      <c r="G162" s="442"/>
      <c r="H162" s="387">
        <v>0</v>
      </c>
      <c r="I162" s="387">
        <v>0</v>
      </c>
      <c r="J162" s="442"/>
      <c r="K162" s="387"/>
      <c r="L162" s="443"/>
      <c r="M162" s="443"/>
      <c r="N162" s="459">
        <v>0</v>
      </c>
      <c r="O162" s="461">
        <v>0</v>
      </c>
      <c r="P162" s="435"/>
      <c r="Q162" s="436">
        <v>0</v>
      </c>
      <c r="R162" s="436">
        <v>0</v>
      </c>
      <c r="S162" s="436">
        <v>0</v>
      </c>
      <c r="T162" s="436">
        <v>0</v>
      </c>
      <c r="U162" s="436">
        <v>0</v>
      </c>
      <c r="V162" s="437">
        <v>0</v>
      </c>
      <c r="W162" s="455">
        <v>0</v>
      </c>
      <c r="X162" s="458">
        <v>0</v>
      </c>
      <c r="Y162" s="466"/>
      <c r="Z162" s="482"/>
      <c r="AA162" s="483"/>
    </row>
    <row r="163" spans="1:27" x14ac:dyDescent="0.25">
      <c r="A163" s="1" t="s">
        <v>3151</v>
      </c>
      <c r="B163" s="387" t="s">
        <v>1368</v>
      </c>
      <c r="C163" s="387" t="s">
        <v>1115</v>
      </c>
      <c r="D163" s="387" t="s">
        <v>3719</v>
      </c>
      <c r="E163" s="407" t="s">
        <v>3201</v>
      </c>
      <c r="F163" s="407" t="s">
        <v>3741</v>
      </c>
      <c r="G163" s="442"/>
      <c r="H163" s="387">
        <v>0</v>
      </c>
      <c r="I163" s="387">
        <v>0</v>
      </c>
      <c r="J163" s="442"/>
      <c r="K163" s="387"/>
      <c r="L163" s="443"/>
      <c r="M163" s="443"/>
      <c r="N163" s="459">
        <v>0</v>
      </c>
      <c r="O163" s="461">
        <v>0</v>
      </c>
      <c r="P163" s="435"/>
      <c r="Q163" s="436">
        <v>0</v>
      </c>
      <c r="R163" s="436">
        <v>0</v>
      </c>
      <c r="S163" s="436">
        <v>0</v>
      </c>
      <c r="T163" s="436">
        <v>0</v>
      </c>
      <c r="U163" s="436">
        <v>0</v>
      </c>
      <c r="V163" s="437">
        <v>0</v>
      </c>
      <c r="W163" s="455">
        <v>0</v>
      </c>
      <c r="X163" s="458">
        <v>0</v>
      </c>
      <c r="Y163" s="466"/>
      <c r="Z163" s="482"/>
      <c r="AA163" s="483"/>
    </row>
    <row r="164" spans="1:27" x14ac:dyDescent="0.25">
      <c r="A164" s="1" t="s">
        <v>3152</v>
      </c>
      <c r="B164" s="387" t="s">
        <v>1368</v>
      </c>
      <c r="C164" s="387" t="s">
        <v>1115</v>
      </c>
      <c r="D164" s="387" t="s">
        <v>3720</v>
      </c>
      <c r="E164" s="407" t="s">
        <v>3201</v>
      </c>
      <c r="F164" s="407" t="s">
        <v>3742</v>
      </c>
      <c r="G164" s="442"/>
      <c r="H164" s="387">
        <v>0</v>
      </c>
      <c r="I164" s="387">
        <v>0</v>
      </c>
      <c r="J164" s="442"/>
      <c r="K164" s="387"/>
      <c r="L164" s="443"/>
      <c r="M164" s="443"/>
      <c r="N164" s="459">
        <v>0</v>
      </c>
      <c r="O164" s="461">
        <v>300</v>
      </c>
      <c r="P164" s="435"/>
      <c r="Q164" s="436">
        <v>1</v>
      </c>
      <c r="R164" s="436">
        <v>1</v>
      </c>
      <c r="S164" s="436">
        <v>0.95</v>
      </c>
      <c r="T164" s="436">
        <v>0</v>
      </c>
      <c r="U164" s="436">
        <v>0</v>
      </c>
      <c r="V164" s="437">
        <v>0.92749999999999999</v>
      </c>
      <c r="W164" s="455">
        <v>278.25</v>
      </c>
      <c r="X164" s="458">
        <v>0</v>
      </c>
      <c r="Y164" s="466"/>
      <c r="Z164" s="482"/>
      <c r="AA164" s="483"/>
    </row>
  </sheetData>
  <autoFilter ref="A1:O164" xr:uid="{96CBB664-49A4-4574-B220-F711CEA1125F}"/>
  <mergeCells count="1">
    <mergeCell ref="Q1:U1"/>
  </mergeCells>
  <conditionalFormatting sqref="A129">
    <cfRule type="duplicateValues" dxfId="91" priority="2"/>
    <cfRule type="duplicateValues" dxfId="90" priority="3"/>
    <cfRule type="duplicateValues" dxfId="89" priority="4"/>
  </conditionalFormatting>
  <conditionalFormatting sqref="A133:A134">
    <cfRule type="duplicateValues" dxfId="88" priority="8"/>
  </conditionalFormatting>
  <conditionalFormatting sqref="A136">
    <cfRule type="duplicateValues" dxfId="87" priority="7"/>
  </conditionalFormatting>
  <conditionalFormatting sqref="A139">
    <cfRule type="duplicateValues" dxfId="86" priority="6"/>
  </conditionalFormatting>
  <conditionalFormatting sqref="A140:A144">
    <cfRule type="duplicateValues" dxfId="85" priority="5"/>
  </conditionalFormatting>
  <conditionalFormatting sqref="A154">
    <cfRule type="duplicateValues" dxfId="84" priority="9"/>
    <cfRule type="duplicateValues" dxfId="83" priority="10"/>
    <cfRule type="duplicateValues" dxfId="82" priority="11"/>
  </conditionalFormatting>
  <conditionalFormatting sqref="A135 A137:A138 A145:A153 A130:A132 A155:A164 A2:A128">
    <cfRule type="duplicateValues" dxfId="81" priority="1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E751-2C36-4A17-A0B9-4455D7E4EC44}">
  <dimension ref="A1:AA190"/>
  <sheetViews>
    <sheetView workbookViewId="0">
      <selection activeCell="Z4" sqref="Z4"/>
    </sheetView>
  </sheetViews>
  <sheetFormatPr defaultRowHeight="15" x14ac:dyDescent="0.25"/>
  <cols>
    <col min="1" max="1" width="14" bestFit="1" customWidth="1"/>
    <col min="2" max="2" width="4.5703125" bestFit="1" customWidth="1"/>
    <col min="3" max="3" width="7.85546875" bestFit="1" customWidth="1"/>
    <col min="4" max="4" width="13.5703125" bestFit="1" customWidth="1"/>
    <col min="5" max="5" width="8.140625" bestFit="1" customWidth="1"/>
    <col min="6" max="6" width="30.42578125" bestFit="1" customWidth="1"/>
    <col min="7" max="7" width="8.42578125" bestFit="1" customWidth="1"/>
    <col min="8" max="8" width="8.5703125" bestFit="1" customWidth="1"/>
    <col min="9" max="9" width="8.7109375" bestFit="1" customWidth="1"/>
    <col min="10" max="10" width="7.42578125" bestFit="1" customWidth="1"/>
    <col min="11" max="11" width="5" bestFit="1" customWidth="1"/>
    <col min="12" max="12" width="11.28515625" bestFit="1" customWidth="1"/>
    <col min="13" max="13" width="8.42578125" bestFit="1" customWidth="1"/>
    <col min="14" max="14" width="8.5703125" bestFit="1" customWidth="1"/>
    <col min="15" max="15" width="11.28515625" bestFit="1" customWidth="1"/>
    <col min="17" max="17" width="5.7109375" bestFit="1" customWidth="1"/>
    <col min="18" max="18" width="6.42578125" bestFit="1" customWidth="1"/>
    <col min="19" max="19" width="4.28515625" bestFit="1" customWidth="1"/>
    <col min="20" max="20" width="5.28515625" bestFit="1" customWidth="1"/>
    <col min="21" max="21" width="3.5703125" bestFit="1" customWidth="1"/>
    <col min="22" max="22" width="9" bestFit="1" customWidth="1"/>
    <col min="23" max="24" width="11.28515625" bestFit="1" customWidth="1"/>
    <col min="27" max="27" width="8.5703125" bestFit="1" customWidth="1"/>
  </cols>
  <sheetData>
    <row r="1" spans="1:27" ht="52.5" thickBot="1" x14ac:dyDescent="0.3">
      <c r="A1" s="351" t="s">
        <v>6</v>
      </c>
      <c r="B1" s="352" t="s">
        <v>7</v>
      </c>
      <c r="C1" s="352" t="s">
        <v>18</v>
      </c>
      <c r="D1" s="352"/>
      <c r="E1" s="352"/>
      <c r="F1" s="352" t="s">
        <v>8</v>
      </c>
      <c r="G1" s="353" t="s">
        <v>548</v>
      </c>
      <c r="H1" s="353" t="s">
        <v>0</v>
      </c>
      <c r="I1" s="352" t="s">
        <v>549</v>
      </c>
      <c r="J1" s="352" t="s">
        <v>553</v>
      </c>
      <c r="K1" s="352" t="s">
        <v>550</v>
      </c>
      <c r="L1" s="353" t="s">
        <v>552</v>
      </c>
      <c r="M1" s="538" t="s">
        <v>1469</v>
      </c>
      <c r="N1" s="353" t="s">
        <v>0</v>
      </c>
      <c r="O1" s="353" t="s">
        <v>551</v>
      </c>
      <c r="P1" s="535"/>
      <c r="Q1" s="609" t="s">
        <v>1364</v>
      </c>
      <c r="R1" s="607"/>
      <c r="S1" s="607"/>
      <c r="T1" s="607"/>
      <c r="U1" s="610"/>
      <c r="V1" s="353" t="s">
        <v>1</v>
      </c>
      <c r="W1" s="353" t="s">
        <v>2</v>
      </c>
      <c r="X1" s="353" t="s">
        <v>1365</v>
      </c>
      <c r="Y1" s="490"/>
      <c r="Z1" s="490"/>
      <c r="AA1" s="353" t="s">
        <v>5</v>
      </c>
    </row>
    <row r="2" spans="1:27" ht="26.25" x14ac:dyDescent="0.25">
      <c r="A2" s="393" t="s">
        <v>6</v>
      </c>
      <c r="B2" s="394" t="s">
        <v>7</v>
      </c>
      <c r="C2" s="394" t="s">
        <v>18</v>
      </c>
      <c r="D2" s="394" t="s">
        <v>1354</v>
      </c>
      <c r="E2" s="537" t="s">
        <v>3199</v>
      </c>
      <c r="F2" s="394" t="s">
        <v>3147</v>
      </c>
      <c r="G2" s="446"/>
      <c r="H2" s="447"/>
      <c r="I2" s="447"/>
      <c r="J2" s="476"/>
      <c r="K2" s="447"/>
      <c r="L2" s="447"/>
      <c r="M2" s="447"/>
      <c r="N2" s="448"/>
      <c r="O2" s="448"/>
      <c r="P2" s="449"/>
      <c r="Q2" s="450" t="s">
        <v>103</v>
      </c>
      <c r="R2" s="450" t="s">
        <v>338</v>
      </c>
      <c r="S2" s="450"/>
      <c r="T2" s="450" t="s">
        <v>4754</v>
      </c>
      <c r="U2" s="450"/>
      <c r="V2" s="451"/>
      <c r="W2" s="446"/>
      <c r="X2" s="446"/>
      <c r="Y2" s="452"/>
      <c r="Z2" s="453"/>
      <c r="AA2" s="454"/>
    </row>
    <row r="3" spans="1:27" x14ac:dyDescent="0.25">
      <c r="A3" s="539"/>
      <c r="B3" s="540"/>
      <c r="C3" s="540"/>
      <c r="D3" s="541"/>
      <c r="E3" s="541"/>
      <c r="F3" s="365" t="s">
        <v>1352</v>
      </c>
      <c r="G3" s="693">
        <v>184</v>
      </c>
      <c r="H3" s="693">
        <v>0</v>
      </c>
      <c r="I3" s="693">
        <v>179</v>
      </c>
      <c r="J3" s="693">
        <v>24.560000000000002</v>
      </c>
      <c r="K3" s="693"/>
      <c r="L3" s="693">
        <v>17741.850000000049</v>
      </c>
      <c r="M3" s="693">
        <v>247</v>
      </c>
      <c r="N3" s="694">
        <v>0</v>
      </c>
      <c r="O3" s="694">
        <v>18180.740000000053</v>
      </c>
      <c r="P3" s="693"/>
      <c r="Q3" s="544">
        <v>0.05</v>
      </c>
      <c r="R3" s="544">
        <v>0.85</v>
      </c>
      <c r="S3" s="544">
        <v>0</v>
      </c>
      <c r="T3" s="544">
        <v>0.1</v>
      </c>
      <c r="U3" s="544">
        <v>0</v>
      </c>
      <c r="V3" s="540"/>
      <c r="W3" s="694">
        <v>13731.783200000009</v>
      </c>
      <c r="X3" s="694">
        <v>11506.75</v>
      </c>
      <c r="Y3" s="540"/>
      <c r="Z3" s="540"/>
      <c r="AA3" s="545"/>
    </row>
    <row r="4" spans="1:27" x14ac:dyDescent="0.25">
      <c r="A4" s="387" t="s">
        <v>1422</v>
      </c>
      <c r="B4" s="387" t="s">
        <v>1368</v>
      </c>
      <c r="C4" s="3" t="s">
        <v>1224</v>
      </c>
      <c r="D4" s="441" t="s">
        <v>3204</v>
      </c>
      <c r="E4" s="407" t="s">
        <v>3201</v>
      </c>
      <c r="F4" s="387" t="s">
        <v>4113</v>
      </c>
      <c r="G4" s="442">
        <v>1</v>
      </c>
      <c r="H4" s="387">
        <v>0</v>
      </c>
      <c r="I4" s="387">
        <v>1</v>
      </c>
      <c r="J4" s="387">
        <v>1</v>
      </c>
      <c r="K4" s="387" t="s">
        <v>1358</v>
      </c>
      <c r="L4" s="387">
        <v>64.27</v>
      </c>
      <c r="M4" s="387">
        <v>237</v>
      </c>
      <c r="N4" s="2">
        <v>0</v>
      </c>
      <c r="O4" s="459">
        <v>301.27</v>
      </c>
      <c r="P4" s="435"/>
      <c r="Q4" s="436">
        <v>1</v>
      </c>
      <c r="R4" s="436">
        <v>1</v>
      </c>
      <c r="S4" s="436">
        <v>0</v>
      </c>
      <c r="T4" s="411">
        <v>1</v>
      </c>
      <c r="U4" s="436">
        <v>0</v>
      </c>
      <c r="V4" s="437">
        <v>1</v>
      </c>
      <c r="W4" s="455">
        <v>301.27</v>
      </c>
      <c r="X4" s="455">
        <v>301</v>
      </c>
      <c r="Y4" s="434"/>
      <c r="Z4" s="438"/>
      <c r="AA4" s="439"/>
    </row>
    <row r="5" spans="1:27" x14ac:dyDescent="0.25">
      <c r="A5" s="387" t="s">
        <v>3153</v>
      </c>
      <c r="B5" s="387" t="s">
        <v>1368</v>
      </c>
      <c r="C5" s="3" t="s">
        <v>1225</v>
      </c>
      <c r="D5" s="441" t="s">
        <v>3205</v>
      </c>
      <c r="E5" s="407" t="s">
        <v>3201</v>
      </c>
      <c r="F5" s="413" t="s">
        <v>3630</v>
      </c>
      <c r="G5" s="442">
        <v>1</v>
      </c>
      <c r="H5" s="387">
        <v>0</v>
      </c>
      <c r="I5" s="387">
        <v>1</v>
      </c>
      <c r="J5" s="387">
        <v>1</v>
      </c>
      <c r="K5" s="387" t="s">
        <v>1358</v>
      </c>
      <c r="L5" s="387">
        <v>193</v>
      </c>
      <c r="M5" s="387"/>
      <c r="N5" s="2"/>
      <c r="O5" s="459">
        <v>192.81</v>
      </c>
      <c r="P5" s="435"/>
      <c r="Q5" s="436">
        <v>1</v>
      </c>
      <c r="R5" s="436">
        <v>1</v>
      </c>
      <c r="S5" s="436">
        <v>0</v>
      </c>
      <c r="T5" s="411">
        <v>1</v>
      </c>
      <c r="U5" s="436">
        <v>0</v>
      </c>
      <c r="V5" s="437">
        <v>1</v>
      </c>
      <c r="W5" s="455">
        <v>192.81</v>
      </c>
      <c r="X5" s="455">
        <v>0</v>
      </c>
      <c r="Y5" s="434"/>
      <c r="Z5" s="438"/>
      <c r="AA5" s="439"/>
    </row>
    <row r="6" spans="1:27" x14ac:dyDescent="0.25">
      <c r="A6" s="387" t="s">
        <v>1470</v>
      </c>
      <c r="B6" s="387" t="s">
        <v>1368</v>
      </c>
      <c r="C6" s="3" t="s">
        <v>1224</v>
      </c>
      <c r="D6" s="441" t="s">
        <v>3206</v>
      </c>
      <c r="E6" s="407" t="s">
        <v>3201</v>
      </c>
      <c r="F6" s="413" t="s">
        <v>4114</v>
      </c>
      <c r="G6" s="442">
        <v>1</v>
      </c>
      <c r="H6" s="387">
        <v>0</v>
      </c>
      <c r="I6" s="387">
        <v>1</v>
      </c>
      <c r="J6" s="387">
        <v>0</v>
      </c>
      <c r="K6" s="387" t="s">
        <v>1358</v>
      </c>
      <c r="L6" s="387">
        <v>64.27</v>
      </c>
      <c r="M6" s="387"/>
      <c r="N6" s="2">
        <v>0</v>
      </c>
      <c r="O6" s="459">
        <v>64.27</v>
      </c>
      <c r="P6" s="435"/>
      <c r="Q6" s="436">
        <v>1</v>
      </c>
      <c r="R6" s="436">
        <v>1</v>
      </c>
      <c r="S6" s="436">
        <v>0</v>
      </c>
      <c r="T6" s="411">
        <v>1</v>
      </c>
      <c r="U6" s="436">
        <v>0</v>
      </c>
      <c r="V6" s="437">
        <v>0.99999999999999978</v>
      </c>
      <c r="W6" s="455">
        <v>64.269999999999982</v>
      </c>
      <c r="X6" s="455">
        <v>0</v>
      </c>
      <c r="Y6" s="434"/>
      <c r="Z6" s="438"/>
      <c r="AA6" s="439"/>
    </row>
    <row r="7" spans="1:27" x14ac:dyDescent="0.25">
      <c r="A7" s="387" t="s">
        <v>1423</v>
      </c>
      <c r="B7" s="387" t="s">
        <v>1368</v>
      </c>
      <c r="C7" s="3" t="s">
        <v>1224</v>
      </c>
      <c r="D7" s="441" t="s">
        <v>3207</v>
      </c>
      <c r="E7" s="407" t="s">
        <v>3201</v>
      </c>
      <c r="F7" s="413" t="s">
        <v>4115</v>
      </c>
      <c r="G7" s="442">
        <v>1</v>
      </c>
      <c r="H7" s="387">
        <v>0</v>
      </c>
      <c r="I7" s="387">
        <v>1</v>
      </c>
      <c r="J7" s="387">
        <v>0.99999999999999978</v>
      </c>
      <c r="K7" s="387" t="s">
        <v>1358</v>
      </c>
      <c r="L7" s="387">
        <v>64.27</v>
      </c>
      <c r="M7" s="387"/>
      <c r="N7" s="2">
        <v>0</v>
      </c>
      <c r="O7" s="459">
        <v>64.27</v>
      </c>
      <c r="P7" s="435"/>
      <c r="Q7" s="436">
        <v>1</v>
      </c>
      <c r="R7" s="436">
        <v>1</v>
      </c>
      <c r="S7" s="436">
        <v>0</v>
      </c>
      <c r="T7" s="411">
        <v>1</v>
      </c>
      <c r="U7" s="436">
        <v>0</v>
      </c>
      <c r="V7" s="437">
        <v>0.99999999999999978</v>
      </c>
      <c r="W7" s="455">
        <v>64.269999999999982</v>
      </c>
      <c r="X7" s="455">
        <v>0</v>
      </c>
      <c r="Y7" s="434"/>
      <c r="Z7" s="438"/>
      <c r="AA7" s="439"/>
    </row>
    <row r="8" spans="1:27" x14ac:dyDescent="0.25">
      <c r="A8" s="387" t="s">
        <v>1424</v>
      </c>
      <c r="B8" s="387" t="s">
        <v>1368</v>
      </c>
      <c r="C8" s="3" t="s">
        <v>1224</v>
      </c>
      <c r="D8" s="441" t="s">
        <v>3208</v>
      </c>
      <c r="E8" s="407" t="s">
        <v>3201</v>
      </c>
      <c r="F8" s="413" t="s">
        <v>4116</v>
      </c>
      <c r="G8" s="442">
        <v>1</v>
      </c>
      <c r="H8" s="387">
        <v>0</v>
      </c>
      <c r="I8" s="387">
        <v>1</v>
      </c>
      <c r="J8" s="387">
        <v>0.99999999999999978</v>
      </c>
      <c r="K8" s="387" t="s">
        <v>1358</v>
      </c>
      <c r="L8" s="387">
        <v>64.27</v>
      </c>
      <c r="M8" s="387"/>
      <c r="N8" s="2">
        <v>0</v>
      </c>
      <c r="O8" s="459">
        <v>64.27</v>
      </c>
      <c r="P8" s="435"/>
      <c r="Q8" s="436">
        <v>1</v>
      </c>
      <c r="R8" s="436">
        <v>1</v>
      </c>
      <c r="S8" s="436">
        <v>0</v>
      </c>
      <c r="T8" s="411">
        <v>1</v>
      </c>
      <c r="U8" s="436">
        <v>0</v>
      </c>
      <c r="V8" s="437">
        <v>0.99999999999999978</v>
      </c>
      <c r="W8" s="455">
        <v>64.269999999999982</v>
      </c>
      <c r="X8" s="455">
        <v>0</v>
      </c>
      <c r="Y8" s="434"/>
      <c r="Z8" s="438"/>
      <c r="AA8" s="439"/>
    </row>
    <row r="9" spans="1:27" x14ac:dyDescent="0.25">
      <c r="A9" s="387" t="s">
        <v>1436</v>
      </c>
      <c r="B9" s="387" t="s">
        <v>1368</v>
      </c>
      <c r="C9" s="3" t="s">
        <v>1224</v>
      </c>
      <c r="D9" s="441" t="s">
        <v>3209</v>
      </c>
      <c r="E9" s="407" t="s">
        <v>3201</v>
      </c>
      <c r="F9" s="413" t="s">
        <v>4117</v>
      </c>
      <c r="G9" s="442">
        <v>1</v>
      </c>
      <c r="H9" s="387">
        <v>0</v>
      </c>
      <c r="I9" s="387">
        <v>1</v>
      </c>
      <c r="J9" s="387">
        <v>0.99999999999999978</v>
      </c>
      <c r="K9" s="387" t="s">
        <v>1358</v>
      </c>
      <c r="L9" s="387">
        <v>64.27</v>
      </c>
      <c r="M9" s="387"/>
      <c r="N9" s="2">
        <v>0</v>
      </c>
      <c r="O9" s="459">
        <v>64.27</v>
      </c>
      <c r="P9" s="435"/>
      <c r="Q9" s="436">
        <v>1</v>
      </c>
      <c r="R9" s="436">
        <v>1</v>
      </c>
      <c r="S9" s="436">
        <v>0</v>
      </c>
      <c r="T9" s="411">
        <v>1</v>
      </c>
      <c r="U9" s="436">
        <v>0</v>
      </c>
      <c r="V9" s="437">
        <v>0.99999999999999978</v>
      </c>
      <c r="W9" s="455">
        <v>64.269999999999982</v>
      </c>
      <c r="X9" s="455">
        <v>0</v>
      </c>
      <c r="Y9" s="434"/>
      <c r="Z9" s="438"/>
      <c r="AA9" s="439"/>
    </row>
    <row r="10" spans="1:27" x14ac:dyDescent="0.25">
      <c r="A10" s="387" t="s">
        <v>1437</v>
      </c>
      <c r="B10" s="387" t="s">
        <v>1368</v>
      </c>
      <c r="C10" s="3" t="s">
        <v>1224</v>
      </c>
      <c r="D10" s="441" t="s">
        <v>3210</v>
      </c>
      <c r="E10" s="407" t="s">
        <v>3201</v>
      </c>
      <c r="F10" s="413" t="s">
        <v>4118</v>
      </c>
      <c r="G10" s="442">
        <v>1</v>
      </c>
      <c r="H10" s="387">
        <v>0</v>
      </c>
      <c r="I10" s="387">
        <v>1</v>
      </c>
      <c r="J10" s="387">
        <v>0.99999999999999978</v>
      </c>
      <c r="K10" s="387" t="s">
        <v>1358</v>
      </c>
      <c r="L10" s="387">
        <v>64.27</v>
      </c>
      <c r="M10" s="387"/>
      <c r="N10" s="2">
        <v>0</v>
      </c>
      <c r="O10" s="459">
        <v>64.27</v>
      </c>
      <c r="P10" s="435"/>
      <c r="Q10" s="436">
        <v>1</v>
      </c>
      <c r="R10" s="436">
        <v>1</v>
      </c>
      <c r="S10" s="436">
        <v>0</v>
      </c>
      <c r="T10" s="411">
        <v>1</v>
      </c>
      <c r="U10" s="436">
        <v>0</v>
      </c>
      <c r="V10" s="437">
        <v>0.99999999999999978</v>
      </c>
      <c r="W10" s="455">
        <v>64.269999999999982</v>
      </c>
      <c r="X10" s="455">
        <v>0</v>
      </c>
      <c r="Y10" s="434"/>
      <c r="Z10" s="438"/>
      <c r="AA10" s="439"/>
    </row>
    <row r="11" spans="1:27" x14ac:dyDescent="0.25">
      <c r="A11" s="387" t="s">
        <v>1438</v>
      </c>
      <c r="B11" s="387" t="s">
        <v>1368</v>
      </c>
      <c r="C11" s="3" t="s">
        <v>1224</v>
      </c>
      <c r="D11" s="441" t="s">
        <v>3211</v>
      </c>
      <c r="E11" s="407" t="s">
        <v>3201</v>
      </c>
      <c r="F11" s="413" t="s">
        <v>4119</v>
      </c>
      <c r="G11" s="442">
        <v>1</v>
      </c>
      <c r="H11" s="387">
        <v>0</v>
      </c>
      <c r="I11" s="387">
        <v>1</v>
      </c>
      <c r="J11" s="387">
        <v>0.99999999999999978</v>
      </c>
      <c r="K11" s="387" t="s">
        <v>1358</v>
      </c>
      <c r="L11" s="387">
        <v>64.27</v>
      </c>
      <c r="M11" s="387">
        <v>10</v>
      </c>
      <c r="N11" s="2">
        <v>0</v>
      </c>
      <c r="O11" s="459">
        <v>74.27</v>
      </c>
      <c r="P11" s="435"/>
      <c r="Q11" s="436">
        <v>1</v>
      </c>
      <c r="R11" s="436">
        <v>1</v>
      </c>
      <c r="S11" s="436">
        <v>0</v>
      </c>
      <c r="T11" s="411">
        <v>1</v>
      </c>
      <c r="U11" s="436">
        <v>0</v>
      </c>
      <c r="V11" s="437">
        <v>0.99999999999999978</v>
      </c>
      <c r="W11" s="455">
        <v>74.269999999999982</v>
      </c>
      <c r="X11" s="455">
        <v>161</v>
      </c>
      <c r="Y11" s="434"/>
      <c r="Z11" s="438"/>
      <c r="AA11" s="439"/>
    </row>
    <row r="12" spans="1:27" x14ac:dyDescent="0.25">
      <c r="A12" s="387" t="s">
        <v>1439</v>
      </c>
      <c r="B12" s="387" t="s">
        <v>1368</v>
      </c>
      <c r="C12" s="3" t="s">
        <v>1224</v>
      </c>
      <c r="D12" s="441" t="s">
        <v>3212</v>
      </c>
      <c r="E12" s="407" t="s">
        <v>3201</v>
      </c>
      <c r="F12" s="413" t="s">
        <v>4120</v>
      </c>
      <c r="G12" s="442">
        <v>1</v>
      </c>
      <c r="H12" s="387">
        <v>0</v>
      </c>
      <c r="I12" s="387">
        <v>1</v>
      </c>
      <c r="J12" s="387">
        <v>0</v>
      </c>
      <c r="K12" s="387" t="s">
        <v>1358</v>
      </c>
      <c r="L12" s="387">
        <v>87</v>
      </c>
      <c r="M12" s="387"/>
      <c r="N12" s="2">
        <v>0</v>
      </c>
      <c r="O12" s="459">
        <v>87</v>
      </c>
      <c r="P12" s="435"/>
      <c r="Q12" s="436">
        <v>1</v>
      </c>
      <c r="R12" s="436">
        <v>1</v>
      </c>
      <c r="S12" s="436">
        <v>0</v>
      </c>
      <c r="T12" s="411">
        <v>1</v>
      </c>
      <c r="U12" s="436">
        <v>0</v>
      </c>
      <c r="V12" s="437">
        <v>1</v>
      </c>
      <c r="W12" s="455">
        <v>87</v>
      </c>
      <c r="X12" s="455">
        <v>87</v>
      </c>
      <c r="Y12" s="434"/>
      <c r="Z12" s="438"/>
      <c r="AA12" s="439"/>
    </row>
    <row r="13" spans="1:27" x14ac:dyDescent="0.25">
      <c r="A13" s="387" t="s">
        <v>1440</v>
      </c>
      <c r="B13" s="387" t="s">
        <v>1368</v>
      </c>
      <c r="C13" s="3" t="s">
        <v>1224</v>
      </c>
      <c r="D13" s="441" t="s">
        <v>3213</v>
      </c>
      <c r="E13" s="407" t="s">
        <v>3201</v>
      </c>
      <c r="F13" s="413" t="s">
        <v>4121</v>
      </c>
      <c r="G13" s="387">
        <v>1</v>
      </c>
      <c r="H13" s="387">
        <v>0</v>
      </c>
      <c r="I13" s="387">
        <v>1</v>
      </c>
      <c r="J13" s="387">
        <v>1</v>
      </c>
      <c r="K13" s="387" t="s">
        <v>1358</v>
      </c>
      <c r="L13" s="387">
        <v>87</v>
      </c>
      <c r="M13" s="387"/>
      <c r="N13" s="2">
        <v>0</v>
      </c>
      <c r="O13" s="459">
        <v>87</v>
      </c>
      <c r="P13" s="409"/>
      <c r="Q13" s="411">
        <v>1</v>
      </c>
      <c r="R13" s="411">
        <v>1</v>
      </c>
      <c r="S13" s="436">
        <v>0</v>
      </c>
      <c r="T13" s="411">
        <v>1</v>
      </c>
      <c r="U13" s="436">
        <v>0</v>
      </c>
      <c r="V13" s="412">
        <v>1</v>
      </c>
      <c r="W13" s="455">
        <v>87</v>
      </c>
      <c r="X13" s="456">
        <v>87</v>
      </c>
      <c r="Y13" s="2"/>
      <c r="Z13" s="4"/>
      <c r="AA13" s="5"/>
    </row>
    <row r="14" spans="1:27" x14ac:dyDescent="0.25">
      <c r="A14" s="387" t="s">
        <v>1441</v>
      </c>
      <c r="B14" s="387" t="s">
        <v>1368</v>
      </c>
      <c r="C14" s="3" t="s">
        <v>1224</v>
      </c>
      <c r="D14" s="387" t="s">
        <v>3712</v>
      </c>
      <c r="E14" s="407" t="s">
        <v>3201</v>
      </c>
      <c r="F14" s="413" t="s">
        <v>3726</v>
      </c>
      <c r="G14" s="387">
        <v>1</v>
      </c>
      <c r="H14" s="387">
        <v>0</v>
      </c>
      <c r="I14" s="387">
        <v>1</v>
      </c>
      <c r="J14" s="387">
        <v>1</v>
      </c>
      <c r="K14" s="387" t="s">
        <v>1358</v>
      </c>
      <c r="L14" s="387">
        <v>98.25</v>
      </c>
      <c r="M14" s="387"/>
      <c r="N14" s="2">
        <v>0</v>
      </c>
      <c r="O14" s="459">
        <v>98.25</v>
      </c>
      <c r="P14" s="409"/>
      <c r="Q14" s="411">
        <v>1</v>
      </c>
      <c r="R14" s="411">
        <v>1</v>
      </c>
      <c r="S14" s="436">
        <v>0</v>
      </c>
      <c r="T14" s="411">
        <v>1</v>
      </c>
      <c r="U14" s="436">
        <v>0</v>
      </c>
      <c r="V14" s="412">
        <v>1</v>
      </c>
      <c r="W14" s="455">
        <v>98.25</v>
      </c>
      <c r="X14" s="456">
        <v>98.25</v>
      </c>
      <c r="Y14" s="2"/>
      <c r="Z14" s="4"/>
      <c r="AA14" s="5"/>
    </row>
    <row r="15" spans="1:27" x14ac:dyDescent="0.25">
      <c r="A15" s="387" t="s">
        <v>1495</v>
      </c>
      <c r="B15" s="387" t="s">
        <v>1368</v>
      </c>
      <c r="C15" s="3" t="s">
        <v>1224</v>
      </c>
      <c r="D15" s="387" t="s">
        <v>3713</v>
      </c>
      <c r="E15" s="407" t="s">
        <v>3201</v>
      </c>
      <c r="F15" s="413" t="s">
        <v>3727</v>
      </c>
      <c r="G15" s="387">
        <v>1</v>
      </c>
      <c r="H15" s="387">
        <v>0</v>
      </c>
      <c r="I15" s="387">
        <v>1</v>
      </c>
      <c r="J15" s="387">
        <v>1</v>
      </c>
      <c r="K15" s="387" t="s">
        <v>1358</v>
      </c>
      <c r="L15" s="387">
        <v>216</v>
      </c>
      <c r="M15" s="461"/>
      <c r="N15" s="2">
        <v>0</v>
      </c>
      <c r="O15" s="459">
        <v>216</v>
      </c>
      <c r="P15" s="409"/>
      <c r="Q15" s="411">
        <v>1</v>
      </c>
      <c r="R15" s="411">
        <v>1</v>
      </c>
      <c r="S15" s="436">
        <v>0</v>
      </c>
      <c r="T15" s="411">
        <v>1</v>
      </c>
      <c r="U15" s="436">
        <v>0</v>
      </c>
      <c r="V15" s="412">
        <v>1</v>
      </c>
      <c r="W15" s="455">
        <v>216</v>
      </c>
      <c r="X15" s="455">
        <v>216</v>
      </c>
      <c r="Y15" s="455"/>
      <c r="Z15" s="455"/>
      <c r="AA15" s="5"/>
    </row>
    <row r="16" spans="1:27" ht="15.75" thickBot="1" x14ac:dyDescent="0.3">
      <c r="A16" s="387" t="s">
        <v>1496</v>
      </c>
      <c r="B16" s="387" t="s">
        <v>1368</v>
      </c>
      <c r="C16" s="387" t="s">
        <v>1224</v>
      </c>
      <c r="D16" s="387" t="s">
        <v>3714</v>
      </c>
      <c r="E16" s="387" t="s">
        <v>3201</v>
      </c>
      <c r="F16" s="387" t="s">
        <v>3728</v>
      </c>
      <c r="G16" s="387">
        <v>1</v>
      </c>
      <c r="H16" s="387">
        <v>0</v>
      </c>
      <c r="I16" s="387">
        <v>1</v>
      </c>
      <c r="J16" s="387">
        <v>1</v>
      </c>
      <c r="K16" s="387" t="s">
        <v>1358</v>
      </c>
      <c r="L16" s="387">
        <v>180</v>
      </c>
      <c r="M16" s="387"/>
      <c r="N16" s="2">
        <v>0</v>
      </c>
      <c r="O16" s="459">
        <v>180</v>
      </c>
      <c r="P16" s="387"/>
      <c r="Q16" s="411">
        <v>1</v>
      </c>
      <c r="R16" s="411">
        <v>1</v>
      </c>
      <c r="S16" s="436">
        <v>0</v>
      </c>
      <c r="T16" s="411">
        <v>1</v>
      </c>
      <c r="U16" s="436">
        <v>0</v>
      </c>
      <c r="V16" s="412">
        <v>1</v>
      </c>
      <c r="W16" s="455">
        <v>180</v>
      </c>
      <c r="X16" s="455">
        <v>180</v>
      </c>
      <c r="Y16" s="455"/>
      <c r="Z16" s="455"/>
      <c r="AA16" s="516"/>
    </row>
    <row r="17" spans="1:27" x14ac:dyDescent="0.25">
      <c r="A17" s="387" t="s">
        <v>1442</v>
      </c>
      <c r="B17" s="387" t="s">
        <v>1368</v>
      </c>
      <c r="C17" s="387" t="s">
        <v>1224</v>
      </c>
      <c r="D17" s="387" t="s">
        <v>3715</v>
      </c>
      <c r="E17" s="387" t="s">
        <v>3201</v>
      </c>
      <c r="F17" s="387" t="s">
        <v>3729</v>
      </c>
      <c r="G17" s="387">
        <v>1</v>
      </c>
      <c r="H17" s="387">
        <v>0</v>
      </c>
      <c r="I17" s="387">
        <v>1</v>
      </c>
      <c r="J17" s="387">
        <v>0.99999999999999978</v>
      </c>
      <c r="K17" s="387" t="s">
        <v>1358</v>
      </c>
      <c r="L17" s="387">
        <v>167</v>
      </c>
      <c r="M17" s="387"/>
      <c r="N17" s="2">
        <v>0</v>
      </c>
      <c r="O17" s="459">
        <v>167</v>
      </c>
      <c r="P17" s="387"/>
      <c r="Q17" s="411">
        <v>1</v>
      </c>
      <c r="R17" s="411">
        <v>1</v>
      </c>
      <c r="S17" s="436">
        <v>0</v>
      </c>
      <c r="T17" s="411">
        <v>1</v>
      </c>
      <c r="U17" s="436">
        <v>0</v>
      </c>
      <c r="V17" s="412">
        <v>0.99999999999999978</v>
      </c>
      <c r="W17" s="455">
        <v>166.99999999999997</v>
      </c>
      <c r="X17" s="455">
        <v>167</v>
      </c>
      <c r="Y17" s="455"/>
      <c r="Z17" s="455"/>
      <c r="AA17" s="5"/>
    </row>
    <row r="18" spans="1:27" x14ac:dyDescent="0.25">
      <c r="A18" s="387" t="s">
        <v>1443</v>
      </c>
      <c r="B18" s="387" t="s">
        <v>1368</v>
      </c>
      <c r="C18" s="387" t="s">
        <v>1224</v>
      </c>
      <c r="D18" s="387" t="s">
        <v>3716</v>
      </c>
      <c r="E18" s="387" t="s">
        <v>3201</v>
      </c>
      <c r="F18" s="387" t="s">
        <v>3730</v>
      </c>
      <c r="G18" s="387">
        <v>1</v>
      </c>
      <c r="H18" s="387">
        <v>0</v>
      </c>
      <c r="I18" s="387">
        <v>1</v>
      </c>
      <c r="J18" s="387">
        <v>1</v>
      </c>
      <c r="K18" s="387" t="s">
        <v>1358</v>
      </c>
      <c r="L18" s="387">
        <v>106</v>
      </c>
      <c r="M18" s="387"/>
      <c r="N18" s="2">
        <v>0</v>
      </c>
      <c r="O18" s="459">
        <v>106</v>
      </c>
      <c r="P18" s="387"/>
      <c r="Q18" s="411">
        <v>1</v>
      </c>
      <c r="R18" s="411">
        <v>1</v>
      </c>
      <c r="S18" s="436">
        <v>0</v>
      </c>
      <c r="T18" s="411">
        <v>1</v>
      </c>
      <c r="U18" s="436">
        <v>0</v>
      </c>
      <c r="V18" s="412">
        <v>1</v>
      </c>
      <c r="W18" s="455">
        <v>106</v>
      </c>
      <c r="X18" s="456">
        <v>106</v>
      </c>
      <c r="Y18" s="2"/>
      <c r="Z18" s="4"/>
      <c r="AA18" s="5"/>
    </row>
    <row r="19" spans="1:27" x14ac:dyDescent="0.25">
      <c r="A19" s="387" t="s">
        <v>3154</v>
      </c>
      <c r="B19" s="387" t="s">
        <v>1368</v>
      </c>
      <c r="C19" s="387" t="s">
        <v>1224</v>
      </c>
      <c r="D19" s="387" t="s">
        <v>3717</v>
      </c>
      <c r="E19" s="387" t="s">
        <v>3201</v>
      </c>
      <c r="F19" s="387" t="s">
        <v>3731</v>
      </c>
      <c r="G19" s="387">
        <v>1</v>
      </c>
      <c r="H19" s="387">
        <v>0</v>
      </c>
      <c r="I19" s="387">
        <v>1</v>
      </c>
      <c r="J19" s="387">
        <v>1</v>
      </c>
      <c r="K19" s="387" t="s">
        <v>1358</v>
      </c>
      <c r="L19" s="387">
        <v>200</v>
      </c>
      <c r="M19" s="387"/>
      <c r="N19" s="2">
        <v>0</v>
      </c>
      <c r="O19" s="459">
        <v>350</v>
      </c>
      <c r="P19" s="387"/>
      <c r="Q19" s="411">
        <v>1</v>
      </c>
      <c r="R19" s="411">
        <v>1</v>
      </c>
      <c r="S19" s="436">
        <v>0</v>
      </c>
      <c r="T19" s="411">
        <v>1</v>
      </c>
      <c r="U19" s="436">
        <v>0</v>
      </c>
      <c r="V19" s="412">
        <v>1</v>
      </c>
      <c r="W19" s="455">
        <v>350</v>
      </c>
      <c r="X19" s="456">
        <v>0</v>
      </c>
      <c r="Y19" s="2"/>
      <c r="Z19" s="4"/>
      <c r="AA19" s="5"/>
    </row>
    <row r="20" spans="1:27" x14ac:dyDescent="0.25">
      <c r="A20" s="387" t="s">
        <v>3156</v>
      </c>
      <c r="B20" s="387" t="s">
        <v>1368</v>
      </c>
      <c r="C20" s="387" t="s">
        <v>1224</v>
      </c>
      <c r="D20" s="387" t="s">
        <v>3718</v>
      </c>
      <c r="E20" s="387" t="s">
        <v>3201</v>
      </c>
      <c r="F20" s="387" t="s">
        <v>3732</v>
      </c>
      <c r="G20" s="387">
        <v>1</v>
      </c>
      <c r="H20" s="387">
        <v>0</v>
      </c>
      <c r="I20" s="387">
        <v>1</v>
      </c>
      <c r="J20" s="387">
        <v>0.56000000000000005</v>
      </c>
      <c r="K20" s="387" t="s">
        <v>1358</v>
      </c>
      <c r="L20" s="387">
        <v>200</v>
      </c>
      <c r="M20" s="387"/>
      <c r="N20" s="2">
        <v>0</v>
      </c>
      <c r="O20" s="459">
        <v>350</v>
      </c>
      <c r="P20" s="387"/>
      <c r="Q20" s="411">
        <v>1</v>
      </c>
      <c r="R20" s="411">
        <v>0.6</v>
      </c>
      <c r="S20" s="436">
        <v>0.4</v>
      </c>
      <c r="T20" s="411"/>
      <c r="U20" s="436">
        <v>0</v>
      </c>
      <c r="V20" s="412">
        <v>0.56000000000000005</v>
      </c>
      <c r="W20" s="455">
        <v>196</v>
      </c>
      <c r="X20" s="456">
        <v>0</v>
      </c>
      <c r="Y20" s="2"/>
      <c r="Z20" s="4"/>
      <c r="AA20" s="5"/>
    </row>
    <row r="21" spans="1:27" x14ac:dyDescent="0.25">
      <c r="A21" s="387" t="s">
        <v>3157</v>
      </c>
      <c r="B21" s="387" t="s">
        <v>1368</v>
      </c>
      <c r="C21" s="387" t="s">
        <v>1224</v>
      </c>
      <c r="D21" s="387" t="s">
        <v>3719</v>
      </c>
      <c r="E21" s="387" t="s">
        <v>3201</v>
      </c>
      <c r="F21" s="387" t="s">
        <v>3733</v>
      </c>
      <c r="G21" s="387">
        <v>1</v>
      </c>
      <c r="H21" s="387">
        <v>0</v>
      </c>
      <c r="I21" s="387">
        <v>1</v>
      </c>
      <c r="J21" s="387">
        <v>0</v>
      </c>
      <c r="K21" s="387" t="s">
        <v>1358</v>
      </c>
      <c r="L21" s="387">
        <v>200</v>
      </c>
      <c r="M21" s="387"/>
      <c r="N21" s="2">
        <v>0</v>
      </c>
      <c r="O21" s="459">
        <v>0</v>
      </c>
      <c r="P21" s="387"/>
      <c r="Q21" s="411"/>
      <c r="R21" s="411"/>
      <c r="S21" s="436">
        <v>0</v>
      </c>
      <c r="T21" s="411"/>
      <c r="U21" s="436">
        <v>0</v>
      </c>
      <c r="V21" s="412">
        <v>0</v>
      </c>
      <c r="W21" s="455">
        <v>0</v>
      </c>
      <c r="X21" s="456">
        <v>0</v>
      </c>
      <c r="Y21" s="2"/>
      <c r="Z21" s="4"/>
      <c r="AA21" s="5"/>
    </row>
    <row r="22" spans="1:27" x14ac:dyDescent="0.25">
      <c r="A22" s="387" t="s">
        <v>3155</v>
      </c>
      <c r="B22" s="387" t="s">
        <v>1368</v>
      </c>
      <c r="C22" s="387" t="s">
        <v>1224</v>
      </c>
      <c r="D22" s="387" t="s">
        <v>3720</v>
      </c>
      <c r="E22" s="387" t="s">
        <v>3201</v>
      </c>
      <c r="F22" s="387" t="s">
        <v>3734</v>
      </c>
      <c r="G22" s="387">
        <v>1</v>
      </c>
      <c r="H22" s="387">
        <v>0</v>
      </c>
      <c r="I22" s="387">
        <v>1</v>
      </c>
      <c r="J22" s="387">
        <v>1</v>
      </c>
      <c r="K22" s="387" t="s">
        <v>1358</v>
      </c>
      <c r="L22" s="387">
        <v>200</v>
      </c>
      <c r="M22" s="387"/>
      <c r="N22" s="2">
        <v>0</v>
      </c>
      <c r="O22" s="459">
        <v>200</v>
      </c>
      <c r="P22" s="387"/>
      <c r="Q22" s="411">
        <v>1</v>
      </c>
      <c r="R22" s="411">
        <v>1</v>
      </c>
      <c r="S22" s="436">
        <v>0</v>
      </c>
      <c r="T22" s="411">
        <v>1</v>
      </c>
      <c r="U22" s="436">
        <v>0</v>
      </c>
      <c r="V22" s="412">
        <v>1</v>
      </c>
      <c r="W22" s="455">
        <v>200</v>
      </c>
      <c r="X22" s="456">
        <v>0</v>
      </c>
      <c r="Y22" s="2"/>
      <c r="Z22" s="4"/>
      <c r="AA22" s="5"/>
    </row>
    <row r="23" spans="1:27" x14ac:dyDescent="0.25">
      <c r="A23" s="387" t="s">
        <v>1575</v>
      </c>
      <c r="B23" s="387" t="s">
        <v>1368</v>
      </c>
      <c r="C23" s="387" t="s">
        <v>1224</v>
      </c>
      <c r="D23" s="387" t="s">
        <v>1396</v>
      </c>
      <c r="E23" s="387" t="s">
        <v>3201</v>
      </c>
      <c r="F23" s="387" t="s">
        <v>3631</v>
      </c>
      <c r="G23" s="387">
        <v>1</v>
      </c>
      <c r="H23" s="387">
        <v>0</v>
      </c>
      <c r="I23" s="387">
        <v>1</v>
      </c>
      <c r="J23" s="387">
        <v>1</v>
      </c>
      <c r="K23" s="387" t="s">
        <v>1358</v>
      </c>
      <c r="L23" s="387">
        <v>200</v>
      </c>
      <c r="M23" s="387"/>
      <c r="N23" s="2">
        <v>0</v>
      </c>
      <c r="O23" s="459">
        <v>200</v>
      </c>
      <c r="P23" s="387"/>
      <c r="Q23" s="411">
        <v>1</v>
      </c>
      <c r="R23" s="411">
        <v>1</v>
      </c>
      <c r="S23" s="436">
        <v>0</v>
      </c>
      <c r="T23" s="411">
        <v>1</v>
      </c>
      <c r="U23" s="436">
        <v>0</v>
      </c>
      <c r="V23" s="412">
        <v>1</v>
      </c>
      <c r="W23" s="455">
        <v>200</v>
      </c>
      <c r="X23" s="456">
        <v>0</v>
      </c>
      <c r="Y23" s="2"/>
      <c r="Z23" s="4"/>
      <c r="AA23" s="5"/>
    </row>
    <row r="24" spans="1:27" x14ac:dyDescent="0.25">
      <c r="A24" s="387" t="s">
        <v>1576</v>
      </c>
      <c r="B24" s="387" t="s">
        <v>1368</v>
      </c>
      <c r="C24" s="387" t="s">
        <v>1224</v>
      </c>
      <c r="D24" s="387" t="s">
        <v>1396</v>
      </c>
      <c r="E24" s="387" t="s">
        <v>3201</v>
      </c>
      <c r="F24" s="387" t="s">
        <v>3632</v>
      </c>
      <c r="G24" s="387">
        <v>1</v>
      </c>
      <c r="H24" s="387">
        <v>0</v>
      </c>
      <c r="I24" s="387">
        <v>1</v>
      </c>
      <c r="J24" s="387">
        <v>1</v>
      </c>
      <c r="K24" s="387" t="s">
        <v>1358</v>
      </c>
      <c r="L24" s="387">
        <v>200</v>
      </c>
      <c r="M24" s="387"/>
      <c r="N24" s="2">
        <v>0</v>
      </c>
      <c r="O24" s="459">
        <v>200</v>
      </c>
      <c r="P24" s="387"/>
      <c r="Q24" s="411">
        <v>1</v>
      </c>
      <c r="R24" s="411">
        <v>1</v>
      </c>
      <c r="S24" s="436">
        <v>0</v>
      </c>
      <c r="T24" s="411">
        <v>1</v>
      </c>
      <c r="U24" s="436">
        <v>0</v>
      </c>
      <c r="V24" s="412">
        <v>1</v>
      </c>
      <c r="W24" s="455">
        <v>200</v>
      </c>
      <c r="X24" s="456">
        <v>0</v>
      </c>
      <c r="Y24" s="2"/>
      <c r="Z24" s="4"/>
      <c r="AA24" s="5"/>
    </row>
    <row r="25" spans="1:27" x14ac:dyDescent="0.25">
      <c r="A25" s="387" t="s">
        <v>1577</v>
      </c>
      <c r="B25" s="387" t="s">
        <v>1368</v>
      </c>
      <c r="C25" s="387" t="s">
        <v>1224</v>
      </c>
      <c r="D25" s="387" t="s">
        <v>1396</v>
      </c>
      <c r="E25" s="387" t="s">
        <v>3201</v>
      </c>
      <c r="F25" s="387" t="s">
        <v>3633</v>
      </c>
      <c r="G25" s="387">
        <v>1</v>
      </c>
      <c r="H25" s="387">
        <v>0</v>
      </c>
      <c r="I25" s="387">
        <v>1</v>
      </c>
      <c r="J25" s="387">
        <v>1</v>
      </c>
      <c r="K25" s="387" t="s">
        <v>1358</v>
      </c>
      <c r="L25" s="387">
        <v>200</v>
      </c>
      <c r="M25" s="387"/>
      <c r="N25" s="2">
        <v>0</v>
      </c>
      <c r="O25" s="459">
        <v>200</v>
      </c>
      <c r="P25" s="387"/>
      <c r="Q25" s="411">
        <v>1</v>
      </c>
      <c r="R25" s="411">
        <v>1</v>
      </c>
      <c r="S25" s="436">
        <v>0</v>
      </c>
      <c r="T25" s="411">
        <v>1</v>
      </c>
      <c r="U25" s="436">
        <v>0</v>
      </c>
      <c r="V25" s="412">
        <v>1</v>
      </c>
      <c r="W25" s="455">
        <v>200</v>
      </c>
      <c r="X25" s="456">
        <v>0</v>
      </c>
      <c r="Y25" s="2"/>
      <c r="Z25" s="4"/>
      <c r="AA25" s="5"/>
    </row>
    <row r="26" spans="1:27" x14ac:dyDescent="0.25">
      <c r="A26" s="387" t="s">
        <v>1578</v>
      </c>
      <c r="B26" s="387" t="s">
        <v>1368</v>
      </c>
      <c r="C26" s="387" t="s">
        <v>1224</v>
      </c>
      <c r="D26" s="387" t="s">
        <v>3230</v>
      </c>
      <c r="E26" s="387" t="s">
        <v>3201</v>
      </c>
      <c r="F26" s="387" t="s">
        <v>3553</v>
      </c>
      <c r="G26" s="387">
        <v>1</v>
      </c>
      <c r="H26" s="387">
        <v>0</v>
      </c>
      <c r="I26" s="387">
        <v>1</v>
      </c>
      <c r="J26" s="387">
        <v>0</v>
      </c>
      <c r="K26" s="387" t="s">
        <v>1358</v>
      </c>
      <c r="L26" s="387">
        <v>64.27</v>
      </c>
      <c r="M26" s="387"/>
      <c r="N26" s="2">
        <v>0</v>
      </c>
      <c r="O26" s="459">
        <v>64.27</v>
      </c>
      <c r="P26" s="387"/>
      <c r="Q26" s="436">
        <v>1</v>
      </c>
      <c r="R26" s="436">
        <v>1</v>
      </c>
      <c r="S26" s="436">
        <v>0</v>
      </c>
      <c r="T26" s="411">
        <v>1</v>
      </c>
      <c r="U26" s="436">
        <v>0</v>
      </c>
      <c r="V26" s="437">
        <v>0.99999999999999978</v>
      </c>
      <c r="W26" s="455">
        <v>64.269999999999982</v>
      </c>
      <c r="X26" s="456">
        <v>0</v>
      </c>
      <c r="Y26" s="2"/>
      <c r="Z26" s="4"/>
      <c r="AA26" s="5"/>
    </row>
    <row r="27" spans="1:27" x14ac:dyDescent="0.25">
      <c r="A27" s="387" t="s">
        <v>1579</v>
      </c>
      <c r="B27" s="387" t="s">
        <v>1368</v>
      </c>
      <c r="C27" s="387" t="s">
        <v>1224</v>
      </c>
      <c r="D27" s="387" t="s">
        <v>3231</v>
      </c>
      <c r="E27" s="387" t="s">
        <v>3201</v>
      </c>
      <c r="F27" s="387" t="s">
        <v>3554</v>
      </c>
      <c r="G27" s="387">
        <v>1</v>
      </c>
      <c r="H27" s="387">
        <v>0</v>
      </c>
      <c r="I27" s="387">
        <v>1</v>
      </c>
      <c r="J27" s="387">
        <v>0</v>
      </c>
      <c r="K27" s="387" t="s">
        <v>1358</v>
      </c>
      <c r="L27" s="387">
        <v>64.27</v>
      </c>
      <c r="M27" s="387"/>
      <c r="N27" s="2">
        <v>0</v>
      </c>
      <c r="O27" s="459">
        <v>64.27</v>
      </c>
      <c r="P27" s="387"/>
      <c r="Q27" s="411">
        <v>1</v>
      </c>
      <c r="R27" s="411">
        <v>1</v>
      </c>
      <c r="S27" s="436">
        <v>0</v>
      </c>
      <c r="T27" s="411">
        <v>1</v>
      </c>
      <c r="U27" s="436">
        <v>0</v>
      </c>
      <c r="V27" s="437">
        <v>0.99999999999999978</v>
      </c>
      <c r="W27" s="455">
        <v>64.269999999999982</v>
      </c>
      <c r="X27" s="456">
        <v>0</v>
      </c>
      <c r="Y27" s="2"/>
      <c r="Z27" s="4"/>
      <c r="AA27" s="5"/>
    </row>
    <row r="28" spans="1:27" x14ac:dyDescent="0.25">
      <c r="A28" s="387" t="s">
        <v>1582</v>
      </c>
      <c r="B28" s="387" t="s">
        <v>1368</v>
      </c>
      <c r="C28" s="387" t="s">
        <v>1224</v>
      </c>
      <c r="D28" s="387" t="s">
        <v>3232</v>
      </c>
      <c r="E28" s="387" t="s">
        <v>3201</v>
      </c>
      <c r="F28" s="387" t="s">
        <v>3555</v>
      </c>
      <c r="G28" s="387">
        <v>1</v>
      </c>
      <c r="H28" s="387">
        <v>0</v>
      </c>
      <c r="I28" s="387">
        <v>1</v>
      </c>
      <c r="J28" s="387">
        <v>0</v>
      </c>
      <c r="K28" s="387" t="s">
        <v>1358</v>
      </c>
      <c r="L28" s="387">
        <v>64.27</v>
      </c>
      <c r="M28" s="387"/>
      <c r="N28" s="2">
        <v>0</v>
      </c>
      <c r="O28" s="459">
        <v>64.27</v>
      </c>
      <c r="P28" s="387"/>
      <c r="Q28" s="411">
        <v>1</v>
      </c>
      <c r="R28" s="411">
        <v>1</v>
      </c>
      <c r="S28" s="436">
        <v>0</v>
      </c>
      <c r="T28" s="411">
        <v>1</v>
      </c>
      <c r="U28" s="436">
        <v>0</v>
      </c>
      <c r="V28" s="437">
        <v>0.99999999999999978</v>
      </c>
      <c r="W28" s="455">
        <v>64.269999999999982</v>
      </c>
      <c r="X28" s="456">
        <v>0</v>
      </c>
      <c r="Y28" s="480"/>
      <c r="Z28" s="480"/>
      <c r="AA28" s="481"/>
    </row>
    <row r="29" spans="1:27" x14ac:dyDescent="0.25">
      <c r="A29" s="387" t="s">
        <v>1624</v>
      </c>
      <c r="B29" s="387" t="s">
        <v>1368</v>
      </c>
      <c r="C29" s="387" t="s">
        <v>1224</v>
      </c>
      <c r="D29" s="387" t="s">
        <v>3217</v>
      </c>
      <c r="E29" s="387" t="s">
        <v>3201</v>
      </c>
      <c r="F29" s="387" t="s">
        <v>3556</v>
      </c>
      <c r="G29" s="387">
        <v>1</v>
      </c>
      <c r="H29" s="387">
        <v>0</v>
      </c>
      <c r="I29" s="387">
        <v>1</v>
      </c>
      <c r="J29" s="387">
        <v>0</v>
      </c>
      <c r="K29" s="387" t="s">
        <v>1358</v>
      </c>
      <c r="L29" s="387">
        <v>64.27</v>
      </c>
      <c r="M29" s="387"/>
      <c r="N29" s="2">
        <v>0</v>
      </c>
      <c r="O29" s="459">
        <v>64.27</v>
      </c>
      <c r="P29" s="387"/>
      <c r="Q29" s="411">
        <v>1</v>
      </c>
      <c r="R29" s="411">
        <v>1</v>
      </c>
      <c r="S29" s="436">
        <v>0</v>
      </c>
      <c r="T29" s="411">
        <v>1</v>
      </c>
      <c r="U29" s="436">
        <v>0</v>
      </c>
      <c r="V29" s="437">
        <v>0.99999999999999978</v>
      </c>
      <c r="W29" s="455">
        <v>64.269999999999982</v>
      </c>
      <c r="X29" s="456">
        <v>0</v>
      </c>
      <c r="Y29" s="480"/>
      <c r="Z29" s="480"/>
      <c r="AA29" s="481"/>
    </row>
    <row r="30" spans="1:27" x14ac:dyDescent="0.25">
      <c r="A30" s="387" t="s">
        <v>1581</v>
      </c>
      <c r="B30" s="387" t="s">
        <v>1368</v>
      </c>
      <c r="C30" s="387" t="s">
        <v>1224</v>
      </c>
      <c r="D30" s="387" t="s">
        <v>3219</v>
      </c>
      <c r="E30" s="387" t="s">
        <v>3201</v>
      </c>
      <c r="F30" s="387" t="s">
        <v>3557</v>
      </c>
      <c r="G30" s="387">
        <v>1</v>
      </c>
      <c r="H30" s="387">
        <v>0</v>
      </c>
      <c r="I30" s="387">
        <v>1</v>
      </c>
      <c r="J30" s="387">
        <v>0</v>
      </c>
      <c r="K30" s="387" t="s">
        <v>1358</v>
      </c>
      <c r="L30" s="387">
        <v>100</v>
      </c>
      <c r="M30" s="387"/>
      <c r="N30" s="2">
        <v>0</v>
      </c>
      <c r="O30" s="459">
        <v>100</v>
      </c>
      <c r="P30" s="387"/>
      <c r="Q30" s="411">
        <v>1</v>
      </c>
      <c r="R30" s="411">
        <v>1</v>
      </c>
      <c r="S30" s="436">
        <v>0</v>
      </c>
      <c r="T30" s="411">
        <v>1</v>
      </c>
      <c r="U30" s="436">
        <v>0</v>
      </c>
      <c r="V30" s="437">
        <v>1</v>
      </c>
      <c r="W30" s="455">
        <v>100</v>
      </c>
      <c r="X30" s="456">
        <v>0</v>
      </c>
      <c r="Y30" s="2"/>
      <c r="Z30" s="4"/>
      <c r="AA30" s="5"/>
    </row>
    <row r="31" spans="1:27" x14ac:dyDescent="0.25">
      <c r="A31" s="387" t="s">
        <v>1580</v>
      </c>
      <c r="B31" s="387" t="s">
        <v>1368</v>
      </c>
      <c r="C31" s="387" t="s">
        <v>1224</v>
      </c>
      <c r="D31" s="387" t="s">
        <v>3222</v>
      </c>
      <c r="E31" s="387" t="s">
        <v>3201</v>
      </c>
      <c r="F31" s="387" t="s">
        <v>3558</v>
      </c>
      <c r="G31" s="387">
        <v>1</v>
      </c>
      <c r="H31" s="387">
        <v>0</v>
      </c>
      <c r="I31" s="387">
        <v>1</v>
      </c>
      <c r="J31" s="387">
        <v>0</v>
      </c>
      <c r="K31" s="387" t="s">
        <v>1358</v>
      </c>
      <c r="L31" s="387">
        <v>100</v>
      </c>
      <c r="M31" s="387"/>
      <c r="N31" s="2">
        <v>0</v>
      </c>
      <c r="O31" s="459">
        <v>100</v>
      </c>
      <c r="P31" s="387"/>
      <c r="Q31" s="411">
        <v>1</v>
      </c>
      <c r="R31" s="411">
        <v>1</v>
      </c>
      <c r="S31" s="436">
        <v>0</v>
      </c>
      <c r="T31" s="411">
        <v>1</v>
      </c>
      <c r="U31" s="436">
        <v>0</v>
      </c>
      <c r="V31" s="437">
        <v>1</v>
      </c>
      <c r="W31" s="455">
        <v>100</v>
      </c>
      <c r="X31" s="456">
        <v>0</v>
      </c>
      <c r="Y31" s="2"/>
      <c r="Z31" s="4"/>
      <c r="AA31" s="5"/>
    </row>
    <row r="32" spans="1:27" x14ac:dyDescent="0.25">
      <c r="A32" s="387" t="s">
        <v>1586</v>
      </c>
      <c r="B32" s="387" t="s">
        <v>1368</v>
      </c>
      <c r="C32" s="387" t="s">
        <v>1224</v>
      </c>
      <c r="D32" s="387" t="s">
        <v>3221</v>
      </c>
      <c r="E32" s="387" t="s">
        <v>3201</v>
      </c>
      <c r="F32" s="387" t="s">
        <v>3559</v>
      </c>
      <c r="G32" s="387">
        <v>1</v>
      </c>
      <c r="H32" s="387">
        <v>0</v>
      </c>
      <c r="I32" s="387">
        <v>1</v>
      </c>
      <c r="J32" s="387">
        <v>0</v>
      </c>
      <c r="K32" s="387" t="s">
        <v>1358</v>
      </c>
      <c r="L32" s="387">
        <v>100</v>
      </c>
      <c r="M32" s="387"/>
      <c r="N32" s="2">
        <v>0</v>
      </c>
      <c r="O32" s="459">
        <v>100</v>
      </c>
      <c r="P32" s="387"/>
      <c r="Q32" s="411">
        <v>1</v>
      </c>
      <c r="R32" s="411">
        <v>1</v>
      </c>
      <c r="S32" s="436">
        <v>0</v>
      </c>
      <c r="T32" s="411">
        <v>1</v>
      </c>
      <c r="U32" s="436">
        <v>0</v>
      </c>
      <c r="V32" s="437">
        <v>1</v>
      </c>
      <c r="W32" s="455">
        <v>100</v>
      </c>
      <c r="X32" s="456">
        <v>0</v>
      </c>
      <c r="Y32" s="480"/>
      <c r="Z32" s="480"/>
      <c r="AA32" s="481"/>
    </row>
    <row r="33" spans="1:27" x14ac:dyDescent="0.25">
      <c r="A33" s="387" t="s">
        <v>1587</v>
      </c>
      <c r="B33" s="387" t="s">
        <v>1368</v>
      </c>
      <c r="C33" s="387" t="s">
        <v>1224</v>
      </c>
      <c r="D33" s="387" t="s">
        <v>3223</v>
      </c>
      <c r="E33" s="387" t="s">
        <v>3201</v>
      </c>
      <c r="F33" s="387" t="s">
        <v>3560</v>
      </c>
      <c r="G33" s="387">
        <v>1</v>
      </c>
      <c r="H33" s="387">
        <v>0</v>
      </c>
      <c r="I33" s="387">
        <v>1</v>
      </c>
      <c r="J33" s="387">
        <v>0</v>
      </c>
      <c r="K33" s="387" t="s">
        <v>1358</v>
      </c>
      <c r="L33" s="387">
        <v>100</v>
      </c>
      <c r="M33" s="387"/>
      <c r="N33" s="2">
        <v>0</v>
      </c>
      <c r="O33" s="459">
        <v>100</v>
      </c>
      <c r="P33" s="387"/>
      <c r="Q33" s="411">
        <v>1</v>
      </c>
      <c r="R33" s="411">
        <v>1</v>
      </c>
      <c r="S33" s="436">
        <v>0</v>
      </c>
      <c r="T33" s="411">
        <v>1</v>
      </c>
      <c r="U33" s="436">
        <v>0</v>
      </c>
      <c r="V33" s="437">
        <v>1</v>
      </c>
      <c r="W33" s="455">
        <v>100</v>
      </c>
      <c r="X33" s="456">
        <v>0</v>
      </c>
      <c r="Y33" s="480"/>
      <c r="Z33" s="480"/>
      <c r="AA33" s="481"/>
    </row>
    <row r="34" spans="1:27" x14ac:dyDescent="0.25">
      <c r="A34" s="387" t="s">
        <v>1588</v>
      </c>
      <c r="B34" s="387" t="s">
        <v>1368</v>
      </c>
      <c r="C34" s="387" t="s">
        <v>1224</v>
      </c>
      <c r="D34" s="387" t="s">
        <v>3225</v>
      </c>
      <c r="E34" s="387" t="s">
        <v>3201</v>
      </c>
      <c r="F34" s="387" t="s">
        <v>3561</v>
      </c>
      <c r="G34" s="387">
        <v>1</v>
      </c>
      <c r="H34" s="387">
        <v>0</v>
      </c>
      <c r="I34" s="387">
        <v>1</v>
      </c>
      <c r="J34" s="387">
        <v>0</v>
      </c>
      <c r="K34" s="387" t="s">
        <v>1358</v>
      </c>
      <c r="L34" s="387">
        <v>64.27</v>
      </c>
      <c r="M34" s="387"/>
      <c r="N34" s="2">
        <v>0</v>
      </c>
      <c r="O34" s="459">
        <v>64.27</v>
      </c>
      <c r="P34" s="387"/>
      <c r="Q34" s="411">
        <v>1</v>
      </c>
      <c r="R34" s="411">
        <v>1</v>
      </c>
      <c r="S34" s="436">
        <v>0</v>
      </c>
      <c r="T34" s="411">
        <v>1</v>
      </c>
      <c r="U34" s="436">
        <v>0</v>
      </c>
      <c r="V34" s="437">
        <v>0.99999999999999978</v>
      </c>
      <c r="W34" s="455">
        <v>64.269999999999982</v>
      </c>
      <c r="X34" s="456">
        <v>0</v>
      </c>
      <c r="Y34" s="480"/>
      <c r="Z34" s="480"/>
      <c r="AA34" s="481"/>
    </row>
    <row r="35" spans="1:27" x14ac:dyDescent="0.25">
      <c r="A35" s="387" t="s">
        <v>1589</v>
      </c>
      <c r="B35" s="387" t="s">
        <v>1368</v>
      </c>
      <c r="C35" s="387" t="s">
        <v>1224</v>
      </c>
      <c r="D35" s="387" t="s">
        <v>3248</v>
      </c>
      <c r="E35" s="387" t="s">
        <v>3201</v>
      </c>
      <c r="F35" s="387" t="s">
        <v>3562</v>
      </c>
      <c r="G35" s="387">
        <v>1</v>
      </c>
      <c r="H35" s="387">
        <v>0</v>
      </c>
      <c r="I35" s="387">
        <v>1</v>
      </c>
      <c r="J35" s="387">
        <v>0</v>
      </c>
      <c r="K35" s="387" t="s">
        <v>1358</v>
      </c>
      <c r="L35" s="387">
        <v>64.27</v>
      </c>
      <c r="M35" s="387"/>
      <c r="N35" s="2">
        <v>0</v>
      </c>
      <c r="O35" s="459">
        <v>64.27</v>
      </c>
      <c r="P35" s="387"/>
      <c r="Q35" s="411">
        <v>1</v>
      </c>
      <c r="R35" s="411">
        <v>1</v>
      </c>
      <c r="S35" s="436">
        <v>0</v>
      </c>
      <c r="T35" s="411">
        <v>1</v>
      </c>
      <c r="U35" s="436">
        <v>0</v>
      </c>
      <c r="V35" s="437">
        <v>0.99999999999999978</v>
      </c>
      <c r="W35" s="455">
        <v>64.269999999999982</v>
      </c>
      <c r="X35" s="456">
        <v>0</v>
      </c>
      <c r="Y35" s="480"/>
      <c r="Z35" s="480"/>
      <c r="AA35" s="481"/>
    </row>
    <row r="36" spans="1:27" x14ac:dyDescent="0.25">
      <c r="A36" s="387" t="s">
        <v>1590</v>
      </c>
      <c r="B36" s="387" t="s">
        <v>1368</v>
      </c>
      <c r="C36" s="387" t="s">
        <v>1224</v>
      </c>
      <c r="D36" s="387" t="s">
        <v>3249</v>
      </c>
      <c r="E36" s="387" t="s">
        <v>3201</v>
      </c>
      <c r="F36" s="387" t="s">
        <v>3563</v>
      </c>
      <c r="G36" s="387">
        <v>1</v>
      </c>
      <c r="H36" s="387">
        <v>0</v>
      </c>
      <c r="I36" s="387">
        <v>1</v>
      </c>
      <c r="J36" s="387">
        <v>0</v>
      </c>
      <c r="K36" s="387" t="s">
        <v>1358</v>
      </c>
      <c r="L36" s="387">
        <v>64.27</v>
      </c>
      <c r="M36" s="387"/>
      <c r="N36" s="2">
        <v>0</v>
      </c>
      <c r="O36" s="459">
        <v>64.27</v>
      </c>
      <c r="P36" s="387"/>
      <c r="Q36" s="411">
        <v>1</v>
      </c>
      <c r="R36" s="411">
        <v>1</v>
      </c>
      <c r="S36" s="436">
        <v>0</v>
      </c>
      <c r="T36" s="411">
        <v>1</v>
      </c>
      <c r="U36" s="436">
        <v>0</v>
      </c>
      <c r="V36" s="437">
        <v>0.99999999999999978</v>
      </c>
      <c r="W36" s="455">
        <v>64.269999999999982</v>
      </c>
      <c r="X36" s="456">
        <v>0</v>
      </c>
      <c r="Y36" s="480"/>
      <c r="Z36" s="480"/>
      <c r="AA36" s="481"/>
    </row>
    <row r="37" spans="1:27" x14ac:dyDescent="0.25">
      <c r="A37" s="387" t="s">
        <v>1591</v>
      </c>
      <c r="B37" s="387" t="s">
        <v>1368</v>
      </c>
      <c r="C37" s="387" t="s">
        <v>1224</v>
      </c>
      <c r="D37" s="387" t="s">
        <v>3255</v>
      </c>
      <c r="E37" s="387" t="s">
        <v>3201</v>
      </c>
      <c r="F37" s="387" t="s">
        <v>3564</v>
      </c>
      <c r="G37" s="387">
        <v>1</v>
      </c>
      <c r="H37" s="387">
        <v>0</v>
      </c>
      <c r="I37" s="387">
        <v>1</v>
      </c>
      <c r="J37" s="387">
        <v>0</v>
      </c>
      <c r="K37" s="387" t="s">
        <v>1358</v>
      </c>
      <c r="L37" s="387">
        <v>64.27</v>
      </c>
      <c r="M37" s="387"/>
      <c r="N37" s="2">
        <v>0</v>
      </c>
      <c r="O37" s="459">
        <v>64.27</v>
      </c>
      <c r="P37" s="387"/>
      <c r="Q37" s="411">
        <v>1</v>
      </c>
      <c r="R37" s="411">
        <v>1</v>
      </c>
      <c r="S37" s="436">
        <v>0</v>
      </c>
      <c r="T37" s="411">
        <v>1</v>
      </c>
      <c r="U37" s="436">
        <v>0</v>
      </c>
      <c r="V37" s="437">
        <v>0.99999999999999978</v>
      </c>
      <c r="W37" s="455">
        <v>64.269999999999982</v>
      </c>
      <c r="X37" s="456">
        <v>0</v>
      </c>
      <c r="Y37" s="480"/>
      <c r="Z37" s="480"/>
      <c r="AA37" s="481"/>
    </row>
    <row r="38" spans="1:27" x14ac:dyDescent="0.25">
      <c r="A38" s="387" t="s">
        <v>1592</v>
      </c>
      <c r="B38" s="387" t="s">
        <v>1368</v>
      </c>
      <c r="C38" s="387" t="s">
        <v>1224</v>
      </c>
      <c r="D38" s="387" t="s">
        <v>3250</v>
      </c>
      <c r="E38" s="387" t="s">
        <v>3201</v>
      </c>
      <c r="F38" s="387" t="s">
        <v>3565</v>
      </c>
      <c r="G38" s="387">
        <v>1</v>
      </c>
      <c r="H38" s="387">
        <v>0</v>
      </c>
      <c r="I38" s="387">
        <v>1</v>
      </c>
      <c r="J38" s="387">
        <v>0</v>
      </c>
      <c r="K38" s="387" t="s">
        <v>1358</v>
      </c>
      <c r="L38" s="387">
        <v>64.27</v>
      </c>
      <c r="M38" s="387"/>
      <c r="N38" s="2">
        <v>0</v>
      </c>
      <c r="O38" s="459">
        <v>64.27</v>
      </c>
      <c r="P38" s="387"/>
      <c r="Q38" s="411">
        <v>1</v>
      </c>
      <c r="R38" s="411">
        <v>1</v>
      </c>
      <c r="S38" s="436">
        <v>0</v>
      </c>
      <c r="T38" s="411">
        <v>1</v>
      </c>
      <c r="U38" s="436">
        <v>0</v>
      </c>
      <c r="V38" s="437">
        <v>0.99999999999999978</v>
      </c>
      <c r="W38" s="455">
        <v>64.269999999999982</v>
      </c>
      <c r="X38" s="456">
        <v>0</v>
      </c>
      <c r="Y38" s="480"/>
      <c r="Z38" s="480"/>
      <c r="AA38" s="481"/>
    </row>
    <row r="39" spans="1:27" x14ac:dyDescent="0.25">
      <c r="A39" s="387" t="s">
        <v>1593</v>
      </c>
      <c r="B39" s="387" t="s">
        <v>1368</v>
      </c>
      <c r="C39" s="387" t="s">
        <v>1224</v>
      </c>
      <c r="D39" s="387" t="s">
        <v>3251</v>
      </c>
      <c r="E39" s="387" t="s">
        <v>3201</v>
      </c>
      <c r="F39" s="387" t="s">
        <v>3566</v>
      </c>
      <c r="G39" s="387">
        <v>1</v>
      </c>
      <c r="H39" s="387">
        <v>0</v>
      </c>
      <c r="I39" s="387">
        <v>1</v>
      </c>
      <c r="J39" s="387">
        <v>0</v>
      </c>
      <c r="K39" s="387" t="s">
        <v>1358</v>
      </c>
      <c r="L39" s="387">
        <v>64.27</v>
      </c>
      <c r="M39" s="387"/>
      <c r="N39" s="2">
        <v>0</v>
      </c>
      <c r="O39" s="459">
        <v>64.27</v>
      </c>
      <c r="P39" s="387"/>
      <c r="Q39" s="411">
        <v>1</v>
      </c>
      <c r="R39" s="411">
        <v>1</v>
      </c>
      <c r="S39" s="436">
        <v>0</v>
      </c>
      <c r="T39" s="411">
        <v>1</v>
      </c>
      <c r="U39" s="436">
        <v>0</v>
      </c>
      <c r="V39" s="437">
        <v>0.99999999999999978</v>
      </c>
      <c r="W39" s="455">
        <v>64.269999999999982</v>
      </c>
      <c r="X39" s="456">
        <v>0</v>
      </c>
      <c r="Y39" s="480"/>
      <c r="Z39" s="480"/>
      <c r="AA39" s="481"/>
    </row>
    <row r="40" spans="1:27" x14ac:dyDescent="0.25">
      <c r="A40" s="387" t="s">
        <v>1594</v>
      </c>
      <c r="B40" s="387" t="s">
        <v>1368</v>
      </c>
      <c r="C40" s="387" t="s">
        <v>1224</v>
      </c>
      <c r="D40" s="387" t="s">
        <v>3256</v>
      </c>
      <c r="E40" s="387" t="s">
        <v>3201</v>
      </c>
      <c r="F40" s="387" t="s">
        <v>3567</v>
      </c>
      <c r="G40" s="387">
        <v>1</v>
      </c>
      <c r="H40" s="387">
        <v>0</v>
      </c>
      <c r="I40" s="387">
        <v>1</v>
      </c>
      <c r="J40" s="387">
        <v>0</v>
      </c>
      <c r="K40" s="387" t="s">
        <v>1358</v>
      </c>
      <c r="L40" s="387">
        <v>64.27</v>
      </c>
      <c r="M40" s="387"/>
      <c r="N40" s="2">
        <v>0</v>
      </c>
      <c r="O40" s="459">
        <v>64.27</v>
      </c>
      <c r="P40" s="387"/>
      <c r="Q40" s="411">
        <v>1</v>
      </c>
      <c r="R40" s="411">
        <v>1</v>
      </c>
      <c r="S40" s="436">
        <v>0</v>
      </c>
      <c r="T40" s="411">
        <v>1</v>
      </c>
      <c r="U40" s="436">
        <v>0</v>
      </c>
      <c r="V40" s="437">
        <v>0.99999999999999978</v>
      </c>
      <c r="W40" s="455">
        <v>64.269999999999982</v>
      </c>
      <c r="X40" s="456">
        <v>0</v>
      </c>
      <c r="Y40" s="480"/>
      <c r="Z40" s="480"/>
      <c r="AA40" s="481"/>
    </row>
    <row r="41" spans="1:27" x14ac:dyDescent="0.25">
      <c r="A41" s="387" t="s">
        <v>1595</v>
      </c>
      <c r="B41" s="387" t="s">
        <v>1368</v>
      </c>
      <c r="C41" s="387" t="s">
        <v>1224</v>
      </c>
      <c r="D41" s="387" t="s">
        <v>3235</v>
      </c>
      <c r="E41" s="387" t="s">
        <v>3201</v>
      </c>
      <c r="F41" s="387" t="s">
        <v>3568</v>
      </c>
      <c r="G41" s="387">
        <v>1</v>
      </c>
      <c r="H41" s="387">
        <v>0</v>
      </c>
      <c r="I41" s="387">
        <v>1</v>
      </c>
      <c r="J41" s="387">
        <v>0</v>
      </c>
      <c r="K41" s="387" t="s">
        <v>1358</v>
      </c>
      <c r="L41" s="387">
        <v>64.27</v>
      </c>
      <c r="M41" s="387"/>
      <c r="N41" s="2">
        <v>0</v>
      </c>
      <c r="O41" s="459">
        <v>64.27</v>
      </c>
      <c r="P41" s="387"/>
      <c r="Q41" s="411">
        <v>1</v>
      </c>
      <c r="R41" s="411">
        <v>1</v>
      </c>
      <c r="S41" s="436">
        <v>0</v>
      </c>
      <c r="T41" s="411">
        <v>1</v>
      </c>
      <c r="U41" s="436">
        <v>0</v>
      </c>
      <c r="V41" s="437">
        <v>0.99999999999999978</v>
      </c>
      <c r="W41" s="455">
        <v>64.269999999999982</v>
      </c>
      <c r="X41" s="456">
        <v>0</v>
      </c>
      <c r="Y41" s="480"/>
      <c r="Z41" s="480"/>
      <c r="AA41" s="481"/>
    </row>
    <row r="42" spans="1:27" x14ac:dyDescent="0.25">
      <c r="A42" s="387" t="s">
        <v>1596</v>
      </c>
      <c r="B42" s="387" t="s">
        <v>1368</v>
      </c>
      <c r="C42" s="387" t="s">
        <v>1224</v>
      </c>
      <c r="D42" s="387" t="s">
        <v>3227</v>
      </c>
      <c r="E42" s="387" t="s">
        <v>3201</v>
      </c>
      <c r="F42" s="387" t="s">
        <v>3569</v>
      </c>
      <c r="G42" s="387">
        <v>1</v>
      </c>
      <c r="H42" s="387">
        <v>0</v>
      </c>
      <c r="I42" s="387">
        <v>1</v>
      </c>
      <c r="J42" s="387">
        <v>0</v>
      </c>
      <c r="K42" s="387" t="s">
        <v>1358</v>
      </c>
      <c r="L42" s="387">
        <v>64.27</v>
      </c>
      <c r="M42" s="387"/>
      <c r="N42" s="2">
        <v>0</v>
      </c>
      <c r="O42" s="459">
        <v>64.27</v>
      </c>
      <c r="P42" s="387"/>
      <c r="Q42" s="411">
        <v>1</v>
      </c>
      <c r="R42" s="411">
        <v>1</v>
      </c>
      <c r="S42" s="436">
        <v>0</v>
      </c>
      <c r="T42" s="411">
        <v>1</v>
      </c>
      <c r="U42" s="436">
        <v>0</v>
      </c>
      <c r="V42" s="437">
        <v>0.99999999999999978</v>
      </c>
      <c r="W42" s="455">
        <v>64.269999999999982</v>
      </c>
      <c r="X42" s="456">
        <v>0</v>
      </c>
      <c r="Y42" s="480"/>
      <c r="Z42" s="480"/>
      <c r="AA42" s="481"/>
    </row>
    <row r="43" spans="1:27" x14ac:dyDescent="0.25">
      <c r="A43" s="387" t="s">
        <v>1597</v>
      </c>
      <c r="B43" s="387" t="s">
        <v>1368</v>
      </c>
      <c r="C43" s="387" t="s">
        <v>1224</v>
      </c>
      <c r="D43" s="387" t="s">
        <v>3228</v>
      </c>
      <c r="E43" s="387" t="s">
        <v>3201</v>
      </c>
      <c r="F43" s="387" t="s">
        <v>3570</v>
      </c>
      <c r="G43" s="387">
        <v>1</v>
      </c>
      <c r="H43" s="387">
        <v>0</v>
      </c>
      <c r="I43" s="387">
        <v>1</v>
      </c>
      <c r="J43" s="387">
        <v>0</v>
      </c>
      <c r="K43" s="387" t="s">
        <v>1358</v>
      </c>
      <c r="L43" s="387">
        <v>64.27</v>
      </c>
      <c r="M43" s="387"/>
      <c r="N43" s="2">
        <v>0</v>
      </c>
      <c r="O43" s="459">
        <v>64.27</v>
      </c>
      <c r="P43" s="387"/>
      <c r="Q43" s="411">
        <v>1</v>
      </c>
      <c r="R43" s="411">
        <v>1</v>
      </c>
      <c r="S43" s="436">
        <v>0</v>
      </c>
      <c r="T43" s="411">
        <v>1</v>
      </c>
      <c r="U43" s="436">
        <v>0</v>
      </c>
      <c r="V43" s="437">
        <v>0.99999999999999978</v>
      </c>
      <c r="W43" s="455">
        <v>64.269999999999982</v>
      </c>
      <c r="X43" s="456">
        <v>0</v>
      </c>
      <c r="Y43" s="480"/>
      <c r="Z43" s="480"/>
      <c r="AA43" s="481"/>
    </row>
    <row r="44" spans="1:27" x14ac:dyDescent="0.25">
      <c r="A44" s="387" t="s">
        <v>1598</v>
      </c>
      <c r="B44" s="387" t="s">
        <v>1368</v>
      </c>
      <c r="C44" s="387" t="s">
        <v>1224</v>
      </c>
      <c r="D44" s="387" t="s">
        <v>3245</v>
      </c>
      <c r="E44" s="387" t="s">
        <v>3201</v>
      </c>
      <c r="F44" s="387" t="s">
        <v>3571</v>
      </c>
      <c r="G44" s="387">
        <v>1</v>
      </c>
      <c r="H44" s="387">
        <v>0</v>
      </c>
      <c r="I44" s="387">
        <v>1</v>
      </c>
      <c r="J44" s="387">
        <v>0</v>
      </c>
      <c r="K44" s="387" t="s">
        <v>1358</v>
      </c>
      <c r="L44" s="387">
        <v>64.27</v>
      </c>
      <c r="M44" s="387"/>
      <c r="N44" s="2">
        <v>0</v>
      </c>
      <c r="O44" s="459">
        <v>64.27</v>
      </c>
      <c r="P44" s="387"/>
      <c r="Q44" s="411">
        <v>0</v>
      </c>
      <c r="R44" s="411">
        <v>0</v>
      </c>
      <c r="S44" s="436">
        <v>0</v>
      </c>
      <c r="T44" s="411">
        <v>0</v>
      </c>
      <c r="U44" s="436">
        <v>0</v>
      </c>
      <c r="V44" s="437">
        <v>0</v>
      </c>
      <c r="W44" s="455">
        <v>0</v>
      </c>
      <c r="X44" s="456">
        <v>0</v>
      </c>
      <c r="Y44" s="480"/>
      <c r="Z44" s="480"/>
      <c r="AA44" s="481"/>
    </row>
    <row r="45" spans="1:27" x14ac:dyDescent="0.25">
      <c r="A45" s="387" t="s">
        <v>1599</v>
      </c>
      <c r="B45" s="387" t="s">
        <v>1368</v>
      </c>
      <c r="C45" s="387" t="s">
        <v>1224</v>
      </c>
      <c r="D45" s="387" t="s">
        <v>3229</v>
      </c>
      <c r="E45" s="387" t="s">
        <v>3201</v>
      </c>
      <c r="F45" s="387" t="s">
        <v>3572</v>
      </c>
      <c r="G45" s="387">
        <v>1</v>
      </c>
      <c r="H45" s="387">
        <v>0</v>
      </c>
      <c r="I45" s="387">
        <v>1</v>
      </c>
      <c r="J45" s="387">
        <v>0</v>
      </c>
      <c r="K45" s="387" t="s">
        <v>1358</v>
      </c>
      <c r="L45" s="387">
        <v>64.27</v>
      </c>
      <c r="M45" s="387"/>
      <c r="N45" s="2">
        <v>0</v>
      </c>
      <c r="O45" s="459">
        <v>64.27</v>
      </c>
      <c r="P45" s="387"/>
      <c r="Q45" s="411">
        <v>1</v>
      </c>
      <c r="R45" s="411">
        <v>1</v>
      </c>
      <c r="S45" s="436">
        <v>0</v>
      </c>
      <c r="T45" s="411">
        <v>1</v>
      </c>
      <c r="U45" s="436">
        <v>0</v>
      </c>
      <c r="V45" s="437">
        <v>0.99999999999999978</v>
      </c>
      <c r="W45" s="455">
        <v>64.269999999999982</v>
      </c>
      <c r="X45" s="456">
        <v>0</v>
      </c>
      <c r="Y45" s="480"/>
      <c r="Z45" s="480"/>
      <c r="AA45" s="481"/>
    </row>
    <row r="46" spans="1:27" x14ac:dyDescent="0.25">
      <c r="A46" s="387" t="s">
        <v>1600</v>
      </c>
      <c r="B46" s="387" t="s">
        <v>1368</v>
      </c>
      <c r="C46" s="387" t="s">
        <v>1224</v>
      </c>
      <c r="D46" s="387" t="s">
        <v>3246</v>
      </c>
      <c r="E46" s="387" t="s">
        <v>3201</v>
      </c>
      <c r="F46" s="387" t="s">
        <v>3573</v>
      </c>
      <c r="G46" s="387">
        <v>1</v>
      </c>
      <c r="H46" s="387">
        <v>0</v>
      </c>
      <c r="I46" s="387">
        <v>1</v>
      </c>
      <c r="J46" s="387">
        <v>0</v>
      </c>
      <c r="K46" s="387" t="s">
        <v>1358</v>
      </c>
      <c r="L46" s="387">
        <v>64.27</v>
      </c>
      <c r="M46" s="387"/>
      <c r="N46" s="2">
        <v>0</v>
      </c>
      <c r="O46" s="459">
        <v>64.27</v>
      </c>
      <c r="P46" s="387"/>
      <c r="Q46" s="411">
        <v>0</v>
      </c>
      <c r="R46" s="411">
        <v>0</v>
      </c>
      <c r="S46" s="436">
        <v>0</v>
      </c>
      <c r="T46" s="411">
        <v>0</v>
      </c>
      <c r="U46" s="436">
        <v>0</v>
      </c>
      <c r="V46" s="437">
        <v>0</v>
      </c>
      <c r="W46" s="455">
        <v>0</v>
      </c>
      <c r="X46" s="456">
        <v>0</v>
      </c>
      <c r="Y46" s="480"/>
      <c r="Z46" s="480"/>
      <c r="AA46" s="481"/>
    </row>
    <row r="47" spans="1:27" x14ac:dyDescent="0.25">
      <c r="A47" s="387" t="s">
        <v>1601</v>
      </c>
      <c r="B47" s="387" t="s">
        <v>1368</v>
      </c>
      <c r="C47" s="387" t="s">
        <v>1224</v>
      </c>
      <c r="D47" s="387" t="s">
        <v>3253</v>
      </c>
      <c r="E47" s="387" t="s">
        <v>3201</v>
      </c>
      <c r="F47" s="387" t="s">
        <v>3574</v>
      </c>
      <c r="G47" s="387">
        <v>1</v>
      </c>
      <c r="H47" s="387">
        <v>0</v>
      </c>
      <c r="I47" s="387">
        <v>1</v>
      </c>
      <c r="J47" s="387">
        <v>0</v>
      </c>
      <c r="K47" s="387" t="s">
        <v>1358</v>
      </c>
      <c r="L47" s="387">
        <v>64.27</v>
      </c>
      <c r="M47" s="387"/>
      <c r="N47" s="2">
        <v>0</v>
      </c>
      <c r="O47" s="459">
        <v>64.27</v>
      </c>
      <c r="P47" s="387"/>
      <c r="Q47" s="411">
        <v>0</v>
      </c>
      <c r="R47" s="411">
        <v>0</v>
      </c>
      <c r="S47" s="436">
        <v>0</v>
      </c>
      <c r="T47" s="411">
        <v>0</v>
      </c>
      <c r="U47" s="436">
        <v>0</v>
      </c>
      <c r="V47" s="437">
        <v>0</v>
      </c>
      <c r="W47" s="455">
        <v>0</v>
      </c>
      <c r="X47" s="456">
        <v>0</v>
      </c>
      <c r="Y47" s="480"/>
      <c r="Z47" s="480"/>
      <c r="AA47" s="481"/>
    </row>
    <row r="48" spans="1:27" x14ac:dyDescent="0.25">
      <c r="A48" s="387" t="s">
        <v>1602</v>
      </c>
      <c r="B48" s="387" t="s">
        <v>1368</v>
      </c>
      <c r="C48" s="387" t="s">
        <v>1224</v>
      </c>
      <c r="D48" s="387" t="s">
        <v>3226</v>
      </c>
      <c r="E48" s="387" t="s">
        <v>3201</v>
      </c>
      <c r="F48" s="387" t="s">
        <v>3575</v>
      </c>
      <c r="G48" s="387">
        <v>1</v>
      </c>
      <c r="H48" s="387">
        <v>0</v>
      </c>
      <c r="I48" s="387">
        <v>1</v>
      </c>
      <c r="J48" s="387">
        <v>0</v>
      </c>
      <c r="K48" s="387" t="s">
        <v>1358</v>
      </c>
      <c r="L48" s="387">
        <v>64.27</v>
      </c>
      <c r="M48" s="387"/>
      <c r="N48" s="2">
        <v>0</v>
      </c>
      <c r="O48" s="459">
        <v>64.27</v>
      </c>
      <c r="P48" s="387"/>
      <c r="Q48" s="411">
        <v>1</v>
      </c>
      <c r="R48" s="411">
        <v>1</v>
      </c>
      <c r="S48" s="436">
        <v>0</v>
      </c>
      <c r="T48" s="411">
        <v>0</v>
      </c>
      <c r="U48" s="436">
        <v>0</v>
      </c>
      <c r="V48" s="437">
        <v>0.89999999999999991</v>
      </c>
      <c r="W48" s="455">
        <v>57.842999999999989</v>
      </c>
      <c r="X48" s="456">
        <v>0</v>
      </c>
      <c r="Y48" s="480"/>
      <c r="Z48" s="480"/>
      <c r="AA48" s="481"/>
    </row>
    <row r="49" spans="1:27" x14ac:dyDescent="0.25">
      <c r="A49" s="387" t="s">
        <v>1603</v>
      </c>
      <c r="B49" s="387" t="s">
        <v>1368</v>
      </c>
      <c r="C49" s="387" t="s">
        <v>1224</v>
      </c>
      <c r="D49" s="387" t="s">
        <v>3295</v>
      </c>
      <c r="E49" s="387" t="s">
        <v>3201</v>
      </c>
      <c r="F49" s="387" t="s">
        <v>3576</v>
      </c>
      <c r="G49" s="387">
        <v>1</v>
      </c>
      <c r="H49" s="387">
        <v>0</v>
      </c>
      <c r="I49" s="387">
        <v>1</v>
      </c>
      <c r="J49" s="387">
        <v>0</v>
      </c>
      <c r="K49" s="387" t="s">
        <v>1358</v>
      </c>
      <c r="L49" s="387">
        <v>64.27</v>
      </c>
      <c r="M49" s="387"/>
      <c r="N49" s="2">
        <v>0</v>
      </c>
      <c r="O49" s="459">
        <v>64.27</v>
      </c>
      <c r="P49" s="387"/>
      <c r="Q49" s="411">
        <v>0</v>
      </c>
      <c r="R49" s="411">
        <v>0</v>
      </c>
      <c r="S49" s="436">
        <v>0</v>
      </c>
      <c r="T49" s="411">
        <v>0</v>
      </c>
      <c r="U49" s="436">
        <v>0</v>
      </c>
      <c r="V49" s="437">
        <v>0</v>
      </c>
      <c r="W49" s="455">
        <v>0</v>
      </c>
      <c r="X49" s="456">
        <v>0</v>
      </c>
      <c r="Y49" s="480"/>
      <c r="Z49" s="480"/>
      <c r="AA49" s="481"/>
    </row>
    <row r="50" spans="1:27" x14ac:dyDescent="0.25">
      <c r="A50" s="387" t="s">
        <v>1604</v>
      </c>
      <c r="B50" s="387" t="s">
        <v>1368</v>
      </c>
      <c r="C50" s="387" t="s">
        <v>1224</v>
      </c>
      <c r="D50" s="387" t="s">
        <v>3296</v>
      </c>
      <c r="E50" s="387" t="s">
        <v>3201</v>
      </c>
      <c r="F50" s="387" t="s">
        <v>3577</v>
      </c>
      <c r="G50" s="387">
        <v>1</v>
      </c>
      <c r="H50" s="387">
        <v>0</v>
      </c>
      <c r="I50" s="387">
        <v>1</v>
      </c>
      <c r="J50" s="387">
        <v>0</v>
      </c>
      <c r="K50" s="387" t="s">
        <v>1358</v>
      </c>
      <c r="L50" s="387">
        <v>64.27</v>
      </c>
      <c r="M50" s="387"/>
      <c r="N50" s="2">
        <v>0</v>
      </c>
      <c r="O50" s="459">
        <v>64.27</v>
      </c>
      <c r="P50" s="387"/>
      <c r="Q50" s="411">
        <v>0</v>
      </c>
      <c r="R50" s="411">
        <v>0</v>
      </c>
      <c r="S50" s="436">
        <v>0</v>
      </c>
      <c r="T50" s="411">
        <v>0</v>
      </c>
      <c r="U50" s="436">
        <v>0</v>
      </c>
      <c r="V50" s="437">
        <v>0</v>
      </c>
      <c r="W50" s="455">
        <v>0</v>
      </c>
      <c r="X50" s="456">
        <v>0</v>
      </c>
      <c r="Y50" s="480"/>
      <c r="Z50" s="480"/>
      <c r="AA50" s="481"/>
    </row>
    <row r="51" spans="1:27" x14ac:dyDescent="0.25">
      <c r="A51" s="387" t="s">
        <v>1605</v>
      </c>
      <c r="B51" s="387" t="s">
        <v>1368</v>
      </c>
      <c r="C51" s="387" t="s">
        <v>1224</v>
      </c>
      <c r="D51" s="387" t="s">
        <v>3303</v>
      </c>
      <c r="E51" s="387" t="s">
        <v>3201</v>
      </c>
      <c r="F51" s="387" t="s">
        <v>3578</v>
      </c>
      <c r="G51" s="387">
        <v>1</v>
      </c>
      <c r="H51" s="387">
        <v>0</v>
      </c>
      <c r="I51" s="387">
        <v>1</v>
      </c>
      <c r="J51" s="387">
        <v>0</v>
      </c>
      <c r="K51" s="387" t="s">
        <v>1358</v>
      </c>
      <c r="L51" s="387">
        <v>64.27</v>
      </c>
      <c r="M51" s="387"/>
      <c r="N51" s="2">
        <v>0</v>
      </c>
      <c r="O51" s="459">
        <v>64.27</v>
      </c>
      <c r="P51" s="387"/>
      <c r="Q51" s="411">
        <v>0</v>
      </c>
      <c r="R51" s="411">
        <v>0</v>
      </c>
      <c r="S51" s="436">
        <v>0</v>
      </c>
      <c r="T51" s="411">
        <v>0</v>
      </c>
      <c r="U51" s="436">
        <v>0</v>
      </c>
      <c r="V51" s="437">
        <v>0</v>
      </c>
      <c r="W51" s="455">
        <v>0</v>
      </c>
      <c r="X51" s="456">
        <v>0</v>
      </c>
      <c r="Y51" s="480"/>
      <c r="Z51" s="480"/>
      <c r="AA51" s="481"/>
    </row>
    <row r="52" spans="1:27" x14ac:dyDescent="0.25">
      <c r="A52" s="387" t="s">
        <v>1606</v>
      </c>
      <c r="B52" s="387" t="s">
        <v>1368</v>
      </c>
      <c r="C52" s="387" t="s">
        <v>1224</v>
      </c>
      <c r="D52" s="387" t="s">
        <v>3237</v>
      </c>
      <c r="E52" s="387" t="s">
        <v>3201</v>
      </c>
      <c r="F52" s="387" t="s">
        <v>3579</v>
      </c>
      <c r="G52" s="387">
        <v>1</v>
      </c>
      <c r="H52" s="387">
        <v>0</v>
      </c>
      <c r="I52" s="387">
        <v>1</v>
      </c>
      <c r="J52" s="387">
        <v>0</v>
      </c>
      <c r="K52" s="387" t="s">
        <v>1358</v>
      </c>
      <c r="L52" s="387">
        <v>64.27</v>
      </c>
      <c r="M52" s="387"/>
      <c r="N52" s="2">
        <v>0</v>
      </c>
      <c r="O52" s="459">
        <v>64.27</v>
      </c>
      <c r="P52" s="387"/>
      <c r="Q52" s="411">
        <v>1</v>
      </c>
      <c r="R52" s="411">
        <v>1</v>
      </c>
      <c r="S52" s="436">
        <v>0</v>
      </c>
      <c r="T52" s="411">
        <v>0</v>
      </c>
      <c r="U52" s="436">
        <v>0</v>
      </c>
      <c r="V52" s="437">
        <v>0.89999999999999991</v>
      </c>
      <c r="W52" s="455">
        <v>57.842999999999989</v>
      </c>
      <c r="X52" s="456">
        <v>0</v>
      </c>
      <c r="Y52" s="480"/>
      <c r="Z52" s="480"/>
      <c r="AA52" s="481"/>
    </row>
    <row r="53" spans="1:27" x14ac:dyDescent="0.25">
      <c r="A53" s="387" t="s">
        <v>1607</v>
      </c>
      <c r="B53" s="387" t="s">
        <v>1368</v>
      </c>
      <c r="C53" s="387" t="s">
        <v>1224</v>
      </c>
      <c r="D53" s="387" t="s">
        <v>3238</v>
      </c>
      <c r="E53" s="387" t="s">
        <v>3201</v>
      </c>
      <c r="F53" s="387" t="s">
        <v>3580</v>
      </c>
      <c r="G53" s="387">
        <v>1</v>
      </c>
      <c r="H53" s="387">
        <v>0</v>
      </c>
      <c r="I53" s="387">
        <v>1</v>
      </c>
      <c r="J53" s="387">
        <v>0</v>
      </c>
      <c r="K53" s="387" t="s">
        <v>1358</v>
      </c>
      <c r="L53" s="387">
        <v>64.27</v>
      </c>
      <c r="M53" s="387"/>
      <c r="N53" s="2">
        <v>0</v>
      </c>
      <c r="O53" s="459">
        <v>64.27</v>
      </c>
      <c r="P53" s="387"/>
      <c r="Q53" s="411">
        <v>1</v>
      </c>
      <c r="R53" s="411">
        <v>1</v>
      </c>
      <c r="S53" s="436">
        <v>0</v>
      </c>
      <c r="T53" s="411">
        <v>0</v>
      </c>
      <c r="U53" s="436">
        <v>0</v>
      </c>
      <c r="V53" s="437">
        <v>0.89999999999999991</v>
      </c>
      <c r="W53" s="455">
        <v>57.842999999999989</v>
      </c>
      <c r="X53" s="456">
        <v>0</v>
      </c>
      <c r="Y53" s="480"/>
      <c r="Z53" s="480"/>
      <c r="AA53" s="481"/>
    </row>
    <row r="54" spans="1:27" x14ac:dyDescent="0.25">
      <c r="A54" s="387" t="s">
        <v>1608</v>
      </c>
      <c r="B54" s="387" t="s">
        <v>1368</v>
      </c>
      <c r="C54" s="387" t="s">
        <v>1224</v>
      </c>
      <c r="D54" s="387" t="s">
        <v>3239</v>
      </c>
      <c r="E54" s="387" t="s">
        <v>3201</v>
      </c>
      <c r="F54" s="387" t="s">
        <v>3581</v>
      </c>
      <c r="G54" s="387">
        <v>1</v>
      </c>
      <c r="H54" s="387">
        <v>0</v>
      </c>
      <c r="I54" s="387">
        <v>1</v>
      </c>
      <c r="J54" s="387">
        <v>0</v>
      </c>
      <c r="K54" s="387" t="s">
        <v>1358</v>
      </c>
      <c r="L54" s="387">
        <v>64.27</v>
      </c>
      <c r="M54" s="387"/>
      <c r="N54" s="2">
        <v>0</v>
      </c>
      <c r="O54" s="459">
        <v>64.27</v>
      </c>
      <c r="P54" s="387"/>
      <c r="Q54" s="411">
        <v>1</v>
      </c>
      <c r="R54" s="411">
        <v>1</v>
      </c>
      <c r="S54" s="436">
        <v>0</v>
      </c>
      <c r="T54" s="411">
        <v>1</v>
      </c>
      <c r="U54" s="436">
        <v>0</v>
      </c>
      <c r="V54" s="437">
        <v>0.99999999999999978</v>
      </c>
      <c r="W54" s="455">
        <v>64.269999999999982</v>
      </c>
      <c r="X54" s="456">
        <v>0</v>
      </c>
      <c r="Y54" s="480"/>
      <c r="Z54" s="480"/>
      <c r="AA54" s="481"/>
    </row>
    <row r="55" spans="1:27" x14ac:dyDescent="0.25">
      <c r="A55" s="387" t="s">
        <v>1609</v>
      </c>
      <c r="B55" s="387" t="s">
        <v>1368</v>
      </c>
      <c r="C55" s="387" t="s">
        <v>1224</v>
      </c>
      <c r="D55" s="387" t="s">
        <v>3240</v>
      </c>
      <c r="E55" s="387" t="s">
        <v>3201</v>
      </c>
      <c r="F55" s="387" t="s">
        <v>3582</v>
      </c>
      <c r="G55" s="387">
        <v>1</v>
      </c>
      <c r="H55" s="387">
        <v>0</v>
      </c>
      <c r="I55" s="387">
        <v>1</v>
      </c>
      <c r="J55" s="387">
        <v>0</v>
      </c>
      <c r="K55" s="387" t="s">
        <v>1358</v>
      </c>
      <c r="L55" s="387">
        <v>64.27</v>
      </c>
      <c r="M55" s="387"/>
      <c r="N55" s="2">
        <v>0</v>
      </c>
      <c r="O55" s="459">
        <v>64.27</v>
      </c>
      <c r="P55" s="387"/>
      <c r="Q55" s="411">
        <v>1</v>
      </c>
      <c r="R55" s="411">
        <v>1</v>
      </c>
      <c r="S55" s="436">
        <v>0</v>
      </c>
      <c r="T55" s="411">
        <v>0</v>
      </c>
      <c r="U55" s="436">
        <v>0</v>
      </c>
      <c r="V55" s="437">
        <v>0.89999999999999991</v>
      </c>
      <c r="W55" s="455">
        <v>57.842999999999989</v>
      </c>
      <c r="X55" s="456">
        <v>0</v>
      </c>
      <c r="Y55" s="480"/>
      <c r="Z55" s="480"/>
      <c r="AA55" s="481"/>
    </row>
    <row r="56" spans="1:27" x14ac:dyDescent="0.25">
      <c r="A56" s="387" t="s">
        <v>1610</v>
      </c>
      <c r="B56" s="387" t="s">
        <v>1368</v>
      </c>
      <c r="C56" s="387" t="s">
        <v>1224</v>
      </c>
      <c r="D56" s="387" t="s">
        <v>3261</v>
      </c>
      <c r="E56" s="387" t="s">
        <v>3201</v>
      </c>
      <c r="F56" s="387" t="s">
        <v>3583</v>
      </c>
      <c r="G56" s="387">
        <v>1</v>
      </c>
      <c r="H56" s="387">
        <v>0</v>
      </c>
      <c r="I56" s="387">
        <v>1</v>
      </c>
      <c r="J56" s="387">
        <v>0</v>
      </c>
      <c r="K56" s="387" t="s">
        <v>1358</v>
      </c>
      <c r="L56" s="387">
        <v>64.27</v>
      </c>
      <c r="M56" s="387"/>
      <c r="N56" s="2">
        <v>0</v>
      </c>
      <c r="O56" s="459">
        <v>64.27</v>
      </c>
      <c r="P56" s="387"/>
      <c r="Q56" s="411">
        <v>0</v>
      </c>
      <c r="R56" s="411">
        <v>0</v>
      </c>
      <c r="S56" s="436">
        <v>0</v>
      </c>
      <c r="T56" s="411">
        <v>0</v>
      </c>
      <c r="U56" s="436">
        <v>0</v>
      </c>
      <c r="V56" s="437">
        <v>0</v>
      </c>
      <c r="W56" s="455">
        <v>0</v>
      </c>
      <c r="X56" s="456">
        <v>0</v>
      </c>
      <c r="Y56" s="480"/>
      <c r="Z56" s="480"/>
      <c r="AA56" s="481"/>
    </row>
    <row r="57" spans="1:27" x14ac:dyDescent="0.25">
      <c r="A57" s="387" t="s">
        <v>1611</v>
      </c>
      <c r="B57" s="387" t="s">
        <v>1368</v>
      </c>
      <c r="C57" s="387" t="s">
        <v>1224</v>
      </c>
      <c r="D57" s="387" t="s">
        <v>3262</v>
      </c>
      <c r="E57" s="387" t="s">
        <v>3201</v>
      </c>
      <c r="F57" s="387" t="s">
        <v>3584</v>
      </c>
      <c r="G57" s="387">
        <v>1</v>
      </c>
      <c r="H57" s="387">
        <v>0</v>
      </c>
      <c r="I57" s="387">
        <v>1</v>
      </c>
      <c r="J57" s="387">
        <v>0</v>
      </c>
      <c r="K57" s="387" t="s">
        <v>1358</v>
      </c>
      <c r="L57" s="387">
        <v>64.27</v>
      </c>
      <c r="M57" s="387"/>
      <c r="N57" s="2">
        <v>0</v>
      </c>
      <c r="O57" s="459">
        <v>64.27</v>
      </c>
      <c r="P57" s="387"/>
      <c r="Q57" s="411">
        <v>0</v>
      </c>
      <c r="R57" s="411">
        <v>0</v>
      </c>
      <c r="S57" s="436">
        <v>0</v>
      </c>
      <c r="T57" s="411">
        <v>0</v>
      </c>
      <c r="U57" s="436">
        <v>0</v>
      </c>
      <c r="V57" s="437">
        <v>0</v>
      </c>
      <c r="W57" s="455">
        <v>0</v>
      </c>
      <c r="X57" s="456">
        <v>0</v>
      </c>
      <c r="Y57" s="480"/>
      <c r="Z57" s="480"/>
      <c r="AA57" s="481"/>
    </row>
    <row r="58" spans="1:27" x14ac:dyDescent="0.25">
      <c r="A58" s="387" t="s">
        <v>1612</v>
      </c>
      <c r="B58" s="387" t="s">
        <v>1368</v>
      </c>
      <c r="C58" s="387" t="s">
        <v>1224</v>
      </c>
      <c r="D58" s="387" t="s">
        <v>3277</v>
      </c>
      <c r="E58" s="387" t="s">
        <v>3201</v>
      </c>
      <c r="F58" s="387" t="s">
        <v>3585</v>
      </c>
      <c r="G58" s="387">
        <v>1</v>
      </c>
      <c r="H58" s="387">
        <v>0</v>
      </c>
      <c r="I58" s="387">
        <v>1</v>
      </c>
      <c r="J58" s="387">
        <v>0</v>
      </c>
      <c r="K58" s="387" t="s">
        <v>1358</v>
      </c>
      <c r="L58" s="387">
        <v>64.27</v>
      </c>
      <c r="M58" s="387"/>
      <c r="N58" s="2">
        <v>0</v>
      </c>
      <c r="O58" s="459">
        <v>64.27</v>
      </c>
      <c r="P58" s="387"/>
      <c r="Q58" s="411">
        <v>0</v>
      </c>
      <c r="R58" s="411">
        <v>0</v>
      </c>
      <c r="S58" s="436">
        <v>0</v>
      </c>
      <c r="T58" s="411">
        <v>0</v>
      </c>
      <c r="U58" s="436">
        <v>0</v>
      </c>
      <c r="V58" s="437">
        <v>0</v>
      </c>
      <c r="W58" s="455">
        <v>0</v>
      </c>
      <c r="X58" s="456">
        <v>0</v>
      </c>
      <c r="Y58" s="480"/>
      <c r="Z58" s="480"/>
      <c r="AA58" s="481"/>
    </row>
    <row r="59" spans="1:27" x14ac:dyDescent="0.25">
      <c r="A59" s="387" t="s">
        <v>1613</v>
      </c>
      <c r="B59" s="387" t="s">
        <v>1368</v>
      </c>
      <c r="C59" s="387" t="s">
        <v>1224</v>
      </c>
      <c r="D59" s="387" t="s">
        <v>3289</v>
      </c>
      <c r="E59" s="387" t="s">
        <v>3201</v>
      </c>
      <c r="F59" s="387" t="s">
        <v>3586</v>
      </c>
      <c r="G59" s="387">
        <v>1</v>
      </c>
      <c r="H59" s="387">
        <v>0</v>
      </c>
      <c r="I59" s="387">
        <v>1</v>
      </c>
      <c r="J59" s="387">
        <v>0</v>
      </c>
      <c r="K59" s="387" t="s">
        <v>1358</v>
      </c>
      <c r="L59" s="387">
        <v>64.27</v>
      </c>
      <c r="M59" s="387"/>
      <c r="N59" s="2">
        <v>0</v>
      </c>
      <c r="O59" s="459">
        <v>64.27</v>
      </c>
      <c r="P59" s="387"/>
      <c r="Q59" s="411">
        <v>0</v>
      </c>
      <c r="R59" s="411">
        <v>0</v>
      </c>
      <c r="S59" s="436">
        <v>0</v>
      </c>
      <c r="T59" s="411">
        <v>0</v>
      </c>
      <c r="U59" s="436">
        <v>0</v>
      </c>
      <c r="V59" s="437">
        <v>0</v>
      </c>
      <c r="W59" s="455">
        <v>0</v>
      </c>
      <c r="X59" s="456">
        <v>0</v>
      </c>
      <c r="Y59" s="480"/>
      <c r="Z59" s="480"/>
      <c r="AA59" s="481"/>
    </row>
    <row r="60" spans="1:27" x14ac:dyDescent="0.25">
      <c r="A60" s="387" t="s">
        <v>1614</v>
      </c>
      <c r="B60" s="387" t="s">
        <v>1368</v>
      </c>
      <c r="C60" s="387" t="s">
        <v>1224</v>
      </c>
      <c r="D60" s="387" t="s">
        <v>3286</v>
      </c>
      <c r="E60" s="387" t="s">
        <v>3201</v>
      </c>
      <c r="F60" s="387" t="s">
        <v>3587</v>
      </c>
      <c r="G60" s="387">
        <v>1</v>
      </c>
      <c r="H60" s="387">
        <v>0</v>
      </c>
      <c r="I60" s="387">
        <v>1</v>
      </c>
      <c r="J60" s="387">
        <v>0</v>
      </c>
      <c r="K60" s="387" t="s">
        <v>1358</v>
      </c>
      <c r="L60" s="387">
        <v>64.27</v>
      </c>
      <c r="M60" s="387"/>
      <c r="N60" s="2">
        <v>0</v>
      </c>
      <c r="O60" s="459">
        <v>64.27</v>
      </c>
      <c r="P60" s="387"/>
      <c r="Q60" s="411">
        <v>0</v>
      </c>
      <c r="R60" s="411">
        <v>0</v>
      </c>
      <c r="S60" s="436">
        <v>0</v>
      </c>
      <c r="T60" s="411">
        <v>0</v>
      </c>
      <c r="U60" s="436">
        <v>0</v>
      </c>
      <c r="V60" s="437">
        <v>0</v>
      </c>
      <c r="W60" s="455">
        <v>0</v>
      </c>
      <c r="X60" s="456">
        <v>0</v>
      </c>
      <c r="Y60" s="480"/>
      <c r="Z60" s="480"/>
      <c r="AA60" s="481"/>
    </row>
    <row r="61" spans="1:27" x14ac:dyDescent="0.25">
      <c r="A61" s="387" t="s">
        <v>1615</v>
      </c>
      <c r="B61" s="387" t="s">
        <v>1368</v>
      </c>
      <c r="C61" s="387" t="s">
        <v>1224</v>
      </c>
      <c r="D61" s="387" t="s">
        <v>3265</v>
      </c>
      <c r="E61" s="387" t="s">
        <v>3201</v>
      </c>
      <c r="F61" s="387" t="s">
        <v>3588</v>
      </c>
      <c r="G61" s="387">
        <v>1</v>
      </c>
      <c r="H61" s="387">
        <v>0</v>
      </c>
      <c r="I61" s="387">
        <v>1</v>
      </c>
      <c r="J61" s="387">
        <v>0</v>
      </c>
      <c r="K61" s="387" t="s">
        <v>1358</v>
      </c>
      <c r="L61" s="387">
        <v>64.27</v>
      </c>
      <c r="M61" s="387"/>
      <c r="N61" s="2">
        <v>0</v>
      </c>
      <c r="O61" s="459">
        <v>64.27</v>
      </c>
      <c r="P61" s="387"/>
      <c r="Q61" s="411">
        <v>0</v>
      </c>
      <c r="R61" s="411">
        <v>0</v>
      </c>
      <c r="S61" s="436">
        <v>0</v>
      </c>
      <c r="T61" s="411">
        <v>0</v>
      </c>
      <c r="U61" s="436">
        <v>0</v>
      </c>
      <c r="V61" s="437">
        <v>0</v>
      </c>
      <c r="W61" s="455">
        <v>0</v>
      </c>
      <c r="X61" s="456">
        <v>0</v>
      </c>
      <c r="Y61" s="480"/>
      <c r="Z61" s="480"/>
      <c r="AA61" s="481"/>
    </row>
    <row r="62" spans="1:27" x14ac:dyDescent="0.25">
      <c r="A62" s="387" t="s">
        <v>1616</v>
      </c>
      <c r="B62" s="387" t="s">
        <v>1368</v>
      </c>
      <c r="C62" s="387" t="s">
        <v>1224</v>
      </c>
      <c r="D62" s="387" t="s">
        <v>3266</v>
      </c>
      <c r="E62" s="387" t="s">
        <v>3201</v>
      </c>
      <c r="F62" s="387" t="s">
        <v>3589</v>
      </c>
      <c r="G62" s="387">
        <v>1</v>
      </c>
      <c r="H62" s="387">
        <v>0</v>
      </c>
      <c r="I62" s="387">
        <v>1</v>
      </c>
      <c r="J62" s="387">
        <v>0</v>
      </c>
      <c r="K62" s="387" t="s">
        <v>1358</v>
      </c>
      <c r="L62" s="387">
        <v>64.27</v>
      </c>
      <c r="M62" s="387"/>
      <c r="N62" s="2">
        <v>0</v>
      </c>
      <c r="O62" s="459">
        <v>64.27</v>
      </c>
      <c r="P62" s="387"/>
      <c r="Q62" s="411">
        <v>0</v>
      </c>
      <c r="R62" s="411">
        <v>0</v>
      </c>
      <c r="S62" s="436">
        <v>0</v>
      </c>
      <c r="T62" s="411">
        <v>0</v>
      </c>
      <c r="U62" s="436">
        <v>0</v>
      </c>
      <c r="V62" s="437">
        <v>0</v>
      </c>
      <c r="W62" s="455">
        <v>0</v>
      </c>
      <c r="X62" s="456">
        <v>0</v>
      </c>
      <c r="Y62" s="480"/>
      <c r="Z62" s="480"/>
      <c r="AA62" s="481"/>
    </row>
    <row r="63" spans="1:27" x14ac:dyDescent="0.25">
      <c r="A63" s="387" t="s">
        <v>1617</v>
      </c>
      <c r="B63" s="387" t="s">
        <v>1368</v>
      </c>
      <c r="C63" s="387" t="s">
        <v>1224</v>
      </c>
      <c r="D63" s="387" t="s">
        <v>3279</v>
      </c>
      <c r="E63" s="387" t="s">
        <v>3201</v>
      </c>
      <c r="F63" s="387" t="s">
        <v>3590</v>
      </c>
      <c r="G63" s="387">
        <v>1</v>
      </c>
      <c r="H63" s="387">
        <v>0</v>
      </c>
      <c r="I63" s="387">
        <v>1</v>
      </c>
      <c r="J63" s="387">
        <v>0</v>
      </c>
      <c r="K63" s="387" t="s">
        <v>1358</v>
      </c>
      <c r="L63" s="387">
        <v>64.27</v>
      </c>
      <c r="M63" s="387"/>
      <c r="N63" s="2">
        <v>0</v>
      </c>
      <c r="O63" s="459">
        <v>64.27</v>
      </c>
      <c r="P63" s="387"/>
      <c r="Q63" s="411">
        <v>0</v>
      </c>
      <c r="R63" s="411">
        <v>0</v>
      </c>
      <c r="S63" s="436">
        <v>0</v>
      </c>
      <c r="T63" s="411">
        <v>0</v>
      </c>
      <c r="U63" s="436">
        <v>0</v>
      </c>
      <c r="V63" s="437">
        <v>0</v>
      </c>
      <c r="W63" s="455">
        <v>0</v>
      </c>
      <c r="X63" s="456">
        <v>0</v>
      </c>
      <c r="Y63" s="480"/>
      <c r="Z63" s="480"/>
      <c r="AA63" s="481"/>
    </row>
    <row r="64" spans="1:27" x14ac:dyDescent="0.25">
      <c r="A64" s="387" t="s">
        <v>1618</v>
      </c>
      <c r="B64" s="387" t="s">
        <v>1368</v>
      </c>
      <c r="C64" s="387" t="s">
        <v>1224</v>
      </c>
      <c r="D64" s="387" t="s">
        <v>3267</v>
      </c>
      <c r="E64" s="387" t="s">
        <v>3201</v>
      </c>
      <c r="F64" s="387" t="s">
        <v>3591</v>
      </c>
      <c r="G64" s="387">
        <v>1</v>
      </c>
      <c r="H64" s="387">
        <v>0</v>
      </c>
      <c r="I64" s="387">
        <v>1</v>
      </c>
      <c r="J64" s="387">
        <v>0</v>
      </c>
      <c r="K64" s="387" t="s">
        <v>1358</v>
      </c>
      <c r="L64" s="387">
        <v>64.27</v>
      </c>
      <c r="M64" s="387"/>
      <c r="N64" s="2">
        <v>0</v>
      </c>
      <c r="O64" s="459">
        <v>64.27</v>
      </c>
      <c r="P64" s="387"/>
      <c r="Q64" s="411">
        <v>0</v>
      </c>
      <c r="R64" s="411">
        <v>0</v>
      </c>
      <c r="S64" s="436">
        <v>0</v>
      </c>
      <c r="T64" s="411">
        <v>0</v>
      </c>
      <c r="U64" s="436">
        <v>0</v>
      </c>
      <c r="V64" s="437">
        <v>0</v>
      </c>
      <c r="W64" s="455">
        <v>0</v>
      </c>
      <c r="X64" s="456">
        <v>0</v>
      </c>
      <c r="Y64" s="480"/>
      <c r="Z64" s="480"/>
      <c r="AA64" s="481"/>
    </row>
    <row r="65" spans="1:27" x14ac:dyDescent="0.25">
      <c r="A65" s="387" t="s">
        <v>1619</v>
      </c>
      <c r="B65" s="387" t="s">
        <v>1368</v>
      </c>
      <c r="C65" s="387" t="s">
        <v>1224</v>
      </c>
      <c r="D65" s="387" t="s">
        <v>3268</v>
      </c>
      <c r="E65" s="387" t="s">
        <v>3201</v>
      </c>
      <c r="F65" s="387" t="s">
        <v>3592</v>
      </c>
      <c r="G65" s="387">
        <v>1</v>
      </c>
      <c r="H65" s="387">
        <v>0</v>
      </c>
      <c r="I65" s="387">
        <v>1</v>
      </c>
      <c r="J65" s="387">
        <v>0</v>
      </c>
      <c r="K65" s="387" t="s">
        <v>1358</v>
      </c>
      <c r="L65" s="387">
        <v>64.27</v>
      </c>
      <c r="M65" s="387"/>
      <c r="N65" s="2">
        <v>0</v>
      </c>
      <c r="O65" s="459">
        <v>64.27</v>
      </c>
      <c r="P65" s="387"/>
      <c r="Q65" s="411">
        <v>0</v>
      </c>
      <c r="R65" s="411">
        <v>0</v>
      </c>
      <c r="S65" s="436">
        <v>0</v>
      </c>
      <c r="T65" s="411">
        <v>0</v>
      </c>
      <c r="U65" s="436">
        <v>0</v>
      </c>
      <c r="V65" s="437">
        <v>0</v>
      </c>
      <c r="W65" s="455">
        <v>0</v>
      </c>
      <c r="X65" s="456">
        <v>0</v>
      </c>
      <c r="Y65" s="480"/>
      <c r="Z65" s="480"/>
      <c r="AA65" s="481"/>
    </row>
    <row r="66" spans="1:27" x14ac:dyDescent="0.25">
      <c r="A66" s="387" t="s">
        <v>1620</v>
      </c>
      <c r="B66" s="387" t="s">
        <v>1368</v>
      </c>
      <c r="C66" s="387" t="s">
        <v>1224</v>
      </c>
      <c r="D66" s="387" t="s">
        <v>3280</v>
      </c>
      <c r="E66" s="387" t="s">
        <v>3201</v>
      </c>
      <c r="F66" s="387" t="s">
        <v>3593</v>
      </c>
      <c r="G66" s="387">
        <v>1</v>
      </c>
      <c r="H66" s="387">
        <v>0</v>
      </c>
      <c r="I66" s="387">
        <v>1</v>
      </c>
      <c r="J66" s="387">
        <v>0</v>
      </c>
      <c r="K66" s="387" t="s">
        <v>1358</v>
      </c>
      <c r="L66" s="387">
        <v>64.27</v>
      </c>
      <c r="M66" s="387"/>
      <c r="N66" s="2">
        <v>0</v>
      </c>
      <c r="O66" s="459">
        <v>64.27</v>
      </c>
      <c r="P66" s="387"/>
      <c r="Q66" s="411">
        <v>0</v>
      </c>
      <c r="R66" s="411">
        <v>0</v>
      </c>
      <c r="S66" s="436">
        <v>0</v>
      </c>
      <c r="T66" s="411">
        <v>0</v>
      </c>
      <c r="U66" s="436">
        <v>0</v>
      </c>
      <c r="V66" s="437">
        <v>0</v>
      </c>
      <c r="W66" s="455">
        <v>0</v>
      </c>
      <c r="X66" s="456">
        <v>0</v>
      </c>
      <c r="Y66" s="480"/>
      <c r="Z66" s="480"/>
      <c r="AA66" s="481"/>
    </row>
    <row r="67" spans="1:27" x14ac:dyDescent="0.25">
      <c r="A67" s="387" t="s">
        <v>1621</v>
      </c>
      <c r="B67" s="387" t="s">
        <v>1368</v>
      </c>
      <c r="C67" s="387" t="s">
        <v>1224</v>
      </c>
      <c r="D67" s="387" t="s">
        <v>3287</v>
      </c>
      <c r="E67" s="387" t="s">
        <v>3201</v>
      </c>
      <c r="F67" s="387" t="s">
        <v>3594</v>
      </c>
      <c r="G67" s="387">
        <v>1</v>
      </c>
      <c r="H67" s="387">
        <v>0</v>
      </c>
      <c r="I67" s="387">
        <v>1</v>
      </c>
      <c r="J67" s="387">
        <v>0</v>
      </c>
      <c r="K67" s="387" t="s">
        <v>1358</v>
      </c>
      <c r="L67" s="387">
        <v>64.27</v>
      </c>
      <c r="M67" s="387"/>
      <c r="N67" s="2">
        <v>0</v>
      </c>
      <c r="O67" s="459">
        <v>64.27</v>
      </c>
      <c r="P67" s="387"/>
      <c r="Q67" s="411">
        <v>0</v>
      </c>
      <c r="R67" s="411">
        <v>0</v>
      </c>
      <c r="S67" s="436">
        <v>0</v>
      </c>
      <c r="T67" s="411">
        <v>0</v>
      </c>
      <c r="U67" s="436">
        <v>0</v>
      </c>
      <c r="V67" s="437">
        <v>0</v>
      </c>
      <c r="W67" s="455">
        <v>0</v>
      </c>
      <c r="X67" s="456">
        <v>0</v>
      </c>
      <c r="Y67" s="480"/>
      <c r="Z67" s="480"/>
      <c r="AA67" s="481"/>
    </row>
    <row r="68" spans="1:27" x14ac:dyDescent="0.25">
      <c r="A68" s="387" t="s">
        <v>1622</v>
      </c>
      <c r="B68" s="387" t="s">
        <v>1368</v>
      </c>
      <c r="C68" s="387" t="s">
        <v>1224</v>
      </c>
      <c r="D68" s="387" t="s">
        <v>3288</v>
      </c>
      <c r="E68" s="387" t="s">
        <v>3201</v>
      </c>
      <c r="F68" s="387" t="s">
        <v>3595</v>
      </c>
      <c r="G68" s="387">
        <v>1</v>
      </c>
      <c r="H68" s="387">
        <v>0</v>
      </c>
      <c r="I68" s="387">
        <v>1</v>
      </c>
      <c r="J68" s="387">
        <v>0</v>
      </c>
      <c r="K68" s="387" t="s">
        <v>1358</v>
      </c>
      <c r="L68" s="387">
        <v>64.27</v>
      </c>
      <c r="M68" s="387"/>
      <c r="N68" s="2">
        <v>0</v>
      </c>
      <c r="O68" s="459">
        <v>64.27</v>
      </c>
      <c r="P68" s="387"/>
      <c r="Q68" s="411">
        <v>0</v>
      </c>
      <c r="R68" s="411">
        <v>0</v>
      </c>
      <c r="S68" s="436">
        <v>0</v>
      </c>
      <c r="T68" s="411">
        <v>0</v>
      </c>
      <c r="U68" s="436">
        <v>0</v>
      </c>
      <c r="V68" s="437">
        <v>0</v>
      </c>
      <c r="W68" s="455">
        <v>0</v>
      </c>
      <c r="X68" s="456">
        <v>0</v>
      </c>
      <c r="Y68" s="480"/>
      <c r="Z68" s="480"/>
      <c r="AA68" s="481"/>
    </row>
    <row r="69" spans="1:27" x14ac:dyDescent="0.25">
      <c r="A69" s="387" t="s">
        <v>1583</v>
      </c>
      <c r="B69" s="387" t="s">
        <v>1368</v>
      </c>
      <c r="C69" s="387" t="s">
        <v>1224</v>
      </c>
      <c r="D69" s="387" t="s">
        <v>3214</v>
      </c>
      <c r="E69" s="387" t="s">
        <v>3201</v>
      </c>
      <c r="F69" s="387" t="s">
        <v>3596</v>
      </c>
      <c r="G69" s="387">
        <v>1</v>
      </c>
      <c r="H69" s="387">
        <v>0</v>
      </c>
      <c r="I69" s="387">
        <v>1</v>
      </c>
      <c r="J69" s="387">
        <v>0</v>
      </c>
      <c r="K69" s="387" t="s">
        <v>1358</v>
      </c>
      <c r="L69" s="387">
        <v>64.27</v>
      </c>
      <c r="M69" s="387"/>
      <c r="N69" s="2">
        <v>0</v>
      </c>
      <c r="O69" s="459">
        <v>64.27</v>
      </c>
      <c r="P69" s="387"/>
      <c r="Q69" s="411">
        <v>1</v>
      </c>
      <c r="R69" s="411">
        <v>1</v>
      </c>
      <c r="S69" s="436">
        <v>0</v>
      </c>
      <c r="T69" s="411">
        <v>1</v>
      </c>
      <c r="U69" s="436">
        <v>0</v>
      </c>
      <c r="V69" s="437">
        <v>0.99999999999999978</v>
      </c>
      <c r="W69" s="455">
        <v>64.269999999999982</v>
      </c>
      <c r="X69" s="456">
        <v>0</v>
      </c>
      <c r="Y69" s="480"/>
      <c r="Z69" s="480"/>
      <c r="AA69" s="481"/>
    </row>
    <row r="70" spans="1:27" x14ac:dyDescent="0.25">
      <c r="A70" s="387" t="s">
        <v>1584</v>
      </c>
      <c r="B70" s="387" t="s">
        <v>1368</v>
      </c>
      <c r="C70" s="387" t="s">
        <v>1224</v>
      </c>
      <c r="D70" s="387" t="s">
        <v>3215</v>
      </c>
      <c r="E70" s="387" t="s">
        <v>3201</v>
      </c>
      <c r="F70" s="387" t="s">
        <v>3597</v>
      </c>
      <c r="G70" s="387">
        <v>1</v>
      </c>
      <c r="H70" s="387">
        <v>0</v>
      </c>
      <c r="I70" s="387">
        <v>1</v>
      </c>
      <c r="J70" s="387">
        <v>0</v>
      </c>
      <c r="K70" s="387" t="s">
        <v>1358</v>
      </c>
      <c r="L70" s="387">
        <v>64.27</v>
      </c>
      <c r="M70" s="387"/>
      <c r="N70" s="2">
        <v>0</v>
      </c>
      <c r="O70" s="459">
        <v>64.27</v>
      </c>
      <c r="P70" s="387"/>
      <c r="Q70" s="411">
        <v>1</v>
      </c>
      <c r="R70" s="411">
        <v>1</v>
      </c>
      <c r="S70" s="436">
        <v>0</v>
      </c>
      <c r="T70" s="411">
        <v>1</v>
      </c>
      <c r="U70" s="436">
        <v>0</v>
      </c>
      <c r="V70" s="437">
        <v>0.99999999999999978</v>
      </c>
      <c r="W70" s="455">
        <v>64.269999999999982</v>
      </c>
      <c r="X70" s="456">
        <v>0</v>
      </c>
      <c r="Y70" s="480"/>
      <c r="Z70" s="480"/>
      <c r="AA70" s="481"/>
    </row>
    <row r="71" spans="1:27" x14ac:dyDescent="0.25">
      <c r="A71" s="387" t="s">
        <v>1585</v>
      </c>
      <c r="B71" s="387" t="s">
        <v>1368</v>
      </c>
      <c r="C71" s="387" t="s">
        <v>1224</v>
      </c>
      <c r="D71" s="387" t="s">
        <v>3216</v>
      </c>
      <c r="E71" s="387" t="s">
        <v>3201</v>
      </c>
      <c r="F71" s="387" t="s">
        <v>3598</v>
      </c>
      <c r="G71" s="387">
        <v>1</v>
      </c>
      <c r="H71" s="387">
        <v>0</v>
      </c>
      <c r="I71" s="387">
        <v>1</v>
      </c>
      <c r="J71" s="387">
        <v>0</v>
      </c>
      <c r="K71" s="387" t="s">
        <v>1358</v>
      </c>
      <c r="L71" s="387">
        <v>64.27</v>
      </c>
      <c r="M71" s="387"/>
      <c r="N71" s="2">
        <v>0</v>
      </c>
      <c r="O71" s="459">
        <v>64.27</v>
      </c>
      <c r="P71" s="387"/>
      <c r="Q71" s="411">
        <v>1</v>
      </c>
      <c r="R71" s="411">
        <v>1</v>
      </c>
      <c r="S71" s="436">
        <v>0</v>
      </c>
      <c r="T71" s="411">
        <v>1</v>
      </c>
      <c r="U71" s="436">
        <v>0</v>
      </c>
      <c r="V71" s="437">
        <v>0.99999999999999978</v>
      </c>
      <c r="W71" s="455">
        <v>64.269999999999982</v>
      </c>
      <c r="X71" s="456">
        <v>0</v>
      </c>
      <c r="Y71" s="480"/>
      <c r="Z71" s="480"/>
      <c r="AA71" s="481"/>
    </row>
    <row r="72" spans="1:27" x14ac:dyDescent="0.25">
      <c r="A72" s="387" t="s">
        <v>1623</v>
      </c>
      <c r="B72" s="387" t="s">
        <v>1368</v>
      </c>
      <c r="C72" s="387" t="s">
        <v>1224</v>
      </c>
      <c r="D72" s="387" t="s">
        <v>3290</v>
      </c>
      <c r="E72" s="387" t="s">
        <v>3201</v>
      </c>
      <c r="F72" s="387" t="s">
        <v>3599</v>
      </c>
      <c r="G72" s="387">
        <v>1</v>
      </c>
      <c r="H72" s="387">
        <v>0</v>
      </c>
      <c r="I72" s="387">
        <v>1</v>
      </c>
      <c r="J72" s="387">
        <v>0</v>
      </c>
      <c r="K72" s="387" t="s">
        <v>1358</v>
      </c>
      <c r="L72" s="387">
        <v>64.27</v>
      </c>
      <c r="M72" s="387"/>
      <c r="N72" s="2">
        <v>0</v>
      </c>
      <c r="O72" s="459">
        <v>64.27</v>
      </c>
      <c r="P72" s="387"/>
      <c r="Q72" s="411">
        <v>0</v>
      </c>
      <c r="R72" s="411">
        <v>0</v>
      </c>
      <c r="S72" s="436">
        <v>0</v>
      </c>
      <c r="T72" s="411">
        <v>0</v>
      </c>
      <c r="U72" s="436">
        <v>0</v>
      </c>
      <c r="V72" s="437">
        <v>0</v>
      </c>
      <c r="W72" s="455">
        <v>0</v>
      </c>
      <c r="X72" s="456">
        <v>0</v>
      </c>
      <c r="Y72" s="480"/>
      <c r="Z72" s="480"/>
      <c r="AA72" s="481"/>
    </row>
    <row r="73" spans="1:27" x14ac:dyDescent="0.25">
      <c r="A73" s="387" t="s">
        <v>1625</v>
      </c>
      <c r="B73" s="387" t="s">
        <v>1368</v>
      </c>
      <c r="C73" s="387" t="s">
        <v>1224</v>
      </c>
      <c r="D73" s="387" t="s">
        <v>3263</v>
      </c>
      <c r="E73" s="387" t="s">
        <v>3201</v>
      </c>
      <c r="F73" s="387" t="s">
        <v>3600</v>
      </c>
      <c r="G73" s="387">
        <v>1</v>
      </c>
      <c r="H73" s="387">
        <v>0</v>
      </c>
      <c r="I73" s="387">
        <v>1</v>
      </c>
      <c r="J73" s="387">
        <v>0</v>
      </c>
      <c r="K73" s="387" t="s">
        <v>1358</v>
      </c>
      <c r="L73" s="387">
        <v>64.27</v>
      </c>
      <c r="M73" s="387"/>
      <c r="N73" s="2">
        <v>0</v>
      </c>
      <c r="O73" s="459">
        <v>64.27</v>
      </c>
      <c r="P73" s="387"/>
      <c r="Q73" s="411">
        <v>1</v>
      </c>
      <c r="R73" s="411">
        <v>1</v>
      </c>
      <c r="S73" s="436">
        <v>0</v>
      </c>
      <c r="T73" s="411">
        <v>1</v>
      </c>
      <c r="U73" s="436">
        <v>0</v>
      </c>
      <c r="V73" s="437">
        <v>0.99999999999999978</v>
      </c>
      <c r="W73" s="455">
        <v>64.269999999999982</v>
      </c>
      <c r="X73" s="456">
        <v>0</v>
      </c>
      <c r="Y73" s="480"/>
      <c r="Z73" s="480"/>
      <c r="AA73" s="481"/>
    </row>
    <row r="74" spans="1:27" x14ac:dyDescent="0.25">
      <c r="A74" s="387" t="s">
        <v>1626</v>
      </c>
      <c r="B74" s="387" t="s">
        <v>1368</v>
      </c>
      <c r="C74" s="387" t="s">
        <v>1224</v>
      </c>
      <c r="D74" s="387" t="s">
        <v>3257</v>
      </c>
      <c r="E74" s="387" t="s">
        <v>3201</v>
      </c>
      <c r="F74" s="387" t="s">
        <v>3601</v>
      </c>
      <c r="G74" s="387">
        <v>1</v>
      </c>
      <c r="H74" s="387">
        <v>0</v>
      </c>
      <c r="I74" s="387">
        <v>1</v>
      </c>
      <c r="J74" s="387">
        <v>0</v>
      </c>
      <c r="K74" s="387" t="s">
        <v>1358</v>
      </c>
      <c r="L74" s="387">
        <v>64.27</v>
      </c>
      <c r="M74" s="387"/>
      <c r="N74" s="2">
        <v>0</v>
      </c>
      <c r="O74" s="459">
        <v>64.27</v>
      </c>
      <c r="P74" s="387"/>
      <c r="Q74" s="411">
        <v>0</v>
      </c>
      <c r="R74" s="411">
        <v>0</v>
      </c>
      <c r="S74" s="436">
        <v>0</v>
      </c>
      <c r="T74" s="411">
        <v>0</v>
      </c>
      <c r="U74" s="436">
        <v>0</v>
      </c>
      <c r="V74" s="437">
        <v>0</v>
      </c>
      <c r="W74" s="455">
        <v>0</v>
      </c>
      <c r="X74" s="456">
        <v>0</v>
      </c>
      <c r="Y74" s="480"/>
      <c r="Z74" s="480"/>
      <c r="AA74" s="481"/>
    </row>
    <row r="75" spans="1:27" x14ac:dyDescent="0.25">
      <c r="A75" s="387" t="s">
        <v>1627</v>
      </c>
      <c r="B75" s="387" t="s">
        <v>1368</v>
      </c>
      <c r="C75" s="387" t="s">
        <v>1224</v>
      </c>
      <c r="D75" s="387" t="s">
        <v>3258</v>
      </c>
      <c r="E75" s="387" t="s">
        <v>3201</v>
      </c>
      <c r="F75" s="387" t="s">
        <v>3602</v>
      </c>
      <c r="G75" s="387">
        <v>1</v>
      </c>
      <c r="H75" s="387">
        <v>0</v>
      </c>
      <c r="I75" s="387">
        <v>1</v>
      </c>
      <c r="J75" s="387">
        <v>0</v>
      </c>
      <c r="K75" s="387" t="s">
        <v>1358</v>
      </c>
      <c r="L75" s="387">
        <v>64.27</v>
      </c>
      <c r="M75" s="387"/>
      <c r="N75" s="2">
        <v>0</v>
      </c>
      <c r="O75" s="459">
        <v>64.27</v>
      </c>
      <c r="P75" s="387"/>
      <c r="Q75" s="411">
        <v>0</v>
      </c>
      <c r="R75" s="411">
        <v>0</v>
      </c>
      <c r="S75" s="436">
        <v>0</v>
      </c>
      <c r="T75" s="411">
        <v>0</v>
      </c>
      <c r="U75" s="436">
        <v>0</v>
      </c>
      <c r="V75" s="437">
        <v>0</v>
      </c>
      <c r="W75" s="455">
        <v>0</v>
      </c>
      <c r="X75" s="456">
        <v>0</v>
      </c>
      <c r="Y75" s="480"/>
      <c r="Z75" s="480"/>
      <c r="AA75" s="481"/>
    </row>
    <row r="76" spans="1:27" x14ac:dyDescent="0.25">
      <c r="A76" s="387" t="s">
        <v>1628</v>
      </c>
      <c r="B76" s="387" t="s">
        <v>1368</v>
      </c>
      <c r="C76" s="387" t="s">
        <v>1224</v>
      </c>
      <c r="D76" s="387" t="s">
        <v>3273</v>
      </c>
      <c r="E76" s="387" t="s">
        <v>3201</v>
      </c>
      <c r="F76" s="387" t="s">
        <v>3603</v>
      </c>
      <c r="G76" s="387">
        <v>1</v>
      </c>
      <c r="H76" s="387">
        <v>0</v>
      </c>
      <c r="I76" s="387">
        <v>1</v>
      </c>
      <c r="J76" s="387">
        <v>0</v>
      </c>
      <c r="K76" s="387" t="s">
        <v>1358</v>
      </c>
      <c r="L76" s="387">
        <v>64.27</v>
      </c>
      <c r="M76" s="387"/>
      <c r="N76" s="2">
        <v>0</v>
      </c>
      <c r="O76" s="459">
        <v>64.27</v>
      </c>
      <c r="P76" s="387"/>
      <c r="Q76" s="411">
        <v>1</v>
      </c>
      <c r="R76" s="411">
        <v>1</v>
      </c>
      <c r="S76" s="436">
        <v>0</v>
      </c>
      <c r="T76" s="411">
        <v>1</v>
      </c>
      <c r="U76" s="436">
        <v>0</v>
      </c>
      <c r="V76" s="437">
        <v>0.99999999999999978</v>
      </c>
      <c r="W76" s="455">
        <v>64.269999999999982</v>
      </c>
      <c r="X76" s="456">
        <v>0</v>
      </c>
      <c r="Y76" s="480"/>
      <c r="Z76" s="480"/>
      <c r="AA76" s="481"/>
    </row>
    <row r="77" spans="1:27" x14ac:dyDescent="0.25">
      <c r="A77" s="387" t="s">
        <v>1629</v>
      </c>
      <c r="B77" s="387" t="s">
        <v>1368</v>
      </c>
      <c r="C77" s="387" t="s">
        <v>1224</v>
      </c>
      <c r="D77" s="387" t="s">
        <v>3274</v>
      </c>
      <c r="E77" s="387" t="s">
        <v>3201</v>
      </c>
      <c r="F77" s="387" t="s">
        <v>3604</v>
      </c>
      <c r="G77" s="387">
        <v>1</v>
      </c>
      <c r="H77" s="387">
        <v>0</v>
      </c>
      <c r="I77" s="387">
        <v>1</v>
      </c>
      <c r="J77" s="387">
        <v>0</v>
      </c>
      <c r="K77" s="387" t="s">
        <v>1358</v>
      </c>
      <c r="L77" s="387">
        <v>64.27</v>
      </c>
      <c r="M77" s="387"/>
      <c r="N77" s="2">
        <v>0</v>
      </c>
      <c r="O77" s="459">
        <v>64.27</v>
      </c>
      <c r="P77" s="387"/>
      <c r="Q77" s="411">
        <v>1</v>
      </c>
      <c r="R77" s="411">
        <v>1</v>
      </c>
      <c r="S77" s="436">
        <v>0</v>
      </c>
      <c r="T77" s="411">
        <v>1</v>
      </c>
      <c r="U77" s="436">
        <v>0</v>
      </c>
      <c r="V77" s="437">
        <v>0.99999999999999978</v>
      </c>
      <c r="W77" s="455">
        <v>64.269999999999982</v>
      </c>
      <c r="X77" s="456">
        <v>0</v>
      </c>
      <c r="Y77" s="480"/>
      <c r="Z77" s="480"/>
      <c r="AA77" s="481"/>
    </row>
    <row r="78" spans="1:27" x14ac:dyDescent="0.25">
      <c r="A78" s="387" t="s">
        <v>1630</v>
      </c>
      <c r="B78" s="387" t="s">
        <v>1368</v>
      </c>
      <c r="C78" s="387" t="s">
        <v>1224</v>
      </c>
      <c r="D78" s="387" t="s">
        <v>3283</v>
      </c>
      <c r="E78" s="387" t="s">
        <v>3201</v>
      </c>
      <c r="F78" s="387" t="s">
        <v>3605</v>
      </c>
      <c r="G78" s="387">
        <v>1</v>
      </c>
      <c r="H78" s="387">
        <v>0</v>
      </c>
      <c r="I78" s="387">
        <v>1</v>
      </c>
      <c r="J78" s="387">
        <v>0</v>
      </c>
      <c r="K78" s="387" t="s">
        <v>1358</v>
      </c>
      <c r="L78" s="387">
        <v>64.27</v>
      </c>
      <c r="M78" s="387"/>
      <c r="N78" s="2">
        <v>0</v>
      </c>
      <c r="O78" s="459">
        <v>64.27</v>
      </c>
      <c r="P78" s="387"/>
      <c r="Q78" s="411">
        <v>1</v>
      </c>
      <c r="R78" s="411">
        <v>0.6</v>
      </c>
      <c r="S78" s="436">
        <v>0</v>
      </c>
      <c r="T78" s="411">
        <v>0</v>
      </c>
      <c r="U78" s="436">
        <v>0</v>
      </c>
      <c r="V78" s="437">
        <v>0.55999999999999994</v>
      </c>
      <c r="W78" s="455">
        <v>35.991199999999992</v>
      </c>
      <c r="X78" s="456">
        <v>0</v>
      </c>
      <c r="Y78" s="480"/>
      <c r="Z78" s="480"/>
      <c r="AA78" s="481"/>
    </row>
    <row r="79" spans="1:27" x14ac:dyDescent="0.25">
      <c r="A79" s="387" t="s">
        <v>1631</v>
      </c>
      <c r="B79" s="387" t="s">
        <v>1368</v>
      </c>
      <c r="C79" s="387" t="s">
        <v>1224</v>
      </c>
      <c r="D79" s="387" t="s">
        <v>3264</v>
      </c>
      <c r="E79" s="387" t="s">
        <v>3201</v>
      </c>
      <c r="F79" s="387" t="s">
        <v>3606</v>
      </c>
      <c r="G79" s="387">
        <v>1</v>
      </c>
      <c r="H79" s="387">
        <v>0</v>
      </c>
      <c r="I79" s="387">
        <v>1</v>
      </c>
      <c r="J79" s="387">
        <v>0</v>
      </c>
      <c r="K79" s="387" t="s">
        <v>1358</v>
      </c>
      <c r="L79" s="387">
        <v>64.27</v>
      </c>
      <c r="M79" s="387"/>
      <c r="N79" s="2">
        <v>0</v>
      </c>
      <c r="O79" s="459">
        <v>64.27</v>
      </c>
      <c r="P79" s="387"/>
      <c r="Q79" s="411">
        <v>1</v>
      </c>
      <c r="R79" s="411">
        <v>1</v>
      </c>
      <c r="S79" s="436">
        <v>0</v>
      </c>
      <c r="T79" s="411">
        <v>1</v>
      </c>
      <c r="U79" s="436">
        <v>0</v>
      </c>
      <c r="V79" s="437">
        <v>0.99999999999999978</v>
      </c>
      <c r="W79" s="455">
        <v>64.269999999999982</v>
      </c>
      <c r="X79" s="456">
        <v>0</v>
      </c>
      <c r="Y79" s="480"/>
      <c r="Z79" s="480"/>
      <c r="AA79" s="481"/>
    </row>
    <row r="80" spans="1:27" x14ac:dyDescent="0.25">
      <c r="A80" s="387" t="s">
        <v>1632</v>
      </c>
      <c r="B80" s="387" t="s">
        <v>1368</v>
      </c>
      <c r="C80" s="387" t="s">
        <v>1224</v>
      </c>
      <c r="D80" s="387" t="s">
        <v>3278</v>
      </c>
      <c r="E80" s="387" t="s">
        <v>3201</v>
      </c>
      <c r="F80" s="387" t="s">
        <v>3607</v>
      </c>
      <c r="G80" s="387">
        <v>1</v>
      </c>
      <c r="H80" s="387">
        <v>0</v>
      </c>
      <c r="I80" s="387">
        <v>1</v>
      </c>
      <c r="J80" s="387">
        <v>0</v>
      </c>
      <c r="K80" s="387" t="s">
        <v>1358</v>
      </c>
      <c r="L80" s="387">
        <v>64.27</v>
      </c>
      <c r="M80" s="387"/>
      <c r="N80" s="2">
        <v>0</v>
      </c>
      <c r="O80" s="459">
        <v>64.27</v>
      </c>
      <c r="P80" s="387"/>
      <c r="Q80" s="411">
        <v>1</v>
      </c>
      <c r="R80" s="411">
        <v>1</v>
      </c>
      <c r="S80" s="436">
        <v>0</v>
      </c>
      <c r="T80" s="411">
        <v>1</v>
      </c>
      <c r="U80" s="436">
        <v>0</v>
      </c>
      <c r="V80" s="437">
        <v>0.99999999999999978</v>
      </c>
      <c r="W80" s="455">
        <v>64.269999999999982</v>
      </c>
      <c r="X80" s="456">
        <v>0</v>
      </c>
      <c r="Y80" s="480"/>
      <c r="Z80" s="480"/>
      <c r="AA80" s="481"/>
    </row>
    <row r="81" spans="1:27" x14ac:dyDescent="0.25">
      <c r="A81" s="387" t="s">
        <v>1633</v>
      </c>
      <c r="B81" s="387" t="s">
        <v>1368</v>
      </c>
      <c r="C81" s="387" t="s">
        <v>1224</v>
      </c>
      <c r="D81" s="387" t="s">
        <v>3276</v>
      </c>
      <c r="E81" s="387" t="s">
        <v>3201</v>
      </c>
      <c r="F81" s="387" t="s">
        <v>3608</v>
      </c>
      <c r="G81" s="387">
        <v>1</v>
      </c>
      <c r="H81" s="387">
        <v>0</v>
      </c>
      <c r="I81" s="387">
        <v>1</v>
      </c>
      <c r="J81" s="387">
        <v>0</v>
      </c>
      <c r="K81" s="387" t="s">
        <v>1358</v>
      </c>
      <c r="L81" s="387">
        <v>64.27</v>
      </c>
      <c r="M81" s="387"/>
      <c r="N81" s="2">
        <v>0</v>
      </c>
      <c r="O81" s="459">
        <v>64.27</v>
      </c>
      <c r="P81" s="387"/>
      <c r="Q81" s="411">
        <v>0</v>
      </c>
      <c r="R81" s="411">
        <v>0</v>
      </c>
      <c r="S81" s="436">
        <v>0</v>
      </c>
      <c r="T81" s="411">
        <v>0</v>
      </c>
      <c r="U81" s="436">
        <v>0</v>
      </c>
      <c r="V81" s="437">
        <v>0</v>
      </c>
      <c r="W81" s="455">
        <v>0</v>
      </c>
      <c r="X81" s="456">
        <v>0</v>
      </c>
      <c r="Y81" s="480"/>
      <c r="Z81" s="480"/>
      <c r="AA81" s="481"/>
    </row>
    <row r="82" spans="1:27" x14ac:dyDescent="0.25">
      <c r="A82" s="387" t="s">
        <v>1634</v>
      </c>
      <c r="B82" s="387" t="s">
        <v>1368</v>
      </c>
      <c r="C82" s="387" t="s">
        <v>1224</v>
      </c>
      <c r="D82" s="387" t="s">
        <v>3259</v>
      </c>
      <c r="E82" s="387" t="s">
        <v>3201</v>
      </c>
      <c r="F82" s="387" t="s">
        <v>3609</v>
      </c>
      <c r="G82" s="387">
        <v>1</v>
      </c>
      <c r="H82" s="387">
        <v>0</v>
      </c>
      <c r="I82" s="387">
        <v>1</v>
      </c>
      <c r="J82" s="387">
        <v>0</v>
      </c>
      <c r="K82" s="387" t="s">
        <v>1358</v>
      </c>
      <c r="L82" s="387">
        <v>64.27</v>
      </c>
      <c r="M82" s="387"/>
      <c r="N82" s="2">
        <v>0</v>
      </c>
      <c r="O82" s="459">
        <v>64.27</v>
      </c>
      <c r="P82" s="387"/>
      <c r="Q82" s="411">
        <v>0</v>
      </c>
      <c r="R82" s="411">
        <v>0</v>
      </c>
      <c r="S82" s="436">
        <v>0</v>
      </c>
      <c r="T82" s="411">
        <v>0</v>
      </c>
      <c r="U82" s="436">
        <v>0</v>
      </c>
      <c r="V82" s="437">
        <v>0</v>
      </c>
      <c r="W82" s="455">
        <v>0</v>
      </c>
      <c r="X82" s="456">
        <v>0</v>
      </c>
      <c r="Y82" s="480"/>
      <c r="Z82" s="480"/>
      <c r="AA82" s="481"/>
    </row>
    <row r="83" spans="1:27" x14ac:dyDescent="0.25">
      <c r="A83" s="387" t="s">
        <v>1635</v>
      </c>
      <c r="B83" s="387" t="s">
        <v>1368</v>
      </c>
      <c r="C83" s="387" t="s">
        <v>1224</v>
      </c>
      <c r="D83" s="387" t="s">
        <v>3260</v>
      </c>
      <c r="E83" s="387" t="s">
        <v>3201</v>
      </c>
      <c r="F83" s="387" t="s">
        <v>3610</v>
      </c>
      <c r="G83" s="387">
        <v>1</v>
      </c>
      <c r="H83" s="387">
        <v>0</v>
      </c>
      <c r="I83" s="387">
        <v>1</v>
      </c>
      <c r="J83" s="387">
        <v>0</v>
      </c>
      <c r="K83" s="387" t="s">
        <v>1358</v>
      </c>
      <c r="L83" s="387">
        <v>64.27</v>
      </c>
      <c r="M83" s="387"/>
      <c r="N83" s="2">
        <v>0</v>
      </c>
      <c r="O83" s="459">
        <v>64.27</v>
      </c>
      <c r="P83" s="387"/>
      <c r="Q83" s="411">
        <v>0</v>
      </c>
      <c r="R83" s="411">
        <v>0</v>
      </c>
      <c r="S83" s="436">
        <v>0</v>
      </c>
      <c r="T83" s="411">
        <v>0</v>
      </c>
      <c r="U83" s="436">
        <v>0</v>
      </c>
      <c r="V83" s="437">
        <v>0</v>
      </c>
      <c r="W83" s="455">
        <v>0</v>
      </c>
      <c r="X83" s="456">
        <v>0</v>
      </c>
      <c r="Y83" s="480"/>
      <c r="Z83" s="480"/>
      <c r="AA83" s="481"/>
    </row>
    <row r="84" spans="1:27" x14ac:dyDescent="0.25">
      <c r="A84" s="387" t="s">
        <v>1636</v>
      </c>
      <c r="B84" s="387" t="s">
        <v>1368</v>
      </c>
      <c r="C84" s="387" t="s">
        <v>1224</v>
      </c>
      <c r="D84" s="387" t="s">
        <v>3269</v>
      </c>
      <c r="E84" s="387" t="s">
        <v>3201</v>
      </c>
      <c r="F84" s="387" t="s">
        <v>3611</v>
      </c>
      <c r="G84" s="387">
        <v>1</v>
      </c>
      <c r="H84" s="387">
        <v>0</v>
      </c>
      <c r="I84" s="387">
        <v>1</v>
      </c>
      <c r="J84" s="387">
        <v>0</v>
      </c>
      <c r="K84" s="387" t="s">
        <v>1358</v>
      </c>
      <c r="L84" s="387">
        <v>64.27</v>
      </c>
      <c r="M84" s="387"/>
      <c r="N84" s="2">
        <v>0</v>
      </c>
      <c r="O84" s="459">
        <v>64.27</v>
      </c>
      <c r="P84" s="387"/>
      <c r="Q84" s="411">
        <v>0</v>
      </c>
      <c r="R84" s="411">
        <v>0</v>
      </c>
      <c r="S84" s="436">
        <v>0</v>
      </c>
      <c r="T84" s="411">
        <v>0</v>
      </c>
      <c r="U84" s="436">
        <v>0</v>
      </c>
      <c r="V84" s="437">
        <v>0</v>
      </c>
      <c r="W84" s="455">
        <v>0</v>
      </c>
      <c r="X84" s="456">
        <v>0</v>
      </c>
      <c r="Y84" s="480"/>
      <c r="Z84" s="480"/>
      <c r="AA84" s="481"/>
    </row>
    <row r="85" spans="1:27" x14ac:dyDescent="0.25">
      <c r="A85" s="387" t="s">
        <v>1637</v>
      </c>
      <c r="B85" s="387" t="s">
        <v>1368</v>
      </c>
      <c r="C85" s="387" t="s">
        <v>1224</v>
      </c>
      <c r="D85" s="387" t="s">
        <v>3545</v>
      </c>
      <c r="E85" s="387" t="s">
        <v>3201</v>
      </c>
      <c r="F85" s="387" t="s">
        <v>3612</v>
      </c>
      <c r="G85" s="387">
        <v>1</v>
      </c>
      <c r="H85" s="387">
        <v>0</v>
      </c>
      <c r="I85" s="387">
        <v>1</v>
      </c>
      <c r="J85" s="387">
        <v>0</v>
      </c>
      <c r="K85" s="387" t="s">
        <v>1358</v>
      </c>
      <c r="L85" s="387">
        <v>64.27</v>
      </c>
      <c r="M85" s="387"/>
      <c r="N85" s="2">
        <v>0</v>
      </c>
      <c r="O85" s="459">
        <v>64.27</v>
      </c>
      <c r="P85" s="387"/>
      <c r="Q85" s="411">
        <v>0</v>
      </c>
      <c r="R85" s="411">
        <v>0</v>
      </c>
      <c r="S85" s="436">
        <v>0</v>
      </c>
      <c r="T85" s="411">
        <v>0</v>
      </c>
      <c r="U85" s="436">
        <v>0</v>
      </c>
      <c r="V85" s="437">
        <v>0</v>
      </c>
      <c r="W85" s="455">
        <v>0</v>
      </c>
      <c r="X85" s="456">
        <v>0</v>
      </c>
      <c r="Y85" s="480"/>
      <c r="Z85" s="480"/>
      <c r="AA85" s="481"/>
    </row>
    <row r="86" spans="1:27" x14ac:dyDescent="0.25">
      <c r="A86" s="387" t="s">
        <v>1638</v>
      </c>
      <c r="B86" s="387" t="s">
        <v>1368</v>
      </c>
      <c r="C86" s="387" t="s">
        <v>1224</v>
      </c>
      <c r="D86" s="387" t="s">
        <v>3297</v>
      </c>
      <c r="E86" s="387" t="s">
        <v>3201</v>
      </c>
      <c r="F86" s="387" t="s">
        <v>3613</v>
      </c>
      <c r="G86" s="387">
        <v>1</v>
      </c>
      <c r="H86" s="387">
        <v>0</v>
      </c>
      <c r="I86" s="387">
        <v>1</v>
      </c>
      <c r="J86" s="387">
        <v>0</v>
      </c>
      <c r="K86" s="387" t="s">
        <v>1358</v>
      </c>
      <c r="L86" s="387">
        <v>64.27</v>
      </c>
      <c r="M86" s="387"/>
      <c r="N86" s="2">
        <v>0</v>
      </c>
      <c r="O86" s="459">
        <v>64.27</v>
      </c>
      <c r="P86" s="387"/>
      <c r="Q86" s="411">
        <v>0</v>
      </c>
      <c r="R86" s="411">
        <v>0</v>
      </c>
      <c r="S86" s="436">
        <v>0</v>
      </c>
      <c r="T86" s="411">
        <v>0</v>
      </c>
      <c r="U86" s="436">
        <v>0</v>
      </c>
      <c r="V86" s="437">
        <v>0</v>
      </c>
      <c r="W86" s="455">
        <v>0</v>
      </c>
      <c r="X86" s="456">
        <v>0</v>
      </c>
      <c r="Y86" s="480"/>
      <c r="Z86" s="480"/>
      <c r="AA86" s="481"/>
    </row>
    <row r="87" spans="1:27" x14ac:dyDescent="0.25">
      <c r="A87" s="387" t="s">
        <v>1639</v>
      </c>
      <c r="B87" s="387" t="s">
        <v>1368</v>
      </c>
      <c r="C87" s="387" t="s">
        <v>1224</v>
      </c>
      <c r="D87" s="387" t="s">
        <v>3298</v>
      </c>
      <c r="E87" s="387" t="s">
        <v>3201</v>
      </c>
      <c r="F87" s="387" t="s">
        <v>3614</v>
      </c>
      <c r="G87" s="387">
        <v>1</v>
      </c>
      <c r="H87" s="387">
        <v>0</v>
      </c>
      <c r="I87" s="387">
        <v>1</v>
      </c>
      <c r="J87" s="387">
        <v>0</v>
      </c>
      <c r="K87" s="387" t="s">
        <v>1358</v>
      </c>
      <c r="L87" s="387">
        <v>64.27</v>
      </c>
      <c r="M87" s="387"/>
      <c r="N87" s="2">
        <v>0</v>
      </c>
      <c r="O87" s="459">
        <v>64.27</v>
      </c>
      <c r="P87" s="387"/>
      <c r="Q87" s="411">
        <v>0</v>
      </c>
      <c r="R87" s="411">
        <v>0</v>
      </c>
      <c r="S87" s="436">
        <v>0</v>
      </c>
      <c r="T87" s="411">
        <v>0</v>
      </c>
      <c r="U87" s="436">
        <v>0</v>
      </c>
      <c r="V87" s="437">
        <v>0</v>
      </c>
      <c r="W87" s="455">
        <v>0</v>
      </c>
      <c r="X87" s="456">
        <v>0</v>
      </c>
      <c r="Y87" s="480"/>
      <c r="Z87" s="480"/>
      <c r="AA87" s="481"/>
    </row>
    <row r="88" spans="1:27" x14ac:dyDescent="0.25">
      <c r="A88" s="387" t="s">
        <v>1640</v>
      </c>
      <c r="B88" s="387" t="s">
        <v>1368</v>
      </c>
      <c r="C88" s="387" t="s">
        <v>1224</v>
      </c>
      <c r="D88" s="387" t="s">
        <v>3304</v>
      </c>
      <c r="E88" s="387" t="s">
        <v>3201</v>
      </c>
      <c r="F88" s="387" t="s">
        <v>3615</v>
      </c>
      <c r="G88" s="387">
        <v>1</v>
      </c>
      <c r="H88" s="387">
        <v>0</v>
      </c>
      <c r="I88" s="387">
        <v>1</v>
      </c>
      <c r="J88" s="387">
        <v>0</v>
      </c>
      <c r="K88" s="387" t="s">
        <v>1358</v>
      </c>
      <c r="L88" s="387">
        <v>64.27</v>
      </c>
      <c r="M88" s="387"/>
      <c r="N88" s="2">
        <v>0</v>
      </c>
      <c r="O88" s="459">
        <v>64.27</v>
      </c>
      <c r="P88" s="387"/>
      <c r="Q88" s="411">
        <v>0</v>
      </c>
      <c r="R88" s="411">
        <v>0</v>
      </c>
      <c r="S88" s="436">
        <v>0</v>
      </c>
      <c r="T88" s="411">
        <v>0</v>
      </c>
      <c r="U88" s="436">
        <v>0</v>
      </c>
      <c r="V88" s="437">
        <v>0</v>
      </c>
      <c r="W88" s="455">
        <v>0</v>
      </c>
      <c r="X88" s="456">
        <v>0</v>
      </c>
      <c r="Y88" s="480"/>
      <c r="Z88" s="480"/>
      <c r="AA88" s="481"/>
    </row>
    <row r="89" spans="1:27" x14ac:dyDescent="0.25">
      <c r="A89" s="387" t="s">
        <v>1641</v>
      </c>
      <c r="B89" s="387" t="s">
        <v>1368</v>
      </c>
      <c r="C89" s="387" t="s">
        <v>1224</v>
      </c>
      <c r="D89" s="387" t="s">
        <v>3299</v>
      </c>
      <c r="E89" s="387" t="s">
        <v>3201</v>
      </c>
      <c r="F89" s="387" t="s">
        <v>3616</v>
      </c>
      <c r="G89" s="387">
        <v>1</v>
      </c>
      <c r="H89" s="387">
        <v>0</v>
      </c>
      <c r="I89" s="387">
        <v>1</v>
      </c>
      <c r="J89" s="387">
        <v>0</v>
      </c>
      <c r="K89" s="387" t="s">
        <v>1358</v>
      </c>
      <c r="L89" s="387">
        <v>64.27</v>
      </c>
      <c r="M89" s="387"/>
      <c r="N89" s="2">
        <v>0</v>
      </c>
      <c r="O89" s="459">
        <v>64.27</v>
      </c>
      <c r="P89" s="387"/>
      <c r="Q89" s="411">
        <v>0</v>
      </c>
      <c r="R89" s="411">
        <v>0</v>
      </c>
      <c r="S89" s="436">
        <v>0</v>
      </c>
      <c r="T89" s="411">
        <v>0</v>
      </c>
      <c r="U89" s="436">
        <v>0</v>
      </c>
      <c r="V89" s="437">
        <v>0</v>
      </c>
      <c r="W89" s="455">
        <v>0</v>
      </c>
      <c r="X89" s="456">
        <v>0</v>
      </c>
      <c r="Y89" s="480"/>
      <c r="Z89" s="480"/>
      <c r="AA89" s="481"/>
    </row>
    <row r="90" spans="1:27" x14ac:dyDescent="0.25">
      <c r="A90" s="387" t="s">
        <v>1642</v>
      </c>
      <c r="B90" s="387" t="s">
        <v>1368</v>
      </c>
      <c r="C90" s="387" t="s">
        <v>1224</v>
      </c>
      <c r="D90" s="387" t="s">
        <v>3300</v>
      </c>
      <c r="E90" s="387" t="s">
        <v>3201</v>
      </c>
      <c r="F90" s="387" t="s">
        <v>3617</v>
      </c>
      <c r="G90" s="387">
        <v>1</v>
      </c>
      <c r="H90" s="387">
        <v>0</v>
      </c>
      <c r="I90" s="387">
        <v>1</v>
      </c>
      <c r="J90" s="387">
        <v>0</v>
      </c>
      <c r="K90" s="387" t="s">
        <v>1358</v>
      </c>
      <c r="L90" s="387">
        <v>64.27</v>
      </c>
      <c r="M90" s="387"/>
      <c r="N90" s="2">
        <v>0</v>
      </c>
      <c r="O90" s="459">
        <v>64.27</v>
      </c>
      <c r="P90" s="387"/>
      <c r="Q90" s="411">
        <v>0</v>
      </c>
      <c r="R90" s="411">
        <v>0</v>
      </c>
      <c r="S90" s="436">
        <v>0</v>
      </c>
      <c r="T90" s="411">
        <v>0</v>
      </c>
      <c r="U90" s="436">
        <v>0</v>
      </c>
      <c r="V90" s="437">
        <v>0</v>
      </c>
      <c r="W90" s="455">
        <v>0</v>
      </c>
      <c r="X90" s="456">
        <v>0</v>
      </c>
      <c r="Y90" s="480"/>
      <c r="Z90" s="480"/>
      <c r="AA90" s="481"/>
    </row>
    <row r="91" spans="1:27" x14ac:dyDescent="0.25">
      <c r="A91" s="387" t="s">
        <v>1643</v>
      </c>
      <c r="B91" s="387" t="s">
        <v>1368</v>
      </c>
      <c r="C91" s="387" t="s">
        <v>1224</v>
      </c>
      <c r="D91" s="387" t="s">
        <v>3305</v>
      </c>
      <c r="E91" s="387" t="s">
        <v>3201</v>
      </c>
      <c r="F91" s="387" t="s">
        <v>3618</v>
      </c>
      <c r="G91" s="387">
        <v>1</v>
      </c>
      <c r="H91" s="387">
        <v>0</v>
      </c>
      <c r="I91" s="387">
        <v>1</v>
      </c>
      <c r="J91" s="387">
        <v>0</v>
      </c>
      <c r="K91" s="387" t="s">
        <v>1358</v>
      </c>
      <c r="L91" s="387">
        <v>64.27</v>
      </c>
      <c r="M91" s="387"/>
      <c r="N91" s="2">
        <v>0</v>
      </c>
      <c r="O91" s="459">
        <v>64.27</v>
      </c>
      <c r="P91" s="387"/>
      <c r="Q91" s="411">
        <v>0</v>
      </c>
      <c r="R91" s="411">
        <v>0</v>
      </c>
      <c r="S91" s="436">
        <v>0</v>
      </c>
      <c r="T91" s="411">
        <v>0</v>
      </c>
      <c r="U91" s="436">
        <v>0</v>
      </c>
      <c r="V91" s="437">
        <v>0</v>
      </c>
      <c r="W91" s="455">
        <v>0</v>
      </c>
      <c r="X91" s="456">
        <v>0</v>
      </c>
      <c r="Y91" s="480"/>
      <c r="Z91" s="480"/>
      <c r="AA91" s="481"/>
    </row>
    <row r="92" spans="1:27" x14ac:dyDescent="0.25">
      <c r="A92" s="387" t="s">
        <v>1644</v>
      </c>
      <c r="B92" s="387" t="s">
        <v>1368</v>
      </c>
      <c r="C92" s="387" t="s">
        <v>1224</v>
      </c>
      <c r="D92" s="387" t="s">
        <v>3270</v>
      </c>
      <c r="E92" s="387" t="s">
        <v>3201</v>
      </c>
      <c r="F92" s="387" t="s">
        <v>3619</v>
      </c>
      <c r="G92" s="387">
        <v>1</v>
      </c>
      <c r="H92" s="387">
        <v>0</v>
      </c>
      <c r="I92" s="387">
        <v>1</v>
      </c>
      <c r="J92" s="387">
        <v>0</v>
      </c>
      <c r="K92" s="387" t="s">
        <v>1358</v>
      </c>
      <c r="L92" s="387">
        <v>64.27</v>
      </c>
      <c r="M92" s="387"/>
      <c r="N92" s="2">
        <v>0</v>
      </c>
      <c r="O92" s="459">
        <v>64.27</v>
      </c>
      <c r="P92" s="387"/>
      <c r="Q92" s="411">
        <v>0</v>
      </c>
      <c r="R92" s="411">
        <v>0</v>
      </c>
      <c r="S92" s="436">
        <v>0</v>
      </c>
      <c r="T92" s="411">
        <v>0</v>
      </c>
      <c r="U92" s="436">
        <v>0</v>
      </c>
      <c r="V92" s="437">
        <v>0</v>
      </c>
      <c r="W92" s="455">
        <v>0</v>
      </c>
      <c r="X92" s="456">
        <v>0</v>
      </c>
      <c r="Y92" s="480"/>
      <c r="Z92" s="480"/>
      <c r="AA92" s="481"/>
    </row>
    <row r="93" spans="1:27" x14ac:dyDescent="0.25">
      <c r="A93" s="387" t="s">
        <v>1645</v>
      </c>
      <c r="B93" s="387" t="s">
        <v>1368</v>
      </c>
      <c r="C93" s="387" t="s">
        <v>1224</v>
      </c>
      <c r="D93" s="387" t="s">
        <v>3281</v>
      </c>
      <c r="E93" s="387" t="s">
        <v>3201</v>
      </c>
      <c r="F93" s="387" t="s">
        <v>3620</v>
      </c>
      <c r="G93" s="387">
        <v>1</v>
      </c>
      <c r="H93" s="387">
        <v>0</v>
      </c>
      <c r="I93" s="387">
        <v>1</v>
      </c>
      <c r="J93" s="387">
        <v>0</v>
      </c>
      <c r="K93" s="387" t="s">
        <v>1358</v>
      </c>
      <c r="L93" s="387">
        <v>64.27</v>
      </c>
      <c r="M93" s="387"/>
      <c r="N93" s="2">
        <v>0</v>
      </c>
      <c r="O93" s="459">
        <v>64.27</v>
      </c>
      <c r="P93" s="387"/>
      <c r="Q93" s="411">
        <v>0</v>
      </c>
      <c r="R93" s="411">
        <v>0</v>
      </c>
      <c r="S93" s="436">
        <v>0</v>
      </c>
      <c r="T93" s="411">
        <v>0</v>
      </c>
      <c r="U93" s="436">
        <v>0</v>
      </c>
      <c r="V93" s="437">
        <v>0</v>
      </c>
      <c r="W93" s="455">
        <v>0</v>
      </c>
      <c r="X93" s="456">
        <v>0</v>
      </c>
      <c r="Y93" s="480"/>
      <c r="Z93" s="480"/>
      <c r="AA93" s="481"/>
    </row>
    <row r="94" spans="1:27" x14ac:dyDescent="0.25">
      <c r="A94" s="387" t="s">
        <v>1646</v>
      </c>
      <c r="B94" s="387" t="s">
        <v>1368</v>
      </c>
      <c r="C94" s="387" t="s">
        <v>1224</v>
      </c>
      <c r="D94" s="387" t="s">
        <v>3271</v>
      </c>
      <c r="E94" s="387" t="s">
        <v>3201</v>
      </c>
      <c r="F94" s="387" t="s">
        <v>3621</v>
      </c>
      <c r="G94" s="387">
        <v>1</v>
      </c>
      <c r="H94" s="387">
        <v>0</v>
      </c>
      <c r="I94" s="387">
        <v>1</v>
      </c>
      <c r="J94" s="387">
        <v>0</v>
      </c>
      <c r="K94" s="387" t="s">
        <v>1358</v>
      </c>
      <c r="L94" s="387">
        <v>64.27</v>
      </c>
      <c r="M94" s="387"/>
      <c r="N94" s="2">
        <v>0</v>
      </c>
      <c r="O94" s="459">
        <v>64.27</v>
      </c>
      <c r="P94" s="387"/>
      <c r="Q94" s="411">
        <v>0</v>
      </c>
      <c r="R94" s="411">
        <v>0</v>
      </c>
      <c r="S94" s="436">
        <v>0</v>
      </c>
      <c r="T94" s="411">
        <v>0</v>
      </c>
      <c r="U94" s="436">
        <v>0</v>
      </c>
      <c r="V94" s="437">
        <v>0</v>
      </c>
      <c r="W94" s="455">
        <v>0</v>
      </c>
      <c r="X94" s="456">
        <v>0</v>
      </c>
      <c r="Y94" s="480"/>
      <c r="Z94" s="480"/>
      <c r="AA94" s="481"/>
    </row>
    <row r="95" spans="1:27" x14ac:dyDescent="0.25">
      <c r="A95" s="387" t="s">
        <v>1647</v>
      </c>
      <c r="B95" s="387" t="s">
        <v>1368</v>
      </c>
      <c r="C95" s="387" t="s">
        <v>1224</v>
      </c>
      <c r="D95" s="387" t="s">
        <v>3272</v>
      </c>
      <c r="E95" s="387" t="s">
        <v>3201</v>
      </c>
      <c r="F95" s="387" t="s">
        <v>3622</v>
      </c>
      <c r="G95" s="387">
        <v>1</v>
      </c>
      <c r="H95" s="387">
        <v>0</v>
      </c>
      <c r="I95" s="387">
        <v>1</v>
      </c>
      <c r="J95" s="387">
        <v>0</v>
      </c>
      <c r="K95" s="387" t="s">
        <v>1358</v>
      </c>
      <c r="L95" s="387">
        <v>64.27</v>
      </c>
      <c r="M95" s="387"/>
      <c r="N95" s="2">
        <v>0</v>
      </c>
      <c r="O95" s="459">
        <v>64.27</v>
      </c>
      <c r="P95" s="387"/>
      <c r="Q95" s="411">
        <v>0</v>
      </c>
      <c r="R95" s="411">
        <v>0</v>
      </c>
      <c r="S95" s="436">
        <v>0</v>
      </c>
      <c r="T95" s="411">
        <v>0</v>
      </c>
      <c r="U95" s="436">
        <v>0</v>
      </c>
      <c r="V95" s="437">
        <v>0</v>
      </c>
      <c r="W95" s="455">
        <v>0</v>
      </c>
      <c r="X95" s="456">
        <v>0</v>
      </c>
      <c r="Y95" s="480"/>
      <c r="Z95" s="480"/>
      <c r="AA95" s="481"/>
    </row>
    <row r="96" spans="1:27" x14ac:dyDescent="0.25">
      <c r="A96" s="387" t="s">
        <v>1648</v>
      </c>
      <c r="B96" s="387" t="s">
        <v>1368</v>
      </c>
      <c r="C96" s="387" t="s">
        <v>1224</v>
      </c>
      <c r="D96" s="387" t="s">
        <v>3282</v>
      </c>
      <c r="E96" s="387" t="s">
        <v>3201</v>
      </c>
      <c r="F96" s="387" t="s">
        <v>3623</v>
      </c>
      <c r="G96" s="387">
        <v>1</v>
      </c>
      <c r="H96" s="387">
        <v>0</v>
      </c>
      <c r="I96" s="387">
        <v>1</v>
      </c>
      <c r="J96" s="387">
        <v>0</v>
      </c>
      <c r="K96" s="387" t="s">
        <v>1358</v>
      </c>
      <c r="L96" s="387">
        <v>64.27</v>
      </c>
      <c r="M96" s="387"/>
      <c r="N96" s="2">
        <v>0</v>
      </c>
      <c r="O96" s="459">
        <v>64.27</v>
      </c>
      <c r="P96" s="387"/>
      <c r="Q96" s="411">
        <v>0</v>
      </c>
      <c r="R96" s="411">
        <v>0</v>
      </c>
      <c r="S96" s="436">
        <v>0</v>
      </c>
      <c r="T96" s="411">
        <v>0</v>
      </c>
      <c r="U96" s="436">
        <v>0</v>
      </c>
      <c r="V96" s="437">
        <v>0</v>
      </c>
      <c r="W96" s="455">
        <v>0</v>
      </c>
      <c r="X96" s="456">
        <v>0</v>
      </c>
      <c r="Y96" s="480"/>
      <c r="Z96" s="480"/>
      <c r="AA96" s="481"/>
    </row>
    <row r="97" spans="1:27" x14ac:dyDescent="0.25">
      <c r="A97" s="387" t="s">
        <v>1649</v>
      </c>
      <c r="B97" s="387" t="s">
        <v>1368</v>
      </c>
      <c r="C97" s="387" t="s">
        <v>1224</v>
      </c>
      <c r="D97" s="387" t="s">
        <v>3285</v>
      </c>
      <c r="E97" s="387" t="s">
        <v>3201</v>
      </c>
      <c r="F97" s="387" t="s">
        <v>3624</v>
      </c>
      <c r="G97" s="387">
        <v>1</v>
      </c>
      <c r="H97" s="387">
        <v>0</v>
      </c>
      <c r="I97" s="387">
        <v>1</v>
      </c>
      <c r="J97" s="387">
        <v>0</v>
      </c>
      <c r="K97" s="387" t="s">
        <v>1358</v>
      </c>
      <c r="L97" s="387">
        <v>64.27</v>
      </c>
      <c r="M97" s="387"/>
      <c r="N97" s="2">
        <v>0</v>
      </c>
      <c r="O97" s="459">
        <v>64.27</v>
      </c>
      <c r="P97" s="387"/>
      <c r="Q97" s="411">
        <v>0</v>
      </c>
      <c r="R97" s="411">
        <v>0</v>
      </c>
      <c r="S97" s="436">
        <v>0</v>
      </c>
      <c r="T97" s="411">
        <v>0</v>
      </c>
      <c r="U97" s="436">
        <v>0</v>
      </c>
      <c r="V97" s="437">
        <v>0</v>
      </c>
      <c r="W97" s="455">
        <v>0</v>
      </c>
      <c r="X97" s="456">
        <v>0</v>
      </c>
      <c r="Y97" s="480"/>
      <c r="Z97" s="480"/>
      <c r="AA97" s="481"/>
    </row>
    <row r="98" spans="1:27" x14ac:dyDescent="0.25">
      <c r="A98" s="387" t="s">
        <v>1650</v>
      </c>
      <c r="B98" s="387" t="s">
        <v>1368</v>
      </c>
      <c r="C98" s="387" t="s">
        <v>1224</v>
      </c>
      <c r="D98" s="387" t="s">
        <v>3241</v>
      </c>
      <c r="E98" s="387" t="s">
        <v>3201</v>
      </c>
      <c r="F98" s="387" t="s">
        <v>3625</v>
      </c>
      <c r="G98" s="387">
        <v>1</v>
      </c>
      <c r="H98" s="387">
        <v>0</v>
      </c>
      <c r="I98" s="387">
        <v>1</v>
      </c>
      <c r="J98" s="387">
        <v>0</v>
      </c>
      <c r="K98" s="387" t="s">
        <v>1358</v>
      </c>
      <c r="L98" s="387">
        <v>64.27</v>
      </c>
      <c r="M98" s="387"/>
      <c r="N98" s="2">
        <v>0</v>
      </c>
      <c r="O98" s="459">
        <v>64.27</v>
      </c>
      <c r="P98" s="387"/>
      <c r="Q98" s="411">
        <v>0</v>
      </c>
      <c r="R98" s="411">
        <v>0</v>
      </c>
      <c r="S98" s="436">
        <v>0</v>
      </c>
      <c r="T98" s="411">
        <v>0</v>
      </c>
      <c r="U98" s="436">
        <v>0</v>
      </c>
      <c r="V98" s="437">
        <v>0</v>
      </c>
      <c r="W98" s="455">
        <v>0</v>
      </c>
      <c r="X98" s="456">
        <v>0</v>
      </c>
      <c r="Y98" s="480"/>
      <c r="Z98" s="480"/>
      <c r="AA98" s="481"/>
    </row>
    <row r="99" spans="1:27" x14ac:dyDescent="0.25">
      <c r="A99" s="387" t="s">
        <v>1651</v>
      </c>
      <c r="B99" s="387" t="s">
        <v>1368</v>
      </c>
      <c r="C99" s="387" t="s">
        <v>1224</v>
      </c>
      <c r="D99" s="387" t="s">
        <v>3242</v>
      </c>
      <c r="E99" s="387" t="s">
        <v>3201</v>
      </c>
      <c r="F99" s="387" t="s">
        <v>3626</v>
      </c>
      <c r="G99" s="387">
        <v>1</v>
      </c>
      <c r="H99" s="387">
        <v>0</v>
      </c>
      <c r="I99" s="387">
        <v>1</v>
      </c>
      <c r="J99" s="387">
        <v>0</v>
      </c>
      <c r="K99" s="387" t="s">
        <v>1358</v>
      </c>
      <c r="L99" s="387">
        <v>64.27</v>
      </c>
      <c r="M99" s="387"/>
      <c r="N99" s="2">
        <v>0</v>
      </c>
      <c r="O99" s="459">
        <v>64.27</v>
      </c>
      <c r="P99" s="387"/>
      <c r="Q99" s="411">
        <v>0</v>
      </c>
      <c r="R99" s="411">
        <v>0</v>
      </c>
      <c r="S99" s="436">
        <v>0</v>
      </c>
      <c r="T99" s="411">
        <v>0</v>
      </c>
      <c r="U99" s="436">
        <v>0</v>
      </c>
      <c r="V99" s="437">
        <v>0</v>
      </c>
      <c r="W99" s="455">
        <v>0</v>
      </c>
      <c r="X99" s="456">
        <v>0</v>
      </c>
      <c r="Y99" s="480"/>
      <c r="Z99" s="480"/>
      <c r="AA99" s="481"/>
    </row>
    <row r="100" spans="1:27" x14ac:dyDescent="0.25">
      <c r="A100" s="387" t="s">
        <v>1652</v>
      </c>
      <c r="B100" s="387" t="s">
        <v>1368</v>
      </c>
      <c r="C100" s="387" t="s">
        <v>1224</v>
      </c>
      <c r="D100" s="387" t="s">
        <v>3243</v>
      </c>
      <c r="E100" s="387" t="s">
        <v>3201</v>
      </c>
      <c r="F100" s="387" t="s">
        <v>3627</v>
      </c>
      <c r="G100" s="387">
        <v>1</v>
      </c>
      <c r="H100" s="387">
        <v>0</v>
      </c>
      <c r="I100" s="387">
        <v>1</v>
      </c>
      <c r="J100" s="387">
        <v>0</v>
      </c>
      <c r="K100" s="387" t="s">
        <v>1358</v>
      </c>
      <c r="L100" s="387">
        <v>64.27</v>
      </c>
      <c r="M100" s="387"/>
      <c r="N100" s="2">
        <v>0</v>
      </c>
      <c r="O100" s="459">
        <v>64.27</v>
      </c>
      <c r="P100" s="387"/>
      <c r="Q100" s="411">
        <v>0</v>
      </c>
      <c r="R100" s="411">
        <v>0</v>
      </c>
      <c r="S100" s="436">
        <v>0</v>
      </c>
      <c r="T100" s="411">
        <v>0</v>
      </c>
      <c r="U100" s="436">
        <v>0</v>
      </c>
      <c r="V100" s="437">
        <v>0</v>
      </c>
      <c r="W100" s="455">
        <v>0</v>
      </c>
      <c r="X100" s="456">
        <v>0</v>
      </c>
      <c r="Y100" s="480"/>
      <c r="Z100" s="480"/>
      <c r="AA100" s="481"/>
    </row>
    <row r="101" spans="1:27" x14ac:dyDescent="0.25">
      <c r="A101" s="387" t="s">
        <v>1653</v>
      </c>
      <c r="B101" s="387" t="s">
        <v>1368</v>
      </c>
      <c r="C101" s="387" t="s">
        <v>1224</v>
      </c>
      <c r="D101" s="387" t="s">
        <v>3244</v>
      </c>
      <c r="E101" s="387" t="s">
        <v>3201</v>
      </c>
      <c r="F101" s="387" t="s">
        <v>3628</v>
      </c>
      <c r="G101" s="387">
        <v>1</v>
      </c>
      <c r="H101" s="387">
        <v>0</v>
      </c>
      <c r="I101" s="387">
        <v>1</v>
      </c>
      <c r="J101" s="387">
        <v>0</v>
      </c>
      <c r="K101" s="387" t="s">
        <v>1358</v>
      </c>
      <c r="L101" s="387">
        <v>64.27</v>
      </c>
      <c r="M101" s="387"/>
      <c r="N101" s="2">
        <v>0</v>
      </c>
      <c r="O101" s="459">
        <v>64.27</v>
      </c>
      <c r="P101" s="387"/>
      <c r="Q101" s="411">
        <v>0</v>
      </c>
      <c r="R101" s="411">
        <v>0</v>
      </c>
      <c r="S101" s="436">
        <v>0</v>
      </c>
      <c r="T101" s="411">
        <v>0</v>
      </c>
      <c r="U101" s="436">
        <v>0</v>
      </c>
      <c r="V101" s="437">
        <v>0</v>
      </c>
      <c r="W101" s="455">
        <v>0</v>
      </c>
      <c r="X101" s="456">
        <v>0</v>
      </c>
      <c r="Y101" s="480"/>
      <c r="Z101" s="480"/>
      <c r="AA101" s="481"/>
    </row>
    <row r="102" spans="1:27" x14ac:dyDescent="0.25">
      <c r="A102" s="387" t="s">
        <v>1654</v>
      </c>
      <c r="B102" s="387" t="s">
        <v>1368</v>
      </c>
      <c r="C102" s="387" t="s">
        <v>1224</v>
      </c>
      <c r="D102" s="387" t="s">
        <v>3254</v>
      </c>
      <c r="E102" s="387" t="s">
        <v>3201</v>
      </c>
      <c r="F102" s="387" t="s">
        <v>3629</v>
      </c>
      <c r="G102" s="387">
        <v>1</v>
      </c>
      <c r="H102" s="387">
        <v>0</v>
      </c>
      <c r="I102" s="387">
        <v>1</v>
      </c>
      <c r="J102" s="387">
        <v>0</v>
      </c>
      <c r="K102" s="387" t="s">
        <v>1358</v>
      </c>
      <c r="L102" s="387">
        <v>64.27</v>
      </c>
      <c r="M102" s="387"/>
      <c r="N102" s="2">
        <v>0</v>
      </c>
      <c r="O102" s="459">
        <v>64.27</v>
      </c>
      <c r="P102" s="387"/>
      <c r="Q102" s="411">
        <v>0</v>
      </c>
      <c r="R102" s="411">
        <v>0</v>
      </c>
      <c r="S102" s="436">
        <v>0</v>
      </c>
      <c r="T102" s="411">
        <v>0</v>
      </c>
      <c r="U102" s="436">
        <v>0</v>
      </c>
      <c r="V102" s="437">
        <v>0</v>
      </c>
      <c r="W102" s="455">
        <v>0</v>
      </c>
      <c r="X102" s="456">
        <v>0</v>
      </c>
      <c r="Y102" s="480"/>
      <c r="Z102" s="480"/>
      <c r="AA102" s="481"/>
    </row>
    <row r="103" spans="1:27" x14ac:dyDescent="0.25">
      <c r="A103" s="387" t="s">
        <v>1655</v>
      </c>
      <c r="B103" s="387" t="s">
        <v>1368</v>
      </c>
      <c r="C103" s="387" t="s">
        <v>1224</v>
      </c>
      <c r="D103" s="387" t="s">
        <v>1395</v>
      </c>
      <c r="E103" s="387" t="s">
        <v>3201</v>
      </c>
      <c r="F103" s="387" t="s">
        <v>3634</v>
      </c>
      <c r="G103" s="387">
        <v>1</v>
      </c>
      <c r="H103" s="387">
        <v>0</v>
      </c>
      <c r="I103" s="387">
        <v>1</v>
      </c>
      <c r="J103" s="387">
        <v>0</v>
      </c>
      <c r="K103" s="387" t="s">
        <v>1358</v>
      </c>
      <c r="L103" s="387">
        <v>85.69</v>
      </c>
      <c r="M103" s="387"/>
      <c r="N103" s="2">
        <v>0</v>
      </c>
      <c r="O103" s="459">
        <v>85.69</v>
      </c>
      <c r="P103" s="387"/>
      <c r="Q103" s="411">
        <v>1</v>
      </c>
      <c r="R103" s="411">
        <v>1</v>
      </c>
      <c r="S103" s="436">
        <v>0</v>
      </c>
      <c r="T103" s="411">
        <v>1</v>
      </c>
      <c r="U103" s="436">
        <v>0</v>
      </c>
      <c r="V103" s="437">
        <v>1</v>
      </c>
      <c r="W103" s="455">
        <v>85.69</v>
      </c>
      <c r="X103" s="456">
        <v>0</v>
      </c>
      <c r="Y103" s="2"/>
      <c r="Z103" s="4"/>
      <c r="AA103" s="5"/>
    </row>
    <row r="104" spans="1:27" x14ac:dyDescent="0.25">
      <c r="A104" s="387" t="s">
        <v>1656</v>
      </c>
      <c r="B104" s="387" t="s">
        <v>1368</v>
      </c>
      <c r="C104" s="387" t="s">
        <v>1224</v>
      </c>
      <c r="D104" s="387" t="s">
        <v>1395</v>
      </c>
      <c r="E104" s="387" t="s">
        <v>3201</v>
      </c>
      <c r="F104" s="387" t="s">
        <v>3635</v>
      </c>
      <c r="G104" s="387">
        <v>1</v>
      </c>
      <c r="H104" s="387">
        <v>0</v>
      </c>
      <c r="I104" s="387">
        <v>1</v>
      </c>
      <c r="J104" s="387">
        <v>0</v>
      </c>
      <c r="K104" s="387" t="s">
        <v>1358</v>
      </c>
      <c r="L104" s="387">
        <v>85.69</v>
      </c>
      <c r="M104" s="387"/>
      <c r="N104" s="2">
        <v>0</v>
      </c>
      <c r="O104" s="459">
        <v>85.69</v>
      </c>
      <c r="P104" s="387"/>
      <c r="Q104" s="411">
        <v>1</v>
      </c>
      <c r="R104" s="411">
        <v>1</v>
      </c>
      <c r="S104" s="436">
        <v>0</v>
      </c>
      <c r="T104" s="411">
        <v>1</v>
      </c>
      <c r="U104" s="436">
        <v>0</v>
      </c>
      <c r="V104" s="437">
        <v>1</v>
      </c>
      <c r="W104" s="455">
        <v>85.69</v>
      </c>
      <c r="X104" s="456">
        <v>0</v>
      </c>
      <c r="Y104" s="2"/>
      <c r="Z104" s="4"/>
      <c r="AA104" s="5"/>
    </row>
    <row r="105" spans="1:27" x14ac:dyDescent="0.25">
      <c r="A105" s="387" t="s">
        <v>1657</v>
      </c>
      <c r="B105" s="387" t="s">
        <v>1368</v>
      </c>
      <c r="C105" s="387" t="s">
        <v>1224</v>
      </c>
      <c r="D105" s="387" t="s">
        <v>1395</v>
      </c>
      <c r="E105" s="387" t="s">
        <v>3201</v>
      </c>
      <c r="F105" s="387" t="s">
        <v>3636</v>
      </c>
      <c r="G105" s="387">
        <v>1</v>
      </c>
      <c r="H105" s="387">
        <v>0</v>
      </c>
      <c r="I105" s="387">
        <v>1</v>
      </c>
      <c r="J105" s="387">
        <v>0</v>
      </c>
      <c r="K105" s="387" t="s">
        <v>1358</v>
      </c>
      <c r="L105" s="387">
        <v>85.69</v>
      </c>
      <c r="M105" s="387"/>
      <c r="N105" s="2">
        <v>0</v>
      </c>
      <c r="O105" s="459">
        <v>85.69</v>
      </c>
      <c r="P105" s="387"/>
      <c r="Q105" s="411">
        <v>1</v>
      </c>
      <c r="R105" s="411">
        <v>1</v>
      </c>
      <c r="S105" s="436">
        <v>0</v>
      </c>
      <c r="T105" s="411">
        <v>1</v>
      </c>
      <c r="U105" s="436">
        <v>0</v>
      </c>
      <c r="V105" s="437">
        <v>1</v>
      </c>
      <c r="W105" s="455">
        <v>85.69</v>
      </c>
      <c r="X105" s="456">
        <v>0</v>
      </c>
      <c r="Y105" s="2"/>
      <c r="Z105" s="4"/>
      <c r="AA105" s="5"/>
    </row>
    <row r="106" spans="1:27" x14ac:dyDescent="0.25">
      <c r="A106" s="387" t="s">
        <v>1658</v>
      </c>
      <c r="B106" s="387" t="s">
        <v>1368</v>
      </c>
      <c r="C106" s="387" t="s">
        <v>1224</v>
      </c>
      <c r="D106" s="387" t="s">
        <v>1397</v>
      </c>
      <c r="E106" s="387" t="s">
        <v>3201</v>
      </c>
      <c r="F106" s="387" t="s">
        <v>3637</v>
      </c>
      <c r="G106" s="387">
        <v>1</v>
      </c>
      <c r="H106" s="387">
        <v>0</v>
      </c>
      <c r="I106" s="387">
        <v>1</v>
      </c>
      <c r="J106" s="387">
        <v>0</v>
      </c>
      <c r="K106" s="387" t="s">
        <v>1358</v>
      </c>
      <c r="L106" s="387">
        <v>85.69</v>
      </c>
      <c r="M106" s="387"/>
      <c r="N106" s="2">
        <v>0</v>
      </c>
      <c r="O106" s="459">
        <v>85.69</v>
      </c>
      <c r="P106" s="387"/>
      <c r="Q106" s="411">
        <v>1</v>
      </c>
      <c r="R106" s="411">
        <v>1</v>
      </c>
      <c r="S106" s="436">
        <v>0</v>
      </c>
      <c r="T106" s="411">
        <v>1</v>
      </c>
      <c r="U106" s="436">
        <v>0</v>
      </c>
      <c r="V106" s="437">
        <v>1</v>
      </c>
      <c r="W106" s="455">
        <v>85.69</v>
      </c>
      <c r="X106" s="456">
        <v>0</v>
      </c>
      <c r="Y106" s="480"/>
      <c r="Z106" s="480"/>
      <c r="AA106" s="481"/>
    </row>
    <row r="107" spans="1:27" x14ac:dyDescent="0.25">
      <c r="A107" s="387" t="s">
        <v>1659</v>
      </c>
      <c r="B107" s="387" t="s">
        <v>1368</v>
      </c>
      <c r="C107" s="387" t="s">
        <v>1224</v>
      </c>
      <c r="D107" s="387" t="s">
        <v>1397</v>
      </c>
      <c r="E107" s="387" t="s">
        <v>3201</v>
      </c>
      <c r="F107" s="387" t="s">
        <v>3638</v>
      </c>
      <c r="G107" s="387">
        <v>1</v>
      </c>
      <c r="H107" s="387">
        <v>0</v>
      </c>
      <c r="I107" s="387">
        <v>1</v>
      </c>
      <c r="J107" s="387">
        <v>0</v>
      </c>
      <c r="K107" s="387" t="s">
        <v>1358</v>
      </c>
      <c r="L107" s="387">
        <v>85.69</v>
      </c>
      <c r="M107" s="387"/>
      <c r="N107" s="2">
        <v>0</v>
      </c>
      <c r="O107" s="459">
        <v>85.69</v>
      </c>
      <c r="P107" s="387"/>
      <c r="Q107" s="411">
        <v>1</v>
      </c>
      <c r="R107" s="411">
        <v>1</v>
      </c>
      <c r="S107" s="436">
        <v>0</v>
      </c>
      <c r="T107" s="411">
        <v>1</v>
      </c>
      <c r="U107" s="436">
        <v>0</v>
      </c>
      <c r="V107" s="437">
        <v>1</v>
      </c>
      <c r="W107" s="455">
        <v>85.69</v>
      </c>
      <c r="X107" s="456">
        <v>0</v>
      </c>
      <c r="Y107" s="480"/>
      <c r="Z107" s="480"/>
      <c r="AA107" s="481"/>
    </row>
    <row r="108" spans="1:27" x14ac:dyDescent="0.25">
      <c r="A108" s="387" t="s">
        <v>1660</v>
      </c>
      <c r="B108" s="387" t="s">
        <v>1368</v>
      </c>
      <c r="C108" s="387" t="s">
        <v>1224</v>
      </c>
      <c r="D108" s="387" t="s">
        <v>1397</v>
      </c>
      <c r="E108" s="387" t="s">
        <v>3201</v>
      </c>
      <c r="F108" s="387" t="s">
        <v>3639</v>
      </c>
      <c r="G108" s="387">
        <v>1</v>
      </c>
      <c r="H108" s="387">
        <v>0</v>
      </c>
      <c r="I108" s="387">
        <v>1</v>
      </c>
      <c r="J108" s="387">
        <v>0</v>
      </c>
      <c r="K108" s="387" t="s">
        <v>1358</v>
      </c>
      <c r="L108" s="387">
        <v>85.69</v>
      </c>
      <c r="M108" s="387"/>
      <c r="N108" s="2">
        <v>0</v>
      </c>
      <c r="O108" s="459">
        <v>85.69</v>
      </c>
      <c r="P108" s="387"/>
      <c r="Q108" s="411">
        <v>1</v>
      </c>
      <c r="R108" s="411">
        <v>1</v>
      </c>
      <c r="S108" s="436">
        <v>0</v>
      </c>
      <c r="T108" s="411">
        <v>1</v>
      </c>
      <c r="U108" s="436">
        <v>0</v>
      </c>
      <c r="V108" s="437">
        <v>1</v>
      </c>
      <c r="W108" s="455">
        <v>85.69</v>
      </c>
      <c r="X108" s="456">
        <v>0</v>
      </c>
      <c r="Y108" s="480"/>
      <c r="Z108" s="480"/>
      <c r="AA108" s="481"/>
    </row>
    <row r="109" spans="1:27" x14ac:dyDescent="0.25">
      <c r="A109" s="387" t="s">
        <v>1661</v>
      </c>
      <c r="B109" s="387" t="s">
        <v>1368</v>
      </c>
      <c r="C109" s="387" t="s">
        <v>1224</v>
      </c>
      <c r="D109" s="387" t="s">
        <v>1398</v>
      </c>
      <c r="E109" s="387" t="s">
        <v>3201</v>
      </c>
      <c r="F109" s="387" t="s">
        <v>3640</v>
      </c>
      <c r="G109" s="387">
        <v>1</v>
      </c>
      <c r="H109" s="387">
        <v>0</v>
      </c>
      <c r="I109" s="387">
        <v>1</v>
      </c>
      <c r="J109" s="387">
        <v>0</v>
      </c>
      <c r="K109" s="387" t="s">
        <v>1358</v>
      </c>
      <c r="L109" s="387">
        <v>85.69</v>
      </c>
      <c r="M109" s="387"/>
      <c r="N109" s="2">
        <v>0</v>
      </c>
      <c r="O109" s="459">
        <v>85.69</v>
      </c>
      <c r="P109" s="387"/>
      <c r="Q109" s="411">
        <v>1</v>
      </c>
      <c r="R109" s="411">
        <v>1</v>
      </c>
      <c r="S109" s="436">
        <v>0</v>
      </c>
      <c r="T109" s="411">
        <v>1</v>
      </c>
      <c r="U109" s="436">
        <v>0</v>
      </c>
      <c r="V109" s="437">
        <v>1</v>
      </c>
      <c r="W109" s="455">
        <v>85.69</v>
      </c>
      <c r="X109" s="456">
        <v>0</v>
      </c>
      <c r="Y109" s="480"/>
      <c r="Z109" s="480"/>
      <c r="AA109" s="481"/>
    </row>
    <row r="110" spans="1:27" x14ac:dyDescent="0.25">
      <c r="A110" s="387" t="s">
        <v>1662</v>
      </c>
      <c r="B110" s="387" t="s">
        <v>1368</v>
      </c>
      <c r="C110" s="387" t="s">
        <v>1224</v>
      </c>
      <c r="D110" s="387" t="s">
        <v>1398</v>
      </c>
      <c r="E110" s="387" t="s">
        <v>3201</v>
      </c>
      <c r="F110" s="387" t="s">
        <v>3641</v>
      </c>
      <c r="G110" s="387">
        <v>1</v>
      </c>
      <c r="H110" s="387">
        <v>0</v>
      </c>
      <c r="I110" s="387">
        <v>1</v>
      </c>
      <c r="J110" s="387">
        <v>0</v>
      </c>
      <c r="K110" s="387" t="s">
        <v>1358</v>
      </c>
      <c r="L110" s="387">
        <v>85.69</v>
      </c>
      <c r="M110" s="387"/>
      <c r="N110" s="2">
        <v>0</v>
      </c>
      <c r="O110" s="459">
        <v>85.69</v>
      </c>
      <c r="P110" s="387"/>
      <c r="Q110" s="411">
        <v>1</v>
      </c>
      <c r="R110" s="411">
        <v>1</v>
      </c>
      <c r="S110" s="436">
        <v>0</v>
      </c>
      <c r="T110" s="411">
        <v>1</v>
      </c>
      <c r="U110" s="436">
        <v>0</v>
      </c>
      <c r="V110" s="437">
        <v>1</v>
      </c>
      <c r="W110" s="455">
        <v>85.69</v>
      </c>
      <c r="X110" s="456">
        <v>0</v>
      </c>
      <c r="Y110" s="480"/>
      <c r="Z110" s="480"/>
      <c r="AA110" s="481"/>
    </row>
    <row r="111" spans="1:27" x14ac:dyDescent="0.25">
      <c r="A111" s="387" t="s">
        <v>1663</v>
      </c>
      <c r="B111" s="387" t="s">
        <v>1368</v>
      </c>
      <c r="C111" s="387" t="s">
        <v>1224</v>
      </c>
      <c r="D111" s="387" t="s">
        <v>1398</v>
      </c>
      <c r="E111" s="387" t="s">
        <v>3201</v>
      </c>
      <c r="F111" s="387" t="s">
        <v>3642</v>
      </c>
      <c r="G111" s="387">
        <v>1</v>
      </c>
      <c r="H111" s="387">
        <v>0</v>
      </c>
      <c r="I111" s="387">
        <v>1</v>
      </c>
      <c r="J111" s="387">
        <v>0</v>
      </c>
      <c r="K111" s="387" t="s">
        <v>1358</v>
      </c>
      <c r="L111" s="387">
        <v>85.69</v>
      </c>
      <c r="M111" s="387"/>
      <c r="N111" s="2">
        <v>0</v>
      </c>
      <c r="O111" s="459">
        <v>85.69</v>
      </c>
      <c r="P111" s="387"/>
      <c r="Q111" s="411">
        <v>1</v>
      </c>
      <c r="R111" s="411">
        <v>1</v>
      </c>
      <c r="S111" s="436">
        <v>0</v>
      </c>
      <c r="T111" s="411">
        <v>1</v>
      </c>
      <c r="U111" s="436">
        <v>0</v>
      </c>
      <c r="V111" s="437">
        <v>1</v>
      </c>
      <c r="W111" s="455">
        <v>85.69</v>
      </c>
      <c r="X111" s="456">
        <v>0</v>
      </c>
      <c r="Y111" s="480"/>
      <c r="Z111" s="480"/>
      <c r="AA111" s="481"/>
    </row>
    <row r="112" spans="1:27" x14ac:dyDescent="0.25">
      <c r="A112" s="387" t="s">
        <v>1664</v>
      </c>
      <c r="B112" s="387" t="s">
        <v>1368</v>
      </c>
      <c r="C112" s="387" t="s">
        <v>1224</v>
      </c>
      <c r="D112" s="387" t="s">
        <v>1374</v>
      </c>
      <c r="E112" s="387" t="s">
        <v>3201</v>
      </c>
      <c r="F112" s="387" t="s">
        <v>3643</v>
      </c>
      <c r="G112" s="387">
        <v>1</v>
      </c>
      <c r="H112" s="387">
        <v>0</v>
      </c>
      <c r="I112" s="387">
        <v>1</v>
      </c>
      <c r="J112" s="387">
        <v>0</v>
      </c>
      <c r="K112" s="387" t="s">
        <v>1358</v>
      </c>
      <c r="L112" s="387">
        <v>85.69</v>
      </c>
      <c r="M112" s="387"/>
      <c r="N112" s="2">
        <v>0</v>
      </c>
      <c r="O112" s="459">
        <v>85.69</v>
      </c>
      <c r="P112" s="387"/>
      <c r="Q112" s="411">
        <v>1</v>
      </c>
      <c r="R112" s="411">
        <v>1</v>
      </c>
      <c r="S112" s="436">
        <v>0</v>
      </c>
      <c r="T112" s="411">
        <v>1</v>
      </c>
      <c r="U112" s="436">
        <v>0</v>
      </c>
      <c r="V112" s="437">
        <v>1</v>
      </c>
      <c r="W112" s="455">
        <v>85.69</v>
      </c>
      <c r="X112" s="456">
        <v>0</v>
      </c>
      <c r="Y112" s="480"/>
      <c r="Z112" s="480"/>
      <c r="AA112" s="481"/>
    </row>
    <row r="113" spans="1:27" x14ac:dyDescent="0.25">
      <c r="A113" s="387" t="s">
        <v>1665</v>
      </c>
      <c r="B113" s="387" t="s">
        <v>1368</v>
      </c>
      <c r="C113" s="387" t="s">
        <v>1224</v>
      </c>
      <c r="D113" s="387" t="s">
        <v>1374</v>
      </c>
      <c r="E113" s="387" t="s">
        <v>3201</v>
      </c>
      <c r="F113" s="387" t="s">
        <v>3644</v>
      </c>
      <c r="G113" s="387">
        <v>1</v>
      </c>
      <c r="H113" s="387">
        <v>0</v>
      </c>
      <c r="I113" s="387">
        <v>1</v>
      </c>
      <c r="J113" s="387">
        <v>0</v>
      </c>
      <c r="K113" s="387" t="s">
        <v>1358</v>
      </c>
      <c r="L113" s="387">
        <v>85.69</v>
      </c>
      <c r="M113" s="387"/>
      <c r="N113" s="2">
        <v>0</v>
      </c>
      <c r="O113" s="459">
        <v>85.69</v>
      </c>
      <c r="P113" s="387"/>
      <c r="Q113" s="411">
        <v>1</v>
      </c>
      <c r="R113" s="411">
        <v>1</v>
      </c>
      <c r="S113" s="436">
        <v>0</v>
      </c>
      <c r="T113" s="411">
        <v>1</v>
      </c>
      <c r="U113" s="436">
        <v>0</v>
      </c>
      <c r="V113" s="437">
        <v>1</v>
      </c>
      <c r="W113" s="455">
        <v>85.69</v>
      </c>
      <c r="X113" s="456">
        <v>0</v>
      </c>
      <c r="Y113" s="480"/>
      <c r="Z113" s="480"/>
      <c r="AA113" s="481"/>
    </row>
    <row r="114" spans="1:27" x14ac:dyDescent="0.25">
      <c r="A114" s="387" t="s">
        <v>1666</v>
      </c>
      <c r="B114" s="387" t="s">
        <v>1368</v>
      </c>
      <c r="C114" s="387" t="s">
        <v>1224</v>
      </c>
      <c r="D114" s="387" t="s">
        <v>1374</v>
      </c>
      <c r="E114" s="387" t="s">
        <v>3201</v>
      </c>
      <c r="F114" s="387" t="s">
        <v>3645</v>
      </c>
      <c r="G114" s="387">
        <v>1</v>
      </c>
      <c r="H114" s="387">
        <v>0</v>
      </c>
      <c r="I114" s="387">
        <v>1</v>
      </c>
      <c r="J114" s="387">
        <v>0</v>
      </c>
      <c r="K114" s="387" t="s">
        <v>1358</v>
      </c>
      <c r="L114" s="387">
        <v>85.69</v>
      </c>
      <c r="M114" s="387"/>
      <c r="N114" s="2">
        <v>0</v>
      </c>
      <c r="O114" s="459">
        <v>85.69</v>
      </c>
      <c r="P114" s="387"/>
      <c r="Q114" s="411">
        <v>1</v>
      </c>
      <c r="R114" s="411">
        <v>1</v>
      </c>
      <c r="S114" s="436">
        <v>0</v>
      </c>
      <c r="T114" s="411">
        <v>1</v>
      </c>
      <c r="U114" s="436">
        <v>0</v>
      </c>
      <c r="V114" s="437">
        <v>1</v>
      </c>
      <c r="W114" s="455">
        <v>85.69</v>
      </c>
      <c r="X114" s="456">
        <v>0</v>
      </c>
      <c r="Y114" s="480"/>
      <c r="Z114" s="480"/>
      <c r="AA114" s="481"/>
    </row>
    <row r="115" spans="1:27" x14ac:dyDescent="0.25">
      <c r="A115" s="387" t="s">
        <v>1667</v>
      </c>
      <c r="B115" s="387" t="s">
        <v>1368</v>
      </c>
      <c r="C115" s="387" t="s">
        <v>1224</v>
      </c>
      <c r="D115" s="387" t="s">
        <v>1377</v>
      </c>
      <c r="E115" s="387" t="s">
        <v>3201</v>
      </c>
      <c r="F115" s="387" t="s">
        <v>3646</v>
      </c>
      <c r="G115" s="387">
        <v>1</v>
      </c>
      <c r="H115" s="387">
        <v>0</v>
      </c>
      <c r="I115" s="387">
        <v>1</v>
      </c>
      <c r="J115" s="387">
        <v>0</v>
      </c>
      <c r="K115" s="387" t="s">
        <v>1358</v>
      </c>
      <c r="L115" s="387">
        <v>200</v>
      </c>
      <c r="M115" s="387"/>
      <c r="N115" s="2">
        <v>0</v>
      </c>
      <c r="O115" s="459">
        <v>200</v>
      </c>
      <c r="P115" s="387"/>
      <c r="Q115" s="411">
        <v>1</v>
      </c>
      <c r="R115" s="411">
        <v>1</v>
      </c>
      <c r="S115" s="436">
        <v>0</v>
      </c>
      <c r="T115" s="411">
        <v>1</v>
      </c>
      <c r="U115" s="436">
        <v>0</v>
      </c>
      <c r="V115" s="437">
        <v>1</v>
      </c>
      <c r="W115" s="455">
        <v>200</v>
      </c>
      <c r="X115" s="456">
        <v>0</v>
      </c>
      <c r="Y115" s="480"/>
      <c r="Z115" s="480"/>
      <c r="AA115" s="481"/>
    </row>
    <row r="116" spans="1:27" x14ac:dyDescent="0.25">
      <c r="A116" s="387" t="s">
        <v>1668</v>
      </c>
      <c r="B116" s="387" t="s">
        <v>1368</v>
      </c>
      <c r="C116" s="387" t="s">
        <v>1224</v>
      </c>
      <c r="D116" s="387" t="s">
        <v>1377</v>
      </c>
      <c r="E116" s="387" t="s">
        <v>3201</v>
      </c>
      <c r="F116" s="387" t="s">
        <v>3647</v>
      </c>
      <c r="G116" s="387">
        <v>1</v>
      </c>
      <c r="H116" s="387">
        <v>0</v>
      </c>
      <c r="I116" s="387">
        <v>1</v>
      </c>
      <c r="J116" s="387">
        <v>0</v>
      </c>
      <c r="K116" s="387" t="s">
        <v>1358</v>
      </c>
      <c r="L116" s="387">
        <v>200</v>
      </c>
      <c r="M116" s="387"/>
      <c r="N116" s="2">
        <v>0</v>
      </c>
      <c r="O116" s="459">
        <v>200</v>
      </c>
      <c r="P116" s="387"/>
      <c r="Q116" s="411">
        <v>1</v>
      </c>
      <c r="R116" s="411">
        <v>1</v>
      </c>
      <c r="S116" s="436">
        <v>0</v>
      </c>
      <c r="T116" s="411">
        <v>1</v>
      </c>
      <c r="U116" s="436">
        <v>0</v>
      </c>
      <c r="V116" s="437">
        <v>1</v>
      </c>
      <c r="W116" s="455">
        <v>200</v>
      </c>
      <c r="X116" s="456">
        <v>0</v>
      </c>
      <c r="Y116" s="480"/>
      <c r="Z116" s="480"/>
      <c r="AA116" s="481"/>
    </row>
    <row r="117" spans="1:27" x14ac:dyDescent="0.25">
      <c r="A117" s="387" t="s">
        <v>1669</v>
      </c>
      <c r="B117" s="387" t="s">
        <v>1368</v>
      </c>
      <c r="C117" s="387" t="s">
        <v>1224</v>
      </c>
      <c r="D117" s="387" t="s">
        <v>1377</v>
      </c>
      <c r="E117" s="387" t="s">
        <v>3201</v>
      </c>
      <c r="F117" s="387" t="s">
        <v>3648</v>
      </c>
      <c r="G117" s="387">
        <v>1</v>
      </c>
      <c r="H117" s="387">
        <v>0</v>
      </c>
      <c r="I117" s="387">
        <v>1</v>
      </c>
      <c r="J117" s="387">
        <v>0</v>
      </c>
      <c r="K117" s="387" t="s">
        <v>1358</v>
      </c>
      <c r="L117" s="387">
        <v>200</v>
      </c>
      <c r="M117" s="387"/>
      <c r="N117" s="2">
        <v>0</v>
      </c>
      <c r="O117" s="459">
        <v>200</v>
      </c>
      <c r="P117" s="387"/>
      <c r="Q117" s="411">
        <v>1</v>
      </c>
      <c r="R117" s="411">
        <v>1</v>
      </c>
      <c r="S117" s="436">
        <v>0</v>
      </c>
      <c r="T117" s="411">
        <v>1</v>
      </c>
      <c r="U117" s="436">
        <v>0</v>
      </c>
      <c r="V117" s="437">
        <v>1</v>
      </c>
      <c r="W117" s="455">
        <v>200</v>
      </c>
      <c r="X117" s="456">
        <v>0</v>
      </c>
      <c r="Y117" s="480"/>
      <c r="Z117" s="480"/>
      <c r="AA117" s="481"/>
    </row>
    <row r="118" spans="1:27" x14ac:dyDescent="0.25">
      <c r="A118" s="387" t="s">
        <v>1670</v>
      </c>
      <c r="B118" s="387" t="s">
        <v>1368</v>
      </c>
      <c r="C118" s="387" t="s">
        <v>1224</v>
      </c>
      <c r="D118" s="387" t="s">
        <v>1379</v>
      </c>
      <c r="E118" s="387" t="s">
        <v>3201</v>
      </c>
      <c r="F118" s="387" t="s">
        <v>3649</v>
      </c>
      <c r="G118" s="387">
        <v>1</v>
      </c>
      <c r="H118" s="387">
        <v>0</v>
      </c>
      <c r="I118" s="387">
        <v>1</v>
      </c>
      <c r="J118" s="387">
        <v>0</v>
      </c>
      <c r="K118" s="387" t="s">
        <v>1358</v>
      </c>
      <c r="L118" s="387">
        <v>200</v>
      </c>
      <c r="M118" s="387"/>
      <c r="N118" s="2">
        <v>0</v>
      </c>
      <c r="O118" s="459">
        <v>200</v>
      </c>
      <c r="P118" s="387"/>
      <c r="Q118" s="411">
        <v>1</v>
      </c>
      <c r="R118" s="411">
        <v>1</v>
      </c>
      <c r="S118" s="436">
        <v>0</v>
      </c>
      <c r="T118" s="411">
        <v>1</v>
      </c>
      <c r="U118" s="436">
        <v>0</v>
      </c>
      <c r="V118" s="437">
        <v>1</v>
      </c>
      <c r="W118" s="455">
        <v>200</v>
      </c>
      <c r="X118" s="456">
        <v>0</v>
      </c>
      <c r="Y118" s="480"/>
      <c r="Z118" s="480"/>
      <c r="AA118" s="481"/>
    </row>
    <row r="119" spans="1:27" x14ac:dyDescent="0.25">
      <c r="A119" s="387" t="s">
        <v>1671</v>
      </c>
      <c r="B119" s="387" t="s">
        <v>1368</v>
      </c>
      <c r="C119" s="387" t="s">
        <v>1224</v>
      </c>
      <c r="D119" s="387" t="s">
        <v>1379</v>
      </c>
      <c r="E119" s="387" t="s">
        <v>3201</v>
      </c>
      <c r="F119" s="387" t="s">
        <v>3650</v>
      </c>
      <c r="G119" s="387">
        <v>1</v>
      </c>
      <c r="H119" s="387">
        <v>0</v>
      </c>
      <c r="I119" s="387">
        <v>1</v>
      </c>
      <c r="J119" s="387">
        <v>0</v>
      </c>
      <c r="K119" s="387" t="s">
        <v>1358</v>
      </c>
      <c r="L119" s="387">
        <v>200</v>
      </c>
      <c r="M119" s="387"/>
      <c r="N119" s="2">
        <v>0</v>
      </c>
      <c r="O119" s="459">
        <v>200</v>
      </c>
      <c r="P119" s="387"/>
      <c r="Q119" s="411">
        <v>1</v>
      </c>
      <c r="R119" s="411">
        <v>1</v>
      </c>
      <c r="S119" s="436">
        <v>0</v>
      </c>
      <c r="T119" s="411">
        <v>1</v>
      </c>
      <c r="U119" s="436">
        <v>0</v>
      </c>
      <c r="V119" s="437">
        <v>1</v>
      </c>
      <c r="W119" s="455">
        <v>200</v>
      </c>
      <c r="X119" s="456">
        <v>0</v>
      </c>
      <c r="Y119" s="480"/>
      <c r="Z119" s="480"/>
      <c r="AA119" s="481"/>
    </row>
    <row r="120" spans="1:27" x14ac:dyDescent="0.25">
      <c r="A120" s="387" t="s">
        <v>1672</v>
      </c>
      <c r="B120" s="387" t="s">
        <v>1368</v>
      </c>
      <c r="C120" s="387" t="s">
        <v>1224</v>
      </c>
      <c r="D120" s="387" t="s">
        <v>1379</v>
      </c>
      <c r="E120" s="387" t="s">
        <v>3201</v>
      </c>
      <c r="F120" s="387" t="s">
        <v>3651</v>
      </c>
      <c r="G120" s="387">
        <v>1</v>
      </c>
      <c r="H120" s="387">
        <v>0</v>
      </c>
      <c r="I120" s="387">
        <v>1</v>
      </c>
      <c r="J120" s="387">
        <v>0</v>
      </c>
      <c r="K120" s="387" t="s">
        <v>1358</v>
      </c>
      <c r="L120" s="387">
        <v>200</v>
      </c>
      <c r="M120" s="387"/>
      <c r="N120" s="2">
        <v>0</v>
      </c>
      <c r="O120" s="459">
        <v>200</v>
      </c>
      <c r="P120" s="387"/>
      <c r="Q120" s="411">
        <v>1</v>
      </c>
      <c r="R120" s="411">
        <v>1</v>
      </c>
      <c r="S120" s="436">
        <v>0</v>
      </c>
      <c r="T120" s="411">
        <v>1</v>
      </c>
      <c r="U120" s="436">
        <v>0</v>
      </c>
      <c r="V120" s="437">
        <v>1</v>
      </c>
      <c r="W120" s="455">
        <v>200</v>
      </c>
      <c r="X120" s="456">
        <v>0</v>
      </c>
      <c r="Y120" s="480"/>
      <c r="Z120" s="480"/>
      <c r="AA120" s="481"/>
    </row>
    <row r="121" spans="1:27" x14ac:dyDescent="0.25">
      <c r="A121" s="387" t="s">
        <v>1673</v>
      </c>
      <c r="B121" s="387" t="s">
        <v>1368</v>
      </c>
      <c r="C121" s="387" t="s">
        <v>1224</v>
      </c>
      <c r="D121" s="387" t="s">
        <v>1381</v>
      </c>
      <c r="E121" s="387" t="s">
        <v>3201</v>
      </c>
      <c r="F121" s="387" t="s">
        <v>3652</v>
      </c>
      <c r="G121" s="387">
        <v>1</v>
      </c>
      <c r="H121" s="387">
        <v>0</v>
      </c>
      <c r="I121" s="387">
        <v>1</v>
      </c>
      <c r="J121" s="387">
        <v>0</v>
      </c>
      <c r="K121" s="387" t="s">
        <v>1358</v>
      </c>
      <c r="L121" s="387">
        <v>200</v>
      </c>
      <c r="M121" s="387"/>
      <c r="N121" s="2">
        <v>0</v>
      </c>
      <c r="O121" s="459">
        <v>200</v>
      </c>
      <c r="P121" s="387"/>
      <c r="Q121" s="411">
        <v>1</v>
      </c>
      <c r="R121" s="411">
        <v>1</v>
      </c>
      <c r="S121" s="436">
        <v>0</v>
      </c>
      <c r="T121" s="411">
        <v>1</v>
      </c>
      <c r="U121" s="436">
        <v>0</v>
      </c>
      <c r="V121" s="437">
        <v>1</v>
      </c>
      <c r="W121" s="455">
        <v>200</v>
      </c>
      <c r="X121" s="456">
        <v>0</v>
      </c>
      <c r="Y121" s="480"/>
      <c r="Z121" s="480"/>
      <c r="AA121" s="481"/>
    </row>
    <row r="122" spans="1:27" x14ac:dyDescent="0.25">
      <c r="A122" s="387" t="s">
        <v>1674</v>
      </c>
      <c r="B122" s="387" t="s">
        <v>1368</v>
      </c>
      <c r="C122" s="387" t="s">
        <v>1224</v>
      </c>
      <c r="D122" s="387" t="s">
        <v>1381</v>
      </c>
      <c r="E122" s="387" t="s">
        <v>3201</v>
      </c>
      <c r="F122" s="387" t="s">
        <v>3653</v>
      </c>
      <c r="G122" s="387">
        <v>1</v>
      </c>
      <c r="H122" s="387">
        <v>0</v>
      </c>
      <c r="I122" s="387">
        <v>1</v>
      </c>
      <c r="J122" s="387">
        <v>0</v>
      </c>
      <c r="K122" s="387" t="s">
        <v>1358</v>
      </c>
      <c r="L122" s="387">
        <v>200</v>
      </c>
      <c r="M122" s="387"/>
      <c r="N122" s="2">
        <v>0</v>
      </c>
      <c r="O122" s="459">
        <v>200</v>
      </c>
      <c r="P122" s="387"/>
      <c r="Q122" s="411">
        <v>1</v>
      </c>
      <c r="R122" s="411">
        <v>1</v>
      </c>
      <c r="S122" s="436">
        <v>0</v>
      </c>
      <c r="T122" s="411">
        <v>1</v>
      </c>
      <c r="U122" s="436">
        <v>0</v>
      </c>
      <c r="V122" s="437">
        <v>1</v>
      </c>
      <c r="W122" s="455">
        <v>200</v>
      </c>
      <c r="X122" s="456">
        <v>0</v>
      </c>
      <c r="Y122" s="480"/>
      <c r="Z122" s="480"/>
      <c r="AA122" s="481"/>
    </row>
    <row r="123" spans="1:27" x14ac:dyDescent="0.25">
      <c r="A123" s="387" t="s">
        <v>1675</v>
      </c>
      <c r="B123" s="387" t="s">
        <v>1368</v>
      </c>
      <c r="C123" s="387" t="s">
        <v>1224</v>
      </c>
      <c r="D123" s="387" t="s">
        <v>1381</v>
      </c>
      <c r="E123" s="387" t="s">
        <v>3201</v>
      </c>
      <c r="F123" s="387" t="s">
        <v>3654</v>
      </c>
      <c r="G123" s="387">
        <v>1</v>
      </c>
      <c r="H123" s="387">
        <v>0</v>
      </c>
      <c r="I123" s="387">
        <v>1</v>
      </c>
      <c r="J123" s="387">
        <v>0</v>
      </c>
      <c r="K123" s="387" t="s">
        <v>1358</v>
      </c>
      <c r="L123" s="387">
        <v>200</v>
      </c>
      <c r="M123" s="387"/>
      <c r="N123" s="2">
        <v>0</v>
      </c>
      <c r="O123" s="459">
        <v>200</v>
      </c>
      <c r="P123" s="387"/>
      <c r="Q123" s="411">
        <v>1</v>
      </c>
      <c r="R123" s="411">
        <v>1</v>
      </c>
      <c r="S123" s="436">
        <v>0</v>
      </c>
      <c r="T123" s="411">
        <v>1</v>
      </c>
      <c r="U123" s="436">
        <v>0</v>
      </c>
      <c r="V123" s="437">
        <v>1</v>
      </c>
      <c r="W123" s="455">
        <v>200</v>
      </c>
      <c r="X123" s="456">
        <v>0</v>
      </c>
      <c r="Y123" s="480"/>
      <c r="Z123" s="480"/>
      <c r="AA123" s="481"/>
    </row>
    <row r="124" spans="1:27" x14ac:dyDescent="0.25">
      <c r="A124" s="387" t="s">
        <v>1676</v>
      </c>
      <c r="B124" s="387" t="s">
        <v>1368</v>
      </c>
      <c r="C124" s="387" t="s">
        <v>1224</v>
      </c>
      <c r="D124" s="387" t="s">
        <v>1399</v>
      </c>
      <c r="E124" s="387" t="s">
        <v>3201</v>
      </c>
      <c r="F124" s="387" t="s">
        <v>3655</v>
      </c>
      <c r="G124" s="387">
        <v>1</v>
      </c>
      <c r="H124" s="387">
        <v>0</v>
      </c>
      <c r="I124" s="387">
        <v>1</v>
      </c>
      <c r="J124" s="387">
        <v>0</v>
      </c>
      <c r="K124" s="387" t="s">
        <v>1358</v>
      </c>
      <c r="L124" s="387">
        <v>85.69</v>
      </c>
      <c r="M124" s="387"/>
      <c r="N124" s="2">
        <v>0</v>
      </c>
      <c r="O124" s="459">
        <v>85.69</v>
      </c>
      <c r="P124" s="387"/>
      <c r="Q124" s="411">
        <v>1</v>
      </c>
      <c r="R124" s="411">
        <v>1</v>
      </c>
      <c r="S124" s="436">
        <v>0</v>
      </c>
      <c r="T124" s="411">
        <v>1</v>
      </c>
      <c r="U124" s="436">
        <v>0</v>
      </c>
      <c r="V124" s="437">
        <v>1</v>
      </c>
      <c r="W124" s="455">
        <v>85.69</v>
      </c>
      <c r="X124" s="456">
        <v>0</v>
      </c>
      <c r="Y124" s="480"/>
      <c r="Z124" s="480"/>
      <c r="AA124" s="481"/>
    </row>
    <row r="125" spans="1:27" x14ac:dyDescent="0.25">
      <c r="A125" s="387" t="s">
        <v>1677</v>
      </c>
      <c r="B125" s="387" t="s">
        <v>1368</v>
      </c>
      <c r="C125" s="387" t="s">
        <v>1224</v>
      </c>
      <c r="D125" s="387" t="s">
        <v>1399</v>
      </c>
      <c r="E125" s="387" t="s">
        <v>3201</v>
      </c>
      <c r="F125" s="387" t="s">
        <v>3656</v>
      </c>
      <c r="G125" s="387">
        <v>1</v>
      </c>
      <c r="H125" s="387">
        <v>0</v>
      </c>
      <c r="I125" s="387">
        <v>1</v>
      </c>
      <c r="J125" s="387">
        <v>0</v>
      </c>
      <c r="K125" s="387" t="s">
        <v>1358</v>
      </c>
      <c r="L125" s="387">
        <v>85.69</v>
      </c>
      <c r="M125" s="387"/>
      <c r="N125" s="2">
        <v>0</v>
      </c>
      <c r="O125" s="459">
        <v>85.69</v>
      </c>
      <c r="P125" s="387"/>
      <c r="Q125" s="411">
        <v>1</v>
      </c>
      <c r="R125" s="411">
        <v>1</v>
      </c>
      <c r="S125" s="436">
        <v>0</v>
      </c>
      <c r="T125" s="411">
        <v>1</v>
      </c>
      <c r="U125" s="436">
        <v>0</v>
      </c>
      <c r="V125" s="437">
        <v>1</v>
      </c>
      <c r="W125" s="455">
        <v>85.69</v>
      </c>
      <c r="X125" s="456">
        <v>0</v>
      </c>
      <c r="Y125" s="480"/>
      <c r="Z125" s="480"/>
      <c r="AA125" s="481"/>
    </row>
    <row r="126" spans="1:27" x14ac:dyDescent="0.25">
      <c r="A126" s="387" t="s">
        <v>1678</v>
      </c>
      <c r="B126" s="387" t="s">
        <v>1368</v>
      </c>
      <c r="C126" s="387" t="s">
        <v>1224</v>
      </c>
      <c r="D126" s="387" t="s">
        <v>1399</v>
      </c>
      <c r="E126" s="387" t="s">
        <v>3201</v>
      </c>
      <c r="F126" s="387" t="s">
        <v>3657</v>
      </c>
      <c r="G126" s="387">
        <v>1</v>
      </c>
      <c r="H126" s="387">
        <v>0</v>
      </c>
      <c r="I126" s="387">
        <v>1</v>
      </c>
      <c r="J126" s="387">
        <v>0</v>
      </c>
      <c r="K126" s="387" t="s">
        <v>1358</v>
      </c>
      <c r="L126" s="387">
        <v>85.69</v>
      </c>
      <c r="M126" s="387"/>
      <c r="N126" s="2">
        <v>0</v>
      </c>
      <c r="O126" s="459">
        <v>85.69</v>
      </c>
      <c r="P126" s="387"/>
      <c r="Q126" s="411">
        <v>1</v>
      </c>
      <c r="R126" s="411">
        <v>1</v>
      </c>
      <c r="S126" s="436">
        <v>0</v>
      </c>
      <c r="T126" s="411">
        <v>1</v>
      </c>
      <c r="U126" s="436">
        <v>0</v>
      </c>
      <c r="V126" s="437">
        <v>1</v>
      </c>
      <c r="W126" s="455">
        <v>85.69</v>
      </c>
      <c r="X126" s="456">
        <v>0</v>
      </c>
      <c r="Y126" s="480"/>
      <c r="Z126" s="480"/>
      <c r="AA126" s="481"/>
    </row>
    <row r="127" spans="1:27" x14ac:dyDescent="0.25">
      <c r="A127" s="387" t="s">
        <v>1679</v>
      </c>
      <c r="B127" s="387" t="s">
        <v>1368</v>
      </c>
      <c r="C127" s="387" t="s">
        <v>1224</v>
      </c>
      <c r="D127" s="387" t="s">
        <v>1400</v>
      </c>
      <c r="E127" s="387" t="s">
        <v>3201</v>
      </c>
      <c r="F127" s="387" t="s">
        <v>3658</v>
      </c>
      <c r="G127" s="387">
        <v>1</v>
      </c>
      <c r="H127" s="387">
        <v>0</v>
      </c>
      <c r="I127" s="387">
        <v>1</v>
      </c>
      <c r="J127" s="387">
        <v>0</v>
      </c>
      <c r="K127" s="387" t="s">
        <v>1358</v>
      </c>
      <c r="L127" s="387">
        <v>85.69</v>
      </c>
      <c r="M127" s="387"/>
      <c r="N127" s="2">
        <v>0</v>
      </c>
      <c r="O127" s="459">
        <v>85.69</v>
      </c>
      <c r="P127" s="387"/>
      <c r="Q127" s="411">
        <v>1</v>
      </c>
      <c r="R127" s="411">
        <v>1</v>
      </c>
      <c r="S127" s="436">
        <v>0</v>
      </c>
      <c r="T127" s="411">
        <v>1</v>
      </c>
      <c r="U127" s="436">
        <v>0</v>
      </c>
      <c r="V127" s="437">
        <v>1</v>
      </c>
      <c r="W127" s="455">
        <v>85.69</v>
      </c>
      <c r="X127" s="456">
        <v>0</v>
      </c>
      <c r="Y127" s="480"/>
      <c r="Z127" s="480"/>
      <c r="AA127" s="481"/>
    </row>
    <row r="128" spans="1:27" x14ac:dyDescent="0.25">
      <c r="A128" s="387" t="s">
        <v>1680</v>
      </c>
      <c r="B128" s="387" t="s">
        <v>1368</v>
      </c>
      <c r="C128" s="387" t="s">
        <v>1224</v>
      </c>
      <c r="D128" s="387" t="s">
        <v>1400</v>
      </c>
      <c r="E128" s="387" t="s">
        <v>3201</v>
      </c>
      <c r="F128" s="387" t="s">
        <v>3659</v>
      </c>
      <c r="G128" s="387">
        <v>1</v>
      </c>
      <c r="H128" s="387">
        <v>0</v>
      </c>
      <c r="I128" s="387">
        <v>1</v>
      </c>
      <c r="J128" s="387">
        <v>0</v>
      </c>
      <c r="K128" s="387" t="s">
        <v>1358</v>
      </c>
      <c r="L128" s="387">
        <v>85.69</v>
      </c>
      <c r="M128" s="387"/>
      <c r="N128" s="2">
        <v>0</v>
      </c>
      <c r="O128" s="459">
        <v>85.69</v>
      </c>
      <c r="P128" s="387"/>
      <c r="Q128" s="411">
        <v>1</v>
      </c>
      <c r="R128" s="411">
        <v>1</v>
      </c>
      <c r="S128" s="436">
        <v>0</v>
      </c>
      <c r="T128" s="411">
        <v>1</v>
      </c>
      <c r="U128" s="436">
        <v>0</v>
      </c>
      <c r="V128" s="437">
        <v>1</v>
      </c>
      <c r="W128" s="455">
        <v>85.69</v>
      </c>
      <c r="X128" s="456">
        <v>0</v>
      </c>
      <c r="Y128" s="480"/>
      <c r="Z128" s="480"/>
      <c r="AA128" s="481"/>
    </row>
    <row r="129" spans="1:27" x14ac:dyDescent="0.25">
      <c r="A129" s="387" t="s">
        <v>1681</v>
      </c>
      <c r="B129" s="387" t="s">
        <v>1368</v>
      </c>
      <c r="C129" s="387" t="s">
        <v>1224</v>
      </c>
      <c r="D129" s="387" t="s">
        <v>1400</v>
      </c>
      <c r="E129" s="387" t="s">
        <v>3201</v>
      </c>
      <c r="F129" s="387" t="s">
        <v>3660</v>
      </c>
      <c r="G129" s="387">
        <v>1</v>
      </c>
      <c r="H129" s="387">
        <v>0</v>
      </c>
      <c r="I129" s="387">
        <v>1</v>
      </c>
      <c r="J129" s="387">
        <v>0</v>
      </c>
      <c r="K129" s="387" t="s">
        <v>1358</v>
      </c>
      <c r="L129" s="387">
        <v>85.69</v>
      </c>
      <c r="M129" s="387"/>
      <c r="N129" s="2">
        <v>0</v>
      </c>
      <c r="O129" s="459">
        <v>85.69</v>
      </c>
      <c r="P129" s="387"/>
      <c r="Q129" s="411">
        <v>1</v>
      </c>
      <c r="R129" s="411">
        <v>1</v>
      </c>
      <c r="S129" s="436">
        <v>0</v>
      </c>
      <c r="T129" s="411">
        <v>1</v>
      </c>
      <c r="U129" s="436">
        <v>0</v>
      </c>
      <c r="V129" s="437">
        <v>1</v>
      </c>
      <c r="W129" s="455">
        <v>85.69</v>
      </c>
      <c r="X129" s="456">
        <v>0</v>
      </c>
      <c r="Y129" s="480"/>
      <c r="Z129" s="480"/>
      <c r="AA129" s="481"/>
    </row>
    <row r="130" spans="1:27" x14ac:dyDescent="0.25">
      <c r="A130" s="387" t="s">
        <v>1682</v>
      </c>
      <c r="B130" s="387" t="s">
        <v>1368</v>
      </c>
      <c r="C130" s="387" t="s">
        <v>1224</v>
      </c>
      <c r="D130" s="387" t="s">
        <v>1401</v>
      </c>
      <c r="E130" s="387" t="s">
        <v>3201</v>
      </c>
      <c r="F130" s="387" t="s">
        <v>3661</v>
      </c>
      <c r="G130" s="387">
        <v>1</v>
      </c>
      <c r="H130" s="387">
        <v>0</v>
      </c>
      <c r="I130" s="387">
        <v>1</v>
      </c>
      <c r="J130" s="387">
        <v>0</v>
      </c>
      <c r="K130" s="387" t="s">
        <v>1358</v>
      </c>
      <c r="L130" s="387">
        <v>85.69</v>
      </c>
      <c r="M130" s="387"/>
      <c r="N130" s="2">
        <v>0</v>
      </c>
      <c r="O130" s="459">
        <v>85.69</v>
      </c>
      <c r="P130" s="387"/>
      <c r="Q130" s="411">
        <v>1</v>
      </c>
      <c r="R130" s="411">
        <v>1</v>
      </c>
      <c r="S130" s="436">
        <v>0</v>
      </c>
      <c r="T130" s="411">
        <v>1</v>
      </c>
      <c r="U130" s="436">
        <v>0</v>
      </c>
      <c r="V130" s="437">
        <v>1</v>
      </c>
      <c r="W130" s="455">
        <v>85.69</v>
      </c>
      <c r="X130" s="456">
        <v>0</v>
      </c>
      <c r="Y130" s="480"/>
      <c r="Z130" s="480"/>
      <c r="AA130" s="481"/>
    </row>
    <row r="131" spans="1:27" x14ac:dyDescent="0.25">
      <c r="A131" s="387" t="s">
        <v>1683</v>
      </c>
      <c r="B131" s="387" t="s">
        <v>1368</v>
      </c>
      <c r="C131" s="387" t="s">
        <v>1224</v>
      </c>
      <c r="D131" s="387" t="s">
        <v>1401</v>
      </c>
      <c r="E131" s="387" t="s">
        <v>3201</v>
      </c>
      <c r="F131" s="387" t="s">
        <v>3662</v>
      </c>
      <c r="G131" s="387">
        <v>1</v>
      </c>
      <c r="H131" s="387">
        <v>0</v>
      </c>
      <c r="I131" s="387">
        <v>1</v>
      </c>
      <c r="J131" s="387">
        <v>0</v>
      </c>
      <c r="K131" s="387" t="s">
        <v>1358</v>
      </c>
      <c r="L131" s="387">
        <v>85.69</v>
      </c>
      <c r="M131" s="387"/>
      <c r="N131" s="2">
        <v>0</v>
      </c>
      <c r="O131" s="459">
        <v>85.69</v>
      </c>
      <c r="P131" s="387"/>
      <c r="Q131" s="411">
        <v>1</v>
      </c>
      <c r="R131" s="411">
        <v>1</v>
      </c>
      <c r="S131" s="436">
        <v>0</v>
      </c>
      <c r="T131" s="411">
        <v>1</v>
      </c>
      <c r="U131" s="436">
        <v>0</v>
      </c>
      <c r="V131" s="437">
        <v>1</v>
      </c>
      <c r="W131" s="455">
        <v>85.69</v>
      </c>
      <c r="X131" s="456">
        <v>0</v>
      </c>
      <c r="Y131" s="480"/>
      <c r="Z131" s="480"/>
      <c r="AA131" s="481"/>
    </row>
    <row r="132" spans="1:27" x14ac:dyDescent="0.25">
      <c r="A132" s="387" t="s">
        <v>1684</v>
      </c>
      <c r="B132" s="387" t="s">
        <v>1368</v>
      </c>
      <c r="C132" s="387" t="s">
        <v>1224</v>
      </c>
      <c r="D132" s="387" t="s">
        <v>1401</v>
      </c>
      <c r="E132" s="387" t="s">
        <v>3201</v>
      </c>
      <c r="F132" s="387" t="s">
        <v>3663</v>
      </c>
      <c r="G132" s="387">
        <v>1</v>
      </c>
      <c r="H132" s="387">
        <v>0</v>
      </c>
      <c r="I132" s="387">
        <v>1</v>
      </c>
      <c r="J132" s="387">
        <v>0</v>
      </c>
      <c r="K132" s="387" t="s">
        <v>1358</v>
      </c>
      <c r="L132" s="387">
        <v>85.69</v>
      </c>
      <c r="M132" s="387"/>
      <c r="N132" s="2">
        <v>0</v>
      </c>
      <c r="O132" s="459">
        <v>85.69</v>
      </c>
      <c r="P132" s="387"/>
      <c r="Q132" s="411">
        <v>1</v>
      </c>
      <c r="R132" s="411">
        <v>1</v>
      </c>
      <c r="S132" s="436">
        <v>0</v>
      </c>
      <c r="T132" s="411">
        <v>1</v>
      </c>
      <c r="U132" s="436">
        <v>0</v>
      </c>
      <c r="V132" s="437">
        <v>1</v>
      </c>
      <c r="W132" s="455">
        <v>85.69</v>
      </c>
      <c r="X132" s="456">
        <v>0</v>
      </c>
      <c r="Y132" s="480"/>
      <c r="Z132" s="480"/>
      <c r="AA132" s="481"/>
    </row>
    <row r="133" spans="1:27" x14ac:dyDescent="0.25">
      <c r="A133" s="387" t="s">
        <v>1685</v>
      </c>
      <c r="B133" s="387" t="s">
        <v>1368</v>
      </c>
      <c r="C133" s="387" t="s">
        <v>1224</v>
      </c>
      <c r="D133" s="387" t="s">
        <v>1402</v>
      </c>
      <c r="E133" s="387" t="s">
        <v>3201</v>
      </c>
      <c r="F133" s="387" t="s">
        <v>3664</v>
      </c>
      <c r="G133" s="387">
        <v>1</v>
      </c>
      <c r="H133" s="387">
        <v>0</v>
      </c>
      <c r="I133" s="387">
        <v>1</v>
      </c>
      <c r="J133" s="387">
        <v>0</v>
      </c>
      <c r="K133" s="387" t="s">
        <v>1358</v>
      </c>
      <c r="L133" s="387">
        <v>85.69</v>
      </c>
      <c r="M133" s="387"/>
      <c r="N133" s="2">
        <v>0</v>
      </c>
      <c r="O133" s="459">
        <v>85.69</v>
      </c>
      <c r="P133" s="387"/>
      <c r="Q133" s="411">
        <v>0</v>
      </c>
      <c r="R133" s="411">
        <v>0</v>
      </c>
      <c r="S133" s="436">
        <v>0</v>
      </c>
      <c r="T133" s="411">
        <v>0</v>
      </c>
      <c r="U133" s="436">
        <v>0</v>
      </c>
      <c r="V133" s="437">
        <v>0</v>
      </c>
      <c r="W133" s="455">
        <v>0</v>
      </c>
      <c r="X133" s="456">
        <v>0</v>
      </c>
      <c r="Y133" s="480"/>
      <c r="Z133" s="480"/>
      <c r="AA133" s="481"/>
    </row>
    <row r="134" spans="1:27" x14ac:dyDescent="0.25">
      <c r="A134" s="1" t="s">
        <v>1686</v>
      </c>
      <c r="B134" s="387" t="s">
        <v>1368</v>
      </c>
      <c r="C134" s="3" t="s">
        <v>1224</v>
      </c>
      <c r="D134" s="551" t="s">
        <v>1402</v>
      </c>
      <c r="E134" s="407" t="s">
        <v>3201</v>
      </c>
      <c r="F134" s="413" t="s">
        <v>3665</v>
      </c>
      <c r="G134" s="387">
        <v>1</v>
      </c>
      <c r="H134" s="387">
        <v>0</v>
      </c>
      <c r="I134" s="387">
        <v>1</v>
      </c>
      <c r="J134" s="387">
        <v>0</v>
      </c>
      <c r="K134" s="387" t="s">
        <v>1358</v>
      </c>
      <c r="L134" s="3">
        <v>85.69</v>
      </c>
      <c r="M134" s="480"/>
      <c r="N134" s="2">
        <v>0</v>
      </c>
      <c r="O134" s="459">
        <v>85.69</v>
      </c>
      <c r="P134" s="480"/>
      <c r="Q134" s="411">
        <v>0</v>
      </c>
      <c r="R134" s="411">
        <v>0</v>
      </c>
      <c r="S134" s="436">
        <v>0</v>
      </c>
      <c r="T134" s="411">
        <v>0</v>
      </c>
      <c r="U134" s="436">
        <v>0</v>
      </c>
      <c r="V134" s="437">
        <v>0</v>
      </c>
      <c r="W134" s="455">
        <v>0</v>
      </c>
      <c r="X134" s="456">
        <v>0</v>
      </c>
      <c r="Y134" s="480"/>
      <c r="Z134" s="480"/>
      <c r="AA134" s="481"/>
    </row>
    <row r="135" spans="1:27" x14ac:dyDescent="0.25">
      <c r="A135" s="1" t="s">
        <v>1687</v>
      </c>
      <c r="B135" s="387" t="s">
        <v>1368</v>
      </c>
      <c r="C135" s="3" t="s">
        <v>1224</v>
      </c>
      <c r="D135" s="551" t="s">
        <v>1425</v>
      </c>
      <c r="E135" s="407" t="s">
        <v>3201</v>
      </c>
      <c r="F135" s="413" t="s">
        <v>3666</v>
      </c>
      <c r="G135" s="387">
        <v>1</v>
      </c>
      <c r="H135" s="387">
        <v>0</v>
      </c>
      <c r="I135" s="387">
        <v>1</v>
      </c>
      <c r="J135" s="387">
        <v>0</v>
      </c>
      <c r="K135" s="387" t="s">
        <v>1358</v>
      </c>
      <c r="L135" s="3">
        <v>85.69</v>
      </c>
      <c r="M135" s="480"/>
      <c r="N135" s="2">
        <v>0</v>
      </c>
      <c r="O135" s="459">
        <v>85.69</v>
      </c>
      <c r="P135" s="480"/>
      <c r="Q135" s="411">
        <v>1</v>
      </c>
      <c r="R135" s="411">
        <v>1</v>
      </c>
      <c r="S135" s="436">
        <v>0</v>
      </c>
      <c r="T135" s="411">
        <v>1</v>
      </c>
      <c r="U135" s="436">
        <v>0</v>
      </c>
      <c r="V135" s="437">
        <v>1</v>
      </c>
      <c r="W135" s="455">
        <v>85.69</v>
      </c>
      <c r="X135" s="456">
        <v>0</v>
      </c>
      <c r="Y135" s="480"/>
      <c r="Z135" s="480"/>
      <c r="AA135" s="481"/>
    </row>
    <row r="136" spans="1:27" x14ac:dyDescent="0.25">
      <c r="A136" s="1" t="s">
        <v>1688</v>
      </c>
      <c r="B136" s="387" t="s">
        <v>1368</v>
      </c>
      <c r="C136" s="3" t="s">
        <v>1224</v>
      </c>
      <c r="D136" s="551" t="s">
        <v>1425</v>
      </c>
      <c r="E136" s="407" t="s">
        <v>3201</v>
      </c>
      <c r="F136" s="413" t="s">
        <v>3667</v>
      </c>
      <c r="G136" s="387">
        <v>1</v>
      </c>
      <c r="H136" s="387">
        <v>0</v>
      </c>
      <c r="I136" s="387">
        <v>1</v>
      </c>
      <c r="J136" s="387">
        <v>0</v>
      </c>
      <c r="K136" s="387" t="s">
        <v>1358</v>
      </c>
      <c r="L136" s="3">
        <v>85.69</v>
      </c>
      <c r="M136" s="480"/>
      <c r="N136" s="2">
        <v>0</v>
      </c>
      <c r="O136" s="459">
        <v>85.69</v>
      </c>
      <c r="P136" s="480"/>
      <c r="Q136" s="411">
        <v>1</v>
      </c>
      <c r="R136" s="411">
        <v>1</v>
      </c>
      <c r="S136" s="436">
        <v>0</v>
      </c>
      <c r="T136" s="411">
        <v>1</v>
      </c>
      <c r="U136" s="436">
        <v>0</v>
      </c>
      <c r="V136" s="437">
        <v>1</v>
      </c>
      <c r="W136" s="455">
        <v>85.69</v>
      </c>
      <c r="X136" s="456">
        <v>0</v>
      </c>
      <c r="Y136" s="480"/>
      <c r="Z136" s="480"/>
      <c r="AA136" s="481"/>
    </row>
    <row r="137" spans="1:27" x14ac:dyDescent="0.25">
      <c r="A137" s="1" t="s">
        <v>1689</v>
      </c>
      <c r="B137" s="387" t="s">
        <v>1368</v>
      </c>
      <c r="C137" s="3" t="s">
        <v>1224</v>
      </c>
      <c r="D137" s="551" t="s">
        <v>1425</v>
      </c>
      <c r="E137" s="407" t="s">
        <v>3201</v>
      </c>
      <c r="F137" s="413" t="s">
        <v>3668</v>
      </c>
      <c r="G137" s="387">
        <v>1</v>
      </c>
      <c r="H137" s="387">
        <v>0</v>
      </c>
      <c r="I137" s="387">
        <v>1</v>
      </c>
      <c r="J137" s="387">
        <v>0</v>
      </c>
      <c r="K137" s="387" t="s">
        <v>1358</v>
      </c>
      <c r="L137" s="3">
        <v>85.69</v>
      </c>
      <c r="M137" s="480"/>
      <c r="N137" s="2">
        <v>0</v>
      </c>
      <c r="O137" s="459">
        <v>85.69</v>
      </c>
      <c r="P137" s="480"/>
      <c r="Q137" s="411">
        <v>1</v>
      </c>
      <c r="R137" s="411">
        <v>1</v>
      </c>
      <c r="S137" s="436">
        <v>0</v>
      </c>
      <c r="T137" s="411">
        <v>1</v>
      </c>
      <c r="U137" s="436">
        <v>0</v>
      </c>
      <c r="V137" s="437">
        <v>1</v>
      </c>
      <c r="W137" s="455">
        <v>85.69</v>
      </c>
      <c r="X137" s="456">
        <v>0</v>
      </c>
      <c r="Y137" s="480"/>
      <c r="Z137" s="480"/>
      <c r="AA137" s="481"/>
    </row>
    <row r="138" spans="1:27" x14ac:dyDescent="0.25">
      <c r="A138" s="1" t="s">
        <v>1690</v>
      </c>
      <c r="B138" s="387" t="s">
        <v>1368</v>
      </c>
      <c r="C138" s="3" t="s">
        <v>1224</v>
      </c>
      <c r="D138" s="551" t="s">
        <v>1426</v>
      </c>
      <c r="E138" s="407" t="s">
        <v>3201</v>
      </c>
      <c r="F138" s="413" t="s">
        <v>3669</v>
      </c>
      <c r="G138" s="387">
        <v>1</v>
      </c>
      <c r="H138" s="387">
        <v>0</v>
      </c>
      <c r="I138" s="387">
        <v>1</v>
      </c>
      <c r="J138" s="387">
        <v>0</v>
      </c>
      <c r="K138" s="387" t="s">
        <v>1358</v>
      </c>
      <c r="L138" s="3">
        <v>85.69</v>
      </c>
      <c r="M138" s="480"/>
      <c r="N138" s="2">
        <v>0</v>
      </c>
      <c r="O138" s="459">
        <v>100</v>
      </c>
      <c r="P138" s="480"/>
      <c r="Q138" s="411">
        <v>1</v>
      </c>
      <c r="R138" s="411">
        <v>1</v>
      </c>
      <c r="S138" s="436">
        <v>0</v>
      </c>
      <c r="T138" s="411">
        <v>1</v>
      </c>
      <c r="U138" s="436">
        <v>0</v>
      </c>
      <c r="V138" s="437">
        <v>1</v>
      </c>
      <c r="W138" s="455">
        <v>100</v>
      </c>
      <c r="X138" s="456">
        <v>0</v>
      </c>
      <c r="Y138" s="480"/>
      <c r="Z138" s="480"/>
      <c r="AA138" s="481"/>
    </row>
    <row r="139" spans="1:27" x14ac:dyDescent="0.25">
      <c r="A139" s="1" t="s">
        <v>1691</v>
      </c>
      <c r="B139" s="387" t="s">
        <v>1368</v>
      </c>
      <c r="C139" s="3" t="s">
        <v>1224</v>
      </c>
      <c r="D139" s="551" t="s">
        <v>1426</v>
      </c>
      <c r="E139" s="407" t="s">
        <v>3201</v>
      </c>
      <c r="F139" s="413" t="s">
        <v>3670</v>
      </c>
      <c r="G139" s="387">
        <v>1</v>
      </c>
      <c r="H139" s="387">
        <v>0</v>
      </c>
      <c r="I139" s="387">
        <v>1</v>
      </c>
      <c r="J139" s="387">
        <v>0</v>
      </c>
      <c r="K139" s="387" t="s">
        <v>1358</v>
      </c>
      <c r="L139" s="3">
        <v>85.69</v>
      </c>
      <c r="M139" s="480"/>
      <c r="N139" s="2">
        <v>0</v>
      </c>
      <c r="O139" s="459">
        <v>100</v>
      </c>
      <c r="P139" s="480"/>
      <c r="Q139" s="411">
        <v>1</v>
      </c>
      <c r="R139" s="411">
        <v>1</v>
      </c>
      <c r="S139" s="436">
        <v>0</v>
      </c>
      <c r="T139" s="411">
        <v>1</v>
      </c>
      <c r="U139" s="436">
        <v>0</v>
      </c>
      <c r="V139" s="437">
        <v>1</v>
      </c>
      <c r="W139" s="455">
        <v>100</v>
      </c>
      <c r="X139" s="456">
        <v>0</v>
      </c>
      <c r="Y139" s="480"/>
      <c r="Z139" s="480"/>
      <c r="AA139" s="481"/>
    </row>
    <row r="140" spans="1:27" x14ac:dyDescent="0.25">
      <c r="A140" s="1" t="s">
        <v>1692</v>
      </c>
      <c r="B140" s="387" t="s">
        <v>1368</v>
      </c>
      <c r="C140" s="3" t="s">
        <v>1224</v>
      </c>
      <c r="D140" s="551" t="s">
        <v>1426</v>
      </c>
      <c r="E140" s="407" t="s">
        <v>3201</v>
      </c>
      <c r="F140" s="413" t="s">
        <v>3671</v>
      </c>
      <c r="G140" s="387">
        <v>1</v>
      </c>
      <c r="H140" s="387">
        <v>0</v>
      </c>
      <c r="I140" s="387">
        <v>1</v>
      </c>
      <c r="J140" s="387">
        <v>0</v>
      </c>
      <c r="K140" s="387" t="s">
        <v>1358</v>
      </c>
      <c r="L140" s="3">
        <v>85.69</v>
      </c>
      <c r="M140" s="480"/>
      <c r="N140" s="2">
        <v>0</v>
      </c>
      <c r="O140" s="459">
        <v>85.69</v>
      </c>
      <c r="P140" s="480"/>
      <c r="Q140" s="411">
        <v>1</v>
      </c>
      <c r="R140" s="411">
        <v>1</v>
      </c>
      <c r="S140" s="436">
        <v>0</v>
      </c>
      <c r="T140" s="411">
        <v>1</v>
      </c>
      <c r="U140" s="436">
        <v>0</v>
      </c>
      <c r="V140" s="437">
        <v>1</v>
      </c>
      <c r="W140" s="455">
        <v>85.69</v>
      </c>
      <c r="X140" s="456">
        <v>0</v>
      </c>
      <c r="Y140" s="480"/>
      <c r="Z140" s="480"/>
      <c r="AA140" s="481"/>
    </row>
    <row r="141" spans="1:27" x14ac:dyDescent="0.25">
      <c r="A141" s="1" t="s">
        <v>1693</v>
      </c>
      <c r="B141" s="387" t="s">
        <v>1368</v>
      </c>
      <c r="C141" s="3" t="s">
        <v>1224</v>
      </c>
      <c r="D141" s="551" t="s">
        <v>1427</v>
      </c>
      <c r="E141" s="407" t="s">
        <v>3201</v>
      </c>
      <c r="F141" s="413" t="s">
        <v>3672</v>
      </c>
      <c r="G141" s="387">
        <v>1</v>
      </c>
      <c r="H141" s="387">
        <v>0</v>
      </c>
      <c r="I141" s="387">
        <v>1</v>
      </c>
      <c r="J141" s="387">
        <v>0</v>
      </c>
      <c r="K141" s="387" t="s">
        <v>1358</v>
      </c>
      <c r="L141" s="3">
        <v>85.69</v>
      </c>
      <c r="M141" s="480"/>
      <c r="N141" s="2">
        <v>0</v>
      </c>
      <c r="O141" s="459">
        <v>85.69</v>
      </c>
      <c r="P141" s="480"/>
      <c r="Q141" s="411">
        <v>1</v>
      </c>
      <c r="R141" s="411">
        <v>1</v>
      </c>
      <c r="S141" s="436">
        <v>0</v>
      </c>
      <c r="T141" s="411">
        <v>1</v>
      </c>
      <c r="U141" s="436">
        <v>0</v>
      </c>
      <c r="V141" s="437">
        <v>1</v>
      </c>
      <c r="W141" s="455">
        <v>85.69</v>
      </c>
      <c r="X141" s="456">
        <v>0</v>
      </c>
      <c r="Y141" s="480"/>
      <c r="Z141" s="480"/>
      <c r="AA141" s="481"/>
    </row>
    <row r="142" spans="1:27" x14ac:dyDescent="0.25">
      <c r="A142" s="1" t="s">
        <v>1694</v>
      </c>
      <c r="B142" s="387" t="s">
        <v>1368</v>
      </c>
      <c r="C142" s="3" t="s">
        <v>1224</v>
      </c>
      <c r="D142" s="551" t="s">
        <v>1427</v>
      </c>
      <c r="E142" s="407" t="s">
        <v>3201</v>
      </c>
      <c r="F142" s="413" t="s">
        <v>3673</v>
      </c>
      <c r="G142" s="387">
        <v>1</v>
      </c>
      <c r="H142" s="387">
        <v>0</v>
      </c>
      <c r="I142" s="387">
        <v>1</v>
      </c>
      <c r="J142" s="387">
        <v>0</v>
      </c>
      <c r="K142" s="387" t="s">
        <v>1358</v>
      </c>
      <c r="L142" s="3">
        <v>85.69</v>
      </c>
      <c r="M142" s="480"/>
      <c r="N142" s="2">
        <v>0</v>
      </c>
      <c r="O142" s="459">
        <v>85.69</v>
      </c>
      <c r="P142" s="480"/>
      <c r="Q142" s="411">
        <v>1</v>
      </c>
      <c r="R142" s="411">
        <v>1</v>
      </c>
      <c r="S142" s="436">
        <v>0</v>
      </c>
      <c r="T142" s="411">
        <v>1</v>
      </c>
      <c r="U142" s="436">
        <v>0</v>
      </c>
      <c r="V142" s="437">
        <v>1</v>
      </c>
      <c r="W142" s="455">
        <v>85.69</v>
      </c>
      <c r="X142" s="456">
        <v>0</v>
      </c>
      <c r="Y142" s="480"/>
      <c r="Z142" s="480"/>
      <c r="AA142" s="481"/>
    </row>
    <row r="143" spans="1:27" x14ac:dyDescent="0.25">
      <c r="A143" s="1" t="s">
        <v>1695</v>
      </c>
      <c r="B143" s="387" t="s">
        <v>1368</v>
      </c>
      <c r="C143" s="3" t="s">
        <v>1224</v>
      </c>
      <c r="D143" s="551" t="s">
        <v>1427</v>
      </c>
      <c r="E143" s="407" t="s">
        <v>3201</v>
      </c>
      <c r="F143" s="413" t="s">
        <v>3674</v>
      </c>
      <c r="G143" s="387">
        <v>1</v>
      </c>
      <c r="H143" s="387">
        <v>0</v>
      </c>
      <c r="I143" s="387">
        <v>1</v>
      </c>
      <c r="J143" s="387">
        <v>0</v>
      </c>
      <c r="K143" s="387" t="s">
        <v>1358</v>
      </c>
      <c r="L143" s="3">
        <v>85.69</v>
      </c>
      <c r="M143" s="480"/>
      <c r="N143" s="2">
        <v>0</v>
      </c>
      <c r="O143" s="459">
        <v>85.69</v>
      </c>
      <c r="P143" s="480"/>
      <c r="Q143" s="411">
        <v>1</v>
      </c>
      <c r="R143" s="411">
        <v>1</v>
      </c>
      <c r="S143" s="436">
        <v>0</v>
      </c>
      <c r="T143" s="411">
        <v>1</v>
      </c>
      <c r="U143" s="436">
        <v>0</v>
      </c>
      <c r="V143" s="437">
        <v>1</v>
      </c>
      <c r="W143" s="455">
        <v>85.69</v>
      </c>
      <c r="X143" s="456">
        <v>0</v>
      </c>
      <c r="Y143" s="480"/>
      <c r="Z143" s="480"/>
      <c r="AA143" s="481"/>
    </row>
    <row r="144" spans="1:27" x14ac:dyDescent="0.25">
      <c r="A144" s="1" t="s">
        <v>1696</v>
      </c>
      <c r="B144" s="387" t="s">
        <v>1368</v>
      </c>
      <c r="C144" s="3" t="s">
        <v>1224</v>
      </c>
      <c r="D144" s="551" t="s">
        <v>1428</v>
      </c>
      <c r="E144" s="407" t="s">
        <v>3201</v>
      </c>
      <c r="F144" s="413" t="s">
        <v>3675</v>
      </c>
      <c r="G144" s="387">
        <v>1</v>
      </c>
      <c r="H144" s="387">
        <v>0</v>
      </c>
      <c r="I144" s="387">
        <v>1</v>
      </c>
      <c r="J144" s="387">
        <v>0</v>
      </c>
      <c r="K144" s="387" t="s">
        <v>1358</v>
      </c>
      <c r="L144" s="3">
        <v>85.69</v>
      </c>
      <c r="M144" s="480"/>
      <c r="N144" s="2">
        <v>0</v>
      </c>
      <c r="O144" s="459">
        <v>85.69</v>
      </c>
      <c r="P144" s="480"/>
      <c r="Q144" s="411">
        <v>1</v>
      </c>
      <c r="R144" s="411">
        <v>1</v>
      </c>
      <c r="S144" s="436">
        <v>0</v>
      </c>
      <c r="T144" s="411">
        <v>1</v>
      </c>
      <c r="U144" s="436">
        <v>0</v>
      </c>
      <c r="V144" s="437">
        <v>1</v>
      </c>
      <c r="W144" s="455">
        <v>85.69</v>
      </c>
      <c r="X144" s="456">
        <v>0</v>
      </c>
      <c r="Y144" s="480"/>
      <c r="Z144" s="480"/>
      <c r="AA144" s="481"/>
    </row>
    <row r="145" spans="1:27" x14ac:dyDescent="0.25">
      <c r="A145" s="1" t="s">
        <v>1697</v>
      </c>
      <c r="B145" s="387" t="s">
        <v>1368</v>
      </c>
      <c r="C145" s="3" t="s">
        <v>1224</v>
      </c>
      <c r="D145" s="551" t="s">
        <v>1428</v>
      </c>
      <c r="E145" s="407" t="s">
        <v>3201</v>
      </c>
      <c r="F145" s="413" t="s">
        <v>3676</v>
      </c>
      <c r="G145" s="387">
        <v>1</v>
      </c>
      <c r="H145" s="387">
        <v>0</v>
      </c>
      <c r="I145" s="387">
        <v>1</v>
      </c>
      <c r="J145" s="387">
        <v>0</v>
      </c>
      <c r="K145" s="387" t="s">
        <v>1358</v>
      </c>
      <c r="L145" s="3">
        <v>85.69</v>
      </c>
      <c r="M145" s="480"/>
      <c r="N145" s="2">
        <v>0</v>
      </c>
      <c r="O145" s="459">
        <v>85.69</v>
      </c>
      <c r="P145" s="480"/>
      <c r="Q145" s="411">
        <v>1</v>
      </c>
      <c r="R145" s="411">
        <v>1</v>
      </c>
      <c r="S145" s="436">
        <v>0</v>
      </c>
      <c r="T145" s="411">
        <v>1</v>
      </c>
      <c r="U145" s="436">
        <v>0</v>
      </c>
      <c r="V145" s="437">
        <v>1</v>
      </c>
      <c r="W145" s="455">
        <v>85.69</v>
      </c>
      <c r="X145" s="456">
        <v>0</v>
      </c>
      <c r="Y145" s="480"/>
      <c r="Z145" s="480"/>
      <c r="AA145" s="481"/>
    </row>
    <row r="146" spans="1:27" x14ac:dyDescent="0.25">
      <c r="A146" s="1" t="s">
        <v>1698</v>
      </c>
      <c r="B146" s="387" t="s">
        <v>1368</v>
      </c>
      <c r="C146" s="3" t="s">
        <v>1224</v>
      </c>
      <c r="D146" s="551" t="s">
        <v>1428</v>
      </c>
      <c r="E146" s="407" t="s">
        <v>3201</v>
      </c>
      <c r="F146" s="413" t="s">
        <v>3677</v>
      </c>
      <c r="G146" s="387">
        <v>1</v>
      </c>
      <c r="H146" s="387">
        <v>0</v>
      </c>
      <c r="I146" s="387">
        <v>1</v>
      </c>
      <c r="J146" s="387">
        <v>0</v>
      </c>
      <c r="K146" s="387" t="s">
        <v>1358</v>
      </c>
      <c r="L146" s="3">
        <v>85.69</v>
      </c>
      <c r="M146" s="480"/>
      <c r="N146" s="2">
        <v>0</v>
      </c>
      <c r="O146" s="459">
        <v>85.69</v>
      </c>
      <c r="P146" s="480"/>
      <c r="Q146" s="411">
        <v>1</v>
      </c>
      <c r="R146" s="411">
        <v>1</v>
      </c>
      <c r="S146" s="436">
        <v>0</v>
      </c>
      <c r="T146" s="411">
        <v>1</v>
      </c>
      <c r="U146" s="436">
        <v>0</v>
      </c>
      <c r="V146" s="437">
        <v>1</v>
      </c>
      <c r="W146" s="455">
        <v>85.69</v>
      </c>
      <c r="X146" s="456">
        <v>0</v>
      </c>
      <c r="Y146" s="480"/>
      <c r="Z146" s="480"/>
      <c r="AA146" s="481"/>
    </row>
    <row r="147" spans="1:27" x14ac:dyDescent="0.25">
      <c r="A147" s="1" t="s">
        <v>1699</v>
      </c>
      <c r="B147" s="387" t="s">
        <v>1368</v>
      </c>
      <c r="C147" s="3" t="s">
        <v>1224</v>
      </c>
      <c r="D147" s="551" t="s">
        <v>1429</v>
      </c>
      <c r="E147" s="407" t="s">
        <v>3201</v>
      </c>
      <c r="F147" s="413" t="s">
        <v>3678</v>
      </c>
      <c r="G147" s="387">
        <v>1</v>
      </c>
      <c r="H147" s="387">
        <v>0</v>
      </c>
      <c r="I147" s="387">
        <v>1</v>
      </c>
      <c r="J147" s="387">
        <v>0</v>
      </c>
      <c r="K147" s="387" t="s">
        <v>1358</v>
      </c>
      <c r="L147" s="3">
        <v>85.69</v>
      </c>
      <c r="M147" s="480"/>
      <c r="N147" s="2">
        <v>0</v>
      </c>
      <c r="O147" s="459">
        <v>85.69</v>
      </c>
      <c r="P147" s="480"/>
      <c r="Q147" s="411">
        <v>0</v>
      </c>
      <c r="R147" s="411">
        <v>0</v>
      </c>
      <c r="S147" s="436">
        <v>0</v>
      </c>
      <c r="T147" s="411">
        <v>0</v>
      </c>
      <c r="U147" s="436">
        <v>0</v>
      </c>
      <c r="V147" s="437">
        <v>0</v>
      </c>
      <c r="W147" s="455">
        <v>0</v>
      </c>
      <c r="X147" s="456">
        <v>0</v>
      </c>
      <c r="Y147" s="480"/>
      <c r="Z147" s="480"/>
      <c r="AA147" s="481"/>
    </row>
    <row r="148" spans="1:27" x14ac:dyDescent="0.25">
      <c r="A148" s="1" t="s">
        <v>1700</v>
      </c>
      <c r="B148" s="387" t="s">
        <v>1368</v>
      </c>
      <c r="C148" s="3" t="s">
        <v>1224</v>
      </c>
      <c r="D148" s="551" t="s">
        <v>1429</v>
      </c>
      <c r="E148" s="407" t="s">
        <v>3201</v>
      </c>
      <c r="F148" s="413" t="s">
        <v>3679</v>
      </c>
      <c r="G148" s="387">
        <v>1</v>
      </c>
      <c r="H148" s="387">
        <v>0</v>
      </c>
      <c r="I148" s="387">
        <v>1</v>
      </c>
      <c r="J148" s="387">
        <v>0</v>
      </c>
      <c r="K148" s="387" t="s">
        <v>1358</v>
      </c>
      <c r="L148" s="3">
        <v>85.69</v>
      </c>
      <c r="M148" s="480"/>
      <c r="N148" s="2">
        <v>0</v>
      </c>
      <c r="O148" s="459">
        <v>85.69</v>
      </c>
      <c r="P148" s="480"/>
      <c r="Q148" s="411">
        <v>0</v>
      </c>
      <c r="R148" s="411">
        <v>0</v>
      </c>
      <c r="S148" s="436">
        <v>0</v>
      </c>
      <c r="T148" s="411">
        <v>0</v>
      </c>
      <c r="U148" s="436">
        <v>0</v>
      </c>
      <c r="V148" s="437">
        <v>0</v>
      </c>
      <c r="W148" s="455">
        <v>0</v>
      </c>
      <c r="X148" s="456">
        <v>0</v>
      </c>
      <c r="Y148" s="480"/>
      <c r="Z148" s="480"/>
      <c r="AA148" s="481"/>
    </row>
    <row r="149" spans="1:27" x14ac:dyDescent="0.25">
      <c r="A149" s="1" t="s">
        <v>1701</v>
      </c>
      <c r="B149" s="387" t="s">
        <v>1368</v>
      </c>
      <c r="C149" s="3" t="s">
        <v>1224</v>
      </c>
      <c r="D149" s="551" t="s">
        <v>1429</v>
      </c>
      <c r="E149" s="407" t="s">
        <v>3201</v>
      </c>
      <c r="F149" s="413" t="s">
        <v>3680</v>
      </c>
      <c r="G149" s="387">
        <v>1</v>
      </c>
      <c r="H149" s="387">
        <v>0</v>
      </c>
      <c r="I149" s="387">
        <v>1</v>
      </c>
      <c r="J149" s="387">
        <v>0</v>
      </c>
      <c r="K149" s="387" t="s">
        <v>1358</v>
      </c>
      <c r="L149" s="3">
        <v>85.69</v>
      </c>
      <c r="M149" s="480"/>
      <c r="N149" s="2">
        <v>0</v>
      </c>
      <c r="O149" s="459">
        <v>85.69</v>
      </c>
      <c r="P149" s="480"/>
      <c r="Q149" s="411">
        <v>0</v>
      </c>
      <c r="R149" s="411">
        <v>0</v>
      </c>
      <c r="S149" s="436">
        <v>0</v>
      </c>
      <c r="T149" s="411">
        <v>0</v>
      </c>
      <c r="U149" s="436">
        <v>0</v>
      </c>
      <c r="V149" s="437">
        <v>0</v>
      </c>
      <c r="W149" s="455">
        <v>0</v>
      </c>
      <c r="X149" s="456">
        <v>0</v>
      </c>
      <c r="Y149" s="480"/>
      <c r="Z149" s="480"/>
      <c r="AA149" s="481"/>
    </row>
    <row r="150" spans="1:27" x14ac:dyDescent="0.25">
      <c r="A150" s="1" t="s">
        <v>1702</v>
      </c>
      <c r="B150" s="387" t="s">
        <v>1368</v>
      </c>
      <c r="C150" s="3" t="s">
        <v>1224</v>
      </c>
      <c r="D150" s="551" t="s">
        <v>1430</v>
      </c>
      <c r="E150" s="407" t="s">
        <v>3201</v>
      </c>
      <c r="F150" s="413" t="s">
        <v>3681</v>
      </c>
      <c r="G150" s="387">
        <v>1</v>
      </c>
      <c r="H150" s="387">
        <v>0</v>
      </c>
      <c r="I150" s="387">
        <v>1</v>
      </c>
      <c r="J150" s="387">
        <v>0</v>
      </c>
      <c r="K150" s="387" t="s">
        <v>1358</v>
      </c>
      <c r="L150" s="3">
        <v>85.69</v>
      </c>
      <c r="M150" s="480"/>
      <c r="N150" s="2">
        <v>0</v>
      </c>
      <c r="O150" s="459">
        <v>85.69</v>
      </c>
      <c r="P150" s="480"/>
      <c r="Q150" s="411">
        <v>1</v>
      </c>
      <c r="R150" s="411">
        <v>1</v>
      </c>
      <c r="S150" s="436">
        <v>0</v>
      </c>
      <c r="T150" s="411">
        <v>1</v>
      </c>
      <c r="U150" s="436">
        <v>0</v>
      </c>
      <c r="V150" s="437">
        <v>1</v>
      </c>
      <c r="W150" s="455">
        <v>85.69</v>
      </c>
      <c r="X150" s="456">
        <v>0</v>
      </c>
      <c r="Y150" s="480"/>
      <c r="Z150" s="480"/>
      <c r="AA150" s="481"/>
    </row>
    <row r="151" spans="1:27" x14ac:dyDescent="0.25">
      <c r="A151" s="1" t="s">
        <v>1703</v>
      </c>
      <c r="B151" s="387" t="s">
        <v>1368</v>
      </c>
      <c r="C151" s="3" t="s">
        <v>1224</v>
      </c>
      <c r="D151" s="551" t="s">
        <v>1430</v>
      </c>
      <c r="E151" s="407" t="s">
        <v>3201</v>
      </c>
      <c r="F151" s="413" t="s">
        <v>3682</v>
      </c>
      <c r="G151" s="387">
        <v>1</v>
      </c>
      <c r="H151" s="387">
        <v>0</v>
      </c>
      <c r="I151" s="387">
        <v>1</v>
      </c>
      <c r="J151" s="387">
        <v>0</v>
      </c>
      <c r="K151" s="387" t="s">
        <v>1358</v>
      </c>
      <c r="L151" s="3">
        <v>85.69</v>
      </c>
      <c r="M151" s="480"/>
      <c r="N151" s="2">
        <v>0</v>
      </c>
      <c r="O151" s="459">
        <v>85.69</v>
      </c>
      <c r="P151" s="480"/>
      <c r="Q151" s="411">
        <v>1</v>
      </c>
      <c r="R151" s="411">
        <v>1</v>
      </c>
      <c r="S151" s="436">
        <v>0</v>
      </c>
      <c r="T151" s="411">
        <v>1</v>
      </c>
      <c r="U151" s="436">
        <v>0</v>
      </c>
      <c r="V151" s="437">
        <v>1</v>
      </c>
      <c r="W151" s="455">
        <v>85.69</v>
      </c>
      <c r="X151" s="456">
        <v>0</v>
      </c>
      <c r="Y151" s="480"/>
      <c r="Z151" s="480"/>
      <c r="AA151" s="481"/>
    </row>
    <row r="152" spans="1:27" x14ac:dyDescent="0.25">
      <c r="A152" s="1" t="s">
        <v>1704</v>
      </c>
      <c r="B152" s="387" t="s">
        <v>1368</v>
      </c>
      <c r="C152" s="3" t="s">
        <v>1224</v>
      </c>
      <c r="D152" s="551" t="s">
        <v>1430</v>
      </c>
      <c r="E152" s="407" t="s">
        <v>3201</v>
      </c>
      <c r="F152" s="413" t="s">
        <v>3683</v>
      </c>
      <c r="G152" s="387">
        <v>1</v>
      </c>
      <c r="H152" s="387">
        <v>0</v>
      </c>
      <c r="I152" s="387">
        <v>1</v>
      </c>
      <c r="J152" s="387">
        <v>0</v>
      </c>
      <c r="K152" s="387" t="s">
        <v>1358</v>
      </c>
      <c r="L152" s="3">
        <v>85.69</v>
      </c>
      <c r="M152" s="480"/>
      <c r="N152" s="2">
        <v>0</v>
      </c>
      <c r="O152" s="459">
        <v>85.69</v>
      </c>
      <c r="P152" s="480"/>
      <c r="Q152" s="411">
        <v>1</v>
      </c>
      <c r="R152" s="411">
        <v>1</v>
      </c>
      <c r="S152" s="436">
        <v>0</v>
      </c>
      <c r="T152" s="411">
        <v>1</v>
      </c>
      <c r="U152" s="436">
        <v>0</v>
      </c>
      <c r="V152" s="437">
        <v>1</v>
      </c>
      <c r="W152" s="455">
        <v>85.69</v>
      </c>
      <c r="X152" s="456">
        <v>0</v>
      </c>
      <c r="Y152" s="480"/>
      <c r="Z152" s="480"/>
      <c r="AA152" s="481"/>
    </row>
    <row r="153" spans="1:27" x14ac:dyDescent="0.25">
      <c r="A153" s="1" t="s">
        <v>1705</v>
      </c>
      <c r="B153" s="387" t="s">
        <v>1368</v>
      </c>
      <c r="C153" s="3" t="s">
        <v>1224</v>
      </c>
      <c r="D153" s="551" t="s">
        <v>1431</v>
      </c>
      <c r="E153" s="407" t="s">
        <v>3201</v>
      </c>
      <c r="F153" s="413" t="s">
        <v>3684</v>
      </c>
      <c r="G153" s="387">
        <v>1</v>
      </c>
      <c r="H153" s="387">
        <v>0</v>
      </c>
      <c r="I153" s="387">
        <v>1</v>
      </c>
      <c r="J153" s="387">
        <v>0</v>
      </c>
      <c r="K153" s="387" t="s">
        <v>1358</v>
      </c>
      <c r="L153" s="3">
        <v>85.69</v>
      </c>
      <c r="M153" s="480"/>
      <c r="N153" s="2">
        <v>0</v>
      </c>
      <c r="O153" s="459">
        <v>85.69</v>
      </c>
      <c r="P153" s="480"/>
      <c r="Q153" s="411">
        <v>1</v>
      </c>
      <c r="R153" s="411">
        <v>1</v>
      </c>
      <c r="S153" s="436">
        <v>0</v>
      </c>
      <c r="T153" s="411">
        <v>1</v>
      </c>
      <c r="U153" s="436">
        <v>0</v>
      </c>
      <c r="V153" s="437">
        <v>1</v>
      </c>
      <c r="W153" s="455">
        <v>85.69</v>
      </c>
      <c r="X153" s="456">
        <v>0</v>
      </c>
      <c r="Y153" s="480"/>
      <c r="Z153" s="480"/>
      <c r="AA153" s="481"/>
    </row>
    <row r="154" spans="1:27" x14ac:dyDescent="0.25">
      <c r="A154" s="1" t="s">
        <v>1706</v>
      </c>
      <c r="B154" s="387" t="s">
        <v>1368</v>
      </c>
      <c r="C154" s="3" t="s">
        <v>1224</v>
      </c>
      <c r="D154" s="551" t="s">
        <v>1431</v>
      </c>
      <c r="E154" s="407" t="s">
        <v>3201</v>
      </c>
      <c r="F154" s="413" t="s">
        <v>3685</v>
      </c>
      <c r="G154" s="387">
        <v>1</v>
      </c>
      <c r="H154" s="387">
        <v>0</v>
      </c>
      <c r="I154" s="387">
        <v>1</v>
      </c>
      <c r="J154" s="387">
        <v>0</v>
      </c>
      <c r="K154" s="387" t="s">
        <v>1358</v>
      </c>
      <c r="L154" s="3">
        <v>85.69</v>
      </c>
      <c r="M154" s="480"/>
      <c r="N154" s="2">
        <v>0</v>
      </c>
      <c r="O154" s="459">
        <v>85.69</v>
      </c>
      <c r="P154" s="480"/>
      <c r="Q154" s="411">
        <v>1</v>
      </c>
      <c r="R154" s="411">
        <v>1</v>
      </c>
      <c r="S154" s="436">
        <v>0</v>
      </c>
      <c r="T154" s="411">
        <v>1</v>
      </c>
      <c r="U154" s="436">
        <v>0</v>
      </c>
      <c r="V154" s="437">
        <v>1</v>
      </c>
      <c r="W154" s="455">
        <v>85.69</v>
      </c>
      <c r="X154" s="456">
        <v>0</v>
      </c>
      <c r="Y154" s="480"/>
      <c r="Z154" s="480"/>
      <c r="AA154" s="481"/>
    </row>
    <row r="155" spans="1:27" x14ac:dyDescent="0.25">
      <c r="A155" s="1" t="s">
        <v>1707</v>
      </c>
      <c r="B155" s="387" t="s">
        <v>1368</v>
      </c>
      <c r="C155" s="3" t="s">
        <v>1224</v>
      </c>
      <c r="D155" s="551" t="s">
        <v>1431</v>
      </c>
      <c r="E155" s="407" t="s">
        <v>3201</v>
      </c>
      <c r="F155" s="413" t="s">
        <v>3686</v>
      </c>
      <c r="G155" s="387">
        <v>1</v>
      </c>
      <c r="H155" s="387">
        <v>0</v>
      </c>
      <c r="I155" s="387">
        <v>1</v>
      </c>
      <c r="J155" s="387">
        <v>0</v>
      </c>
      <c r="K155" s="387" t="s">
        <v>1358</v>
      </c>
      <c r="L155" s="3">
        <v>85.69</v>
      </c>
      <c r="M155" s="480"/>
      <c r="N155" s="2">
        <v>0</v>
      </c>
      <c r="O155" s="459">
        <v>85.69</v>
      </c>
      <c r="P155" s="480"/>
      <c r="Q155" s="411">
        <v>1</v>
      </c>
      <c r="R155" s="411">
        <v>1</v>
      </c>
      <c r="S155" s="436">
        <v>0</v>
      </c>
      <c r="T155" s="411">
        <v>1</v>
      </c>
      <c r="U155" s="436">
        <v>0</v>
      </c>
      <c r="V155" s="437">
        <v>1</v>
      </c>
      <c r="W155" s="455">
        <v>85.69</v>
      </c>
      <c r="X155" s="456">
        <v>0</v>
      </c>
      <c r="Y155" s="480"/>
      <c r="Z155" s="480"/>
      <c r="AA155" s="481"/>
    </row>
    <row r="156" spans="1:27" x14ac:dyDescent="0.25">
      <c r="A156" s="1" t="s">
        <v>1708</v>
      </c>
      <c r="B156" s="387" t="s">
        <v>1368</v>
      </c>
      <c r="C156" s="3" t="s">
        <v>1224</v>
      </c>
      <c r="D156" s="551" t="s">
        <v>1432</v>
      </c>
      <c r="E156" s="407" t="s">
        <v>3201</v>
      </c>
      <c r="F156" s="413" t="s">
        <v>3687</v>
      </c>
      <c r="G156" s="387">
        <v>1</v>
      </c>
      <c r="H156" s="387">
        <v>0</v>
      </c>
      <c r="I156" s="387">
        <v>1</v>
      </c>
      <c r="J156" s="387">
        <v>0</v>
      </c>
      <c r="K156" s="387" t="s">
        <v>1358</v>
      </c>
      <c r="L156" s="3">
        <v>85.69</v>
      </c>
      <c r="M156" s="480"/>
      <c r="N156" s="2">
        <v>0</v>
      </c>
      <c r="O156" s="459">
        <v>85.69</v>
      </c>
      <c r="P156" s="480"/>
      <c r="Q156" s="411">
        <v>1</v>
      </c>
      <c r="R156" s="411">
        <v>1</v>
      </c>
      <c r="S156" s="436">
        <v>0</v>
      </c>
      <c r="T156" s="411">
        <v>1</v>
      </c>
      <c r="U156" s="436">
        <v>0</v>
      </c>
      <c r="V156" s="437">
        <v>1</v>
      </c>
      <c r="W156" s="455">
        <v>85.69</v>
      </c>
      <c r="X156" s="456">
        <v>0</v>
      </c>
      <c r="Y156" s="480"/>
      <c r="Z156" s="480"/>
      <c r="AA156" s="481"/>
    </row>
    <row r="157" spans="1:27" x14ac:dyDescent="0.25">
      <c r="A157" s="1" t="s">
        <v>1709</v>
      </c>
      <c r="B157" s="387" t="s">
        <v>1368</v>
      </c>
      <c r="C157" s="3" t="s">
        <v>1224</v>
      </c>
      <c r="D157" s="551" t="s">
        <v>1432</v>
      </c>
      <c r="E157" s="407" t="s">
        <v>3201</v>
      </c>
      <c r="F157" s="413" t="s">
        <v>3688</v>
      </c>
      <c r="G157" s="387">
        <v>1</v>
      </c>
      <c r="H157" s="387">
        <v>0</v>
      </c>
      <c r="I157" s="387">
        <v>1</v>
      </c>
      <c r="J157" s="387">
        <v>0</v>
      </c>
      <c r="K157" s="387" t="s">
        <v>1358</v>
      </c>
      <c r="L157" s="3">
        <v>85.69</v>
      </c>
      <c r="M157" s="480"/>
      <c r="N157" s="2">
        <v>0</v>
      </c>
      <c r="O157" s="459">
        <v>85.69</v>
      </c>
      <c r="P157" s="480"/>
      <c r="Q157" s="411">
        <v>1</v>
      </c>
      <c r="R157" s="411">
        <v>1</v>
      </c>
      <c r="S157" s="436">
        <v>0</v>
      </c>
      <c r="T157" s="411">
        <v>1</v>
      </c>
      <c r="U157" s="436">
        <v>0</v>
      </c>
      <c r="V157" s="437">
        <v>1</v>
      </c>
      <c r="W157" s="455">
        <v>85.69</v>
      </c>
      <c r="X157" s="456">
        <v>0</v>
      </c>
      <c r="Y157" s="480"/>
      <c r="Z157" s="480"/>
      <c r="AA157" s="481"/>
    </row>
    <row r="158" spans="1:27" x14ac:dyDescent="0.25">
      <c r="A158" s="1" t="s">
        <v>1710</v>
      </c>
      <c r="B158" s="387" t="s">
        <v>1368</v>
      </c>
      <c r="C158" s="3" t="s">
        <v>1224</v>
      </c>
      <c r="D158" s="551" t="s">
        <v>1432</v>
      </c>
      <c r="E158" s="407" t="s">
        <v>3201</v>
      </c>
      <c r="F158" s="413" t="s">
        <v>3689</v>
      </c>
      <c r="G158" s="387">
        <v>1</v>
      </c>
      <c r="H158" s="387">
        <v>0</v>
      </c>
      <c r="I158" s="387">
        <v>1</v>
      </c>
      <c r="J158" s="387">
        <v>0</v>
      </c>
      <c r="K158" s="387" t="s">
        <v>1358</v>
      </c>
      <c r="L158" s="3">
        <v>85.69</v>
      </c>
      <c r="M158" s="480"/>
      <c r="N158" s="2">
        <v>0</v>
      </c>
      <c r="O158" s="459">
        <v>85.69</v>
      </c>
      <c r="P158" s="480"/>
      <c r="Q158" s="411">
        <v>0</v>
      </c>
      <c r="R158" s="411">
        <v>0</v>
      </c>
      <c r="S158" s="436">
        <v>0</v>
      </c>
      <c r="T158" s="411">
        <v>0</v>
      </c>
      <c r="U158" s="436">
        <v>0</v>
      </c>
      <c r="V158" s="437">
        <v>0</v>
      </c>
      <c r="W158" s="455">
        <v>0</v>
      </c>
      <c r="X158" s="456">
        <v>0</v>
      </c>
      <c r="Y158" s="480"/>
      <c r="Z158" s="480"/>
      <c r="AA158" s="481"/>
    </row>
    <row r="159" spans="1:27" x14ac:dyDescent="0.25">
      <c r="A159" s="1" t="s">
        <v>1711</v>
      </c>
      <c r="B159" s="387" t="s">
        <v>1368</v>
      </c>
      <c r="C159" s="3" t="s">
        <v>1224</v>
      </c>
      <c r="D159" s="551" t="s">
        <v>1433</v>
      </c>
      <c r="E159" s="407" t="s">
        <v>3201</v>
      </c>
      <c r="F159" s="413" t="s">
        <v>3690</v>
      </c>
      <c r="G159" s="387">
        <v>1</v>
      </c>
      <c r="H159" s="387">
        <v>0</v>
      </c>
      <c r="I159" s="387">
        <v>1</v>
      </c>
      <c r="J159" s="387">
        <v>0</v>
      </c>
      <c r="K159" s="387" t="s">
        <v>1358</v>
      </c>
      <c r="L159" s="3">
        <v>85.69</v>
      </c>
      <c r="M159" s="480"/>
      <c r="N159" s="2">
        <v>0</v>
      </c>
      <c r="O159" s="459">
        <v>85.69</v>
      </c>
      <c r="P159" s="480"/>
      <c r="Q159" s="411">
        <v>0</v>
      </c>
      <c r="R159" s="411">
        <v>0</v>
      </c>
      <c r="S159" s="436">
        <v>0</v>
      </c>
      <c r="T159" s="411">
        <v>0</v>
      </c>
      <c r="U159" s="436">
        <v>0</v>
      </c>
      <c r="V159" s="437">
        <v>0</v>
      </c>
      <c r="W159" s="455">
        <v>0</v>
      </c>
      <c r="X159" s="456">
        <v>0</v>
      </c>
      <c r="Y159" s="480"/>
      <c r="Z159" s="480"/>
      <c r="AA159" s="481"/>
    </row>
    <row r="160" spans="1:27" x14ac:dyDescent="0.25">
      <c r="A160" s="1" t="s">
        <v>1712</v>
      </c>
      <c r="B160" s="387" t="s">
        <v>1368</v>
      </c>
      <c r="C160" s="3" t="s">
        <v>1224</v>
      </c>
      <c r="D160" s="551" t="s">
        <v>1433</v>
      </c>
      <c r="E160" s="407" t="s">
        <v>3201</v>
      </c>
      <c r="F160" s="413" t="s">
        <v>3691</v>
      </c>
      <c r="G160" s="387">
        <v>1</v>
      </c>
      <c r="H160" s="387">
        <v>0</v>
      </c>
      <c r="I160" s="387">
        <v>1</v>
      </c>
      <c r="J160" s="387">
        <v>0</v>
      </c>
      <c r="K160" s="387" t="s">
        <v>1358</v>
      </c>
      <c r="L160" s="3">
        <v>85.69</v>
      </c>
      <c r="M160" s="480"/>
      <c r="N160" s="2">
        <v>0</v>
      </c>
      <c r="O160" s="459">
        <v>85.69</v>
      </c>
      <c r="P160" s="480"/>
      <c r="Q160" s="411">
        <v>0</v>
      </c>
      <c r="R160" s="411">
        <v>0</v>
      </c>
      <c r="S160" s="436">
        <v>0</v>
      </c>
      <c r="T160" s="411">
        <v>0</v>
      </c>
      <c r="U160" s="436">
        <v>0</v>
      </c>
      <c r="V160" s="437">
        <v>0</v>
      </c>
      <c r="W160" s="455">
        <v>0</v>
      </c>
      <c r="X160" s="456">
        <v>0</v>
      </c>
      <c r="Y160" s="480"/>
      <c r="Z160" s="480"/>
      <c r="AA160" s="481"/>
    </row>
    <row r="161" spans="1:27" x14ac:dyDescent="0.25">
      <c r="A161" s="1" t="s">
        <v>1713</v>
      </c>
      <c r="B161" s="387" t="s">
        <v>1368</v>
      </c>
      <c r="C161" s="3" t="s">
        <v>1224</v>
      </c>
      <c r="D161" s="551" t="s">
        <v>1433</v>
      </c>
      <c r="E161" s="407" t="s">
        <v>3201</v>
      </c>
      <c r="F161" s="413" t="s">
        <v>3692</v>
      </c>
      <c r="G161" s="387">
        <v>1</v>
      </c>
      <c r="H161" s="387">
        <v>0</v>
      </c>
      <c r="I161" s="387">
        <v>1</v>
      </c>
      <c r="J161" s="387">
        <v>0</v>
      </c>
      <c r="K161" s="387" t="s">
        <v>1358</v>
      </c>
      <c r="L161" s="3">
        <v>85.69</v>
      </c>
      <c r="M161" s="480"/>
      <c r="N161" s="2">
        <v>0</v>
      </c>
      <c r="O161" s="459">
        <v>85.69</v>
      </c>
      <c r="P161" s="480"/>
      <c r="Q161" s="411">
        <v>0</v>
      </c>
      <c r="R161" s="411">
        <v>0</v>
      </c>
      <c r="S161" s="436">
        <v>0</v>
      </c>
      <c r="T161" s="411">
        <v>0</v>
      </c>
      <c r="U161" s="436">
        <v>0</v>
      </c>
      <c r="V161" s="437">
        <v>0</v>
      </c>
      <c r="W161" s="455">
        <v>0</v>
      </c>
      <c r="X161" s="456">
        <v>0</v>
      </c>
      <c r="Y161" s="480"/>
      <c r="Z161" s="480"/>
      <c r="AA161" s="481"/>
    </row>
    <row r="162" spans="1:27" x14ac:dyDescent="0.25">
      <c r="A162" s="1" t="s">
        <v>1714</v>
      </c>
      <c r="B162" s="387" t="s">
        <v>1368</v>
      </c>
      <c r="C162" s="3" t="s">
        <v>1224</v>
      </c>
      <c r="D162" s="551" t="s">
        <v>3291</v>
      </c>
      <c r="E162" s="407" t="s">
        <v>3201</v>
      </c>
      <c r="F162" s="413" t="s">
        <v>3693</v>
      </c>
      <c r="G162" s="387">
        <v>1</v>
      </c>
      <c r="H162" s="387">
        <v>0</v>
      </c>
      <c r="I162" s="387">
        <v>1</v>
      </c>
      <c r="J162" s="387">
        <v>0</v>
      </c>
      <c r="K162" s="387" t="s">
        <v>1358</v>
      </c>
      <c r="L162" s="3">
        <v>96.4</v>
      </c>
      <c r="M162" s="480"/>
      <c r="N162" s="2">
        <v>0</v>
      </c>
      <c r="O162" s="459">
        <v>96.4</v>
      </c>
      <c r="P162" s="480"/>
      <c r="Q162" s="411">
        <v>1</v>
      </c>
      <c r="R162" s="411">
        <v>1</v>
      </c>
      <c r="S162" s="436">
        <v>0</v>
      </c>
      <c r="T162" s="411">
        <v>1</v>
      </c>
      <c r="U162" s="436">
        <v>0</v>
      </c>
      <c r="V162" s="437">
        <v>0.99999999999999989</v>
      </c>
      <c r="W162" s="455">
        <v>96.399999999999991</v>
      </c>
      <c r="X162" s="456">
        <v>0</v>
      </c>
      <c r="Y162" s="480"/>
      <c r="Z162" s="480"/>
      <c r="AA162" s="481"/>
    </row>
    <row r="163" spans="1:27" x14ac:dyDescent="0.25">
      <c r="A163" s="1" t="s">
        <v>1715</v>
      </c>
      <c r="B163" s="387" t="s">
        <v>1368</v>
      </c>
      <c r="C163" s="3" t="s">
        <v>1224</v>
      </c>
      <c r="D163" s="551" t="s">
        <v>3291</v>
      </c>
      <c r="E163" s="407" t="s">
        <v>3201</v>
      </c>
      <c r="F163" s="413" t="s">
        <v>3694</v>
      </c>
      <c r="G163" s="387">
        <v>1</v>
      </c>
      <c r="H163" s="387">
        <v>0</v>
      </c>
      <c r="I163" s="387">
        <v>1</v>
      </c>
      <c r="J163" s="387">
        <v>0</v>
      </c>
      <c r="K163" s="387" t="s">
        <v>1358</v>
      </c>
      <c r="L163" s="3">
        <v>96.4</v>
      </c>
      <c r="M163" s="480"/>
      <c r="N163" s="2">
        <v>0</v>
      </c>
      <c r="O163" s="459">
        <v>96.4</v>
      </c>
      <c r="P163" s="480"/>
      <c r="Q163" s="411">
        <v>1</v>
      </c>
      <c r="R163" s="411">
        <v>1</v>
      </c>
      <c r="S163" s="436">
        <v>0</v>
      </c>
      <c r="T163" s="411">
        <v>1</v>
      </c>
      <c r="U163" s="436">
        <v>0</v>
      </c>
      <c r="V163" s="437">
        <v>0.99999999999999989</v>
      </c>
      <c r="W163" s="455">
        <v>96.399999999999991</v>
      </c>
      <c r="X163" s="456">
        <v>0</v>
      </c>
      <c r="Y163" s="480"/>
      <c r="Z163" s="480"/>
      <c r="AA163" s="481"/>
    </row>
    <row r="164" spans="1:27" x14ac:dyDescent="0.25">
      <c r="A164" s="1" t="s">
        <v>1716</v>
      </c>
      <c r="B164" s="387" t="s">
        <v>1368</v>
      </c>
      <c r="C164" s="3" t="s">
        <v>1224</v>
      </c>
      <c r="D164" s="551" t="s">
        <v>3292</v>
      </c>
      <c r="E164" s="407" t="s">
        <v>3201</v>
      </c>
      <c r="F164" s="413" t="s">
        <v>3695</v>
      </c>
      <c r="G164" s="387">
        <v>1</v>
      </c>
      <c r="H164" s="387">
        <v>0</v>
      </c>
      <c r="I164" s="387">
        <v>1</v>
      </c>
      <c r="J164" s="387">
        <v>0</v>
      </c>
      <c r="K164" s="387" t="s">
        <v>1358</v>
      </c>
      <c r="L164" s="3">
        <v>96.4</v>
      </c>
      <c r="M164" s="480"/>
      <c r="N164" s="2">
        <v>0</v>
      </c>
      <c r="O164" s="459">
        <v>96.4</v>
      </c>
      <c r="P164" s="480"/>
      <c r="Q164" s="411">
        <v>1</v>
      </c>
      <c r="R164" s="411">
        <v>1</v>
      </c>
      <c r="S164" s="436">
        <v>0</v>
      </c>
      <c r="T164" s="411">
        <v>1</v>
      </c>
      <c r="U164" s="436">
        <v>0</v>
      </c>
      <c r="V164" s="437">
        <v>0.99999999999999989</v>
      </c>
      <c r="W164" s="455">
        <v>96.399999999999991</v>
      </c>
      <c r="X164" s="456">
        <v>0</v>
      </c>
      <c r="Y164" s="480"/>
      <c r="Z164" s="480"/>
      <c r="AA164" s="481"/>
    </row>
    <row r="165" spans="1:27" x14ac:dyDescent="0.25">
      <c r="A165" s="1" t="s">
        <v>1717</v>
      </c>
      <c r="B165" s="387" t="s">
        <v>1368</v>
      </c>
      <c r="C165" s="3" t="s">
        <v>1224</v>
      </c>
      <c r="D165" s="551" t="s">
        <v>3292</v>
      </c>
      <c r="E165" s="407" t="s">
        <v>3201</v>
      </c>
      <c r="F165" s="413" t="s">
        <v>3696</v>
      </c>
      <c r="G165" s="387">
        <v>1</v>
      </c>
      <c r="H165" s="387">
        <v>0</v>
      </c>
      <c r="I165" s="387">
        <v>1</v>
      </c>
      <c r="J165" s="387">
        <v>0</v>
      </c>
      <c r="K165" s="387" t="s">
        <v>1358</v>
      </c>
      <c r="L165" s="3">
        <v>96.4</v>
      </c>
      <c r="M165" s="480"/>
      <c r="N165" s="2">
        <v>0</v>
      </c>
      <c r="O165" s="459">
        <v>96.4</v>
      </c>
      <c r="P165" s="480"/>
      <c r="Q165" s="411">
        <v>1</v>
      </c>
      <c r="R165" s="411">
        <v>1</v>
      </c>
      <c r="S165" s="436">
        <v>0</v>
      </c>
      <c r="T165" s="411">
        <v>1</v>
      </c>
      <c r="U165" s="436">
        <v>0</v>
      </c>
      <c r="V165" s="437">
        <v>0.99999999999999989</v>
      </c>
      <c r="W165" s="455">
        <v>96.399999999999991</v>
      </c>
      <c r="X165" s="456">
        <v>0</v>
      </c>
      <c r="Y165" s="480"/>
      <c r="Z165" s="480"/>
      <c r="AA165" s="481"/>
    </row>
    <row r="166" spans="1:27" x14ac:dyDescent="0.25">
      <c r="A166" s="1" t="s">
        <v>1718</v>
      </c>
      <c r="B166" s="387" t="s">
        <v>1368</v>
      </c>
      <c r="C166" s="3" t="s">
        <v>1224</v>
      </c>
      <c r="D166" s="551" t="s">
        <v>3293</v>
      </c>
      <c r="E166" s="407" t="s">
        <v>3201</v>
      </c>
      <c r="F166" s="413" t="s">
        <v>3697</v>
      </c>
      <c r="G166" s="387">
        <v>1</v>
      </c>
      <c r="H166" s="387">
        <v>0</v>
      </c>
      <c r="I166" s="387">
        <v>1</v>
      </c>
      <c r="J166" s="387">
        <v>0</v>
      </c>
      <c r="K166" s="387" t="s">
        <v>1358</v>
      </c>
      <c r="L166" s="3">
        <v>96.4</v>
      </c>
      <c r="M166" s="480"/>
      <c r="N166" s="2">
        <v>0</v>
      </c>
      <c r="O166" s="459">
        <v>96.4</v>
      </c>
      <c r="P166" s="480"/>
      <c r="Q166" s="411">
        <v>1</v>
      </c>
      <c r="R166" s="411">
        <v>1</v>
      </c>
      <c r="S166" s="436">
        <v>0</v>
      </c>
      <c r="T166" s="411">
        <v>1</v>
      </c>
      <c r="U166" s="436">
        <v>0</v>
      </c>
      <c r="V166" s="437">
        <v>0.99999999999999989</v>
      </c>
      <c r="W166" s="455">
        <v>96.399999999999991</v>
      </c>
      <c r="X166" s="456">
        <v>0</v>
      </c>
      <c r="Y166" s="480"/>
      <c r="Z166" s="480"/>
      <c r="AA166" s="481"/>
    </row>
    <row r="167" spans="1:27" x14ac:dyDescent="0.25">
      <c r="A167" s="1" t="s">
        <v>1719</v>
      </c>
      <c r="B167" s="387" t="s">
        <v>1368</v>
      </c>
      <c r="C167" s="3" t="s">
        <v>1224</v>
      </c>
      <c r="D167" s="551" t="s">
        <v>3293</v>
      </c>
      <c r="E167" s="407" t="s">
        <v>3201</v>
      </c>
      <c r="F167" s="413" t="s">
        <v>3698</v>
      </c>
      <c r="G167" s="387">
        <v>1</v>
      </c>
      <c r="H167" s="387">
        <v>0</v>
      </c>
      <c r="I167" s="387">
        <v>1</v>
      </c>
      <c r="J167" s="387">
        <v>0</v>
      </c>
      <c r="K167" s="387" t="s">
        <v>1358</v>
      </c>
      <c r="L167" s="3">
        <v>96.4</v>
      </c>
      <c r="M167" s="480"/>
      <c r="N167" s="2">
        <v>0</v>
      </c>
      <c r="O167" s="459">
        <v>96.4</v>
      </c>
      <c r="P167" s="480"/>
      <c r="Q167" s="411">
        <v>1</v>
      </c>
      <c r="R167" s="411">
        <v>1</v>
      </c>
      <c r="S167" s="436">
        <v>0</v>
      </c>
      <c r="T167" s="411">
        <v>1</v>
      </c>
      <c r="U167" s="436">
        <v>0</v>
      </c>
      <c r="V167" s="437">
        <v>0.99999999999999989</v>
      </c>
      <c r="W167" s="455">
        <v>96.399999999999991</v>
      </c>
      <c r="X167" s="456">
        <v>0</v>
      </c>
      <c r="Y167" s="480"/>
      <c r="Z167" s="480"/>
      <c r="AA167" s="481"/>
    </row>
    <row r="168" spans="1:27" x14ac:dyDescent="0.25">
      <c r="A168" s="1" t="s">
        <v>1720</v>
      </c>
      <c r="B168" s="387" t="s">
        <v>1368</v>
      </c>
      <c r="C168" s="3" t="s">
        <v>1224</v>
      </c>
      <c r="D168" s="551" t="s">
        <v>3294</v>
      </c>
      <c r="E168" s="407" t="s">
        <v>3201</v>
      </c>
      <c r="F168" s="413" t="s">
        <v>3699</v>
      </c>
      <c r="G168" s="387">
        <v>1</v>
      </c>
      <c r="H168" s="387">
        <v>0</v>
      </c>
      <c r="I168" s="387">
        <v>1</v>
      </c>
      <c r="J168" s="387">
        <v>0</v>
      </c>
      <c r="K168" s="387" t="s">
        <v>1358</v>
      </c>
      <c r="L168" s="3">
        <v>96.4</v>
      </c>
      <c r="M168" s="480"/>
      <c r="N168" s="2">
        <v>0</v>
      </c>
      <c r="O168" s="459">
        <v>96.4</v>
      </c>
      <c r="P168" s="480"/>
      <c r="Q168" s="411">
        <v>1</v>
      </c>
      <c r="R168" s="411">
        <v>1</v>
      </c>
      <c r="S168" s="436">
        <v>0</v>
      </c>
      <c r="T168" s="411">
        <v>1</v>
      </c>
      <c r="U168" s="436">
        <v>0</v>
      </c>
      <c r="V168" s="437">
        <v>0.99999999999999989</v>
      </c>
      <c r="W168" s="455">
        <v>96.399999999999991</v>
      </c>
      <c r="X168" s="456">
        <v>0</v>
      </c>
      <c r="Y168" s="480"/>
      <c r="Z168" s="480"/>
      <c r="AA168" s="481"/>
    </row>
    <row r="169" spans="1:27" x14ac:dyDescent="0.25">
      <c r="A169" s="1" t="s">
        <v>1721</v>
      </c>
      <c r="B169" s="387" t="s">
        <v>1368</v>
      </c>
      <c r="C169" s="3" t="s">
        <v>1224</v>
      </c>
      <c r="D169" s="551" t="s">
        <v>3294</v>
      </c>
      <c r="E169" s="407" t="s">
        <v>3201</v>
      </c>
      <c r="F169" s="413" t="s">
        <v>3700</v>
      </c>
      <c r="G169" s="387">
        <v>1</v>
      </c>
      <c r="H169" s="387">
        <v>0</v>
      </c>
      <c r="I169" s="387">
        <v>1</v>
      </c>
      <c r="J169" s="387">
        <v>0</v>
      </c>
      <c r="K169" s="387" t="s">
        <v>1358</v>
      </c>
      <c r="L169" s="3">
        <v>96.4</v>
      </c>
      <c r="M169" s="480"/>
      <c r="N169" s="2">
        <v>0</v>
      </c>
      <c r="O169" s="459">
        <v>96.4</v>
      </c>
      <c r="P169" s="480"/>
      <c r="Q169" s="411">
        <v>1</v>
      </c>
      <c r="R169" s="411">
        <v>1</v>
      </c>
      <c r="S169" s="436">
        <v>0</v>
      </c>
      <c r="T169" s="411">
        <v>1</v>
      </c>
      <c r="U169" s="436">
        <v>0</v>
      </c>
      <c r="V169" s="437">
        <v>0.99999999999999989</v>
      </c>
      <c r="W169" s="455">
        <v>96.399999999999991</v>
      </c>
      <c r="X169" s="456">
        <v>0</v>
      </c>
      <c r="Y169" s="480"/>
      <c r="Z169" s="480"/>
      <c r="AA169" s="481"/>
    </row>
    <row r="170" spans="1:27" x14ac:dyDescent="0.25">
      <c r="A170" s="1" t="s">
        <v>1722</v>
      </c>
      <c r="B170" s="387" t="s">
        <v>1368</v>
      </c>
      <c r="C170" s="3" t="s">
        <v>1224</v>
      </c>
      <c r="D170" s="551" t="s">
        <v>3306</v>
      </c>
      <c r="E170" s="407" t="s">
        <v>3201</v>
      </c>
      <c r="F170" s="413" t="s">
        <v>3701</v>
      </c>
      <c r="G170" s="387">
        <v>1</v>
      </c>
      <c r="H170" s="387">
        <v>0</v>
      </c>
      <c r="I170" s="387">
        <v>1</v>
      </c>
      <c r="J170" s="387">
        <v>0</v>
      </c>
      <c r="K170" s="387" t="s">
        <v>1358</v>
      </c>
      <c r="L170" s="3">
        <v>96.4</v>
      </c>
      <c r="M170" s="480"/>
      <c r="N170" s="2">
        <v>0</v>
      </c>
      <c r="O170" s="459">
        <v>96.4</v>
      </c>
      <c r="P170" s="480"/>
      <c r="Q170" s="411">
        <v>0</v>
      </c>
      <c r="R170" s="411">
        <v>0</v>
      </c>
      <c r="S170" s="436">
        <v>0</v>
      </c>
      <c r="T170" s="411">
        <v>0</v>
      </c>
      <c r="U170" s="436">
        <v>0</v>
      </c>
      <c r="V170" s="437">
        <v>0</v>
      </c>
      <c r="W170" s="455">
        <v>0</v>
      </c>
      <c r="X170" s="456">
        <v>0</v>
      </c>
      <c r="Y170" s="480"/>
      <c r="Z170" s="480"/>
      <c r="AA170" s="481"/>
    </row>
    <row r="171" spans="1:27" x14ac:dyDescent="0.25">
      <c r="A171" s="1" t="s">
        <v>1723</v>
      </c>
      <c r="B171" s="387" t="s">
        <v>1368</v>
      </c>
      <c r="C171" s="3" t="s">
        <v>1224</v>
      </c>
      <c r="D171" s="551" t="s">
        <v>3306</v>
      </c>
      <c r="E171" s="407" t="s">
        <v>3201</v>
      </c>
      <c r="F171" s="413" t="s">
        <v>3702</v>
      </c>
      <c r="G171" s="387">
        <v>1</v>
      </c>
      <c r="H171" s="387">
        <v>0</v>
      </c>
      <c r="I171" s="387">
        <v>1</v>
      </c>
      <c r="J171" s="387">
        <v>0</v>
      </c>
      <c r="K171" s="387" t="s">
        <v>1358</v>
      </c>
      <c r="L171" s="3">
        <v>96.4</v>
      </c>
      <c r="M171" s="480"/>
      <c r="N171" s="2">
        <v>0</v>
      </c>
      <c r="O171" s="459">
        <v>96.4</v>
      </c>
      <c r="P171" s="480"/>
      <c r="Q171" s="411">
        <v>0</v>
      </c>
      <c r="R171" s="411">
        <v>0</v>
      </c>
      <c r="S171" s="436">
        <v>0</v>
      </c>
      <c r="T171" s="411">
        <v>0</v>
      </c>
      <c r="U171" s="436">
        <v>0</v>
      </c>
      <c r="V171" s="437">
        <v>0</v>
      </c>
      <c r="W171" s="455">
        <v>0</v>
      </c>
      <c r="X171" s="456">
        <v>0</v>
      </c>
      <c r="Y171" s="480"/>
      <c r="Z171" s="480"/>
      <c r="AA171" s="481"/>
    </row>
    <row r="172" spans="1:27" x14ac:dyDescent="0.25">
      <c r="A172" s="1" t="s">
        <v>1724</v>
      </c>
      <c r="B172" s="387" t="s">
        <v>1368</v>
      </c>
      <c r="C172" s="3" t="s">
        <v>1224</v>
      </c>
      <c r="D172" s="551" t="s">
        <v>3218</v>
      </c>
      <c r="E172" s="407" t="s">
        <v>3201</v>
      </c>
      <c r="F172" s="413" t="s">
        <v>3703</v>
      </c>
      <c r="G172" s="387">
        <v>1</v>
      </c>
      <c r="H172" s="387">
        <v>0</v>
      </c>
      <c r="I172" s="387">
        <v>1</v>
      </c>
      <c r="J172" s="387">
        <v>0</v>
      </c>
      <c r="K172" s="387" t="s">
        <v>1358</v>
      </c>
      <c r="L172" s="3">
        <v>192</v>
      </c>
      <c r="M172" s="480"/>
      <c r="N172" s="2">
        <v>0</v>
      </c>
      <c r="O172" s="459">
        <v>192</v>
      </c>
      <c r="P172" s="480"/>
      <c r="Q172" s="411">
        <v>0</v>
      </c>
      <c r="R172" s="411">
        <v>0</v>
      </c>
      <c r="S172" s="436">
        <v>0</v>
      </c>
      <c r="T172" s="411">
        <v>0</v>
      </c>
      <c r="U172" s="436">
        <v>0</v>
      </c>
      <c r="V172" s="437">
        <v>0</v>
      </c>
      <c r="W172" s="455">
        <v>0</v>
      </c>
      <c r="X172" s="456">
        <v>0</v>
      </c>
      <c r="Y172" s="480"/>
      <c r="Z172" s="480"/>
      <c r="AA172" s="481"/>
    </row>
    <row r="173" spans="1:27" x14ac:dyDescent="0.25">
      <c r="A173" s="1" t="s">
        <v>1725</v>
      </c>
      <c r="B173" s="387" t="s">
        <v>1368</v>
      </c>
      <c r="C173" s="3" t="s">
        <v>1224</v>
      </c>
      <c r="D173" s="551" t="s">
        <v>3224</v>
      </c>
      <c r="E173" s="407" t="s">
        <v>3201</v>
      </c>
      <c r="F173" s="413" t="s">
        <v>3704</v>
      </c>
      <c r="G173" s="387">
        <v>1</v>
      </c>
      <c r="H173" s="387">
        <v>0</v>
      </c>
      <c r="I173" s="387">
        <v>1</v>
      </c>
      <c r="J173" s="387">
        <v>0</v>
      </c>
      <c r="K173" s="387" t="s">
        <v>1358</v>
      </c>
      <c r="L173" s="3">
        <v>128.54</v>
      </c>
      <c r="M173" s="480"/>
      <c r="N173" s="2">
        <v>0</v>
      </c>
      <c r="O173" s="459">
        <v>192</v>
      </c>
      <c r="P173" s="480"/>
      <c r="Q173" s="411">
        <v>1</v>
      </c>
      <c r="R173" s="411">
        <v>1</v>
      </c>
      <c r="S173" s="436">
        <v>0</v>
      </c>
      <c r="T173" s="411">
        <v>1</v>
      </c>
      <c r="U173" s="436">
        <v>0</v>
      </c>
      <c r="V173" s="437">
        <v>1</v>
      </c>
      <c r="W173" s="455">
        <v>192</v>
      </c>
      <c r="X173" s="456">
        <v>0</v>
      </c>
      <c r="Y173" s="480"/>
      <c r="Z173" s="480"/>
      <c r="AA173" s="481"/>
    </row>
    <row r="174" spans="1:27" x14ac:dyDescent="0.25">
      <c r="A174" s="1" t="s">
        <v>1726</v>
      </c>
      <c r="B174" s="387" t="s">
        <v>1368</v>
      </c>
      <c r="C174" s="3" t="s">
        <v>1224</v>
      </c>
      <c r="D174" s="551" t="s">
        <v>3546</v>
      </c>
      <c r="E174" s="407" t="s">
        <v>3201</v>
      </c>
      <c r="F174" s="413" t="s">
        <v>3705</v>
      </c>
      <c r="G174" s="387">
        <v>1</v>
      </c>
      <c r="H174" s="387">
        <v>0</v>
      </c>
      <c r="I174" s="387">
        <v>1</v>
      </c>
      <c r="J174" s="387">
        <v>0</v>
      </c>
      <c r="K174" s="387" t="s">
        <v>1358</v>
      </c>
      <c r="L174" s="3">
        <v>64.27</v>
      </c>
      <c r="M174" s="480"/>
      <c r="N174" s="2">
        <v>0</v>
      </c>
      <c r="O174" s="459">
        <v>64.27</v>
      </c>
      <c r="P174" s="480"/>
      <c r="Q174" s="411">
        <v>0</v>
      </c>
      <c r="R174" s="411">
        <v>0</v>
      </c>
      <c r="S174" s="436">
        <v>0</v>
      </c>
      <c r="T174" s="411">
        <v>0</v>
      </c>
      <c r="U174" s="436">
        <v>0</v>
      </c>
      <c r="V174" s="437">
        <v>0</v>
      </c>
      <c r="W174" s="455">
        <v>0</v>
      </c>
      <c r="X174" s="456">
        <v>0</v>
      </c>
      <c r="Y174" s="480"/>
      <c r="Z174" s="480"/>
      <c r="AA174" s="481"/>
    </row>
    <row r="175" spans="1:27" x14ac:dyDescent="0.25">
      <c r="A175" s="1" t="s">
        <v>1727</v>
      </c>
      <c r="B175" s="387" t="s">
        <v>1368</v>
      </c>
      <c r="C175" s="3" t="s">
        <v>1224</v>
      </c>
      <c r="D175" s="551" t="s">
        <v>3546</v>
      </c>
      <c r="E175" s="407" t="s">
        <v>3201</v>
      </c>
      <c r="F175" s="413" t="s">
        <v>3706</v>
      </c>
      <c r="G175" s="387">
        <v>1</v>
      </c>
      <c r="H175" s="387">
        <v>0</v>
      </c>
      <c r="I175" s="387">
        <v>1</v>
      </c>
      <c r="J175" s="387">
        <v>0</v>
      </c>
      <c r="K175" s="387" t="s">
        <v>1358</v>
      </c>
      <c r="L175" s="3">
        <v>64.27</v>
      </c>
      <c r="M175" s="480"/>
      <c r="N175" s="2">
        <v>0</v>
      </c>
      <c r="O175" s="459">
        <v>64.27</v>
      </c>
      <c r="P175" s="480"/>
      <c r="Q175" s="411">
        <v>0</v>
      </c>
      <c r="R175" s="411">
        <v>0</v>
      </c>
      <c r="S175" s="436">
        <v>0</v>
      </c>
      <c r="T175" s="411">
        <v>0</v>
      </c>
      <c r="U175" s="436">
        <v>0</v>
      </c>
      <c r="V175" s="437">
        <v>0</v>
      </c>
      <c r="W175" s="455">
        <v>0</v>
      </c>
      <c r="X175" s="456">
        <v>0</v>
      </c>
      <c r="Y175" s="480"/>
      <c r="Z175" s="480"/>
      <c r="AA175" s="481"/>
    </row>
    <row r="176" spans="1:27" x14ac:dyDescent="0.25">
      <c r="A176" s="1" t="s">
        <v>1728</v>
      </c>
      <c r="B176" s="387" t="s">
        <v>1368</v>
      </c>
      <c r="C176" s="3" t="s">
        <v>1224</v>
      </c>
      <c r="D176" s="551" t="s">
        <v>3547</v>
      </c>
      <c r="E176" s="407" t="s">
        <v>3201</v>
      </c>
      <c r="F176" s="413" t="s">
        <v>3707</v>
      </c>
      <c r="G176" s="387">
        <v>1</v>
      </c>
      <c r="H176" s="387">
        <v>0</v>
      </c>
      <c r="I176" s="387">
        <v>1</v>
      </c>
      <c r="J176" s="387">
        <v>0</v>
      </c>
      <c r="K176" s="387" t="s">
        <v>1358</v>
      </c>
      <c r="L176" s="3">
        <v>128.54</v>
      </c>
      <c r="M176" s="480"/>
      <c r="N176" s="2">
        <v>0</v>
      </c>
      <c r="O176" s="459">
        <v>128.54</v>
      </c>
      <c r="P176" s="480"/>
      <c r="Q176" s="411">
        <v>0</v>
      </c>
      <c r="R176" s="411">
        <v>0</v>
      </c>
      <c r="S176" s="436">
        <v>0</v>
      </c>
      <c r="T176" s="411">
        <v>0</v>
      </c>
      <c r="U176" s="436">
        <v>0</v>
      </c>
      <c r="V176" s="437">
        <v>0</v>
      </c>
      <c r="W176" s="455">
        <v>0</v>
      </c>
      <c r="X176" s="456">
        <v>0</v>
      </c>
      <c r="Y176" s="480"/>
      <c r="Z176" s="480"/>
      <c r="AA176" s="481"/>
    </row>
    <row r="177" spans="1:27" x14ac:dyDescent="0.25">
      <c r="A177" s="1" t="s">
        <v>1729</v>
      </c>
      <c r="B177" s="387" t="s">
        <v>1368</v>
      </c>
      <c r="C177" s="3" t="s">
        <v>1224</v>
      </c>
      <c r="D177" s="551" t="s">
        <v>3236</v>
      </c>
      <c r="E177" s="407" t="s">
        <v>3201</v>
      </c>
      <c r="F177" s="413" t="s">
        <v>3708</v>
      </c>
      <c r="G177" s="387">
        <v>1</v>
      </c>
      <c r="H177" s="387">
        <v>0</v>
      </c>
      <c r="I177" s="387">
        <v>1</v>
      </c>
      <c r="J177" s="387">
        <v>0</v>
      </c>
      <c r="K177" s="387" t="s">
        <v>1358</v>
      </c>
      <c r="L177" s="3">
        <v>96.4</v>
      </c>
      <c r="M177" s="480"/>
      <c r="N177" s="2">
        <v>0</v>
      </c>
      <c r="O177" s="459">
        <v>96.4</v>
      </c>
      <c r="P177" s="480"/>
      <c r="Q177" s="411">
        <v>1</v>
      </c>
      <c r="R177" s="411">
        <v>1</v>
      </c>
      <c r="S177" s="436">
        <v>0</v>
      </c>
      <c r="T177" s="411">
        <v>1</v>
      </c>
      <c r="U177" s="436">
        <v>0</v>
      </c>
      <c r="V177" s="437">
        <v>0.99999999999999989</v>
      </c>
      <c r="W177" s="455">
        <v>96.399999999999991</v>
      </c>
      <c r="X177" s="456">
        <v>0</v>
      </c>
      <c r="Y177" s="480"/>
      <c r="Z177" s="480"/>
      <c r="AA177" s="481"/>
    </row>
    <row r="178" spans="1:27" x14ac:dyDescent="0.25">
      <c r="A178" s="1" t="s">
        <v>1730</v>
      </c>
      <c r="B178" s="387" t="s">
        <v>1368</v>
      </c>
      <c r="C178" s="3" t="s">
        <v>1224</v>
      </c>
      <c r="D178" s="551" t="s">
        <v>3236</v>
      </c>
      <c r="E178" s="407" t="s">
        <v>3201</v>
      </c>
      <c r="F178" s="413" t="s">
        <v>3709</v>
      </c>
      <c r="G178" s="387">
        <v>1</v>
      </c>
      <c r="H178" s="387">
        <v>0</v>
      </c>
      <c r="I178" s="387">
        <v>1</v>
      </c>
      <c r="J178" s="387">
        <v>0</v>
      </c>
      <c r="K178" s="387" t="s">
        <v>1358</v>
      </c>
      <c r="L178" s="3">
        <v>96.4</v>
      </c>
      <c r="M178" s="480"/>
      <c r="N178" s="2">
        <v>0</v>
      </c>
      <c r="O178" s="459">
        <v>96.4</v>
      </c>
      <c r="P178" s="480"/>
      <c r="Q178" s="411">
        <v>1</v>
      </c>
      <c r="R178" s="411">
        <v>1</v>
      </c>
      <c r="S178" s="436">
        <v>0</v>
      </c>
      <c r="T178" s="411">
        <v>1</v>
      </c>
      <c r="U178" s="436">
        <v>0</v>
      </c>
      <c r="V178" s="437">
        <v>0.99999999999999989</v>
      </c>
      <c r="W178" s="455">
        <v>96.399999999999991</v>
      </c>
      <c r="X178" s="456">
        <v>0</v>
      </c>
      <c r="Y178" s="480"/>
      <c r="Z178" s="480"/>
      <c r="AA178" s="481"/>
    </row>
    <row r="179" spans="1:27" x14ac:dyDescent="0.25">
      <c r="A179" s="1" t="s">
        <v>1731</v>
      </c>
      <c r="B179" s="387" t="s">
        <v>1368</v>
      </c>
      <c r="C179" s="3" t="s">
        <v>1224</v>
      </c>
      <c r="D179" s="551" t="s">
        <v>3233</v>
      </c>
      <c r="E179" s="407" t="s">
        <v>3201</v>
      </c>
      <c r="F179" s="413" t="s">
        <v>3710</v>
      </c>
      <c r="G179" s="387">
        <v>1</v>
      </c>
      <c r="H179" s="387">
        <v>0</v>
      </c>
      <c r="I179" s="387">
        <v>1</v>
      </c>
      <c r="J179" s="387">
        <v>0</v>
      </c>
      <c r="K179" s="387" t="s">
        <v>1358</v>
      </c>
      <c r="L179" s="3">
        <v>128.54</v>
      </c>
      <c r="M179" s="480"/>
      <c r="N179" s="2">
        <v>0</v>
      </c>
      <c r="O179" s="459">
        <v>128.54</v>
      </c>
      <c r="P179" s="480"/>
      <c r="Q179" s="411">
        <v>1</v>
      </c>
      <c r="R179" s="411">
        <v>1</v>
      </c>
      <c r="S179" s="436">
        <v>0</v>
      </c>
      <c r="T179" s="411">
        <v>1</v>
      </c>
      <c r="U179" s="436">
        <v>0</v>
      </c>
      <c r="V179" s="437">
        <v>0.99999999999999978</v>
      </c>
      <c r="W179" s="455">
        <v>128.53999999999996</v>
      </c>
      <c r="X179" s="456">
        <v>0</v>
      </c>
      <c r="Y179" s="480"/>
      <c r="Z179" s="480"/>
      <c r="AA179" s="481"/>
    </row>
    <row r="180" spans="1:27" x14ac:dyDescent="0.25">
      <c r="A180" s="1" t="s">
        <v>1732</v>
      </c>
      <c r="B180" s="387" t="s">
        <v>1368</v>
      </c>
      <c r="C180" s="3" t="s">
        <v>1224</v>
      </c>
      <c r="D180" s="551" t="s">
        <v>3234</v>
      </c>
      <c r="E180" s="407" t="s">
        <v>3201</v>
      </c>
      <c r="F180" s="413" t="s">
        <v>3711</v>
      </c>
      <c r="G180" s="387">
        <v>1</v>
      </c>
      <c r="H180" s="387">
        <v>0</v>
      </c>
      <c r="I180" s="387">
        <v>1</v>
      </c>
      <c r="J180" s="387">
        <v>0</v>
      </c>
      <c r="K180" s="387" t="s">
        <v>1358</v>
      </c>
      <c r="L180" s="3">
        <v>128.54</v>
      </c>
      <c r="M180" s="480"/>
      <c r="N180" s="2">
        <v>0</v>
      </c>
      <c r="O180" s="459">
        <v>128.54</v>
      </c>
      <c r="P180" s="480"/>
      <c r="Q180" s="411">
        <v>1</v>
      </c>
      <c r="R180" s="411">
        <v>1</v>
      </c>
      <c r="S180" s="436">
        <v>0</v>
      </c>
      <c r="T180" s="411">
        <v>1</v>
      </c>
      <c r="U180" s="436">
        <v>0</v>
      </c>
      <c r="V180" s="437">
        <v>0.99999999999999978</v>
      </c>
      <c r="W180" s="455">
        <v>128.53999999999996</v>
      </c>
      <c r="X180" s="456">
        <v>0</v>
      </c>
      <c r="Y180" s="480"/>
      <c r="Z180" s="480"/>
      <c r="AA180" s="481"/>
    </row>
    <row r="181" spans="1:27" x14ac:dyDescent="0.25">
      <c r="A181" s="1" t="s">
        <v>1776</v>
      </c>
      <c r="B181" s="387" t="s">
        <v>1368</v>
      </c>
      <c r="C181" s="3" t="s">
        <v>1224</v>
      </c>
      <c r="D181" s="387" t="s">
        <v>3220</v>
      </c>
      <c r="E181" s="440" t="s">
        <v>3201</v>
      </c>
      <c r="F181" s="413" t="s">
        <v>4122</v>
      </c>
      <c r="G181" s="387">
        <v>1</v>
      </c>
      <c r="H181" s="387">
        <v>0</v>
      </c>
      <c r="I181" s="387">
        <v>1</v>
      </c>
      <c r="J181" s="387">
        <v>0</v>
      </c>
      <c r="K181" s="387" t="s">
        <v>1358</v>
      </c>
      <c r="L181" s="3">
        <v>90</v>
      </c>
      <c r="M181" s="480"/>
      <c r="N181" s="2">
        <v>0</v>
      </c>
      <c r="O181" s="459">
        <v>90</v>
      </c>
      <c r="P181" s="480"/>
      <c r="Q181" s="411">
        <v>1</v>
      </c>
      <c r="R181" s="411">
        <v>1</v>
      </c>
      <c r="S181" s="436">
        <v>0</v>
      </c>
      <c r="T181" s="411">
        <v>1</v>
      </c>
      <c r="U181" s="436">
        <v>0</v>
      </c>
      <c r="V181" s="437">
        <v>1</v>
      </c>
      <c r="W181" s="455">
        <v>90</v>
      </c>
      <c r="X181" s="456">
        <v>0</v>
      </c>
      <c r="Y181" s="480"/>
      <c r="Z181" s="480"/>
      <c r="AA181" s="481"/>
    </row>
    <row r="182" spans="1:27" x14ac:dyDescent="0.25">
      <c r="A182" s="1" t="s">
        <v>2455</v>
      </c>
      <c r="B182" s="442" t="s">
        <v>1368</v>
      </c>
      <c r="C182" s="518" t="s">
        <v>1224</v>
      </c>
      <c r="D182" s="442" t="s">
        <v>4125</v>
      </c>
      <c r="E182" s="440" t="s">
        <v>3201</v>
      </c>
      <c r="F182" s="413" t="s">
        <v>4123</v>
      </c>
      <c r="G182" s="442">
        <v>1</v>
      </c>
      <c r="H182" s="387">
        <v>1</v>
      </c>
      <c r="I182" s="387">
        <v>1</v>
      </c>
      <c r="J182" s="387">
        <v>1</v>
      </c>
      <c r="K182" s="387" t="s">
        <v>1358</v>
      </c>
      <c r="L182" s="518">
        <v>250</v>
      </c>
      <c r="M182" s="480"/>
      <c r="N182" s="2">
        <v>0</v>
      </c>
      <c r="O182" s="459">
        <v>250</v>
      </c>
      <c r="P182" s="480"/>
      <c r="Q182" s="411">
        <v>1</v>
      </c>
      <c r="R182" s="411">
        <v>1</v>
      </c>
      <c r="S182" s="436">
        <v>0</v>
      </c>
      <c r="T182" s="411">
        <v>1</v>
      </c>
      <c r="U182" s="436">
        <v>0</v>
      </c>
      <c r="V182" s="437">
        <v>1</v>
      </c>
      <c r="W182" s="455">
        <v>250</v>
      </c>
      <c r="X182" s="456">
        <v>0</v>
      </c>
      <c r="Y182" s="519"/>
      <c r="Z182" s="519"/>
      <c r="AA182" s="520"/>
    </row>
    <row r="183" spans="1:27" x14ac:dyDescent="0.25">
      <c r="A183" s="1" t="s">
        <v>3158</v>
      </c>
      <c r="B183" s="442" t="s">
        <v>1368</v>
      </c>
      <c r="C183" s="518" t="s">
        <v>1224</v>
      </c>
      <c r="D183" s="442" t="s">
        <v>3721</v>
      </c>
      <c r="E183" s="440" t="s">
        <v>3201</v>
      </c>
      <c r="F183" s="413" t="s">
        <v>3548</v>
      </c>
      <c r="G183" s="442">
        <v>1</v>
      </c>
      <c r="H183" s="442">
        <v>0</v>
      </c>
      <c r="I183" s="442">
        <v>0</v>
      </c>
      <c r="J183" s="442">
        <v>1</v>
      </c>
      <c r="K183" s="387" t="s">
        <v>1358</v>
      </c>
      <c r="L183" s="518">
        <v>250</v>
      </c>
      <c r="M183" s="519"/>
      <c r="N183" s="2">
        <v>0</v>
      </c>
      <c r="O183" s="459">
        <v>250</v>
      </c>
      <c r="P183" s="519"/>
      <c r="Q183" s="436">
        <v>1</v>
      </c>
      <c r="R183" s="436">
        <v>1</v>
      </c>
      <c r="S183" s="436">
        <v>0</v>
      </c>
      <c r="T183" s="411">
        <v>1</v>
      </c>
      <c r="U183" s="436">
        <v>0</v>
      </c>
      <c r="V183" s="437">
        <v>1</v>
      </c>
      <c r="W183" s="455">
        <v>250</v>
      </c>
      <c r="X183" s="456">
        <v>0</v>
      </c>
      <c r="Y183" s="519"/>
      <c r="Z183" s="519"/>
      <c r="AA183" s="520"/>
    </row>
    <row r="184" spans="1:27" x14ac:dyDescent="0.25">
      <c r="A184" s="1" t="s">
        <v>3159</v>
      </c>
      <c r="B184" s="442" t="s">
        <v>1368</v>
      </c>
      <c r="C184" s="518" t="s">
        <v>1224</v>
      </c>
      <c r="D184" s="442" t="s">
        <v>3722</v>
      </c>
      <c r="E184" s="440" t="s">
        <v>3201</v>
      </c>
      <c r="F184" s="413" t="s">
        <v>3549</v>
      </c>
      <c r="G184" s="442">
        <v>1</v>
      </c>
      <c r="H184" s="442">
        <v>0</v>
      </c>
      <c r="I184" s="442">
        <v>0</v>
      </c>
      <c r="J184" s="442">
        <v>1</v>
      </c>
      <c r="K184" s="387" t="s">
        <v>1358</v>
      </c>
      <c r="L184" s="518">
        <v>250</v>
      </c>
      <c r="M184" s="519"/>
      <c r="N184" s="2">
        <v>0</v>
      </c>
      <c r="O184" s="459">
        <v>250</v>
      </c>
      <c r="P184" s="519"/>
      <c r="Q184" s="436">
        <v>1</v>
      </c>
      <c r="R184" s="436">
        <v>1</v>
      </c>
      <c r="S184" s="436">
        <v>0</v>
      </c>
      <c r="T184" s="411">
        <v>1</v>
      </c>
      <c r="U184" s="436">
        <v>0</v>
      </c>
      <c r="V184" s="437">
        <v>1</v>
      </c>
      <c r="W184" s="455">
        <v>250</v>
      </c>
      <c r="X184" s="456">
        <v>0</v>
      </c>
      <c r="Y184" s="519"/>
      <c r="Z184" s="519"/>
      <c r="AA184" s="520"/>
    </row>
    <row r="185" spans="1:27" x14ac:dyDescent="0.25">
      <c r="A185" s="1" t="s">
        <v>3160</v>
      </c>
      <c r="B185" s="442" t="s">
        <v>1368</v>
      </c>
      <c r="C185" s="518" t="s">
        <v>1224</v>
      </c>
      <c r="D185" s="442" t="s">
        <v>3723</v>
      </c>
      <c r="E185" s="440" t="s">
        <v>3201</v>
      </c>
      <c r="F185" s="413" t="s">
        <v>3550</v>
      </c>
      <c r="G185" s="442">
        <v>1</v>
      </c>
      <c r="H185" s="442">
        <v>0</v>
      </c>
      <c r="I185" s="442">
        <v>0</v>
      </c>
      <c r="J185" s="442">
        <v>1</v>
      </c>
      <c r="K185" s="387" t="s">
        <v>1358</v>
      </c>
      <c r="L185" s="518">
        <v>250</v>
      </c>
      <c r="M185" s="519"/>
      <c r="N185" s="2">
        <v>0</v>
      </c>
      <c r="O185" s="459">
        <v>250</v>
      </c>
      <c r="P185" s="519"/>
      <c r="Q185" s="436">
        <v>1</v>
      </c>
      <c r="R185" s="436">
        <v>1</v>
      </c>
      <c r="S185" s="436">
        <v>0</v>
      </c>
      <c r="T185" s="411">
        <v>1</v>
      </c>
      <c r="U185" s="436">
        <v>0</v>
      </c>
      <c r="V185" s="437">
        <v>1</v>
      </c>
      <c r="W185" s="455">
        <v>250</v>
      </c>
      <c r="X185" s="456">
        <v>0</v>
      </c>
      <c r="Y185" s="519"/>
      <c r="Z185" s="519"/>
      <c r="AA185" s="520"/>
    </row>
    <row r="186" spans="1:27" x14ac:dyDescent="0.25">
      <c r="A186" s="1" t="s">
        <v>3161</v>
      </c>
      <c r="B186" s="442" t="s">
        <v>1368</v>
      </c>
      <c r="C186" s="518" t="s">
        <v>1224</v>
      </c>
      <c r="D186" s="442" t="s">
        <v>3724</v>
      </c>
      <c r="E186" s="440" t="s">
        <v>3201</v>
      </c>
      <c r="F186" s="413" t="s">
        <v>3551</v>
      </c>
      <c r="G186" s="442">
        <v>1</v>
      </c>
      <c r="H186" s="442">
        <v>0</v>
      </c>
      <c r="I186" s="442">
        <v>0</v>
      </c>
      <c r="J186" s="442">
        <v>1</v>
      </c>
      <c r="K186" s="387" t="s">
        <v>1358</v>
      </c>
      <c r="L186" s="518">
        <v>250</v>
      </c>
      <c r="M186" s="519"/>
      <c r="N186" s="2">
        <v>0</v>
      </c>
      <c r="O186" s="459">
        <v>250</v>
      </c>
      <c r="P186" s="519"/>
      <c r="Q186" s="436">
        <v>1</v>
      </c>
      <c r="R186" s="436">
        <v>1</v>
      </c>
      <c r="S186" s="436">
        <v>0</v>
      </c>
      <c r="T186" s="411">
        <v>1</v>
      </c>
      <c r="U186" s="436">
        <v>0</v>
      </c>
      <c r="V186" s="437">
        <v>1</v>
      </c>
      <c r="W186" s="455">
        <v>250</v>
      </c>
      <c r="X186" s="456">
        <v>0</v>
      </c>
      <c r="Y186" s="519"/>
      <c r="Z186" s="519"/>
      <c r="AA186" s="520"/>
    </row>
    <row r="187" spans="1:27" x14ac:dyDescent="0.25">
      <c r="A187" s="1" t="s">
        <v>3162</v>
      </c>
      <c r="B187" s="442" t="s">
        <v>1368</v>
      </c>
      <c r="C187" s="518" t="s">
        <v>1224</v>
      </c>
      <c r="D187" s="442" t="s">
        <v>3725</v>
      </c>
      <c r="E187" s="440" t="s">
        <v>3201</v>
      </c>
      <c r="F187" s="413" t="s">
        <v>3552</v>
      </c>
      <c r="G187" s="442">
        <v>1</v>
      </c>
      <c r="H187" s="442">
        <v>0</v>
      </c>
      <c r="I187" s="442">
        <v>0</v>
      </c>
      <c r="J187" s="442">
        <v>1</v>
      </c>
      <c r="K187" s="387" t="s">
        <v>1358</v>
      </c>
      <c r="L187" s="518">
        <v>250</v>
      </c>
      <c r="M187" s="519"/>
      <c r="N187" s="2">
        <v>0</v>
      </c>
      <c r="O187" s="459">
        <v>250</v>
      </c>
      <c r="P187" s="519"/>
      <c r="Q187" s="436">
        <v>1</v>
      </c>
      <c r="R187" s="436">
        <v>1</v>
      </c>
      <c r="S187" s="436">
        <v>0</v>
      </c>
      <c r="T187" s="411">
        <v>1</v>
      </c>
      <c r="U187" s="436">
        <v>0</v>
      </c>
      <c r="V187" s="437">
        <v>1</v>
      </c>
      <c r="W187" s="455">
        <v>250</v>
      </c>
      <c r="X187" s="456">
        <v>0</v>
      </c>
      <c r="Y187" s="519"/>
      <c r="Z187" s="519"/>
      <c r="AA187" s="520"/>
    </row>
    <row r="188" spans="1:27" x14ac:dyDescent="0.25">
      <c r="A188" s="478"/>
      <c r="B188" s="479"/>
      <c r="C188" s="479"/>
      <c r="D188" s="471"/>
      <c r="E188" s="479"/>
      <c r="F188" s="471"/>
      <c r="G188" s="471"/>
      <c r="H188" s="471"/>
      <c r="I188" s="471"/>
      <c r="J188" s="471"/>
      <c r="K188" s="471"/>
      <c r="L188" s="471"/>
      <c r="M188" s="472"/>
      <c r="N188" s="472"/>
      <c r="O188" s="473"/>
      <c r="P188" s="474"/>
      <c r="Q188" s="474"/>
      <c r="R188" s="474"/>
      <c r="S188" s="474"/>
      <c r="T188" s="474"/>
      <c r="U188" s="474"/>
    </row>
    <row r="189" spans="1:27" x14ac:dyDescent="0.25">
      <c r="A189" s="478"/>
      <c r="B189" s="479"/>
      <c r="C189" s="479"/>
      <c r="D189" s="471"/>
      <c r="E189" s="479"/>
      <c r="F189" s="471"/>
      <c r="G189" s="471"/>
      <c r="H189" s="471"/>
      <c r="I189" s="471"/>
      <c r="J189" s="471"/>
      <c r="K189" s="471"/>
      <c r="L189" s="471"/>
      <c r="M189" s="472"/>
      <c r="N189" s="472"/>
      <c r="O189" s="473"/>
      <c r="P189" s="474"/>
      <c r="Q189" s="474"/>
      <c r="R189" s="474"/>
      <c r="S189" s="474"/>
      <c r="T189" s="474"/>
      <c r="U189" s="474"/>
    </row>
    <row r="190" spans="1:27" x14ac:dyDescent="0.25">
      <c r="A190" s="478"/>
      <c r="B190" s="479"/>
      <c r="C190" s="479"/>
      <c r="D190" s="471"/>
      <c r="E190" s="479"/>
      <c r="F190" s="471"/>
      <c r="G190" s="471"/>
      <c r="H190" s="471"/>
      <c r="I190" s="471"/>
      <c r="J190" s="471"/>
      <c r="K190" s="471"/>
      <c r="L190" s="471"/>
      <c r="M190" s="472"/>
      <c r="N190" s="472"/>
      <c r="O190" s="473"/>
      <c r="P190" s="474"/>
      <c r="Q190" s="474"/>
      <c r="R190" s="474"/>
      <c r="S190" s="474"/>
      <c r="T190" s="474"/>
      <c r="U190" s="474"/>
    </row>
  </sheetData>
  <mergeCells count="1">
    <mergeCell ref="Q1:U1"/>
  </mergeCells>
  <conditionalFormatting sqref="A1">
    <cfRule type="duplicateValues" dxfId="79" priority="3"/>
  </conditionalFormatting>
  <conditionalFormatting sqref="A134:A187">
    <cfRule type="duplicateValues" dxfId="78" priority="1"/>
  </conditionalFormatting>
  <conditionalFormatting sqref="A2:A190">
    <cfRule type="duplicateValues" dxfId="77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B260-369A-41ED-A711-792E94C21586}">
  <dimension ref="A1:AF912"/>
  <sheetViews>
    <sheetView workbookViewId="0">
      <selection activeCell="E4" sqref="E4"/>
    </sheetView>
  </sheetViews>
  <sheetFormatPr defaultRowHeight="15" x14ac:dyDescent="0.25"/>
  <cols>
    <col min="1" max="1" width="14" bestFit="1" customWidth="1"/>
    <col min="2" max="2" width="4.5703125" bestFit="1" customWidth="1"/>
    <col min="3" max="3" width="7.85546875" bestFit="1" customWidth="1"/>
    <col min="4" max="4" width="13.5703125" bestFit="1" customWidth="1"/>
    <col min="5" max="5" width="29.85546875" bestFit="1" customWidth="1"/>
    <col min="6" max="6" width="18.28515625" bestFit="1" customWidth="1"/>
    <col min="7" max="7" width="8.5703125" bestFit="1" customWidth="1"/>
    <col min="8" max="8" width="26.28515625" bestFit="1" customWidth="1"/>
    <col min="9" max="9" width="12.7109375" bestFit="1" customWidth="1"/>
    <col min="10" max="10" width="41.85546875" bestFit="1" customWidth="1"/>
    <col min="11" max="11" width="6.7109375" bestFit="1" customWidth="1"/>
    <col min="12" max="12" width="8.42578125" bestFit="1" customWidth="1"/>
    <col min="13" max="13" width="8.5703125" bestFit="1" customWidth="1"/>
    <col min="14" max="14" width="7.7109375" bestFit="1" customWidth="1"/>
    <col min="15" max="15" width="5" bestFit="1" customWidth="1"/>
    <col min="16" max="16" width="9" bestFit="1" customWidth="1"/>
    <col min="17" max="17" width="8.28515625" bestFit="1" customWidth="1"/>
    <col min="18" max="18" width="8.42578125" bestFit="1" customWidth="1"/>
    <col min="19" max="19" width="9" bestFit="1" customWidth="1"/>
    <col min="21" max="21" width="9" bestFit="1" customWidth="1"/>
    <col min="22" max="22" width="8.7109375" bestFit="1" customWidth="1"/>
    <col min="23" max="23" width="7" bestFit="1" customWidth="1"/>
    <col min="24" max="25" width="5.85546875" bestFit="1" customWidth="1"/>
    <col min="26" max="26" width="9" bestFit="1" customWidth="1"/>
    <col min="27" max="27" width="6.42578125" bestFit="1" customWidth="1"/>
    <col min="28" max="28" width="7" bestFit="1" customWidth="1"/>
    <col min="31" max="31" width="9" customWidth="1"/>
  </cols>
  <sheetData>
    <row r="1" spans="1:32" ht="52.5" thickBot="1" x14ac:dyDescent="0.3">
      <c r="A1" s="489"/>
      <c r="B1" s="490"/>
      <c r="C1" s="490"/>
      <c r="D1" s="490"/>
      <c r="E1" s="490"/>
      <c r="F1" s="490"/>
      <c r="G1" s="490"/>
      <c r="H1" s="490"/>
      <c r="I1" s="490"/>
      <c r="J1" s="490"/>
      <c r="K1" s="491" t="s">
        <v>548</v>
      </c>
      <c r="L1" s="491" t="s">
        <v>0</v>
      </c>
      <c r="M1" s="490" t="s">
        <v>549</v>
      </c>
      <c r="N1" s="490" t="s">
        <v>553</v>
      </c>
      <c r="O1" s="490" t="s">
        <v>550</v>
      </c>
      <c r="P1" s="491" t="s">
        <v>552</v>
      </c>
      <c r="Q1" s="491" t="s">
        <v>1469</v>
      </c>
      <c r="R1" s="491" t="s">
        <v>0</v>
      </c>
      <c r="S1" s="491" t="s">
        <v>551</v>
      </c>
      <c r="T1" s="608" t="s">
        <v>1364</v>
      </c>
      <c r="U1" s="608"/>
      <c r="V1" s="608"/>
      <c r="W1" s="608"/>
      <c r="X1" s="608"/>
      <c r="Y1" s="608"/>
      <c r="Z1" s="490" t="s">
        <v>1</v>
      </c>
      <c r="AA1" s="490" t="s">
        <v>2</v>
      </c>
      <c r="AB1" s="490" t="s">
        <v>1365</v>
      </c>
      <c r="AC1" s="490"/>
      <c r="AD1" s="490"/>
      <c r="AE1" s="492" t="s">
        <v>5</v>
      </c>
    </row>
    <row r="2" spans="1:32" x14ac:dyDescent="0.25">
      <c r="A2" s="388"/>
      <c r="B2" s="389"/>
      <c r="C2" s="389"/>
      <c r="D2" s="389"/>
      <c r="E2" s="389"/>
      <c r="F2" s="389"/>
      <c r="G2" s="389"/>
      <c r="H2" s="389"/>
      <c r="I2" s="389"/>
      <c r="J2" s="390"/>
      <c r="K2" s="390"/>
      <c r="L2" s="390"/>
      <c r="M2" s="390"/>
      <c r="N2" s="390"/>
      <c r="O2" s="390"/>
      <c r="P2" s="391"/>
      <c r="Q2" s="391"/>
      <c r="R2" s="391"/>
      <c r="S2" s="391"/>
      <c r="T2" s="391"/>
      <c r="U2" s="391" t="s">
        <v>9</v>
      </c>
      <c r="V2" s="391" t="s">
        <v>10</v>
      </c>
      <c r="W2" s="391" t="s">
        <v>11</v>
      </c>
      <c r="X2" s="391" t="s">
        <v>12</v>
      </c>
      <c r="Y2" s="391" t="s">
        <v>13</v>
      </c>
      <c r="Z2" s="389"/>
      <c r="AA2" s="391"/>
      <c r="AB2" s="391"/>
      <c r="AC2" s="391"/>
      <c r="AD2" s="391"/>
      <c r="AE2" s="392"/>
    </row>
    <row r="3" spans="1:32" x14ac:dyDescent="0.25">
      <c r="A3" s="484"/>
      <c r="B3" s="485"/>
      <c r="C3" s="485"/>
      <c r="D3" s="485"/>
      <c r="E3" s="485"/>
      <c r="F3" s="485"/>
      <c r="G3" s="485"/>
      <c r="H3" s="485"/>
      <c r="I3" s="485"/>
      <c r="J3" s="486"/>
      <c r="K3" s="486"/>
      <c r="L3" s="486"/>
      <c r="M3" s="486"/>
      <c r="N3" s="486"/>
      <c r="O3" s="486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5"/>
      <c r="AA3" s="487"/>
      <c r="AB3" s="487"/>
      <c r="AC3" s="487"/>
      <c r="AD3" s="487"/>
      <c r="AE3" s="488"/>
    </row>
    <row r="4" spans="1:32" ht="26.25" x14ac:dyDescent="0.25">
      <c r="A4" s="393" t="s">
        <v>6</v>
      </c>
      <c r="B4" s="394" t="s">
        <v>7</v>
      </c>
      <c r="C4" s="394" t="s">
        <v>18</v>
      </c>
      <c r="D4" s="394" t="s">
        <v>1354</v>
      </c>
      <c r="E4" s="537" t="s">
        <v>3199</v>
      </c>
      <c r="F4" s="537" t="s">
        <v>3200</v>
      </c>
      <c r="G4" s="537" t="s">
        <v>3202</v>
      </c>
      <c r="H4" s="537" t="s">
        <v>1353</v>
      </c>
      <c r="I4" s="537" t="s">
        <v>3425</v>
      </c>
      <c r="J4" s="394" t="s">
        <v>1356</v>
      </c>
      <c r="K4" s="552">
        <f>SUM(K5:K913)</f>
        <v>8852.5789999999997</v>
      </c>
      <c r="L4" s="475"/>
      <c r="M4" s="475"/>
      <c r="N4" s="475"/>
      <c r="O4" s="475"/>
      <c r="P4" s="552">
        <f>SUM(P6:P913)</f>
        <v>36699.872000000054</v>
      </c>
      <c r="Q4" s="457"/>
      <c r="R4" s="457">
        <f>R10+R149</f>
        <v>0</v>
      </c>
      <c r="S4" s="552">
        <f>SUM(S6:S913)</f>
        <v>48232.326000000125</v>
      </c>
      <c r="T4" s="397"/>
      <c r="U4" s="397" t="s">
        <v>155</v>
      </c>
      <c r="V4" s="397" t="s">
        <v>156</v>
      </c>
      <c r="W4" s="397" t="s">
        <v>223</v>
      </c>
      <c r="X4" s="397"/>
      <c r="Y4" s="397"/>
      <c r="Z4" s="398">
        <f>AA4/S5</f>
        <v>4.2432203389830505</v>
      </c>
      <c r="AA4" s="552">
        <f>SUM(AA6:AA913)</f>
        <v>100.14</v>
      </c>
      <c r="AB4" s="552">
        <f>5894.25+1739.25+1726+1517.5+1829.5+1687+1418+1626.5+2158</f>
        <v>19596</v>
      </c>
      <c r="AC4" s="395"/>
      <c r="AD4" s="399"/>
      <c r="AE4" s="400"/>
    </row>
    <row r="5" spans="1:32" x14ac:dyDescent="0.25">
      <c r="A5" s="1" t="s">
        <v>2456</v>
      </c>
      <c r="B5" s="3" t="s">
        <v>1368</v>
      </c>
      <c r="C5" s="3" t="s">
        <v>1247</v>
      </c>
      <c r="D5" s="407" t="s">
        <v>3291</v>
      </c>
      <c r="E5" s="3" t="s">
        <v>3771</v>
      </c>
      <c r="F5" s="407" t="s">
        <v>4476</v>
      </c>
      <c r="G5" s="440" t="s">
        <v>4109</v>
      </c>
      <c r="H5" s="407" t="s">
        <v>4297</v>
      </c>
      <c r="I5" s="407" t="s">
        <v>3753</v>
      </c>
      <c r="J5" s="387" t="s">
        <v>3770</v>
      </c>
      <c r="K5" s="387">
        <v>4</v>
      </c>
      <c r="L5" s="387">
        <v>0</v>
      </c>
      <c r="M5" s="387">
        <f>K5+L5</f>
        <v>4</v>
      </c>
      <c r="N5" s="442">
        <f>K5*Z5</f>
        <v>0</v>
      </c>
      <c r="O5" s="387" t="s">
        <v>1358</v>
      </c>
      <c r="P5" s="459">
        <v>0</v>
      </c>
      <c r="Q5" s="459"/>
      <c r="R5" s="456">
        <v>0</v>
      </c>
      <c r="S5" s="456">
        <v>23.6</v>
      </c>
      <c r="T5" s="410"/>
      <c r="U5" s="411">
        <v>0</v>
      </c>
      <c r="V5" s="411">
        <v>0</v>
      </c>
      <c r="W5" s="411">
        <v>0</v>
      </c>
      <c r="X5" s="411"/>
      <c r="Y5" s="411"/>
      <c r="Z5" s="412">
        <f>AA5/S5</f>
        <v>0</v>
      </c>
      <c r="AA5" s="456">
        <f>(U5*U$368*S5)+(V5*V$368*S5)+(W5*W$368*S5)</f>
        <v>0</v>
      </c>
      <c r="AB5" s="456">
        <v>0</v>
      </c>
      <c r="AC5" s="2"/>
      <c r="AD5" s="4"/>
      <c r="AE5" s="5"/>
      <c r="AF5" s="428"/>
    </row>
    <row r="6" spans="1:32" x14ac:dyDescent="0.25">
      <c r="A6" s="1" t="s">
        <v>2457</v>
      </c>
      <c r="B6" s="3" t="s">
        <v>1368</v>
      </c>
      <c r="C6" s="3" t="s">
        <v>1247</v>
      </c>
      <c r="D6" s="407" t="s">
        <v>3291</v>
      </c>
      <c r="E6" s="3" t="s">
        <v>3772</v>
      </c>
      <c r="F6" s="407" t="s">
        <v>4476</v>
      </c>
      <c r="G6" s="440" t="s">
        <v>4109</v>
      </c>
      <c r="H6" s="407" t="s">
        <v>4297</v>
      </c>
      <c r="I6" s="407" t="s">
        <v>3753</v>
      </c>
      <c r="J6" s="387" t="s">
        <v>4936</v>
      </c>
      <c r="K6" s="387">
        <v>1</v>
      </c>
      <c r="L6" s="387">
        <v>0</v>
      </c>
      <c r="M6" s="387">
        <f t="shared" ref="M6:M70" si="0">K6+L6</f>
        <v>1</v>
      </c>
      <c r="N6" s="442">
        <f t="shared" ref="N6:N70" si="1">K6*Z6</f>
        <v>0</v>
      </c>
      <c r="O6" s="387" t="s">
        <v>1358</v>
      </c>
      <c r="P6" s="459">
        <v>0</v>
      </c>
      <c r="Q6" s="459"/>
      <c r="R6" s="456">
        <v>0</v>
      </c>
      <c r="S6" s="456">
        <v>63.454000000000001</v>
      </c>
      <c r="T6" s="410"/>
      <c r="U6" s="411">
        <v>1</v>
      </c>
      <c r="V6" s="411">
        <v>1</v>
      </c>
      <c r="W6" s="411">
        <v>1</v>
      </c>
      <c r="X6" s="411"/>
      <c r="Y6" s="411"/>
      <c r="Z6" s="412">
        <f t="shared" ref="Z6:Z70" si="2">AA6/S6</f>
        <v>0</v>
      </c>
      <c r="AA6" s="456">
        <f t="shared" ref="AA6:AA70" si="3">(U6*U$368*S6)+(V6*V$368*S6)+(W6*W$368*S6)</f>
        <v>0</v>
      </c>
      <c r="AB6" s="456">
        <v>0</v>
      </c>
      <c r="AC6" s="2"/>
      <c r="AD6" s="4"/>
      <c r="AE6" s="5"/>
      <c r="AF6" s="428"/>
    </row>
    <row r="7" spans="1:32" x14ac:dyDescent="0.25">
      <c r="A7" s="1" t="s">
        <v>2458</v>
      </c>
      <c r="B7" s="3" t="s">
        <v>1368</v>
      </c>
      <c r="C7" s="3" t="s">
        <v>1247</v>
      </c>
      <c r="D7" s="407" t="s">
        <v>1400</v>
      </c>
      <c r="E7" s="3" t="s">
        <v>3773</v>
      </c>
      <c r="F7" s="407" t="s">
        <v>4477</v>
      </c>
      <c r="G7" s="440" t="s">
        <v>4109</v>
      </c>
      <c r="H7" s="407" t="s">
        <v>4298</v>
      </c>
      <c r="I7" s="407" t="s">
        <v>3779</v>
      </c>
      <c r="J7" s="387" t="s">
        <v>3770</v>
      </c>
      <c r="K7" s="387">
        <v>1</v>
      </c>
      <c r="L7" s="387">
        <v>0</v>
      </c>
      <c r="M7" s="387">
        <f t="shared" si="0"/>
        <v>1</v>
      </c>
      <c r="N7" s="442">
        <f t="shared" si="1"/>
        <v>0</v>
      </c>
      <c r="O7" s="387" t="s">
        <v>1358</v>
      </c>
      <c r="P7" s="459">
        <v>0</v>
      </c>
      <c r="Q7" s="459"/>
      <c r="R7" s="456">
        <v>0</v>
      </c>
      <c r="S7" s="456">
        <v>18.753</v>
      </c>
      <c r="T7" s="410"/>
      <c r="U7" s="411">
        <v>0</v>
      </c>
      <c r="V7" s="411">
        <v>0</v>
      </c>
      <c r="W7" s="411">
        <v>0</v>
      </c>
      <c r="X7" s="411"/>
      <c r="Y7" s="411"/>
      <c r="Z7" s="412">
        <f t="shared" si="2"/>
        <v>0</v>
      </c>
      <c r="AA7" s="456">
        <f t="shared" si="3"/>
        <v>0</v>
      </c>
      <c r="AB7" s="456">
        <v>0</v>
      </c>
      <c r="AC7" s="2"/>
      <c r="AD7" s="4"/>
      <c r="AE7" s="5"/>
      <c r="AF7" s="428"/>
    </row>
    <row r="8" spans="1:32" x14ac:dyDescent="0.25">
      <c r="A8" s="1" t="s">
        <v>2459</v>
      </c>
      <c r="B8" s="3" t="s">
        <v>1368</v>
      </c>
      <c r="C8" s="3" t="s">
        <v>1247</v>
      </c>
      <c r="D8" s="407" t="s">
        <v>1401</v>
      </c>
      <c r="E8" s="3" t="s">
        <v>3774</v>
      </c>
      <c r="F8" s="407" t="s">
        <v>4478</v>
      </c>
      <c r="G8" s="440" t="s">
        <v>4109</v>
      </c>
      <c r="H8" s="407" t="s">
        <v>4299</v>
      </c>
      <c r="I8" s="407" t="s">
        <v>3780</v>
      </c>
      <c r="J8" s="387" t="s">
        <v>3770</v>
      </c>
      <c r="K8" s="387">
        <v>1</v>
      </c>
      <c r="L8" s="387">
        <v>0</v>
      </c>
      <c r="M8" s="387">
        <f t="shared" si="0"/>
        <v>1</v>
      </c>
      <c r="N8" s="442">
        <f t="shared" si="1"/>
        <v>0</v>
      </c>
      <c r="O8" s="387" t="s">
        <v>1358</v>
      </c>
      <c r="P8" s="459">
        <v>0</v>
      </c>
      <c r="Q8" s="459"/>
      <c r="R8" s="456">
        <v>0</v>
      </c>
      <c r="S8" s="456">
        <v>18.753</v>
      </c>
      <c r="T8" s="410"/>
      <c r="U8" s="411">
        <v>0</v>
      </c>
      <c r="V8" s="411">
        <v>0</v>
      </c>
      <c r="W8" s="411">
        <v>0</v>
      </c>
      <c r="X8" s="411"/>
      <c r="Y8" s="411"/>
      <c r="Z8" s="412">
        <f t="shared" si="2"/>
        <v>0</v>
      </c>
      <c r="AA8" s="456">
        <f t="shared" si="3"/>
        <v>0</v>
      </c>
      <c r="AB8" s="456">
        <v>0</v>
      </c>
      <c r="AC8" s="2"/>
      <c r="AD8" s="4"/>
      <c r="AE8" s="5"/>
      <c r="AF8" s="428"/>
    </row>
    <row r="9" spans="1:32" x14ac:dyDescent="0.25">
      <c r="A9" s="1" t="s">
        <v>2460</v>
      </c>
      <c r="B9" s="3" t="s">
        <v>1368</v>
      </c>
      <c r="C9" s="3" t="s">
        <v>1247</v>
      </c>
      <c r="D9" s="407" t="s">
        <v>1425</v>
      </c>
      <c r="E9" s="3" t="s">
        <v>3775</v>
      </c>
      <c r="F9" s="407" t="s">
        <v>4479</v>
      </c>
      <c r="G9" s="440" t="s">
        <v>4109</v>
      </c>
      <c r="H9" s="407" t="s">
        <v>4300</v>
      </c>
      <c r="I9" s="407" t="s">
        <v>3781</v>
      </c>
      <c r="J9" s="387" t="s">
        <v>4643</v>
      </c>
      <c r="K9" s="387">
        <v>1</v>
      </c>
      <c r="L9" s="387">
        <v>0</v>
      </c>
      <c r="M9" s="387">
        <f t="shared" si="0"/>
        <v>1</v>
      </c>
      <c r="N9" s="442">
        <f t="shared" si="1"/>
        <v>0</v>
      </c>
      <c r="O9" s="387" t="s">
        <v>1358</v>
      </c>
      <c r="P9" s="459">
        <v>0</v>
      </c>
      <c r="Q9" s="459"/>
      <c r="R9" s="456">
        <v>0</v>
      </c>
      <c r="S9" s="456">
        <v>18.768000000000001</v>
      </c>
      <c r="T9" s="410"/>
      <c r="U9" s="411">
        <v>1</v>
      </c>
      <c r="V9" s="411">
        <v>1</v>
      </c>
      <c r="W9" s="411">
        <v>1</v>
      </c>
      <c r="X9" s="411"/>
      <c r="Y9" s="411"/>
      <c r="Z9" s="412">
        <f t="shared" si="2"/>
        <v>0</v>
      </c>
      <c r="AA9" s="456">
        <f t="shared" si="3"/>
        <v>0</v>
      </c>
      <c r="AB9" s="456">
        <v>0</v>
      </c>
      <c r="AC9" s="2"/>
      <c r="AD9" s="4"/>
      <c r="AE9" s="5"/>
      <c r="AF9" s="428"/>
    </row>
    <row r="10" spans="1:32" x14ac:dyDescent="0.25">
      <c r="A10" s="1" t="s">
        <v>2461</v>
      </c>
      <c r="B10" s="3" t="s">
        <v>1368</v>
      </c>
      <c r="C10" s="3" t="s">
        <v>1247</v>
      </c>
      <c r="D10" s="407" t="s">
        <v>1426</v>
      </c>
      <c r="E10" s="3" t="s">
        <v>3776</v>
      </c>
      <c r="F10" s="407" t="s">
        <v>4480</v>
      </c>
      <c r="G10" s="440" t="s">
        <v>4109</v>
      </c>
      <c r="H10" s="407" t="s">
        <v>4301</v>
      </c>
      <c r="I10" s="407" t="s">
        <v>3782</v>
      </c>
      <c r="J10" s="387" t="s">
        <v>3770</v>
      </c>
      <c r="K10" s="387">
        <v>1</v>
      </c>
      <c r="L10" s="387">
        <v>0</v>
      </c>
      <c r="M10" s="387">
        <f t="shared" si="0"/>
        <v>1</v>
      </c>
      <c r="N10" s="442">
        <f t="shared" si="1"/>
        <v>0</v>
      </c>
      <c r="O10" s="387" t="s">
        <v>1358</v>
      </c>
      <c r="P10" s="459">
        <v>0</v>
      </c>
      <c r="Q10" s="459"/>
      <c r="R10" s="456">
        <v>0</v>
      </c>
      <c r="S10" s="456">
        <v>18.768000000000001</v>
      </c>
      <c r="T10" s="410"/>
      <c r="U10" s="411">
        <v>0</v>
      </c>
      <c r="V10" s="411">
        <v>0</v>
      </c>
      <c r="W10" s="411">
        <v>0</v>
      </c>
      <c r="X10" s="411"/>
      <c r="Y10" s="411"/>
      <c r="Z10" s="412">
        <f t="shared" si="2"/>
        <v>0</v>
      </c>
      <c r="AA10" s="456">
        <f t="shared" si="3"/>
        <v>0</v>
      </c>
      <c r="AB10" s="456">
        <v>0</v>
      </c>
      <c r="AC10" s="2"/>
      <c r="AD10" s="4"/>
      <c r="AE10" s="5"/>
      <c r="AF10" s="428"/>
    </row>
    <row r="11" spans="1:32" x14ac:dyDescent="0.25">
      <c r="A11" s="1" t="s">
        <v>2462</v>
      </c>
      <c r="B11" s="3" t="s">
        <v>1368</v>
      </c>
      <c r="C11" s="3" t="s">
        <v>1247</v>
      </c>
      <c r="D11" s="407" t="s">
        <v>1402</v>
      </c>
      <c r="E11" s="3" t="s">
        <v>3777</v>
      </c>
      <c r="F11" s="407" t="s">
        <v>4481</v>
      </c>
      <c r="G11" s="440" t="s">
        <v>4109</v>
      </c>
      <c r="H11" s="407" t="s">
        <v>4302</v>
      </c>
      <c r="I11" s="407" t="s">
        <v>3783</v>
      </c>
      <c r="J11" s="387" t="s">
        <v>3770</v>
      </c>
      <c r="K11" s="387">
        <v>1</v>
      </c>
      <c r="L11" s="387">
        <v>0</v>
      </c>
      <c r="M11" s="387">
        <f t="shared" si="0"/>
        <v>1</v>
      </c>
      <c r="N11" s="442">
        <f t="shared" si="1"/>
        <v>0</v>
      </c>
      <c r="O11" s="387" t="s">
        <v>1358</v>
      </c>
      <c r="P11" s="459">
        <v>0</v>
      </c>
      <c r="Q11" s="459"/>
      <c r="R11" s="456">
        <v>0</v>
      </c>
      <c r="S11" s="456">
        <v>19.329000000000001</v>
      </c>
      <c r="T11" s="410"/>
      <c r="U11" s="411">
        <v>0</v>
      </c>
      <c r="V11" s="411">
        <v>0</v>
      </c>
      <c r="W11" s="411">
        <v>0</v>
      </c>
      <c r="X11" s="411"/>
      <c r="Y11" s="411"/>
      <c r="Z11" s="412">
        <f t="shared" si="2"/>
        <v>0</v>
      </c>
      <c r="AA11" s="456">
        <f t="shared" si="3"/>
        <v>0</v>
      </c>
      <c r="AB11" s="456">
        <v>0</v>
      </c>
      <c r="AC11" s="2"/>
      <c r="AD11" s="4"/>
      <c r="AE11" s="5"/>
      <c r="AF11" s="428"/>
    </row>
    <row r="12" spans="1:32" x14ac:dyDescent="0.25">
      <c r="A12" s="1" t="s">
        <v>2463</v>
      </c>
      <c r="B12" s="3" t="s">
        <v>1368</v>
      </c>
      <c r="C12" s="3" t="s">
        <v>1247</v>
      </c>
      <c r="D12" s="407" t="s">
        <v>3546</v>
      </c>
      <c r="E12" s="3" t="s">
        <v>3778</v>
      </c>
      <c r="F12" s="407" t="s">
        <v>4482</v>
      </c>
      <c r="G12" s="440" t="s">
        <v>4109</v>
      </c>
      <c r="H12" s="407" t="s">
        <v>4303</v>
      </c>
      <c r="I12" s="407" t="s">
        <v>3784</v>
      </c>
      <c r="J12" s="387" t="s">
        <v>3770</v>
      </c>
      <c r="K12" s="387">
        <v>1</v>
      </c>
      <c r="L12" s="387">
        <v>0</v>
      </c>
      <c r="M12" s="387">
        <f t="shared" si="0"/>
        <v>1</v>
      </c>
      <c r="N12" s="442">
        <f t="shared" si="1"/>
        <v>0</v>
      </c>
      <c r="O12" s="387" t="s">
        <v>1358</v>
      </c>
      <c r="P12" s="459">
        <v>0</v>
      </c>
      <c r="Q12" s="459"/>
      <c r="R12" s="456">
        <v>0</v>
      </c>
      <c r="S12" s="456">
        <v>19.329000000000001</v>
      </c>
      <c r="T12" s="410"/>
      <c r="U12" s="411">
        <v>0</v>
      </c>
      <c r="V12" s="411">
        <v>0</v>
      </c>
      <c r="W12" s="411">
        <v>0</v>
      </c>
      <c r="X12" s="411"/>
      <c r="Y12" s="411"/>
      <c r="Z12" s="412">
        <f t="shared" si="2"/>
        <v>0</v>
      </c>
      <c r="AA12" s="456">
        <f t="shared" si="3"/>
        <v>0</v>
      </c>
      <c r="AB12" s="456">
        <v>0</v>
      </c>
      <c r="AC12" s="2"/>
      <c r="AD12" s="4"/>
      <c r="AE12" s="5"/>
      <c r="AF12" s="428"/>
    </row>
    <row r="13" spans="1:32" x14ac:dyDescent="0.25">
      <c r="A13" s="1" t="s">
        <v>2464</v>
      </c>
      <c r="B13" s="3" t="s">
        <v>1368</v>
      </c>
      <c r="C13" s="3" t="s">
        <v>1247</v>
      </c>
      <c r="D13" s="407" t="s">
        <v>1432</v>
      </c>
      <c r="E13" s="3" t="s">
        <v>1777</v>
      </c>
      <c r="F13" s="407" t="s">
        <v>4483</v>
      </c>
      <c r="G13" s="440" t="s">
        <v>4109</v>
      </c>
      <c r="H13" s="407" t="s">
        <v>4304</v>
      </c>
      <c r="I13" s="407" t="s">
        <v>3785</v>
      </c>
      <c r="J13" s="387" t="s">
        <v>4635</v>
      </c>
      <c r="K13" s="387">
        <v>1</v>
      </c>
      <c r="L13" s="387">
        <v>0</v>
      </c>
      <c r="M13" s="387">
        <f t="shared" si="0"/>
        <v>1</v>
      </c>
      <c r="N13" s="442">
        <f t="shared" si="1"/>
        <v>0</v>
      </c>
      <c r="O13" s="387" t="s">
        <v>1358</v>
      </c>
      <c r="P13" s="459">
        <v>0</v>
      </c>
      <c r="Q13" s="459"/>
      <c r="R13" s="456">
        <v>0</v>
      </c>
      <c r="S13" s="456">
        <v>26.664000000000001</v>
      </c>
      <c r="T13" s="410"/>
      <c r="U13" s="411">
        <v>0</v>
      </c>
      <c r="V13" s="411">
        <v>0</v>
      </c>
      <c r="W13" s="411">
        <v>0</v>
      </c>
      <c r="X13" s="411"/>
      <c r="Y13" s="411"/>
      <c r="Z13" s="412">
        <f t="shared" si="2"/>
        <v>0</v>
      </c>
      <c r="AA13" s="456">
        <f t="shared" si="3"/>
        <v>0</v>
      </c>
      <c r="AB13" s="456">
        <v>0</v>
      </c>
      <c r="AC13" s="2"/>
      <c r="AD13" s="4"/>
      <c r="AE13" s="5"/>
      <c r="AF13" s="428"/>
    </row>
    <row r="14" spans="1:32" x14ac:dyDescent="0.25">
      <c r="A14" s="1" t="s">
        <v>2465</v>
      </c>
      <c r="B14" s="3" t="s">
        <v>1368</v>
      </c>
      <c r="C14" s="3" t="s">
        <v>1247</v>
      </c>
      <c r="D14" s="407" t="s">
        <v>3306</v>
      </c>
      <c r="E14" s="3" t="s">
        <v>1778</v>
      </c>
      <c r="F14" s="407" t="s">
        <v>4484</v>
      </c>
      <c r="G14" s="440" t="s">
        <v>4109</v>
      </c>
      <c r="H14" s="407" t="s">
        <v>4305</v>
      </c>
      <c r="I14" s="407" t="s">
        <v>3786</v>
      </c>
      <c r="J14" s="387" t="s">
        <v>4636</v>
      </c>
      <c r="K14" s="387">
        <v>1</v>
      </c>
      <c r="L14" s="387">
        <v>0</v>
      </c>
      <c r="M14" s="387">
        <f t="shared" si="0"/>
        <v>1</v>
      </c>
      <c r="N14" s="442">
        <f t="shared" si="1"/>
        <v>0</v>
      </c>
      <c r="O14" s="387" t="s">
        <v>1358</v>
      </c>
      <c r="P14" s="459">
        <v>0</v>
      </c>
      <c r="Q14" s="459"/>
      <c r="R14" s="456">
        <v>0</v>
      </c>
      <c r="S14" s="456">
        <v>21.344999999999999</v>
      </c>
      <c r="T14" s="410"/>
      <c r="U14" s="411">
        <v>0</v>
      </c>
      <c r="V14" s="411">
        <v>0</v>
      </c>
      <c r="W14" s="411">
        <v>0</v>
      </c>
      <c r="X14" s="411"/>
      <c r="Y14" s="411"/>
      <c r="Z14" s="412">
        <f t="shared" si="2"/>
        <v>0</v>
      </c>
      <c r="AA14" s="456">
        <f t="shared" si="3"/>
        <v>0</v>
      </c>
      <c r="AB14" s="456">
        <v>0</v>
      </c>
      <c r="AC14" s="2"/>
      <c r="AD14" s="4"/>
      <c r="AE14" s="5"/>
      <c r="AF14" s="428"/>
    </row>
    <row r="15" spans="1:32" x14ac:dyDescent="0.25">
      <c r="A15" s="1" t="s">
        <v>2466</v>
      </c>
      <c r="B15" s="3" t="s">
        <v>1368</v>
      </c>
      <c r="C15" s="3" t="s">
        <v>1247</v>
      </c>
      <c r="D15" s="407" t="s">
        <v>1426</v>
      </c>
      <c r="E15" s="3" t="s">
        <v>1779</v>
      </c>
      <c r="F15" s="407" t="s">
        <v>4480</v>
      </c>
      <c r="G15" s="440" t="s">
        <v>4109</v>
      </c>
      <c r="H15" s="407" t="s">
        <v>4301</v>
      </c>
      <c r="I15" s="407" t="s">
        <v>3782</v>
      </c>
      <c r="J15" s="387" t="s">
        <v>4637</v>
      </c>
      <c r="K15" s="387">
        <v>1</v>
      </c>
      <c r="L15" s="387">
        <v>0</v>
      </c>
      <c r="M15" s="387">
        <f t="shared" si="0"/>
        <v>1</v>
      </c>
      <c r="N15" s="442">
        <f t="shared" si="1"/>
        <v>0</v>
      </c>
      <c r="O15" s="387" t="s">
        <v>1358</v>
      </c>
      <c r="P15" s="459">
        <v>0</v>
      </c>
      <c r="Q15" s="459"/>
      <c r="R15" s="456">
        <v>0</v>
      </c>
      <c r="S15" s="456">
        <v>26.664000000000001</v>
      </c>
      <c r="T15" s="410"/>
      <c r="U15" s="411">
        <v>0</v>
      </c>
      <c r="V15" s="411">
        <v>0</v>
      </c>
      <c r="W15" s="411">
        <v>0</v>
      </c>
      <c r="X15" s="411"/>
      <c r="Y15" s="411"/>
      <c r="Z15" s="412">
        <f t="shared" si="2"/>
        <v>0</v>
      </c>
      <c r="AA15" s="456">
        <f t="shared" si="3"/>
        <v>0</v>
      </c>
      <c r="AB15" s="456">
        <v>0</v>
      </c>
      <c r="AC15" s="2"/>
      <c r="AD15" s="4"/>
      <c r="AE15" s="5"/>
      <c r="AF15" s="428"/>
    </row>
    <row r="16" spans="1:32" x14ac:dyDescent="0.25">
      <c r="A16" s="1" t="s">
        <v>2467</v>
      </c>
      <c r="B16" s="3" t="s">
        <v>1368</v>
      </c>
      <c r="C16" s="3" t="s">
        <v>1247</v>
      </c>
      <c r="D16" s="407" t="s">
        <v>1427</v>
      </c>
      <c r="E16" s="3" t="s">
        <v>1780</v>
      </c>
      <c r="F16" s="407" t="s">
        <v>4485</v>
      </c>
      <c r="G16" s="440" t="s">
        <v>4109</v>
      </c>
      <c r="H16" s="407" t="s">
        <v>4306</v>
      </c>
      <c r="I16" s="407" t="s">
        <v>3787</v>
      </c>
      <c r="J16" s="387" t="s">
        <v>4638</v>
      </c>
      <c r="K16" s="387">
        <v>1</v>
      </c>
      <c r="L16" s="387">
        <v>0</v>
      </c>
      <c r="M16" s="387">
        <f t="shared" si="0"/>
        <v>1</v>
      </c>
      <c r="N16" s="442">
        <f t="shared" si="1"/>
        <v>0</v>
      </c>
      <c r="O16" s="387" t="s">
        <v>1358</v>
      </c>
      <c r="P16" s="459">
        <v>0</v>
      </c>
      <c r="Q16" s="459"/>
      <c r="R16" s="456">
        <v>0</v>
      </c>
      <c r="S16" s="456">
        <v>26.664000000000001</v>
      </c>
      <c r="T16" s="410"/>
      <c r="U16" s="411">
        <v>0</v>
      </c>
      <c r="V16" s="411">
        <v>0</v>
      </c>
      <c r="W16" s="411">
        <v>0</v>
      </c>
      <c r="X16" s="411"/>
      <c r="Y16" s="411"/>
      <c r="Z16" s="412">
        <f t="shared" si="2"/>
        <v>0</v>
      </c>
      <c r="AA16" s="456">
        <f t="shared" si="3"/>
        <v>0</v>
      </c>
      <c r="AB16" s="456">
        <v>0</v>
      </c>
      <c r="AC16" s="2"/>
      <c r="AD16" s="4"/>
      <c r="AE16" s="5"/>
      <c r="AF16" s="428"/>
    </row>
    <row r="17" spans="1:32" x14ac:dyDescent="0.25">
      <c r="A17" s="1" t="s">
        <v>2468</v>
      </c>
      <c r="B17" s="3" t="s">
        <v>1368</v>
      </c>
      <c r="C17" s="3" t="s">
        <v>1247</v>
      </c>
      <c r="D17" s="407" t="s">
        <v>1428</v>
      </c>
      <c r="E17" s="3" t="s">
        <v>1781</v>
      </c>
      <c r="F17" s="407" t="s">
        <v>4486</v>
      </c>
      <c r="G17" s="440" t="s">
        <v>4109</v>
      </c>
      <c r="H17" s="407" t="s">
        <v>4307</v>
      </c>
      <c r="I17" s="407" t="s">
        <v>3788</v>
      </c>
      <c r="J17" s="387" t="s">
        <v>4639</v>
      </c>
      <c r="K17" s="387">
        <v>1</v>
      </c>
      <c r="L17" s="387">
        <v>0</v>
      </c>
      <c r="M17" s="387">
        <f t="shared" si="0"/>
        <v>1</v>
      </c>
      <c r="N17" s="442">
        <f t="shared" si="1"/>
        <v>0</v>
      </c>
      <c r="O17" s="387" t="s">
        <v>1358</v>
      </c>
      <c r="P17" s="459">
        <v>0</v>
      </c>
      <c r="Q17" s="459"/>
      <c r="R17" s="456">
        <v>0</v>
      </c>
      <c r="S17" s="456">
        <v>26.664000000000001</v>
      </c>
      <c r="T17" s="410"/>
      <c r="U17" s="411">
        <v>0</v>
      </c>
      <c r="V17" s="411">
        <v>0</v>
      </c>
      <c r="W17" s="411">
        <v>0</v>
      </c>
      <c r="X17" s="411"/>
      <c r="Y17" s="411"/>
      <c r="Z17" s="412">
        <f t="shared" si="2"/>
        <v>0</v>
      </c>
      <c r="AA17" s="456">
        <f t="shared" si="3"/>
        <v>0</v>
      </c>
      <c r="AB17" s="456">
        <v>0</v>
      </c>
      <c r="AC17" s="2"/>
      <c r="AD17" s="4"/>
      <c r="AE17" s="5"/>
      <c r="AF17" s="428"/>
    </row>
    <row r="18" spans="1:32" x14ac:dyDescent="0.25">
      <c r="A18" s="1" t="s">
        <v>2469</v>
      </c>
      <c r="B18" s="3" t="s">
        <v>1368</v>
      </c>
      <c r="C18" s="3" t="s">
        <v>1247</v>
      </c>
      <c r="D18" s="407" t="s">
        <v>1429</v>
      </c>
      <c r="E18" s="3" t="s">
        <v>1782</v>
      </c>
      <c r="F18" s="407" t="s">
        <v>4487</v>
      </c>
      <c r="G18" s="440" t="s">
        <v>4109</v>
      </c>
      <c r="H18" s="407" t="s">
        <v>4308</v>
      </c>
      <c r="I18" s="407" t="s">
        <v>3789</v>
      </c>
      <c r="J18" s="387" t="s">
        <v>4640</v>
      </c>
      <c r="K18" s="387">
        <v>1</v>
      </c>
      <c r="L18" s="387">
        <v>0</v>
      </c>
      <c r="M18" s="387">
        <f t="shared" si="0"/>
        <v>1</v>
      </c>
      <c r="N18" s="442">
        <f t="shared" si="1"/>
        <v>0</v>
      </c>
      <c r="O18" s="387" t="s">
        <v>1358</v>
      </c>
      <c r="P18" s="459">
        <v>0</v>
      </c>
      <c r="Q18" s="459"/>
      <c r="R18" s="456">
        <v>0</v>
      </c>
      <c r="S18" s="456">
        <v>26.664000000000001</v>
      </c>
      <c r="T18" s="410"/>
      <c r="U18" s="411">
        <v>0</v>
      </c>
      <c r="V18" s="411">
        <v>0</v>
      </c>
      <c r="W18" s="411">
        <v>0</v>
      </c>
      <c r="X18" s="411"/>
      <c r="Y18" s="411"/>
      <c r="Z18" s="412">
        <f t="shared" si="2"/>
        <v>0</v>
      </c>
      <c r="AA18" s="456">
        <f t="shared" si="3"/>
        <v>0</v>
      </c>
      <c r="AB18" s="456">
        <v>0</v>
      </c>
      <c r="AC18" s="2"/>
      <c r="AD18" s="4"/>
      <c r="AE18" s="5"/>
      <c r="AF18" s="428"/>
    </row>
    <row r="19" spans="1:32" x14ac:dyDescent="0.25">
      <c r="A19" s="1" t="s">
        <v>2470</v>
      </c>
      <c r="B19" s="3" t="s">
        <v>1368</v>
      </c>
      <c r="C19" s="3" t="s">
        <v>1247</v>
      </c>
      <c r="D19" s="407" t="s">
        <v>1430</v>
      </c>
      <c r="E19" s="3" t="s">
        <v>1783</v>
      </c>
      <c r="F19" s="407" t="s">
        <v>4488</v>
      </c>
      <c r="G19" s="440" t="s">
        <v>4109</v>
      </c>
      <c r="H19" s="407" t="s">
        <v>4309</v>
      </c>
      <c r="I19" s="407" t="s">
        <v>3790</v>
      </c>
      <c r="J19" s="387" t="s">
        <v>4641</v>
      </c>
      <c r="K19" s="387">
        <v>1</v>
      </c>
      <c r="L19" s="387">
        <v>0</v>
      </c>
      <c r="M19" s="387">
        <f t="shared" si="0"/>
        <v>1</v>
      </c>
      <c r="N19" s="442">
        <f t="shared" si="1"/>
        <v>0</v>
      </c>
      <c r="O19" s="387" t="s">
        <v>1358</v>
      </c>
      <c r="P19" s="459">
        <v>0</v>
      </c>
      <c r="Q19" s="459"/>
      <c r="R19" s="456">
        <v>0</v>
      </c>
      <c r="S19" s="456">
        <v>26.664000000000001</v>
      </c>
      <c r="T19" s="410"/>
      <c r="U19" s="411">
        <v>0</v>
      </c>
      <c r="V19" s="411">
        <v>0</v>
      </c>
      <c r="W19" s="411">
        <v>0</v>
      </c>
      <c r="X19" s="411"/>
      <c r="Y19" s="411"/>
      <c r="Z19" s="412">
        <f t="shared" si="2"/>
        <v>0</v>
      </c>
      <c r="AA19" s="456">
        <f t="shared" si="3"/>
        <v>0</v>
      </c>
      <c r="AB19" s="456">
        <v>0</v>
      </c>
      <c r="AC19" s="2"/>
      <c r="AD19" s="4"/>
      <c r="AE19" s="5"/>
      <c r="AF19" s="428"/>
    </row>
    <row r="20" spans="1:32" x14ac:dyDescent="0.25">
      <c r="A20" s="1" t="s">
        <v>2471</v>
      </c>
      <c r="B20" s="3" t="s">
        <v>1368</v>
      </c>
      <c r="C20" s="3" t="s">
        <v>1247</v>
      </c>
      <c r="D20" s="407" t="s">
        <v>1431</v>
      </c>
      <c r="E20" s="3" t="s">
        <v>1784</v>
      </c>
      <c r="F20" s="407" t="s">
        <v>4489</v>
      </c>
      <c r="G20" s="440" t="s">
        <v>4109</v>
      </c>
      <c r="H20" s="407" t="s">
        <v>4310</v>
      </c>
      <c r="I20" s="407" t="s">
        <v>3791</v>
      </c>
      <c r="J20" s="387" t="s">
        <v>4642</v>
      </c>
      <c r="K20" s="387">
        <v>1</v>
      </c>
      <c r="L20" s="387">
        <v>0</v>
      </c>
      <c r="M20" s="387">
        <f t="shared" si="0"/>
        <v>1</v>
      </c>
      <c r="N20" s="442">
        <f t="shared" si="1"/>
        <v>0</v>
      </c>
      <c r="O20" s="387" t="s">
        <v>1358</v>
      </c>
      <c r="P20" s="459">
        <v>0</v>
      </c>
      <c r="Q20" s="459"/>
      <c r="R20" s="456">
        <v>0</v>
      </c>
      <c r="S20" s="456">
        <v>26.664000000000001</v>
      </c>
      <c r="T20" s="410"/>
      <c r="U20" s="411">
        <v>0</v>
      </c>
      <c r="V20" s="411">
        <v>0</v>
      </c>
      <c r="W20" s="411">
        <v>0</v>
      </c>
      <c r="X20" s="411"/>
      <c r="Y20" s="411"/>
      <c r="Z20" s="412">
        <f t="shared" si="2"/>
        <v>0</v>
      </c>
      <c r="AA20" s="456">
        <f t="shared" si="3"/>
        <v>0</v>
      </c>
      <c r="AB20" s="456">
        <v>0</v>
      </c>
      <c r="AC20" s="2"/>
      <c r="AD20" s="4"/>
      <c r="AE20" s="5"/>
      <c r="AF20" s="428"/>
    </row>
    <row r="21" spans="1:32" x14ac:dyDescent="0.25">
      <c r="A21" s="1" t="s">
        <v>2472</v>
      </c>
      <c r="B21" s="3" t="s">
        <v>1368</v>
      </c>
      <c r="C21" s="3" t="s">
        <v>1247</v>
      </c>
      <c r="D21" s="407" t="s">
        <v>1425</v>
      </c>
      <c r="E21" s="3" t="s">
        <v>1785</v>
      </c>
      <c r="F21" s="407" t="s">
        <v>4479</v>
      </c>
      <c r="G21" s="440" t="s">
        <v>4109</v>
      </c>
      <c r="H21" s="407" t="s">
        <v>4300</v>
      </c>
      <c r="I21" s="407" t="s">
        <v>3781</v>
      </c>
      <c r="J21" s="387" t="s">
        <v>4643</v>
      </c>
      <c r="K21" s="387">
        <v>1</v>
      </c>
      <c r="L21" s="387">
        <v>0</v>
      </c>
      <c r="M21" s="387">
        <f t="shared" si="0"/>
        <v>1</v>
      </c>
      <c r="N21" s="442">
        <f t="shared" si="1"/>
        <v>0</v>
      </c>
      <c r="O21" s="387" t="s">
        <v>1358</v>
      </c>
      <c r="P21" s="459">
        <v>0</v>
      </c>
      <c r="Q21" s="459"/>
      <c r="R21" s="456">
        <v>0</v>
      </c>
      <c r="S21" s="456">
        <v>43.453000000000003</v>
      </c>
      <c r="T21" s="410"/>
      <c r="U21" s="411">
        <v>1</v>
      </c>
      <c r="V21" s="411">
        <v>1</v>
      </c>
      <c r="W21" s="411">
        <v>1</v>
      </c>
      <c r="X21" s="411"/>
      <c r="Y21" s="411"/>
      <c r="Z21" s="412">
        <f t="shared" si="2"/>
        <v>0</v>
      </c>
      <c r="AA21" s="456">
        <f t="shared" si="3"/>
        <v>0</v>
      </c>
      <c r="AB21" s="456">
        <v>0</v>
      </c>
      <c r="AC21" s="2"/>
      <c r="AD21" s="4"/>
      <c r="AE21" s="5"/>
      <c r="AF21" s="428"/>
    </row>
    <row r="22" spans="1:32" x14ac:dyDescent="0.25">
      <c r="A22" s="1" t="s">
        <v>2473</v>
      </c>
      <c r="B22" s="3" t="s">
        <v>1368</v>
      </c>
      <c r="C22" s="3" t="s">
        <v>1247</v>
      </c>
      <c r="D22" s="407" t="s">
        <v>1433</v>
      </c>
      <c r="E22" s="3" t="s">
        <v>1786</v>
      </c>
      <c r="F22" s="407" t="s">
        <v>4490</v>
      </c>
      <c r="G22" s="440" t="s">
        <v>4109</v>
      </c>
      <c r="H22" s="407" t="s">
        <v>4311</v>
      </c>
      <c r="I22" s="407" t="s">
        <v>3792</v>
      </c>
      <c r="J22" s="387" t="s">
        <v>4644</v>
      </c>
      <c r="K22" s="387">
        <v>2</v>
      </c>
      <c r="L22" s="387">
        <v>0</v>
      </c>
      <c r="M22" s="387">
        <f t="shared" si="0"/>
        <v>2</v>
      </c>
      <c r="N22" s="442">
        <f t="shared" si="1"/>
        <v>0</v>
      </c>
      <c r="O22" s="387" t="s">
        <v>1358</v>
      </c>
      <c r="P22" s="459">
        <v>0</v>
      </c>
      <c r="Q22" s="459"/>
      <c r="R22" s="456">
        <v>0</v>
      </c>
      <c r="S22" s="456">
        <v>39.878</v>
      </c>
      <c r="T22" s="410"/>
      <c r="U22" s="411">
        <v>0</v>
      </c>
      <c r="V22" s="411">
        <v>0</v>
      </c>
      <c r="W22" s="411">
        <v>0</v>
      </c>
      <c r="X22" s="411"/>
      <c r="Y22" s="411"/>
      <c r="Z22" s="412">
        <f t="shared" si="2"/>
        <v>0</v>
      </c>
      <c r="AA22" s="456">
        <f t="shared" si="3"/>
        <v>0</v>
      </c>
      <c r="AB22" s="456">
        <v>0</v>
      </c>
      <c r="AC22" s="2"/>
      <c r="AD22" s="4"/>
      <c r="AE22" s="5"/>
      <c r="AF22" s="428"/>
    </row>
    <row r="23" spans="1:32" x14ac:dyDescent="0.25">
      <c r="A23" s="1" t="s">
        <v>2474</v>
      </c>
      <c r="B23" s="3" t="s">
        <v>1368</v>
      </c>
      <c r="C23" s="3" t="s">
        <v>1247</v>
      </c>
      <c r="D23" s="407" t="s">
        <v>3236</v>
      </c>
      <c r="E23" s="3" t="s">
        <v>1787</v>
      </c>
      <c r="F23" s="407" t="s">
        <v>4491</v>
      </c>
      <c r="G23" s="440" t="s">
        <v>4109</v>
      </c>
      <c r="H23" s="407" t="s">
        <v>4312</v>
      </c>
      <c r="I23" s="407" t="s">
        <v>3793</v>
      </c>
      <c r="J23" s="387" t="s">
        <v>4645</v>
      </c>
      <c r="K23" s="387">
        <v>1</v>
      </c>
      <c r="L23" s="387">
        <v>0</v>
      </c>
      <c r="M23" s="387">
        <f t="shared" si="0"/>
        <v>1</v>
      </c>
      <c r="N23" s="442">
        <f t="shared" si="1"/>
        <v>0</v>
      </c>
      <c r="O23" s="387" t="s">
        <v>1358</v>
      </c>
      <c r="P23" s="459">
        <v>0</v>
      </c>
      <c r="Q23" s="459"/>
      <c r="R23" s="456">
        <v>0</v>
      </c>
      <c r="S23" s="456">
        <v>2.3170000000000002</v>
      </c>
      <c r="T23" s="410"/>
      <c r="U23" s="411">
        <v>0</v>
      </c>
      <c r="V23" s="411">
        <v>0</v>
      </c>
      <c r="W23" s="411">
        <v>0</v>
      </c>
      <c r="X23" s="411"/>
      <c r="Y23" s="411"/>
      <c r="Z23" s="412">
        <f t="shared" si="2"/>
        <v>0</v>
      </c>
      <c r="AA23" s="456">
        <f t="shared" si="3"/>
        <v>0</v>
      </c>
      <c r="AB23" s="456">
        <v>0</v>
      </c>
      <c r="AC23" s="2"/>
      <c r="AD23" s="4"/>
      <c r="AE23" s="5"/>
      <c r="AF23" s="428"/>
    </row>
    <row r="24" spans="1:32" x14ac:dyDescent="0.25">
      <c r="A24" s="1" t="s">
        <v>2475</v>
      </c>
      <c r="B24" s="3" t="s">
        <v>1368</v>
      </c>
      <c r="C24" s="3" t="s">
        <v>1247</v>
      </c>
      <c r="D24" s="407" t="s">
        <v>3234</v>
      </c>
      <c r="E24" s="3" t="s">
        <v>1788</v>
      </c>
      <c r="F24" s="407" t="s">
        <v>4492</v>
      </c>
      <c r="G24" s="440" t="s">
        <v>4109</v>
      </c>
      <c r="H24" s="407" t="s">
        <v>4313</v>
      </c>
      <c r="I24" s="407" t="s">
        <v>3794</v>
      </c>
      <c r="J24" s="387" t="s">
        <v>4646</v>
      </c>
      <c r="K24" s="387">
        <v>1</v>
      </c>
      <c r="L24" s="387">
        <v>0</v>
      </c>
      <c r="M24" s="387">
        <f t="shared" si="0"/>
        <v>1</v>
      </c>
      <c r="N24" s="442">
        <f t="shared" si="1"/>
        <v>0</v>
      </c>
      <c r="O24" s="387" t="s">
        <v>1358</v>
      </c>
      <c r="P24" s="459">
        <v>0</v>
      </c>
      <c r="Q24" s="459"/>
      <c r="R24" s="456">
        <v>0</v>
      </c>
      <c r="S24" s="456">
        <v>25.16</v>
      </c>
      <c r="T24" s="410"/>
      <c r="U24" s="411">
        <v>0</v>
      </c>
      <c r="V24" s="411">
        <v>0</v>
      </c>
      <c r="W24" s="411">
        <v>0</v>
      </c>
      <c r="X24" s="411"/>
      <c r="Y24" s="411"/>
      <c r="Z24" s="412">
        <f t="shared" si="2"/>
        <v>0</v>
      </c>
      <c r="AA24" s="456">
        <f t="shared" si="3"/>
        <v>0</v>
      </c>
      <c r="AB24" s="456">
        <v>0</v>
      </c>
      <c r="AC24" s="2"/>
      <c r="AD24" s="4"/>
      <c r="AE24" s="5"/>
      <c r="AF24" s="428"/>
    </row>
    <row r="25" spans="1:32" x14ac:dyDescent="0.25">
      <c r="A25" s="1" t="s">
        <v>2476</v>
      </c>
      <c r="B25" s="3" t="s">
        <v>1368</v>
      </c>
      <c r="C25" s="3" t="s">
        <v>1247</v>
      </c>
      <c r="D25" s="407" t="s">
        <v>1432</v>
      </c>
      <c r="E25" s="3" t="s">
        <v>1789</v>
      </c>
      <c r="F25" s="407" t="s">
        <v>4483</v>
      </c>
      <c r="G25" s="440" t="s">
        <v>4109</v>
      </c>
      <c r="H25" s="407" t="s">
        <v>4304</v>
      </c>
      <c r="I25" s="407" t="s">
        <v>3785</v>
      </c>
      <c r="J25" s="387" t="s">
        <v>4635</v>
      </c>
      <c r="K25" s="387">
        <v>1</v>
      </c>
      <c r="L25" s="387">
        <v>0</v>
      </c>
      <c r="M25" s="387">
        <f t="shared" si="0"/>
        <v>1</v>
      </c>
      <c r="N25" s="442">
        <f t="shared" si="1"/>
        <v>0</v>
      </c>
      <c r="O25" s="387" t="s">
        <v>1358</v>
      </c>
      <c r="P25" s="459">
        <v>0</v>
      </c>
      <c r="Q25" s="459"/>
      <c r="R25" s="456">
        <v>0</v>
      </c>
      <c r="S25" s="456">
        <v>19.939</v>
      </c>
      <c r="T25" s="410"/>
      <c r="U25" s="411">
        <v>0</v>
      </c>
      <c r="V25" s="411">
        <v>0</v>
      </c>
      <c r="W25" s="411">
        <v>0</v>
      </c>
      <c r="X25" s="411"/>
      <c r="Y25" s="411"/>
      <c r="Z25" s="412">
        <f t="shared" si="2"/>
        <v>0</v>
      </c>
      <c r="AA25" s="456">
        <f t="shared" si="3"/>
        <v>0</v>
      </c>
      <c r="AB25" s="456">
        <v>0</v>
      </c>
      <c r="AC25" s="2"/>
      <c r="AD25" s="4"/>
      <c r="AE25" s="5"/>
      <c r="AF25" s="428"/>
    </row>
    <row r="26" spans="1:32" x14ac:dyDescent="0.25">
      <c r="A26" s="1" t="s">
        <v>2477</v>
      </c>
      <c r="B26" s="3" t="s">
        <v>1368</v>
      </c>
      <c r="C26" s="3" t="s">
        <v>1247</v>
      </c>
      <c r="D26" s="407" t="s">
        <v>1425</v>
      </c>
      <c r="E26" s="3" t="s">
        <v>1790</v>
      </c>
      <c r="F26" s="407" t="s">
        <v>4479</v>
      </c>
      <c r="G26" s="440" t="s">
        <v>4109</v>
      </c>
      <c r="H26" s="407" t="s">
        <v>4300</v>
      </c>
      <c r="I26" s="407" t="s">
        <v>3781</v>
      </c>
      <c r="J26" s="387" t="s">
        <v>4643</v>
      </c>
      <c r="K26" s="387">
        <v>1</v>
      </c>
      <c r="L26" s="387">
        <v>0</v>
      </c>
      <c r="M26" s="387">
        <f t="shared" si="0"/>
        <v>1</v>
      </c>
      <c r="N26" s="442">
        <f t="shared" si="1"/>
        <v>0</v>
      </c>
      <c r="O26" s="387" t="s">
        <v>1358</v>
      </c>
      <c r="P26" s="459">
        <v>0</v>
      </c>
      <c r="Q26" s="459"/>
      <c r="R26" s="456">
        <v>0</v>
      </c>
      <c r="S26" s="456">
        <v>19.939</v>
      </c>
      <c r="T26" s="410"/>
      <c r="U26" s="411">
        <v>1</v>
      </c>
      <c r="V26" s="411">
        <v>1</v>
      </c>
      <c r="W26" s="411">
        <v>1</v>
      </c>
      <c r="X26" s="411"/>
      <c r="Y26" s="411"/>
      <c r="Z26" s="412">
        <f t="shared" si="2"/>
        <v>0</v>
      </c>
      <c r="AA26" s="456">
        <f t="shared" si="3"/>
        <v>0</v>
      </c>
      <c r="AB26" s="456">
        <v>0</v>
      </c>
      <c r="AC26" s="2"/>
      <c r="AD26" s="4"/>
      <c r="AE26" s="5"/>
      <c r="AF26" s="428"/>
    </row>
    <row r="27" spans="1:32" x14ac:dyDescent="0.25">
      <c r="A27" s="1" t="s">
        <v>2478</v>
      </c>
      <c r="B27" s="3" t="s">
        <v>1368</v>
      </c>
      <c r="C27" s="3" t="s">
        <v>1247</v>
      </c>
      <c r="D27" s="407" t="s">
        <v>1426</v>
      </c>
      <c r="E27" s="3" t="s">
        <v>1791</v>
      </c>
      <c r="F27" s="407" t="s">
        <v>4480</v>
      </c>
      <c r="G27" s="440" t="s">
        <v>4109</v>
      </c>
      <c r="H27" s="407" t="s">
        <v>4301</v>
      </c>
      <c r="I27" s="407" t="s">
        <v>3782</v>
      </c>
      <c r="J27" s="387" t="s">
        <v>4637</v>
      </c>
      <c r="K27" s="387">
        <v>1</v>
      </c>
      <c r="L27" s="387">
        <v>0</v>
      </c>
      <c r="M27" s="387">
        <f t="shared" si="0"/>
        <v>1</v>
      </c>
      <c r="N27" s="442">
        <f t="shared" si="1"/>
        <v>0</v>
      </c>
      <c r="O27" s="387" t="s">
        <v>1358</v>
      </c>
      <c r="P27" s="459">
        <v>0</v>
      </c>
      <c r="Q27" s="459"/>
      <c r="R27" s="456">
        <v>0</v>
      </c>
      <c r="S27" s="456">
        <v>19.939</v>
      </c>
      <c r="T27" s="410"/>
      <c r="U27" s="411">
        <v>0</v>
      </c>
      <c r="V27" s="411">
        <v>0</v>
      </c>
      <c r="W27" s="411">
        <v>0</v>
      </c>
      <c r="X27" s="411"/>
      <c r="Y27" s="411"/>
      <c r="Z27" s="412">
        <f t="shared" si="2"/>
        <v>0</v>
      </c>
      <c r="AA27" s="456">
        <f t="shared" si="3"/>
        <v>0</v>
      </c>
      <c r="AB27" s="456">
        <v>0</v>
      </c>
      <c r="AC27" s="2"/>
      <c r="AD27" s="4"/>
      <c r="AE27" s="5"/>
      <c r="AF27" s="428"/>
    </row>
    <row r="28" spans="1:32" x14ac:dyDescent="0.25">
      <c r="A28" s="1" t="s">
        <v>2479</v>
      </c>
      <c r="B28" s="3" t="s">
        <v>1368</v>
      </c>
      <c r="C28" s="3" t="s">
        <v>1247</v>
      </c>
      <c r="D28" s="407" t="s">
        <v>1427</v>
      </c>
      <c r="E28" s="3" t="s">
        <v>1792</v>
      </c>
      <c r="F28" s="407" t="s">
        <v>4485</v>
      </c>
      <c r="G28" s="440" t="s">
        <v>4109</v>
      </c>
      <c r="H28" s="407" t="s">
        <v>4306</v>
      </c>
      <c r="I28" s="407" t="s">
        <v>3787</v>
      </c>
      <c r="J28" s="387" t="s">
        <v>4638</v>
      </c>
      <c r="K28" s="387">
        <v>1</v>
      </c>
      <c r="L28" s="387">
        <v>0</v>
      </c>
      <c r="M28" s="387">
        <f t="shared" si="0"/>
        <v>1</v>
      </c>
      <c r="N28" s="442">
        <f t="shared" si="1"/>
        <v>0</v>
      </c>
      <c r="O28" s="387" t="s">
        <v>1358</v>
      </c>
      <c r="P28" s="459">
        <v>0</v>
      </c>
      <c r="Q28" s="459"/>
      <c r="R28" s="456">
        <v>0</v>
      </c>
      <c r="S28" s="456">
        <v>19.939</v>
      </c>
      <c r="T28" s="410"/>
      <c r="U28" s="411">
        <v>0</v>
      </c>
      <c r="V28" s="411">
        <v>0</v>
      </c>
      <c r="W28" s="411">
        <v>0</v>
      </c>
      <c r="X28" s="411"/>
      <c r="Y28" s="411"/>
      <c r="Z28" s="412">
        <f t="shared" si="2"/>
        <v>0</v>
      </c>
      <c r="AA28" s="456">
        <f t="shared" si="3"/>
        <v>0</v>
      </c>
      <c r="AB28" s="456">
        <v>0</v>
      </c>
      <c r="AC28" s="2"/>
      <c r="AD28" s="4"/>
      <c r="AE28" s="5"/>
      <c r="AF28" s="428"/>
    </row>
    <row r="29" spans="1:32" x14ac:dyDescent="0.25">
      <c r="A29" s="1" t="s">
        <v>2480</v>
      </c>
      <c r="B29" s="3" t="s">
        <v>1368</v>
      </c>
      <c r="C29" s="3" t="s">
        <v>1247</v>
      </c>
      <c r="D29" s="407" t="s">
        <v>1430</v>
      </c>
      <c r="E29" s="3" t="s">
        <v>1793</v>
      </c>
      <c r="F29" s="407" t="s">
        <v>4488</v>
      </c>
      <c r="G29" s="440" t="s">
        <v>4109</v>
      </c>
      <c r="H29" s="407" t="s">
        <v>4309</v>
      </c>
      <c r="I29" s="407" t="s">
        <v>3790</v>
      </c>
      <c r="J29" s="387" t="s">
        <v>4641</v>
      </c>
      <c r="K29" s="387">
        <v>1</v>
      </c>
      <c r="L29" s="387">
        <v>0</v>
      </c>
      <c r="M29" s="387">
        <f t="shared" si="0"/>
        <v>1</v>
      </c>
      <c r="N29" s="442">
        <f t="shared" si="1"/>
        <v>0</v>
      </c>
      <c r="O29" s="387" t="s">
        <v>1358</v>
      </c>
      <c r="P29" s="459">
        <v>0</v>
      </c>
      <c r="Q29" s="459"/>
      <c r="R29" s="456">
        <v>0</v>
      </c>
      <c r="S29" s="456">
        <v>19.939</v>
      </c>
      <c r="T29" s="410"/>
      <c r="U29" s="411">
        <v>0</v>
      </c>
      <c r="V29" s="411">
        <v>0</v>
      </c>
      <c r="W29" s="411">
        <v>0</v>
      </c>
      <c r="X29" s="411"/>
      <c r="Y29" s="411"/>
      <c r="Z29" s="412">
        <f t="shared" si="2"/>
        <v>0</v>
      </c>
      <c r="AA29" s="456">
        <f t="shared" si="3"/>
        <v>0</v>
      </c>
      <c r="AB29" s="456">
        <v>0</v>
      </c>
      <c r="AC29" s="2"/>
      <c r="AD29" s="4"/>
      <c r="AE29" s="5"/>
      <c r="AF29" s="428"/>
    </row>
    <row r="30" spans="1:32" x14ac:dyDescent="0.25">
      <c r="A30" s="1" t="s">
        <v>2481</v>
      </c>
      <c r="B30" s="3" t="s">
        <v>1368</v>
      </c>
      <c r="C30" s="3" t="s">
        <v>1247</v>
      </c>
      <c r="D30" s="407" t="s">
        <v>1431</v>
      </c>
      <c r="E30" s="3" t="s">
        <v>1794</v>
      </c>
      <c r="F30" s="407" t="s">
        <v>4489</v>
      </c>
      <c r="G30" s="440" t="s">
        <v>4109</v>
      </c>
      <c r="H30" s="407" t="s">
        <v>4310</v>
      </c>
      <c r="I30" s="407" t="s">
        <v>3791</v>
      </c>
      <c r="J30" s="387" t="s">
        <v>4642</v>
      </c>
      <c r="K30" s="387">
        <v>1</v>
      </c>
      <c r="L30" s="387">
        <v>0</v>
      </c>
      <c r="M30" s="387">
        <f t="shared" si="0"/>
        <v>1</v>
      </c>
      <c r="N30" s="442">
        <f t="shared" si="1"/>
        <v>0</v>
      </c>
      <c r="O30" s="387" t="s">
        <v>1358</v>
      </c>
      <c r="P30" s="459">
        <v>0</v>
      </c>
      <c r="Q30" s="459"/>
      <c r="R30" s="456">
        <v>0</v>
      </c>
      <c r="S30" s="456">
        <v>19.939</v>
      </c>
      <c r="T30" s="410"/>
      <c r="U30" s="411">
        <v>0</v>
      </c>
      <c r="V30" s="411">
        <v>0</v>
      </c>
      <c r="W30" s="411">
        <v>0</v>
      </c>
      <c r="X30" s="411"/>
      <c r="Y30" s="411"/>
      <c r="Z30" s="412">
        <f t="shared" si="2"/>
        <v>0</v>
      </c>
      <c r="AA30" s="456">
        <f t="shared" si="3"/>
        <v>0</v>
      </c>
      <c r="AB30" s="456">
        <v>0</v>
      </c>
      <c r="AC30" s="2"/>
      <c r="AD30" s="4"/>
      <c r="AE30" s="5"/>
      <c r="AF30" s="428"/>
    </row>
    <row r="31" spans="1:32" x14ac:dyDescent="0.25">
      <c r="A31" s="1" t="s">
        <v>2482</v>
      </c>
      <c r="B31" s="3" t="s">
        <v>1368</v>
      </c>
      <c r="C31" s="3" t="s">
        <v>1247</v>
      </c>
      <c r="D31" s="407" t="s">
        <v>1428</v>
      </c>
      <c r="E31" s="3" t="s">
        <v>1795</v>
      </c>
      <c r="F31" s="407" t="s">
        <v>4486</v>
      </c>
      <c r="G31" s="440" t="s">
        <v>4109</v>
      </c>
      <c r="H31" s="407" t="s">
        <v>4307</v>
      </c>
      <c r="I31" s="407" t="s">
        <v>3788</v>
      </c>
      <c r="J31" s="387" t="s">
        <v>4639</v>
      </c>
      <c r="K31" s="387">
        <v>1</v>
      </c>
      <c r="L31" s="387">
        <v>0</v>
      </c>
      <c r="M31" s="387">
        <f t="shared" si="0"/>
        <v>1</v>
      </c>
      <c r="N31" s="442">
        <f t="shared" si="1"/>
        <v>0</v>
      </c>
      <c r="O31" s="387" t="s">
        <v>1358</v>
      </c>
      <c r="P31" s="459">
        <v>0</v>
      </c>
      <c r="Q31" s="459"/>
      <c r="R31" s="456">
        <v>0</v>
      </c>
      <c r="S31" s="456">
        <v>19.939</v>
      </c>
      <c r="T31" s="410"/>
      <c r="U31" s="411">
        <v>0</v>
      </c>
      <c r="V31" s="411">
        <v>0</v>
      </c>
      <c r="W31" s="411">
        <v>0</v>
      </c>
      <c r="X31" s="411"/>
      <c r="Y31" s="411"/>
      <c r="Z31" s="412">
        <f t="shared" si="2"/>
        <v>0</v>
      </c>
      <c r="AA31" s="456">
        <f t="shared" si="3"/>
        <v>0</v>
      </c>
      <c r="AB31" s="456">
        <v>0</v>
      </c>
      <c r="AC31" s="2"/>
      <c r="AD31" s="4"/>
      <c r="AE31" s="5"/>
      <c r="AF31" s="428"/>
    </row>
    <row r="32" spans="1:32" x14ac:dyDescent="0.25">
      <c r="A32" s="1" t="s">
        <v>2483</v>
      </c>
      <c r="B32" s="3" t="s">
        <v>1368</v>
      </c>
      <c r="C32" s="3" t="s">
        <v>1247</v>
      </c>
      <c r="D32" s="407" t="s">
        <v>1429</v>
      </c>
      <c r="E32" s="3" t="s">
        <v>1796</v>
      </c>
      <c r="F32" s="407" t="s">
        <v>4487</v>
      </c>
      <c r="G32" s="440" t="s">
        <v>4109</v>
      </c>
      <c r="H32" s="407" t="s">
        <v>4308</v>
      </c>
      <c r="I32" s="407" t="s">
        <v>3789</v>
      </c>
      <c r="J32" s="387" t="s">
        <v>4640</v>
      </c>
      <c r="K32" s="387">
        <v>1</v>
      </c>
      <c r="L32" s="387">
        <v>0</v>
      </c>
      <c r="M32" s="387">
        <f t="shared" si="0"/>
        <v>1</v>
      </c>
      <c r="N32" s="442">
        <f t="shared" si="1"/>
        <v>0</v>
      </c>
      <c r="O32" s="387" t="s">
        <v>1358</v>
      </c>
      <c r="P32" s="459">
        <v>0</v>
      </c>
      <c r="Q32" s="459"/>
      <c r="R32" s="456">
        <v>0</v>
      </c>
      <c r="S32" s="456">
        <v>19.939</v>
      </c>
      <c r="T32" s="410"/>
      <c r="U32" s="411">
        <v>0</v>
      </c>
      <c r="V32" s="411">
        <v>0</v>
      </c>
      <c r="W32" s="411">
        <v>0</v>
      </c>
      <c r="X32" s="411"/>
      <c r="Y32" s="411"/>
      <c r="Z32" s="412">
        <f t="shared" si="2"/>
        <v>0</v>
      </c>
      <c r="AA32" s="456">
        <f t="shared" si="3"/>
        <v>0</v>
      </c>
      <c r="AB32" s="456">
        <v>0</v>
      </c>
      <c r="AC32" s="2"/>
      <c r="AD32" s="4"/>
      <c r="AE32" s="5"/>
      <c r="AF32" s="428"/>
    </row>
    <row r="33" spans="1:32" x14ac:dyDescent="0.25">
      <c r="A33" s="1" t="s">
        <v>2484</v>
      </c>
      <c r="B33" s="3" t="s">
        <v>1368</v>
      </c>
      <c r="C33" s="3" t="s">
        <v>1247</v>
      </c>
      <c r="D33" s="407" t="s">
        <v>1397</v>
      </c>
      <c r="E33" s="3" t="s">
        <v>1797</v>
      </c>
      <c r="F33" s="407" t="s">
        <v>4493</v>
      </c>
      <c r="G33" s="440" t="s">
        <v>4109</v>
      </c>
      <c r="H33" s="407" t="s">
        <v>4314</v>
      </c>
      <c r="I33" s="407" t="s">
        <v>3795</v>
      </c>
      <c r="J33" s="387" t="s">
        <v>4647</v>
      </c>
      <c r="K33" s="387">
        <v>1</v>
      </c>
      <c r="L33" s="387">
        <v>0</v>
      </c>
      <c r="M33" s="387">
        <f t="shared" si="0"/>
        <v>1</v>
      </c>
      <c r="N33" s="442">
        <f t="shared" si="1"/>
        <v>0</v>
      </c>
      <c r="O33" s="387" t="s">
        <v>1358</v>
      </c>
      <c r="P33" s="459">
        <v>0</v>
      </c>
      <c r="Q33" s="459"/>
      <c r="R33" s="456">
        <v>0</v>
      </c>
      <c r="S33" s="456">
        <v>58.475000000000001</v>
      </c>
      <c r="T33" s="410"/>
      <c r="U33" s="411">
        <v>1</v>
      </c>
      <c r="V33" s="411">
        <v>1</v>
      </c>
      <c r="W33" s="411">
        <v>1</v>
      </c>
      <c r="X33" s="411"/>
      <c r="Y33" s="411"/>
      <c r="Z33" s="412">
        <f t="shared" si="2"/>
        <v>0</v>
      </c>
      <c r="AA33" s="456">
        <f t="shared" si="3"/>
        <v>0</v>
      </c>
      <c r="AB33" s="456">
        <v>0</v>
      </c>
      <c r="AC33" s="2"/>
      <c r="AD33" s="4"/>
      <c r="AE33" s="5"/>
      <c r="AF33" s="428"/>
    </row>
    <row r="34" spans="1:32" x14ac:dyDescent="0.25">
      <c r="A34" s="1" t="s">
        <v>2485</v>
      </c>
      <c r="B34" s="3" t="s">
        <v>1368</v>
      </c>
      <c r="C34" s="3" t="s">
        <v>1247</v>
      </c>
      <c r="D34" s="407" t="s">
        <v>1377</v>
      </c>
      <c r="E34" s="3" t="s">
        <v>1798</v>
      </c>
      <c r="F34" s="407" t="s">
        <v>4494</v>
      </c>
      <c r="G34" s="440" t="s">
        <v>4109</v>
      </c>
      <c r="H34" s="407" t="s">
        <v>4315</v>
      </c>
      <c r="I34" s="407" t="s">
        <v>3749</v>
      </c>
      <c r="J34" s="387" t="s">
        <v>4648</v>
      </c>
      <c r="K34" s="387">
        <v>1</v>
      </c>
      <c r="L34" s="387">
        <v>0</v>
      </c>
      <c r="M34" s="387">
        <f t="shared" si="0"/>
        <v>1</v>
      </c>
      <c r="N34" s="442">
        <f t="shared" si="1"/>
        <v>0</v>
      </c>
      <c r="O34" s="387" t="s">
        <v>1358</v>
      </c>
      <c r="P34" s="459">
        <v>0</v>
      </c>
      <c r="Q34" s="459"/>
      <c r="R34" s="456">
        <v>0</v>
      </c>
      <c r="S34" s="456">
        <v>18.753</v>
      </c>
      <c r="T34" s="410"/>
      <c r="U34" s="411">
        <v>1</v>
      </c>
      <c r="V34" s="411">
        <v>1</v>
      </c>
      <c r="W34" s="411">
        <v>1</v>
      </c>
      <c r="X34" s="411"/>
      <c r="Y34" s="411"/>
      <c r="Z34" s="412">
        <f t="shared" si="2"/>
        <v>0</v>
      </c>
      <c r="AA34" s="456">
        <f t="shared" si="3"/>
        <v>0</v>
      </c>
      <c r="AB34" s="456">
        <v>0</v>
      </c>
      <c r="AC34" s="2"/>
      <c r="AD34" s="4"/>
      <c r="AE34" s="5"/>
      <c r="AF34" s="428"/>
    </row>
    <row r="35" spans="1:32" x14ac:dyDescent="0.25">
      <c r="A35" s="1" t="s">
        <v>2486</v>
      </c>
      <c r="B35" s="3" t="s">
        <v>1368</v>
      </c>
      <c r="C35" s="3" t="s">
        <v>1247</v>
      </c>
      <c r="D35" s="407" t="s">
        <v>1374</v>
      </c>
      <c r="E35" s="3" t="s">
        <v>1799</v>
      </c>
      <c r="F35" s="407" t="s">
        <v>4495</v>
      </c>
      <c r="G35" s="440" t="s">
        <v>4109</v>
      </c>
      <c r="H35" s="407" t="s">
        <v>4316</v>
      </c>
      <c r="I35" s="407" t="s">
        <v>3757</v>
      </c>
      <c r="J35" s="387" t="s">
        <v>4649</v>
      </c>
      <c r="K35" s="387">
        <v>1</v>
      </c>
      <c r="L35" s="387">
        <v>0</v>
      </c>
      <c r="M35" s="387">
        <f t="shared" si="0"/>
        <v>1</v>
      </c>
      <c r="N35" s="442">
        <f t="shared" si="1"/>
        <v>0</v>
      </c>
      <c r="O35" s="387" t="s">
        <v>1358</v>
      </c>
      <c r="P35" s="459">
        <v>0</v>
      </c>
      <c r="Q35" s="459"/>
      <c r="R35" s="456">
        <v>0</v>
      </c>
      <c r="S35" s="456">
        <v>18.753</v>
      </c>
      <c r="T35" s="410"/>
      <c r="U35" s="411">
        <v>1</v>
      </c>
      <c r="V35" s="411">
        <v>1</v>
      </c>
      <c r="W35" s="411">
        <v>1</v>
      </c>
      <c r="X35" s="411"/>
      <c r="Y35" s="411"/>
      <c r="Z35" s="412">
        <f t="shared" si="2"/>
        <v>0</v>
      </c>
      <c r="AA35" s="456">
        <f t="shared" si="3"/>
        <v>0</v>
      </c>
      <c r="AB35" s="456">
        <v>0</v>
      </c>
      <c r="AC35" s="2"/>
      <c r="AD35" s="4"/>
      <c r="AE35" s="5"/>
      <c r="AF35" s="428"/>
    </row>
    <row r="36" spans="1:32" x14ac:dyDescent="0.25">
      <c r="A36" s="1" t="s">
        <v>2487</v>
      </c>
      <c r="B36" s="3" t="s">
        <v>1368</v>
      </c>
      <c r="C36" s="3" t="s">
        <v>1247</v>
      </c>
      <c r="D36" s="407" t="s">
        <v>1398</v>
      </c>
      <c r="E36" s="3" t="s">
        <v>1800</v>
      </c>
      <c r="F36" s="407" t="s">
        <v>4496</v>
      </c>
      <c r="G36" s="440" t="s">
        <v>4109</v>
      </c>
      <c r="H36" s="407" t="s">
        <v>4317</v>
      </c>
      <c r="I36" s="407" t="s">
        <v>3796</v>
      </c>
      <c r="J36" s="387" t="s">
        <v>4650</v>
      </c>
      <c r="K36" s="387">
        <v>2</v>
      </c>
      <c r="L36" s="387">
        <v>0</v>
      </c>
      <c r="M36" s="387">
        <f t="shared" si="0"/>
        <v>2</v>
      </c>
      <c r="N36" s="442">
        <f t="shared" si="1"/>
        <v>0</v>
      </c>
      <c r="O36" s="387" t="s">
        <v>1358</v>
      </c>
      <c r="P36" s="459">
        <v>0</v>
      </c>
      <c r="Q36" s="459"/>
      <c r="R36" s="456">
        <v>0</v>
      </c>
      <c r="S36" s="456">
        <v>37.5</v>
      </c>
      <c r="T36" s="410"/>
      <c r="U36" s="411">
        <v>1</v>
      </c>
      <c r="V36" s="411">
        <v>1</v>
      </c>
      <c r="W36" s="411">
        <v>1</v>
      </c>
      <c r="X36" s="411"/>
      <c r="Y36" s="411"/>
      <c r="Z36" s="412">
        <f t="shared" si="2"/>
        <v>0</v>
      </c>
      <c r="AA36" s="456">
        <f t="shared" si="3"/>
        <v>0</v>
      </c>
      <c r="AB36" s="456">
        <v>0</v>
      </c>
      <c r="AC36" s="2"/>
      <c r="AD36" s="4"/>
      <c r="AE36" s="5"/>
      <c r="AF36" s="428"/>
    </row>
    <row r="37" spans="1:32" x14ac:dyDescent="0.25">
      <c r="A37" s="1" t="s">
        <v>2488</v>
      </c>
      <c r="B37" s="3" t="s">
        <v>1368</v>
      </c>
      <c r="C37" s="3" t="s">
        <v>1247</v>
      </c>
      <c r="D37" s="407" t="s">
        <v>1397</v>
      </c>
      <c r="E37" s="3" t="s">
        <v>1801</v>
      </c>
      <c r="F37" s="407" t="s">
        <v>4493</v>
      </c>
      <c r="G37" s="440" t="s">
        <v>4109</v>
      </c>
      <c r="H37" s="407" t="s">
        <v>4314</v>
      </c>
      <c r="I37" s="407" t="s">
        <v>3795</v>
      </c>
      <c r="J37" s="387" t="s">
        <v>4647</v>
      </c>
      <c r="K37" s="387">
        <v>1</v>
      </c>
      <c r="L37" s="387">
        <v>0</v>
      </c>
      <c r="M37" s="387">
        <f t="shared" si="0"/>
        <v>1</v>
      </c>
      <c r="N37" s="442">
        <f t="shared" si="1"/>
        <v>0</v>
      </c>
      <c r="O37" s="387" t="s">
        <v>1358</v>
      </c>
      <c r="P37" s="459">
        <v>0</v>
      </c>
      <c r="Q37" s="459"/>
      <c r="R37" s="456">
        <v>0</v>
      </c>
      <c r="S37" s="456">
        <v>18.753</v>
      </c>
      <c r="T37" s="410"/>
      <c r="U37" s="411">
        <v>1</v>
      </c>
      <c r="V37" s="411">
        <v>1</v>
      </c>
      <c r="W37" s="411">
        <v>1</v>
      </c>
      <c r="X37" s="411"/>
      <c r="Y37" s="411"/>
      <c r="Z37" s="412">
        <f t="shared" si="2"/>
        <v>0</v>
      </c>
      <c r="AA37" s="456">
        <f t="shared" si="3"/>
        <v>0</v>
      </c>
      <c r="AB37" s="456">
        <v>0</v>
      </c>
      <c r="AC37" s="2"/>
      <c r="AD37" s="4"/>
      <c r="AE37" s="5"/>
      <c r="AF37" s="428"/>
    </row>
    <row r="38" spans="1:32" x14ac:dyDescent="0.25">
      <c r="A38" s="1" t="s">
        <v>2489</v>
      </c>
      <c r="B38" s="3" t="s">
        <v>1368</v>
      </c>
      <c r="C38" s="3" t="s">
        <v>1247</v>
      </c>
      <c r="D38" s="407" t="s">
        <v>1397</v>
      </c>
      <c r="E38" s="3" t="s">
        <v>1802</v>
      </c>
      <c r="F38" s="407" t="s">
        <v>4493</v>
      </c>
      <c r="G38" s="440" t="s">
        <v>4109</v>
      </c>
      <c r="H38" s="407" t="s">
        <v>4314</v>
      </c>
      <c r="I38" s="407" t="s">
        <v>3795</v>
      </c>
      <c r="J38" s="387" t="s">
        <v>4647</v>
      </c>
      <c r="K38" s="387">
        <v>1</v>
      </c>
      <c r="L38" s="387">
        <v>0</v>
      </c>
      <c r="M38" s="387">
        <f t="shared" si="0"/>
        <v>1</v>
      </c>
      <c r="N38" s="442">
        <f t="shared" si="1"/>
        <v>0</v>
      </c>
      <c r="O38" s="387" t="s">
        <v>1358</v>
      </c>
      <c r="P38" s="459">
        <v>0</v>
      </c>
      <c r="Q38" s="459"/>
      <c r="R38" s="456">
        <v>0</v>
      </c>
      <c r="S38" s="456">
        <v>44.719000000000001</v>
      </c>
      <c r="T38" s="410"/>
      <c r="U38" s="411">
        <v>0</v>
      </c>
      <c r="V38" s="411">
        <v>0</v>
      </c>
      <c r="W38" s="411">
        <v>0</v>
      </c>
      <c r="X38" s="411"/>
      <c r="Y38" s="411"/>
      <c r="Z38" s="412">
        <f t="shared" si="2"/>
        <v>0</v>
      </c>
      <c r="AA38" s="456">
        <f t="shared" si="3"/>
        <v>0</v>
      </c>
      <c r="AB38" s="456">
        <v>0</v>
      </c>
      <c r="AC38" s="2"/>
      <c r="AD38" s="4"/>
      <c r="AE38" s="5"/>
      <c r="AF38" s="428"/>
    </row>
    <row r="39" spans="1:32" x14ac:dyDescent="0.25">
      <c r="A39" s="1" t="s">
        <v>2490</v>
      </c>
      <c r="B39" s="3" t="s">
        <v>1368</v>
      </c>
      <c r="C39" s="3" t="s">
        <v>1247</v>
      </c>
      <c r="D39" s="407" t="s">
        <v>1398</v>
      </c>
      <c r="E39" s="3" t="s">
        <v>1803</v>
      </c>
      <c r="F39" s="407" t="s">
        <v>4496</v>
      </c>
      <c r="G39" s="440" t="s">
        <v>4109</v>
      </c>
      <c r="H39" s="407" t="s">
        <v>4317</v>
      </c>
      <c r="I39" s="407" t="s">
        <v>3796</v>
      </c>
      <c r="J39" s="387" t="s">
        <v>4650</v>
      </c>
      <c r="K39" s="387">
        <v>1</v>
      </c>
      <c r="L39" s="387">
        <v>0</v>
      </c>
      <c r="M39" s="387">
        <f t="shared" si="0"/>
        <v>1</v>
      </c>
      <c r="N39" s="442">
        <f t="shared" si="1"/>
        <v>0</v>
      </c>
      <c r="O39" s="387" t="s">
        <v>1358</v>
      </c>
      <c r="P39" s="459">
        <v>0</v>
      </c>
      <c r="Q39" s="459"/>
      <c r="R39" s="456">
        <v>0</v>
      </c>
      <c r="S39" s="456">
        <v>44.719000000000001</v>
      </c>
      <c r="T39" s="410"/>
      <c r="U39" s="411">
        <v>1</v>
      </c>
      <c r="V39" s="411">
        <v>1</v>
      </c>
      <c r="W39" s="411">
        <v>1</v>
      </c>
      <c r="X39" s="411"/>
      <c r="Y39" s="411"/>
      <c r="Z39" s="412">
        <f t="shared" si="2"/>
        <v>0</v>
      </c>
      <c r="AA39" s="456">
        <f t="shared" si="3"/>
        <v>0</v>
      </c>
      <c r="AB39" s="456">
        <v>0</v>
      </c>
      <c r="AC39" s="2"/>
      <c r="AD39" s="4"/>
      <c r="AE39" s="5"/>
      <c r="AF39" s="428"/>
    </row>
    <row r="40" spans="1:32" x14ac:dyDescent="0.25">
      <c r="A40" s="1" t="s">
        <v>2491</v>
      </c>
      <c r="B40" s="3" t="s">
        <v>1368</v>
      </c>
      <c r="C40" s="3" t="s">
        <v>1247</v>
      </c>
      <c r="D40" s="407" t="s">
        <v>1374</v>
      </c>
      <c r="E40" s="3" t="s">
        <v>1804</v>
      </c>
      <c r="F40" s="407" t="s">
        <v>4495</v>
      </c>
      <c r="G40" s="440" t="s">
        <v>4109</v>
      </c>
      <c r="H40" s="407" t="s">
        <v>4316</v>
      </c>
      <c r="I40" s="407" t="s">
        <v>3757</v>
      </c>
      <c r="J40" s="387" t="s">
        <v>4649</v>
      </c>
      <c r="K40" s="387">
        <v>2</v>
      </c>
      <c r="L40" s="387">
        <v>0</v>
      </c>
      <c r="M40" s="387">
        <f t="shared" si="0"/>
        <v>2</v>
      </c>
      <c r="N40" s="442">
        <f t="shared" si="1"/>
        <v>0</v>
      </c>
      <c r="O40" s="387" t="s">
        <v>1358</v>
      </c>
      <c r="P40" s="459">
        <v>0</v>
      </c>
      <c r="Q40" s="459"/>
      <c r="R40" s="456">
        <v>0</v>
      </c>
      <c r="S40" s="456">
        <v>89.4</v>
      </c>
      <c r="T40" s="410"/>
      <c r="U40" s="411">
        <v>1</v>
      </c>
      <c r="V40" s="411">
        <v>1</v>
      </c>
      <c r="W40" s="411">
        <v>1</v>
      </c>
      <c r="X40" s="411"/>
      <c r="Y40" s="411"/>
      <c r="Z40" s="412">
        <f t="shared" si="2"/>
        <v>0</v>
      </c>
      <c r="AA40" s="456">
        <f>(U40*U$368*S40)+(V40*V$368*S40)+(W40*W$368*S40)</f>
        <v>0</v>
      </c>
      <c r="AB40" s="456">
        <v>0</v>
      </c>
      <c r="AC40" s="2"/>
      <c r="AD40" s="4"/>
      <c r="AE40" s="5"/>
      <c r="AF40" s="428"/>
    </row>
    <row r="41" spans="1:32" x14ac:dyDescent="0.25">
      <c r="A41" s="1" t="s">
        <v>2492</v>
      </c>
      <c r="B41" s="3" t="s">
        <v>1368</v>
      </c>
      <c r="C41" s="3" t="s">
        <v>1247</v>
      </c>
      <c r="D41" s="407" t="s">
        <v>3291</v>
      </c>
      <c r="E41" s="3" t="s">
        <v>1805</v>
      </c>
      <c r="F41" s="407" t="s">
        <v>4476</v>
      </c>
      <c r="G41" s="440" t="s">
        <v>4109</v>
      </c>
      <c r="H41" s="407" t="s">
        <v>4297</v>
      </c>
      <c r="I41" s="407" t="s">
        <v>3753</v>
      </c>
      <c r="J41" s="387" t="s">
        <v>4651</v>
      </c>
      <c r="K41" s="387">
        <v>1</v>
      </c>
      <c r="L41" s="387">
        <v>0</v>
      </c>
      <c r="M41" s="387">
        <f t="shared" si="0"/>
        <v>1</v>
      </c>
      <c r="N41" s="442">
        <f t="shared" si="1"/>
        <v>0</v>
      </c>
      <c r="O41" s="387" t="s">
        <v>1358</v>
      </c>
      <c r="P41" s="459">
        <v>0</v>
      </c>
      <c r="Q41" s="459"/>
      <c r="R41" s="456">
        <v>0</v>
      </c>
      <c r="S41" s="456">
        <v>45.944000000000003</v>
      </c>
      <c r="T41" s="410"/>
      <c r="U41" s="411">
        <v>1</v>
      </c>
      <c r="V41" s="411">
        <v>1</v>
      </c>
      <c r="W41" s="411">
        <v>1</v>
      </c>
      <c r="X41" s="411"/>
      <c r="Y41" s="411"/>
      <c r="Z41" s="412">
        <f t="shared" si="2"/>
        <v>0</v>
      </c>
      <c r="AA41" s="456">
        <f t="shared" si="3"/>
        <v>0</v>
      </c>
      <c r="AB41" s="456">
        <v>0</v>
      </c>
      <c r="AC41" s="2"/>
      <c r="AD41" s="4"/>
      <c r="AE41" s="5"/>
      <c r="AF41" s="428"/>
    </row>
    <row r="42" spans="1:32" x14ac:dyDescent="0.25">
      <c r="A42" s="1" t="s">
        <v>2493</v>
      </c>
      <c r="B42" s="3" t="s">
        <v>1368</v>
      </c>
      <c r="C42" s="3" t="s">
        <v>1247</v>
      </c>
      <c r="D42" s="407" t="s">
        <v>1381</v>
      </c>
      <c r="E42" s="3" t="s">
        <v>1806</v>
      </c>
      <c r="F42" s="407" t="s">
        <v>4497</v>
      </c>
      <c r="G42" s="440" t="s">
        <v>4109</v>
      </c>
      <c r="H42" s="407" t="s">
        <v>4318</v>
      </c>
      <c r="I42" s="407" t="s">
        <v>3751</v>
      </c>
      <c r="J42" s="387" t="s">
        <v>4631</v>
      </c>
      <c r="K42" s="387">
        <v>4</v>
      </c>
      <c r="L42" s="387">
        <v>0</v>
      </c>
      <c r="M42" s="387">
        <f t="shared" si="0"/>
        <v>4</v>
      </c>
      <c r="N42" s="442">
        <f t="shared" si="1"/>
        <v>0</v>
      </c>
      <c r="O42" s="387" t="s">
        <v>1358</v>
      </c>
      <c r="P42" s="459">
        <v>0</v>
      </c>
      <c r="Q42" s="459"/>
      <c r="R42" s="456">
        <v>0</v>
      </c>
      <c r="S42" s="456">
        <v>75.012</v>
      </c>
      <c r="T42" s="410"/>
      <c r="U42" s="411">
        <v>0</v>
      </c>
      <c r="V42" s="411">
        <v>0</v>
      </c>
      <c r="W42" s="411">
        <v>0</v>
      </c>
      <c r="X42" s="411"/>
      <c r="Y42" s="411"/>
      <c r="Z42" s="412">
        <f t="shared" si="2"/>
        <v>0</v>
      </c>
      <c r="AA42" s="456">
        <f t="shared" si="3"/>
        <v>0</v>
      </c>
      <c r="AB42" s="456">
        <v>0</v>
      </c>
      <c r="AC42" s="2"/>
      <c r="AD42" s="4"/>
      <c r="AE42" s="5"/>
      <c r="AF42" s="428"/>
    </row>
    <row r="43" spans="1:32" x14ac:dyDescent="0.25">
      <c r="A43" s="1" t="s">
        <v>2494</v>
      </c>
      <c r="B43" s="3" t="s">
        <v>1368</v>
      </c>
      <c r="C43" s="3" t="s">
        <v>1247</v>
      </c>
      <c r="D43" s="407" t="s">
        <v>1396</v>
      </c>
      <c r="E43" s="3" t="s">
        <v>1807</v>
      </c>
      <c r="F43" s="407" t="s">
        <v>4498</v>
      </c>
      <c r="G43" s="440" t="s">
        <v>4109</v>
      </c>
      <c r="H43" s="407" t="s">
        <v>4319</v>
      </c>
      <c r="I43" s="407" t="s">
        <v>3752</v>
      </c>
      <c r="J43" s="387" t="s">
        <v>4652</v>
      </c>
      <c r="K43" s="387">
        <v>4</v>
      </c>
      <c r="L43" s="387">
        <v>0</v>
      </c>
      <c r="M43" s="387">
        <f t="shared" si="0"/>
        <v>4</v>
      </c>
      <c r="N43" s="442">
        <f t="shared" si="1"/>
        <v>0</v>
      </c>
      <c r="O43" s="387" t="s">
        <v>1358</v>
      </c>
      <c r="P43" s="459">
        <v>0</v>
      </c>
      <c r="Q43" s="459"/>
      <c r="R43" s="456">
        <v>0</v>
      </c>
      <c r="S43" s="456">
        <v>75.012</v>
      </c>
      <c r="T43" s="410"/>
      <c r="U43" s="411">
        <v>1</v>
      </c>
      <c r="V43" s="411">
        <v>1</v>
      </c>
      <c r="W43" s="411">
        <v>1</v>
      </c>
      <c r="X43" s="411"/>
      <c r="Y43" s="411"/>
      <c r="Z43" s="412">
        <f t="shared" si="2"/>
        <v>0</v>
      </c>
      <c r="AA43" s="456">
        <f t="shared" si="3"/>
        <v>0</v>
      </c>
      <c r="AB43" s="456">
        <v>0</v>
      </c>
      <c r="AC43" s="2"/>
      <c r="AD43" s="4"/>
      <c r="AE43" s="5"/>
      <c r="AF43" s="428"/>
    </row>
    <row r="44" spans="1:32" x14ac:dyDescent="0.25">
      <c r="A44" s="1" t="s">
        <v>2495</v>
      </c>
      <c r="B44" s="3" t="s">
        <v>1368</v>
      </c>
      <c r="C44" s="3" t="s">
        <v>1247</v>
      </c>
      <c r="D44" s="407" t="s">
        <v>1399</v>
      </c>
      <c r="E44" s="3" t="s">
        <v>1808</v>
      </c>
      <c r="F44" s="407" t="s">
        <v>4499</v>
      </c>
      <c r="G44" s="440" t="s">
        <v>4109</v>
      </c>
      <c r="H44" s="407" t="s">
        <v>4320</v>
      </c>
      <c r="I44" s="407" t="s">
        <v>3758</v>
      </c>
      <c r="J44" s="387" t="s">
        <v>4653</v>
      </c>
      <c r="K44" s="387">
        <v>3</v>
      </c>
      <c r="L44" s="387">
        <v>0</v>
      </c>
      <c r="M44" s="387">
        <f t="shared" si="0"/>
        <v>3</v>
      </c>
      <c r="N44" s="442">
        <f t="shared" si="1"/>
        <v>0</v>
      </c>
      <c r="O44" s="387" t="s">
        <v>1358</v>
      </c>
      <c r="P44" s="459">
        <v>0</v>
      </c>
      <c r="Q44" s="459"/>
      <c r="R44" s="456">
        <v>0</v>
      </c>
      <c r="S44" s="456">
        <v>56.259</v>
      </c>
      <c r="T44" s="410"/>
      <c r="U44" s="411">
        <v>0</v>
      </c>
      <c r="V44" s="411">
        <v>0</v>
      </c>
      <c r="W44" s="411">
        <v>0</v>
      </c>
      <c r="X44" s="411"/>
      <c r="Y44" s="411"/>
      <c r="Z44" s="412">
        <f t="shared" si="2"/>
        <v>0</v>
      </c>
      <c r="AA44" s="456">
        <f t="shared" si="3"/>
        <v>0</v>
      </c>
      <c r="AB44" s="456">
        <v>0</v>
      </c>
      <c r="AC44" s="2"/>
      <c r="AD44" s="4"/>
      <c r="AE44" s="5"/>
      <c r="AF44" s="428"/>
    </row>
    <row r="45" spans="1:32" x14ac:dyDescent="0.25">
      <c r="A45" s="1" t="s">
        <v>2496</v>
      </c>
      <c r="B45" s="3" t="s">
        <v>1368</v>
      </c>
      <c r="C45" s="3" t="s">
        <v>1247</v>
      </c>
      <c r="D45" s="407" t="s">
        <v>3294</v>
      </c>
      <c r="E45" s="3" t="s">
        <v>1809</v>
      </c>
      <c r="F45" s="407" t="s">
        <v>4500</v>
      </c>
      <c r="G45" s="440" t="s">
        <v>4109</v>
      </c>
      <c r="H45" s="407" t="s">
        <v>4321</v>
      </c>
      <c r="I45" s="407" t="s">
        <v>3755</v>
      </c>
      <c r="J45" s="387" t="s">
        <v>4654</v>
      </c>
      <c r="K45" s="387">
        <v>1</v>
      </c>
      <c r="L45" s="387">
        <v>0</v>
      </c>
      <c r="M45" s="387">
        <f t="shared" si="0"/>
        <v>1</v>
      </c>
      <c r="N45" s="442">
        <f t="shared" si="1"/>
        <v>0</v>
      </c>
      <c r="O45" s="387" t="s">
        <v>1358</v>
      </c>
      <c r="P45" s="459">
        <v>0</v>
      </c>
      <c r="Q45" s="459"/>
      <c r="R45" s="456">
        <v>0</v>
      </c>
      <c r="S45" s="456">
        <v>2.085</v>
      </c>
      <c r="T45" s="410"/>
      <c r="U45" s="411">
        <v>1</v>
      </c>
      <c r="V45" s="411">
        <v>1</v>
      </c>
      <c r="W45" s="411">
        <v>1</v>
      </c>
      <c r="X45" s="411"/>
      <c r="Y45" s="411"/>
      <c r="Z45" s="412">
        <f t="shared" si="2"/>
        <v>0</v>
      </c>
      <c r="AA45" s="456">
        <f t="shared" si="3"/>
        <v>0</v>
      </c>
      <c r="AB45" s="456">
        <v>0</v>
      </c>
      <c r="AC45" s="2"/>
      <c r="AD45" s="4"/>
      <c r="AE45" s="5"/>
      <c r="AF45" s="428"/>
    </row>
    <row r="46" spans="1:32" x14ac:dyDescent="0.25">
      <c r="A46" s="1" t="s">
        <v>2497</v>
      </c>
      <c r="B46" s="3" t="s">
        <v>1368</v>
      </c>
      <c r="C46" s="3" t="s">
        <v>1247</v>
      </c>
      <c r="D46" s="407" t="s">
        <v>1374</v>
      </c>
      <c r="E46" s="3" t="s">
        <v>1810</v>
      </c>
      <c r="F46" s="407" t="s">
        <v>4495</v>
      </c>
      <c r="G46" s="440" t="s">
        <v>4109</v>
      </c>
      <c r="H46" s="407" t="s">
        <v>4316</v>
      </c>
      <c r="I46" s="407" t="s">
        <v>3757</v>
      </c>
      <c r="J46" s="387" t="s">
        <v>4649</v>
      </c>
      <c r="K46" s="387">
        <v>1</v>
      </c>
      <c r="L46" s="387">
        <v>0</v>
      </c>
      <c r="M46" s="387">
        <f t="shared" si="0"/>
        <v>1</v>
      </c>
      <c r="N46" s="442">
        <f t="shared" si="1"/>
        <v>0</v>
      </c>
      <c r="O46" s="387" t="s">
        <v>1358</v>
      </c>
      <c r="P46" s="459">
        <v>0</v>
      </c>
      <c r="Q46" s="459"/>
      <c r="R46" s="456">
        <v>0</v>
      </c>
      <c r="S46" s="456">
        <v>18.753</v>
      </c>
      <c r="T46" s="410"/>
      <c r="U46" s="411">
        <v>1</v>
      </c>
      <c r="V46" s="411">
        <v>1</v>
      </c>
      <c r="W46" s="411">
        <v>1</v>
      </c>
      <c r="X46" s="411"/>
      <c r="Y46" s="411"/>
      <c r="Z46" s="412">
        <f t="shared" si="2"/>
        <v>0</v>
      </c>
      <c r="AA46" s="456">
        <f t="shared" si="3"/>
        <v>0</v>
      </c>
      <c r="AB46" s="456">
        <v>0</v>
      </c>
      <c r="AC46" s="2"/>
      <c r="AD46" s="4"/>
      <c r="AE46" s="5"/>
      <c r="AF46" s="428"/>
    </row>
    <row r="47" spans="1:32" x14ac:dyDescent="0.25">
      <c r="A47" s="1" t="s">
        <v>2498</v>
      </c>
      <c r="B47" s="3" t="s">
        <v>1368</v>
      </c>
      <c r="C47" s="3" t="s">
        <v>1247</v>
      </c>
      <c r="D47" s="407" t="s">
        <v>3547</v>
      </c>
      <c r="E47" s="3" t="s">
        <v>1811</v>
      </c>
      <c r="F47" s="407" t="s">
        <v>4501</v>
      </c>
      <c r="G47" s="440" t="s">
        <v>4109</v>
      </c>
      <c r="H47" s="407" t="s">
        <v>4322</v>
      </c>
      <c r="I47" s="407" t="s">
        <v>3797</v>
      </c>
      <c r="J47" s="387" t="s">
        <v>4655</v>
      </c>
      <c r="K47" s="387">
        <v>1</v>
      </c>
      <c r="L47" s="387">
        <v>0</v>
      </c>
      <c r="M47" s="387">
        <f t="shared" si="0"/>
        <v>1</v>
      </c>
      <c r="N47" s="442">
        <f t="shared" si="1"/>
        <v>0</v>
      </c>
      <c r="O47" s="387" t="s">
        <v>1358</v>
      </c>
      <c r="P47" s="459">
        <v>0</v>
      </c>
      <c r="Q47" s="459"/>
      <c r="R47" s="456">
        <v>0</v>
      </c>
      <c r="S47" s="456">
        <v>19.329000000000001</v>
      </c>
      <c r="T47" s="410"/>
      <c r="U47" s="411">
        <v>0</v>
      </c>
      <c r="V47" s="411">
        <v>0</v>
      </c>
      <c r="W47" s="411">
        <v>0</v>
      </c>
      <c r="X47" s="411"/>
      <c r="Y47" s="411"/>
      <c r="Z47" s="412">
        <f t="shared" si="2"/>
        <v>0</v>
      </c>
      <c r="AA47" s="456">
        <f t="shared" si="3"/>
        <v>0</v>
      </c>
      <c r="AB47" s="456">
        <v>0</v>
      </c>
      <c r="AC47" s="2"/>
      <c r="AD47" s="4"/>
      <c r="AE47" s="5"/>
      <c r="AF47" s="428"/>
    </row>
    <row r="48" spans="1:32" x14ac:dyDescent="0.25">
      <c r="A48" s="1" t="s">
        <v>2499</v>
      </c>
      <c r="B48" s="3" t="s">
        <v>1368</v>
      </c>
      <c r="C48" s="3" t="s">
        <v>1247</v>
      </c>
      <c r="D48" s="407" t="s">
        <v>1432</v>
      </c>
      <c r="E48" s="3" t="s">
        <v>1812</v>
      </c>
      <c r="F48" s="407" t="s">
        <v>4483</v>
      </c>
      <c r="G48" s="440" t="s">
        <v>4109</v>
      </c>
      <c r="H48" s="407" t="s">
        <v>4304</v>
      </c>
      <c r="I48" s="407" t="s">
        <v>3785</v>
      </c>
      <c r="J48" s="387" t="s">
        <v>4635</v>
      </c>
      <c r="K48" s="387">
        <v>1</v>
      </c>
      <c r="L48" s="387">
        <v>0</v>
      </c>
      <c r="M48" s="387">
        <f t="shared" si="0"/>
        <v>1</v>
      </c>
      <c r="N48" s="442">
        <f t="shared" si="1"/>
        <v>0</v>
      </c>
      <c r="O48" s="387" t="s">
        <v>1358</v>
      </c>
      <c r="P48" s="459">
        <v>0</v>
      </c>
      <c r="Q48" s="459"/>
      <c r="R48" s="456">
        <v>0</v>
      </c>
      <c r="S48" s="456">
        <v>18.766999999999999</v>
      </c>
      <c r="T48" s="410"/>
      <c r="U48" s="411">
        <v>0</v>
      </c>
      <c r="V48" s="411">
        <v>0</v>
      </c>
      <c r="W48" s="411">
        <v>0</v>
      </c>
      <c r="X48" s="411"/>
      <c r="Y48" s="411"/>
      <c r="Z48" s="412">
        <f t="shared" si="2"/>
        <v>0</v>
      </c>
      <c r="AA48" s="456">
        <f t="shared" si="3"/>
        <v>0</v>
      </c>
      <c r="AB48" s="456">
        <v>0</v>
      </c>
      <c r="AC48" s="2"/>
      <c r="AD48" s="4"/>
      <c r="AE48" s="5"/>
      <c r="AF48" s="428"/>
    </row>
    <row r="49" spans="1:32" x14ac:dyDescent="0.25">
      <c r="A49" s="1" t="s">
        <v>2500</v>
      </c>
      <c r="B49" s="3" t="s">
        <v>1368</v>
      </c>
      <c r="C49" s="3" t="s">
        <v>1247</v>
      </c>
      <c r="D49" s="407" t="s">
        <v>1433</v>
      </c>
      <c r="E49" s="3" t="s">
        <v>1813</v>
      </c>
      <c r="F49" s="407" t="s">
        <v>4490</v>
      </c>
      <c r="G49" s="440" t="s">
        <v>4109</v>
      </c>
      <c r="H49" s="407" t="s">
        <v>4311</v>
      </c>
      <c r="I49" s="407" t="s">
        <v>3792</v>
      </c>
      <c r="J49" s="387" t="s">
        <v>4644</v>
      </c>
      <c r="K49" s="387">
        <v>1</v>
      </c>
      <c r="L49" s="387">
        <v>0</v>
      </c>
      <c r="M49" s="387">
        <f t="shared" si="0"/>
        <v>1</v>
      </c>
      <c r="N49" s="442">
        <f t="shared" si="1"/>
        <v>0</v>
      </c>
      <c r="O49" s="387" t="s">
        <v>1358</v>
      </c>
      <c r="P49" s="459">
        <v>0</v>
      </c>
      <c r="Q49" s="459"/>
      <c r="R49" s="456">
        <v>0</v>
      </c>
      <c r="S49" s="456">
        <v>18.766999999999999</v>
      </c>
      <c r="T49" s="410"/>
      <c r="U49" s="411">
        <v>0</v>
      </c>
      <c r="V49" s="411">
        <v>0</v>
      </c>
      <c r="W49" s="411">
        <v>0</v>
      </c>
      <c r="X49" s="411"/>
      <c r="Y49" s="411"/>
      <c r="Z49" s="412">
        <f t="shared" si="2"/>
        <v>0</v>
      </c>
      <c r="AA49" s="456">
        <f t="shared" si="3"/>
        <v>0</v>
      </c>
      <c r="AB49" s="456">
        <v>0</v>
      </c>
      <c r="AC49" s="2"/>
      <c r="AD49" s="4"/>
      <c r="AE49" s="5"/>
      <c r="AF49" s="428"/>
    </row>
    <row r="50" spans="1:32" x14ac:dyDescent="0.25">
      <c r="A50" s="1" t="s">
        <v>2501</v>
      </c>
      <c r="B50" s="3" t="s">
        <v>1368</v>
      </c>
      <c r="C50" s="3" t="s">
        <v>1247</v>
      </c>
      <c r="D50" s="407" t="s">
        <v>1427</v>
      </c>
      <c r="E50" s="3" t="s">
        <v>1814</v>
      </c>
      <c r="F50" s="407" t="s">
        <v>4485</v>
      </c>
      <c r="G50" s="440" t="s">
        <v>4109</v>
      </c>
      <c r="H50" s="407" t="s">
        <v>4306</v>
      </c>
      <c r="I50" s="407" t="s">
        <v>3787</v>
      </c>
      <c r="J50" s="387" t="s">
        <v>4638</v>
      </c>
      <c r="K50" s="387">
        <v>1</v>
      </c>
      <c r="L50" s="387">
        <v>0</v>
      </c>
      <c r="M50" s="387">
        <f t="shared" si="0"/>
        <v>1</v>
      </c>
      <c r="N50" s="442">
        <f t="shared" si="1"/>
        <v>0</v>
      </c>
      <c r="O50" s="387" t="s">
        <v>1358</v>
      </c>
      <c r="P50" s="459">
        <v>0</v>
      </c>
      <c r="Q50" s="459"/>
      <c r="R50" s="456">
        <v>0</v>
      </c>
      <c r="S50" s="456">
        <v>18.766999999999999</v>
      </c>
      <c r="T50" s="410"/>
      <c r="U50" s="411">
        <v>0</v>
      </c>
      <c r="V50" s="411">
        <v>0</v>
      </c>
      <c r="W50" s="411">
        <v>0</v>
      </c>
      <c r="X50" s="411"/>
      <c r="Y50" s="411"/>
      <c r="Z50" s="412">
        <f t="shared" si="2"/>
        <v>0</v>
      </c>
      <c r="AA50" s="456">
        <f t="shared" si="3"/>
        <v>0</v>
      </c>
      <c r="AB50" s="456">
        <v>0</v>
      </c>
      <c r="AC50" s="2"/>
      <c r="AD50" s="4"/>
      <c r="AE50" s="5"/>
      <c r="AF50" s="428"/>
    </row>
    <row r="51" spans="1:32" x14ac:dyDescent="0.25">
      <c r="A51" s="1" t="s">
        <v>2502</v>
      </c>
      <c r="B51" s="3" t="s">
        <v>1368</v>
      </c>
      <c r="C51" s="3" t="s">
        <v>1247</v>
      </c>
      <c r="D51" s="407" t="s">
        <v>1428</v>
      </c>
      <c r="E51" s="3" t="s">
        <v>1815</v>
      </c>
      <c r="F51" s="407" t="s">
        <v>4486</v>
      </c>
      <c r="G51" s="440" t="s">
        <v>4109</v>
      </c>
      <c r="H51" s="407" t="s">
        <v>4307</v>
      </c>
      <c r="I51" s="407" t="s">
        <v>3788</v>
      </c>
      <c r="J51" s="387" t="s">
        <v>4639</v>
      </c>
      <c r="K51" s="387">
        <v>1</v>
      </c>
      <c r="L51" s="387">
        <v>0</v>
      </c>
      <c r="M51" s="387">
        <f t="shared" si="0"/>
        <v>1</v>
      </c>
      <c r="N51" s="442">
        <f t="shared" si="1"/>
        <v>0</v>
      </c>
      <c r="O51" s="387" t="s">
        <v>1358</v>
      </c>
      <c r="P51" s="459">
        <v>0</v>
      </c>
      <c r="Q51" s="459"/>
      <c r="R51" s="456">
        <v>0</v>
      </c>
      <c r="S51" s="456">
        <v>18.766999999999999</v>
      </c>
      <c r="T51" s="410"/>
      <c r="U51" s="411">
        <v>0</v>
      </c>
      <c r="V51" s="411">
        <v>0</v>
      </c>
      <c r="W51" s="411">
        <v>0</v>
      </c>
      <c r="X51" s="411"/>
      <c r="Y51" s="411"/>
      <c r="Z51" s="412">
        <f t="shared" si="2"/>
        <v>0</v>
      </c>
      <c r="AA51" s="456">
        <f t="shared" si="3"/>
        <v>0</v>
      </c>
      <c r="AB51" s="456">
        <v>0</v>
      </c>
      <c r="AC51" s="2"/>
      <c r="AD51" s="4"/>
      <c r="AE51" s="5"/>
      <c r="AF51" s="428"/>
    </row>
    <row r="52" spans="1:32" x14ac:dyDescent="0.25">
      <c r="A52" s="1" t="s">
        <v>2503</v>
      </c>
      <c r="B52" s="3" t="s">
        <v>1368</v>
      </c>
      <c r="C52" s="3" t="s">
        <v>1247</v>
      </c>
      <c r="D52" s="407" t="s">
        <v>1429</v>
      </c>
      <c r="E52" s="3" t="s">
        <v>1816</v>
      </c>
      <c r="F52" s="407" t="s">
        <v>4487</v>
      </c>
      <c r="G52" s="440" t="s">
        <v>4109</v>
      </c>
      <c r="H52" s="407" t="s">
        <v>4308</v>
      </c>
      <c r="I52" s="407" t="s">
        <v>3789</v>
      </c>
      <c r="J52" s="387" t="s">
        <v>4640</v>
      </c>
      <c r="K52" s="387">
        <v>1</v>
      </c>
      <c r="L52" s="387">
        <v>0</v>
      </c>
      <c r="M52" s="387">
        <f t="shared" si="0"/>
        <v>1</v>
      </c>
      <c r="N52" s="442">
        <f t="shared" si="1"/>
        <v>0</v>
      </c>
      <c r="O52" s="387" t="s">
        <v>1358</v>
      </c>
      <c r="P52" s="459">
        <v>0</v>
      </c>
      <c r="Q52" s="459"/>
      <c r="R52" s="456">
        <v>0</v>
      </c>
      <c r="S52" s="456">
        <v>18.766999999999999</v>
      </c>
      <c r="T52" s="410"/>
      <c r="U52" s="411">
        <v>0</v>
      </c>
      <c r="V52" s="411">
        <v>0</v>
      </c>
      <c r="W52" s="411">
        <v>0</v>
      </c>
      <c r="X52" s="411"/>
      <c r="Y52" s="411"/>
      <c r="Z52" s="412">
        <f t="shared" si="2"/>
        <v>0</v>
      </c>
      <c r="AA52" s="456">
        <f t="shared" si="3"/>
        <v>0</v>
      </c>
      <c r="AB52" s="456">
        <v>0</v>
      </c>
      <c r="AC52" s="2"/>
      <c r="AD52" s="4"/>
      <c r="AE52" s="5"/>
      <c r="AF52" s="428"/>
    </row>
    <row r="53" spans="1:32" x14ac:dyDescent="0.25">
      <c r="A53" s="1" t="s">
        <v>2504</v>
      </c>
      <c r="B53" s="3" t="s">
        <v>1368</v>
      </c>
      <c r="C53" s="3" t="s">
        <v>1247</v>
      </c>
      <c r="D53" s="407" t="s">
        <v>1430</v>
      </c>
      <c r="E53" s="3" t="s">
        <v>1817</v>
      </c>
      <c r="F53" s="407" t="s">
        <v>4488</v>
      </c>
      <c r="G53" s="440" t="s">
        <v>4109</v>
      </c>
      <c r="H53" s="407" t="s">
        <v>4309</v>
      </c>
      <c r="I53" s="407" t="s">
        <v>3790</v>
      </c>
      <c r="J53" s="387" t="s">
        <v>4641</v>
      </c>
      <c r="K53" s="387">
        <v>1</v>
      </c>
      <c r="L53" s="387">
        <v>0</v>
      </c>
      <c r="M53" s="387">
        <f t="shared" si="0"/>
        <v>1</v>
      </c>
      <c r="N53" s="442">
        <f t="shared" si="1"/>
        <v>0</v>
      </c>
      <c r="O53" s="387" t="s">
        <v>1358</v>
      </c>
      <c r="P53" s="459">
        <v>0</v>
      </c>
      <c r="Q53" s="459"/>
      <c r="R53" s="456">
        <v>0</v>
      </c>
      <c r="S53" s="456">
        <v>18.766999999999999</v>
      </c>
      <c r="T53" s="410"/>
      <c r="U53" s="411">
        <v>0</v>
      </c>
      <c r="V53" s="411">
        <v>0</v>
      </c>
      <c r="W53" s="411">
        <v>0</v>
      </c>
      <c r="X53" s="411"/>
      <c r="Y53" s="411"/>
      <c r="Z53" s="412">
        <f t="shared" si="2"/>
        <v>0</v>
      </c>
      <c r="AA53" s="456">
        <f t="shared" si="3"/>
        <v>0</v>
      </c>
      <c r="AB53" s="456">
        <v>0</v>
      </c>
      <c r="AC53" s="2"/>
      <c r="AD53" s="4"/>
      <c r="AE53" s="5"/>
      <c r="AF53" s="428"/>
    </row>
    <row r="54" spans="1:32" x14ac:dyDescent="0.25">
      <c r="A54" s="1" t="s">
        <v>2505</v>
      </c>
      <c r="B54" s="3" t="s">
        <v>1368</v>
      </c>
      <c r="C54" s="3" t="s">
        <v>1247</v>
      </c>
      <c r="D54" s="407" t="s">
        <v>1431</v>
      </c>
      <c r="E54" s="3" t="s">
        <v>1818</v>
      </c>
      <c r="F54" s="407" t="s">
        <v>4489</v>
      </c>
      <c r="G54" s="440" t="s">
        <v>4109</v>
      </c>
      <c r="H54" s="407" t="s">
        <v>4310</v>
      </c>
      <c r="I54" s="407" t="s">
        <v>3791</v>
      </c>
      <c r="J54" s="387" t="s">
        <v>4642</v>
      </c>
      <c r="K54" s="387">
        <v>1</v>
      </c>
      <c r="L54" s="387">
        <v>0</v>
      </c>
      <c r="M54" s="387">
        <f t="shared" si="0"/>
        <v>1</v>
      </c>
      <c r="N54" s="442">
        <f t="shared" si="1"/>
        <v>0</v>
      </c>
      <c r="O54" s="387" t="s">
        <v>1358</v>
      </c>
      <c r="P54" s="459">
        <v>0</v>
      </c>
      <c r="Q54" s="459"/>
      <c r="R54" s="456">
        <v>0</v>
      </c>
      <c r="S54" s="456">
        <v>18.766999999999999</v>
      </c>
      <c r="T54" s="410"/>
      <c r="U54" s="411">
        <v>0</v>
      </c>
      <c r="V54" s="411">
        <v>0</v>
      </c>
      <c r="W54" s="411">
        <v>0</v>
      </c>
      <c r="X54" s="411"/>
      <c r="Y54" s="411"/>
      <c r="Z54" s="412">
        <f t="shared" si="2"/>
        <v>0</v>
      </c>
      <c r="AA54" s="456">
        <f t="shared" si="3"/>
        <v>0</v>
      </c>
      <c r="AB54" s="456">
        <v>0</v>
      </c>
      <c r="AC54" s="2"/>
      <c r="AD54" s="4"/>
      <c r="AE54" s="5"/>
      <c r="AF54" s="428"/>
    </row>
    <row r="55" spans="1:32" x14ac:dyDescent="0.25">
      <c r="A55" s="1" t="s">
        <v>2506</v>
      </c>
      <c r="B55" s="3" t="s">
        <v>1368</v>
      </c>
      <c r="C55" s="3" t="s">
        <v>1247</v>
      </c>
      <c r="D55" s="407" t="s">
        <v>3306</v>
      </c>
      <c r="E55" s="3" t="s">
        <v>1819</v>
      </c>
      <c r="F55" s="407" t="s">
        <v>4484</v>
      </c>
      <c r="G55" s="440" t="s">
        <v>4109</v>
      </c>
      <c r="H55" s="407" t="s">
        <v>4305</v>
      </c>
      <c r="I55" s="407" t="s">
        <v>3786</v>
      </c>
      <c r="J55" s="387" t="s">
        <v>4636</v>
      </c>
      <c r="K55" s="387">
        <v>1</v>
      </c>
      <c r="L55" s="387">
        <v>0</v>
      </c>
      <c r="M55" s="387">
        <f t="shared" si="0"/>
        <v>1</v>
      </c>
      <c r="N55" s="442">
        <f t="shared" si="1"/>
        <v>0</v>
      </c>
      <c r="O55" s="387" t="s">
        <v>1358</v>
      </c>
      <c r="P55" s="459">
        <v>0</v>
      </c>
      <c r="Q55" s="459"/>
      <c r="R55" s="456">
        <v>0</v>
      </c>
      <c r="S55" s="456">
        <v>32.073999999999998</v>
      </c>
      <c r="T55" s="410"/>
      <c r="U55" s="411">
        <v>0</v>
      </c>
      <c r="V55" s="411">
        <v>0</v>
      </c>
      <c r="W55" s="411">
        <v>0</v>
      </c>
      <c r="X55" s="411"/>
      <c r="Y55" s="411"/>
      <c r="Z55" s="412">
        <f t="shared" si="2"/>
        <v>0</v>
      </c>
      <c r="AA55" s="456">
        <f t="shared" si="3"/>
        <v>0</v>
      </c>
      <c r="AB55" s="456">
        <v>0</v>
      </c>
      <c r="AC55" s="2"/>
      <c r="AD55" s="4"/>
      <c r="AE55" s="5"/>
      <c r="AF55" s="428"/>
    </row>
    <row r="56" spans="1:32" x14ac:dyDescent="0.25">
      <c r="A56" s="1" t="s">
        <v>2507</v>
      </c>
      <c r="B56" s="3" t="s">
        <v>1368</v>
      </c>
      <c r="C56" s="3" t="s">
        <v>1247</v>
      </c>
      <c r="D56" s="407" t="s">
        <v>1432</v>
      </c>
      <c r="E56" s="3" t="s">
        <v>1820</v>
      </c>
      <c r="F56" s="407" t="s">
        <v>4483</v>
      </c>
      <c r="G56" s="440" t="s">
        <v>4109</v>
      </c>
      <c r="H56" s="407" t="s">
        <v>4304</v>
      </c>
      <c r="I56" s="407" t="s">
        <v>3785</v>
      </c>
      <c r="J56" s="387" t="s">
        <v>4635</v>
      </c>
      <c r="K56" s="387">
        <v>1</v>
      </c>
      <c r="L56" s="387">
        <v>0</v>
      </c>
      <c r="M56" s="387">
        <f t="shared" si="0"/>
        <v>1</v>
      </c>
      <c r="N56" s="442">
        <f t="shared" si="1"/>
        <v>0</v>
      </c>
      <c r="O56" s="387" t="s">
        <v>1358</v>
      </c>
      <c r="P56" s="459">
        <v>0</v>
      </c>
      <c r="Q56" s="459"/>
      <c r="R56" s="456">
        <v>0</v>
      </c>
      <c r="S56" s="456">
        <v>40.941000000000003</v>
      </c>
      <c r="T56" s="410"/>
      <c r="U56" s="411">
        <v>0</v>
      </c>
      <c r="V56" s="411">
        <v>0</v>
      </c>
      <c r="W56" s="411">
        <v>0</v>
      </c>
      <c r="X56" s="411"/>
      <c r="Y56" s="411"/>
      <c r="Z56" s="412">
        <f t="shared" si="2"/>
        <v>0</v>
      </c>
      <c r="AA56" s="456">
        <f t="shared" si="3"/>
        <v>0</v>
      </c>
      <c r="AB56" s="456">
        <v>0</v>
      </c>
      <c r="AC56" s="2"/>
      <c r="AD56" s="4"/>
      <c r="AE56" s="5"/>
      <c r="AF56" s="428"/>
    </row>
    <row r="57" spans="1:32" x14ac:dyDescent="0.25">
      <c r="A57" s="1" t="s">
        <v>2508</v>
      </c>
      <c r="B57" s="3" t="s">
        <v>1368</v>
      </c>
      <c r="C57" s="3" t="s">
        <v>1247</v>
      </c>
      <c r="D57" s="407" t="s">
        <v>3236</v>
      </c>
      <c r="E57" s="3" t="s">
        <v>1821</v>
      </c>
      <c r="F57" s="407" t="s">
        <v>4491</v>
      </c>
      <c r="G57" s="440" t="s">
        <v>4109</v>
      </c>
      <c r="H57" s="407" t="s">
        <v>4312</v>
      </c>
      <c r="I57" s="407" t="s">
        <v>3793</v>
      </c>
      <c r="J57" s="387" t="s">
        <v>4645</v>
      </c>
      <c r="K57" s="387">
        <v>1</v>
      </c>
      <c r="L57" s="387">
        <v>0</v>
      </c>
      <c r="M57" s="387">
        <f t="shared" si="0"/>
        <v>1</v>
      </c>
      <c r="N57" s="442">
        <f t="shared" si="1"/>
        <v>0</v>
      </c>
      <c r="O57" s="387" t="s">
        <v>1358</v>
      </c>
      <c r="P57" s="459">
        <v>0</v>
      </c>
      <c r="Q57" s="459"/>
      <c r="R57" s="456">
        <v>0</v>
      </c>
      <c r="S57" s="456">
        <v>44.618000000000002</v>
      </c>
      <c r="T57" s="410"/>
      <c r="U57" s="411">
        <v>0</v>
      </c>
      <c r="V57" s="411">
        <v>0</v>
      </c>
      <c r="W57" s="411">
        <v>0</v>
      </c>
      <c r="X57" s="411"/>
      <c r="Y57" s="411"/>
      <c r="Z57" s="412">
        <f t="shared" si="2"/>
        <v>0</v>
      </c>
      <c r="AA57" s="456">
        <f t="shared" si="3"/>
        <v>0</v>
      </c>
      <c r="AB57" s="456">
        <v>0</v>
      </c>
      <c r="AC57" s="2"/>
      <c r="AD57" s="4"/>
      <c r="AE57" s="5"/>
      <c r="AF57" s="428"/>
    </row>
    <row r="58" spans="1:32" x14ac:dyDescent="0.25">
      <c r="A58" s="1" t="s">
        <v>2509</v>
      </c>
      <c r="B58" s="3" t="s">
        <v>1368</v>
      </c>
      <c r="C58" s="3" t="s">
        <v>1247</v>
      </c>
      <c r="D58" s="407" t="s">
        <v>1426</v>
      </c>
      <c r="E58" s="3" t="s">
        <v>1822</v>
      </c>
      <c r="F58" s="407" t="s">
        <v>4480</v>
      </c>
      <c r="G58" s="440" t="s">
        <v>4109</v>
      </c>
      <c r="H58" s="407" t="s">
        <v>4301</v>
      </c>
      <c r="I58" s="407" t="s">
        <v>3782</v>
      </c>
      <c r="J58" s="387" t="s">
        <v>4637</v>
      </c>
      <c r="K58" s="387">
        <v>1</v>
      </c>
      <c r="L58" s="387">
        <v>0</v>
      </c>
      <c r="M58" s="387">
        <f t="shared" si="0"/>
        <v>1</v>
      </c>
      <c r="N58" s="442">
        <f t="shared" si="1"/>
        <v>0</v>
      </c>
      <c r="O58" s="387" t="s">
        <v>1358</v>
      </c>
      <c r="P58" s="459">
        <v>0</v>
      </c>
      <c r="Q58" s="459"/>
      <c r="R58" s="456">
        <v>0</v>
      </c>
      <c r="S58" s="456">
        <v>40.941000000000003</v>
      </c>
      <c r="T58" s="410"/>
      <c r="U58" s="411">
        <v>0</v>
      </c>
      <c r="V58" s="411">
        <v>0</v>
      </c>
      <c r="W58" s="411">
        <v>0</v>
      </c>
      <c r="X58" s="411"/>
      <c r="Y58" s="411"/>
      <c r="Z58" s="412">
        <f t="shared" si="2"/>
        <v>0</v>
      </c>
      <c r="AA58" s="456">
        <f t="shared" si="3"/>
        <v>0</v>
      </c>
      <c r="AB58" s="456">
        <v>0</v>
      </c>
      <c r="AC58" s="2"/>
      <c r="AD58" s="4"/>
      <c r="AE58" s="5"/>
      <c r="AF58" s="428"/>
    </row>
    <row r="59" spans="1:32" x14ac:dyDescent="0.25">
      <c r="A59" s="1" t="s">
        <v>2510</v>
      </c>
      <c r="B59" s="3" t="s">
        <v>1368</v>
      </c>
      <c r="C59" s="3" t="s">
        <v>1247</v>
      </c>
      <c r="D59" s="407" t="s">
        <v>1427</v>
      </c>
      <c r="E59" s="3" t="s">
        <v>1823</v>
      </c>
      <c r="F59" s="407" t="s">
        <v>4485</v>
      </c>
      <c r="G59" s="440" t="s">
        <v>4109</v>
      </c>
      <c r="H59" s="407" t="s">
        <v>4306</v>
      </c>
      <c r="I59" s="407" t="s">
        <v>3787</v>
      </c>
      <c r="J59" s="387" t="s">
        <v>4638</v>
      </c>
      <c r="K59" s="387">
        <v>1</v>
      </c>
      <c r="L59" s="387">
        <v>0</v>
      </c>
      <c r="M59" s="387">
        <f t="shared" si="0"/>
        <v>1</v>
      </c>
      <c r="N59" s="442">
        <f t="shared" si="1"/>
        <v>0</v>
      </c>
      <c r="O59" s="387" t="s">
        <v>1358</v>
      </c>
      <c r="P59" s="459">
        <v>0</v>
      </c>
      <c r="Q59" s="459"/>
      <c r="R59" s="456">
        <v>0</v>
      </c>
      <c r="S59" s="456">
        <v>40.941000000000003</v>
      </c>
      <c r="T59" s="410"/>
      <c r="U59" s="411">
        <v>0</v>
      </c>
      <c r="V59" s="411">
        <v>0</v>
      </c>
      <c r="W59" s="411">
        <v>0</v>
      </c>
      <c r="X59" s="411"/>
      <c r="Y59" s="411"/>
      <c r="Z59" s="412">
        <f t="shared" si="2"/>
        <v>0</v>
      </c>
      <c r="AA59" s="456">
        <f t="shared" si="3"/>
        <v>0</v>
      </c>
      <c r="AB59" s="456">
        <v>0</v>
      </c>
      <c r="AC59" s="2"/>
      <c r="AD59" s="4"/>
      <c r="AE59" s="5"/>
      <c r="AF59" s="428"/>
    </row>
    <row r="60" spans="1:32" x14ac:dyDescent="0.25">
      <c r="A60" s="1" t="s">
        <v>2511</v>
      </c>
      <c r="B60" s="3" t="s">
        <v>1368</v>
      </c>
      <c r="C60" s="3" t="s">
        <v>1247</v>
      </c>
      <c r="D60" s="407" t="s">
        <v>1428</v>
      </c>
      <c r="E60" s="3" t="s">
        <v>1824</v>
      </c>
      <c r="F60" s="407" t="s">
        <v>4486</v>
      </c>
      <c r="G60" s="440" t="s">
        <v>4109</v>
      </c>
      <c r="H60" s="407" t="s">
        <v>4307</v>
      </c>
      <c r="I60" s="407" t="s">
        <v>3788</v>
      </c>
      <c r="J60" s="387" t="s">
        <v>4639</v>
      </c>
      <c r="K60" s="387">
        <v>1</v>
      </c>
      <c r="L60" s="387">
        <v>0</v>
      </c>
      <c r="M60" s="387">
        <f t="shared" si="0"/>
        <v>1</v>
      </c>
      <c r="N60" s="442">
        <f t="shared" si="1"/>
        <v>0</v>
      </c>
      <c r="O60" s="387" t="s">
        <v>1358</v>
      </c>
      <c r="P60" s="459">
        <v>0</v>
      </c>
      <c r="Q60" s="459"/>
      <c r="R60" s="456">
        <v>0</v>
      </c>
      <c r="S60" s="456">
        <v>40.941000000000003</v>
      </c>
      <c r="T60" s="410"/>
      <c r="U60" s="411">
        <v>0</v>
      </c>
      <c r="V60" s="411">
        <v>0</v>
      </c>
      <c r="W60" s="411">
        <v>0</v>
      </c>
      <c r="X60" s="411"/>
      <c r="Y60" s="411"/>
      <c r="Z60" s="412">
        <f t="shared" si="2"/>
        <v>0</v>
      </c>
      <c r="AA60" s="456">
        <f t="shared" si="3"/>
        <v>0</v>
      </c>
      <c r="AB60" s="456">
        <v>0</v>
      </c>
      <c r="AC60" s="2"/>
      <c r="AD60" s="4"/>
      <c r="AE60" s="5"/>
      <c r="AF60" s="428"/>
    </row>
    <row r="61" spans="1:32" x14ac:dyDescent="0.25">
      <c r="A61" s="1" t="s">
        <v>2512</v>
      </c>
      <c r="B61" s="3" t="s">
        <v>1368</v>
      </c>
      <c r="C61" s="3" t="s">
        <v>1247</v>
      </c>
      <c r="D61" s="407" t="s">
        <v>1429</v>
      </c>
      <c r="E61" s="3" t="s">
        <v>1825</v>
      </c>
      <c r="F61" s="407" t="s">
        <v>4487</v>
      </c>
      <c r="G61" s="440" t="s">
        <v>4109</v>
      </c>
      <c r="H61" s="407" t="s">
        <v>4308</v>
      </c>
      <c r="I61" s="407" t="s">
        <v>3789</v>
      </c>
      <c r="J61" s="387" t="s">
        <v>4640</v>
      </c>
      <c r="K61" s="387">
        <v>1</v>
      </c>
      <c r="L61" s="387">
        <v>0</v>
      </c>
      <c r="M61" s="387">
        <f t="shared" si="0"/>
        <v>1</v>
      </c>
      <c r="N61" s="442">
        <f t="shared" si="1"/>
        <v>0</v>
      </c>
      <c r="O61" s="387" t="s">
        <v>1358</v>
      </c>
      <c r="P61" s="459">
        <v>0</v>
      </c>
      <c r="Q61" s="459"/>
      <c r="R61" s="456">
        <v>0</v>
      </c>
      <c r="S61" s="456">
        <v>40.941000000000003</v>
      </c>
      <c r="T61" s="410"/>
      <c r="U61" s="411">
        <v>0</v>
      </c>
      <c r="V61" s="411">
        <v>0</v>
      </c>
      <c r="W61" s="411">
        <v>0</v>
      </c>
      <c r="X61" s="411"/>
      <c r="Y61" s="411"/>
      <c r="Z61" s="412">
        <f t="shared" si="2"/>
        <v>0</v>
      </c>
      <c r="AA61" s="456">
        <f t="shared" si="3"/>
        <v>0</v>
      </c>
      <c r="AB61" s="456">
        <v>0</v>
      </c>
      <c r="AC61" s="2"/>
      <c r="AD61" s="4"/>
      <c r="AE61" s="5"/>
      <c r="AF61" s="428"/>
    </row>
    <row r="62" spans="1:32" x14ac:dyDescent="0.25">
      <c r="A62" s="1" t="s">
        <v>2513</v>
      </c>
      <c r="B62" s="3" t="s">
        <v>1368</v>
      </c>
      <c r="C62" s="3" t="s">
        <v>1247</v>
      </c>
      <c r="D62" s="407" t="s">
        <v>1430</v>
      </c>
      <c r="E62" s="3" t="s">
        <v>1826</v>
      </c>
      <c r="F62" s="407" t="s">
        <v>4488</v>
      </c>
      <c r="G62" s="440" t="s">
        <v>4109</v>
      </c>
      <c r="H62" s="407" t="s">
        <v>4309</v>
      </c>
      <c r="I62" s="407" t="s">
        <v>3790</v>
      </c>
      <c r="J62" s="387" t="s">
        <v>4641</v>
      </c>
      <c r="K62" s="387">
        <v>1</v>
      </c>
      <c r="L62" s="387">
        <v>0</v>
      </c>
      <c r="M62" s="387">
        <f t="shared" si="0"/>
        <v>1</v>
      </c>
      <c r="N62" s="442">
        <f t="shared" si="1"/>
        <v>0</v>
      </c>
      <c r="O62" s="387" t="s">
        <v>1358</v>
      </c>
      <c r="P62" s="459">
        <v>0</v>
      </c>
      <c r="Q62" s="459"/>
      <c r="R62" s="456">
        <v>0</v>
      </c>
      <c r="S62" s="456">
        <v>40.941000000000003</v>
      </c>
      <c r="T62" s="410"/>
      <c r="U62" s="411">
        <v>0</v>
      </c>
      <c r="V62" s="411">
        <v>0</v>
      </c>
      <c r="W62" s="411">
        <v>0</v>
      </c>
      <c r="X62" s="411"/>
      <c r="Y62" s="411"/>
      <c r="Z62" s="412">
        <f t="shared" si="2"/>
        <v>0</v>
      </c>
      <c r="AA62" s="456">
        <f t="shared" si="3"/>
        <v>0</v>
      </c>
      <c r="AB62" s="456">
        <v>0</v>
      </c>
      <c r="AC62" s="2"/>
      <c r="AD62" s="4"/>
      <c r="AE62" s="5"/>
      <c r="AF62" s="428"/>
    </row>
    <row r="63" spans="1:32" x14ac:dyDescent="0.25">
      <c r="A63" s="1" t="s">
        <v>2514</v>
      </c>
      <c r="B63" s="3" t="s">
        <v>1368</v>
      </c>
      <c r="C63" s="3" t="s">
        <v>1247</v>
      </c>
      <c r="D63" s="407" t="s">
        <v>1431</v>
      </c>
      <c r="E63" s="3" t="s">
        <v>1827</v>
      </c>
      <c r="F63" s="407" t="s">
        <v>4489</v>
      </c>
      <c r="G63" s="440" t="s">
        <v>4109</v>
      </c>
      <c r="H63" s="407" t="s">
        <v>4310</v>
      </c>
      <c r="I63" s="407" t="s">
        <v>3791</v>
      </c>
      <c r="J63" s="387" t="s">
        <v>4642</v>
      </c>
      <c r="K63" s="387">
        <v>1</v>
      </c>
      <c r="L63" s="387">
        <v>0</v>
      </c>
      <c r="M63" s="387">
        <f t="shared" si="0"/>
        <v>1</v>
      </c>
      <c r="N63" s="442">
        <f t="shared" si="1"/>
        <v>0</v>
      </c>
      <c r="O63" s="387" t="s">
        <v>1358</v>
      </c>
      <c r="P63" s="459">
        <v>0</v>
      </c>
      <c r="Q63" s="459"/>
      <c r="R63" s="456">
        <v>0</v>
      </c>
      <c r="S63" s="456">
        <v>40.941000000000003</v>
      </c>
      <c r="T63" s="410"/>
      <c r="U63" s="411">
        <v>0</v>
      </c>
      <c r="V63" s="411">
        <v>0</v>
      </c>
      <c r="W63" s="411">
        <v>0</v>
      </c>
      <c r="X63" s="411"/>
      <c r="Y63" s="411"/>
      <c r="Z63" s="412">
        <f t="shared" si="2"/>
        <v>0</v>
      </c>
      <c r="AA63" s="456">
        <f t="shared" si="3"/>
        <v>0</v>
      </c>
      <c r="AB63" s="456">
        <v>0</v>
      </c>
      <c r="AC63" s="2"/>
      <c r="AD63" s="4"/>
      <c r="AE63" s="5"/>
      <c r="AF63" s="428"/>
    </row>
    <row r="64" spans="1:32" x14ac:dyDescent="0.25">
      <c r="A64" s="1" t="s">
        <v>2515</v>
      </c>
      <c r="B64" s="3" t="s">
        <v>1368</v>
      </c>
      <c r="C64" s="3" t="s">
        <v>1247</v>
      </c>
      <c r="D64" s="407" t="s">
        <v>3234</v>
      </c>
      <c r="E64" s="3" t="s">
        <v>1828</v>
      </c>
      <c r="F64" s="407" t="s">
        <v>4492</v>
      </c>
      <c r="G64" s="440" t="s">
        <v>4109</v>
      </c>
      <c r="H64" s="407" t="s">
        <v>4313</v>
      </c>
      <c r="I64" s="407" t="s">
        <v>3794</v>
      </c>
      <c r="J64" s="387" t="s">
        <v>4646</v>
      </c>
      <c r="K64" s="387">
        <v>1</v>
      </c>
      <c r="L64" s="387">
        <v>0</v>
      </c>
      <c r="M64" s="387">
        <f t="shared" si="0"/>
        <v>1</v>
      </c>
      <c r="N64" s="442">
        <f t="shared" si="1"/>
        <v>0</v>
      </c>
      <c r="O64" s="387" t="s">
        <v>1358</v>
      </c>
      <c r="P64" s="459">
        <v>0</v>
      </c>
      <c r="Q64" s="459"/>
      <c r="R64" s="456">
        <v>0</v>
      </c>
      <c r="S64" s="456">
        <v>25.097999999999999</v>
      </c>
      <c r="T64" s="410"/>
      <c r="U64" s="411">
        <v>1</v>
      </c>
      <c r="V64" s="411">
        <v>1</v>
      </c>
      <c r="W64" s="411">
        <v>1</v>
      </c>
      <c r="X64" s="411"/>
      <c r="Y64" s="411"/>
      <c r="Z64" s="412">
        <f t="shared" si="2"/>
        <v>0</v>
      </c>
      <c r="AA64" s="456">
        <f t="shared" si="3"/>
        <v>0</v>
      </c>
      <c r="AB64" s="456">
        <v>0</v>
      </c>
      <c r="AC64" s="2"/>
      <c r="AD64" s="4"/>
      <c r="AE64" s="5"/>
      <c r="AF64" s="428"/>
    </row>
    <row r="65" spans="1:32" x14ac:dyDescent="0.25">
      <c r="A65" s="1" t="s">
        <v>2516</v>
      </c>
      <c r="B65" s="3" t="s">
        <v>1368</v>
      </c>
      <c r="C65" s="3" t="s">
        <v>1247</v>
      </c>
      <c r="D65" s="407" t="s">
        <v>1379</v>
      </c>
      <c r="E65" s="3" t="s">
        <v>1829</v>
      </c>
      <c r="F65" s="407" t="s">
        <v>4502</v>
      </c>
      <c r="G65" s="440" t="s">
        <v>4109</v>
      </c>
      <c r="H65" s="407" t="s">
        <v>4323</v>
      </c>
      <c r="I65" s="407" t="s">
        <v>3750</v>
      </c>
      <c r="J65" s="387" t="s">
        <v>4632</v>
      </c>
      <c r="K65" s="387">
        <v>1</v>
      </c>
      <c r="L65" s="387">
        <v>0</v>
      </c>
      <c r="M65" s="387">
        <f t="shared" si="0"/>
        <v>1</v>
      </c>
      <c r="N65" s="442">
        <f t="shared" si="1"/>
        <v>0</v>
      </c>
      <c r="O65" s="387" t="s">
        <v>1358</v>
      </c>
      <c r="P65" s="459">
        <v>0</v>
      </c>
      <c r="Q65" s="459"/>
      <c r="R65" s="456">
        <v>0</v>
      </c>
      <c r="S65" s="456">
        <v>40.854999999999997</v>
      </c>
      <c r="T65" s="410"/>
      <c r="U65" s="411">
        <v>1</v>
      </c>
      <c r="V65" s="411">
        <v>1</v>
      </c>
      <c r="W65" s="411">
        <v>1</v>
      </c>
      <c r="X65" s="411"/>
      <c r="Y65" s="411"/>
      <c r="Z65" s="412">
        <f t="shared" si="2"/>
        <v>0</v>
      </c>
      <c r="AA65" s="456">
        <f t="shared" si="3"/>
        <v>0</v>
      </c>
      <c r="AB65" s="456">
        <v>0</v>
      </c>
      <c r="AC65" s="2"/>
      <c r="AD65" s="4"/>
      <c r="AE65" s="5"/>
      <c r="AF65" s="428"/>
    </row>
    <row r="66" spans="1:32" x14ac:dyDescent="0.25">
      <c r="A66" s="1" t="s">
        <v>2517</v>
      </c>
      <c r="B66" s="3" t="s">
        <v>1368</v>
      </c>
      <c r="C66" s="3" t="s">
        <v>1247</v>
      </c>
      <c r="D66" s="407" t="s">
        <v>1377</v>
      </c>
      <c r="E66" s="3" t="s">
        <v>1830</v>
      </c>
      <c r="F66" s="407" t="s">
        <v>4494</v>
      </c>
      <c r="G66" s="440" t="s">
        <v>4109</v>
      </c>
      <c r="H66" s="407" t="s">
        <v>4315</v>
      </c>
      <c r="I66" s="407" t="s">
        <v>3749</v>
      </c>
      <c r="J66" s="387" t="s">
        <v>4648</v>
      </c>
      <c r="K66" s="387">
        <v>1</v>
      </c>
      <c r="L66" s="387">
        <v>0</v>
      </c>
      <c r="M66" s="387">
        <f t="shared" si="0"/>
        <v>1</v>
      </c>
      <c r="N66" s="442">
        <f t="shared" si="1"/>
        <v>0</v>
      </c>
      <c r="O66" s="387" t="s">
        <v>1358</v>
      </c>
      <c r="P66" s="459">
        <v>0</v>
      </c>
      <c r="Q66" s="459"/>
      <c r="R66" s="456">
        <v>0</v>
      </c>
      <c r="S66" s="456">
        <v>40.854999999999997</v>
      </c>
      <c r="T66" s="410"/>
      <c r="U66" s="411">
        <v>1</v>
      </c>
      <c r="V66" s="411">
        <v>1</v>
      </c>
      <c r="W66" s="411">
        <v>1</v>
      </c>
      <c r="X66" s="411"/>
      <c r="Y66" s="411"/>
      <c r="Z66" s="412">
        <f t="shared" si="2"/>
        <v>0</v>
      </c>
      <c r="AA66" s="456">
        <f t="shared" si="3"/>
        <v>0</v>
      </c>
      <c r="AB66" s="456">
        <v>0</v>
      </c>
      <c r="AC66" s="2"/>
      <c r="AD66" s="4"/>
      <c r="AE66" s="5"/>
      <c r="AF66" s="428"/>
    </row>
    <row r="67" spans="1:32" x14ac:dyDescent="0.25">
      <c r="A67" s="1" t="s">
        <v>2518</v>
      </c>
      <c r="B67" s="3" t="s">
        <v>1368</v>
      </c>
      <c r="C67" s="3" t="s">
        <v>1247</v>
      </c>
      <c r="D67" s="407" t="s">
        <v>1374</v>
      </c>
      <c r="E67" s="3" t="s">
        <v>1831</v>
      </c>
      <c r="F67" s="407" t="s">
        <v>4495</v>
      </c>
      <c r="G67" s="440" t="s">
        <v>4109</v>
      </c>
      <c r="H67" s="407" t="s">
        <v>4316</v>
      </c>
      <c r="I67" s="407" t="s">
        <v>3757</v>
      </c>
      <c r="J67" s="387" t="s">
        <v>4649</v>
      </c>
      <c r="K67" s="387">
        <v>1</v>
      </c>
      <c r="L67" s="387">
        <v>0</v>
      </c>
      <c r="M67" s="387">
        <f t="shared" si="0"/>
        <v>1</v>
      </c>
      <c r="N67" s="442">
        <f t="shared" si="1"/>
        <v>0</v>
      </c>
      <c r="O67" s="387" t="s">
        <v>1358</v>
      </c>
      <c r="P67" s="459">
        <v>0</v>
      </c>
      <c r="Q67" s="459"/>
      <c r="R67" s="456">
        <v>0</v>
      </c>
      <c r="S67" s="456">
        <v>40.854999999999997</v>
      </c>
      <c r="T67" s="410"/>
      <c r="U67" s="411">
        <v>1</v>
      </c>
      <c r="V67" s="411">
        <v>1</v>
      </c>
      <c r="W67" s="411">
        <v>1</v>
      </c>
      <c r="X67" s="411"/>
      <c r="Y67" s="411"/>
      <c r="Z67" s="412">
        <f t="shared" si="2"/>
        <v>0</v>
      </c>
      <c r="AA67" s="456">
        <f t="shared" si="3"/>
        <v>0</v>
      </c>
      <c r="AB67" s="456">
        <v>0</v>
      </c>
      <c r="AC67" s="2"/>
      <c r="AD67" s="4"/>
      <c r="AE67" s="5"/>
      <c r="AF67" s="428"/>
    </row>
    <row r="68" spans="1:32" x14ac:dyDescent="0.25">
      <c r="A68" s="1" t="s">
        <v>2519</v>
      </c>
      <c r="B68" s="3" t="s">
        <v>1368</v>
      </c>
      <c r="C68" s="3" t="s">
        <v>1247</v>
      </c>
      <c r="D68" s="407" t="s">
        <v>1398</v>
      </c>
      <c r="E68" s="3" t="s">
        <v>1832</v>
      </c>
      <c r="F68" s="407" t="s">
        <v>4496</v>
      </c>
      <c r="G68" s="440" t="s">
        <v>4109</v>
      </c>
      <c r="H68" s="407" t="s">
        <v>4317</v>
      </c>
      <c r="I68" s="407" t="s">
        <v>3796</v>
      </c>
      <c r="J68" s="387" t="s">
        <v>4784</v>
      </c>
      <c r="K68" s="387">
        <v>2</v>
      </c>
      <c r="L68" s="387"/>
      <c r="M68" s="387">
        <f t="shared" si="0"/>
        <v>2</v>
      </c>
      <c r="N68" s="442">
        <f t="shared" si="1"/>
        <v>0</v>
      </c>
      <c r="O68" s="387" t="s">
        <v>1358</v>
      </c>
      <c r="P68" s="459">
        <v>0</v>
      </c>
      <c r="Q68" s="459"/>
      <c r="R68" s="456">
        <v>0</v>
      </c>
      <c r="S68" s="456">
        <v>81.709999999999994</v>
      </c>
      <c r="T68" s="410"/>
      <c r="U68" s="411">
        <v>1</v>
      </c>
      <c r="V68" s="411">
        <v>1</v>
      </c>
      <c r="W68" s="411">
        <v>1</v>
      </c>
      <c r="X68" s="411"/>
      <c r="Y68" s="411"/>
      <c r="Z68" s="412">
        <f t="shared" si="2"/>
        <v>0</v>
      </c>
      <c r="AA68" s="456">
        <f t="shared" si="3"/>
        <v>0</v>
      </c>
      <c r="AB68" s="456">
        <v>0</v>
      </c>
      <c r="AC68" s="2"/>
      <c r="AD68" s="4"/>
      <c r="AE68" s="5"/>
      <c r="AF68" s="428"/>
    </row>
    <row r="69" spans="1:32" x14ac:dyDescent="0.25">
      <c r="A69" s="430" t="s">
        <v>5120</v>
      </c>
      <c r="B69" s="3" t="s">
        <v>1368</v>
      </c>
      <c r="C69" s="3" t="s">
        <v>1247</v>
      </c>
      <c r="D69" s="407" t="s">
        <v>1395</v>
      </c>
      <c r="E69" s="3" t="s">
        <v>5034</v>
      </c>
      <c r="F69" s="407" t="s">
        <v>4496</v>
      </c>
      <c r="G69" s="440" t="s">
        <v>4109</v>
      </c>
      <c r="H69" s="407" t="s">
        <v>4317</v>
      </c>
      <c r="I69" s="407" t="s">
        <v>3796</v>
      </c>
      <c r="J69" s="387" t="s">
        <v>5035</v>
      </c>
      <c r="K69" s="387">
        <v>1</v>
      </c>
      <c r="L69" s="387">
        <v>0</v>
      </c>
      <c r="M69" s="387">
        <f t="shared" si="0"/>
        <v>1</v>
      </c>
      <c r="N69" s="442">
        <f t="shared" si="1"/>
        <v>0</v>
      </c>
      <c r="O69" s="387" t="s">
        <v>1358</v>
      </c>
      <c r="P69" s="459">
        <v>0</v>
      </c>
      <c r="Q69" s="459"/>
      <c r="R69" s="456"/>
      <c r="S69" s="456">
        <v>44.7</v>
      </c>
      <c r="T69" s="410"/>
      <c r="U69" s="411">
        <v>1</v>
      </c>
      <c r="V69" s="411">
        <v>1</v>
      </c>
      <c r="W69" s="411">
        <v>1</v>
      </c>
      <c r="X69" s="411"/>
      <c r="Y69" s="411"/>
      <c r="Z69" s="412">
        <f t="shared" si="2"/>
        <v>0</v>
      </c>
      <c r="AA69" s="456">
        <f t="shared" si="3"/>
        <v>0</v>
      </c>
      <c r="AB69" s="456">
        <v>0</v>
      </c>
      <c r="AC69" s="2"/>
      <c r="AD69" s="4"/>
      <c r="AE69" s="5"/>
      <c r="AF69" s="428"/>
    </row>
    <row r="70" spans="1:32" x14ac:dyDescent="0.25">
      <c r="A70" s="1" t="s">
        <v>2520</v>
      </c>
      <c r="B70" s="3" t="s">
        <v>1368</v>
      </c>
      <c r="C70" s="3" t="s">
        <v>1247</v>
      </c>
      <c r="D70" s="407" t="s">
        <v>1397</v>
      </c>
      <c r="E70" s="3" t="s">
        <v>1833</v>
      </c>
      <c r="F70" s="407" t="s">
        <v>4493</v>
      </c>
      <c r="G70" s="440" t="s">
        <v>4109</v>
      </c>
      <c r="H70" s="407" t="s">
        <v>4314</v>
      </c>
      <c r="I70" s="407" t="s">
        <v>3795</v>
      </c>
      <c r="J70" s="387" t="s">
        <v>4647</v>
      </c>
      <c r="K70" s="387">
        <v>1</v>
      </c>
      <c r="L70" s="387">
        <v>0</v>
      </c>
      <c r="M70" s="387">
        <f t="shared" si="0"/>
        <v>1</v>
      </c>
      <c r="N70" s="442">
        <f t="shared" si="1"/>
        <v>0</v>
      </c>
      <c r="O70" s="387" t="s">
        <v>1358</v>
      </c>
      <c r="P70" s="459">
        <v>0</v>
      </c>
      <c r="Q70" s="459"/>
      <c r="R70" s="456">
        <v>0</v>
      </c>
      <c r="S70" s="456">
        <v>18.753</v>
      </c>
      <c r="T70" s="410"/>
      <c r="U70" s="411">
        <v>1</v>
      </c>
      <c r="V70" s="411">
        <v>1</v>
      </c>
      <c r="W70" s="411">
        <v>1</v>
      </c>
      <c r="X70" s="411"/>
      <c r="Y70" s="411"/>
      <c r="Z70" s="412">
        <f t="shared" si="2"/>
        <v>0</v>
      </c>
      <c r="AA70" s="456">
        <f t="shared" si="3"/>
        <v>0</v>
      </c>
      <c r="AB70" s="456">
        <v>0</v>
      </c>
      <c r="AC70" s="2"/>
      <c r="AD70" s="4"/>
      <c r="AE70" s="5"/>
      <c r="AF70" s="428"/>
    </row>
    <row r="71" spans="1:32" x14ac:dyDescent="0.25">
      <c r="A71" s="1" t="s">
        <v>2521</v>
      </c>
      <c r="B71" s="3" t="s">
        <v>1368</v>
      </c>
      <c r="C71" s="3" t="s">
        <v>1247</v>
      </c>
      <c r="D71" s="407" t="s">
        <v>1398</v>
      </c>
      <c r="E71" s="3" t="s">
        <v>1834</v>
      </c>
      <c r="F71" s="407" t="s">
        <v>4496</v>
      </c>
      <c r="G71" s="440" t="s">
        <v>4109</v>
      </c>
      <c r="H71" s="407" t="s">
        <v>4317</v>
      </c>
      <c r="I71" s="407" t="s">
        <v>3796</v>
      </c>
      <c r="J71" s="387" t="s">
        <v>4650</v>
      </c>
      <c r="K71" s="387">
        <v>1</v>
      </c>
      <c r="L71" s="387">
        <v>0</v>
      </c>
      <c r="M71" s="387">
        <f t="shared" ref="M71:M136" si="4">K71+L71</f>
        <v>1</v>
      </c>
      <c r="N71" s="442">
        <f t="shared" ref="N71:N136" si="5">K71*Z71</f>
        <v>0</v>
      </c>
      <c r="O71" s="387" t="s">
        <v>1358</v>
      </c>
      <c r="P71" s="459">
        <v>0</v>
      </c>
      <c r="Q71" s="459"/>
      <c r="R71" s="456">
        <v>0</v>
      </c>
      <c r="S71" s="456">
        <v>18.753</v>
      </c>
      <c r="T71" s="410"/>
      <c r="U71" s="411">
        <v>1</v>
      </c>
      <c r="V71" s="411">
        <v>1</v>
      </c>
      <c r="W71" s="411">
        <v>1</v>
      </c>
      <c r="X71" s="411"/>
      <c r="Y71" s="411"/>
      <c r="Z71" s="412">
        <f t="shared" ref="Z71:Z136" si="6">AA71/S71</f>
        <v>0</v>
      </c>
      <c r="AA71" s="456">
        <f t="shared" ref="AA71:AA136" si="7">(U71*U$368*S71)+(V71*V$368*S71)+(W71*W$368*S71)</f>
        <v>0</v>
      </c>
      <c r="AB71" s="456">
        <v>0</v>
      </c>
      <c r="AC71" s="2"/>
      <c r="AD71" s="4"/>
      <c r="AE71" s="5"/>
      <c r="AF71" s="428"/>
    </row>
    <row r="72" spans="1:32" x14ac:dyDescent="0.25">
      <c r="A72" s="1" t="s">
        <v>2522</v>
      </c>
      <c r="B72" s="3" t="s">
        <v>1368</v>
      </c>
      <c r="C72" s="3" t="s">
        <v>1247</v>
      </c>
      <c r="D72" s="407" t="s">
        <v>1374</v>
      </c>
      <c r="E72" s="3" t="s">
        <v>1835</v>
      </c>
      <c r="F72" s="407" t="s">
        <v>4495</v>
      </c>
      <c r="G72" s="440" t="s">
        <v>4109</v>
      </c>
      <c r="H72" s="407" t="s">
        <v>4316</v>
      </c>
      <c r="I72" s="407" t="s">
        <v>3757</v>
      </c>
      <c r="J72" s="387" t="s">
        <v>4649</v>
      </c>
      <c r="K72" s="387">
        <v>1</v>
      </c>
      <c r="L72" s="387">
        <v>0</v>
      </c>
      <c r="M72" s="387">
        <f t="shared" si="4"/>
        <v>1</v>
      </c>
      <c r="N72" s="442">
        <f t="shared" si="5"/>
        <v>0</v>
      </c>
      <c r="O72" s="387" t="s">
        <v>1358</v>
      </c>
      <c r="P72" s="459">
        <v>0</v>
      </c>
      <c r="Q72" s="459"/>
      <c r="R72" s="456">
        <v>0</v>
      </c>
      <c r="S72" s="456">
        <v>18.753</v>
      </c>
      <c r="T72" s="410"/>
      <c r="U72" s="411">
        <v>1</v>
      </c>
      <c r="V72" s="411">
        <v>1</v>
      </c>
      <c r="W72" s="411">
        <v>1</v>
      </c>
      <c r="X72" s="411"/>
      <c r="Y72" s="411"/>
      <c r="Z72" s="412">
        <f t="shared" si="6"/>
        <v>0</v>
      </c>
      <c r="AA72" s="456">
        <f t="shared" si="7"/>
        <v>0</v>
      </c>
      <c r="AB72" s="456">
        <v>0</v>
      </c>
      <c r="AC72" s="2"/>
      <c r="AD72" s="4"/>
      <c r="AE72" s="5"/>
      <c r="AF72" s="428"/>
    </row>
    <row r="73" spans="1:32" x14ac:dyDescent="0.25">
      <c r="A73" s="1" t="s">
        <v>2523</v>
      </c>
      <c r="B73" s="3" t="s">
        <v>1368</v>
      </c>
      <c r="C73" s="3" t="s">
        <v>1247</v>
      </c>
      <c r="D73" s="407" t="s">
        <v>1377</v>
      </c>
      <c r="E73" s="3" t="s">
        <v>1836</v>
      </c>
      <c r="F73" s="407" t="s">
        <v>4494</v>
      </c>
      <c r="G73" s="440" t="s">
        <v>4109</v>
      </c>
      <c r="H73" s="407" t="s">
        <v>4315</v>
      </c>
      <c r="I73" s="407" t="s">
        <v>3749</v>
      </c>
      <c r="J73" s="387" t="s">
        <v>4648</v>
      </c>
      <c r="K73" s="387">
        <v>1</v>
      </c>
      <c r="L73" s="387">
        <v>0</v>
      </c>
      <c r="M73" s="387">
        <f t="shared" si="4"/>
        <v>1</v>
      </c>
      <c r="N73" s="442">
        <f t="shared" si="5"/>
        <v>0</v>
      </c>
      <c r="O73" s="387" t="s">
        <v>1358</v>
      </c>
      <c r="P73" s="459">
        <v>0</v>
      </c>
      <c r="Q73" s="459"/>
      <c r="R73" s="456">
        <v>0</v>
      </c>
      <c r="S73" s="456">
        <v>18.753</v>
      </c>
      <c r="T73" s="410"/>
      <c r="U73" s="411">
        <v>1</v>
      </c>
      <c r="V73" s="411">
        <v>1</v>
      </c>
      <c r="W73" s="411">
        <v>1</v>
      </c>
      <c r="X73" s="411"/>
      <c r="Y73" s="411"/>
      <c r="Z73" s="412">
        <f t="shared" si="6"/>
        <v>0</v>
      </c>
      <c r="AA73" s="456">
        <f t="shared" si="7"/>
        <v>0</v>
      </c>
      <c r="AB73" s="456">
        <v>0</v>
      </c>
      <c r="AC73" s="2"/>
      <c r="AD73" s="4"/>
      <c r="AE73" s="5"/>
      <c r="AF73" s="428"/>
    </row>
    <row r="74" spans="1:32" x14ac:dyDescent="0.25">
      <c r="A74" s="1" t="s">
        <v>2524</v>
      </c>
      <c r="B74" s="3" t="s">
        <v>1368</v>
      </c>
      <c r="C74" s="3" t="s">
        <v>1247</v>
      </c>
      <c r="D74" s="407" t="s">
        <v>1379</v>
      </c>
      <c r="E74" s="3" t="s">
        <v>1837</v>
      </c>
      <c r="F74" s="407" t="s">
        <v>4502</v>
      </c>
      <c r="G74" s="440" t="s">
        <v>4109</v>
      </c>
      <c r="H74" s="407" t="s">
        <v>4323</v>
      </c>
      <c r="I74" s="407" t="s">
        <v>3750</v>
      </c>
      <c r="J74" s="387" t="s">
        <v>4632</v>
      </c>
      <c r="K74" s="387">
        <v>2</v>
      </c>
      <c r="L74" s="387">
        <v>0</v>
      </c>
      <c r="M74" s="387">
        <f t="shared" si="4"/>
        <v>2</v>
      </c>
      <c r="N74" s="442">
        <f t="shared" si="5"/>
        <v>0</v>
      </c>
      <c r="O74" s="387" t="s">
        <v>1358</v>
      </c>
      <c r="P74" s="459">
        <v>0</v>
      </c>
      <c r="Q74" s="459"/>
      <c r="R74" s="456">
        <v>0</v>
      </c>
      <c r="S74" s="456">
        <v>37.506</v>
      </c>
      <c r="T74" s="410"/>
      <c r="U74" s="411">
        <v>1</v>
      </c>
      <c r="V74" s="411">
        <v>1</v>
      </c>
      <c r="W74" s="411">
        <v>1</v>
      </c>
      <c r="X74" s="411"/>
      <c r="Y74" s="411"/>
      <c r="Z74" s="412">
        <f t="shared" si="6"/>
        <v>0</v>
      </c>
      <c r="AA74" s="456">
        <f t="shared" si="7"/>
        <v>0</v>
      </c>
      <c r="AB74" s="456">
        <v>0</v>
      </c>
      <c r="AC74" s="2"/>
      <c r="AD74" s="4"/>
      <c r="AE74" s="5"/>
      <c r="AF74" s="428"/>
    </row>
    <row r="75" spans="1:32" x14ac:dyDescent="0.25">
      <c r="A75" s="571" t="s">
        <v>5215</v>
      </c>
      <c r="B75" s="3" t="s">
        <v>1368</v>
      </c>
      <c r="C75" s="3" t="s">
        <v>1247</v>
      </c>
      <c r="D75" s="407" t="s">
        <v>1396</v>
      </c>
      <c r="E75" s="3" t="s">
        <v>5158</v>
      </c>
      <c r="F75" s="407"/>
      <c r="G75" s="440"/>
      <c r="H75" s="407"/>
      <c r="I75" s="407"/>
      <c r="J75" s="387" t="s">
        <v>4653</v>
      </c>
      <c r="K75" s="387">
        <v>1</v>
      </c>
      <c r="L75" s="387">
        <v>0</v>
      </c>
      <c r="M75" s="387">
        <f t="shared" si="4"/>
        <v>1</v>
      </c>
      <c r="N75" s="442">
        <f>K75*Z75</f>
        <v>0</v>
      </c>
      <c r="O75" s="387" t="s">
        <v>1358</v>
      </c>
      <c r="P75" s="459">
        <v>0</v>
      </c>
      <c r="Q75" s="459"/>
      <c r="R75" s="456">
        <v>0</v>
      </c>
      <c r="S75" s="456">
        <v>18.753</v>
      </c>
      <c r="T75" s="410"/>
      <c r="U75" s="411">
        <v>1</v>
      </c>
      <c r="V75" s="411">
        <v>1</v>
      </c>
      <c r="W75" s="411">
        <v>1</v>
      </c>
      <c r="X75" s="411"/>
      <c r="Y75" s="411"/>
      <c r="Z75" s="412">
        <f t="shared" si="6"/>
        <v>0</v>
      </c>
      <c r="AA75" s="456">
        <f t="shared" si="7"/>
        <v>0</v>
      </c>
      <c r="AB75" s="456"/>
      <c r="AC75" s="2"/>
      <c r="AD75" s="4"/>
      <c r="AE75" s="5"/>
      <c r="AF75" s="428"/>
    </row>
    <row r="76" spans="1:32" x14ac:dyDescent="0.25">
      <c r="A76" s="1" t="s">
        <v>2525</v>
      </c>
      <c r="B76" s="3" t="s">
        <v>1368</v>
      </c>
      <c r="C76" s="3" t="s">
        <v>1247</v>
      </c>
      <c r="D76" s="407" t="s">
        <v>1400</v>
      </c>
      <c r="E76" s="3" t="s">
        <v>1838</v>
      </c>
      <c r="F76" s="407" t="s">
        <v>4477</v>
      </c>
      <c r="G76" s="440" t="s">
        <v>4109</v>
      </c>
      <c r="H76" s="407" t="s">
        <v>4298</v>
      </c>
      <c r="I76" s="407" t="s">
        <v>3779</v>
      </c>
      <c r="J76" s="387" t="s">
        <v>4656</v>
      </c>
      <c r="K76" s="387">
        <v>3</v>
      </c>
      <c r="L76" s="387">
        <v>0</v>
      </c>
      <c r="M76" s="387">
        <f t="shared" si="4"/>
        <v>3</v>
      </c>
      <c r="N76" s="442">
        <f t="shared" si="5"/>
        <v>0</v>
      </c>
      <c r="O76" s="387" t="s">
        <v>1358</v>
      </c>
      <c r="P76" s="459">
        <v>0</v>
      </c>
      <c r="Q76" s="459"/>
      <c r="R76" s="456">
        <v>0</v>
      </c>
      <c r="S76" s="456">
        <v>56.259</v>
      </c>
      <c r="T76" s="410"/>
      <c r="U76" s="411">
        <v>0</v>
      </c>
      <c r="V76" s="411">
        <v>0</v>
      </c>
      <c r="W76" s="411">
        <v>0</v>
      </c>
      <c r="X76" s="411"/>
      <c r="Y76" s="411"/>
      <c r="Z76" s="412">
        <f t="shared" si="6"/>
        <v>0</v>
      </c>
      <c r="AA76" s="456">
        <f t="shared" si="7"/>
        <v>0</v>
      </c>
      <c r="AB76" s="456">
        <v>0</v>
      </c>
      <c r="AC76" s="2"/>
      <c r="AD76" s="4"/>
      <c r="AE76" s="5"/>
      <c r="AF76" s="428"/>
    </row>
    <row r="77" spans="1:32" x14ac:dyDescent="0.25">
      <c r="A77" s="1" t="s">
        <v>2526</v>
      </c>
      <c r="B77" s="3" t="s">
        <v>1368</v>
      </c>
      <c r="C77" s="3" t="s">
        <v>1247</v>
      </c>
      <c r="D77" s="407" t="s">
        <v>1401</v>
      </c>
      <c r="E77" s="3" t="s">
        <v>1839</v>
      </c>
      <c r="F77" s="407" t="s">
        <v>4478</v>
      </c>
      <c r="G77" s="440" t="s">
        <v>4109</v>
      </c>
      <c r="H77" s="407" t="s">
        <v>4299</v>
      </c>
      <c r="I77" s="407" t="s">
        <v>3780</v>
      </c>
      <c r="J77" s="387" t="s">
        <v>4657</v>
      </c>
      <c r="K77" s="387">
        <v>3</v>
      </c>
      <c r="L77" s="387">
        <v>0</v>
      </c>
      <c r="M77" s="387">
        <f t="shared" si="4"/>
        <v>3</v>
      </c>
      <c r="N77" s="442">
        <f t="shared" si="5"/>
        <v>0</v>
      </c>
      <c r="O77" s="387" t="s">
        <v>1358</v>
      </c>
      <c r="P77" s="459">
        <v>0</v>
      </c>
      <c r="Q77" s="459"/>
      <c r="R77" s="456">
        <v>0</v>
      </c>
      <c r="S77" s="456">
        <v>56.259</v>
      </c>
      <c r="T77" s="410"/>
      <c r="U77" s="411">
        <v>0</v>
      </c>
      <c r="V77" s="411">
        <v>0</v>
      </c>
      <c r="W77" s="411">
        <v>0</v>
      </c>
      <c r="X77" s="411"/>
      <c r="Y77" s="411"/>
      <c r="Z77" s="412">
        <f t="shared" si="6"/>
        <v>0</v>
      </c>
      <c r="AA77" s="456">
        <f t="shared" si="7"/>
        <v>0</v>
      </c>
      <c r="AB77" s="456">
        <v>0</v>
      </c>
      <c r="AC77" s="2"/>
      <c r="AD77" s="4"/>
      <c r="AE77" s="5"/>
      <c r="AF77" s="428"/>
    </row>
    <row r="78" spans="1:32" x14ac:dyDescent="0.25">
      <c r="A78" s="1" t="s">
        <v>2527</v>
      </c>
      <c r="B78" s="3" t="s">
        <v>1368</v>
      </c>
      <c r="C78" s="3" t="s">
        <v>1247</v>
      </c>
      <c r="D78" s="407" t="s">
        <v>3293</v>
      </c>
      <c r="E78" s="3" t="s">
        <v>1840</v>
      </c>
      <c r="F78" s="407" t="s">
        <v>4503</v>
      </c>
      <c r="G78" s="440" t="s">
        <v>4109</v>
      </c>
      <c r="H78" s="407" t="s">
        <v>4324</v>
      </c>
      <c r="I78" s="407" t="s">
        <v>3798</v>
      </c>
      <c r="J78" s="387" t="s">
        <v>4658</v>
      </c>
      <c r="K78" s="387">
        <v>1</v>
      </c>
      <c r="L78" s="387">
        <v>0</v>
      </c>
      <c r="M78" s="387">
        <f t="shared" si="4"/>
        <v>1</v>
      </c>
      <c r="N78" s="442">
        <f t="shared" si="5"/>
        <v>0</v>
      </c>
      <c r="O78" s="387" t="s">
        <v>1358</v>
      </c>
      <c r="P78" s="459">
        <v>0</v>
      </c>
      <c r="Q78" s="459"/>
      <c r="R78" s="456">
        <v>0</v>
      </c>
      <c r="S78" s="456">
        <v>4.2050000000000001</v>
      </c>
      <c r="T78" s="410"/>
      <c r="U78" s="411">
        <v>1</v>
      </c>
      <c r="V78" s="411">
        <v>1</v>
      </c>
      <c r="W78" s="411">
        <v>1</v>
      </c>
      <c r="X78" s="411"/>
      <c r="Y78" s="411"/>
      <c r="Z78" s="412">
        <f t="shared" si="6"/>
        <v>0</v>
      </c>
      <c r="AA78" s="456">
        <f t="shared" si="7"/>
        <v>0</v>
      </c>
      <c r="AB78" s="456">
        <v>0</v>
      </c>
      <c r="AC78" s="2"/>
      <c r="AD78" s="4"/>
      <c r="AE78" s="5"/>
      <c r="AF78" s="428"/>
    </row>
    <row r="79" spans="1:32" x14ac:dyDescent="0.25">
      <c r="A79" s="1" t="s">
        <v>2528</v>
      </c>
      <c r="B79" s="3" t="s">
        <v>1368</v>
      </c>
      <c r="C79" s="3" t="s">
        <v>1247</v>
      </c>
      <c r="D79" s="407" t="s">
        <v>3294</v>
      </c>
      <c r="E79" s="3" t="s">
        <v>1841</v>
      </c>
      <c r="F79" s="407" t="s">
        <v>4500</v>
      </c>
      <c r="G79" s="440" t="s">
        <v>4109</v>
      </c>
      <c r="H79" s="407" t="s">
        <v>4321</v>
      </c>
      <c r="I79" s="407" t="s">
        <v>3755</v>
      </c>
      <c r="J79" s="387" t="s">
        <v>4654</v>
      </c>
      <c r="K79" s="387">
        <v>1</v>
      </c>
      <c r="L79" s="387">
        <v>0</v>
      </c>
      <c r="M79" s="387">
        <f t="shared" si="4"/>
        <v>1</v>
      </c>
      <c r="N79" s="442">
        <f t="shared" si="5"/>
        <v>0</v>
      </c>
      <c r="O79" s="387" t="s">
        <v>1358</v>
      </c>
      <c r="P79" s="459">
        <v>0</v>
      </c>
      <c r="Q79" s="459"/>
      <c r="R79" s="456">
        <v>0</v>
      </c>
      <c r="S79" s="456">
        <v>25.097999999999999</v>
      </c>
      <c r="T79" s="410"/>
      <c r="U79" s="411">
        <v>1</v>
      </c>
      <c r="V79" s="411">
        <v>1</v>
      </c>
      <c r="W79" s="411">
        <v>1</v>
      </c>
      <c r="X79" s="411"/>
      <c r="Y79" s="411"/>
      <c r="Z79" s="412">
        <f t="shared" si="6"/>
        <v>0</v>
      </c>
      <c r="AA79" s="456">
        <f t="shared" si="7"/>
        <v>0</v>
      </c>
      <c r="AB79" s="456">
        <v>0</v>
      </c>
      <c r="AC79" s="2"/>
      <c r="AD79" s="4"/>
      <c r="AE79" s="5"/>
      <c r="AF79" s="428"/>
    </row>
    <row r="80" spans="1:32" x14ac:dyDescent="0.25">
      <c r="A80" s="1" t="s">
        <v>2529</v>
      </c>
      <c r="B80" s="3" t="s">
        <v>1368</v>
      </c>
      <c r="C80" s="3" t="s">
        <v>1247</v>
      </c>
      <c r="D80" s="407" t="s">
        <v>1374</v>
      </c>
      <c r="E80" s="3" t="s">
        <v>1842</v>
      </c>
      <c r="F80" s="407" t="s">
        <v>4495</v>
      </c>
      <c r="G80" s="440" t="s">
        <v>4109</v>
      </c>
      <c r="H80" s="407" t="s">
        <v>4316</v>
      </c>
      <c r="I80" s="407" t="s">
        <v>3757</v>
      </c>
      <c r="J80" s="387" t="s">
        <v>4665</v>
      </c>
      <c r="K80" s="387">
        <v>2</v>
      </c>
      <c r="L80" s="387">
        <v>0</v>
      </c>
      <c r="M80" s="387">
        <f t="shared" si="4"/>
        <v>2</v>
      </c>
      <c r="N80" s="442">
        <f t="shared" si="5"/>
        <v>0</v>
      </c>
      <c r="O80" s="387" t="s">
        <v>1358</v>
      </c>
      <c r="P80" s="459">
        <v>52</v>
      </c>
      <c r="Q80" s="459"/>
      <c r="R80" s="456">
        <v>0</v>
      </c>
      <c r="S80" s="456">
        <v>52</v>
      </c>
      <c r="T80" s="410"/>
      <c r="U80" s="411">
        <v>1</v>
      </c>
      <c r="V80" s="411">
        <v>1</v>
      </c>
      <c r="W80" s="411">
        <v>1</v>
      </c>
      <c r="X80" s="411"/>
      <c r="Y80" s="411"/>
      <c r="Z80" s="412">
        <f t="shared" si="6"/>
        <v>0</v>
      </c>
      <c r="AA80" s="456">
        <f t="shared" si="7"/>
        <v>0</v>
      </c>
      <c r="AB80" s="456">
        <v>0</v>
      </c>
      <c r="AC80" s="2"/>
      <c r="AD80" s="4"/>
      <c r="AE80" s="5"/>
      <c r="AF80" s="428"/>
    </row>
    <row r="81" spans="1:32" x14ac:dyDescent="0.25">
      <c r="A81" s="1" t="s">
        <v>2530</v>
      </c>
      <c r="B81" s="3" t="s">
        <v>1368</v>
      </c>
      <c r="C81" s="3" t="s">
        <v>1247</v>
      </c>
      <c r="D81" s="407" t="s">
        <v>1377</v>
      </c>
      <c r="E81" s="3" t="s">
        <v>1843</v>
      </c>
      <c r="F81" s="407" t="s">
        <v>4494</v>
      </c>
      <c r="G81" s="440" t="s">
        <v>4109</v>
      </c>
      <c r="H81" s="407" t="s">
        <v>4315</v>
      </c>
      <c r="I81" s="407" t="s">
        <v>3749</v>
      </c>
      <c r="J81" s="387" t="s">
        <v>4648</v>
      </c>
      <c r="K81" s="387">
        <v>1</v>
      </c>
      <c r="L81" s="387">
        <v>0</v>
      </c>
      <c r="M81" s="387">
        <f t="shared" si="4"/>
        <v>1</v>
      </c>
      <c r="N81" s="442">
        <f t="shared" si="5"/>
        <v>0</v>
      </c>
      <c r="O81" s="387" t="s">
        <v>1358</v>
      </c>
      <c r="P81" s="459">
        <v>0</v>
      </c>
      <c r="Q81" s="459"/>
      <c r="R81" s="456">
        <v>0</v>
      </c>
      <c r="S81" s="456">
        <v>25.07</v>
      </c>
      <c r="T81" s="410"/>
      <c r="U81" s="411">
        <v>1</v>
      </c>
      <c r="V81" s="411">
        <v>1</v>
      </c>
      <c r="W81" s="411">
        <v>1</v>
      </c>
      <c r="X81" s="411"/>
      <c r="Y81" s="411"/>
      <c r="Z81" s="412">
        <f t="shared" si="6"/>
        <v>0</v>
      </c>
      <c r="AA81" s="456">
        <f t="shared" si="7"/>
        <v>0</v>
      </c>
      <c r="AB81" s="456">
        <v>0</v>
      </c>
      <c r="AC81" s="2"/>
      <c r="AD81" s="4"/>
      <c r="AE81" s="5"/>
      <c r="AF81" s="428"/>
    </row>
    <row r="82" spans="1:32" x14ac:dyDescent="0.25">
      <c r="A82" s="1" t="s">
        <v>2531</v>
      </c>
      <c r="B82" s="3" t="s">
        <v>1368</v>
      </c>
      <c r="C82" s="3" t="s">
        <v>1247</v>
      </c>
      <c r="D82" s="407" t="s">
        <v>1379</v>
      </c>
      <c r="E82" s="3" t="s">
        <v>1844</v>
      </c>
      <c r="F82" s="407" t="s">
        <v>4502</v>
      </c>
      <c r="G82" s="440" t="s">
        <v>4109</v>
      </c>
      <c r="H82" s="407" t="s">
        <v>4323</v>
      </c>
      <c r="I82" s="407" t="s">
        <v>3750</v>
      </c>
      <c r="J82" s="387" t="s">
        <v>4632</v>
      </c>
      <c r="K82" s="387">
        <v>2</v>
      </c>
      <c r="L82" s="387">
        <v>0</v>
      </c>
      <c r="M82" s="387">
        <f t="shared" si="4"/>
        <v>2</v>
      </c>
      <c r="N82" s="442">
        <f t="shared" si="5"/>
        <v>0</v>
      </c>
      <c r="O82" s="387" t="s">
        <v>1358</v>
      </c>
      <c r="P82" s="459">
        <v>0</v>
      </c>
      <c r="Q82" s="459"/>
      <c r="R82" s="456">
        <v>0</v>
      </c>
      <c r="S82" s="456">
        <v>50.14</v>
      </c>
      <c r="T82" s="410"/>
      <c r="U82" s="411">
        <v>1</v>
      </c>
      <c r="V82" s="411">
        <v>1</v>
      </c>
      <c r="W82" s="411">
        <v>1</v>
      </c>
      <c r="X82" s="411"/>
      <c r="Y82" s="411"/>
      <c r="Z82" s="412">
        <f t="shared" si="6"/>
        <v>0</v>
      </c>
      <c r="AA82" s="456">
        <f t="shared" si="7"/>
        <v>0</v>
      </c>
      <c r="AB82" s="456">
        <v>0</v>
      </c>
      <c r="AC82" s="2"/>
      <c r="AD82" s="4"/>
      <c r="AE82" s="5"/>
      <c r="AF82" s="428"/>
    </row>
    <row r="83" spans="1:32" x14ac:dyDescent="0.25">
      <c r="A83" s="1" t="s">
        <v>2532</v>
      </c>
      <c r="B83" s="3" t="s">
        <v>1368</v>
      </c>
      <c r="C83" s="3" t="s">
        <v>1247</v>
      </c>
      <c r="D83" s="407" t="s">
        <v>1381</v>
      </c>
      <c r="E83" s="3" t="s">
        <v>1845</v>
      </c>
      <c r="F83" s="407" t="s">
        <v>4497</v>
      </c>
      <c r="G83" s="440" t="s">
        <v>4109</v>
      </c>
      <c r="H83" s="407" t="s">
        <v>4318</v>
      </c>
      <c r="I83" s="407" t="s">
        <v>3751</v>
      </c>
      <c r="J83" s="387" t="s">
        <v>4631</v>
      </c>
      <c r="K83" s="387">
        <v>2</v>
      </c>
      <c r="L83" s="387">
        <v>0</v>
      </c>
      <c r="M83" s="387">
        <f t="shared" si="4"/>
        <v>2</v>
      </c>
      <c r="N83" s="442">
        <f t="shared" si="5"/>
        <v>0</v>
      </c>
      <c r="O83" s="387" t="s">
        <v>1358</v>
      </c>
      <c r="P83" s="459">
        <v>0</v>
      </c>
      <c r="Q83" s="459"/>
      <c r="R83" s="456">
        <v>0</v>
      </c>
      <c r="S83" s="456">
        <v>50.14</v>
      </c>
      <c r="T83" s="410"/>
      <c r="U83" s="411">
        <v>1</v>
      </c>
      <c r="V83" s="411">
        <v>1</v>
      </c>
      <c r="W83" s="411">
        <v>1</v>
      </c>
      <c r="X83" s="411"/>
      <c r="Y83" s="411"/>
      <c r="Z83" s="412">
        <f t="shared" si="6"/>
        <v>0</v>
      </c>
      <c r="AA83" s="456">
        <f t="shared" si="7"/>
        <v>0</v>
      </c>
      <c r="AB83" s="456">
        <v>0</v>
      </c>
      <c r="AC83" s="2"/>
      <c r="AD83" s="4"/>
      <c r="AE83" s="5"/>
      <c r="AF83" s="428"/>
    </row>
    <row r="84" spans="1:32" x14ac:dyDescent="0.25">
      <c r="A84" s="1" t="s">
        <v>2533</v>
      </c>
      <c r="B84" s="3" t="s">
        <v>1368</v>
      </c>
      <c r="C84" s="3" t="s">
        <v>1247</v>
      </c>
      <c r="D84" s="407" t="s">
        <v>1396</v>
      </c>
      <c r="E84" s="3" t="s">
        <v>1846</v>
      </c>
      <c r="F84" s="407" t="s">
        <v>4498</v>
      </c>
      <c r="G84" s="440" t="s">
        <v>4109</v>
      </c>
      <c r="H84" s="407" t="s">
        <v>4319</v>
      </c>
      <c r="I84" s="407" t="s">
        <v>3752</v>
      </c>
      <c r="J84" s="387" t="s">
        <v>4652</v>
      </c>
      <c r="K84" s="387">
        <v>2</v>
      </c>
      <c r="L84" s="387">
        <v>0</v>
      </c>
      <c r="M84" s="387">
        <f t="shared" si="4"/>
        <v>2</v>
      </c>
      <c r="N84" s="442">
        <f t="shared" si="5"/>
        <v>0</v>
      </c>
      <c r="O84" s="387" t="s">
        <v>1358</v>
      </c>
      <c r="P84" s="459">
        <v>0</v>
      </c>
      <c r="Q84" s="459"/>
      <c r="R84" s="456">
        <v>0</v>
      </c>
      <c r="S84" s="456">
        <v>50.14</v>
      </c>
      <c r="T84" s="410"/>
      <c r="U84" s="411">
        <v>1</v>
      </c>
      <c r="V84" s="411">
        <v>1</v>
      </c>
      <c r="W84" s="411">
        <v>1</v>
      </c>
      <c r="X84" s="411"/>
      <c r="Y84" s="411"/>
      <c r="Z84" s="412">
        <f t="shared" si="6"/>
        <v>0</v>
      </c>
      <c r="AA84" s="456">
        <f t="shared" si="7"/>
        <v>0</v>
      </c>
      <c r="AB84" s="456">
        <v>0</v>
      </c>
      <c r="AC84" s="2"/>
      <c r="AD84" s="4"/>
      <c r="AE84" s="5"/>
      <c r="AF84" s="428"/>
    </row>
    <row r="85" spans="1:32" x14ac:dyDescent="0.25">
      <c r="A85" s="1" t="s">
        <v>2534</v>
      </c>
      <c r="B85" s="3" t="s">
        <v>1368</v>
      </c>
      <c r="C85" s="3" t="s">
        <v>1247</v>
      </c>
      <c r="D85" s="407" t="s">
        <v>1399</v>
      </c>
      <c r="E85" s="3" t="s">
        <v>1847</v>
      </c>
      <c r="F85" s="407" t="s">
        <v>4499</v>
      </c>
      <c r="G85" s="440" t="s">
        <v>4109</v>
      </c>
      <c r="H85" s="407" t="s">
        <v>4320</v>
      </c>
      <c r="I85" s="407" t="s">
        <v>3758</v>
      </c>
      <c r="J85" s="387" t="s">
        <v>4653</v>
      </c>
      <c r="K85" s="387">
        <v>2</v>
      </c>
      <c r="L85" s="387">
        <v>0</v>
      </c>
      <c r="M85" s="387">
        <f t="shared" si="4"/>
        <v>2</v>
      </c>
      <c r="N85" s="442">
        <f t="shared" si="5"/>
        <v>0</v>
      </c>
      <c r="O85" s="387" t="s">
        <v>1358</v>
      </c>
      <c r="P85" s="459">
        <v>0</v>
      </c>
      <c r="Q85" s="459"/>
      <c r="R85" s="456">
        <v>0</v>
      </c>
      <c r="S85" s="456">
        <v>50.14</v>
      </c>
      <c r="T85" s="410"/>
      <c r="U85" s="411">
        <v>1</v>
      </c>
      <c r="V85" s="411">
        <v>1</v>
      </c>
      <c r="W85" s="411">
        <v>1</v>
      </c>
      <c r="X85" s="411"/>
      <c r="Y85" s="411"/>
      <c r="Z85" s="412">
        <f t="shared" si="6"/>
        <v>0</v>
      </c>
      <c r="AA85" s="456">
        <f t="shared" si="7"/>
        <v>0</v>
      </c>
      <c r="AB85" s="456">
        <v>0</v>
      </c>
      <c r="AC85" s="2"/>
      <c r="AD85" s="4"/>
      <c r="AE85" s="5"/>
      <c r="AF85" s="428"/>
    </row>
    <row r="86" spans="1:32" x14ac:dyDescent="0.25">
      <c r="A86" s="1" t="s">
        <v>2535</v>
      </c>
      <c r="B86" s="3" t="s">
        <v>1368</v>
      </c>
      <c r="C86" s="3" t="s">
        <v>1247</v>
      </c>
      <c r="D86" s="407" t="s">
        <v>1400</v>
      </c>
      <c r="E86" s="3" t="s">
        <v>1848</v>
      </c>
      <c r="F86" s="407" t="s">
        <v>4477</v>
      </c>
      <c r="G86" s="440" t="s">
        <v>4109</v>
      </c>
      <c r="H86" s="407" t="s">
        <v>4298</v>
      </c>
      <c r="I86" s="407" t="s">
        <v>3779</v>
      </c>
      <c r="J86" s="387" t="s">
        <v>4656</v>
      </c>
      <c r="K86" s="387">
        <v>2</v>
      </c>
      <c r="L86" s="387">
        <v>0</v>
      </c>
      <c r="M86" s="387">
        <f t="shared" si="4"/>
        <v>2</v>
      </c>
      <c r="N86" s="442">
        <f t="shared" si="5"/>
        <v>0</v>
      </c>
      <c r="O86" s="387" t="s">
        <v>1358</v>
      </c>
      <c r="P86" s="459">
        <v>0</v>
      </c>
      <c r="Q86" s="459"/>
      <c r="R86" s="456">
        <v>0</v>
      </c>
      <c r="S86" s="456">
        <v>50.14</v>
      </c>
      <c r="T86" s="410"/>
      <c r="U86" s="411">
        <v>0</v>
      </c>
      <c r="V86" s="411">
        <v>0</v>
      </c>
      <c r="W86" s="411">
        <v>0</v>
      </c>
      <c r="X86" s="411"/>
      <c r="Y86" s="411"/>
      <c r="Z86" s="412">
        <f t="shared" si="6"/>
        <v>0</v>
      </c>
      <c r="AA86" s="456">
        <f t="shared" si="7"/>
        <v>0</v>
      </c>
      <c r="AB86" s="456">
        <v>0</v>
      </c>
      <c r="AC86" s="2"/>
      <c r="AD86" s="4"/>
      <c r="AE86" s="5"/>
      <c r="AF86" s="428"/>
    </row>
    <row r="87" spans="1:32" x14ac:dyDescent="0.25">
      <c r="A87" s="1" t="s">
        <v>2536</v>
      </c>
      <c r="B87" s="3" t="s">
        <v>1368</v>
      </c>
      <c r="C87" s="3" t="s">
        <v>1247</v>
      </c>
      <c r="D87" s="407" t="s">
        <v>3294</v>
      </c>
      <c r="E87" s="3" t="s">
        <v>1849</v>
      </c>
      <c r="F87" s="407" t="s">
        <v>4500</v>
      </c>
      <c r="G87" s="440" t="s">
        <v>4109</v>
      </c>
      <c r="H87" s="407" t="s">
        <v>4321</v>
      </c>
      <c r="I87" s="407" t="s">
        <v>3755</v>
      </c>
      <c r="J87" s="387" t="s">
        <v>4654</v>
      </c>
      <c r="K87" s="387">
        <v>1</v>
      </c>
      <c r="L87" s="387">
        <v>0</v>
      </c>
      <c r="M87" s="387">
        <f t="shared" si="4"/>
        <v>1</v>
      </c>
      <c r="N87" s="442">
        <f t="shared" si="5"/>
        <v>0</v>
      </c>
      <c r="O87" s="387" t="s">
        <v>1358</v>
      </c>
      <c r="P87" s="459">
        <v>0</v>
      </c>
      <c r="Q87" s="459"/>
      <c r="R87" s="456">
        <v>0</v>
      </c>
      <c r="S87" s="456">
        <v>26.602</v>
      </c>
      <c r="T87" s="410"/>
      <c r="U87" s="411">
        <v>1</v>
      </c>
      <c r="V87" s="411">
        <v>1</v>
      </c>
      <c r="W87" s="411">
        <v>1</v>
      </c>
      <c r="X87" s="411"/>
      <c r="Y87" s="411"/>
      <c r="Z87" s="412">
        <f t="shared" si="6"/>
        <v>0</v>
      </c>
      <c r="AA87" s="456">
        <f t="shared" si="7"/>
        <v>0</v>
      </c>
      <c r="AB87" s="456">
        <v>0</v>
      </c>
      <c r="AC87" s="2"/>
      <c r="AD87" s="4"/>
      <c r="AE87" s="5"/>
      <c r="AF87" s="428"/>
    </row>
    <row r="88" spans="1:32" x14ac:dyDescent="0.25">
      <c r="A88" s="1" t="s">
        <v>2537</v>
      </c>
      <c r="B88" s="3" t="s">
        <v>1368</v>
      </c>
      <c r="C88" s="3" t="s">
        <v>1247</v>
      </c>
      <c r="D88" s="407" t="s">
        <v>1374</v>
      </c>
      <c r="E88" s="3" t="s">
        <v>1850</v>
      </c>
      <c r="F88" s="407" t="s">
        <v>4495</v>
      </c>
      <c r="G88" s="440" t="s">
        <v>4109</v>
      </c>
      <c r="H88" s="407" t="s">
        <v>4316</v>
      </c>
      <c r="I88" s="407" t="s">
        <v>3757</v>
      </c>
      <c r="J88" s="387" t="s">
        <v>4665</v>
      </c>
      <c r="K88" s="387">
        <v>2</v>
      </c>
      <c r="L88" s="387">
        <v>0</v>
      </c>
      <c r="M88" s="387">
        <f t="shared" si="4"/>
        <v>2</v>
      </c>
      <c r="N88" s="442">
        <f t="shared" si="5"/>
        <v>2</v>
      </c>
      <c r="O88" s="387" t="s">
        <v>1358</v>
      </c>
      <c r="P88" s="459">
        <v>0</v>
      </c>
      <c r="Q88" s="459"/>
      <c r="R88" s="456">
        <v>0</v>
      </c>
      <c r="S88" s="456">
        <v>50.14</v>
      </c>
      <c r="T88" s="410"/>
      <c r="U88" s="411">
        <v>1</v>
      </c>
      <c r="V88" s="411">
        <v>0.1</v>
      </c>
      <c r="W88" s="411">
        <v>1</v>
      </c>
      <c r="X88" s="411"/>
      <c r="Y88" s="411"/>
      <c r="Z88" s="412">
        <f t="shared" si="6"/>
        <v>1</v>
      </c>
      <c r="AA88" s="456">
        <v>50.14</v>
      </c>
      <c r="AB88" s="456">
        <v>0</v>
      </c>
      <c r="AC88" s="2"/>
      <c r="AD88" s="4"/>
      <c r="AE88" s="5"/>
      <c r="AF88" s="428"/>
    </row>
    <row r="89" spans="1:32" x14ac:dyDescent="0.25">
      <c r="A89" s="1" t="s">
        <v>2538</v>
      </c>
      <c r="B89" s="3" t="s">
        <v>1368</v>
      </c>
      <c r="C89" s="3" t="s">
        <v>1247</v>
      </c>
      <c r="D89" s="407" t="s">
        <v>1377</v>
      </c>
      <c r="E89" s="3" t="s">
        <v>1851</v>
      </c>
      <c r="F89" s="407" t="s">
        <v>4494</v>
      </c>
      <c r="G89" s="440" t="s">
        <v>4109</v>
      </c>
      <c r="H89" s="407" t="s">
        <v>4315</v>
      </c>
      <c r="I89" s="407" t="s">
        <v>3749</v>
      </c>
      <c r="J89" s="387" t="s">
        <v>4648</v>
      </c>
      <c r="K89" s="387">
        <v>1</v>
      </c>
      <c r="L89" s="387">
        <v>0</v>
      </c>
      <c r="M89" s="387">
        <f t="shared" si="4"/>
        <v>1</v>
      </c>
      <c r="N89" s="442">
        <f t="shared" si="5"/>
        <v>0</v>
      </c>
      <c r="O89" s="387" t="s">
        <v>1358</v>
      </c>
      <c r="P89" s="459">
        <v>0</v>
      </c>
      <c r="Q89" s="459"/>
      <c r="R89" s="456">
        <v>0</v>
      </c>
      <c r="S89" s="456">
        <v>25.85</v>
      </c>
      <c r="T89" s="410"/>
      <c r="U89" s="411">
        <v>1</v>
      </c>
      <c r="V89" s="411">
        <v>1</v>
      </c>
      <c r="W89" s="411">
        <v>1</v>
      </c>
      <c r="X89" s="411"/>
      <c r="Y89" s="411"/>
      <c r="Z89" s="412">
        <f t="shared" si="6"/>
        <v>0</v>
      </c>
      <c r="AA89" s="456">
        <f t="shared" si="7"/>
        <v>0</v>
      </c>
      <c r="AB89" s="456">
        <v>0</v>
      </c>
      <c r="AC89" s="2"/>
      <c r="AD89" s="4"/>
      <c r="AE89" s="5"/>
      <c r="AF89" s="428"/>
    </row>
    <row r="90" spans="1:32" x14ac:dyDescent="0.25">
      <c r="A90" s="1" t="s">
        <v>2539</v>
      </c>
      <c r="B90" s="3" t="s">
        <v>1368</v>
      </c>
      <c r="C90" s="3" t="s">
        <v>1247</v>
      </c>
      <c r="D90" s="407" t="s">
        <v>1402</v>
      </c>
      <c r="E90" s="3" t="s">
        <v>1852</v>
      </c>
      <c r="F90" s="407" t="s">
        <v>4481</v>
      </c>
      <c r="G90" s="440" t="s">
        <v>4109</v>
      </c>
      <c r="H90" s="407" t="s">
        <v>4302</v>
      </c>
      <c r="I90" s="407" t="s">
        <v>3783</v>
      </c>
      <c r="J90" s="387" t="s">
        <v>4659</v>
      </c>
      <c r="K90" s="387">
        <v>1</v>
      </c>
      <c r="L90" s="387">
        <v>0</v>
      </c>
      <c r="M90" s="387">
        <f t="shared" si="4"/>
        <v>1</v>
      </c>
      <c r="N90" s="442">
        <f t="shared" si="5"/>
        <v>0</v>
      </c>
      <c r="O90" s="387" t="s">
        <v>1358</v>
      </c>
      <c r="P90" s="459">
        <v>0</v>
      </c>
      <c r="Q90" s="459"/>
      <c r="R90" s="456">
        <v>0</v>
      </c>
      <c r="S90" s="456">
        <v>25.85</v>
      </c>
      <c r="T90" s="410"/>
      <c r="U90" s="411">
        <v>0</v>
      </c>
      <c r="V90" s="411">
        <v>0</v>
      </c>
      <c r="W90" s="411">
        <v>0</v>
      </c>
      <c r="X90" s="411"/>
      <c r="Y90" s="411"/>
      <c r="Z90" s="412">
        <f t="shared" si="6"/>
        <v>0</v>
      </c>
      <c r="AA90" s="456">
        <f t="shared" si="7"/>
        <v>0</v>
      </c>
      <c r="AB90" s="456">
        <v>0</v>
      </c>
      <c r="AC90" s="2"/>
      <c r="AD90" s="4"/>
      <c r="AE90" s="5"/>
      <c r="AF90" s="428"/>
    </row>
    <row r="91" spans="1:32" x14ac:dyDescent="0.25">
      <c r="A91" s="1" t="s">
        <v>2540</v>
      </c>
      <c r="B91" s="3" t="s">
        <v>1368</v>
      </c>
      <c r="C91" s="3" t="s">
        <v>1247</v>
      </c>
      <c r="D91" s="407" t="s">
        <v>3546</v>
      </c>
      <c r="E91" s="3" t="s">
        <v>1853</v>
      </c>
      <c r="F91" s="407" t="s">
        <v>4482</v>
      </c>
      <c r="G91" s="440" t="s">
        <v>4109</v>
      </c>
      <c r="H91" s="407" t="s">
        <v>4303</v>
      </c>
      <c r="I91" s="407" t="s">
        <v>3784</v>
      </c>
      <c r="J91" s="387" t="s">
        <v>4660</v>
      </c>
      <c r="K91" s="387">
        <v>1</v>
      </c>
      <c r="L91" s="387">
        <v>0</v>
      </c>
      <c r="M91" s="387">
        <f t="shared" si="4"/>
        <v>1</v>
      </c>
      <c r="N91" s="442">
        <f t="shared" si="5"/>
        <v>0</v>
      </c>
      <c r="O91" s="387" t="s">
        <v>1358</v>
      </c>
      <c r="P91" s="459">
        <v>0</v>
      </c>
      <c r="Q91" s="459"/>
      <c r="R91" s="456">
        <v>0</v>
      </c>
      <c r="S91" s="456">
        <v>25.85</v>
      </c>
      <c r="T91" s="410"/>
      <c r="U91" s="411">
        <v>0</v>
      </c>
      <c r="V91" s="411">
        <v>0</v>
      </c>
      <c r="W91" s="411">
        <v>0</v>
      </c>
      <c r="X91" s="411"/>
      <c r="Y91" s="411"/>
      <c r="Z91" s="412">
        <f t="shared" si="6"/>
        <v>0</v>
      </c>
      <c r="AA91" s="456">
        <f t="shared" si="7"/>
        <v>0</v>
      </c>
      <c r="AB91" s="456">
        <v>0</v>
      </c>
      <c r="AC91" s="2"/>
      <c r="AD91" s="4"/>
      <c r="AE91" s="5"/>
      <c r="AF91" s="428"/>
    </row>
    <row r="92" spans="1:32" x14ac:dyDescent="0.25">
      <c r="A92" s="1" t="s">
        <v>2541</v>
      </c>
      <c r="B92" s="3" t="s">
        <v>1368</v>
      </c>
      <c r="C92" s="3" t="s">
        <v>1247</v>
      </c>
      <c r="D92" s="407" t="s">
        <v>3547</v>
      </c>
      <c r="E92" s="3" t="s">
        <v>1854</v>
      </c>
      <c r="F92" s="407" t="s">
        <v>4501</v>
      </c>
      <c r="G92" s="440" t="s">
        <v>4109</v>
      </c>
      <c r="H92" s="407" t="s">
        <v>4322</v>
      </c>
      <c r="I92" s="407" t="s">
        <v>3797</v>
      </c>
      <c r="J92" s="387" t="s">
        <v>4655</v>
      </c>
      <c r="K92" s="387">
        <v>1</v>
      </c>
      <c r="L92" s="387">
        <v>0</v>
      </c>
      <c r="M92" s="387">
        <f t="shared" si="4"/>
        <v>1</v>
      </c>
      <c r="N92" s="442">
        <f t="shared" si="5"/>
        <v>0</v>
      </c>
      <c r="O92" s="387" t="s">
        <v>1358</v>
      </c>
      <c r="P92" s="459">
        <v>0</v>
      </c>
      <c r="Q92" s="459"/>
      <c r="R92" s="456">
        <v>0</v>
      </c>
      <c r="S92" s="456">
        <v>25.85</v>
      </c>
      <c r="T92" s="410"/>
      <c r="U92" s="411">
        <v>0</v>
      </c>
      <c r="V92" s="411">
        <v>0</v>
      </c>
      <c r="W92" s="411">
        <v>0</v>
      </c>
      <c r="X92" s="411"/>
      <c r="Y92" s="411"/>
      <c r="Z92" s="412">
        <f t="shared" si="6"/>
        <v>0</v>
      </c>
      <c r="AA92" s="456">
        <f t="shared" si="7"/>
        <v>0</v>
      </c>
      <c r="AB92" s="456">
        <v>0</v>
      </c>
      <c r="AC92" s="2"/>
      <c r="AD92" s="4"/>
      <c r="AE92" s="5"/>
      <c r="AF92" s="428"/>
    </row>
    <row r="93" spans="1:32" x14ac:dyDescent="0.25">
      <c r="A93" s="1" t="s">
        <v>2542</v>
      </c>
      <c r="B93" s="3" t="s">
        <v>1368</v>
      </c>
      <c r="C93" s="3" t="s">
        <v>1247</v>
      </c>
      <c r="D93" s="407" t="s">
        <v>1401</v>
      </c>
      <c r="E93" s="3" t="s">
        <v>1855</v>
      </c>
      <c r="F93" s="407" t="s">
        <v>4478</v>
      </c>
      <c r="G93" s="440" t="s">
        <v>4109</v>
      </c>
      <c r="H93" s="407" t="s">
        <v>4299</v>
      </c>
      <c r="I93" s="407" t="s">
        <v>3780</v>
      </c>
      <c r="J93" s="387" t="s">
        <v>4657</v>
      </c>
      <c r="K93" s="387">
        <v>1</v>
      </c>
      <c r="L93" s="387">
        <v>0</v>
      </c>
      <c r="M93" s="387">
        <f t="shared" si="4"/>
        <v>1</v>
      </c>
      <c r="N93" s="442">
        <f t="shared" si="5"/>
        <v>0</v>
      </c>
      <c r="O93" s="387" t="s">
        <v>1358</v>
      </c>
      <c r="P93" s="459">
        <v>0</v>
      </c>
      <c r="Q93" s="459"/>
      <c r="R93" s="456">
        <v>0</v>
      </c>
      <c r="S93" s="456">
        <v>25.07</v>
      </c>
      <c r="T93" s="410"/>
      <c r="U93" s="411">
        <v>0</v>
      </c>
      <c r="V93" s="411">
        <v>0</v>
      </c>
      <c r="W93" s="411">
        <v>0</v>
      </c>
      <c r="X93" s="411"/>
      <c r="Y93" s="411"/>
      <c r="Z93" s="412">
        <f t="shared" si="6"/>
        <v>0</v>
      </c>
      <c r="AA93" s="456">
        <f t="shared" si="7"/>
        <v>0</v>
      </c>
      <c r="AB93" s="456">
        <v>0</v>
      </c>
      <c r="AC93" s="2"/>
      <c r="AD93" s="4"/>
      <c r="AE93" s="5"/>
      <c r="AF93" s="428"/>
    </row>
    <row r="94" spans="1:32" x14ac:dyDescent="0.25">
      <c r="A94" s="1" t="s">
        <v>2543</v>
      </c>
      <c r="B94" s="3" t="s">
        <v>1368</v>
      </c>
      <c r="C94" s="3" t="s">
        <v>1247</v>
      </c>
      <c r="D94" s="407" t="s">
        <v>1381</v>
      </c>
      <c r="E94" s="3" t="s">
        <v>1856</v>
      </c>
      <c r="F94" s="407" t="s">
        <v>4497</v>
      </c>
      <c r="G94" s="440" t="s">
        <v>4109</v>
      </c>
      <c r="H94" s="407" t="s">
        <v>4318</v>
      </c>
      <c r="I94" s="407" t="s">
        <v>3751</v>
      </c>
      <c r="J94" s="387" t="s">
        <v>4631</v>
      </c>
      <c r="K94" s="387">
        <v>1</v>
      </c>
      <c r="L94" s="387">
        <v>0</v>
      </c>
      <c r="M94" s="387">
        <f t="shared" si="4"/>
        <v>1</v>
      </c>
      <c r="N94" s="442">
        <f t="shared" si="5"/>
        <v>0</v>
      </c>
      <c r="O94" s="387" t="s">
        <v>1358</v>
      </c>
      <c r="P94" s="459">
        <v>0</v>
      </c>
      <c r="Q94" s="459"/>
      <c r="R94" s="456">
        <v>0</v>
      </c>
      <c r="S94" s="456">
        <v>19.382999999999999</v>
      </c>
      <c r="T94" s="410"/>
      <c r="U94" s="411">
        <v>1</v>
      </c>
      <c r="V94" s="411">
        <v>1</v>
      </c>
      <c r="W94" s="411">
        <v>1</v>
      </c>
      <c r="X94" s="411"/>
      <c r="Y94" s="411"/>
      <c r="Z94" s="412">
        <f t="shared" si="6"/>
        <v>0</v>
      </c>
      <c r="AA94" s="456">
        <f t="shared" si="7"/>
        <v>0</v>
      </c>
      <c r="AB94" s="456">
        <v>0</v>
      </c>
      <c r="AC94" s="2"/>
      <c r="AD94" s="4"/>
      <c r="AE94" s="5"/>
      <c r="AF94" s="428"/>
    </row>
    <row r="95" spans="1:32" x14ac:dyDescent="0.25">
      <c r="A95" s="1" t="s">
        <v>2544</v>
      </c>
      <c r="B95" s="3" t="s">
        <v>1368</v>
      </c>
      <c r="C95" s="3" t="s">
        <v>1247</v>
      </c>
      <c r="D95" s="407" t="s">
        <v>1396</v>
      </c>
      <c r="E95" s="3" t="s">
        <v>1857</v>
      </c>
      <c r="F95" s="407" t="s">
        <v>4498</v>
      </c>
      <c r="G95" s="440" t="s">
        <v>4109</v>
      </c>
      <c r="H95" s="407" t="s">
        <v>4319</v>
      </c>
      <c r="I95" s="407" t="s">
        <v>3752</v>
      </c>
      <c r="J95" s="387" t="s">
        <v>4652</v>
      </c>
      <c r="K95" s="387">
        <v>1</v>
      </c>
      <c r="L95" s="387">
        <v>0</v>
      </c>
      <c r="M95" s="387">
        <f t="shared" si="4"/>
        <v>1</v>
      </c>
      <c r="N95" s="442">
        <f t="shared" si="5"/>
        <v>0</v>
      </c>
      <c r="O95" s="387" t="s">
        <v>1358</v>
      </c>
      <c r="P95" s="459">
        <v>0</v>
      </c>
      <c r="Q95" s="459"/>
      <c r="R95" s="456">
        <v>0</v>
      </c>
      <c r="S95" s="456">
        <v>18.782</v>
      </c>
      <c r="T95" s="410"/>
      <c r="U95" s="411">
        <v>1</v>
      </c>
      <c r="V95" s="411">
        <v>1</v>
      </c>
      <c r="W95" s="411">
        <v>1</v>
      </c>
      <c r="X95" s="411"/>
      <c r="Y95" s="411"/>
      <c r="Z95" s="412">
        <f t="shared" si="6"/>
        <v>0</v>
      </c>
      <c r="AA95" s="456">
        <f t="shared" si="7"/>
        <v>0</v>
      </c>
      <c r="AB95" s="456">
        <v>0</v>
      </c>
      <c r="AC95" s="2"/>
      <c r="AD95" s="4"/>
      <c r="AE95" s="5"/>
      <c r="AF95" s="428"/>
    </row>
    <row r="96" spans="1:32" x14ac:dyDescent="0.25">
      <c r="A96" s="1" t="s">
        <v>2545</v>
      </c>
      <c r="B96" s="3" t="s">
        <v>1368</v>
      </c>
      <c r="C96" s="3" t="s">
        <v>1247</v>
      </c>
      <c r="D96" s="407" t="s">
        <v>3294</v>
      </c>
      <c r="E96" s="3" t="s">
        <v>1858</v>
      </c>
      <c r="F96" s="407" t="s">
        <v>4500</v>
      </c>
      <c r="G96" s="440" t="s">
        <v>4109</v>
      </c>
      <c r="H96" s="407" t="s">
        <v>4321</v>
      </c>
      <c r="I96" s="407" t="s">
        <v>3755</v>
      </c>
      <c r="J96" s="387" t="s">
        <v>4870</v>
      </c>
      <c r="K96" s="387">
        <v>2</v>
      </c>
      <c r="L96" s="387">
        <v>0</v>
      </c>
      <c r="M96" s="387">
        <f t="shared" si="4"/>
        <v>2</v>
      </c>
      <c r="N96" s="442">
        <f t="shared" si="5"/>
        <v>0</v>
      </c>
      <c r="O96" s="387" t="s">
        <v>1358</v>
      </c>
      <c r="P96" s="459">
        <v>0</v>
      </c>
      <c r="Q96" s="459"/>
      <c r="R96" s="456">
        <v>0</v>
      </c>
      <c r="S96" s="456">
        <v>37.6</v>
      </c>
      <c r="T96" s="410"/>
      <c r="U96" s="411">
        <v>1</v>
      </c>
      <c r="V96" s="411">
        <v>1</v>
      </c>
      <c r="W96" s="411">
        <v>1</v>
      </c>
      <c r="X96" s="411"/>
      <c r="Y96" s="411"/>
      <c r="Z96" s="412">
        <f t="shared" si="6"/>
        <v>0</v>
      </c>
      <c r="AA96" s="456">
        <f t="shared" si="7"/>
        <v>0</v>
      </c>
      <c r="AB96" s="456">
        <v>0</v>
      </c>
      <c r="AC96" s="2"/>
      <c r="AD96" s="4"/>
      <c r="AE96" s="5"/>
      <c r="AF96" s="428"/>
    </row>
    <row r="97" spans="1:32" x14ac:dyDescent="0.25">
      <c r="A97" s="1" t="s">
        <v>2546</v>
      </c>
      <c r="B97" s="3" t="s">
        <v>1368</v>
      </c>
      <c r="C97" s="3" t="s">
        <v>1247</v>
      </c>
      <c r="D97" s="407" t="s">
        <v>1374</v>
      </c>
      <c r="E97" s="3" t="s">
        <v>1859</v>
      </c>
      <c r="F97" s="407" t="s">
        <v>4495</v>
      </c>
      <c r="G97" s="440" t="s">
        <v>4109</v>
      </c>
      <c r="H97" s="407" t="s">
        <v>4316</v>
      </c>
      <c r="I97" s="407" t="s">
        <v>3757</v>
      </c>
      <c r="J97" s="387" t="s">
        <v>4665</v>
      </c>
      <c r="K97" s="387">
        <v>2</v>
      </c>
      <c r="L97" s="387">
        <v>0</v>
      </c>
      <c r="M97" s="387">
        <f t="shared" si="4"/>
        <v>2</v>
      </c>
      <c r="N97" s="442">
        <f t="shared" si="5"/>
        <v>0</v>
      </c>
      <c r="O97" s="387" t="s">
        <v>1358</v>
      </c>
      <c r="P97" s="459">
        <v>0</v>
      </c>
      <c r="Q97" s="459"/>
      <c r="R97" s="456">
        <v>0</v>
      </c>
      <c r="S97" s="456">
        <v>38.752000000000002</v>
      </c>
      <c r="T97" s="410"/>
      <c r="U97" s="411">
        <v>1</v>
      </c>
      <c r="V97" s="411">
        <v>1</v>
      </c>
      <c r="W97" s="411">
        <v>1</v>
      </c>
      <c r="X97" s="411"/>
      <c r="Y97" s="411"/>
      <c r="Z97" s="412">
        <f t="shared" si="6"/>
        <v>0</v>
      </c>
      <c r="AA97" s="456">
        <f t="shared" si="7"/>
        <v>0</v>
      </c>
      <c r="AB97" s="456">
        <v>0</v>
      </c>
      <c r="AC97" s="2"/>
      <c r="AD97" s="4"/>
      <c r="AE97" s="5"/>
      <c r="AF97" s="428"/>
    </row>
    <row r="98" spans="1:32" x14ac:dyDescent="0.25">
      <c r="A98" s="1" t="s">
        <v>2547</v>
      </c>
      <c r="B98" s="3" t="s">
        <v>1368</v>
      </c>
      <c r="C98" s="3" t="s">
        <v>1247</v>
      </c>
      <c r="D98" s="407" t="s">
        <v>1377</v>
      </c>
      <c r="E98" s="3" t="s">
        <v>1860</v>
      </c>
      <c r="F98" s="407" t="s">
        <v>4494</v>
      </c>
      <c r="G98" s="440" t="s">
        <v>4109</v>
      </c>
      <c r="H98" s="407" t="s">
        <v>4315</v>
      </c>
      <c r="I98" s="407" t="s">
        <v>3749</v>
      </c>
      <c r="J98" s="387" t="s">
        <v>4648</v>
      </c>
      <c r="K98" s="387">
        <v>1</v>
      </c>
      <c r="L98" s="387">
        <v>0</v>
      </c>
      <c r="M98" s="387">
        <f t="shared" si="4"/>
        <v>1</v>
      </c>
      <c r="N98" s="442">
        <f t="shared" si="5"/>
        <v>0</v>
      </c>
      <c r="O98" s="387" t="s">
        <v>1358</v>
      </c>
      <c r="P98" s="459">
        <v>0</v>
      </c>
      <c r="Q98" s="459"/>
      <c r="R98" s="456">
        <v>0</v>
      </c>
      <c r="S98" s="456">
        <v>19.376000000000001</v>
      </c>
      <c r="T98" s="410"/>
      <c r="U98" s="411">
        <v>1</v>
      </c>
      <c r="V98" s="411">
        <v>1</v>
      </c>
      <c r="W98" s="411">
        <v>1</v>
      </c>
      <c r="X98" s="411"/>
      <c r="Y98" s="411"/>
      <c r="Z98" s="412">
        <f t="shared" si="6"/>
        <v>0</v>
      </c>
      <c r="AA98" s="456">
        <f t="shared" si="7"/>
        <v>0</v>
      </c>
      <c r="AB98" s="456">
        <v>0</v>
      </c>
      <c r="AC98" s="2"/>
      <c r="AD98" s="4"/>
      <c r="AE98" s="5"/>
      <c r="AF98" s="428"/>
    </row>
    <row r="99" spans="1:32" x14ac:dyDescent="0.25">
      <c r="A99" s="1" t="s">
        <v>2548</v>
      </c>
      <c r="B99" s="3" t="s">
        <v>1368</v>
      </c>
      <c r="C99" s="3" t="s">
        <v>1247</v>
      </c>
      <c r="D99" s="407" t="s">
        <v>1379</v>
      </c>
      <c r="E99" s="3" t="s">
        <v>1861</v>
      </c>
      <c r="F99" s="407" t="s">
        <v>4502</v>
      </c>
      <c r="G99" s="440" t="s">
        <v>4109</v>
      </c>
      <c r="H99" s="407" t="s">
        <v>4323</v>
      </c>
      <c r="I99" s="407" t="s">
        <v>3750</v>
      </c>
      <c r="J99" s="387" t="s">
        <v>4632</v>
      </c>
      <c r="K99" s="387">
        <v>2</v>
      </c>
      <c r="L99" s="387">
        <v>0</v>
      </c>
      <c r="M99" s="387">
        <f t="shared" si="4"/>
        <v>2</v>
      </c>
      <c r="N99" s="442">
        <f t="shared" si="5"/>
        <v>0</v>
      </c>
      <c r="O99" s="387" t="s">
        <v>1358</v>
      </c>
      <c r="P99" s="459">
        <v>0</v>
      </c>
      <c r="Q99" s="459"/>
      <c r="R99" s="456">
        <v>0</v>
      </c>
      <c r="S99" s="456">
        <v>38.752000000000002</v>
      </c>
      <c r="T99" s="410"/>
      <c r="U99" s="411">
        <v>1</v>
      </c>
      <c r="V99" s="411">
        <v>1</v>
      </c>
      <c r="W99" s="411">
        <v>1</v>
      </c>
      <c r="X99" s="411"/>
      <c r="Y99" s="411"/>
      <c r="Z99" s="412">
        <f t="shared" si="6"/>
        <v>0</v>
      </c>
      <c r="AA99" s="456">
        <f t="shared" si="7"/>
        <v>0</v>
      </c>
      <c r="AB99" s="456">
        <v>0</v>
      </c>
      <c r="AC99" s="2"/>
      <c r="AD99" s="4"/>
      <c r="AE99" s="5"/>
      <c r="AF99" s="428"/>
    </row>
    <row r="100" spans="1:32" x14ac:dyDescent="0.25">
      <c r="A100" s="1" t="s">
        <v>2549</v>
      </c>
      <c r="B100" s="3" t="s">
        <v>1368</v>
      </c>
      <c r="C100" s="3" t="s">
        <v>1247</v>
      </c>
      <c r="D100" s="407" t="s">
        <v>1381</v>
      </c>
      <c r="E100" s="3" t="s">
        <v>1862</v>
      </c>
      <c r="F100" s="407" t="s">
        <v>4497</v>
      </c>
      <c r="G100" s="440" t="s">
        <v>4109</v>
      </c>
      <c r="H100" s="407" t="s">
        <v>4318</v>
      </c>
      <c r="I100" s="407" t="s">
        <v>3751</v>
      </c>
      <c r="J100" s="387" t="s">
        <v>4631</v>
      </c>
      <c r="K100" s="387">
        <v>2</v>
      </c>
      <c r="L100" s="387">
        <v>0</v>
      </c>
      <c r="M100" s="387">
        <f t="shared" si="4"/>
        <v>2</v>
      </c>
      <c r="N100" s="442">
        <f t="shared" si="5"/>
        <v>0</v>
      </c>
      <c r="O100" s="387" t="s">
        <v>1358</v>
      </c>
      <c r="P100" s="459">
        <v>0</v>
      </c>
      <c r="Q100" s="459"/>
      <c r="R100" s="456">
        <v>0</v>
      </c>
      <c r="S100" s="456">
        <v>38.752000000000002</v>
      </c>
      <c r="T100" s="410"/>
      <c r="U100" s="411">
        <v>1</v>
      </c>
      <c r="V100" s="411">
        <v>1</v>
      </c>
      <c r="W100" s="411">
        <v>1</v>
      </c>
      <c r="X100" s="411"/>
      <c r="Y100" s="411"/>
      <c r="Z100" s="412">
        <f t="shared" si="6"/>
        <v>0</v>
      </c>
      <c r="AA100" s="456">
        <f t="shared" si="7"/>
        <v>0</v>
      </c>
      <c r="AB100" s="456">
        <v>0</v>
      </c>
      <c r="AC100" s="2"/>
      <c r="AD100" s="4"/>
      <c r="AE100" s="5"/>
      <c r="AF100" s="428"/>
    </row>
    <row r="101" spans="1:32" x14ac:dyDescent="0.25">
      <c r="A101" s="1" t="s">
        <v>2550</v>
      </c>
      <c r="B101" s="3" t="s">
        <v>1368</v>
      </c>
      <c r="C101" s="3" t="s">
        <v>1247</v>
      </c>
      <c r="D101" s="407" t="s">
        <v>1396</v>
      </c>
      <c r="E101" s="3" t="s">
        <v>1863</v>
      </c>
      <c r="F101" s="407" t="s">
        <v>4498</v>
      </c>
      <c r="G101" s="440" t="s">
        <v>4109</v>
      </c>
      <c r="H101" s="407" t="s">
        <v>4319</v>
      </c>
      <c r="I101" s="407" t="s">
        <v>3752</v>
      </c>
      <c r="J101" s="387" t="s">
        <v>4652</v>
      </c>
      <c r="K101" s="387">
        <v>2</v>
      </c>
      <c r="L101" s="387">
        <v>0</v>
      </c>
      <c r="M101" s="387">
        <f t="shared" si="4"/>
        <v>2</v>
      </c>
      <c r="N101" s="442">
        <f t="shared" si="5"/>
        <v>0</v>
      </c>
      <c r="O101" s="387" t="s">
        <v>1358</v>
      </c>
      <c r="P101" s="459">
        <v>0</v>
      </c>
      <c r="Q101" s="459"/>
      <c r="R101" s="456">
        <v>0</v>
      </c>
      <c r="S101" s="456">
        <v>38.765999999999998</v>
      </c>
      <c r="T101" s="410"/>
      <c r="U101" s="411">
        <v>1</v>
      </c>
      <c r="V101" s="411">
        <v>1</v>
      </c>
      <c r="W101" s="411">
        <v>1</v>
      </c>
      <c r="X101" s="411"/>
      <c r="Y101" s="411"/>
      <c r="Z101" s="412">
        <f t="shared" si="6"/>
        <v>0</v>
      </c>
      <c r="AA101" s="456">
        <f t="shared" si="7"/>
        <v>0</v>
      </c>
      <c r="AB101" s="456">
        <v>0</v>
      </c>
      <c r="AC101" s="2"/>
      <c r="AD101" s="4"/>
      <c r="AE101" s="5"/>
      <c r="AF101" s="428"/>
    </row>
    <row r="102" spans="1:32" ht="26.25" x14ac:dyDescent="0.25">
      <c r="A102" s="1" t="s">
        <v>2551</v>
      </c>
      <c r="B102" s="3" t="s">
        <v>1368</v>
      </c>
      <c r="C102" s="3" t="s">
        <v>1247</v>
      </c>
      <c r="D102" s="407" t="s">
        <v>1399</v>
      </c>
      <c r="E102" s="3" t="s">
        <v>1864</v>
      </c>
      <c r="F102" s="407" t="s">
        <v>4499</v>
      </c>
      <c r="G102" s="440" t="s">
        <v>4109</v>
      </c>
      <c r="H102" s="407" t="s">
        <v>4320</v>
      </c>
      <c r="I102" s="407" t="s">
        <v>3758</v>
      </c>
      <c r="J102" s="387" t="s">
        <v>4653</v>
      </c>
      <c r="K102" s="387">
        <v>2</v>
      </c>
      <c r="L102" s="387">
        <v>-1</v>
      </c>
      <c r="M102" s="387">
        <f t="shared" si="4"/>
        <v>1</v>
      </c>
      <c r="N102" s="442">
        <f t="shared" si="5"/>
        <v>0</v>
      </c>
      <c r="O102" s="387" t="s">
        <v>1358</v>
      </c>
      <c r="P102" s="459">
        <v>0</v>
      </c>
      <c r="Q102" s="459"/>
      <c r="R102" s="456">
        <v>0</v>
      </c>
      <c r="S102" s="456">
        <v>25.911999999999999</v>
      </c>
      <c r="T102" s="410"/>
      <c r="U102" s="411">
        <v>1</v>
      </c>
      <c r="V102" s="411">
        <v>1</v>
      </c>
      <c r="W102" s="411">
        <v>1</v>
      </c>
      <c r="X102" s="411"/>
      <c r="Y102" s="411"/>
      <c r="Z102" s="412">
        <f t="shared" si="6"/>
        <v>0</v>
      </c>
      <c r="AA102" s="456">
        <f t="shared" si="7"/>
        <v>0</v>
      </c>
      <c r="AB102" s="456">
        <v>0</v>
      </c>
      <c r="AC102" s="2"/>
      <c r="AD102" s="4"/>
      <c r="AE102" s="5" t="s">
        <v>5157</v>
      </c>
      <c r="AF102" s="428"/>
    </row>
    <row r="103" spans="1:32" x14ac:dyDescent="0.25">
      <c r="A103" s="1" t="s">
        <v>2552</v>
      </c>
      <c r="B103" s="3" t="s">
        <v>1368</v>
      </c>
      <c r="C103" s="3" t="s">
        <v>1247</v>
      </c>
      <c r="D103" s="407" t="s">
        <v>3294</v>
      </c>
      <c r="E103" s="3" t="s">
        <v>1865</v>
      </c>
      <c r="F103" s="407" t="s">
        <v>4500</v>
      </c>
      <c r="G103" s="440" t="s">
        <v>4109</v>
      </c>
      <c r="H103" s="407" t="s">
        <v>4321</v>
      </c>
      <c r="I103" s="407" t="s">
        <v>3755</v>
      </c>
      <c r="J103" s="387" t="s">
        <v>4654</v>
      </c>
      <c r="K103" s="387">
        <v>1</v>
      </c>
      <c r="L103" s="387">
        <v>0</v>
      </c>
      <c r="M103" s="387">
        <f t="shared" si="4"/>
        <v>1</v>
      </c>
      <c r="N103" s="442">
        <f t="shared" si="5"/>
        <v>0</v>
      </c>
      <c r="O103" s="387" t="s">
        <v>1358</v>
      </c>
      <c r="P103" s="459">
        <v>0</v>
      </c>
      <c r="Q103" s="459"/>
      <c r="R103" s="456">
        <v>0</v>
      </c>
      <c r="S103" s="456">
        <v>18.812999999999999</v>
      </c>
      <c r="T103" s="410"/>
      <c r="U103" s="411">
        <v>1</v>
      </c>
      <c r="V103" s="411">
        <v>1</v>
      </c>
      <c r="W103" s="411">
        <v>1</v>
      </c>
      <c r="X103" s="411"/>
      <c r="Y103" s="411"/>
      <c r="Z103" s="412">
        <f t="shared" si="6"/>
        <v>0</v>
      </c>
      <c r="AA103" s="456">
        <f t="shared" si="7"/>
        <v>0</v>
      </c>
      <c r="AB103" s="456">
        <v>0</v>
      </c>
      <c r="AC103" s="2"/>
      <c r="AD103" s="4"/>
      <c r="AE103" s="5"/>
      <c r="AF103" s="428"/>
    </row>
    <row r="104" spans="1:32" x14ac:dyDescent="0.25">
      <c r="A104" s="1" t="s">
        <v>2553</v>
      </c>
      <c r="B104" s="3" t="s">
        <v>1368</v>
      </c>
      <c r="C104" s="3" t="s">
        <v>1247</v>
      </c>
      <c r="D104" s="407" t="s">
        <v>1374</v>
      </c>
      <c r="E104" s="3" t="s">
        <v>1866</v>
      </c>
      <c r="F104" s="407" t="s">
        <v>4495</v>
      </c>
      <c r="G104" s="440" t="s">
        <v>4109</v>
      </c>
      <c r="H104" s="407" t="s">
        <v>4316</v>
      </c>
      <c r="I104" s="407" t="s">
        <v>3757</v>
      </c>
      <c r="J104" s="387" t="s">
        <v>4665</v>
      </c>
      <c r="K104" s="387">
        <v>2</v>
      </c>
      <c r="L104" s="387">
        <v>0</v>
      </c>
      <c r="M104" s="387">
        <f t="shared" si="4"/>
        <v>2</v>
      </c>
      <c r="N104" s="442">
        <f t="shared" si="5"/>
        <v>0</v>
      </c>
      <c r="O104" s="387" t="s">
        <v>1358</v>
      </c>
      <c r="P104" s="459">
        <v>0</v>
      </c>
      <c r="Q104" s="459"/>
      <c r="R104" s="456">
        <v>0</v>
      </c>
      <c r="S104" s="456">
        <v>38.752000000000002</v>
      </c>
      <c r="T104" s="410"/>
      <c r="U104" s="411">
        <v>1</v>
      </c>
      <c r="V104" s="411">
        <v>1</v>
      </c>
      <c r="W104" s="411">
        <v>1</v>
      </c>
      <c r="X104" s="411"/>
      <c r="Y104" s="411"/>
      <c r="Z104" s="412">
        <f t="shared" si="6"/>
        <v>0</v>
      </c>
      <c r="AA104" s="456">
        <f t="shared" si="7"/>
        <v>0</v>
      </c>
      <c r="AB104" s="456">
        <v>0</v>
      </c>
      <c r="AC104" s="2"/>
      <c r="AD104" s="4"/>
      <c r="AE104" s="5"/>
      <c r="AF104" s="428"/>
    </row>
    <row r="105" spans="1:32" x14ac:dyDescent="0.25">
      <c r="A105" s="1" t="s">
        <v>2554</v>
      </c>
      <c r="B105" s="3" t="s">
        <v>1368</v>
      </c>
      <c r="C105" s="3" t="s">
        <v>1247</v>
      </c>
      <c r="D105" s="407" t="s">
        <v>1377</v>
      </c>
      <c r="E105" s="3" t="s">
        <v>1867</v>
      </c>
      <c r="F105" s="407" t="s">
        <v>4494</v>
      </c>
      <c r="G105" s="440" t="s">
        <v>4109</v>
      </c>
      <c r="H105" s="407" t="s">
        <v>4315</v>
      </c>
      <c r="I105" s="407" t="s">
        <v>3749</v>
      </c>
      <c r="J105" s="387" t="s">
        <v>4648</v>
      </c>
      <c r="K105" s="387">
        <v>1</v>
      </c>
      <c r="L105" s="387">
        <v>0</v>
      </c>
      <c r="M105" s="387">
        <f t="shared" si="4"/>
        <v>1</v>
      </c>
      <c r="N105" s="442">
        <f t="shared" si="5"/>
        <v>0</v>
      </c>
      <c r="O105" s="387" t="s">
        <v>1358</v>
      </c>
      <c r="P105" s="459">
        <v>0</v>
      </c>
      <c r="Q105" s="459"/>
      <c r="R105" s="456">
        <v>0</v>
      </c>
      <c r="S105" s="456">
        <v>19.376000000000001</v>
      </c>
      <c r="T105" s="410"/>
      <c r="U105" s="411">
        <v>1</v>
      </c>
      <c r="V105" s="411">
        <v>1</v>
      </c>
      <c r="W105" s="411">
        <v>1</v>
      </c>
      <c r="X105" s="411"/>
      <c r="Y105" s="411"/>
      <c r="Z105" s="412">
        <f t="shared" si="6"/>
        <v>0</v>
      </c>
      <c r="AA105" s="456">
        <f t="shared" si="7"/>
        <v>0</v>
      </c>
      <c r="AB105" s="456">
        <v>0</v>
      </c>
      <c r="AC105" s="2"/>
      <c r="AD105" s="4"/>
      <c r="AE105" s="5"/>
      <c r="AF105" s="428"/>
    </row>
    <row r="106" spans="1:32" x14ac:dyDescent="0.25">
      <c r="A106" s="1" t="s">
        <v>2555</v>
      </c>
      <c r="B106" s="3" t="s">
        <v>1368</v>
      </c>
      <c r="C106" s="3" t="s">
        <v>1247</v>
      </c>
      <c r="D106" s="407" t="s">
        <v>1400</v>
      </c>
      <c r="E106" s="3" t="s">
        <v>1868</v>
      </c>
      <c r="F106" s="407" t="s">
        <v>4477</v>
      </c>
      <c r="G106" s="440" t="s">
        <v>4109</v>
      </c>
      <c r="H106" s="407" t="s">
        <v>4298</v>
      </c>
      <c r="I106" s="407" t="s">
        <v>3779</v>
      </c>
      <c r="J106" s="387" t="s">
        <v>4656</v>
      </c>
      <c r="K106" s="387">
        <v>2</v>
      </c>
      <c r="L106" s="387">
        <v>0</v>
      </c>
      <c r="M106" s="387">
        <f t="shared" si="4"/>
        <v>2</v>
      </c>
      <c r="N106" s="442">
        <f t="shared" si="5"/>
        <v>0</v>
      </c>
      <c r="O106" s="387" t="s">
        <v>1358</v>
      </c>
      <c r="P106" s="459">
        <v>0</v>
      </c>
      <c r="Q106" s="459"/>
      <c r="R106" s="456">
        <v>0</v>
      </c>
      <c r="S106" s="456">
        <v>51.823999999999998</v>
      </c>
      <c r="T106" s="410"/>
      <c r="U106" s="411">
        <v>0</v>
      </c>
      <c r="V106" s="411">
        <v>0</v>
      </c>
      <c r="W106" s="411">
        <v>0</v>
      </c>
      <c r="X106" s="411"/>
      <c r="Y106" s="411"/>
      <c r="Z106" s="412">
        <f t="shared" si="6"/>
        <v>0</v>
      </c>
      <c r="AA106" s="456">
        <f t="shared" si="7"/>
        <v>0</v>
      </c>
      <c r="AB106" s="456">
        <v>0</v>
      </c>
      <c r="AC106" s="2"/>
      <c r="AD106" s="4"/>
      <c r="AE106" s="5"/>
      <c r="AF106" s="428"/>
    </row>
    <row r="107" spans="1:32" x14ac:dyDescent="0.25">
      <c r="A107" s="430" t="s">
        <v>5121</v>
      </c>
      <c r="B107" s="3" t="s">
        <v>1368</v>
      </c>
      <c r="C107" s="3" t="s">
        <v>1247</v>
      </c>
      <c r="D107" s="407" t="s">
        <v>1395</v>
      </c>
      <c r="E107" s="3" t="s">
        <v>5036</v>
      </c>
      <c r="F107" s="407"/>
      <c r="G107" s="440"/>
      <c r="H107" s="407"/>
      <c r="I107" s="407"/>
      <c r="J107" s="387" t="s">
        <v>4647</v>
      </c>
      <c r="K107" s="387">
        <v>1</v>
      </c>
      <c r="L107" s="387">
        <v>0</v>
      </c>
      <c r="M107" s="387">
        <f t="shared" si="4"/>
        <v>1</v>
      </c>
      <c r="N107" s="442">
        <f t="shared" si="5"/>
        <v>0</v>
      </c>
      <c r="O107" s="387" t="s">
        <v>1358</v>
      </c>
      <c r="P107" s="459">
        <v>0</v>
      </c>
      <c r="Q107" s="459"/>
      <c r="R107" s="456">
        <v>0</v>
      </c>
      <c r="S107" s="456">
        <v>18.753</v>
      </c>
      <c r="T107" s="410"/>
      <c r="U107" s="411">
        <v>1</v>
      </c>
      <c r="V107" s="411">
        <v>1</v>
      </c>
      <c r="W107" s="411">
        <v>1</v>
      </c>
      <c r="X107" s="411"/>
      <c r="Y107" s="411"/>
      <c r="Z107" s="412">
        <f t="shared" si="6"/>
        <v>0</v>
      </c>
      <c r="AA107" s="456">
        <f t="shared" si="7"/>
        <v>0</v>
      </c>
      <c r="AB107" s="456">
        <v>0</v>
      </c>
      <c r="AC107" s="2"/>
      <c r="AD107" s="4"/>
      <c r="AE107" s="5"/>
      <c r="AF107" s="428"/>
    </row>
    <row r="108" spans="1:32" x14ac:dyDescent="0.25">
      <c r="A108" s="1" t="s">
        <v>2556</v>
      </c>
      <c r="B108" s="3" t="s">
        <v>1368</v>
      </c>
      <c r="C108" s="3" t="s">
        <v>1247</v>
      </c>
      <c r="D108" s="407" t="s">
        <v>1374</v>
      </c>
      <c r="E108" s="3" t="s">
        <v>1869</v>
      </c>
      <c r="F108" s="407" t="s">
        <v>4495</v>
      </c>
      <c r="G108" s="440" t="s">
        <v>4109</v>
      </c>
      <c r="H108" s="407" t="s">
        <v>4316</v>
      </c>
      <c r="I108" s="407" t="s">
        <v>3757</v>
      </c>
      <c r="J108" s="387" t="s">
        <v>4649</v>
      </c>
      <c r="K108" s="387">
        <v>1</v>
      </c>
      <c r="L108" s="387">
        <v>0</v>
      </c>
      <c r="M108" s="387">
        <f t="shared" si="4"/>
        <v>1</v>
      </c>
      <c r="N108" s="442">
        <f t="shared" si="5"/>
        <v>0</v>
      </c>
      <c r="O108" s="387" t="s">
        <v>1358</v>
      </c>
      <c r="P108" s="459">
        <v>0</v>
      </c>
      <c r="Q108" s="459"/>
      <c r="R108" s="456">
        <v>0</v>
      </c>
      <c r="S108" s="456">
        <v>25.07</v>
      </c>
      <c r="T108" s="410"/>
      <c r="U108" s="411">
        <v>1</v>
      </c>
      <c r="V108" s="411">
        <v>1</v>
      </c>
      <c r="W108" s="411">
        <v>1</v>
      </c>
      <c r="X108" s="411"/>
      <c r="Y108" s="411"/>
      <c r="Z108" s="412">
        <f t="shared" si="6"/>
        <v>0</v>
      </c>
      <c r="AA108" s="456">
        <f t="shared" si="7"/>
        <v>0</v>
      </c>
      <c r="AB108" s="456">
        <v>0</v>
      </c>
      <c r="AC108" s="2"/>
      <c r="AD108" s="4"/>
      <c r="AE108" s="5"/>
      <c r="AF108" s="428"/>
    </row>
    <row r="109" spans="1:32" x14ac:dyDescent="0.25">
      <c r="A109" s="1" t="s">
        <v>2557</v>
      </c>
      <c r="B109" s="3" t="s">
        <v>1368</v>
      </c>
      <c r="C109" s="3" t="s">
        <v>1247</v>
      </c>
      <c r="D109" s="407" t="s">
        <v>1377</v>
      </c>
      <c r="E109" s="3" t="s">
        <v>1870</v>
      </c>
      <c r="F109" s="407" t="s">
        <v>4494</v>
      </c>
      <c r="G109" s="440" t="s">
        <v>4109</v>
      </c>
      <c r="H109" s="407" t="s">
        <v>4315</v>
      </c>
      <c r="I109" s="407" t="s">
        <v>3749</v>
      </c>
      <c r="J109" s="387" t="s">
        <v>4648</v>
      </c>
      <c r="K109" s="387">
        <v>1</v>
      </c>
      <c r="L109" s="387">
        <v>0</v>
      </c>
      <c r="M109" s="387">
        <f t="shared" si="4"/>
        <v>1</v>
      </c>
      <c r="N109" s="442">
        <f t="shared" si="5"/>
        <v>0</v>
      </c>
      <c r="O109" s="387" t="s">
        <v>1358</v>
      </c>
      <c r="P109" s="459">
        <v>0</v>
      </c>
      <c r="Q109" s="459"/>
      <c r="R109" s="456">
        <v>0</v>
      </c>
      <c r="S109" s="456">
        <v>25.07</v>
      </c>
      <c r="T109" s="410"/>
      <c r="U109" s="411">
        <v>1</v>
      </c>
      <c r="V109" s="411">
        <v>1</v>
      </c>
      <c r="W109" s="411">
        <v>1</v>
      </c>
      <c r="X109" s="411"/>
      <c r="Y109" s="411"/>
      <c r="Z109" s="412">
        <f t="shared" si="6"/>
        <v>0</v>
      </c>
      <c r="AA109" s="456">
        <f t="shared" si="7"/>
        <v>0</v>
      </c>
      <c r="AB109" s="456">
        <v>0</v>
      </c>
      <c r="AC109" s="2"/>
      <c r="AD109" s="4"/>
      <c r="AE109" s="5"/>
      <c r="AF109" s="428"/>
    </row>
    <row r="110" spans="1:32" x14ac:dyDescent="0.25">
      <c r="A110" s="1" t="s">
        <v>2558</v>
      </c>
      <c r="B110" s="3" t="s">
        <v>1368</v>
      </c>
      <c r="C110" s="3" t="s">
        <v>1247</v>
      </c>
      <c r="D110" s="407" t="s">
        <v>1379</v>
      </c>
      <c r="E110" s="3" t="s">
        <v>1871</v>
      </c>
      <c r="F110" s="407" t="s">
        <v>4502</v>
      </c>
      <c r="G110" s="440" t="s">
        <v>4109</v>
      </c>
      <c r="H110" s="407" t="s">
        <v>4323</v>
      </c>
      <c r="I110" s="407" t="s">
        <v>3750</v>
      </c>
      <c r="J110" s="387" t="s">
        <v>4632</v>
      </c>
      <c r="K110" s="387">
        <v>1</v>
      </c>
      <c r="L110" s="387">
        <v>0</v>
      </c>
      <c r="M110" s="387">
        <f t="shared" si="4"/>
        <v>1</v>
      </c>
      <c r="N110" s="442">
        <f t="shared" si="5"/>
        <v>0</v>
      </c>
      <c r="O110" s="387" t="s">
        <v>1358</v>
      </c>
      <c r="P110" s="459">
        <v>0</v>
      </c>
      <c r="Q110" s="459"/>
      <c r="R110" s="456">
        <v>0</v>
      </c>
      <c r="S110" s="456">
        <v>25.07</v>
      </c>
      <c r="T110" s="410"/>
      <c r="U110" s="411">
        <v>1</v>
      </c>
      <c r="V110" s="411">
        <v>1</v>
      </c>
      <c r="W110" s="411">
        <v>1</v>
      </c>
      <c r="X110" s="411"/>
      <c r="Y110" s="411"/>
      <c r="Z110" s="412">
        <f t="shared" si="6"/>
        <v>0</v>
      </c>
      <c r="AA110" s="456">
        <f t="shared" si="7"/>
        <v>0</v>
      </c>
      <c r="AB110" s="456">
        <v>0</v>
      </c>
      <c r="AC110" s="2"/>
      <c r="AD110" s="4"/>
      <c r="AE110" s="5"/>
      <c r="AF110" s="428"/>
    </row>
    <row r="111" spans="1:32" x14ac:dyDescent="0.25">
      <c r="A111" s="1" t="s">
        <v>2559</v>
      </c>
      <c r="B111" s="3" t="s">
        <v>1368</v>
      </c>
      <c r="C111" s="3" t="s">
        <v>1247</v>
      </c>
      <c r="D111" s="407" t="s">
        <v>1381</v>
      </c>
      <c r="E111" s="3" t="s">
        <v>1872</v>
      </c>
      <c r="F111" s="407" t="s">
        <v>4497</v>
      </c>
      <c r="G111" s="440" t="s">
        <v>4109</v>
      </c>
      <c r="H111" s="407" t="s">
        <v>4318</v>
      </c>
      <c r="I111" s="407" t="s">
        <v>3751</v>
      </c>
      <c r="J111" s="387" t="s">
        <v>4631</v>
      </c>
      <c r="K111" s="387">
        <v>1</v>
      </c>
      <c r="L111" s="387">
        <v>0</v>
      </c>
      <c r="M111" s="387">
        <f t="shared" si="4"/>
        <v>1</v>
      </c>
      <c r="N111" s="442">
        <f t="shared" si="5"/>
        <v>0</v>
      </c>
      <c r="O111" s="387" t="s">
        <v>1358</v>
      </c>
      <c r="P111" s="459">
        <v>0</v>
      </c>
      <c r="Q111" s="459"/>
      <c r="R111" s="456">
        <v>0</v>
      </c>
      <c r="S111" s="456">
        <v>25.07</v>
      </c>
      <c r="T111" s="410"/>
      <c r="U111" s="411">
        <v>1</v>
      </c>
      <c r="V111" s="411">
        <v>1</v>
      </c>
      <c r="W111" s="411">
        <v>1</v>
      </c>
      <c r="X111" s="411"/>
      <c r="Y111" s="411"/>
      <c r="Z111" s="412">
        <f t="shared" si="6"/>
        <v>0</v>
      </c>
      <c r="AA111" s="456">
        <f t="shared" si="7"/>
        <v>0</v>
      </c>
      <c r="AB111" s="456">
        <v>0</v>
      </c>
      <c r="AC111" s="2"/>
      <c r="AD111" s="4"/>
      <c r="AE111" s="5"/>
      <c r="AF111" s="428"/>
    </row>
    <row r="112" spans="1:32" x14ac:dyDescent="0.25">
      <c r="A112" s="1" t="s">
        <v>2560</v>
      </c>
      <c r="B112" s="3" t="s">
        <v>1368</v>
      </c>
      <c r="C112" s="3" t="s">
        <v>1247</v>
      </c>
      <c r="D112" s="407" t="s">
        <v>1396</v>
      </c>
      <c r="E112" s="3" t="s">
        <v>1873</v>
      </c>
      <c r="F112" s="407" t="s">
        <v>4498</v>
      </c>
      <c r="G112" s="440" t="s">
        <v>4109</v>
      </c>
      <c r="H112" s="407" t="s">
        <v>4319</v>
      </c>
      <c r="I112" s="407" t="s">
        <v>3752</v>
      </c>
      <c r="J112" s="387" t="s">
        <v>4652</v>
      </c>
      <c r="K112" s="387">
        <v>1</v>
      </c>
      <c r="L112" s="387">
        <v>0</v>
      </c>
      <c r="M112" s="387">
        <f t="shared" si="4"/>
        <v>1</v>
      </c>
      <c r="N112" s="442">
        <f t="shared" si="5"/>
        <v>0</v>
      </c>
      <c r="O112" s="387" t="s">
        <v>1358</v>
      </c>
      <c r="P112" s="459">
        <v>0</v>
      </c>
      <c r="Q112" s="459"/>
      <c r="R112" s="456">
        <v>0</v>
      </c>
      <c r="S112" s="456">
        <v>25.07</v>
      </c>
      <c r="T112" s="410"/>
      <c r="U112" s="411">
        <v>1</v>
      </c>
      <c r="V112" s="411">
        <v>1</v>
      </c>
      <c r="W112" s="411">
        <v>1</v>
      </c>
      <c r="X112" s="411"/>
      <c r="Y112" s="411"/>
      <c r="Z112" s="412">
        <f t="shared" si="6"/>
        <v>0</v>
      </c>
      <c r="AA112" s="456">
        <f t="shared" si="7"/>
        <v>0</v>
      </c>
      <c r="AB112" s="456">
        <v>0</v>
      </c>
      <c r="AC112" s="2"/>
      <c r="AD112" s="4"/>
      <c r="AE112" s="5"/>
      <c r="AF112" s="428"/>
    </row>
    <row r="113" spans="1:32" x14ac:dyDescent="0.25">
      <c r="A113" s="1" t="s">
        <v>2561</v>
      </c>
      <c r="B113" s="3" t="s">
        <v>1368</v>
      </c>
      <c r="C113" s="3" t="s">
        <v>1247</v>
      </c>
      <c r="D113" s="407" t="s">
        <v>1399</v>
      </c>
      <c r="E113" s="3" t="s">
        <v>1874</v>
      </c>
      <c r="F113" s="407" t="s">
        <v>4499</v>
      </c>
      <c r="G113" s="440" t="s">
        <v>4109</v>
      </c>
      <c r="H113" s="407" t="s">
        <v>4320</v>
      </c>
      <c r="I113" s="407" t="s">
        <v>3758</v>
      </c>
      <c r="J113" s="387" t="s">
        <v>4653</v>
      </c>
      <c r="K113" s="387">
        <v>1</v>
      </c>
      <c r="L113" s="387">
        <v>0</v>
      </c>
      <c r="M113" s="387">
        <f t="shared" si="4"/>
        <v>1</v>
      </c>
      <c r="N113" s="442">
        <f t="shared" si="5"/>
        <v>0</v>
      </c>
      <c r="O113" s="387" t="s">
        <v>1358</v>
      </c>
      <c r="P113" s="459">
        <v>0</v>
      </c>
      <c r="Q113" s="459"/>
      <c r="R113" s="456">
        <v>0</v>
      </c>
      <c r="S113" s="456">
        <v>25.07</v>
      </c>
      <c r="T113" s="410"/>
      <c r="U113" s="411">
        <v>1</v>
      </c>
      <c r="V113" s="411">
        <v>1</v>
      </c>
      <c r="W113" s="411">
        <v>1</v>
      </c>
      <c r="X113" s="411"/>
      <c r="Y113" s="411"/>
      <c r="Z113" s="412">
        <f t="shared" si="6"/>
        <v>0</v>
      </c>
      <c r="AA113" s="456">
        <f t="shared" si="7"/>
        <v>0</v>
      </c>
      <c r="AB113" s="456">
        <v>0</v>
      </c>
      <c r="AC113" s="2"/>
      <c r="AD113" s="4"/>
      <c r="AE113" s="5"/>
      <c r="AF113" s="428"/>
    </row>
    <row r="114" spans="1:32" x14ac:dyDescent="0.25">
      <c r="A114" s="1" t="s">
        <v>2562</v>
      </c>
      <c r="B114" s="3" t="s">
        <v>1368</v>
      </c>
      <c r="C114" s="3" t="s">
        <v>1247</v>
      </c>
      <c r="D114" s="407" t="s">
        <v>1400</v>
      </c>
      <c r="E114" s="3" t="s">
        <v>1875</v>
      </c>
      <c r="F114" s="407" t="s">
        <v>4477</v>
      </c>
      <c r="G114" s="440" t="s">
        <v>4109</v>
      </c>
      <c r="H114" s="407" t="s">
        <v>4298</v>
      </c>
      <c r="I114" s="407" t="s">
        <v>3779</v>
      </c>
      <c r="J114" s="387" t="s">
        <v>4656</v>
      </c>
      <c r="K114" s="387">
        <v>1</v>
      </c>
      <c r="L114" s="387">
        <v>0</v>
      </c>
      <c r="M114" s="387">
        <f t="shared" si="4"/>
        <v>1</v>
      </c>
      <c r="N114" s="442">
        <f t="shared" si="5"/>
        <v>0</v>
      </c>
      <c r="O114" s="387" t="s">
        <v>1358</v>
      </c>
      <c r="P114" s="459">
        <v>0</v>
      </c>
      <c r="Q114" s="459"/>
      <c r="R114" s="456">
        <v>0</v>
      </c>
      <c r="S114" s="456">
        <v>25.07</v>
      </c>
      <c r="T114" s="410"/>
      <c r="U114" s="411">
        <v>1</v>
      </c>
      <c r="V114" s="411">
        <v>1</v>
      </c>
      <c r="W114" s="411">
        <v>1</v>
      </c>
      <c r="X114" s="411"/>
      <c r="Y114" s="411"/>
      <c r="Z114" s="412">
        <f t="shared" si="6"/>
        <v>0</v>
      </c>
      <c r="AA114" s="456">
        <f t="shared" si="7"/>
        <v>0</v>
      </c>
      <c r="AB114" s="456">
        <v>0</v>
      </c>
      <c r="AC114" s="2"/>
      <c r="AD114" s="4"/>
      <c r="AE114" s="5"/>
      <c r="AF114" s="428"/>
    </row>
    <row r="115" spans="1:32" x14ac:dyDescent="0.25">
      <c r="A115" s="1" t="s">
        <v>2563</v>
      </c>
      <c r="B115" s="3" t="s">
        <v>1368</v>
      </c>
      <c r="C115" s="3" t="s">
        <v>1247</v>
      </c>
      <c r="D115" s="407" t="s">
        <v>1401</v>
      </c>
      <c r="E115" s="3" t="s">
        <v>1876</v>
      </c>
      <c r="F115" s="407" t="s">
        <v>4478</v>
      </c>
      <c r="G115" s="440" t="s">
        <v>4109</v>
      </c>
      <c r="H115" s="407" t="s">
        <v>4299</v>
      </c>
      <c r="I115" s="407" t="s">
        <v>3780</v>
      </c>
      <c r="J115" s="387" t="s">
        <v>4657</v>
      </c>
      <c r="K115" s="387">
        <v>1</v>
      </c>
      <c r="L115" s="387">
        <v>0</v>
      </c>
      <c r="M115" s="387">
        <f t="shared" si="4"/>
        <v>1</v>
      </c>
      <c r="N115" s="442">
        <f t="shared" si="5"/>
        <v>0</v>
      </c>
      <c r="O115" s="387" t="s">
        <v>1358</v>
      </c>
      <c r="P115" s="459">
        <v>0</v>
      </c>
      <c r="Q115" s="459"/>
      <c r="R115" s="456">
        <v>0</v>
      </c>
      <c r="S115" s="456">
        <v>25.07</v>
      </c>
      <c r="T115" s="410"/>
      <c r="U115" s="411">
        <v>0</v>
      </c>
      <c r="V115" s="411">
        <v>0</v>
      </c>
      <c r="W115" s="411">
        <v>0</v>
      </c>
      <c r="X115" s="411"/>
      <c r="Y115" s="411"/>
      <c r="Z115" s="412">
        <f t="shared" si="6"/>
        <v>0</v>
      </c>
      <c r="AA115" s="456">
        <f t="shared" si="7"/>
        <v>0</v>
      </c>
      <c r="AB115" s="456">
        <v>0</v>
      </c>
      <c r="AC115" s="2"/>
      <c r="AD115" s="4"/>
      <c r="AE115" s="5"/>
      <c r="AF115" s="428"/>
    </row>
    <row r="116" spans="1:32" x14ac:dyDescent="0.25">
      <c r="A116" s="1" t="s">
        <v>2564</v>
      </c>
      <c r="B116" s="3" t="s">
        <v>1368</v>
      </c>
      <c r="C116" s="3" t="s">
        <v>1247</v>
      </c>
      <c r="D116" s="407" t="s">
        <v>1402</v>
      </c>
      <c r="E116" s="3" t="s">
        <v>1877</v>
      </c>
      <c r="F116" s="407" t="s">
        <v>4481</v>
      </c>
      <c r="G116" s="440" t="s">
        <v>4109</v>
      </c>
      <c r="H116" s="407" t="s">
        <v>4302</v>
      </c>
      <c r="I116" s="407" t="s">
        <v>3783</v>
      </c>
      <c r="J116" s="387" t="s">
        <v>4659</v>
      </c>
      <c r="K116" s="387">
        <v>1</v>
      </c>
      <c r="L116" s="387">
        <v>0</v>
      </c>
      <c r="M116" s="387">
        <f t="shared" si="4"/>
        <v>1</v>
      </c>
      <c r="N116" s="442">
        <f t="shared" si="5"/>
        <v>0</v>
      </c>
      <c r="O116" s="387" t="s">
        <v>1358</v>
      </c>
      <c r="P116" s="459">
        <v>0</v>
      </c>
      <c r="Q116" s="459"/>
      <c r="R116" s="456">
        <v>0</v>
      </c>
      <c r="S116" s="456">
        <v>19.329999999999998</v>
      </c>
      <c r="T116" s="410"/>
      <c r="U116" s="411">
        <v>0</v>
      </c>
      <c r="V116" s="411">
        <v>0</v>
      </c>
      <c r="W116" s="411">
        <v>0</v>
      </c>
      <c r="X116" s="411"/>
      <c r="Y116" s="411"/>
      <c r="Z116" s="412">
        <f t="shared" si="6"/>
        <v>0</v>
      </c>
      <c r="AA116" s="456">
        <f t="shared" si="7"/>
        <v>0</v>
      </c>
      <c r="AB116" s="456">
        <v>0</v>
      </c>
      <c r="AC116" s="2"/>
      <c r="AD116" s="4"/>
      <c r="AE116" s="5"/>
      <c r="AF116" s="428"/>
    </row>
    <row r="117" spans="1:32" x14ac:dyDescent="0.25">
      <c r="A117" s="1" t="s">
        <v>2565</v>
      </c>
      <c r="B117" s="3" t="s">
        <v>1368</v>
      </c>
      <c r="C117" s="3" t="s">
        <v>1247</v>
      </c>
      <c r="D117" s="407" t="s">
        <v>3546</v>
      </c>
      <c r="E117" s="3" t="s">
        <v>1878</v>
      </c>
      <c r="F117" s="407" t="s">
        <v>4482</v>
      </c>
      <c r="G117" s="440" t="s">
        <v>4109</v>
      </c>
      <c r="H117" s="407" t="s">
        <v>4303</v>
      </c>
      <c r="I117" s="407" t="s">
        <v>3784</v>
      </c>
      <c r="J117" s="387" t="s">
        <v>4660</v>
      </c>
      <c r="K117" s="387">
        <v>1</v>
      </c>
      <c r="L117" s="387">
        <v>0</v>
      </c>
      <c r="M117" s="387">
        <f t="shared" si="4"/>
        <v>1</v>
      </c>
      <c r="N117" s="442">
        <f t="shared" si="5"/>
        <v>0</v>
      </c>
      <c r="O117" s="387" t="s">
        <v>1358</v>
      </c>
      <c r="P117" s="459">
        <v>0</v>
      </c>
      <c r="Q117" s="459"/>
      <c r="R117" s="456">
        <v>0</v>
      </c>
      <c r="S117" s="456">
        <v>19.329999999999998</v>
      </c>
      <c r="T117" s="410"/>
      <c r="U117" s="411">
        <v>0</v>
      </c>
      <c r="V117" s="411">
        <v>0</v>
      </c>
      <c r="W117" s="411">
        <v>0</v>
      </c>
      <c r="X117" s="411"/>
      <c r="Y117" s="411"/>
      <c r="Z117" s="412">
        <f t="shared" si="6"/>
        <v>0</v>
      </c>
      <c r="AA117" s="456">
        <f t="shared" si="7"/>
        <v>0</v>
      </c>
      <c r="AB117" s="456">
        <v>0</v>
      </c>
      <c r="AC117" s="2"/>
      <c r="AD117" s="4"/>
      <c r="AE117" s="5"/>
      <c r="AF117" s="428"/>
    </row>
    <row r="118" spans="1:32" x14ac:dyDescent="0.25">
      <c r="A118" s="1" t="s">
        <v>2566</v>
      </c>
      <c r="B118" s="3" t="s">
        <v>1368</v>
      </c>
      <c r="C118" s="3" t="s">
        <v>1247</v>
      </c>
      <c r="D118" s="407" t="s">
        <v>1425</v>
      </c>
      <c r="E118" s="3" t="s">
        <v>1879</v>
      </c>
      <c r="F118" s="407" t="s">
        <v>4479</v>
      </c>
      <c r="G118" s="440" t="s">
        <v>4109</v>
      </c>
      <c r="H118" s="407" t="s">
        <v>4300</v>
      </c>
      <c r="I118" s="407" t="s">
        <v>3781</v>
      </c>
      <c r="J118" s="387" t="s">
        <v>4643</v>
      </c>
      <c r="K118" s="387">
        <v>1</v>
      </c>
      <c r="L118" s="387">
        <v>0</v>
      </c>
      <c r="M118" s="387">
        <f t="shared" si="4"/>
        <v>1</v>
      </c>
      <c r="N118" s="442">
        <f t="shared" si="5"/>
        <v>0</v>
      </c>
      <c r="O118" s="387" t="s">
        <v>1358</v>
      </c>
      <c r="P118" s="459">
        <v>0</v>
      </c>
      <c r="Q118" s="459"/>
      <c r="R118" s="456">
        <v>0</v>
      </c>
      <c r="S118" s="456">
        <v>18.768000000000001</v>
      </c>
      <c r="T118" s="410"/>
      <c r="U118" s="411">
        <v>1</v>
      </c>
      <c r="V118" s="411">
        <v>1</v>
      </c>
      <c r="W118" s="411">
        <v>1</v>
      </c>
      <c r="X118" s="411"/>
      <c r="Y118" s="411"/>
      <c r="Z118" s="412">
        <f t="shared" si="6"/>
        <v>0</v>
      </c>
      <c r="AA118" s="456">
        <f t="shared" si="7"/>
        <v>0</v>
      </c>
      <c r="AB118" s="456">
        <v>0</v>
      </c>
      <c r="AC118" s="2"/>
      <c r="AD118" s="4"/>
      <c r="AE118" s="5"/>
      <c r="AF118" s="428"/>
    </row>
    <row r="119" spans="1:32" x14ac:dyDescent="0.25">
      <c r="A119" s="1" t="s">
        <v>2567</v>
      </c>
      <c r="B119" s="3" t="s">
        <v>1368</v>
      </c>
      <c r="C119" s="3" t="s">
        <v>1247</v>
      </c>
      <c r="D119" s="407" t="s">
        <v>1426</v>
      </c>
      <c r="E119" s="3" t="s">
        <v>1880</v>
      </c>
      <c r="F119" s="407" t="s">
        <v>4480</v>
      </c>
      <c r="G119" s="440" t="s">
        <v>4109</v>
      </c>
      <c r="H119" s="407" t="s">
        <v>4301</v>
      </c>
      <c r="I119" s="407" t="s">
        <v>3782</v>
      </c>
      <c r="J119" s="387" t="s">
        <v>4637</v>
      </c>
      <c r="K119" s="387">
        <v>1</v>
      </c>
      <c r="L119" s="387">
        <v>0</v>
      </c>
      <c r="M119" s="387">
        <f t="shared" si="4"/>
        <v>1</v>
      </c>
      <c r="N119" s="442">
        <f t="shared" si="5"/>
        <v>0</v>
      </c>
      <c r="O119" s="387" t="s">
        <v>1358</v>
      </c>
      <c r="P119" s="459">
        <v>0</v>
      </c>
      <c r="Q119" s="459"/>
      <c r="R119" s="456">
        <v>0</v>
      </c>
      <c r="S119" s="456">
        <v>18.768000000000001</v>
      </c>
      <c r="T119" s="410"/>
      <c r="U119" s="411">
        <v>0</v>
      </c>
      <c r="V119" s="411">
        <v>0</v>
      </c>
      <c r="W119" s="411">
        <v>0</v>
      </c>
      <c r="X119" s="411"/>
      <c r="Y119" s="411"/>
      <c r="Z119" s="412">
        <f t="shared" si="6"/>
        <v>0</v>
      </c>
      <c r="AA119" s="456">
        <f t="shared" si="7"/>
        <v>0</v>
      </c>
      <c r="AB119" s="456">
        <v>0</v>
      </c>
      <c r="AC119" s="2"/>
      <c r="AD119" s="4"/>
      <c r="AE119" s="5"/>
      <c r="AF119" s="428"/>
    </row>
    <row r="120" spans="1:32" x14ac:dyDescent="0.25">
      <c r="A120" s="1" t="s">
        <v>2568</v>
      </c>
      <c r="B120" s="3" t="s">
        <v>1368</v>
      </c>
      <c r="C120" s="3" t="s">
        <v>1247</v>
      </c>
      <c r="D120" s="407" t="s">
        <v>3547</v>
      </c>
      <c r="E120" s="3" t="s">
        <v>1881</v>
      </c>
      <c r="F120" s="407" t="s">
        <v>4501</v>
      </c>
      <c r="G120" s="440" t="s">
        <v>4109</v>
      </c>
      <c r="H120" s="407" t="s">
        <v>4322</v>
      </c>
      <c r="I120" s="407" t="s">
        <v>3797</v>
      </c>
      <c r="J120" s="387" t="s">
        <v>4655</v>
      </c>
      <c r="K120" s="387">
        <v>1</v>
      </c>
      <c r="L120" s="387">
        <v>0</v>
      </c>
      <c r="M120" s="387">
        <f t="shared" si="4"/>
        <v>1</v>
      </c>
      <c r="N120" s="442">
        <f t="shared" si="5"/>
        <v>0</v>
      </c>
      <c r="O120" s="387" t="s">
        <v>1358</v>
      </c>
      <c r="P120" s="459">
        <v>0</v>
      </c>
      <c r="Q120" s="459"/>
      <c r="R120" s="456">
        <v>0</v>
      </c>
      <c r="S120" s="456">
        <v>19.329999999999998</v>
      </c>
      <c r="T120" s="410"/>
      <c r="U120" s="411">
        <v>0</v>
      </c>
      <c r="V120" s="411">
        <v>0</v>
      </c>
      <c r="W120" s="411">
        <v>0</v>
      </c>
      <c r="X120" s="411"/>
      <c r="Y120" s="411"/>
      <c r="Z120" s="412">
        <f t="shared" si="6"/>
        <v>0</v>
      </c>
      <c r="AA120" s="456">
        <f t="shared" si="7"/>
        <v>0</v>
      </c>
      <c r="AB120" s="456">
        <v>0</v>
      </c>
      <c r="AC120" s="2"/>
      <c r="AD120" s="4"/>
      <c r="AE120" s="5"/>
      <c r="AF120" s="428"/>
    </row>
    <row r="121" spans="1:32" x14ac:dyDescent="0.25">
      <c r="A121" s="1" t="s">
        <v>2569</v>
      </c>
      <c r="B121" s="3" t="s">
        <v>1368</v>
      </c>
      <c r="C121" s="3" t="s">
        <v>1247</v>
      </c>
      <c r="D121" s="407" t="s">
        <v>1432</v>
      </c>
      <c r="E121" s="3" t="s">
        <v>1882</v>
      </c>
      <c r="F121" s="407" t="s">
        <v>4483</v>
      </c>
      <c r="G121" s="440" t="s">
        <v>4109</v>
      </c>
      <c r="H121" s="407" t="s">
        <v>4304</v>
      </c>
      <c r="I121" s="407" t="s">
        <v>3785</v>
      </c>
      <c r="J121" s="387" t="s">
        <v>4635</v>
      </c>
      <c r="K121" s="387">
        <v>1</v>
      </c>
      <c r="L121" s="387">
        <v>0</v>
      </c>
      <c r="M121" s="387">
        <f t="shared" si="4"/>
        <v>1</v>
      </c>
      <c r="N121" s="442">
        <f t="shared" si="5"/>
        <v>0</v>
      </c>
      <c r="O121" s="387" t="s">
        <v>1358</v>
      </c>
      <c r="P121" s="459">
        <v>0</v>
      </c>
      <c r="Q121" s="459"/>
      <c r="R121" s="456">
        <v>0</v>
      </c>
      <c r="S121" s="456">
        <v>25.099</v>
      </c>
      <c r="T121" s="410"/>
      <c r="U121" s="411">
        <v>0</v>
      </c>
      <c r="V121" s="411">
        <v>0</v>
      </c>
      <c r="W121" s="411">
        <v>0</v>
      </c>
      <c r="X121" s="411"/>
      <c r="Y121" s="411"/>
      <c r="Z121" s="412">
        <f t="shared" si="6"/>
        <v>0</v>
      </c>
      <c r="AA121" s="456">
        <f t="shared" si="7"/>
        <v>0</v>
      </c>
      <c r="AB121" s="456">
        <v>0</v>
      </c>
      <c r="AC121" s="2"/>
      <c r="AD121" s="4"/>
      <c r="AE121" s="5"/>
      <c r="AF121" s="428"/>
    </row>
    <row r="122" spans="1:32" x14ac:dyDescent="0.25">
      <c r="A122" s="1" t="s">
        <v>2570</v>
      </c>
      <c r="B122" s="3" t="s">
        <v>1368</v>
      </c>
      <c r="C122" s="3" t="s">
        <v>1247</v>
      </c>
      <c r="D122" s="407" t="s">
        <v>1433</v>
      </c>
      <c r="E122" s="3" t="s">
        <v>1883</v>
      </c>
      <c r="F122" s="407" t="s">
        <v>4490</v>
      </c>
      <c r="G122" s="440" t="s">
        <v>4109</v>
      </c>
      <c r="H122" s="407" t="s">
        <v>4311</v>
      </c>
      <c r="I122" s="407" t="s">
        <v>3792</v>
      </c>
      <c r="J122" s="387" t="s">
        <v>4644</v>
      </c>
      <c r="K122" s="387">
        <v>1</v>
      </c>
      <c r="L122" s="387">
        <v>0</v>
      </c>
      <c r="M122" s="387">
        <f t="shared" si="4"/>
        <v>1</v>
      </c>
      <c r="N122" s="442">
        <f t="shared" si="5"/>
        <v>0</v>
      </c>
      <c r="O122" s="387" t="s">
        <v>1358</v>
      </c>
      <c r="P122" s="459">
        <v>0</v>
      </c>
      <c r="Q122" s="459"/>
      <c r="R122" s="456">
        <v>0</v>
      </c>
      <c r="S122" s="456">
        <v>25.099</v>
      </c>
      <c r="T122" s="410"/>
      <c r="U122" s="411">
        <v>0</v>
      </c>
      <c r="V122" s="411">
        <v>0</v>
      </c>
      <c r="W122" s="411">
        <v>0</v>
      </c>
      <c r="X122" s="411"/>
      <c r="Y122" s="411"/>
      <c r="Z122" s="412">
        <f t="shared" si="6"/>
        <v>0</v>
      </c>
      <c r="AA122" s="456">
        <f t="shared" si="7"/>
        <v>0</v>
      </c>
      <c r="AB122" s="456">
        <v>0</v>
      </c>
      <c r="AC122" s="2"/>
      <c r="AD122" s="4"/>
      <c r="AE122" s="5"/>
      <c r="AF122" s="428"/>
    </row>
    <row r="123" spans="1:32" x14ac:dyDescent="0.25">
      <c r="A123" s="1" t="s">
        <v>2571</v>
      </c>
      <c r="B123" s="3" t="s">
        <v>1368</v>
      </c>
      <c r="C123" s="3" t="s">
        <v>1247</v>
      </c>
      <c r="D123" s="407" t="s">
        <v>1427</v>
      </c>
      <c r="E123" s="3" t="s">
        <v>1884</v>
      </c>
      <c r="F123" s="407" t="s">
        <v>4485</v>
      </c>
      <c r="G123" s="440" t="s">
        <v>4109</v>
      </c>
      <c r="H123" s="407" t="s">
        <v>4306</v>
      </c>
      <c r="I123" s="407" t="s">
        <v>3787</v>
      </c>
      <c r="J123" s="387" t="s">
        <v>4638</v>
      </c>
      <c r="K123" s="387">
        <v>1</v>
      </c>
      <c r="L123" s="387">
        <v>0</v>
      </c>
      <c r="M123" s="387">
        <f t="shared" si="4"/>
        <v>1</v>
      </c>
      <c r="N123" s="442">
        <f t="shared" si="5"/>
        <v>0</v>
      </c>
      <c r="O123" s="387" t="s">
        <v>1358</v>
      </c>
      <c r="P123" s="459">
        <v>0</v>
      </c>
      <c r="Q123" s="459"/>
      <c r="R123" s="456">
        <v>0</v>
      </c>
      <c r="S123" s="456">
        <v>25.099</v>
      </c>
      <c r="T123" s="410"/>
      <c r="U123" s="411">
        <v>0</v>
      </c>
      <c r="V123" s="411">
        <v>0</v>
      </c>
      <c r="W123" s="411">
        <v>0</v>
      </c>
      <c r="X123" s="411"/>
      <c r="Y123" s="411"/>
      <c r="Z123" s="412">
        <f t="shared" si="6"/>
        <v>0</v>
      </c>
      <c r="AA123" s="456">
        <f t="shared" si="7"/>
        <v>0</v>
      </c>
      <c r="AB123" s="456">
        <v>0</v>
      </c>
      <c r="AC123" s="2"/>
      <c r="AD123" s="4"/>
      <c r="AE123" s="5"/>
      <c r="AF123" s="428"/>
    </row>
    <row r="124" spans="1:32" x14ac:dyDescent="0.25">
      <c r="A124" s="1" t="s">
        <v>2572</v>
      </c>
      <c r="B124" s="3" t="s">
        <v>1368</v>
      </c>
      <c r="C124" s="3" t="s">
        <v>1247</v>
      </c>
      <c r="D124" s="407" t="s">
        <v>1428</v>
      </c>
      <c r="E124" s="3" t="s">
        <v>1885</v>
      </c>
      <c r="F124" s="407" t="s">
        <v>4486</v>
      </c>
      <c r="G124" s="440" t="s">
        <v>4109</v>
      </c>
      <c r="H124" s="407" t="s">
        <v>4307</v>
      </c>
      <c r="I124" s="407" t="s">
        <v>3788</v>
      </c>
      <c r="J124" s="387" t="s">
        <v>4639</v>
      </c>
      <c r="K124" s="387">
        <v>1</v>
      </c>
      <c r="L124" s="387">
        <v>0</v>
      </c>
      <c r="M124" s="387">
        <f t="shared" si="4"/>
        <v>1</v>
      </c>
      <c r="N124" s="442">
        <f t="shared" si="5"/>
        <v>0</v>
      </c>
      <c r="O124" s="387" t="s">
        <v>1358</v>
      </c>
      <c r="P124" s="459">
        <v>0</v>
      </c>
      <c r="Q124" s="459"/>
      <c r="R124" s="456">
        <v>0</v>
      </c>
      <c r="S124" s="456">
        <v>25.099</v>
      </c>
      <c r="T124" s="410"/>
      <c r="U124" s="411">
        <v>0</v>
      </c>
      <c r="V124" s="411">
        <v>0</v>
      </c>
      <c r="W124" s="411">
        <v>0</v>
      </c>
      <c r="X124" s="411"/>
      <c r="Y124" s="411"/>
      <c r="Z124" s="412">
        <f t="shared" si="6"/>
        <v>0</v>
      </c>
      <c r="AA124" s="456">
        <f t="shared" si="7"/>
        <v>0</v>
      </c>
      <c r="AB124" s="456">
        <v>0</v>
      </c>
      <c r="AC124" s="2"/>
      <c r="AD124" s="4"/>
      <c r="AE124" s="5"/>
      <c r="AF124" s="428"/>
    </row>
    <row r="125" spans="1:32" x14ac:dyDescent="0.25">
      <c r="A125" s="1" t="s">
        <v>2573</v>
      </c>
      <c r="B125" s="3" t="s">
        <v>1368</v>
      </c>
      <c r="C125" s="3" t="s">
        <v>1247</v>
      </c>
      <c r="D125" s="407" t="s">
        <v>1429</v>
      </c>
      <c r="E125" s="3" t="s">
        <v>1886</v>
      </c>
      <c r="F125" s="407" t="s">
        <v>4487</v>
      </c>
      <c r="G125" s="440" t="s">
        <v>4109</v>
      </c>
      <c r="H125" s="407" t="s">
        <v>4308</v>
      </c>
      <c r="I125" s="407" t="s">
        <v>3789</v>
      </c>
      <c r="J125" s="387" t="s">
        <v>4640</v>
      </c>
      <c r="K125" s="387">
        <v>1</v>
      </c>
      <c r="L125" s="387">
        <v>0</v>
      </c>
      <c r="M125" s="387">
        <f t="shared" si="4"/>
        <v>1</v>
      </c>
      <c r="N125" s="442">
        <f t="shared" si="5"/>
        <v>0</v>
      </c>
      <c r="O125" s="387" t="s">
        <v>1358</v>
      </c>
      <c r="P125" s="459">
        <v>0</v>
      </c>
      <c r="Q125" s="459"/>
      <c r="R125" s="456">
        <v>0</v>
      </c>
      <c r="S125" s="456">
        <v>25.099</v>
      </c>
      <c r="T125" s="410"/>
      <c r="U125" s="411">
        <v>0</v>
      </c>
      <c r="V125" s="411">
        <v>0</v>
      </c>
      <c r="W125" s="411">
        <v>0</v>
      </c>
      <c r="X125" s="411"/>
      <c r="Y125" s="411"/>
      <c r="Z125" s="412">
        <f t="shared" si="6"/>
        <v>0</v>
      </c>
      <c r="AA125" s="456">
        <f t="shared" si="7"/>
        <v>0</v>
      </c>
      <c r="AB125" s="456">
        <v>0</v>
      </c>
      <c r="AC125" s="2"/>
      <c r="AD125" s="4"/>
      <c r="AE125" s="5"/>
      <c r="AF125" s="428"/>
    </row>
    <row r="126" spans="1:32" x14ac:dyDescent="0.25">
      <c r="A126" s="1" t="s">
        <v>2574</v>
      </c>
      <c r="B126" s="3" t="s">
        <v>1368</v>
      </c>
      <c r="C126" s="3" t="s">
        <v>1247</v>
      </c>
      <c r="D126" s="407" t="s">
        <v>1430</v>
      </c>
      <c r="E126" s="3" t="s">
        <v>1887</v>
      </c>
      <c r="F126" s="407" t="s">
        <v>4488</v>
      </c>
      <c r="G126" s="440" t="s">
        <v>4109</v>
      </c>
      <c r="H126" s="407" t="s">
        <v>4309</v>
      </c>
      <c r="I126" s="407" t="s">
        <v>3790</v>
      </c>
      <c r="J126" s="387" t="s">
        <v>4641</v>
      </c>
      <c r="K126" s="387">
        <v>1</v>
      </c>
      <c r="L126" s="387">
        <v>0</v>
      </c>
      <c r="M126" s="387">
        <f t="shared" si="4"/>
        <v>1</v>
      </c>
      <c r="N126" s="442">
        <f t="shared" si="5"/>
        <v>0</v>
      </c>
      <c r="O126" s="387" t="s">
        <v>1358</v>
      </c>
      <c r="P126" s="459">
        <v>0</v>
      </c>
      <c r="Q126" s="459"/>
      <c r="R126" s="456">
        <v>0</v>
      </c>
      <c r="S126" s="456">
        <v>25.099</v>
      </c>
      <c r="T126" s="410"/>
      <c r="U126" s="411">
        <v>0</v>
      </c>
      <c r="V126" s="411">
        <v>0</v>
      </c>
      <c r="W126" s="411">
        <v>0</v>
      </c>
      <c r="X126" s="411"/>
      <c r="Y126" s="411"/>
      <c r="Z126" s="412">
        <f t="shared" si="6"/>
        <v>0</v>
      </c>
      <c r="AA126" s="456">
        <f t="shared" si="7"/>
        <v>0</v>
      </c>
      <c r="AB126" s="456">
        <v>0</v>
      </c>
      <c r="AC126" s="2"/>
      <c r="AD126" s="4"/>
      <c r="AE126" s="5"/>
      <c r="AF126" s="428"/>
    </row>
    <row r="127" spans="1:32" x14ac:dyDescent="0.25">
      <c r="A127" s="1" t="s">
        <v>2575</v>
      </c>
      <c r="B127" s="3" t="s">
        <v>1368</v>
      </c>
      <c r="C127" s="3" t="s">
        <v>1247</v>
      </c>
      <c r="D127" s="407" t="s">
        <v>1431</v>
      </c>
      <c r="E127" s="3" t="s">
        <v>1888</v>
      </c>
      <c r="F127" s="407" t="s">
        <v>4489</v>
      </c>
      <c r="G127" s="440" t="s">
        <v>4109</v>
      </c>
      <c r="H127" s="407" t="s">
        <v>4310</v>
      </c>
      <c r="I127" s="407" t="s">
        <v>3791</v>
      </c>
      <c r="J127" s="387" t="s">
        <v>4642</v>
      </c>
      <c r="K127" s="387">
        <v>1</v>
      </c>
      <c r="L127" s="387">
        <v>0</v>
      </c>
      <c r="M127" s="387">
        <f t="shared" si="4"/>
        <v>1</v>
      </c>
      <c r="N127" s="442">
        <f t="shared" si="5"/>
        <v>0</v>
      </c>
      <c r="O127" s="387" t="s">
        <v>1358</v>
      </c>
      <c r="P127" s="459">
        <v>0</v>
      </c>
      <c r="Q127" s="459"/>
      <c r="R127" s="456">
        <v>0</v>
      </c>
      <c r="S127" s="456">
        <v>25.099</v>
      </c>
      <c r="T127" s="410"/>
      <c r="U127" s="411">
        <v>0</v>
      </c>
      <c r="V127" s="411">
        <v>0</v>
      </c>
      <c r="W127" s="411">
        <v>0</v>
      </c>
      <c r="X127" s="411"/>
      <c r="Y127" s="411"/>
      <c r="Z127" s="412">
        <f t="shared" si="6"/>
        <v>0</v>
      </c>
      <c r="AA127" s="456">
        <f t="shared" si="7"/>
        <v>0</v>
      </c>
      <c r="AB127" s="456">
        <v>0</v>
      </c>
      <c r="AC127" s="2"/>
      <c r="AD127" s="4"/>
      <c r="AE127" s="5"/>
      <c r="AF127" s="428"/>
    </row>
    <row r="128" spans="1:32" x14ac:dyDescent="0.25">
      <c r="A128" s="1" t="s">
        <v>2576</v>
      </c>
      <c r="B128" s="3" t="s">
        <v>1368</v>
      </c>
      <c r="C128" s="3" t="s">
        <v>1247</v>
      </c>
      <c r="D128" s="407" t="s">
        <v>3291</v>
      </c>
      <c r="E128" s="3" t="s">
        <v>1889</v>
      </c>
      <c r="F128" s="407" t="s">
        <v>4476</v>
      </c>
      <c r="G128" s="440" t="s">
        <v>4109</v>
      </c>
      <c r="H128" s="407" t="s">
        <v>4297</v>
      </c>
      <c r="I128" s="407" t="s">
        <v>3753</v>
      </c>
      <c r="J128" s="387" t="s">
        <v>4651</v>
      </c>
      <c r="K128" s="387">
        <v>1</v>
      </c>
      <c r="L128" s="387">
        <v>0</v>
      </c>
      <c r="M128" s="387">
        <f t="shared" si="4"/>
        <v>1</v>
      </c>
      <c r="N128" s="442">
        <f t="shared" si="5"/>
        <v>0</v>
      </c>
      <c r="O128" s="387" t="s">
        <v>1358</v>
      </c>
      <c r="P128" s="459">
        <v>0</v>
      </c>
      <c r="Q128" s="459"/>
      <c r="R128" s="456">
        <v>0</v>
      </c>
      <c r="S128" s="456">
        <v>45.844000000000001</v>
      </c>
      <c r="T128" s="410"/>
      <c r="U128" s="411">
        <v>1</v>
      </c>
      <c r="V128" s="411">
        <v>1</v>
      </c>
      <c r="W128" s="411">
        <v>1</v>
      </c>
      <c r="X128" s="411"/>
      <c r="Y128" s="411"/>
      <c r="Z128" s="412">
        <f t="shared" si="6"/>
        <v>0</v>
      </c>
      <c r="AA128" s="456">
        <f t="shared" si="7"/>
        <v>0</v>
      </c>
      <c r="AB128" s="456">
        <v>0</v>
      </c>
      <c r="AC128" s="2"/>
      <c r="AD128" s="4"/>
      <c r="AE128" s="5"/>
      <c r="AF128" s="428"/>
    </row>
    <row r="129" spans="1:32" x14ac:dyDescent="0.25">
      <c r="A129" s="1" t="s">
        <v>2577</v>
      </c>
      <c r="B129" s="3" t="s">
        <v>1368</v>
      </c>
      <c r="C129" s="3" t="s">
        <v>1247</v>
      </c>
      <c r="D129" s="407" t="s">
        <v>3294</v>
      </c>
      <c r="E129" s="3" t="s">
        <v>1890</v>
      </c>
      <c r="F129" s="407" t="s">
        <v>4500</v>
      </c>
      <c r="G129" s="440" t="s">
        <v>4109</v>
      </c>
      <c r="H129" s="407" t="s">
        <v>4321</v>
      </c>
      <c r="I129" s="407" t="s">
        <v>3755</v>
      </c>
      <c r="J129" s="387" t="s">
        <v>4654</v>
      </c>
      <c r="K129" s="387">
        <v>1</v>
      </c>
      <c r="L129" s="387">
        <v>0</v>
      </c>
      <c r="M129" s="387">
        <f t="shared" si="4"/>
        <v>1</v>
      </c>
      <c r="N129" s="442">
        <f t="shared" si="5"/>
        <v>0</v>
      </c>
      <c r="O129" s="387" t="s">
        <v>1358</v>
      </c>
      <c r="P129" s="459">
        <v>0</v>
      </c>
      <c r="Q129" s="459"/>
      <c r="R129" s="456">
        <v>0</v>
      </c>
      <c r="S129" s="456">
        <v>33.006</v>
      </c>
      <c r="T129" s="410"/>
      <c r="U129" s="411">
        <v>1</v>
      </c>
      <c r="V129" s="411">
        <v>1</v>
      </c>
      <c r="W129" s="411">
        <v>1</v>
      </c>
      <c r="X129" s="411"/>
      <c r="Y129" s="411"/>
      <c r="Z129" s="412">
        <f t="shared" si="6"/>
        <v>0</v>
      </c>
      <c r="AA129" s="456">
        <f t="shared" si="7"/>
        <v>0</v>
      </c>
      <c r="AB129" s="456">
        <v>0</v>
      </c>
      <c r="AC129" s="2"/>
      <c r="AD129" s="4"/>
      <c r="AE129" s="5"/>
      <c r="AF129" s="428"/>
    </row>
    <row r="130" spans="1:32" x14ac:dyDescent="0.25">
      <c r="A130" s="1" t="s">
        <v>2578</v>
      </c>
      <c r="B130" s="3" t="s">
        <v>1368</v>
      </c>
      <c r="C130" s="3" t="s">
        <v>1247</v>
      </c>
      <c r="D130" s="407" t="s">
        <v>1374</v>
      </c>
      <c r="E130" s="3" t="s">
        <v>1891</v>
      </c>
      <c r="F130" s="407" t="s">
        <v>4495</v>
      </c>
      <c r="G130" s="440" t="s">
        <v>4109</v>
      </c>
      <c r="H130" s="407" t="s">
        <v>4316</v>
      </c>
      <c r="I130" s="407" t="s">
        <v>3757</v>
      </c>
      <c r="J130" s="387" t="s">
        <v>4649</v>
      </c>
      <c r="K130" s="387">
        <v>1</v>
      </c>
      <c r="L130" s="387">
        <v>0</v>
      </c>
      <c r="M130" s="387">
        <f t="shared" si="4"/>
        <v>1</v>
      </c>
      <c r="N130" s="442">
        <f t="shared" si="5"/>
        <v>0</v>
      </c>
      <c r="O130" s="387" t="s">
        <v>1358</v>
      </c>
      <c r="P130" s="459">
        <v>0</v>
      </c>
      <c r="Q130" s="459"/>
      <c r="R130" s="456">
        <v>0</v>
      </c>
      <c r="S130" s="456">
        <v>33.96</v>
      </c>
      <c r="T130" s="410"/>
      <c r="U130" s="411">
        <v>1</v>
      </c>
      <c r="V130" s="411">
        <v>1</v>
      </c>
      <c r="W130" s="411">
        <v>1</v>
      </c>
      <c r="X130" s="411"/>
      <c r="Y130" s="411"/>
      <c r="Z130" s="412">
        <f t="shared" si="6"/>
        <v>0</v>
      </c>
      <c r="AA130" s="456">
        <f t="shared" si="7"/>
        <v>0</v>
      </c>
      <c r="AB130" s="456">
        <v>0</v>
      </c>
      <c r="AC130" s="2"/>
      <c r="AD130" s="4"/>
      <c r="AE130" s="5"/>
      <c r="AF130" s="428"/>
    </row>
    <row r="131" spans="1:32" x14ac:dyDescent="0.25">
      <c r="A131" s="1" t="s">
        <v>2579</v>
      </c>
      <c r="B131" s="3" t="s">
        <v>1368</v>
      </c>
      <c r="C131" s="3" t="s">
        <v>1247</v>
      </c>
      <c r="D131" s="407" t="s">
        <v>1377</v>
      </c>
      <c r="E131" s="3" t="s">
        <v>1892</v>
      </c>
      <c r="F131" s="407" t="s">
        <v>4494</v>
      </c>
      <c r="G131" s="440" t="s">
        <v>4109</v>
      </c>
      <c r="H131" s="407" t="s">
        <v>4315</v>
      </c>
      <c r="I131" s="407" t="s">
        <v>3749</v>
      </c>
      <c r="J131" s="387" t="s">
        <v>4648</v>
      </c>
      <c r="K131" s="387">
        <v>1</v>
      </c>
      <c r="L131" s="387">
        <v>0</v>
      </c>
      <c r="M131" s="387">
        <f t="shared" si="4"/>
        <v>1</v>
      </c>
      <c r="N131" s="442">
        <f t="shared" si="5"/>
        <v>0</v>
      </c>
      <c r="O131" s="387" t="s">
        <v>1358</v>
      </c>
      <c r="P131" s="459">
        <v>0</v>
      </c>
      <c r="Q131" s="459"/>
      <c r="R131" s="456">
        <v>0</v>
      </c>
      <c r="S131" s="456">
        <v>44.59</v>
      </c>
      <c r="T131" s="410"/>
      <c r="U131" s="411">
        <v>0</v>
      </c>
      <c r="V131" s="411">
        <v>0</v>
      </c>
      <c r="W131" s="411">
        <v>0</v>
      </c>
      <c r="X131" s="411"/>
      <c r="Y131" s="411"/>
      <c r="Z131" s="412">
        <f t="shared" si="6"/>
        <v>0</v>
      </c>
      <c r="AA131" s="456">
        <f t="shared" si="7"/>
        <v>0</v>
      </c>
      <c r="AB131" s="456">
        <v>0</v>
      </c>
      <c r="AC131" s="2"/>
      <c r="AD131" s="4"/>
      <c r="AE131" s="5"/>
      <c r="AF131" s="428"/>
    </row>
    <row r="132" spans="1:32" x14ac:dyDescent="0.25">
      <c r="A132" s="1" t="s">
        <v>2580</v>
      </c>
      <c r="B132" s="3" t="s">
        <v>1368</v>
      </c>
      <c r="C132" s="3" t="s">
        <v>1247</v>
      </c>
      <c r="D132" s="407" t="s">
        <v>1379</v>
      </c>
      <c r="E132" s="3" t="s">
        <v>1893</v>
      </c>
      <c r="F132" s="407" t="s">
        <v>4502</v>
      </c>
      <c r="G132" s="440" t="s">
        <v>4109</v>
      </c>
      <c r="H132" s="407" t="s">
        <v>4323</v>
      </c>
      <c r="I132" s="407" t="s">
        <v>3750</v>
      </c>
      <c r="J132" s="387" t="s">
        <v>4632</v>
      </c>
      <c r="K132" s="387">
        <v>1</v>
      </c>
      <c r="L132" s="387">
        <v>0</v>
      </c>
      <c r="M132" s="387">
        <f t="shared" si="4"/>
        <v>1</v>
      </c>
      <c r="N132" s="442">
        <f t="shared" si="5"/>
        <v>0</v>
      </c>
      <c r="O132" s="387" t="s">
        <v>1358</v>
      </c>
      <c r="P132" s="459">
        <v>0</v>
      </c>
      <c r="Q132" s="459"/>
      <c r="R132" s="456">
        <v>0</v>
      </c>
      <c r="S132" s="456">
        <v>44.59</v>
      </c>
      <c r="T132" s="410"/>
      <c r="U132" s="411">
        <v>1</v>
      </c>
      <c r="V132" s="411">
        <v>1</v>
      </c>
      <c r="W132" s="411">
        <v>1</v>
      </c>
      <c r="X132" s="411"/>
      <c r="Y132" s="411"/>
      <c r="Z132" s="412">
        <f t="shared" si="6"/>
        <v>0</v>
      </c>
      <c r="AA132" s="456">
        <f t="shared" si="7"/>
        <v>0</v>
      </c>
      <c r="AB132" s="456">
        <v>0</v>
      </c>
      <c r="AC132" s="2"/>
      <c r="AD132" s="4"/>
      <c r="AE132" s="5"/>
      <c r="AF132" s="428"/>
    </row>
    <row r="133" spans="1:32" x14ac:dyDescent="0.25">
      <c r="A133" s="1" t="s">
        <v>2581</v>
      </c>
      <c r="B133" s="3" t="s">
        <v>1368</v>
      </c>
      <c r="C133" s="3" t="s">
        <v>1247</v>
      </c>
      <c r="D133" s="407" t="s">
        <v>1381</v>
      </c>
      <c r="E133" s="3" t="s">
        <v>1894</v>
      </c>
      <c r="F133" s="407" t="s">
        <v>4497</v>
      </c>
      <c r="G133" s="440" t="s">
        <v>4109</v>
      </c>
      <c r="H133" s="407" t="s">
        <v>4318</v>
      </c>
      <c r="I133" s="407" t="s">
        <v>3751</v>
      </c>
      <c r="J133" s="387" t="s">
        <v>4631</v>
      </c>
      <c r="K133" s="387">
        <v>1</v>
      </c>
      <c r="L133" s="387">
        <v>0</v>
      </c>
      <c r="M133" s="387">
        <f t="shared" si="4"/>
        <v>1</v>
      </c>
      <c r="N133" s="442">
        <f t="shared" si="5"/>
        <v>0</v>
      </c>
      <c r="O133" s="387" t="s">
        <v>1358</v>
      </c>
      <c r="P133" s="459">
        <v>0</v>
      </c>
      <c r="Q133" s="459"/>
      <c r="R133" s="456">
        <v>0</v>
      </c>
      <c r="S133" s="456">
        <v>33.96</v>
      </c>
      <c r="T133" s="410"/>
      <c r="U133" s="411">
        <v>1</v>
      </c>
      <c r="V133" s="411">
        <v>1</v>
      </c>
      <c r="W133" s="411">
        <v>1</v>
      </c>
      <c r="X133" s="411"/>
      <c r="Y133" s="411"/>
      <c r="Z133" s="412">
        <f t="shared" si="6"/>
        <v>0</v>
      </c>
      <c r="AA133" s="456">
        <f t="shared" si="7"/>
        <v>0</v>
      </c>
      <c r="AB133" s="456">
        <v>0</v>
      </c>
      <c r="AC133" s="2"/>
      <c r="AD133" s="4"/>
      <c r="AE133" s="5"/>
      <c r="AF133" s="428"/>
    </row>
    <row r="134" spans="1:32" x14ac:dyDescent="0.25">
      <c r="A134" s="1" t="s">
        <v>2582</v>
      </c>
      <c r="B134" s="3" t="s">
        <v>1368</v>
      </c>
      <c r="C134" s="3" t="s">
        <v>1247</v>
      </c>
      <c r="D134" s="407" t="s">
        <v>1396</v>
      </c>
      <c r="E134" s="3" t="s">
        <v>1895</v>
      </c>
      <c r="F134" s="407" t="s">
        <v>4498</v>
      </c>
      <c r="G134" s="440" t="s">
        <v>4109</v>
      </c>
      <c r="H134" s="407" t="s">
        <v>4319</v>
      </c>
      <c r="I134" s="407" t="s">
        <v>3752</v>
      </c>
      <c r="J134" s="387" t="s">
        <v>4652</v>
      </c>
      <c r="K134" s="387">
        <v>1</v>
      </c>
      <c r="L134" s="387">
        <v>0</v>
      </c>
      <c r="M134" s="387">
        <f t="shared" si="4"/>
        <v>1</v>
      </c>
      <c r="N134" s="442">
        <f t="shared" si="5"/>
        <v>0</v>
      </c>
      <c r="O134" s="387" t="s">
        <v>1358</v>
      </c>
      <c r="P134" s="459">
        <v>0</v>
      </c>
      <c r="Q134" s="459"/>
      <c r="R134" s="456">
        <v>0</v>
      </c>
      <c r="S134" s="456">
        <v>33.939</v>
      </c>
      <c r="T134" s="410"/>
      <c r="U134" s="411">
        <v>1</v>
      </c>
      <c r="V134" s="411">
        <v>1</v>
      </c>
      <c r="W134" s="411">
        <v>1</v>
      </c>
      <c r="X134" s="411"/>
      <c r="Y134" s="411"/>
      <c r="Z134" s="412">
        <f t="shared" si="6"/>
        <v>0</v>
      </c>
      <c r="AA134" s="456">
        <f t="shared" si="7"/>
        <v>0</v>
      </c>
      <c r="AB134" s="456">
        <v>0</v>
      </c>
      <c r="AC134" s="2"/>
      <c r="AD134" s="4"/>
      <c r="AE134" s="5"/>
      <c r="AF134" s="428"/>
    </row>
    <row r="135" spans="1:32" x14ac:dyDescent="0.25">
      <c r="A135" s="1" t="s">
        <v>2583</v>
      </c>
      <c r="B135" s="3" t="s">
        <v>1368</v>
      </c>
      <c r="C135" s="3" t="s">
        <v>1247</v>
      </c>
      <c r="D135" s="407" t="s">
        <v>1397</v>
      </c>
      <c r="E135" s="3" t="s">
        <v>1896</v>
      </c>
      <c r="F135" s="407" t="s">
        <v>4493</v>
      </c>
      <c r="G135" s="440" t="s">
        <v>4109</v>
      </c>
      <c r="H135" s="407" t="s">
        <v>4314</v>
      </c>
      <c r="I135" s="407" t="s">
        <v>3795</v>
      </c>
      <c r="J135" s="387" t="s">
        <v>4647</v>
      </c>
      <c r="K135" s="387">
        <v>1</v>
      </c>
      <c r="L135" s="387">
        <v>0</v>
      </c>
      <c r="M135" s="387">
        <f t="shared" si="4"/>
        <v>1</v>
      </c>
      <c r="N135" s="442">
        <f t="shared" si="5"/>
        <v>0</v>
      </c>
      <c r="O135" s="387" t="s">
        <v>1358</v>
      </c>
      <c r="P135" s="459">
        <v>0</v>
      </c>
      <c r="Q135" s="459"/>
      <c r="R135" s="456">
        <v>0</v>
      </c>
      <c r="S135" s="456">
        <v>18.753</v>
      </c>
      <c r="T135" s="410"/>
      <c r="U135" s="411">
        <v>1</v>
      </c>
      <c r="V135" s="411">
        <v>1</v>
      </c>
      <c r="W135" s="411">
        <v>1</v>
      </c>
      <c r="X135" s="411"/>
      <c r="Y135" s="411"/>
      <c r="Z135" s="412">
        <f t="shared" si="6"/>
        <v>0</v>
      </c>
      <c r="AA135" s="456">
        <f t="shared" si="7"/>
        <v>0</v>
      </c>
      <c r="AB135" s="456">
        <v>0</v>
      </c>
      <c r="AC135" s="2"/>
      <c r="AD135" s="4"/>
      <c r="AE135" s="5"/>
      <c r="AF135" s="428"/>
    </row>
    <row r="136" spans="1:32" x14ac:dyDescent="0.25">
      <c r="A136" s="1" t="s">
        <v>2584</v>
      </c>
      <c r="B136" s="3" t="s">
        <v>1368</v>
      </c>
      <c r="C136" s="3" t="s">
        <v>1247</v>
      </c>
      <c r="D136" s="407" t="s">
        <v>1398</v>
      </c>
      <c r="E136" s="3" t="s">
        <v>1897</v>
      </c>
      <c r="F136" s="407" t="s">
        <v>4496</v>
      </c>
      <c r="G136" s="440" t="s">
        <v>4109</v>
      </c>
      <c r="H136" s="407" t="s">
        <v>4317</v>
      </c>
      <c r="I136" s="407" t="s">
        <v>3796</v>
      </c>
      <c r="J136" s="387" t="s">
        <v>4784</v>
      </c>
      <c r="K136" s="387">
        <v>2</v>
      </c>
      <c r="L136" s="387">
        <v>0</v>
      </c>
      <c r="M136" s="387">
        <f t="shared" si="4"/>
        <v>2</v>
      </c>
      <c r="N136" s="442">
        <f t="shared" si="5"/>
        <v>0</v>
      </c>
      <c r="O136" s="387" t="s">
        <v>1358</v>
      </c>
      <c r="P136" s="459">
        <v>0</v>
      </c>
      <c r="Q136" s="459"/>
      <c r="R136" s="456">
        <v>0</v>
      </c>
      <c r="S136" s="456">
        <v>38</v>
      </c>
      <c r="T136" s="410"/>
      <c r="U136" s="411">
        <v>1</v>
      </c>
      <c r="V136" s="411">
        <v>1</v>
      </c>
      <c r="W136" s="411">
        <v>1</v>
      </c>
      <c r="X136" s="411"/>
      <c r="Y136" s="411"/>
      <c r="Z136" s="412">
        <f t="shared" si="6"/>
        <v>0</v>
      </c>
      <c r="AA136" s="456">
        <f t="shared" si="7"/>
        <v>0</v>
      </c>
      <c r="AB136" s="456">
        <v>0</v>
      </c>
      <c r="AC136" s="2"/>
      <c r="AD136" s="4"/>
      <c r="AE136" s="5"/>
      <c r="AF136" s="428"/>
    </row>
    <row r="137" spans="1:32" x14ac:dyDescent="0.25">
      <c r="A137" s="1" t="s">
        <v>2585</v>
      </c>
      <c r="B137" s="3" t="s">
        <v>1368</v>
      </c>
      <c r="C137" s="3" t="s">
        <v>1247</v>
      </c>
      <c r="D137" s="407" t="s">
        <v>1377</v>
      </c>
      <c r="E137" s="3" t="s">
        <v>1898</v>
      </c>
      <c r="F137" s="407" t="s">
        <v>4494</v>
      </c>
      <c r="G137" s="440" t="s">
        <v>4109</v>
      </c>
      <c r="H137" s="407" t="s">
        <v>4315</v>
      </c>
      <c r="I137" s="407" t="s">
        <v>3749</v>
      </c>
      <c r="J137" s="387" t="s">
        <v>4648</v>
      </c>
      <c r="K137" s="387">
        <v>1</v>
      </c>
      <c r="L137" s="387">
        <v>0</v>
      </c>
      <c r="M137" s="387">
        <f t="shared" ref="M137:M200" si="8">K137+L137</f>
        <v>1</v>
      </c>
      <c r="N137" s="442">
        <f t="shared" ref="N137:N200" si="9">K137*Z137</f>
        <v>0</v>
      </c>
      <c r="O137" s="387" t="s">
        <v>1358</v>
      </c>
      <c r="P137" s="459">
        <v>0</v>
      </c>
      <c r="Q137" s="459"/>
      <c r="R137" s="456">
        <v>0</v>
      </c>
      <c r="S137" s="456">
        <v>18.753</v>
      </c>
      <c r="T137" s="410"/>
      <c r="U137" s="411">
        <v>1</v>
      </c>
      <c r="V137" s="411">
        <v>1</v>
      </c>
      <c r="W137" s="411">
        <v>1</v>
      </c>
      <c r="X137" s="411"/>
      <c r="Y137" s="411"/>
      <c r="Z137" s="412">
        <f t="shared" ref="Z137:Z200" si="10">AA137/S137</f>
        <v>0</v>
      </c>
      <c r="AA137" s="456">
        <f t="shared" ref="AA137:AA200" si="11">(U137*U$368*S137)+(V137*V$368*S137)+(W137*W$368*S137)</f>
        <v>0</v>
      </c>
      <c r="AB137" s="456">
        <v>0</v>
      </c>
      <c r="AC137" s="2"/>
      <c r="AD137" s="4"/>
      <c r="AE137" s="5"/>
      <c r="AF137" s="428"/>
    </row>
    <row r="138" spans="1:32" x14ac:dyDescent="0.25">
      <c r="A138" s="1" t="s">
        <v>2586</v>
      </c>
      <c r="B138" s="3" t="s">
        <v>1368</v>
      </c>
      <c r="C138" s="3" t="s">
        <v>1247</v>
      </c>
      <c r="D138" s="407" t="s">
        <v>1379</v>
      </c>
      <c r="E138" s="3" t="s">
        <v>1899</v>
      </c>
      <c r="F138" s="407" t="s">
        <v>4502</v>
      </c>
      <c r="G138" s="440" t="s">
        <v>4109</v>
      </c>
      <c r="H138" s="407" t="s">
        <v>4323</v>
      </c>
      <c r="I138" s="407" t="s">
        <v>3750</v>
      </c>
      <c r="J138" s="387" t="s">
        <v>4632</v>
      </c>
      <c r="K138" s="387">
        <v>1</v>
      </c>
      <c r="L138" s="387">
        <v>0</v>
      </c>
      <c r="M138" s="387">
        <f t="shared" si="8"/>
        <v>1</v>
      </c>
      <c r="N138" s="442">
        <f t="shared" si="9"/>
        <v>0</v>
      </c>
      <c r="O138" s="387" t="s">
        <v>1358</v>
      </c>
      <c r="P138" s="459">
        <v>0</v>
      </c>
      <c r="Q138" s="459"/>
      <c r="R138" s="456">
        <v>0</v>
      </c>
      <c r="S138" s="456">
        <v>18.753</v>
      </c>
      <c r="T138" s="410"/>
      <c r="U138" s="411">
        <v>1</v>
      </c>
      <c r="V138" s="411">
        <v>1</v>
      </c>
      <c r="W138" s="411">
        <v>1</v>
      </c>
      <c r="X138" s="411"/>
      <c r="Y138" s="411"/>
      <c r="Z138" s="412">
        <f t="shared" si="10"/>
        <v>0</v>
      </c>
      <c r="AA138" s="456">
        <f t="shared" si="11"/>
        <v>0</v>
      </c>
      <c r="AB138" s="456">
        <v>0</v>
      </c>
      <c r="AC138" s="2"/>
      <c r="AD138" s="4"/>
      <c r="AE138" s="5"/>
      <c r="AF138" s="428"/>
    </row>
    <row r="139" spans="1:32" x14ac:dyDescent="0.25">
      <c r="A139" s="1" t="s">
        <v>2587</v>
      </c>
      <c r="B139" s="3" t="s">
        <v>1368</v>
      </c>
      <c r="C139" s="3" t="s">
        <v>1247</v>
      </c>
      <c r="D139" s="407" t="s">
        <v>1381</v>
      </c>
      <c r="E139" s="3" t="s">
        <v>1900</v>
      </c>
      <c r="F139" s="407" t="s">
        <v>4497</v>
      </c>
      <c r="G139" s="440" t="s">
        <v>4109</v>
      </c>
      <c r="H139" s="407" t="s">
        <v>4318</v>
      </c>
      <c r="I139" s="407" t="s">
        <v>3751</v>
      </c>
      <c r="J139" s="387" t="s">
        <v>4631</v>
      </c>
      <c r="K139" s="387">
        <v>1</v>
      </c>
      <c r="L139" s="387">
        <v>0</v>
      </c>
      <c r="M139" s="387">
        <f t="shared" si="8"/>
        <v>1</v>
      </c>
      <c r="N139" s="442">
        <f t="shared" si="9"/>
        <v>0</v>
      </c>
      <c r="O139" s="387" t="s">
        <v>1358</v>
      </c>
      <c r="P139" s="459">
        <v>0</v>
      </c>
      <c r="Q139" s="459"/>
      <c r="R139" s="456">
        <v>0</v>
      </c>
      <c r="S139" s="456">
        <v>18.753</v>
      </c>
      <c r="T139" s="410"/>
      <c r="U139" s="411">
        <v>1</v>
      </c>
      <c r="V139" s="411">
        <v>1</v>
      </c>
      <c r="W139" s="411">
        <v>1</v>
      </c>
      <c r="X139" s="411"/>
      <c r="Y139" s="411"/>
      <c r="Z139" s="412">
        <f t="shared" si="10"/>
        <v>0</v>
      </c>
      <c r="AA139" s="456">
        <f t="shared" si="11"/>
        <v>0</v>
      </c>
      <c r="AB139" s="456">
        <v>0</v>
      </c>
      <c r="AC139" s="2"/>
      <c r="AD139" s="4"/>
      <c r="AE139" s="5"/>
      <c r="AF139" s="428"/>
    </row>
    <row r="140" spans="1:32" x14ac:dyDescent="0.25">
      <c r="A140" s="1" t="s">
        <v>2588</v>
      </c>
      <c r="B140" s="3" t="s">
        <v>1368</v>
      </c>
      <c r="C140" s="3" t="s">
        <v>1247</v>
      </c>
      <c r="D140" s="407" t="s">
        <v>1396</v>
      </c>
      <c r="E140" s="3" t="s">
        <v>1901</v>
      </c>
      <c r="F140" s="407" t="s">
        <v>4498</v>
      </c>
      <c r="G140" s="440" t="s">
        <v>4109</v>
      </c>
      <c r="H140" s="407" t="s">
        <v>4319</v>
      </c>
      <c r="I140" s="407" t="s">
        <v>3752</v>
      </c>
      <c r="J140" s="387" t="s">
        <v>4652</v>
      </c>
      <c r="K140" s="387">
        <v>1</v>
      </c>
      <c r="L140" s="387">
        <v>0</v>
      </c>
      <c r="M140" s="387">
        <f t="shared" si="8"/>
        <v>1</v>
      </c>
      <c r="N140" s="442">
        <f t="shared" si="9"/>
        <v>0</v>
      </c>
      <c r="O140" s="387" t="s">
        <v>1358</v>
      </c>
      <c r="P140" s="459">
        <v>0</v>
      </c>
      <c r="Q140" s="459"/>
      <c r="R140" s="456">
        <v>0</v>
      </c>
      <c r="S140" s="456">
        <v>18.753</v>
      </c>
      <c r="T140" s="410"/>
      <c r="U140" s="411">
        <v>1</v>
      </c>
      <c r="V140" s="411">
        <v>1</v>
      </c>
      <c r="W140" s="411">
        <v>1</v>
      </c>
      <c r="X140" s="411"/>
      <c r="Y140" s="411"/>
      <c r="Z140" s="412">
        <f t="shared" si="10"/>
        <v>0</v>
      </c>
      <c r="AA140" s="456">
        <f t="shared" si="11"/>
        <v>0</v>
      </c>
      <c r="AB140" s="456">
        <v>0</v>
      </c>
      <c r="AC140" s="2"/>
      <c r="AD140" s="4"/>
      <c r="AE140" s="5"/>
      <c r="AF140" s="428"/>
    </row>
    <row r="141" spans="1:32" x14ac:dyDescent="0.25">
      <c r="A141" s="1" t="s">
        <v>2589</v>
      </c>
      <c r="B141" s="3" t="s">
        <v>1368</v>
      </c>
      <c r="C141" s="3" t="s">
        <v>1247</v>
      </c>
      <c r="D141" s="407" t="s">
        <v>1399</v>
      </c>
      <c r="E141" s="3" t="s">
        <v>1902</v>
      </c>
      <c r="F141" s="407" t="s">
        <v>4499</v>
      </c>
      <c r="G141" s="440" t="s">
        <v>4109</v>
      </c>
      <c r="H141" s="407" t="s">
        <v>4320</v>
      </c>
      <c r="I141" s="407" t="s">
        <v>3758</v>
      </c>
      <c r="J141" s="387" t="s">
        <v>5156</v>
      </c>
      <c r="K141" s="387">
        <v>1</v>
      </c>
      <c r="L141" s="387">
        <v>1</v>
      </c>
      <c r="M141" s="387">
        <f t="shared" si="8"/>
        <v>2</v>
      </c>
      <c r="N141" s="442">
        <f>K141*Z141</f>
        <v>0</v>
      </c>
      <c r="O141" s="387" t="s">
        <v>1358</v>
      </c>
      <c r="P141" s="459">
        <v>0</v>
      </c>
      <c r="Q141" s="459"/>
      <c r="R141" s="456">
        <v>0</v>
      </c>
      <c r="S141" s="456">
        <v>37.506</v>
      </c>
      <c r="T141" s="410"/>
      <c r="U141" s="411">
        <v>1</v>
      </c>
      <c r="V141" s="411">
        <v>1</v>
      </c>
      <c r="W141" s="411">
        <v>1</v>
      </c>
      <c r="X141" s="411"/>
      <c r="Y141" s="411"/>
      <c r="Z141" s="412">
        <f t="shared" si="10"/>
        <v>0</v>
      </c>
      <c r="AA141" s="456">
        <f t="shared" si="11"/>
        <v>0</v>
      </c>
      <c r="AB141" s="456">
        <v>0</v>
      </c>
      <c r="AC141" s="2"/>
      <c r="AD141" s="4"/>
      <c r="AE141" s="5"/>
      <c r="AF141" s="428"/>
    </row>
    <row r="142" spans="1:32" x14ac:dyDescent="0.25">
      <c r="A142" s="1" t="s">
        <v>2590</v>
      </c>
      <c r="B142" s="3" t="s">
        <v>1368</v>
      </c>
      <c r="C142" s="3" t="s">
        <v>1247</v>
      </c>
      <c r="D142" s="407" t="s">
        <v>1397</v>
      </c>
      <c r="E142" s="3" t="s">
        <v>1903</v>
      </c>
      <c r="F142" s="407" t="s">
        <v>4493</v>
      </c>
      <c r="G142" s="440" t="s">
        <v>4109</v>
      </c>
      <c r="H142" s="407" t="s">
        <v>4314</v>
      </c>
      <c r="I142" s="407" t="s">
        <v>3795</v>
      </c>
      <c r="J142" s="387" t="s">
        <v>4647</v>
      </c>
      <c r="K142" s="387">
        <v>1</v>
      </c>
      <c r="L142" s="387">
        <v>0</v>
      </c>
      <c r="M142" s="387">
        <f t="shared" si="8"/>
        <v>1</v>
      </c>
      <c r="N142" s="442">
        <f t="shared" si="9"/>
        <v>0</v>
      </c>
      <c r="O142" s="387" t="s">
        <v>1358</v>
      </c>
      <c r="P142" s="459">
        <v>0</v>
      </c>
      <c r="Q142" s="459"/>
      <c r="R142" s="456">
        <v>0</v>
      </c>
      <c r="S142" s="456">
        <v>2.0790000000000002</v>
      </c>
      <c r="T142" s="410"/>
      <c r="U142" s="411">
        <v>0</v>
      </c>
      <c r="V142" s="411">
        <v>0</v>
      </c>
      <c r="W142" s="411">
        <v>0</v>
      </c>
      <c r="X142" s="411"/>
      <c r="Y142" s="411"/>
      <c r="Z142" s="412">
        <f t="shared" si="10"/>
        <v>0</v>
      </c>
      <c r="AA142" s="456">
        <f t="shared" si="11"/>
        <v>0</v>
      </c>
      <c r="AB142" s="456">
        <v>0</v>
      </c>
      <c r="AC142" s="2"/>
      <c r="AD142" s="4"/>
      <c r="AE142" s="5"/>
      <c r="AF142" s="428"/>
    </row>
    <row r="143" spans="1:32" x14ac:dyDescent="0.25">
      <c r="A143" s="1" t="s">
        <v>2591</v>
      </c>
      <c r="B143" s="3" t="s">
        <v>1368</v>
      </c>
      <c r="C143" s="3" t="s">
        <v>1247</v>
      </c>
      <c r="D143" s="407" t="s">
        <v>1398</v>
      </c>
      <c r="E143" s="3" t="s">
        <v>1904</v>
      </c>
      <c r="F143" s="407" t="s">
        <v>4496</v>
      </c>
      <c r="G143" s="440" t="s">
        <v>4109</v>
      </c>
      <c r="H143" s="407" t="s">
        <v>4317</v>
      </c>
      <c r="I143" s="407" t="s">
        <v>3796</v>
      </c>
      <c r="J143" s="387" t="s">
        <v>4650</v>
      </c>
      <c r="K143" s="387">
        <v>1</v>
      </c>
      <c r="L143" s="387">
        <v>0</v>
      </c>
      <c r="M143" s="387">
        <f t="shared" si="8"/>
        <v>1</v>
      </c>
      <c r="N143" s="442">
        <f t="shared" si="9"/>
        <v>0</v>
      </c>
      <c r="O143" s="387" t="s">
        <v>1358</v>
      </c>
      <c r="P143" s="459">
        <v>0</v>
      </c>
      <c r="Q143" s="459"/>
      <c r="R143" s="456">
        <v>0</v>
      </c>
      <c r="S143" s="456">
        <v>2.0790000000000002</v>
      </c>
      <c r="T143" s="410"/>
      <c r="U143" s="411">
        <v>0</v>
      </c>
      <c r="V143" s="411">
        <v>0</v>
      </c>
      <c r="W143" s="411">
        <v>0</v>
      </c>
      <c r="X143" s="411"/>
      <c r="Y143" s="411"/>
      <c r="Z143" s="412">
        <f t="shared" si="10"/>
        <v>0</v>
      </c>
      <c r="AA143" s="456">
        <f t="shared" si="11"/>
        <v>0</v>
      </c>
      <c r="AB143" s="456">
        <v>0</v>
      </c>
      <c r="AC143" s="2"/>
      <c r="AD143" s="4"/>
      <c r="AE143" s="5"/>
      <c r="AF143" s="428"/>
    </row>
    <row r="144" spans="1:32" x14ac:dyDescent="0.25">
      <c r="A144" s="1" t="s">
        <v>2592</v>
      </c>
      <c r="B144" s="3" t="s">
        <v>1368</v>
      </c>
      <c r="C144" s="3" t="s">
        <v>1247</v>
      </c>
      <c r="D144" s="407" t="s">
        <v>1374</v>
      </c>
      <c r="E144" s="3" t="s">
        <v>1905</v>
      </c>
      <c r="F144" s="407" t="s">
        <v>4495</v>
      </c>
      <c r="G144" s="440" t="s">
        <v>4109</v>
      </c>
      <c r="H144" s="407" t="s">
        <v>4316</v>
      </c>
      <c r="I144" s="407" t="s">
        <v>3757</v>
      </c>
      <c r="J144" s="387" t="s">
        <v>4649</v>
      </c>
      <c r="K144" s="387">
        <v>1</v>
      </c>
      <c r="L144" s="387">
        <v>0</v>
      </c>
      <c r="M144" s="387">
        <f t="shared" si="8"/>
        <v>1</v>
      </c>
      <c r="N144" s="442">
        <f t="shared" si="9"/>
        <v>0</v>
      </c>
      <c r="O144" s="387" t="s">
        <v>1358</v>
      </c>
      <c r="P144" s="459">
        <v>0</v>
      </c>
      <c r="Q144" s="459"/>
      <c r="R144" s="456">
        <v>0</v>
      </c>
      <c r="S144" s="456">
        <v>2.0790000000000002</v>
      </c>
      <c r="T144" s="410"/>
      <c r="U144" s="411">
        <v>1</v>
      </c>
      <c r="V144" s="411">
        <v>1</v>
      </c>
      <c r="W144" s="411">
        <v>1</v>
      </c>
      <c r="X144" s="411"/>
      <c r="Y144" s="411"/>
      <c r="Z144" s="412">
        <f t="shared" si="10"/>
        <v>0</v>
      </c>
      <c r="AA144" s="456">
        <f t="shared" si="11"/>
        <v>0</v>
      </c>
      <c r="AB144" s="456">
        <v>0</v>
      </c>
      <c r="AC144" s="2"/>
      <c r="AD144" s="4"/>
      <c r="AE144" s="5"/>
      <c r="AF144" s="428"/>
    </row>
    <row r="145" spans="1:32" x14ac:dyDescent="0.25">
      <c r="A145" s="1" t="s">
        <v>2593</v>
      </c>
      <c r="B145" s="3" t="s">
        <v>1368</v>
      </c>
      <c r="C145" s="3" t="s">
        <v>1247</v>
      </c>
      <c r="D145" s="407" t="s">
        <v>1377</v>
      </c>
      <c r="E145" s="3" t="s">
        <v>1906</v>
      </c>
      <c r="F145" s="407" t="s">
        <v>4494</v>
      </c>
      <c r="G145" s="440" t="s">
        <v>4109</v>
      </c>
      <c r="H145" s="407" t="s">
        <v>4315</v>
      </c>
      <c r="I145" s="407" t="s">
        <v>3749</v>
      </c>
      <c r="J145" s="387" t="s">
        <v>4648</v>
      </c>
      <c r="K145" s="387">
        <v>1</v>
      </c>
      <c r="L145" s="387">
        <v>0</v>
      </c>
      <c r="M145" s="387">
        <f t="shared" si="8"/>
        <v>1</v>
      </c>
      <c r="N145" s="442">
        <f t="shared" si="9"/>
        <v>0</v>
      </c>
      <c r="O145" s="387" t="s">
        <v>1358</v>
      </c>
      <c r="P145" s="459">
        <v>0</v>
      </c>
      <c r="Q145" s="459"/>
      <c r="R145" s="456">
        <v>0</v>
      </c>
      <c r="S145" s="456">
        <v>2.0790000000000002</v>
      </c>
      <c r="T145" s="410"/>
      <c r="U145" s="411">
        <v>0</v>
      </c>
      <c r="V145" s="411">
        <v>0</v>
      </c>
      <c r="W145" s="411">
        <v>0</v>
      </c>
      <c r="X145" s="411"/>
      <c r="Y145" s="411"/>
      <c r="Z145" s="412">
        <f t="shared" si="10"/>
        <v>0</v>
      </c>
      <c r="AA145" s="456">
        <f t="shared" si="11"/>
        <v>0</v>
      </c>
      <c r="AB145" s="456">
        <v>0</v>
      </c>
      <c r="AC145" s="2"/>
      <c r="AD145" s="4"/>
      <c r="AE145" s="5"/>
      <c r="AF145" s="428"/>
    </row>
    <row r="146" spans="1:32" x14ac:dyDescent="0.25">
      <c r="A146" s="1" t="s">
        <v>2594</v>
      </c>
      <c r="B146" s="3" t="s">
        <v>1368</v>
      </c>
      <c r="C146" s="3" t="s">
        <v>1247</v>
      </c>
      <c r="D146" s="407" t="s">
        <v>1379</v>
      </c>
      <c r="E146" s="3" t="s">
        <v>1907</v>
      </c>
      <c r="F146" s="407" t="s">
        <v>4502</v>
      </c>
      <c r="G146" s="440" t="s">
        <v>4109</v>
      </c>
      <c r="H146" s="407" t="s">
        <v>4323</v>
      </c>
      <c r="I146" s="407" t="s">
        <v>3750</v>
      </c>
      <c r="J146" s="387" t="s">
        <v>4632</v>
      </c>
      <c r="K146" s="387">
        <v>1</v>
      </c>
      <c r="L146" s="387">
        <v>0</v>
      </c>
      <c r="M146" s="387">
        <f t="shared" si="8"/>
        <v>1</v>
      </c>
      <c r="N146" s="442">
        <f t="shared" si="9"/>
        <v>0</v>
      </c>
      <c r="O146" s="387" t="s">
        <v>1358</v>
      </c>
      <c r="P146" s="459">
        <v>0</v>
      </c>
      <c r="Q146" s="459"/>
      <c r="R146" s="456">
        <v>0</v>
      </c>
      <c r="S146" s="456">
        <v>2.0790000000000002</v>
      </c>
      <c r="T146" s="410"/>
      <c r="U146" s="411">
        <v>1</v>
      </c>
      <c r="V146" s="411">
        <v>1</v>
      </c>
      <c r="W146" s="411">
        <v>1</v>
      </c>
      <c r="X146" s="411"/>
      <c r="Y146" s="411"/>
      <c r="Z146" s="412">
        <f t="shared" si="10"/>
        <v>0</v>
      </c>
      <c r="AA146" s="456">
        <f t="shared" si="11"/>
        <v>0</v>
      </c>
      <c r="AB146" s="456">
        <v>0</v>
      </c>
      <c r="AC146" s="2"/>
      <c r="AD146" s="4"/>
      <c r="AE146" s="5"/>
      <c r="AF146" s="428"/>
    </row>
    <row r="147" spans="1:32" x14ac:dyDescent="0.25">
      <c r="A147" s="1" t="s">
        <v>2595</v>
      </c>
      <c r="B147" s="3" t="s">
        <v>1368</v>
      </c>
      <c r="C147" s="3" t="s">
        <v>1247</v>
      </c>
      <c r="D147" s="407" t="s">
        <v>1425</v>
      </c>
      <c r="E147" s="3" t="s">
        <v>1908</v>
      </c>
      <c r="F147" s="407" t="s">
        <v>4479</v>
      </c>
      <c r="G147" s="440" t="s">
        <v>4109</v>
      </c>
      <c r="H147" s="407" t="s">
        <v>4300</v>
      </c>
      <c r="I147" s="407" t="s">
        <v>3781</v>
      </c>
      <c r="J147" s="387" t="s">
        <v>4643</v>
      </c>
      <c r="K147" s="387">
        <v>1</v>
      </c>
      <c r="L147" s="387">
        <v>0</v>
      </c>
      <c r="M147" s="387">
        <f t="shared" si="8"/>
        <v>1</v>
      </c>
      <c r="N147" s="442">
        <f t="shared" si="9"/>
        <v>0</v>
      </c>
      <c r="O147" s="387" t="s">
        <v>1358</v>
      </c>
      <c r="P147" s="459">
        <v>0</v>
      </c>
      <c r="Q147" s="459"/>
      <c r="R147" s="456">
        <v>0</v>
      </c>
      <c r="S147" s="456">
        <v>2.0859999999999999</v>
      </c>
      <c r="T147" s="410"/>
      <c r="U147" s="411">
        <v>1</v>
      </c>
      <c r="V147" s="411">
        <v>1</v>
      </c>
      <c r="W147" s="411">
        <v>1</v>
      </c>
      <c r="X147" s="411"/>
      <c r="Y147" s="411"/>
      <c r="Z147" s="412">
        <f t="shared" si="10"/>
        <v>0</v>
      </c>
      <c r="AA147" s="456">
        <f t="shared" si="11"/>
        <v>0</v>
      </c>
      <c r="AB147" s="456">
        <v>0</v>
      </c>
      <c r="AC147" s="2"/>
      <c r="AD147" s="4"/>
      <c r="AE147" s="5"/>
      <c r="AF147" s="428"/>
    </row>
    <row r="148" spans="1:32" x14ac:dyDescent="0.25">
      <c r="A148" s="1" t="s">
        <v>2596</v>
      </c>
      <c r="B148" s="3" t="s">
        <v>1368</v>
      </c>
      <c r="C148" s="3" t="s">
        <v>1247</v>
      </c>
      <c r="D148" s="407" t="s">
        <v>1426</v>
      </c>
      <c r="E148" s="3" t="s">
        <v>1909</v>
      </c>
      <c r="F148" s="407" t="s">
        <v>4480</v>
      </c>
      <c r="G148" s="440" t="s">
        <v>4109</v>
      </c>
      <c r="H148" s="407" t="s">
        <v>4301</v>
      </c>
      <c r="I148" s="407" t="s">
        <v>3782</v>
      </c>
      <c r="J148" s="387" t="s">
        <v>4637</v>
      </c>
      <c r="K148" s="387">
        <v>1</v>
      </c>
      <c r="L148" s="387">
        <v>0</v>
      </c>
      <c r="M148" s="387">
        <f t="shared" si="8"/>
        <v>1</v>
      </c>
      <c r="N148" s="442">
        <f t="shared" si="9"/>
        <v>0</v>
      </c>
      <c r="O148" s="387" t="s">
        <v>1358</v>
      </c>
      <c r="P148" s="459">
        <v>0</v>
      </c>
      <c r="Q148" s="459"/>
      <c r="R148" s="456">
        <v>0</v>
      </c>
      <c r="S148" s="456">
        <v>2.0859999999999999</v>
      </c>
      <c r="T148" s="410"/>
      <c r="U148" s="411">
        <v>0</v>
      </c>
      <c r="V148" s="411">
        <v>0</v>
      </c>
      <c r="W148" s="411">
        <v>0</v>
      </c>
      <c r="X148" s="411"/>
      <c r="Y148" s="411"/>
      <c r="Z148" s="412">
        <f t="shared" si="10"/>
        <v>0</v>
      </c>
      <c r="AA148" s="456">
        <f t="shared" si="11"/>
        <v>0</v>
      </c>
      <c r="AB148" s="456">
        <v>0</v>
      </c>
      <c r="AC148" s="2"/>
      <c r="AD148" s="4"/>
      <c r="AE148" s="5"/>
      <c r="AF148" s="428"/>
    </row>
    <row r="149" spans="1:32" x14ac:dyDescent="0.25">
      <c r="A149" s="1" t="s">
        <v>2597</v>
      </c>
      <c r="B149" s="3" t="s">
        <v>1368</v>
      </c>
      <c r="C149" s="3" t="s">
        <v>1247</v>
      </c>
      <c r="D149" s="407" t="s">
        <v>3291</v>
      </c>
      <c r="E149" s="3" t="s">
        <v>1910</v>
      </c>
      <c r="F149" s="407" t="s">
        <v>4476</v>
      </c>
      <c r="G149" s="440" t="s">
        <v>4109</v>
      </c>
      <c r="H149" s="407" t="s">
        <v>4297</v>
      </c>
      <c r="I149" s="407" t="s">
        <v>3753</v>
      </c>
      <c r="J149" s="387" t="s">
        <v>4651</v>
      </c>
      <c r="K149" s="387">
        <v>1</v>
      </c>
      <c r="L149" s="387">
        <v>0</v>
      </c>
      <c r="M149" s="387">
        <f t="shared" si="8"/>
        <v>1</v>
      </c>
      <c r="N149" s="442">
        <f t="shared" si="9"/>
        <v>0</v>
      </c>
      <c r="O149" s="387" t="s">
        <v>1358</v>
      </c>
      <c r="P149" s="459">
        <v>0</v>
      </c>
      <c r="Q149" s="459"/>
      <c r="R149" s="456">
        <v>0</v>
      </c>
      <c r="S149" s="456">
        <v>79.427000000000007</v>
      </c>
      <c r="T149" s="410"/>
      <c r="U149" s="411">
        <v>1</v>
      </c>
      <c r="V149" s="411">
        <v>1</v>
      </c>
      <c r="W149" s="411">
        <v>1</v>
      </c>
      <c r="X149" s="411"/>
      <c r="Y149" s="411"/>
      <c r="Z149" s="412">
        <f t="shared" si="10"/>
        <v>0</v>
      </c>
      <c r="AA149" s="456">
        <f t="shared" si="11"/>
        <v>0</v>
      </c>
      <c r="AB149" s="456">
        <v>0</v>
      </c>
      <c r="AC149" s="2"/>
      <c r="AD149" s="4"/>
      <c r="AE149" s="5"/>
      <c r="AF149" s="428"/>
    </row>
    <row r="150" spans="1:32" x14ac:dyDescent="0.25">
      <c r="A150" s="1" t="s">
        <v>2598</v>
      </c>
      <c r="B150" s="3" t="s">
        <v>1368</v>
      </c>
      <c r="C150" s="3" t="s">
        <v>1247</v>
      </c>
      <c r="D150" s="407" t="s">
        <v>3293</v>
      </c>
      <c r="E150" s="3" t="s">
        <v>1911</v>
      </c>
      <c r="F150" s="407" t="s">
        <v>4503</v>
      </c>
      <c r="G150" s="440" t="s">
        <v>4109</v>
      </c>
      <c r="H150" s="407" t="s">
        <v>4324</v>
      </c>
      <c r="I150" s="407" t="s">
        <v>3798</v>
      </c>
      <c r="J150" s="387" t="s">
        <v>4658</v>
      </c>
      <c r="K150" s="387">
        <v>1</v>
      </c>
      <c r="L150" s="387">
        <v>0</v>
      </c>
      <c r="M150" s="387">
        <f t="shared" si="8"/>
        <v>1</v>
      </c>
      <c r="N150" s="442">
        <f t="shared" si="9"/>
        <v>0</v>
      </c>
      <c r="O150" s="387" t="s">
        <v>1358</v>
      </c>
      <c r="P150" s="459">
        <v>0</v>
      </c>
      <c r="Q150" s="459"/>
      <c r="R150" s="456">
        <v>0</v>
      </c>
      <c r="S150" s="456">
        <v>63.454000000000001</v>
      </c>
      <c r="T150" s="410"/>
      <c r="U150" s="411">
        <v>1</v>
      </c>
      <c r="V150" s="411">
        <v>1</v>
      </c>
      <c r="W150" s="411">
        <v>1</v>
      </c>
      <c r="X150" s="411"/>
      <c r="Y150" s="411"/>
      <c r="Z150" s="412">
        <f t="shared" si="10"/>
        <v>0</v>
      </c>
      <c r="AA150" s="456">
        <f t="shared" si="11"/>
        <v>0</v>
      </c>
      <c r="AB150" s="456">
        <v>0</v>
      </c>
      <c r="AC150" s="2"/>
      <c r="AD150" s="4"/>
      <c r="AE150" s="5"/>
      <c r="AF150" s="428"/>
    </row>
    <row r="151" spans="1:32" x14ac:dyDescent="0.25">
      <c r="A151" s="1" t="s">
        <v>2599</v>
      </c>
      <c r="B151" s="3" t="s">
        <v>1368</v>
      </c>
      <c r="C151" s="3" t="s">
        <v>1247</v>
      </c>
      <c r="D151" s="407" t="s">
        <v>1398</v>
      </c>
      <c r="E151" s="3" t="s">
        <v>1912</v>
      </c>
      <c r="F151" s="407" t="s">
        <v>4496</v>
      </c>
      <c r="G151" s="440" t="s">
        <v>4109</v>
      </c>
      <c r="H151" s="407" t="s">
        <v>4317</v>
      </c>
      <c r="I151" s="407" t="s">
        <v>3796</v>
      </c>
      <c r="J151" s="387" t="s">
        <v>4650</v>
      </c>
      <c r="K151" s="387">
        <v>1</v>
      </c>
      <c r="L151" s="387">
        <v>0</v>
      </c>
      <c r="M151" s="387">
        <f t="shared" si="8"/>
        <v>1</v>
      </c>
      <c r="N151" s="442">
        <f t="shared" si="9"/>
        <v>0</v>
      </c>
      <c r="O151" s="387" t="s">
        <v>1358</v>
      </c>
      <c r="P151" s="459">
        <v>0</v>
      </c>
      <c r="Q151" s="459"/>
      <c r="R151" s="456">
        <v>0</v>
      </c>
      <c r="S151" s="456">
        <v>65.141999999999996</v>
      </c>
      <c r="T151" s="410"/>
      <c r="U151" s="411">
        <v>1</v>
      </c>
      <c r="V151" s="411">
        <v>1</v>
      </c>
      <c r="W151" s="411">
        <v>1</v>
      </c>
      <c r="X151" s="411"/>
      <c r="Y151" s="411"/>
      <c r="Z151" s="412">
        <f t="shared" si="10"/>
        <v>0</v>
      </c>
      <c r="AA151" s="456">
        <f t="shared" si="11"/>
        <v>0</v>
      </c>
      <c r="AB151" s="456">
        <v>0</v>
      </c>
      <c r="AC151" s="2"/>
      <c r="AD151" s="4"/>
      <c r="AE151" s="5"/>
      <c r="AF151" s="428"/>
    </row>
    <row r="152" spans="1:32" x14ac:dyDescent="0.25">
      <c r="A152" s="1" t="s">
        <v>2600</v>
      </c>
      <c r="B152" s="3" t="s">
        <v>1368</v>
      </c>
      <c r="C152" s="3" t="s">
        <v>1247</v>
      </c>
      <c r="D152" s="407" t="s">
        <v>1374</v>
      </c>
      <c r="E152" s="3" t="s">
        <v>1913</v>
      </c>
      <c r="F152" s="407" t="s">
        <v>4495</v>
      </c>
      <c r="G152" s="440" t="s">
        <v>4109</v>
      </c>
      <c r="H152" s="407" t="s">
        <v>4316</v>
      </c>
      <c r="I152" s="407" t="s">
        <v>3757</v>
      </c>
      <c r="J152" s="387" t="s">
        <v>4649</v>
      </c>
      <c r="K152" s="387">
        <v>1</v>
      </c>
      <c r="L152" s="387">
        <v>0</v>
      </c>
      <c r="M152" s="387">
        <f t="shared" si="8"/>
        <v>1</v>
      </c>
      <c r="N152" s="442">
        <f t="shared" si="9"/>
        <v>0</v>
      </c>
      <c r="O152" s="387" t="s">
        <v>1358</v>
      </c>
      <c r="P152" s="459">
        <v>0</v>
      </c>
      <c r="Q152" s="459"/>
      <c r="R152" s="456">
        <v>0</v>
      </c>
      <c r="S152" s="456">
        <v>65.141999999999996</v>
      </c>
      <c r="T152" s="410"/>
      <c r="U152" s="411">
        <v>1</v>
      </c>
      <c r="V152" s="411">
        <v>1</v>
      </c>
      <c r="W152" s="411">
        <v>1</v>
      </c>
      <c r="X152" s="411"/>
      <c r="Y152" s="411"/>
      <c r="Z152" s="412">
        <f t="shared" si="10"/>
        <v>0</v>
      </c>
      <c r="AA152" s="456">
        <f t="shared" si="11"/>
        <v>0</v>
      </c>
      <c r="AB152" s="456">
        <v>0</v>
      </c>
      <c r="AC152" s="2"/>
      <c r="AD152" s="4"/>
      <c r="AE152" s="5"/>
      <c r="AF152" s="428"/>
    </row>
    <row r="153" spans="1:32" x14ac:dyDescent="0.25">
      <c r="A153" s="1" t="s">
        <v>2601</v>
      </c>
      <c r="B153" s="3" t="s">
        <v>1368</v>
      </c>
      <c r="C153" s="3" t="s">
        <v>1247</v>
      </c>
      <c r="D153" s="407" t="s">
        <v>1377</v>
      </c>
      <c r="E153" s="3" t="s">
        <v>1914</v>
      </c>
      <c r="F153" s="407" t="s">
        <v>4494</v>
      </c>
      <c r="G153" s="440" t="s">
        <v>4109</v>
      </c>
      <c r="H153" s="407" t="s">
        <v>4315</v>
      </c>
      <c r="I153" s="407" t="s">
        <v>3749</v>
      </c>
      <c r="J153" s="387" t="s">
        <v>4648</v>
      </c>
      <c r="K153" s="387">
        <v>1</v>
      </c>
      <c r="L153" s="387">
        <v>0</v>
      </c>
      <c r="M153" s="387">
        <f t="shared" si="8"/>
        <v>1</v>
      </c>
      <c r="N153" s="442">
        <f t="shared" si="9"/>
        <v>0</v>
      </c>
      <c r="O153" s="387" t="s">
        <v>1358</v>
      </c>
      <c r="P153" s="459">
        <v>0</v>
      </c>
      <c r="Q153" s="459"/>
      <c r="R153" s="456">
        <v>0</v>
      </c>
      <c r="S153" s="456">
        <v>65.141999999999996</v>
      </c>
      <c r="T153" s="410"/>
      <c r="U153" s="411">
        <v>0</v>
      </c>
      <c r="V153" s="411">
        <v>0</v>
      </c>
      <c r="W153" s="411">
        <v>0</v>
      </c>
      <c r="X153" s="411"/>
      <c r="Y153" s="411"/>
      <c r="Z153" s="412">
        <f t="shared" si="10"/>
        <v>0</v>
      </c>
      <c r="AA153" s="456">
        <f t="shared" si="11"/>
        <v>0</v>
      </c>
      <c r="AB153" s="456">
        <v>0</v>
      </c>
      <c r="AC153" s="2"/>
      <c r="AD153" s="4"/>
      <c r="AE153" s="5"/>
      <c r="AF153" s="428"/>
    </row>
    <row r="154" spans="1:32" x14ac:dyDescent="0.25">
      <c r="A154" s="1" t="s">
        <v>2602</v>
      </c>
      <c r="B154" s="3" t="s">
        <v>1368</v>
      </c>
      <c r="C154" s="3" t="s">
        <v>1247</v>
      </c>
      <c r="D154" s="407" t="s">
        <v>1379</v>
      </c>
      <c r="E154" s="3" t="s">
        <v>1915</v>
      </c>
      <c r="F154" s="407" t="s">
        <v>4502</v>
      </c>
      <c r="G154" s="440" t="s">
        <v>4109</v>
      </c>
      <c r="H154" s="407" t="s">
        <v>4323</v>
      </c>
      <c r="I154" s="407" t="s">
        <v>3750</v>
      </c>
      <c r="J154" s="387" t="s">
        <v>4666</v>
      </c>
      <c r="K154" s="387">
        <v>2</v>
      </c>
      <c r="L154" s="387">
        <v>0</v>
      </c>
      <c r="M154" s="387">
        <f t="shared" si="8"/>
        <v>2</v>
      </c>
      <c r="N154" s="442">
        <f t="shared" si="9"/>
        <v>0</v>
      </c>
      <c r="O154" s="387" t="s">
        <v>1358</v>
      </c>
      <c r="P154" s="459">
        <v>0</v>
      </c>
      <c r="Q154" s="459"/>
      <c r="R154" s="456">
        <v>0</v>
      </c>
      <c r="S154" s="456">
        <v>130.28399999999999</v>
      </c>
      <c r="T154" s="410"/>
      <c r="U154" s="411">
        <v>1</v>
      </c>
      <c r="V154" s="411">
        <v>1</v>
      </c>
      <c r="W154" s="411">
        <v>1</v>
      </c>
      <c r="X154" s="411"/>
      <c r="Y154" s="411"/>
      <c r="Z154" s="412">
        <f t="shared" si="10"/>
        <v>0</v>
      </c>
      <c r="AA154" s="456">
        <f t="shared" si="11"/>
        <v>0</v>
      </c>
      <c r="AB154" s="456">
        <v>0</v>
      </c>
      <c r="AC154" s="2"/>
      <c r="AD154" s="4"/>
      <c r="AE154" s="5"/>
      <c r="AF154" s="428"/>
    </row>
    <row r="155" spans="1:32" x14ac:dyDescent="0.25">
      <c r="A155" s="1" t="s">
        <v>2603</v>
      </c>
      <c r="B155" s="3" t="s">
        <v>1368</v>
      </c>
      <c r="C155" s="3" t="s">
        <v>1247</v>
      </c>
      <c r="D155" s="407" t="s">
        <v>1381</v>
      </c>
      <c r="E155" s="3" t="s">
        <v>1916</v>
      </c>
      <c r="F155" s="407" t="s">
        <v>4497</v>
      </c>
      <c r="G155" s="440" t="s">
        <v>4109</v>
      </c>
      <c r="H155" s="407" t="s">
        <v>4318</v>
      </c>
      <c r="I155" s="407" t="s">
        <v>3751</v>
      </c>
      <c r="J155" s="387" t="s">
        <v>4631</v>
      </c>
      <c r="K155" s="387">
        <v>1</v>
      </c>
      <c r="L155" s="387">
        <v>0</v>
      </c>
      <c r="M155" s="387">
        <f t="shared" si="8"/>
        <v>1</v>
      </c>
      <c r="N155" s="442">
        <f t="shared" si="9"/>
        <v>0</v>
      </c>
      <c r="O155" s="387" t="s">
        <v>1358</v>
      </c>
      <c r="P155" s="459">
        <v>0</v>
      </c>
      <c r="Q155" s="459"/>
      <c r="R155" s="456">
        <v>0</v>
      </c>
      <c r="S155" s="456">
        <v>65.141999999999996</v>
      </c>
      <c r="T155" s="410"/>
      <c r="U155" s="411">
        <v>1</v>
      </c>
      <c r="V155" s="411">
        <v>1</v>
      </c>
      <c r="W155" s="411">
        <v>1</v>
      </c>
      <c r="X155" s="411"/>
      <c r="Y155" s="411"/>
      <c r="Z155" s="412">
        <f t="shared" si="10"/>
        <v>0</v>
      </c>
      <c r="AA155" s="456">
        <f t="shared" si="11"/>
        <v>0</v>
      </c>
      <c r="AB155" s="456">
        <v>0</v>
      </c>
      <c r="AC155" s="2"/>
      <c r="AD155" s="4"/>
      <c r="AE155" s="5"/>
      <c r="AF155" s="428"/>
    </row>
    <row r="156" spans="1:32" x14ac:dyDescent="0.25">
      <c r="A156" s="1" t="s">
        <v>2604</v>
      </c>
      <c r="B156" s="3" t="s">
        <v>1368</v>
      </c>
      <c r="C156" s="3" t="s">
        <v>1247</v>
      </c>
      <c r="D156" s="407" t="s">
        <v>1396</v>
      </c>
      <c r="E156" s="3" t="s">
        <v>1917</v>
      </c>
      <c r="F156" s="407" t="s">
        <v>4498</v>
      </c>
      <c r="G156" s="440" t="s">
        <v>4109</v>
      </c>
      <c r="H156" s="407" t="s">
        <v>4319</v>
      </c>
      <c r="I156" s="407" t="s">
        <v>3752</v>
      </c>
      <c r="J156" s="387" t="s">
        <v>4652</v>
      </c>
      <c r="K156" s="387">
        <v>1</v>
      </c>
      <c r="L156" s="387">
        <v>0</v>
      </c>
      <c r="M156" s="387">
        <f t="shared" si="8"/>
        <v>1</v>
      </c>
      <c r="N156" s="442">
        <f t="shared" si="9"/>
        <v>0</v>
      </c>
      <c r="O156" s="387" t="s">
        <v>1358</v>
      </c>
      <c r="P156" s="459">
        <v>0</v>
      </c>
      <c r="Q156" s="459"/>
      <c r="R156" s="456">
        <v>0</v>
      </c>
      <c r="S156" s="456">
        <v>10.792</v>
      </c>
      <c r="T156" s="410"/>
      <c r="U156" s="411">
        <v>1</v>
      </c>
      <c r="V156" s="411">
        <v>1</v>
      </c>
      <c r="W156" s="411">
        <v>1</v>
      </c>
      <c r="X156" s="411"/>
      <c r="Y156" s="411"/>
      <c r="Z156" s="412">
        <f t="shared" si="10"/>
        <v>0</v>
      </c>
      <c r="AA156" s="456">
        <f t="shared" si="11"/>
        <v>0</v>
      </c>
      <c r="AB156" s="456">
        <v>0</v>
      </c>
      <c r="AC156" s="2"/>
      <c r="AD156" s="4"/>
      <c r="AE156" s="5"/>
      <c r="AF156" s="428"/>
    </row>
    <row r="157" spans="1:32" x14ac:dyDescent="0.25">
      <c r="A157" s="1" t="s">
        <v>2605</v>
      </c>
      <c r="B157" s="3" t="s">
        <v>1368</v>
      </c>
      <c r="C157" s="3" t="s">
        <v>1247</v>
      </c>
      <c r="D157" s="407" t="s">
        <v>1399</v>
      </c>
      <c r="E157" s="3" t="s">
        <v>1918</v>
      </c>
      <c r="F157" s="407" t="s">
        <v>4499</v>
      </c>
      <c r="G157" s="440" t="s">
        <v>4109</v>
      </c>
      <c r="H157" s="407" t="s">
        <v>4320</v>
      </c>
      <c r="I157" s="407" t="s">
        <v>3758</v>
      </c>
      <c r="J157" s="387" t="s">
        <v>4653</v>
      </c>
      <c r="K157" s="387">
        <v>1</v>
      </c>
      <c r="L157" s="387">
        <v>0</v>
      </c>
      <c r="M157" s="387">
        <f t="shared" si="8"/>
        <v>1</v>
      </c>
      <c r="N157" s="442">
        <f t="shared" si="9"/>
        <v>0</v>
      </c>
      <c r="O157" s="387" t="s">
        <v>1358</v>
      </c>
      <c r="P157" s="459">
        <v>0</v>
      </c>
      <c r="Q157" s="459"/>
      <c r="R157" s="456">
        <v>0</v>
      </c>
      <c r="S157" s="456">
        <v>10.792</v>
      </c>
      <c r="T157" s="410"/>
      <c r="U157" s="411">
        <v>1</v>
      </c>
      <c r="V157" s="411">
        <v>1</v>
      </c>
      <c r="W157" s="411">
        <v>1</v>
      </c>
      <c r="X157" s="411"/>
      <c r="Y157" s="411"/>
      <c r="Z157" s="412">
        <f t="shared" si="10"/>
        <v>0</v>
      </c>
      <c r="AA157" s="456">
        <f t="shared" si="11"/>
        <v>0</v>
      </c>
      <c r="AB157" s="456">
        <v>0</v>
      </c>
      <c r="AC157" s="2"/>
      <c r="AD157" s="4"/>
      <c r="AE157" s="5"/>
      <c r="AF157" s="428"/>
    </row>
    <row r="158" spans="1:32" x14ac:dyDescent="0.25">
      <c r="A158" s="1" t="s">
        <v>2606</v>
      </c>
      <c r="B158" s="3" t="s">
        <v>1368</v>
      </c>
      <c r="C158" s="3" t="s">
        <v>1247</v>
      </c>
      <c r="D158" s="407" t="s">
        <v>1400</v>
      </c>
      <c r="E158" s="3" t="s">
        <v>1919</v>
      </c>
      <c r="F158" s="407" t="s">
        <v>4477</v>
      </c>
      <c r="G158" s="440" t="s">
        <v>4109</v>
      </c>
      <c r="H158" s="407" t="s">
        <v>4298</v>
      </c>
      <c r="I158" s="407" t="s">
        <v>3779</v>
      </c>
      <c r="J158" s="387" t="s">
        <v>4656</v>
      </c>
      <c r="K158" s="387">
        <v>1</v>
      </c>
      <c r="L158" s="387">
        <v>0</v>
      </c>
      <c r="M158" s="387">
        <f t="shared" si="8"/>
        <v>1</v>
      </c>
      <c r="N158" s="442">
        <f t="shared" si="9"/>
        <v>0</v>
      </c>
      <c r="O158" s="387" t="s">
        <v>1358</v>
      </c>
      <c r="P158" s="459">
        <v>0</v>
      </c>
      <c r="Q158" s="459"/>
      <c r="R158" s="456">
        <v>0</v>
      </c>
      <c r="S158" s="456">
        <v>10.792</v>
      </c>
      <c r="T158" s="410"/>
      <c r="U158" s="411">
        <v>1</v>
      </c>
      <c r="V158" s="411">
        <v>1</v>
      </c>
      <c r="W158" s="411">
        <v>1</v>
      </c>
      <c r="X158" s="411"/>
      <c r="Y158" s="411"/>
      <c r="Z158" s="412">
        <f t="shared" si="10"/>
        <v>0</v>
      </c>
      <c r="AA158" s="456">
        <f t="shared" si="11"/>
        <v>0</v>
      </c>
      <c r="AB158" s="456">
        <v>0</v>
      </c>
      <c r="AC158" s="2"/>
      <c r="AD158" s="4"/>
      <c r="AE158" s="5"/>
      <c r="AF158" s="428"/>
    </row>
    <row r="159" spans="1:32" x14ac:dyDescent="0.25">
      <c r="A159" s="1" t="s">
        <v>2607</v>
      </c>
      <c r="B159" s="3" t="s">
        <v>1368</v>
      </c>
      <c r="C159" s="3" t="s">
        <v>1247</v>
      </c>
      <c r="D159" s="407" t="s">
        <v>3234</v>
      </c>
      <c r="E159" s="3" t="s">
        <v>1920</v>
      </c>
      <c r="F159" s="407" t="s">
        <v>4492</v>
      </c>
      <c r="G159" s="440" t="s">
        <v>4109</v>
      </c>
      <c r="H159" s="407" t="s">
        <v>4313</v>
      </c>
      <c r="I159" s="407" t="s">
        <v>3794</v>
      </c>
      <c r="J159" s="387" t="s">
        <v>4646</v>
      </c>
      <c r="K159" s="387">
        <v>1</v>
      </c>
      <c r="L159" s="387">
        <v>0</v>
      </c>
      <c r="M159" s="387">
        <f t="shared" si="8"/>
        <v>1</v>
      </c>
      <c r="N159" s="442">
        <f t="shared" si="9"/>
        <v>0</v>
      </c>
      <c r="O159" s="387" t="s">
        <v>1358</v>
      </c>
      <c r="P159" s="459">
        <v>0</v>
      </c>
      <c r="Q159" s="459"/>
      <c r="R159" s="456">
        <v>0</v>
      </c>
      <c r="S159" s="456">
        <v>42.463000000000001</v>
      </c>
      <c r="T159" s="410"/>
      <c r="U159" s="411">
        <v>1</v>
      </c>
      <c r="V159" s="411">
        <v>1</v>
      </c>
      <c r="W159" s="411">
        <v>1</v>
      </c>
      <c r="X159" s="411"/>
      <c r="Y159" s="411"/>
      <c r="Z159" s="412">
        <f t="shared" si="10"/>
        <v>0</v>
      </c>
      <c r="AA159" s="456">
        <f t="shared" si="11"/>
        <v>0</v>
      </c>
      <c r="AB159" s="456">
        <v>0</v>
      </c>
      <c r="AC159" s="2"/>
      <c r="AD159" s="4"/>
      <c r="AE159" s="5"/>
      <c r="AF159" s="428"/>
    </row>
    <row r="160" spans="1:32" x14ac:dyDescent="0.25">
      <c r="A160" s="1" t="s">
        <v>2608</v>
      </c>
      <c r="B160" s="3" t="s">
        <v>1368</v>
      </c>
      <c r="C160" s="3" t="s">
        <v>1247</v>
      </c>
      <c r="D160" s="407" t="s">
        <v>1432</v>
      </c>
      <c r="E160" s="3" t="s">
        <v>1921</v>
      </c>
      <c r="F160" s="407" t="s">
        <v>4483</v>
      </c>
      <c r="G160" s="440" t="s">
        <v>4109</v>
      </c>
      <c r="H160" s="407" t="s">
        <v>4304</v>
      </c>
      <c r="I160" s="407" t="s">
        <v>3785</v>
      </c>
      <c r="J160" s="387" t="s">
        <v>4635</v>
      </c>
      <c r="K160" s="387">
        <v>1</v>
      </c>
      <c r="L160" s="387">
        <v>0</v>
      </c>
      <c r="M160" s="387">
        <f t="shared" si="8"/>
        <v>1</v>
      </c>
      <c r="N160" s="442">
        <f t="shared" si="9"/>
        <v>0</v>
      </c>
      <c r="O160" s="387" t="s">
        <v>1358</v>
      </c>
      <c r="P160" s="459">
        <v>0</v>
      </c>
      <c r="Q160" s="459"/>
      <c r="R160" s="456">
        <v>0</v>
      </c>
      <c r="S160" s="456">
        <v>67.596000000000004</v>
      </c>
      <c r="T160" s="410"/>
      <c r="U160" s="411">
        <v>0</v>
      </c>
      <c r="V160" s="411">
        <v>0</v>
      </c>
      <c r="W160" s="411">
        <v>0</v>
      </c>
      <c r="X160" s="411"/>
      <c r="Y160" s="411"/>
      <c r="Z160" s="412">
        <f t="shared" si="10"/>
        <v>0</v>
      </c>
      <c r="AA160" s="456">
        <f t="shared" si="11"/>
        <v>0</v>
      </c>
      <c r="AB160" s="456">
        <v>0</v>
      </c>
      <c r="AC160" s="2"/>
      <c r="AD160" s="4"/>
      <c r="AE160" s="5"/>
      <c r="AF160" s="428"/>
    </row>
    <row r="161" spans="1:32" x14ac:dyDescent="0.25">
      <c r="A161" s="1" t="s">
        <v>2609</v>
      </c>
      <c r="B161" s="3" t="s">
        <v>1368</v>
      </c>
      <c r="C161" s="3" t="s">
        <v>1247</v>
      </c>
      <c r="D161" s="407" t="s">
        <v>3236</v>
      </c>
      <c r="E161" s="3" t="s">
        <v>1922</v>
      </c>
      <c r="F161" s="407" t="s">
        <v>4491</v>
      </c>
      <c r="G161" s="440" t="s">
        <v>4109</v>
      </c>
      <c r="H161" s="407" t="s">
        <v>4312</v>
      </c>
      <c r="I161" s="407" t="s">
        <v>3793</v>
      </c>
      <c r="J161" s="387" t="s">
        <v>4645</v>
      </c>
      <c r="K161" s="387">
        <v>1</v>
      </c>
      <c r="L161" s="387">
        <v>0</v>
      </c>
      <c r="M161" s="387">
        <f t="shared" si="8"/>
        <v>1</v>
      </c>
      <c r="N161" s="442">
        <f t="shared" si="9"/>
        <v>0</v>
      </c>
      <c r="O161" s="387" t="s">
        <v>1358</v>
      </c>
      <c r="P161" s="459">
        <v>0</v>
      </c>
      <c r="Q161" s="459"/>
      <c r="R161" s="456">
        <v>0</v>
      </c>
      <c r="S161" s="456">
        <v>65.697000000000003</v>
      </c>
      <c r="T161" s="410"/>
      <c r="U161" s="411">
        <v>0</v>
      </c>
      <c r="V161" s="411">
        <v>0</v>
      </c>
      <c r="W161" s="411">
        <v>0</v>
      </c>
      <c r="X161" s="411"/>
      <c r="Y161" s="411"/>
      <c r="Z161" s="412">
        <f t="shared" si="10"/>
        <v>0</v>
      </c>
      <c r="AA161" s="456">
        <f t="shared" si="11"/>
        <v>0</v>
      </c>
      <c r="AB161" s="456">
        <v>0</v>
      </c>
      <c r="AC161" s="2"/>
      <c r="AD161" s="4"/>
      <c r="AE161" s="5"/>
      <c r="AF161" s="428"/>
    </row>
    <row r="162" spans="1:32" x14ac:dyDescent="0.25">
      <c r="A162" s="1" t="s">
        <v>2610</v>
      </c>
      <c r="B162" s="3" t="s">
        <v>1368</v>
      </c>
      <c r="C162" s="3" t="s">
        <v>1247</v>
      </c>
      <c r="D162" s="407" t="s">
        <v>1426</v>
      </c>
      <c r="E162" s="3" t="s">
        <v>1923</v>
      </c>
      <c r="F162" s="407" t="s">
        <v>4480</v>
      </c>
      <c r="G162" s="440" t="s">
        <v>4109</v>
      </c>
      <c r="H162" s="407" t="s">
        <v>4301</v>
      </c>
      <c r="I162" s="407" t="s">
        <v>3782</v>
      </c>
      <c r="J162" s="387" t="s">
        <v>4637</v>
      </c>
      <c r="K162" s="387">
        <v>1</v>
      </c>
      <c r="L162" s="387">
        <v>0</v>
      </c>
      <c r="M162" s="387">
        <f t="shared" si="8"/>
        <v>1</v>
      </c>
      <c r="N162" s="442">
        <f t="shared" si="9"/>
        <v>0</v>
      </c>
      <c r="O162" s="387" t="s">
        <v>1358</v>
      </c>
      <c r="P162" s="459">
        <v>0</v>
      </c>
      <c r="Q162" s="459"/>
      <c r="R162" s="456">
        <v>0</v>
      </c>
      <c r="S162" s="456">
        <v>67.596000000000004</v>
      </c>
      <c r="T162" s="410"/>
      <c r="U162" s="411">
        <v>1</v>
      </c>
      <c r="V162" s="411">
        <v>1</v>
      </c>
      <c r="W162" s="411">
        <v>1</v>
      </c>
      <c r="X162" s="411"/>
      <c r="Y162" s="411"/>
      <c r="Z162" s="412">
        <f t="shared" si="10"/>
        <v>0</v>
      </c>
      <c r="AA162" s="456">
        <f t="shared" si="11"/>
        <v>0</v>
      </c>
      <c r="AB162" s="456">
        <v>0</v>
      </c>
      <c r="AC162" s="2"/>
      <c r="AD162" s="4"/>
      <c r="AE162" s="5"/>
      <c r="AF162" s="428"/>
    </row>
    <row r="163" spans="1:32" x14ac:dyDescent="0.25">
      <c r="A163" s="1" t="s">
        <v>2611</v>
      </c>
      <c r="B163" s="3" t="s">
        <v>1368</v>
      </c>
      <c r="C163" s="3" t="s">
        <v>1247</v>
      </c>
      <c r="D163" s="407" t="s">
        <v>1427</v>
      </c>
      <c r="E163" s="3" t="s">
        <v>1924</v>
      </c>
      <c r="F163" s="407" t="s">
        <v>4485</v>
      </c>
      <c r="G163" s="440" t="s">
        <v>4109</v>
      </c>
      <c r="H163" s="407" t="s">
        <v>4306</v>
      </c>
      <c r="I163" s="407" t="s">
        <v>3787</v>
      </c>
      <c r="J163" s="387" t="s">
        <v>4638</v>
      </c>
      <c r="K163" s="387">
        <v>1</v>
      </c>
      <c r="L163" s="387">
        <v>0</v>
      </c>
      <c r="M163" s="387">
        <f t="shared" si="8"/>
        <v>1</v>
      </c>
      <c r="N163" s="442">
        <f t="shared" si="9"/>
        <v>0</v>
      </c>
      <c r="O163" s="387" t="s">
        <v>1358</v>
      </c>
      <c r="P163" s="459">
        <v>0</v>
      </c>
      <c r="Q163" s="459"/>
      <c r="R163" s="456">
        <v>0</v>
      </c>
      <c r="S163" s="456">
        <v>67.596000000000004</v>
      </c>
      <c r="T163" s="410"/>
      <c r="U163" s="411">
        <v>0</v>
      </c>
      <c r="V163" s="411">
        <v>0</v>
      </c>
      <c r="W163" s="411">
        <v>0</v>
      </c>
      <c r="X163" s="411"/>
      <c r="Y163" s="411"/>
      <c r="Z163" s="412">
        <f t="shared" si="10"/>
        <v>0</v>
      </c>
      <c r="AA163" s="456">
        <f t="shared" si="11"/>
        <v>0</v>
      </c>
      <c r="AB163" s="456">
        <v>0</v>
      </c>
      <c r="AC163" s="2"/>
      <c r="AD163" s="4"/>
      <c r="AE163" s="5"/>
      <c r="AF163" s="428"/>
    </row>
    <row r="164" spans="1:32" x14ac:dyDescent="0.25">
      <c r="A164" s="1" t="s">
        <v>2612</v>
      </c>
      <c r="B164" s="3" t="s">
        <v>1368</v>
      </c>
      <c r="C164" s="3" t="s">
        <v>1247</v>
      </c>
      <c r="D164" s="407" t="s">
        <v>1428</v>
      </c>
      <c r="E164" s="3" t="s">
        <v>1925</v>
      </c>
      <c r="F164" s="407" t="s">
        <v>4486</v>
      </c>
      <c r="G164" s="440" t="s">
        <v>4109</v>
      </c>
      <c r="H164" s="407" t="s">
        <v>4307</v>
      </c>
      <c r="I164" s="407" t="s">
        <v>3788</v>
      </c>
      <c r="J164" s="387" t="s">
        <v>4639</v>
      </c>
      <c r="K164" s="387">
        <v>1</v>
      </c>
      <c r="L164" s="387">
        <v>0</v>
      </c>
      <c r="M164" s="387">
        <f t="shared" si="8"/>
        <v>1</v>
      </c>
      <c r="N164" s="442">
        <f t="shared" si="9"/>
        <v>0</v>
      </c>
      <c r="O164" s="387" t="s">
        <v>1358</v>
      </c>
      <c r="P164" s="459">
        <v>0</v>
      </c>
      <c r="Q164" s="459"/>
      <c r="R164" s="456">
        <v>0</v>
      </c>
      <c r="S164" s="456">
        <v>67.596000000000004</v>
      </c>
      <c r="T164" s="410"/>
      <c r="U164" s="411">
        <v>0</v>
      </c>
      <c r="V164" s="411">
        <v>0</v>
      </c>
      <c r="W164" s="411">
        <v>0</v>
      </c>
      <c r="X164" s="411"/>
      <c r="Y164" s="411"/>
      <c r="Z164" s="412">
        <f t="shared" si="10"/>
        <v>0</v>
      </c>
      <c r="AA164" s="456">
        <f t="shared" si="11"/>
        <v>0</v>
      </c>
      <c r="AB164" s="456">
        <v>0</v>
      </c>
      <c r="AC164" s="2"/>
      <c r="AD164" s="4"/>
      <c r="AE164" s="5"/>
      <c r="AF164" s="428"/>
    </row>
    <row r="165" spans="1:32" x14ac:dyDescent="0.25">
      <c r="A165" s="1" t="s">
        <v>2613</v>
      </c>
      <c r="B165" s="3" t="s">
        <v>1368</v>
      </c>
      <c r="C165" s="3" t="s">
        <v>1247</v>
      </c>
      <c r="D165" s="407" t="s">
        <v>1429</v>
      </c>
      <c r="E165" s="3" t="s">
        <v>1926</v>
      </c>
      <c r="F165" s="407" t="s">
        <v>4487</v>
      </c>
      <c r="G165" s="440" t="s">
        <v>4109</v>
      </c>
      <c r="H165" s="407" t="s">
        <v>4308</v>
      </c>
      <c r="I165" s="407" t="s">
        <v>3789</v>
      </c>
      <c r="J165" s="387" t="s">
        <v>4640</v>
      </c>
      <c r="K165" s="387">
        <v>1</v>
      </c>
      <c r="L165" s="387">
        <v>0</v>
      </c>
      <c r="M165" s="387">
        <f t="shared" si="8"/>
        <v>1</v>
      </c>
      <c r="N165" s="442">
        <f t="shared" si="9"/>
        <v>0</v>
      </c>
      <c r="O165" s="387" t="s">
        <v>1358</v>
      </c>
      <c r="P165" s="459">
        <v>0</v>
      </c>
      <c r="Q165" s="459"/>
      <c r="R165" s="456">
        <v>0</v>
      </c>
      <c r="S165" s="456">
        <v>67.596000000000004</v>
      </c>
      <c r="T165" s="410"/>
      <c r="U165" s="411">
        <v>0</v>
      </c>
      <c r="V165" s="411">
        <v>0</v>
      </c>
      <c r="W165" s="411">
        <v>0</v>
      </c>
      <c r="X165" s="411"/>
      <c r="Y165" s="411"/>
      <c r="Z165" s="412">
        <f t="shared" si="10"/>
        <v>0</v>
      </c>
      <c r="AA165" s="456">
        <f t="shared" si="11"/>
        <v>0</v>
      </c>
      <c r="AB165" s="456">
        <v>0</v>
      </c>
      <c r="AC165" s="2"/>
      <c r="AD165" s="4"/>
      <c r="AE165" s="5"/>
      <c r="AF165" s="428"/>
    </row>
    <row r="166" spans="1:32" x14ac:dyDescent="0.25">
      <c r="A166" s="1" t="s">
        <v>2614</v>
      </c>
      <c r="B166" s="3" t="s">
        <v>1368</v>
      </c>
      <c r="C166" s="3" t="s">
        <v>1247</v>
      </c>
      <c r="D166" s="407" t="s">
        <v>1430</v>
      </c>
      <c r="E166" s="3" t="s">
        <v>1927</v>
      </c>
      <c r="F166" s="407" t="s">
        <v>4488</v>
      </c>
      <c r="G166" s="440" t="s">
        <v>4109</v>
      </c>
      <c r="H166" s="407" t="s">
        <v>4309</v>
      </c>
      <c r="I166" s="407" t="s">
        <v>3790</v>
      </c>
      <c r="J166" s="387" t="s">
        <v>4641</v>
      </c>
      <c r="K166" s="387">
        <v>1</v>
      </c>
      <c r="L166" s="387">
        <v>0</v>
      </c>
      <c r="M166" s="387">
        <f t="shared" si="8"/>
        <v>1</v>
      </c>
      <c r="N166" s="442">
        <f t="shared" si="9"/>
        <v>0</v>
      </c>
      <c r="O166" s="387" t="s">
        <v>1358</v>
      </c>
      <c r="P166" s="459">
        <v>0</v>
      </c>
      <c r="Q166" s="459"/>
      <c r="R166" s="456">
        <v>0</v>
      </c>
      <c r="S166" s="456">
        <v>90.286000000000001</v>
      </c>
      <c r="T166" s="410"/>
      <c r="U166" s="411">
        <v>0</v>
      </c>
      <c r="V166" s="411">
        <v>0</v>
      </c>
      <c r="W166" s="411">
        <v>0</v>
      </c>
      <c r="X166" s="411"/>
      <c r="Y166" s="411"/>
      <c r="Z166" s="412">
        <f t="shared" si="10"/>
        <v>0</v>
      </c>
      <c r="AA166" s="456">
        <f t="shared" si="11"/>
        <v>0</v>
      </c>
      <c r="AB166" s="456">
        <v>0</v>
      </c>
      <c r="AC166" s="2"/>
      <c r="AD166" s="4"/>
      <c r="AE166" s="5"/>
      <c r="AF166" s="428"/>
    </row>
    <row r="167" spans="1:32" x14ac:dyDescent="0.25">
      <c r="A167" s="1" t="s">
        <v>2615</v>
      </c>
      <c r="B167" s="3" t="s">
        <v>1368</v>
      </c>
      <c r="C167" s="3" t="s">
        <v>1247</v>
      </c>
      <c r="D167" s="407" t="s">
        <v>1431</v>
      </c>
      <c r="E167" s="3" t="s">
        <v>1928</v>
      </c>
      <c r="F167" s="407" t="s">
        <v>4489</v>
      </c>
      <c r="G167" s="440" t="s">
        <v>4109</v>
      </c>
      <c r="H167" s="407" t="s">
        <v>4310</v>
      </c>
      <c r="I167" s="407" t="s">
        <v>3791</v>
      </c>
      <c r="J167" s="387" t="s">
        <v>4642</v>
      </c>
      <c r="K167" s="387">
        <v>1</v>
      </c>
      <c r="L167" s="387">
        <v>0</v>
      </c>
      <c r="M167" s="387">
        <f t="shared" si="8"/>
        <v>1</v>
      </c>
      <c r="N167" s="442">
        <f t="shared" si="9"/>
        <v>0</v>
      </c>
      <c r="O167" s="387" t="s">
        <v>1358</v>
      </c>
      <c r="P167" s="459">
        <v>0</v>
      </c>
      <c r="Q167" s="459"/>
      <c r="R167" s="456">
        <v>0</v>
      </c>
      <c r="S167" s="456">
        <v>67.596000000000004</v>
      </c>
      <c r="T167" s="410"/>
      <c r="U167" s="411">
        <v>0</v>
      </c>
      <c r="V167" s="411">
        <v>0</v>
      </c>
      <c r="W167" s="411">
        <v>0</v>
      </c>
      <c r="X167" s="411"/>
      <c r="Y167" s="411"/>
      <c r="Z167" s="412">
        <f t="shared" si="10"/>
        <v>0</v>
      </c>
      <c r="AA167" s="456">
        <f t="shared" si="11"/>
        <v>0</v>
      </c>
      <c r="AB167" s="456">
        <v>0</v>
      </c>
      <c r="AC167" s="2"/>
      <c r="AD167" s="4"/>
      <c r="AE167" s="5"/>
      <c r="AF167" s="428"/>
    </row>
    <row r="168" spans="1:32" x14ac:dyDescent="0.25">
      <c r="A168" s="1" t="s">
        <v>2616</v>
      </c>
      <c r="B168" s="3" t="s">
        <v>1368</v>
      </c>
      <c r="C168" s="3" t="s">
        <v>1247</v>
      </c>
      <c r="D168" s="407" t="s">
        <v>3306</v>
      </c>
      <c r="E168" s="3" t="s">
        <v>1929</v>
      </c>
      <c r="F168" s="407" t="s">
        <v>4484</v>
      </c>
      <c r="G168" s="440" t="s">
        <v>4109</v>
      </c>
      <c r="H168" s="407" t="s">
        <v>4305</v>
      </c>
      <c r="I168" s="407" t="s">
        <v>3786</v>
      </c>
      <c r="J168" s="387" t="s">
        <v>4636</v>
      </c>
      <c r="K168" s="387">
        <v>1</v>
      </c>
      <c r="L168" s="387">
        <v>0</v>
      </c>
      <c r="M168" s="387">
        <f t="shared" si="8"/>
        <v>1</v>
      </c>
      <c r="N168" s="442">
        <f t="shared" si="9"/>
        <v>0</v>
      </c>
      <c r="O168" s="387" t="s">
        <v>1358</v>
      </c>
      <c r="P168" s="459">
        <v>0</v>
      </c>
      <c r="Q168" s="459"/>
      <c r="R168" s="456">
        <v>0</v>
      </c>
      <c r="S168" s="456">
        <v>59.232999999999997</v>
      </c>
      <c r="T168" s="410"/>
      <c r="U168" s="411">
        <v>0</v>
      </c>
      <c r="V168" s="411">
        <v>0</v>
      </c>
      <c r="W168" s="411">
        <v>0</v>
      </c>
      <c r="X168" s="411"/>
      <c r="Y168" s="411"/>
      <c r="Z168" s="412">
        <f t="shared" si="10"/>
        <v>0</v>
      </c>
      <c r="AA168" s="456">
        <f t="shared" si="11"/>
        <v>0</v>
      </c>
      <c r="AB168" s="456">
        <v>0</v>
      </c>
      <c r="AC168" s="2"/>
      <c r="AD168" s="4"/>
      <c r="AE168" s="5"/>
      <c r="AF168" s="428"/>
    </row>
    <row r="169" spans="1:32" x14ac:dyDescent="0.25">
      <c r="A169" s="1" t="s">
        <v>2617</v>
      </c>
      <c r="B169" s="3" t="s">
        <v>1368</v>
      </c>
      <c r="C169" s="3" t="s">
        <v>1247</v>
      </c>
      <c r="D169" s="407" t="s">
        <v>1431</v>
      </c>
      <c r="E169" s="3" t="s">
        <v>1930</v>
      </c>
      <c r="F169" s="407" t="s">
        <v>4489</v>
      </c>
      <c r="G169" s="440" t="s">
        <v>4109</v>
      </c>
      <c r="H169" s="407" t="s">
        <v>4310</v>
      </c>
      <c r="I169" s="407" t="s">
        <v>3791</v>
      </c>
      <c r="J169" s="387" t="s">
        <v>4642</v>
      </c>
      <c r="K169" s="387">
        <v>1</v>
      </c>
      <c r="L169" s="387">
        <v>0</v>
      </c>
      <c r="M169" s="387">
        <f t="shared" si="8"/>
        <v>1</v>
      </c>
      <c r="N169" s="442">
        <f t="shared" si="9"/>
        <v>0</v>
      </c>
      <c r="O169" s="387" t="s">
        <v>1358</v>
      </c>
      <c r="P169" s="459">
        <v>0</v>
      </c>
      <c r="Q169" s="459"/>
      <c r="R169" s="456">
        <v>0</v>
      </c>
      <c r="S169" s="456">
        <v>79.427000000000007</v>
      </c>
      <c r="T169" s="410"/>
      <c r="U169" s="411">
        <v>0</v>
      </c>
      <c r="V169" s="411">
        <v>0</v>
      </c>
      <c r="W169" s="411">
        <v>0</v>
      </c>
      <c r="X169" s="411"/>
      <c r="Y169" s="411"/>
      <c r="Z169" s="412">
        <f t="shared" si="10"/>
        <v>0</v>
      </c>
      <c r="AA169" s="456">
        <f t="shared" si="11"/>
        <v>0</v>
      </c>
      <c r="AB169" s="456">
        <v>0</v>
      </c>
      <c r="AC169" s="2"/>
      <c r="AD169" s="4"/>
      <c r="AE169" s="5"/>
      <c r="AF169" s="428"/>
    </row>
    <row r="170" spans="1:32" x14ac:dyDescent="0.25">
      <c r="A170" s="1" t="s">
        <v>2618</v>
      </c>
      <c r="B170" s="3" t="s">
        <v>1368</v>
      </c>
      <c r="C170" s="3" t="s">
        <v>1247</v>
      </c>
      <c r="D170" s="407" t="s">
        <v>1432</v>
      </c>
      <c r="E170" s="3" t="s">
        <v>1931</v>
      </c>
      <c r="F170" s="407" t="s">
        <v>4483</v>
      </c>
      <c r="G170" s="440" t="s">
        <v>4109</v>
      </c>
      <c r="H170" s="407" t="s">
        <v>4304</v>
      </c>
      <c r="I170" s="407" t="s">
        <v>3785</v>
      </c>
      <c r="J170" s="387" t="s">
        <v>4635</v>
      </c>
      <c r="K170" s="387">
        <v>1</v>
      </c>
      <c r="L170" s="387">
        <v>0</v>
      </c>
      <c r="M170" s="387">
        <f t="shared" si="8"/>
        <v>1</v>
      </c>
      <c r="N170" s="442">
        <f t="shared" si="9"/>
        <v>0</v>
      </c>
      <c r="O170" s="387" t="s">
        <v>1358</v>
      </c>
      <c r="P170" s="459">
        <v>0</v>
      </c>
      <c r="Q170" s="459"/>
      <c r="R170" s="456">
        <v>0</v>
      </c>
      <c r="S170" s="456">
        <v>79.427000000000007</v>
      </c>
      <c r="T170" s="410"/>
      <c r="U170" s="411">
        <v>0</v>
      </c>
      <c r="V170" s="411">
        <v>0</v>
      </c>
      <c r="W170" s="411">
        <v>0</v>
      </c>
      <c r="X170" s="411"/>
      <c r="Y170" s="411"/>
      <c r="Z170" s="412">
        <f t="shared" si="10"/>
        <v>0</v>
      </c>
      <c r="AA170" s="456">
        <f t="shared" si="11"/>
        <v>0</v>
      </c>
      <c r="AB170" s="456">
        <v>0</v>
      </c>
      <c r="AC170" s="2"/>
      <c r="AD170" s="4"/>
      <c r="AE170" s="5"/>
      <c r="AF170" s="428"/>
    </row>
    <row r="171" spans="1:32" x14ac:dyDescent="0.25">
      <c r="A171" s="1" t="s">
        <v>2619</v>
      </c>
      <c r="B171" s="3" t="s">
        <v>1368</v>
      </c>
      <c r="C171" s="3" t="s">
        <v>1247</v>
      </c>
      <c r="D171" s="407" t="s">
        <v>1433</v>
      </c>
      <c r="E171" s="3" t="s">
        <v>1932</v>
      </c>
      <c r="F171" s="407" t="s">
        <v>4490</v>
      </c>
      <c r="G171" s="440" t="s">
        <v>4109</v>
      </c>
      <c r="H171" s="407" t="s">
        <v>4311</v>
      </c>
      <c r="I171" s="407" t="s">
        <v>3792</v>
      </c>
      <c r="J171" s="387" t="s">
        <v>4644</v>
      </c>
      <c r="K171" s="387">
        <v>1</v>
      </c>
      <c r="L171" s="387">
        <v>0</v>
      </c>
      <c r="M171" s="387">
        <f t="shared" si="8"/>
        <v>1</v>
      </c>
      <c r="N171" s="442">
        <f t="shared" si="9"/>
        <v>0</v>
      </c>
      <c r="O171" s="387" t="s">
        <v>1358</v>
      </c>
      <c r="P171" s="459">
        <v>0</v>
      </c>
      <c r="Q171" s="459"/>
      <c r="R171" s="456">
        <v>0</v>
      </c>
      <c r="S171" s="456">
        <v>79.427000000000007</v>
      </c>
      <c r="T171" s="410"/>
      <c r="U171" s="411">
        <v>0</v>
      </c>
      <c r="V171" s="411">
        <v>0</v>
      </c>
      <c r="W171" s="411">
        <v>0</v>
      </c>
      <c r="X171" s="411"/>
      <c r="Y171" s="411"/>
      <c r="Z171" s="412">
        <f t="shared" si="10"/>
        <v>0</v>
      </c>
      <c r="AA171" s="456">
        <f t="shared" si="11"/>
        <v>0</v>
      </c>
      <c r="AB171" s="456">
        <v>0</v>
      </c>
      <c r="AC171" s="2"/>
      <c r="AD171" s="4"/>
      <c r="AE171" s="5"/>
      <c r="AF171" s="428"/>
    </row>
    <row r="172" spans="1:32" x14ac:dyDescent="0.25">
      <c r="A172" s="1" t="s">
        <v>2620</v>
      </c>
      <c r="B172" s="3" t="s">
        <v>1368</v>
      </c>
      <c r="C172" s="3" t="s">
        <v>1247</v>
      </c>
      <c r="D172" s="407" t="s">
        <v>3293</v>
      </c>
      <c r="E172" s="3" t="s">
        <v>1933</v>
      </c>
      <c r="F172" s="407" t="s">
        <v>4503</v>
      </c>
      <c r="G172" s="440" t="s">
        <v>4109</v>
      </c>
      <c r="H172" s="407" t="s">
        <v>4324</v>
      </c>
      <c r="I172" s="407" t="s">
        <v>3798</v>
      </c>
      <c r="J172" s="387" t="s">
        <v>4658</v>
      </c>
      <c r="K172" s="387">
        <v>1</v>
      </c>
      <c r="L172" s="387">
        <v>0</v>
      </c>
      <c r="M172" s="387">
        <f t="shared" si="8"/>
        <v>1</v>
      </c>
      <c r="N172" s="442">
        <f t="shared" si="9"/>
        <v>0</v>
      </c>
      <c r="O172" s="387" t="s">
        <v>1358</v>
      </c>
      <c r="P172" s="459">
        <v>0</v>
      </c>
      <c r="Q172" s="459"/>
      <c r="R172" s="456">
        <v>0</v>
      </c>
      <c r="S172" s="456">
        <v>63.454000000000001</v>
      </c>
      <c r="T172" s="410"/>
      <c r="U172" s="411">
        <v>1</v>
      </c>
      <c r="V172" s="411">
        <v>1</v>
      </c>
      <c r="W172" s="411">
        <v>1</v>
      </c>
      <c r="X172" s="411"/>
      <c r="Y172" s="411"/>
      <c r="Z172" s="412">
        <f t="shared" si="10"/>
        <v>0</v>
      </c>
      <c r="AA172" s="456">
        <f t="shared" si="11"/>
        <v>0</v>
      </c>
      <c r="AB172" s="456">
        <v>0</v>
      </c>
      <c r="AC172" s="2"/>
      <c r="AD172" s="4"/>
      <c r="AE172" s="5"/>
      <c r="AF172" s="428"/>
    </row>
    <row r="173" spans="1:32" x14ac:dyDescent="0.25">
      <c r="A173" s="1" t="s">
        <v>2621</v>
      </c>
      <c r="B173" s="3" t="s">
        <v>1368</v>
      </c>
      <c r="C173" s="3" t="s">
        <v>1247</v>
      </c>
      <c r="D173" s="407" t="s">
        <v>1398</v>
      </c>
      <c r="E173" s="3" t="s">
        <v>1934</v>
      </c>
      <c r="F173" s="407" t="s">
        <v>4496</v>
      </c>
      <c r="G173" s="440" t="s">
        <v>4109</v>
      </c>
      <c r="H173" s="407" t="s">
        <v>4317</v>
      </c>
      <c r="I173" s="407" t="s">
        <v>3796</v>
      </c>
      <c r="J173" s="387" t="s">
        <v>4650</v>
      </c>
      <c r="K173" s="387">
        <v>1</v>
      </c>
      <c r="L173" s="387">
        <v>0</v>
      </c>
      <c r="M173" s="387">
        <f t="shared" si="8"/>
        <v>1</v>
      </c>
      <c r="N173" s="442">
        <f t="shared" si="9"/>
        <v>0</v>
      </c>
      <c r="O173" s="387" t="s">
        <v>1358</v>
      </c>
      <c r="P173" s="459">
        <v>0</v>
      </c>
      <c r="Q173" s="459"/>
      <c r="R173" s="456">
        <v>0</v>
      </c>
      <c r="S173" s="456">
        <v>65.141999999999996</v>
      </c>
      <c r="T173" s="410"/>
      <c r="U173" s="411">
        <v>1</v>
      </c>
      <c r="V173" s="411">
        <v>1</v>
      </c>
      <c r="W173" s="411">
        <v>1</v>
      </c>
      <c r="X173" s="411"/>
      <c r="Y173" s="411"/>
      <c r="Z173" s="412">
        <f t="shared" si="10"/>
        <v>0</v>
      </c>
      <c r="AA173" s="456">
        <f t="shared" si="11"/>
        <v>0</v>
      </c>
      <c r="AB173" s="456">
        <v>0</v>
      </c>
      <c r="AC173" s="2"/>
      <c r="AD173" s="4"/>
      <c r="AE173" s="5"/>
      <c r="AF173" s="428"/>
    </row>
    <row r="174" spans="1:32" x14ac:dyDescent="0.25">
      <c r="A174" s="1" t="s">
        <v>2622</v>
      </c>
      <c r="B174" s="3" t="s">
        <v>1368</v>
      </c>
      <c r="C174" s="3" t="s">
        <v>1247</v>
      </c>
      <c r="D174" s="407" t="s">
        <v>1374</v>
      </c>
      <c r="E174" s="3" t="s">
        <v>1935</v>
      </c>
      <c r="F174" s="407" t="s">
        <v>4495</v>
      </c>
      <c r="G174" s="440" t="s">
        <v>4109</v>
      </c>
      <c r="H174" s="407" t="s">
        <v>4316</v>
      </c>
      <c r="I174" s="407" t="s">
        <v>3757</v>
      </c>
      <c r="J174" s="387" t="s">
        <v>4649</v>
      </c>
      <c r="K174" s="387">
        <v>1</v>
      </c>
      <c r="L174" s="387">
        <v>0</v>
      </c>
      <c r="M174" s="387">
        <f t="shared" si="8"/>
        <v>1</v>
      </c>
      <c r="N174" s="442">
        <f t="shared" si="9"/>
        <v>0</v>
      </c>
      <c r="O174" s="387" t="s">
        <v>1358</v>
      </c>
      <c r="P174" s="459">
        <v>0</v>
      </c>
      <c r="Q174" s="459"/>
      <c r="R174" s="456">
        <v>0</v>
      </c>
      <c r="S174" s="456">
        <v>63.524000000000001</v>
      </c>
      <c r="T174" s="410"/>
      <c r="U174" s="411">
        <v>1</v>
      </c>
      <c r="V174" s="411">
        <v>1</v>
      </c>
      <c r="W174" s="411">
        <v>1</v>
      </c>
      <c r="X174" s="411"/>
      <c r="Y174" s="411"/>
      <c r="Z174" s="412">
        <f t="shared" si="10"/>
        <v>0</v>
      </c>
      <c r="AA174" s="456">
        <f t="shared" si="11"/>
        <v>0</v>
      </c>
      <c r="AB174" s="456">
        <v>0</v>
      </c>
      <c r="AC174" s="2"/>
      <c r="AD174" s="4"/>
      <c r="AE174" s="5"/>
      <c r="AF174" s="428"/>
    </row>
    <row r="175" spans="1:32" x14ac:dyDescent="0.25">
      <c r="A175" s="1" t="s">
        <v>2623</v>
      </c>
      <c r="B175" s="3" t="s">
        <v>1368</v>
      </c>
      <c r="C175" s="3" t="s">
        <v>1247</v>
      </c>
      <c r="D175" s="407" t="s">
        <v>1377</v>
      </c>
      <c r="E175" s="3" t="s">
        <v>1936</v>
      </c>
      <c r="F175" s="407" t="s">
        <v>4494</v>
      </c>
      <c r="G175" s="440" t="s">
        <v>4109</v>
      </c>
      <c r="H175" s="407" t="s">
        <v>4315</v>
      </c>
      <c r="I175" s="407" t="s">
        <v>3749</v>
      </c>
      <c r="J175" s="387" t="s">
        <v>4648</v>
      </c>
      <c r="K175" s="387">
        <v>1</v>
      </c>
      <c r="L175" s="387">
        <v>0</v>
      </c>
      <c r="M175" s="387">
        <f t="shared" si="8"/>
        <v>1</v>
      </c>
      <c r="N175" s="442">
        <f t="shared" si="9"/>
        <v>0</v>
      </c>
      <c r="O175" s="387" t="s">
        <v>1358</v>
      </c>
      <c r="P175" s="459">
        <v>0</v>
      </c>
      <c r="Q175" s="459"/>
      <c r="R175" s="456">
        <v>0</v>
      </c>
      <c r="S175" s="456">
        <v>65.141999999999996</v>
      </c>
      <c r="T175" s="410"/>
      <c r="U175" s="411">
        <v>0</v>
      </c>
      <c r="V175" s="411">
        <v>0</v>
      </c>
      <c r="W175" s="411">
        <v>0</v>
      </c>
      <c r="X175" s="411"/>
      <c r="Y175" s="411"/>
      <c r="Z175" s="412">
        <f t="shared" si="10"/>
        <v>0</v>
      </c>
      <c r="AA175" s="456">
        <f t="shared" si="11"/>
        <v>0</v>
      </c>
      <c r="AB175" s="456">
        <v>0</v>
      </c>
      <c r="AC175" s="2"/>
      <c r="AD175" s="4"/>
      <c r="AE175" s="5"/>
      <c r="AF175" s="428"/>
    </row>
    <row r="176" spans="1:32" x14ac:dyDescent="0.25">
      <c r="A176" s="1" t="s">
        <v>2624</v>
      </c>
      <c r="B176" s="3" t="s">
        <v>1368</v>
      </c>
      <c r="C176" s="3" t="s">
        <v>1247</v>
      </c>
      <c r="D176" s="407" t="s">
        <v>1379</v>
      </c>
      <c r="E176" s="3" t="s">
        <v>1937</v>
      </c>
      <c r="F176" s="407" t="s">
        <v>4502</v>
      </c>
      <c r="G176" s="440" t="s">
        <v>4109</v>
      </c>
      <c r="H176" s="407" t="s">
        <v>4323</v>
      </c>
      <c r="I176" s="407" t="s">
        <v>3750</v>
      </c>
      <c r="J176" s="387" t="s">
        <v>4632</v>
      </c>
      <c r="K176" s="387">
        <v>1</v>
      </c>
      <c r="L176" s="387">
        <v>0</v>
      </c>
      <c r="M176" s="387">
        <f t="shared" si="8"/>
        <v>1</v>
      </c>
      <c r="N176" s="442">
        <f t="shared" si="9"/>
        <v>0</v>
      </c>
      <c r="O176" s="387" t="s">
        <v>1358</v>
      </c>
      <c r="P176" s="459">
        <v>0</v>
      </c>
      <c r="Q176" s="459"/>
      <c r="R176" s="456">
        <v>0</v>
      </c>
      <c r="S176" s="456">
        <v>65.141999999999996</v>
      </c>
      <c r="T176" s="410"/>
      <c r="U176" s="411">
        <v>1</v>
      </c>
      <c r="V176" s="411">
        <v>1</v>
      </c>
      <c r="W176" s="411">
        <v>1</v>
      </c>
      <c r="X176" s="411"/>
      <c r="Y176" s="411"/>
      <c r="Z176" s="412">
        <f t="shared" si="10"/>
        <v>0</v>
      </c>
      <c r="AA176" s="456">
        <f t="shared" si="11"/>
        <v>0</v>
      </c>
      <c r="AB176" s="456">
        <v>0</v>
      </c>
      <c r="AC176" s="2"/>
      <c r="AD176" s="4"/>
      <c r="AE176" s="5"/>
      <c r="AF176" s="428"/>
    </row>
    <row r="177" spans="1:32" x14ac:dyDescent="0.25">
      <c r="A177" s="1" t="s">
        <v>2625</v>
      </c>
      <c r="B177" s="3" t="s">
        <v>1368</v>
      </c>
      <c r="C177" s="3" t="s">
        <v>1247</v>
      </c>
      <c r="D177" s="407" t="s">
        <v>1381</v>
      </c>
      <c r="E177" s="3" t="s">
        <v>1938</v>
      </c>
      <c r="F177" s="407" t="s">
        <v>4497</v>
      </c>
      <c r="G177" s="440" t="s">
        <v>4109</v>
      </c>
      <c r="H177" s="407" t="s">
        <v>4318</v>
      </c>
      <c r="I177" s="407" t="s">
        <v>3751</v>
      </c>
      <c r="J177" s="387" t="s">
        <v>4631</v>
      </c>
      <c r="K177" s="387">
        <v>1</v>
      </c>
      <c r="L177" s="387">
        <v>0</v>
      </c>
      <c r="M177" s="387">
        <f t="shared" si="8"/>
        <v>1</v>
      </c>
      <c r="N177" s="442">
        <f t="shared" si="9"/>
        <v>0</v>
      </c>
      <c r="O177" s="387" t="s">
        <v>1358</v>
      </c>
      <c r="P177" s="459">
        <v>0</v>
      </c>
      <c r="Q177" s="459"/>
      <c r="R177" s="456">
        <v>0</v>
      </c>
      <c r="S177" s="456">
        <v>65.141999999999996</v>
      </c>
      <c r="T177" s="410"/>
      <c r="U177" s="411">
        <v>1</v>
      </c>
      <c r="V177" s="411">
        <v>1</v>
      </c>
      <c r="W177" s="411">
        <v>1</v>
      </c>
      <c r="X177" s="411"/>
      <c r="Y177" s="411"/>
      <c r="Z177" s="412">
        <f t="shared" si="10"/>
        <v>0</v>
      </c>
      <c r="AA177" s="456">
        <f t="shared" si="11"/>
        <v>0</v>
      </c>
      <c r="AB177" s="456">
        <v>0</v>
      </c>
      <c r="AC177" s="2"/>
      <c r="AD177" s="4"/>
      <c r="AE177" s="5"/>
      <c r="AF177" s="428"/>
    </row>
    <row r="178" spans="1:32" x14ac:dyDescent="0.25">
      <c r="A178" s="1" t="s">
        <v>2626</v>
      </c>
      <c r="B178" s="3" t="s">
        <v>1368</v>
      </c>
      <c r="C178" s="3" t="s">
        <v>1247</v>
      </c>
      <c r="D178" s="407" t="s">
        <v>1396</v>
      </c>
      <c r="E178" s="3" t="s">
        <v>1939</v>
      </c>
      <c r="F178" s="407" t="s">
        <v>4498</v>
      </c>
      <c r="G178" s="440" t="s">
        <v>4109</v>
      </c>
      <c r="H178" s="407" t="s">
        <v>4319</v>
      </c>
      <c r="I178" s="407" t="s">
        <v>3752</v>
      </c>
      <c r="J178" s="387" t="s">
        <v>4652</v>
      </c>
      <c r="K178" s="387">
        <v>1</v>
      </c>
      <c r="L178" s="387">
        <v>0</v>
      </c>
      <c r="M178" s="387">
        <f t="shared" si="8"/>
        <v>1</v>
      </c>
      <c r="N178" s="442">
        <f t="shared" si="9"/>
        <v>0</v>
      </c>
      <c r="O178" s="387" t="s">
        <v>1358</v>
      </c>
      <c r="P178" s="459">
        <v>0</v>
      </c>
      <c r="Q178" s="459"/>
      <c r="R178" s="456">
        <v>0</v>
      </c>
      <c r="S178" s="456">
        <v>10.792</v>
      </c>
      <c r="T178" s="410"/>
      <c r="U178" s="411">
        <v>1</v>
      </c>
      <c r="V178" s="411">
        <v>1</v>
      </c>
      <c r="W178" s="411">
        <v>1</v>
      </c>
      <c r="X178" s="411"/>
      <c r="Y178" s="411"/>
      <c r="Z178" s="412">
        <f t="shared" si="10"/>
        <v>0</v>
      </c>
      <c r="AA178" s="456">
        <f t="shared" si="11"/>
        <v>0</v>
      </c>
      <c r="AB178" s="456">
        <v>0</v>
      </c>
      <c r="AC178" s="2"/>
      <c r="AD178" s="4"/>
      <c r="AE178" s="5"/>
      <c r="AF178" s="428"/>
    </row>
    <row r="179" spans="1:32" x14ac:dyDescent="0.25">
      <c r="A179" s="1" t="s">
        <v>2627</v>
      </c>
      <c r="B179" s="3" t="s">
        <v>1368</v>
      </c>
      <c r="C179" s="3" t="s">
        <v>1247</v>
      </c>
      <c r="D179" s="407" t="s">
        <v>1399</v>
      </c>
      <c r="E179" s="3" t="s">
        <v>1940</v>
      </c>
      <c r="F179" s="407" t="s">
        <v>4499</v>
      </c>
      <c r="G179" s="440" t="s">
        <v>4109</v>
      </c>
      <c r="H179" s="407" t="s">
        <v>4320</v>
      </c>
      <c r="I179" s="407" t="s">
        <v>3758</v>
      </c>
      <c r="J179" s="387" t="s">
        <v>4653</v>
      </c>
      <c r="K179" s="387">
        <v>1</v>
      </c>
      <c r="L179" s="387">
        <v>0</v>
      </c>
      <c r="M179" s="387">
        <f t="shared" si="8"/>
        <v>1</v>
      </c>
      <c r="N179" s="442">
        <f t="shared" si="9"/>
        <v>0</v>
      </c>
      <c r="O179" s="387" t="s">
        <v>1358</v>
      </c>
      <c r="P179" s="459">
        <v>0</v>
      </c>
      <c r="Q179" s="459"/>
      <c r="R179" s="456">
        <v>0</v>
      </c>
      <c r="S179" s="456">
        <v>10.792</v>
      </c>
      <c r="T179" s="410"/>
      <c r="U179" s="411">
        <v>1</v>
      </c>
      <c r="V179" s="411">
        <v>1</v>
      </c>
      <c r="W179" s="411">
        <v>1</v>
      </c>
      <c r="X179" s="411"/>
      <c r="Y179" s="411"/>
      <c r="Z179" s="412">
        <f t="shared" si="10"/>
        <v>0</v>
      </c>
      <c r="AA179" s="456">
        <f t="shared" si="11"/>
        <v>0</v>
      </c>
      <c r="AB179" s="456">
        <v>0</v>
      </c>
      <c r="AC179" s="2"/>
      <c r="AD179" s="4"/>
      <c r="AE179" s="5"/>
      <c r="AF179" s="428"/>
    </row>
    <row r="180" spans="1:32" x14ac:dyDescent="0.25">
      <c r="A180" s="1" t="s">
        <v>2628</v>
      </c>
      <c r="B180" s="3" t="s">
        <v>1368</v>
      </c>
      <c r="C180" s="3" t="s">
        <v>1247</v>
      </c>
      <c r="D180" s="407" t="s">
        <v>1400</v>
      </c>
      <c r="E180" s="3" t="s">
        <v>1941</v>
      </c>
      <c r="F180" s="407" t="s">
        <v>4477</v>
      </c>
      <c r="G180" s="440" t="s">
        <v>4109</v>
      </c>
      <c r="H180" s="407" t="s">
        <v>4298</v>
      </c>
      <c r="I180" s="407" t="s">
        <v>3779</v>
      </c>
      <c r="J180" s="387" t="s">
        <v>4656</v>
      </c>
      <c r="K180" s="387">
        <v>1</v>
      </c>
      <c r="L180" s="387">
        <v>0</v>
      </c>
      <c r="M180" s="387">
        <f t="shared" si="8"/>
        <v>1</v>
      </c>
      <c r="N180" s="442">
        <f t="shared" si="9"/>
        <v>0</v>
      </c>
      <c r="O180" s="387" t="s">
        <v>1358</v>
      </c>
      <c r="P180" s="459">
        <v>0</v>
      </c>
      <c r="Q180" s="459"/>
      <c r="R180" s="456">
        <v>0</v>
      </c>
      <c r="S180" s="456">
        <v>10.792</v>
      </c>
      <c r="T180" s="410"/>
      <c r="U180" s="411">
        <v>1</v>
      </c>
      <c r="V180" s="411">
        <v>1</v>
      </c>
      <c r="W180" s="411">
        <v>1</v>
      </c>
      <c r="X180" s="411"/>
      <c r="Y180" s="411"/>
      <c r="Z180" s="412">
        <f t="shared" si="10"/>
        <v>0</v>
      </c>
      <c r="AA180" s="456">
        <f t="shared" si="11"/>
        <v>0</v>
      </c>
      <c r="AB180" s="456">
        <v>0</v>
      </c>
      <c r="AC180" s="2"/>
      <c r="AD180" s="4"/>
      <c r="AE180" s="5"/>
      <c r="AF180" s="428"/>
    </row>
    <row r="181" spans="1:32" x14ac:dyDescent="0.25">
      <c r="A181" s="1" t="s">
        <v>2629</v>
      </c>
      <c r="B181" s="3" t="s">
        <v>1368</v>
      </c>
      <c r="C181" s="3" t="s">
        <v>1247</v>
      </c>
      <c r="D181" s="407" t="s">
        <v>3291</v>
      </c>
      <c r="E181" s="3" t="s">
        <v>1942</v>
      </c>
      <c r="F181" s="407" t="s">
        <v>4476</v>
      </c>
      <c r="G181" s="440" t="s">
        <v>4109</v>
      </c>
      <c r="H181" s="407" t="s">
        <v>4297</v>
      </c>
      <c r="I181" s="407" t="s">
        <v>3753</v>
      </c>
      <c r="J181" s="387" t="s">
        <v>4651</v>
      </c>
      <c r="K181" s="387">
        <v>1</v>
      </c>
      <c r="L181" s="387">
        <v>0</v>
      </c>
      <c r="M181" s="387">
        <f t="shared" si="8"/>
        <v>1</v>
      </c>
      <c r="N181" s="442">
        <f t="shared" si="9"/>
        <v>0</v>
      </c>
      <c r="O181" s="387" t="s">
        <v>1358</v>
      </c>
      <c r="P181" s="459">
        <v>0</v>
      </c>
      <c r="Q181" s="459"/>
      <c r="R181" s="456">
        <v>0</v>
      </c>
      <c r="S181" s="456">
        <v>79.427000000000007</v>
      </c>
      <c r="T181" s="410"/>
      <c r="U181" s="411">
        <v>1</v>
      </c>
      <c r="V181" s="411">
        <v>1</v>
      </c>
      <c r="W181" s="411">
        <v>1</v>
      </c>
      <c r="X181" s="411"/>
      <c r="Y181" s="411"/>
      <c r="Z181" s="412">
        <f t="shared" si="10"/>
        <v>0</v>
      </c>
      <c r="AA181" s="456">
        <f t="shared" si="11"/>
        <v>0</v>
      </c>
      <c r="AB181" s="456">
        <v>0</v>
      </c>
      <c r="AC181" s="2"/>
      <c r="AD181" s="4"/>
      <c r="AE181" s="5"/>
      <c r="AF181" s="428"/>
    </row>
    <row r="182" spans="1:32" x14ac:dyDescent="0.25">
      <c r="A182" s="1" t="s">
        <v>2630</v>
      </c>
      <c r="B182" s="3" t="s">
        <v>1368</v>
      </c>
      <c r="C182" s="3" t="s">
        <v>1247</v>
      </c>
      <c r="D182" s="407" t="s">
        <v>3306</v>
      </c>
      <c r="E182" s="3" t="s">
        <v>1943</v>
      </c>
      <c r="F182" s="407" t="s">
        <v>4484</v>
      </c>
      <c r="G182" s="440" t="s">
        <v>4109</v>
      </c>
      <c r="H182" s="407" t="s">
        <v>4305</v>
      </c>
      <c r="I182" s="407" t="s">
        <v>3786</v>
      </c>
      <c r="J182" s="387" t="s">
        <v>4636</v>
      </c>
      <c r="K182" s="387">
        <v>1</v>
      </c>
      <c r="L182" s="387">
        <v>0</v>
      </c>
      <c r="M182" s="387">
        <f t="shared" si="8"/>
        <v>1</v>
      </c>
      <c r="N182" s="442">
        <f t="shared" si="9"/>
        <v>0</v>
      </c>
      <c r="O182" s="387" t="s">
        <v>1358</v>
      </c>
      <c r="P182" s="459">
        <v>0</v>
      </c>
      <c r="Q182" s="459"/>
      <c r="R182" s="456">
        <v>0</v>
      </c>
      <c r="S182" s="456">
        <v>59.232999999999997</v>
      </c>
      <c r="T182" s="410"/>
      <c r="U182" s="411">
        <v>0</v>
      </c>
      <c r="V182" s="411">
        <v>0</v>
      </c>
      <c r="W182" s="411">
        <v>0</v>
      </c>
      <c r="X182" s="411"/>
      <c r="Y182" s="411"/>
      <c r="Z182" s="412">
        <f t="shared" si="10"/>
        <v>0</v>
      </c>
      <c r="AA182" s="456">
        <f t="shared" si="11"/>
        <v>0</v>
      </c>
      <c r="AB182" s="456">
        <v>0</v>
      </c>
      <c r="AC182" s="2"/>
      <c r="AD182" s="4"/>
      <c r="AE182" s="5"/>
      <c r="AF182" s="428"/>
    </row>
    <row r="183" spans="1:32" x14ac:dyDescent="0.25">
      <c r="A183" s="1" t="s">
        <v>2631</v>
      </c>
      <c r="B183" s="3" t="s">
        <v>1368</v>
      </c>
      <c r="C183" s="3" t="s">
        <v>1247</v>
      </c>
      <c r="D183" s="407" t="s">
        <v>1432</v>
      </c>
      <c r="E183" s="3" t="s">
        <v>1944</v>
      </c>
      <c r="F183" s="407" t="s">
        <v>4483</v>
      </c>
      <c r="G183" s="440" t="s">
        <v>4109</v>
      </c>
      <c r="H183" s="407" t="s">
        <v>4304</v>
      </c>
      <c r="I183" s="407" t="s">
        <v>3785</v>
      </c>
      <c r="J183" s="387" t="s">
        <v>4635</v>
      </c>
      <c r="K183" s="387">
        <v>1</v>
      </c>
      <c r="L183" s="387">
        <v>0</v>
      </c>
      <c r="M183" s="387">
        <f t="shared" si="8"/>
        <v>1</v>
      </c>
      <c r="N183" s="442">
        <f t="shared" si="9"/>
        <v>0</v>
      </c>
      <c r="O183" s="387" t="s">
        <v>1358</v>
      </c>
      <c r="P183" s="459">
        <v>0</v>
      </c>
      <c r="Q183" s="459"/>
      <c r="R183" s="456">
        <v>0</v>
      </c>
      <c r="S183" s="456">
        <v>67.596000000000004</v>
      </c>
      <c r="T183" s="410"/>
      <c r="U183" s="411">
        <v>0</v>
      </c>
      <c r="V183" s="411">
        <v>0</v>
      </c>
      <c r="W183" s="411">
        <v>0</v>
      </c>
      <c r="X183" s="411"/>
      <c r="Y183" s="411"/>
      <c r="Z183" s="412">
        <f t="shared" si="10"/>
        <v>0</v>
      </c>
      <c r="AA183" s="456">
        <f t="shared" si="11"/>
        <v>0</v>
      </c>
      <c r="AB183" s="456">
        <v>0</v>
      </c>
      <c r="AC183" s="2"/>
      <c r="AD183" s="4"/>
      <c r="AE183" s="5"/>
      <c r="AF183" s="428"/>
    </row>
    <row r="184" spans="1:32" x14ac:dyDescent="0.25">
      <c r="A184" s="1" t="s">
        <v>2632</v>
      </c>
      <c r="B184" s="3" t="s">
        <v>1368</v>
      </c>
      <c r="C184" s="3" t="s">
        <v>1247</v>
      </c>
      <c r="D184" s="407" t="s">
        <v>3236</v>
      </c>
      <c r="E184" s="3" t="s">
        <v>1945</v>
      </c>
      <c r="F184" s="407" t="s">
        <v>4491</v>
      </c>
      <c r="G184" s="440" t="s">
        <v>4109</v>
      </c>
      <c r="H184" s="407" t="s">
        <v>4312</v>
      </c>
      <c r="I184" s="407" t="s">
        <v>3793</v>
      </c>
      <c r="J184" s="387" t="s">
        <v>4645</v>
      </c>
      <c r="K184" s="387">
        <v>1</v>
      </c>
      <c r="L184" s="387">
        <v>0</v>
      </c>
      <c r="M184" s="387">
        <f t="shared" si="8"/>
        <v>1</v>
      </c>
      <c r="N184" s="442">
        <f t="shared" si="9"/>
        <v>0</v>
      </c>
      <c r="O184" s="387" t="s">
        <v>1358</v>
      </c>
      <c r="P184" s="459">
        <v>0</v>
      </c>
      <c r="Q184" s="459"/>
      <c r="R184" s="456">
        <v>0</v>
      </c>
      <c r="S184" s="456">
        <v>65.697000000000003</v>
      </c>
      <c r="T184" s="410"/>
      <c r="U184" s="411">
        <v>1</v>
      </c>
      <c r="V184" s="411">
        <v>1</v>
      </c>
      <c r="W184" s="411">
        <v>1</v>
      </c>
      <c r="X184" s="411"/>
      <c r="Y184" s="411"/>
      <c r="Z184" s="412">
        <f t="shared" si="10"/>
        <v>0</v>
      </c>
      <c r="AA184" s="456">
        <f t="shared" si="11"/>
        <v>0</v>
      </c>
      <c r="AB184" s="456">
        <v>0</v>
      </c>
      <c r="AC184" s="2"/>
      <c r="AD184" s="4"/>
      <c r="AE184" s="5"/>
      <c r="AF184" s="428"/>
    </row>
    <row r="185" spans="1:32" x14ac:dyDescent="0.25">
      <c r="A185" s="1" t="s">
        <v>2633</v>
      </c>
      <c r="B185" s="3" t="s">
        <v>1368</v>
      </c>
      <c r="C185" s="3" t="s">
        <v>1247</v>
      </c>
      <c r="D185" s="407" t="s">
        <v>1426</v>
      </c>
      <c r="E185" s="3" t="s">
        <v>1946</v>
      </c>
      <c r="F185" s="407" t="s">
        <v>4480</v>
      </c>
      <c r="G185" s="440" t="s">
        <v>4109</v>
      </c>
      <c r="H185" s="407" t="s">
        <v>4301</v>
      </c>
      <c r="I185" s="407" t="s">
        <v>3782</v>
      </c>
      <c r="J185" s="387" t="s">
        <v>4637</v>
      </c>
      <c r="K185" s="387">
        <v>1</v>
      </c>
      <c r="L185" s="387">
        <v>0</v>
      </c>
      <c r="M185" s="387">
        <f t="shared" si="8"/>
        <v>1</v>
      </c>
      <c r="N185" s="442">
        <f t="shared" si="9"/>
        <v>0</v>
      </c>
      <c r="O185" s="387" t="s">
        <v>1358</v>
      </c>
      <c r="P185" s="459">
        <v>0</v>
      </c>
      <c r="Q185" s="459"/>
      <c r="R185" s="456">
        <v>0</v>
      </c>
      <c r="S185" s="456">
        <v>67.596000000000004</v>
      </c>
      <c r="T185" s="410"/>
      <c r="U185" s="411">
        <v>1</v>
      </c>
      <c r="V185" s="411">
        <v>1</v>
      </c>
      <c r="W185" s="411">
        <v>1</v>
      </c>
      <c r="X185" s="411"/>
      <c r="Y185" s="411"/>
      <c r="Z185" s="412">
        <f t="shared" si="10"/>
        <v>0</v>
      </c>
      <c r="AA185" s="456">
        <f t="shared" si="11"/>
        <v>0</v>
      </c>
      <c r="AB185" s="456">
        <v>0</v>
      </c>
      <c r="AC185" s="2"/>
      <c r="AD185" s="4"/>
      <c r="AE185" s="5"/>
      <c r="AF185" s="428"/>
    </row>
    <row r="186" spans="1:32" x14ac:dyDescent="0.25">
      <c r="A186" s="1" t="s">
        <v>2634</v>
      </c>
      <c r="B186" s="3" t="s">
        <v>1368</v>
      </c>
      <c r="C186" s="3" t="s">
        <v>1247</v>
      </c>
      <c r="D186" s="407" t="s">
        <v>1427</v>
      </c>
      <c r="E186" s="3" t="s">
        <v>1947</v>
      </c>
      <c r="F186" s="407" t="s">
        <v>4485</v>
      </c>
      <c r="G186" s="440" t="s">
        <v>4109</v>
      </c>
      <c r="H186" s="407" t="s">
        <v>4306</v>
      </c>
      <c r="I186" s="407" t="s">
        <v>3787</v>
      </c>
      <c r="J186" s="387" t="s">
        <v>4638</v>
      </c>
      <c r="K186" s="387">
        <v>1</v>
      </c>
      <c r="L186" s="387">
        <v>0</v>
      </c>
      <c r="M186" s="387">
        <f t="shared" si="8"/>
        <v>1</v>
      </c>
      <c r="N186" s="442">
        <f t="shared" si="9"/>
        <v>0</v>
      </c>
      <c r="O186" s="387" t="s">
        <v>1358</v>
      </c>
      <c r="P186" s="459">
        <v>0</v>
      </c>
      <c r="Q186" s="459"/>
      <c r="R186" s="456">
        <v>0</v>
      </c>
      <c r="S186" s="456">
        <v>67.596000000000004</v>
      </c>
      <c r="T186" s="410"/>
      <c r="U186" s="411">
        <v>0</v>
      </c>
      <c r="V186" s="411">
        <v>0</v>
      </c>
      <c r="W186" s="411">
        <v>0</v>
      </c>
      <c r="X186" s="411"/>
      <c r="Y186" s="411"/>
      <c r="Z186" s="412">
        <f t="shared" si="10"/>
        <v>0</v>
      </c>
      <c r="AA186" s="456">
        <f t="shared" si="11"/>
        <v>0</v>
      </c>
      <c r="AB186" s="456">
        <v>0</v>
      </c>
      <c r="AC186" s="2"/>
      <c r="AD186" s="4"/>
      <c r="AE186" s="5"/>
      <c r="AF186" s="428"/>
    </row>
    <row r="187" spans="1:32" x14ac:dyDescent="0.25">
      <c r="A187" s="1" t="s">
        <v>2635</v>
      </c>
      <c r="B187" s="3" t="s">
        <v>1368</v>
      </c>
      <c r="C187" s="3" t="s">
        <v>1247</v>
      </c>
      <c r="D187" s="407" t="s">
        <v>1428</v>
      </c>
      <c r="E187" s="3" t="s">
        <v>1948</v>
      </c>
      <c r="F187" s="407" t="s">
        <v>4486</v>
      </c>
      <c r="G187" s="440" t="s">
        <v>4109</v>
      </c>
      <c r="H187" s="407" t="s">
        <v>4307</v>
      </c>
      <c r="I187" s="407" t="s">
        <v>3788</v>
      </c>
      <c r="J187" s="387" t="s">
        <v>4639</v>
      </c>
      <c r="K187" s="387">
        <v>1</v>
      </c>
      <c r="L187" s="387">
        <v>0</v>
      </c>
      <c r="M187" s="387">
        <f t="shared" si="8"/>
        <v>1</v>
      </c>
      <c r="N187" s="442">
        <f t="shared" si="9"/>
        <v>0</v>
      </c>
      <c r="O187" s="387" t="s">
        <v>1358</v>
      </c>
      <c r="P187" s="459">
        <v>0</v>
      </c>
      <c r="Q187" s="459"/>
      <c r="R187" s="456">
        <v>0</v>
      </c>
      <c r="S187" s="456">
        <v>67.596000000000004</v>
      </c>
      <c r="T187" s="410"/>
      <c r="U187" s="411">
        <v>0</v>
      </c>
      <c r="V187" s="411">
        <v>0</v>
      </c>
      <c r="W187" s="411">
        <v>0</v>
      </c>
      <c r="X187" s="411"/>
      <c r="Y187" s="411"/>
      <c r="Z187" s="412">
        <f t="shared" si="10"/>
        <v>0</v>
      </c>
      <c r="AA187" s="456">
        <f t="shared" si="11"/>
        <v>0</v>
      </c>
      <c r="AB187" s="456">
        <v>0</v>
      </c>
      <c r="AC187" s="2"/>
      <c r="AD187" s="4"/>
      <c r="AE187" s="5"/>
      <c r="AF187" s="428"/>
    </row>
    <row r="188" spans="1:32" x14ac:dyDescent="0.25">
      <c r="A188" s="1" t="s">
        <v>2636</v>
      </c>
      <c r="B188" s="3" t="s">
        <v>1368</v>
      </c>
      <c r="C188" s="3" t="s">
        <v>1247</v>
      </c>
      <c r="D188" s="407" t="s">
        <v>1429</v>
      </c>
      <c r="E188" s="3" t="s">
        <v>1949</v>
      </c>
      <c r="F188" s="407" t="s">
        <v>4487</v>
      </c>
      <c r="G188" s="440" t="s">
        <v>4109</v>
      </c>
      <c r="H188" s="407" t="s">
        <v>4308</v>
      </c>
      <c r="I188" s="407" t="s">
        <v>3789</v>
      </c>
      <c r="J188" s="387" t="s">
        <v>4640</v>
      </c>
      <c r="K188" s="387">
        <v>1</v>
      </c>
      <c r="L188" s="387">
        <v>0</v>
      </c>
      <c r="M188" s="387">
        <f t="shared" si="8"/>
        <v>1</v>
      </c>
      <c r="N188" s="442">
        <f t="shared" si="9"/>
        <v>0</v>
      </c>
      <c r="O188" s="387" t="s">
        <v>1358</v>
      </c>
      <c r="P188" s="459">
        <v>0</v>
      </c>
      <c r="Q188" s="459"/>
      <c r="R188" s="456">
        <v>0</v>
      </c>
      <c r="S188" s="456">
        <v>67.596000000000004</v>
      </c>
      <c r="T188" s="410"/>
      <c r="U188" s="411">
        <v>0</v>
      </c>
      <c r="V188" s="411">
        <v>0</v>
      </c>
      <c r="W188" s="411">
        <v>0</v>
      </c>
      <c r="X188" s="411"/>
      <c r="Y188" s="411"/>
      <c r="Z188" s="412">
        <f t="shared" si="10"/>
        <v>0</v>
      </c>
      <c r="AA188" s="456">
        <f t="shared" si="11"/>
        <v>0</v>
      </c>
      <c r="AB188" s="456">
        <v>0</v>
      </c>
      <c r="AC188" s="2"/>
      <c r="AD188" s="4"/>
      <c r="AE188" s="5"/>
      <c r="AF188" s="428"/>
    </row>
    <row r="189" spans="1:32" x14ac:dyDescent="0.25">
      <c r="A189" s="1" t="s">
        <v>2637</v>
      </c>
      <c r="B189" s="3" t="s">
        <v>1368</v>
      </c>
      <c r="C189" s="3" t="s">
        <v>1247</v>
      </c>
      <c r="D189" s="407" t="s">
        <v>1430</v>
      </c>
      <c r="E189" s="3" t="s">
        <v>1950</v>
      </c>
      <c r="F189" s="407" t="s">
        <v>4488</v>
      </c>
      <c r="G189" s="440" t="s">
        <v>4109</v>
      </c>
      <c r="H189" s="407" t="s">
        <v>4309</v>
      </c>
      <c r="I189" s="407" t="s">
        <v>3790</v>
      </c>
      <c r="J189" s="387" t="s">
        <v>4641</v>
      </c>
      <c r="K189" s="387">
        <v>1</v>
      </c>
      <c r="L189" s="387">
        <v>0</v>
      </c>
      <c r="M189" s="387">
        <f t="shared" si="8"/>
        <v>1</v>
      </c>
      <c r="N189" s="442">
        <f t="shared" si="9"/>
        <v>0</v>
      </c>
      <c r="O189" s="387" t="s">
        <v>1358</v>
      </c>
      <c r="P189" s="459">
        <v>0</v>
      </c>
      <c r="Q189" s="459"/>
      <c r="R189" s="456">
        <v>0</v>
      </c>
      <c r="S189" s="456">
        <v>90.286000000000001</v>
      </c>
      <c r="T189" s="410"/>
      <c r="U189" s="411">
        <v>0</v>
      </c>
      <c r="V189" s="411">
        <v>0</v>
      </c>
      <c r="W189" s="411">
        <v>0</v>
      </c>
      <c r="X189" s="411"/>
      <c r="Y189" s="411"/>
      <c r="Z189" s="412">
        <f t="shared" si="10"/>
        <v>0</v>
      </c>
      <c r="AA189" s="456">
        <f t="shared" si="11"/>
        <v>0</v>
      </c>
      <c r="AB189" s="456">
        <v>0</v>
      </c>
      <c r="AC189" s="2"/>
      <c r="AD189" s="4"/>
      <c r="AE189" s="5"/>
      <c r="AF189" s="428"/>
    </row>
    <row r="190" spans="1:32" x14ac:dyDescent="0.25">
      <c r="A190" s="1" t="s">
        <v>2638</v>
      </c>
      <c r="B190" s="3" t="s">
        <v>1368</v>
      </c>
      <c r="C190" s="3" t="s">
        <v>1247</v>
      </c>
      <c r="D190" s="407" t="s">
        <v>1431</v>
      </c>
      <c r="E190" s="3" t="s">
        <v>1951</v>
      </c>
      <c r="F190" s="407" t="s">
        <v>4489</v>
      </c>
      <c r="G190" s="440" t="s">
        <v>4109</v>
      </c>
      <c r="H190" s="407" t="s">
        <v>4310</v>
      </c>
      <c r="I190" s="407" t="s">
        <v>3791</v>
      </c>
      <c r="J190" s="387" t="s">
        <v>4642</v>
      </c>
      <c r="K190" s="387">
        <v>1</v>
      </c>
      <c r="L190" s="387">
        <v>0</v>
      </c>
      <c r="M190" s="387">
        <f t="shared" si="8"/>
        <v>1</v>
      </c>
      <c r="N190" s="442">
        <f t="shared" si="9"/>
        <v>0</v>
      </c>
      <c r="O190" s="387" t="s">
        <v>1358</v>
      </c>
      <c r="P190" s="459">
        <v>0</v>
      </c>
      <c r="Q190" s="459"/>
      <c r="R190" s="456">
        <v>0</v>
      </c>
      <c r="S190" s="456">
        <v>67.596000000000004</v>
      </c>
      <c r="T190" s="410"/>
      <c r="U190" s="411">
        <v>0</v>
      </c>
      <c r="V190" s="411">
        <v>0</v>
      </c>
      <c r="W190" s="411">
        <v>0</v>
      </c>
      <c r="X190" s="411"/>
      <c r="Y190" s="411"/>
      <c r="Z190" s="412">
        <f t="shared" si="10"/>
        <v>0</v>
      </c>
      <c r="AA190" s="456">
        <f t="shared" si="11"/>
        <v>0</v>
      </c>
      <c r="AB190" s="456">
        <v>0</v>
      </c>
      <c r="AC190" s="2"/>
      <c r="AD190" s="4"/>
      <c r="AE190" s="5"/>
      <c r="AF190" s="428"/>
    </row>
    <row r="191" spans="1:32" x14ac:dyDescent="0.25">
      <c r="A191" s="1" t="s">
        <v>2639</v>
      </c>
      <c r="B191" s="3" t="s">
        <v>1368</v>
      </c>
      <c r="C191" s="3" t="s">
        <v>1247</v>
      </c>
      <c r="D191" s="407" t="s">
        <v>3234</v>
      </c>
      <c r="E191" s="3" t="s">
        <v>1952</v>
      </c>
      <c r="F191" s="407" t="s">
        <v>4492</v>
      </c>
      <c r="G191" s="440" t="s">
        <v>4109</v>
      </c>
      <c r="H191" s="407" t="s">
        <v>4313</v>
      </c>
      <c r="I191" s="407" t="s">
        <v>3794</v>
      </c>
      <c r="J191" s="387" t="s">
        <v>4646</v>
      </c>
      <c r="K191" s="387">
        <v>1</v>
      </c>
      <c r="L191" s="387">
        <v>0</v>
      </c>
      <c r="M191" s="387">
        <f t="shared" si="8"/>
        <v>1</v>
      </c>
      <c r="N191" s="442">
        <f t="shared" si="9"/>
        <v>0</v>
      </c>
      <c r="O191" s="387" t="s">
        <v>1358</v>
      </c>
      <c r="P191" s="459">
        <v>0</v>
      </c>
      <c r="Q191" s="459"/>
      <c r="R191" s="456">
        <v>0</v>
      </c>
      <c r="S191" s="456">
        <v>42.463000000000001</v>
      </c>
      <c r="T191" s="410"/>
      <c r="U191" s="411">
        <v>1</v>
      </c>
      <c r="V191" s="411">
        <v>1</v>
      </c>
      <c r="W191" s="411">
        <v>1</v>
      </c>
      <c r="X191" s="411"/>
      <c r="Y191" s="411"/>
      <c r="Z191" s="412">
        <f t="shared" si="10"/>
        <v>0</v>
      </c>
      <c r="AA191" s="456">
        <f t="shared" si="11"/>
        <v>0</v>
      </c>
      <c r="AB191" s="456">
        <v>0</v>
      </c>
      <c r="AC191" s="2"/>
      <c r="AD191" s="4"/>
      <c r="AE191" s="5"/>
      <c r="AF191" s="428"/>
    </row>
    <row r="192" spans="1:32" x14ac:dyDescent="0.25">
      <c r="A192" s="1" t="s">
        <v>2640</v>
      </c>
      <c r="B192" s="3" t="s">
        <v>1368</v>
      </c>
      <c r="C192" s="3" t="s">
        <v>1247</v>
      </c>
      <c r="D192" s="407" t="s">
        <v>1431</v>
      </c>
      <c r="E192" s="3" t="s">
        <v>1953</v>
      </c>
      <c r="F192" s="407" t="s">
        <v>4489</v>
      </c>
      <c r="G192" s="440" t="s">
        <v>4109</v>
      </c>
      <c r="H192" s="407" t="s">
        <v>4310</v>
      </c>
      <c r="I192" s="407" t="s">
        <v>3791</v>
      </c>
      <c r="J192" s="387" t="s">
        <v>4642</v>
      </c>
      <c r="K192" s="387">
        <v>1</v>
      </c>
      <c r="L192" s="387">
        <v>0</v>
      </c>
      <c r="M192" s="387">
        <f t="shared" si="8"/>
        <v>1</v>
      </c>
      <c r="N192" s="442">
        <f t="shared" si="9"/>
        <v>0</v>
      </c>
      <c r="O192" s="387" t="s">
        <v>1358</v>
      </c>
      <c r="P192" s="459">
        <v>0</v>
      </c>
      <c r="Q192" s="459"/>
      <c r="R192" s="456">
        <v>0</v>
      </c>
      <c r="S192" s="456">
        <v>79.427000000000007</v>
      </c>
      <c r="T192" s="410"/>
      <c r="U192" s="411">
        <v>0</v>
      </c>
      <c r="V192" s="411">
        <v>0</v>
      </c>
      <c r="W192" s="411">
        <v>0</v>
      </c>
      <c r="X192" s="411"/>
      <c r="Y192" s="411"/>
      <c r="Z192" s="412">
        <f t="shared" si="10"/>
        <v>0</v>
      </c>
      <c r="AA192" s="456">
        <f t="shared" si="11"/>
        <v>0</v>
      </c>
      <c r="AB192" s="456">
        <v>0</v>
      </c>
      <c r="AC192" s="2"/>
      <c r="AD192" s="4"/>
      <c r="AE192" s="5"/>
      <c r="AF192" s="428"/>
    </row>
    <row r="193" spans="1:32" x14ac:dyDescent="0.25">
      <c r="A193" s="1" t="s">
        <v>2641</v>
      </c>
      <c r="B193" s="3" t="s">
        <v>1368</v>
      </c>
      <c r="C193" s="3" t="s">
        <v>1247</v>
      </c>
      <c r="D193" s="407" t="s">
        <v>1432</v>
      </c>
      <c r="E193" s="3" t="s">
        <v>1954</v>
      </c>
      <c r="F193" s="407" t="s">
        <v>4483</v>
      </c>
      <c r="G193" s="440" t="s">
        <v>4109</v>
      </c>
      <c r="H193" s="407" t="s">
        <v>4304</v>
      </c>
      <c r="I193" s="407" t="s">
        <v>3785</v>
      </c>
      <c r="J193" s="387" t="s">
        <v>4635</v>
      </c>
      <c r="K193" s="387">
        <v>1</v>
      </c>
      <c r="L193" s="387">
        <v>0</v>
      </c>
      <c r="M193" s="387">
        <f t="shared" si="8"/>
        <v>1</v>
      </c>
      <c r="N193" s="442">
        <f t="shared" si="9"/>
        <v>0</v>
      </c>
      <c r="O193" s="387" t="s">
        <v>1358</v>
      </c>
      <c r="P193" s="459">
        <v>0</v>
      </c>
      <c r="Q193" s="459"/>
      <c r="R193" s="456">
        <v>0</v>
      </c>
      <c r="S193" s="456">
        <v>79.427000000000007</v>
      </c>
      <c r="T193" s="410"/>
      <c r="U193" s="411">
        <v>0</v>
      </c>
      <c r="V193" s="411">
        <v>0</v>
      </c>
      <c r="W193" s="411">
        <v>0</v>
      </c>
      <c r="X193" s="411"/>
      <c r="Y193" s="411"/>
      <c r="Z193" s="412">
        <f t="shared" si="10"/>
        <v>0</v>
      </c>
      <c r="AA193" s="456">
        <f t="shared" si="11"/>
        <v>0</v>
      </c>
      <c r="AB193" s="456">
        <v>0</v>
      </c>
      <c r="AC193" s="2"/>
      <c r="AD193" s="4"/>
      <c r="AE193" s="5"/>
      <c r="AF193" s="428"/>
    </row>
    <row r="194" spans="1:32" x14ac:dyDescent="0.25">
      <c r="A194" s="1" t="s">
        <v>2642</v>
      </c>
      <c r="B194" s="3" t="s">
        <v>1368</v>
      </c>
      <c r="C194" s="3" t="s">
        <v>1247</v>
      </c>
      <c r="D194" s="407" t="s">
        <v>1433</v>
      </c>
      <c r="E194" s="3" t="s">
        <v>1955</v>
      </c>
      <c r="F194" s="407" t="s">
        <v>4490</v>
      </c>
      <c r="G194" s="440" t="s">
        <v>4109</v>
      </c>
      <c r="H194" s="407" t="s">
        <v>4311</v>
      </c>
      <c r="I194" s="407" t="s">
        <v>3792</v>
      </c>
      <c r="J194" s="387" t="s">
        <v>4644</v>
      </c>
      <c r="K194" s="387">
        <v>1</v>
      </c>
      <c r="L194" s="387">
        <v>0</v>
      </c>
      <c r="M194" s="387">
        <f t="shared" si="8"/>
        <v>1</v>
      </c>
      <c r="N194" s="442">
        <f t="shared" si="9"/>
        <v>0</v>
      </c>
      <c r="O194" s="387" t="s">
        <v>1358</v>
      </c>
      <c r="P194" s="459">
        <v>0</v>
      </c>
      <c r="Q194" s="459"/>
      <c r="R194" s="456">
        <v>0</v>
      </c>
      <c r="S194" s="456">
        <v>79.427000000000007</v>
      </c>
      <c r="T194" s="410"/>
      <c r="U194" s="411">
        <v>0</v>
      </c>
      <c r="V194" s="411">
        <v>0</v>
      </c>
      <c r="W194" s="411">
        <v>0</v>
      </c>
      <c r="X194" s="411"/>
      <c r="Y194" s="411"/>
      <c r="Z194" s="412">
        <f t="shared" si="10"/>
        <v>0</v>
      </c>
      <c r="AA194" s="456">
        <f t="shared" si="11"/>
        <v>0</v>
      </c>
      <c r="AB194" s="456">
        <v>0</v>
      </c>
      <c r="AC194" s="2"/>
      <c r="AD194" s="4"/>
      <c r="AE194" s="5"/>
      <c r="AF194" s="428"/>
    </row>
    <row r="195" spans="1:32" x14ac:dyDescent="0.25">
      <c r="A195" s="1" t="s">
        <v>2643</v>
      </c>
      <c r="B195" s="3" t="s">
        <v>1368</v>
      </c>
      <c r="C195" s="3" t="s">
        <v>1247</v>
      </c>
      <c r="D195" s="407" t="s">
        <v>3294</v>
      </c>
      <c r="E195" s="3" t="s">
        <v>1956</v>
      </c>
      <c r="F195" s="407" t="s">
        <v>4500</v>
      </c>
      <c r="G195" s="440" t="s">
        <v>4109</v>
      </c>
      <c r="H195" s="407" t="s">
        <v>4321</v>
      </c>
      <c r="I195" s="407" t="s">
        <v>3755</v>
      </c>
      <c r="J195" s="387" t="s">
        <v>4654</v>
      </c>
      <c r="K195" s="387">
        <v>1</v>
      </c>
      <c r="L195" s="387">
        <v>0</v>
      </c>
      <c r="M195" s="387">
        <f t="shared" si="8"/>
        <v>1</v>
      </c>
      <c r="N195" s="442">
        <f t="shared" si="9"/>
        <v>0</v>
      </c>
      <c r="O195" s="387" t="s">
        <v>1358</v>
      </c>
      <c r="P195" s="459">
        <v>0</v>
      </c>
      <c r="Q195" s="459"/>
      <c r="R195" s="456">
        <v>0</v>
      </c>
      <c r="S195" s="456">
        <v>19.939</v>
      </c>
      <c r="T195" s="410"/>
      <c r="U195" s="411">
        <v>1</v>
      </c>
      <c r="V195" s="411">
        <v>1</v>
      </c>
      <c r="W195" s="411">
        <v>1</v>
      </c>
      <c r="X195" s="411"/>
      <c r="Y195" s="411"/>
      <c r="Z195" s="412">
        <f t="shared" si="10"/>
        <v>0</v>
      </c>
      <c r="AA195" s="456">
        <f t="shared" si="11"/>
        <v>0</v>
      </c>
      <c r="AB195" s="456">
        <v>0</v>
      </c>
      <c r="AC195" s="2"/>
      <c r="AD195" s="4"/>
      <c r="AE195" s="5"/>
      <c r="AF195" s="428"/>
    </row>
    <row r="196" spans="1:32" x14ac:dyDescent="0.25">
      <c r="A196" s="1" t="s">
        <v>2644</v>
      </c>
      <c r="B196" s="3" t="s">
        <v>1368</v>
      </c>
      <c r="C196" s="3" t="s">
        <v>1247</v>
      </c>
      <c r="D196" s="407" t="s">
        <v>1374</v>
      </c>
      <c r="E196" s="3" t="s">
        <v>1957</v>
      </c>
      <c r="F196" s="407" t="s">
        <v>4495</v>
      </c>
      <c r="G196" s="440" t="s">
        <v>4109</v>
      </c>
      <c r="H196" s="407" t="s">
        <v>4316</v>
      </c>
      <c r="I196" s="407" t="s">
        <v>3757</v>
      </c>
      <c r="J196" s="387" t="s">
        <v>4665</v>
      </c>
      <c r="K196" s="387">
        <v>2</v>
      </c>
      <c r="L196" s="387">
        <v>0</v>
      </c>
      <c r="M196" s="387">
        <f t="shared" si="8"/>
        <v>2</v>
      </c>
      <c r="N196" s="442">
        <f t="shared" si="9"/>
        <v>0</v>
      </c>
      <c r="O196" s="387" t="s">
        <v>1358</v>
      </c>
      <c r="P196" s="459">
        <v>0</v>
      </c>
      <c r="Q196" s="459"/>
      <c r="R196" s="456">
        <v>0</v>
      </c>
      <c r="S196" s="456">
        <v>38.75</v>
      </c>
      <c r="T196" s="410"/>
      <c r="U196" s="411">
        <v>1</v>
      </c>
      <c r="V196" s="411">
        <v>1</v>
      </c>
      <c r="W196" s="411">
        <v>1</v>
      </c>
      <c r="X196" s="411"/>
      <c r="Y196" s="411"/>
      <c r="Z196" s="412">
        <f t="shared" si="10"/>
        <v>0</v>
      </c>
      <c r="AA196" s="456">
        <f t="shared" si="11"/>
        <v>0</v>
      </c>
      <c r="AB196" s="456">
        <v>0</v>
      </c>
      <c r="AC196" s="2"/>
      <c r="AD196" s="4"/>
      <c r="AE196" s="5"/>
      <c r="AF196" s="428"/>
    </row>
    <row r="197" spans="1:32" x14ac:dyDescent="0.25">
      <c r="A197" s="1" t="s">
        <v>2645</v>
      </c>
      <c r="B197" s="3" t="s">
        <v>1368</v>
      </c>
      <c r="C197" s="3" t="s">
        <v>1247</v>
      </c>
      <c r="D197" s="407" t="s">
        <v>1377</v>
      </c>
      <c r="E197" s="3" t="s">
        <v>1958</v>
      </c>
      <c r="F197" s="407" t="s">
        <v>4494</v>
      </c>
      <c r="G197" s="440" t="s">
        <v>4109</v>
      </c>
      <c r="H197" s="407" t="s">
        <v>4315</v>
      </c>
      <c r="I197" s="407" t="s">
        <v>3749</v>
      </c>
      <c r="J197" s="387" t="s">
        <v>4648</v>
      </c>
      <c r="K197" s="387">
        <v>1</v>
      </c>
      <c r="L197" s="387">
        <v>0</v>
      </c>
      <c r="M197" s="387">
        <f t="shared" si="8"/>
        <v>1</v>
      </c>
      <c r="N197" s="442">
        <f t="shared" si="9"/>
        <v>0</v>
      </c>
      <c r="O197" s="387" t="s">
        <v>1358</v>
      </c>
      <c r="P197" s="459">
        <v>0</v>
      </c>
      <c r="Q197" s="459"/>
      <c r="R197" s="456">
        <v>0</v>
      </c>
      <c r="S197" s="456">
        <v>19.376000000000001</v>
      </c>
      <c r="T197" s="410"/>
      <c r="U197" s="411">
        <v>1</v>
      </c>
      <c r="V197" s="411">
        <v>1</v>
      </c>
      <c r="W197" s="411">
        <v>1</v>
      </c>
      <c r="X197" s="411"/>
      <c r="Y197" s="411"/>
      <c r="Z197" s="412">
        <f t="shared" si="10"/>
        <v>0</v>
      </c>
      <c r="AA197" s="456">
        <f t="shared" si="11"/>
        <v>0</v>
      </c>
      <c r="AB197" s="456">
        <v>0</v>
      </c>
      <c r="AC197" s="2"/>
      <c r="AD197" s="4"/>
      <c r="AE197" s="5"/>
      <c r="AF197" s="428"/>
    </row>
    <row r="198" spans="1:32" x14ac:dyDescent="0.25">
      <c r="A198" s="1" t="s">
        <v>2646</v>
      </c>
      <c r="B198" s="3" t="s">
        <v>1368</v>
      </c>
      <c r="C198" s="3" t="s">
        <v>1247</v>
      </c>
      <c r="D198" s="407" t="s">
        <v>1379</v>
      </c>
      <c r="E198" s="3" t="s">
        <v>1959</v>
      </c>
      <c r="F198" s="407" t="s">
        <v>4502</v>
      </c>
      <c r="G198" s="440" t="s">
        <v>4109</v>
      </c>
      <c r="H198" s="407" t="s">
        <v>4323</v>
      </c>
      <c r="I198" s="407" t="s">
        <v>3750</v>
      </c>
      <c r="J198" s="387" t="s">
        <v>4632</v>
      </c>
      <c r="K198" s="387">
        <v>1</v>
      </c>
      <c r="L198" s="387">
        <v>0</v>
      </c>
      <c r="M198" s="387">
        <f t="shared" si="8"/>
        <v>1</v>
      </c>
      <c r="N198" s="442">
        <f t="shared" si="9"/>
        <v>0</v>
      </c>
      <c r="O198" s="387" t="s">
        <v>1358</v>
      </c>
      <c r="P198" s="459">
        <v>0</v>
      </c>
      <c r="Q198" s="459"/>
      <c r="R198" s="456">
        <v>0</v>
      </c>
      <c r="S198" s="456">
        <v>19.376000000000001</v>
      </c>
      <c r="T198" s="410"/>
      <c r="U198" s="411">
        <v>1</v>
      </c>
      <c r="V198" s="411">
        <v>1</v>
      </c>
      <c r="W198" s="411">
        <v>1</v>
      </c>
      <c r="X198" s="411"/>
      <c r="Y198" s="411"/>
      <c r="Z198" s="412">
        <f t="shared" si="10"/>
        <v>0</v>
      </c>
      <c r="AA198" s="456">
        <f t="shared" si="11"/>
        <v>0</v>
      </c>
      <c r="AB198" s="456">
        <v>0</v>
      </c>
      <c r="AC198" s="2"/>
      <c r="AD198" s="4"/>
      <c r="AE198" s="5"/>
      <c r="AF198" s="428"/>
    </row>
    <row r="199" spans="1:32" x14ac:dyDescent="0.25">
      <c r="A199" s="1" t="s">
        <v>2647</v>
      </c>
      <c r="B199" s="3" t="s">
        <v>1368</v>
      </c>
      <c r="C199" s="3" t="s">
        <v>1247</v>
      </c>
      <c r="D199" s="407" t="s">
        <v>1381</v>
      </c>
      <c r="E199" s="3" t="s">
        <v>1960</v>
      </c>
      <c r="F199" s="407" t="s">
        <v>4497</v>
      </c>
      <c r="G199" s="440" t="s">
        <v>4109</v>
      </c>
      <c r="H199" s="407" t="s">
        <v>4318</v>
      </c>
      <c r="I199" s="407" t="s">
        <v>3751</v>
      </c>
      <c r="J199" s="387" t="s">
        <v>4631</v>
      </c>
      <c r="K199" s="387">
        <v>1</v>
      </c>
      <c r="L199" s="387">
        <v>0</v>
      </c>
      <c r="M199" s="387">
        <f t="shared" si="8"/>
        <v>1</v>
      </c>
      <c r="N199" s="442">
        <f t="shared" si="9"/>
        <v>0</v>
      </c>
      <c r="O199" s="387" t="s">
        <v>1358</v>
      </c>
      <c r="P199" s="459">
        <v>0</v>
      </c>
      <c r="Q199" s="459"/>
      <c r="R199" s="456">
        <v>0</v>
      </c>
      <c r="S199" s="456">
        <v>19.376000000000001</v>
      </c>
      <c r="T199" s="410"/>
      <c r="U199" s="411">
        <v>1</v>
      </c>
      <c r="V199" s="411">
        <v>1</v>
      </c>
      <c r="W199" s="411">
        <v>1</v>
      </c>
      <c r="X199" s="411"/>
      <c r="Y199" s="411"/>
      <c r="Z199" s="412">
        <f t="shared" si="10"/>
        <v>0</v>
      </c>
      <c r="AA199" s="456">
        <f t="shared" si="11"/>
        <v>0</v>
      </c>
      <c r="AB199" s="456">
        <v>0</v>
      </c>
      <c r="AC199" s="2"/>
      <c r="AD199" s="4"/>
      <c r="AE199" s="5"/>
      <c r="AF199" s="428"/>
    </row>
    <row r="200" spans="1:32" x14ac:dyDescent="0.25">
      <c r="A200" s="1" t="s">
        <v>2648</v>
      </c>
      <c r="B200" s="3" t="s">
        <v>1368</v>
      </c>
      <c r="C200" s="3" t="s">
        <v>1247</v>
      </c>
      <c r="D200" s="407" t="s">
        <v>1396</v>
      </c>
      <c r="E200" s="3" t="s">
        <v>1961</v>
      </c>
      <c r="F200" s="407" t="s">
        <v>4498</v>
      </c>
      <c r="G200" s="440" t="s">
        <v>4109</v>
      </c>
      <c r="H200" s="407" t="s">
        <v>4319</v>
      </c>
      <c r="I200" s="407" t="s">
        <v>3752</v>
      </c>
      <c r="J200" s="387" t="s">
        <v>4652</v>
      </c>
      <c r="K200" s="387">
        <v>1</v>
      </c>
      <c r="L200" s="387">
        <v>0</v>
      </c>
      <c r="M200" s="387">
        <f t="shared" si="8"/>
        <v>1</v>
      </c>
      <c r="N200" s="442">
        <f t="shared" si="9"/>
        <v>0</v>
      </c>
      <c r="O200" s="387" t="s">
        <v>1358</v>
      </c>
      <c r="P200" s="459">
        <v>0</v>
      </c>
      <c r="Q200" s="459"/>
      <c r="R200" s="456">
        <v>0</v>
      </c>
      <c r="S200" s="456">
        <v>19.376000000000001</v>
      </c>
      <c r="T200" s="410"/>
      <c r="U200" s="411">
        <v>1</v>
      </c>
      <c r="V200" s="411">
        <v>1</v>
      </c>
      <c r="W200" s="411">
        <v>1</v>
      </c>
      <c r="X200" s="411"/>
      <c r="Y200" s="411"/>
      <c r="Z200" s="412">
        <f t="shared" si="10"/>
        <v>0</v>
      </c>
      <c r="AA200" s="456">
        <f t="shared" si="11"/>
        <v>0</v>
      </c>
      <c r="AB200" s="456">
        <v>0</v>
      </c>
      <c r="AC200" s="2"/>
      <c r="AD200" s="4"/>
      <c r="AE200" s="5"/>
      <c r="AF200" s="428"/>
    </row>
    <row r="201" spans="1:32" x14ac:dyDescent="0.25">
      <c r="A201" s="1" t="s">
        <v>2649</v>
      </c>
      <c r="B201" s="3" t="s">
        <v>1368</v>
      </c>
      <c r="C201" s="3" t="s">
        <v>1247</v>
      </c>
      <c r="D201" s="407" t="s">
        <v>1399</v>
      </c>
      <c r="E201" s="3" t="s">
        <v>1962</v>
      </c>
      <c r="F201" s="407" t="s">
        <v>4499</v>
      </c>
      <c r="G201" s="440" t="s">
        <v>4109</v>
      </c>
      <c r="H201" s="407" t="s">
        <v>4320</v>
      </c>
      <c r="I201" s="407" t="s">
        <v>3758</v>
      </c>
      <c r="J201" s="387" t="s">
        <v>4653</v>
      </c>
      <c r="K201" s="387">
        <v>1</v>
      </c>
      <c r="L201" s="387">
        <v>0</v>
      </c>
      <c r="M201" s="387">
        <f t="shared" ref="M201:M266" si="12">K201+L201</f>
        <v>1</v>
      </c>
      <c r="N201" s="442">
        <f t="shared" ref="N201:N266" si="13">K201*Z201</f>
        <v>0</v>
      </c>
      <c r="O201" s="387" t="s">
        <v>1358</v>
      </c>
      <c r="P201" s="459">
        <v>0</v>
      </c>
      <c r="Q201" s="459"/>
      <c r="R201" s="456">
        <v>0</v>
      </c>
      <c r="S201" s="456">
        <v>19.376000000000001</v>
      </c>
      <c r="T201" s="410"/>
      <c r="U201" s="411">
        <v>1</v>
      </c>
      <c r="V201" s="411">
        <v>1</v>
      </c>
      <c r="W201" s="411">
        <v>1</v>
      </c>
      <c r="X201" s="411"/>
      <c r="Y201" s="411"/>
      <c r="Z201" s="412">
        <f t="shared" ref="Z201:Z266" si="14">AA201/S201</f>
        <v>0</v>
      </c>
      <c r="AA201" s="456">
        <f t="shared" ref="AA201:AA266" si="15">(U201*U$368*S201)+(V201*V$368*S201)+(W201*W$368*S201)</f>
        <v>0</v>
      </c>
      <c r="AB201" s="456">
        <v>0</v>
      </c>
      <c r="AC201" s="2"/>
      <c r="AD201" s="4"/>
      <c r="AE201" s="5"/>
      <c r="AF201" s="428"/>
    </row>
    <row r="202" spans="1:32" x14ac:dyDescent="0.25">
      <c r="A202" s="1" t="s">
        <v>2650</v>
      </c>
      <c r="B202" s="3" t="s">
        <v>1368</v>
      </c>
      <c r="C202" s="3" t="s">
        <v>1247</v>
      </c>
      <c r="D202" s="407" t="s">
        <v>1400</v>
      </c>
      <c r="E202" s="3" t="s">
        <v>1963</v>
      </c>
      <c r="F202" s="407" t="s">
        <v>4477</v>
      </c>
      <c r="G202" s="440" t="s">
        <v>4109</v>
      </c>
      <c r="H202" s="407" t="s">
        <v>4298</v>
      </c>
      <c r="I202" s="407" t="s">
        <v>3779</v>
      </c>
      <c r="J202" s="387" t="s">
        <v>4656</v>
      </c>
      <c r="K202" s="387">
        <v>1</v>
      </c>
      <c r="L202" s="387">
        <v>0</v>
      </c>
      <c r="M202" s="387">
        <f t="shared" si="12"/>
        <v>1</v>
      </c>
      <c r="N202" s="442">
        <f t="shared" si="13"/>
        <v>0</v>
      </c>
      <c r="O202" s="387" t="s">
        <v>1358</v>
      </c>
      <c r="P202" s="459">
        <v>0</v>
      </c>
      <c r="Q202" s="459"/>
      <c r="R202" s="456">
        <v>0</v>
      </c>
      <c r="S202" s="456">
        <v>19.376000000000001</v>
      </c>
      <c r="T202" s="410"/>
      <c r="U202" s="411">
        <v>1</v>
      </c>
      <c r="V202" s="411">
        <v>1</v>
      </c>
      <c r="W202" s="411">
        <v>1</v>
      </c>
      <c r="X202" s="411"/>
      <c r="Y202" s="411"/>
      <c r="Z202" s="412">
        <f t="shared" si="14"/>
        <v>0</v>
      </c>
      <c r="AA202" s="456">
        <f t="shared" si="15"/>
        <v>0</v>
      </c>
      <c r="AB202" s="456">
        <v>0</v>
      </c>
      <c r="AC202" s="2"/>
      <c r="AD202" s="4"/>
      <c r="AE202" s="5"/>
      <c r="AF202" s="428"/>
    </row>
    <row r="203" spans="1:32" x14ac:dyDescent="0.25">
      <c r="A203" s="1" t="s">
        <v>2651</v>
      </c>
      <c r="B203" s="3" t="s">
        <v>1368</v>
      </c>
      <c r="C203" s="3" t="s">
        <v>1247</v>
      </c>
      <c r="D203" s="407" t="s">
        <v>1401</v>
      </c>
      <c r="E203" s="3" t="s">
        <v>1964</v>
      </c>
      <c r="F203" s="407" t="s">
        <v>4478</v>
      </c>
      <c r="G203" s="440" t="s">
        <v>4109</v>
      </c>
      <c r="H203" s="407" t="s">
        <v>4299</v>
      </c>
      <c r="I203" s="407" t="s">
        <v>3780</v>
      </c>
      <c r="J203" s="387" t="s">
        <v>4657</v>
      </c>
      <c r="K203" s="387">
        <v>1</v>
      </c>
      <c r="L203" s="387">
        <v>0</v>
      </c>
      <c r="M203" s="387">
        <f t="shared" si="12"/>
        <v>1</v>
      </c>
      <c r="N203" s="442">
        <f t="shared" si="13"/>
        <v>0</v>
      </c>
      <c r="O203" s="387" t="s">
        <v>1358</v>
      </c>
      <c r="P203" s="459">
        <v>0</v>
      </c>
      <c r="Q203" s="459"/>
      <c r="R203" s="456">
        <v>0</v>
      </c>
      <c r="S203" s="456">
        <v>18.753</v>
      </c>
      <c r="T203" s="410"/>
      <c r="U203" s="411">
        <v>0</v>
      </c>
      <c r="V203" s="411">
        <v>0</v>
      </c>
      <c r="W203" s="411">
        <v>0</v>
      </c>
      <c r="X203" s="411"/>
      <c r="Y203" s="411"/>
      <c r="Z203" s="412">
        <f t="shared" si="14"/>
        <v>0</v>
      </c>
      <c r="AA203" s="456">
        <f t="shared" si="15"/>
        <v>0</v>
      </c>
      <c r="AB203" s="456">
        <v>0</v>
      </c>
      <c r="AC203" s="2"/>
      <c r="AD203" s="4"/>
      <c r="AE203" s="5"/>
      <c r="AF203" s="428"/>
    </row>
    <row r="204" spans="1:32" x14ac:dyDescent="0.25">
      <c r="A204" s="1" t="s">
        <v>2652</v>
      </c>
      <c r="B204" s="3" t="s">
        <v>1368</v>
      </c>
      <c r="C204" s="3" t="s">
        <v>1247</v>
      </c>
      <c r="D204" s="407" t="s">
        <v>3294</v>
      </c>
      <c r="E204" s="3" t="s">
        <v>1965</v>
      </c>
      <c r="F204" s="407" t="s">
        <v>4500</v>
      </c>
      <c r="G204" s="440" t="s">
        <v>4109</v>
      </c>
      <c r="H204" s="407" t="s">
        <v>4321</v>
      </c>
      <c r="I204" s="407" t="s">
        <v>3755</v>
      </c>
      <c r="J204" s="387" t="s">
        <v>4654</v>
      </c>
      <c r="K204" s="387">
        <v>1</v>
      </c>
      <c r="L204" s="387">
        <v>0</v>
      </c>
      <c r="M204" s="387">
        <f t="shared" si="12"/>
        <v>1</v>
      </c>
      <c r="N204" s="442">
        <f t="shared" si="13"/>
        <v>0</v>
      </c>
      <c r="O204" s="387" t="s">
        <v>1358</v>
      </c>
      <c r="P204" s="459">
        <v>0</v>
      </c>
      <c r="Q204" s="459"/>
      <c r="R204" s="456">
        <v>0</v>
      </c>
      <c r="S204" s="456">
        <v>25.097999999999999</v>
      </c>
      <c r="T204" s="410"/>
      <c r="U204" s="411">
        <v>1</v>
      </c>
      <c r="V204" s="411">
        <v>1</v>
      </c>
      <c r="W204" s="411">
        <v>1</v>
      </c>
      <c r="X204" s="411"/>
      <c r="Y204" s="411"/>
      <c r="Z204" s="412">
        <f t="shared" si="14"/>
        <v>0</v>
      </c>
      <c r="AA204" s="456">
        <f t="shared" si="15"/>
        <v>0</v>
      </c>
      <c r="AB204" s="456">
        <v>0</v>
      </c>
      <c r="AC204" s="2"/>
      <c r="AD204" s="4"/>
      <c r="AE204" s="5"/>
      <c r="AF204" s="428"/>
    </row>
    <row r="205" spans="1:32" x14ac:dyDescent="0.25">
      <c r="A205" s="1" t="s">
        <v>2653</v>
      </c>
      <c r="B205" s="3" t="s">
        <v>1368</v>
      </c>
      <c r="C205" s="3" t="s">
        <v>1247</v>
      </c>
      <c r="D205" s="407" t="s">
        <v>1374</v>
      </c>
      <c r="E205" s="3" t="s">
        <v>1966</v>
      </c>
      <c r="F205" s="407" t="s">
        <v>4495</v>
      </c>
      <c r="G205" s="440" t="s">
        <v>4109</v>
      </c>
      <c r="H205" s="407" t="s">
        <v>4316</v>
      </c>
      <c r="I205" s="407" t="s">
        <v>3757</v>
      </c>
      <c r="J205" s="387" t="s">
        <v>4649</v>
      </c>
      <c r="K205" s="387">
        <v>1</v>
      </c>
      <c r="L205" s="387">
        <v>0</v>
      </c>
      <c r="M205" s="387">
        <f t="shared" si="12"/>
        <v>1</v>
      </c>
      <c r="N205" s="442">
        <f t="shared" si="13"/>
        <v>0</v>
      </c>
      <c r="O205" s="387" t="s">
        <v>1358</v>
      </c>
      <c r="P205" s="459">
        <v>0</v>
      </c>
      <c r="Q205" s="459"/>
      <c r="R205" s="456">
        <v>0</v>
      </c>
      <c r="S205" s="456">
        <v>25.07</v>
      </c>
      <c r="T205" s="410"/>
      <c r="U205" s="411">
        <v>1</v>
      </c>
      <c r="V205" s="411">
        <v>1</v>
      </c>
      <c r="W205" s="411">
        <v>1</v>
      </c>
      <c r="X205" s="411"/>
      <c r="Y205" s="411"/>
      <c r="Z205" s="412">
        <f t="shared" si="14"/>
        <v>0</v>
      </c>
      <c r="AA205" s="456">
        <f t="shared" si="15"/>
        <v>0</v>
      </c>
      <c r="AB205" s="456">
        <v>0</v>
      </c>
      <c r="AC205" s="2"/>
      <c r="AD205" s="4"/>
      <c r="AE205" s="5"/>
      <c r="AF205" s="428"/>
    </row>
    <row r="206" spans="1:32" x14ac:dyDescent="0.25">
      <c r="A206" s="1" t="s">
        <v>2654</v>
      </c>
      <c r="B206" s="3" t="s">
        <v>1368</v>
      </c>
      <c r="C206" s="3" t="s">
        <v>1247</v>
      </c>
      <c r="D206" s="407" t="s">
        <v>1377</v>
      </c>
      <c r="E206" s="3" t="s">
        <v>1967</v>
      </c>
      <c r="F206" s="407" t="s">
        <v>4494</v>
      </c>
      <c r="G206" s="440" t="s">
        <v>4109</v>
      </c>
      <c r="H206" s="407" t="s">
        <v>4315</v>
      </c>
      <c r="I206" s="407" t="s">
        <v>3749</v>
      </c>
      <c r="J206" s="387" t="s">
        <v>4648</v>
      </c>
      <c r="K206" s="387">
        <v>1</v>
      </c>
      <c r="L206" s="387">
        <v>0</v>
      </c>
      <c r="M206" s="387">
        <f t="shared" si="12"/>
        <v>1</v>
      </c>
      <c r="N206" s="442">
        <f t="shared" si="13"/>
        <v>0</v>
      </c>
      <c r="O206" s="387" t="s">
        <v>1358</v>
      </c>
      <c r="P206" s="459">
        <v>0</v>
      </c>
      <c r="Q206" s="459"/>
      <c r="R206" s="456">
        <v>0</v>
      </c>
      <c r="S206" s="456">
        <v>25.07</v>
      </c>
      <c r="T206" s="410"/>
      <c r="U206" s="411">
        <v>1</v>
      </c>
      <c r="V206" s="411">
        <v>1</v>
      </c>
      <c r="W206" s="411">
        <v>1</v>
      </c>
      <c r="X206" s="411"/>
      <c r="Y206" s="411"/>
      <c r="Z206" s="412">
        <f t="shared" si="14"/>
        <v>0</v>
      </c>
      <c r="AA206" s="456">
        <f t="shared" si="15"/>
        <v>0</v>
      </c>
      <c r="AB206" s="456">
        <v>0</v>
      </c>
      <c r="AC206" s="2"/>
      <c r="AD206" s="4"/>
      <c r="AE206" s="5"/>
      <c r="AF206" s="428"/>
    </row>
    <row r="207" spans="1:32" x14ac:dyDescent="0.25">
      <c r="A207" s="1" t="s">
        <v>2655</v>
      </c>
      <c r="B207" s="3" t="s">
        <v>1368</v>
      </c>
      <c r="C207" s="3" t="s">
        <v>1247</v>
      </c>
      <c r="D207" s="407" t="s">
        <v>1377</v>
      </c>
      <c r="E207" s="3" t="s">
        <v>1968</v>
      </c>
      <c r="F207" s="407" t="s">
        <v>4494</v>
      </c>
      <c r="G207" s="440" t="s">
        <v>4109</v>
      </c>
      <c r="H207" s="407" t="s">
        <v>4315</v>
      </c>
      <c r="I207" s="407" t="s">
        <v>3749</v>
      </c>
      <c r="J207" s="387" t="s">
        <v>4648</v>
      </c>
      <c r="K207" s="387">
        <v>1</v>
      </c>
      <c r="L207" s="387">
        <v>0</v>
      </c>
      <c r="M207" s="387">
        <f t="shared" si="12"/>
        <v>1</v>
      </c>
      <c r="N207" s="442">
        <f t="shared" si="13"/>
        <v>0</v>
      </c>
      <c r="O207" s="387" t="s">
        <v>1358</v>
      </c>
      <c r="P207" s="459">
        <v>0</v>
      </c>
      <c r="Q207" s="459"/>
      <c r="R207" s="456">
        <v>0</v>
      </c>
      <c r="S207" s="456">
        <v>27.353999999999999</v>
      </c>
      <c r="T207" s="410"/>
      <c r="U207" s="411">
        <v>1</v>
      </c>
      <c r="V207" s="411">
        <v>1</v>
      </c>
      <c r="W207" s="411">
        <v>1</v>
      </c>
      <c r="X207" s="411"/>
      <c r="Y207" s="411"/>
      <c r="Z207" s="412">
        <f t="shared" si="14"/>
        <v>0</v>
      </c>
      <c r="AA207" s="456">
        <f t="shared" si="15"/>
        <v>0</v>
      </c>
      <c r="AB207" s="456">
        <v>0</v>
      </c>
      <c r="AC207" s="2"/>
      <c r="AD207" s="4"/>
      <c r="AE207" s="5"/>
      <c r="AF207" s="428"/>
    </row>
    <row r="208" spans="1:32" x14ac:dyDescent="0.25">
      <c r="A208" s="1" t="s">
        <v>2656</v>
      </c>
      <c r="B208" s="3" t="s">
        <v>1368</v>
      </c>
      <c r="C208" s="3" t="s">
        <v>1247</v>
      </c>
      <c r="D208" s="407" t="s">
        <v>1379</v>
      </c>
      <c r="E208" s="3" t="s">
        <v>1969</v>
      </c>
      <c r="F208" s="407" t="s">
        <v>4502</v>
      </c>
      <c r="G208" s="440" t="s">
        <v>4109</v>
      </c>
      <c r="H208" s="407" t="s">
        <v>4323</v>
      </c>
      <c r="I208" s="407" t="s">
        <v>3750</v>
      </c>
      <c r="J208" s="387" t="s">
        <v>4632</v>
      </c>
      <c r="K208" s="387">
        <v>2</v>
      </c>
      <c r="L208" s="387">
        <v>0</v>
      </c>
      <c r="M208" s="387">
        <f t="shared" si="12"/>
        <v>2</v>
      </c>
      <c r="N208" s="442">
        <f t="shared" si="13"/>
        <v>0</v>
      </c>
      <c r="O208" s="387" t="s">
        <v>1358</v>
      </c>
      <c r="P208" s="459">
        <v>0</v>
      </c>
      <c r="Q208" s="459"/>
      <c r="R208" s="456">
        <v>0</v>
      </c>
      <c r="S208" s="456">
        <v>54.707999999999998</v>
      </c>
      <c r="T208" s="410"/>
      <c r="U208" s="411">
        <v>1</v>
      </c>
      <c r="V208" s="411">
        <v>1</v>
      </c>
      <c r="W208" s="411">
        <v>1</v>
      </c>
      <c r="X208" s="411"/>
      <c r="Y208" s="411"/>
      <c r="Z208" s="412">
        <f t="shared" si="14"/>
        <v>0</v>
      </c>
      <c r="AA208" s="456">
        <f t="shared" si="15"/>
        <v>0</v>
      </c>
      <c r="AB208" s="456">
        <v>0</v>
      </c>
      <c r="AC208" s="2"/>
      <c r="AD208" s="4"/>
      <c r="AE208" s="5"/>
      <c r="AF208" s="428"/>
    </row>
    <row r="209" spans="1:32" x14ac:dyDescent="0.25">
      <c r="A209" s="1" t="s">
        <v>2657</v>
      </c>
      <c r="B209" s="3" t="s">
        <v>1368</v>
      </c>
      <c r="C209" s="3" t="s">
        <v>1247</v>
      </c>
      <c r="D209" s="407" t="s">
        <v>1381</v>
      </c>
      <c r="E209" s="3" t="s">
        <v>1970</v>
      </c>
      <c r="F209" s="407" t="s">
        <v>4497</v>
      </c>
      <c r="G209" s="440" t="s">
        <v>4109</v>
      </c>
      <c r="H209" s="407" t="s">
        <v>4318</v>
      </c>
      <c r="I209" s="407" t="s">
        <v>3751</v>
      </c>
      <c r="J209" s="387" t="s">
        <v>4631</v>
      </c>
      <c r="K209" s="387">
        <v>2</v>
      </c>
      <c r="L209" s="387">
        <v>0</v>
      </c>
      <c r="M209" s="387">
        <f t="shared" si="12"/>
        <v>2</v>
      </c>
      <c r="N209" s="442">
        <f t="shared" si="13"/>
        <v>0</v>
      </c>
      <c r="O209" s="387" t="s">
        <v>1358</v>
      </c>
      <c r="P209" s="459">
        <v>0</v>
      </c>
      <c r="Q209" s="459"/>
      <c r="R209" s="456">
        <v>0</v>
      </c>
      <c r="S209" s="456">
        <v>54.692</v>
      </c>
      <c r="T209" s="410"/>
      <c r="U209" s="411">
        <v>1</v>
      </c>
      <c r="V209" s="411">
        <v>1</v>
      </c>
      <c r="W209" s="411">
        <v>1</v>
      </c>
      <c r="X209" s="411"/>
      <c r="Y209" s="411"/>
      <c r="Z209" s="412">
        <f t="shared" si="14"/>
        <v>0</v>
      </c>
      <c r="AA209" s="456">
        <f t="shared" si="15"/>
        <v>0</v>
      </c>
      <c r="AB209" s="456">
        <v>0</v>
      </c>
      <c r="AC209" s="2"/>
      <c r="AD209" s="4"/>
      <c r="AE209" s="5"/>
      <c r="AF209" s="428"/>
    </row>
    <row r="210" spans="1:32" x14ac:dyDescent="0.25">
      <c r="A210" s="1" t="s">
        <v>2658</v>
      </c>
      <c r="B210" s="3" t="s">
        <v>1368</v>
      </c>
      <c r="C210" s="3" t="s">
        <v>1247</v>
      </c>
      <c r="D210" s="407" t="s">
        <v>1396</v>
      </c>
      <c r="E210" s="3" t="s">
        <v>1971</v>
      </c>
      <c r="F210" s="407" t="s">
        <v>4498</v>
      </c>
      <c r="G210" s="440" t="s">
        <v>4109</v>
      </c>
      <c r="H210" s="407" t="s">
        <v>4319</v>
      </c>
      <c r="I210" s="407" t="s">
        <v>3752</v>
      </c>
      <c r="J210" s="387" t="s">
        <v>4652</v>
      </c>
      <c r="K210" s="387">
        <v>2</v>
      </c>
      <c r="L210" s="387">
        <v>0</v>
      </c>
      <c r="M210" s="387">
        <f t="shared" si="12"/>
        <v>2</v>
      </c>
      <c r="N210" s="442">
        <f t="shared" si="13"/>
        <v>0</v>
      </c>
      <c r="O210" s="387" t="s">
        <v>1358</v>
      </c>
      <c r="P210" s="459">
        <v>0</v>
      </c>
      <c r="Q210" s="459"/>
      <c r="R210" s="456">
        <v>0</v>
      </c>
      <c r="S210" s="456">
        <v>54.707999999999998</v>
      </c>
      <c r="T210" s="410"/>
      <c r="U210" s="411">
        <v>1</v>
      </c>
      <c r="V210" s="411">
        <v>1</v>
      </c>
      <c r="W210" s="411">
        <v>1</v>
      </c>
      <c r="X210" s="411"/>
      <c r="Y210" s="411"/>
      <c r="Z210" s="412">
        <f t="shared" si="14"/>
        <v>0</v>
      </c>
      <c r="AA210" s="456">
        <f t="shared" si="15"/>
        <v>0</v>
      </c>
      <c r="AB210" s="456">
        <v>0</v>
      </c>
      <c r="AC210" s="2"/>
      <c r="AD210" s="4"/>
      <c r="AE210" s="5"/>
      <c r="AF210" s="428"/>
    </row>
    <row r="211" spans="1:32" ht="39" x14ac:dyDescent="0.25">
      <c r="A211" s="1" t="s">
        <v>2659</v>
      </c>
      <c r="B211" s="3" t="s">
        <v>1368</v>
      </c>
      <c r="C211" s="3" t="s">
        <v>1247</v>
      </c>
      <c r="D211" s="407" t="s">
        <v>1399</v>
      </c>
      <c r="E211" s="3" t="s">
        <v>5237</v>
      </c>
      <c r="F211" s="407" t="s">
        <v>4499</v>
      </c>
      <c r="G211" s="440" t="s">
        <v>4109</v>
      </c>
      <c r="H211" s="407" t="s">
        <v>4320</v>
      </c>
      <c r="I211" s="407" t="s">
        <v>3758</v>
      </c>
      <c r="J211" s="387" t="s">
        <v>4653</v>
      </c>
      <c r="K211" s="387">
        <v>1</v>
      </c>
      <c r="L211" s="387">
        <v>-1</v>
      </c>
      <c r="M211" s="387">
        <f t="shared" si="12"/>
        <v>0</v>
      </c>
      <c r="N211" s="442" t="e">
        <f t="shared" si="13"/>
        <v>#DIV/0!</v>
      </c>
      <c r="O211" s="387" t="s">
        <v>1358</v>
      </c>
      <c r="P211" s="459">
        <v>0</v>
      </c>
      <c r="Q211" s="459"/>
      <c r="R211" s="456">
        <v>0</v>
      </c>
      <c r="S211" s="456">
        <v>0</v>
      </c>
      <c r="T211" s="410"/>
      <c r="U211" s="411">
        <v>0</v>
      </c>
      <c r="V211" s="411">
        <v>0</v>
      </c>
      <c r="W211" s="411">
        <v>0</v>
      </c>
      <c r="X211" s="411"/>
      <c r="Y211" s="411"/>
      <c r="Z211" s="412" t="e">
        <f t="shared" si="14"/>
        <v>#DIV/0!</v>
      </c>
      <c r="AA211" s="456">
        <f t="shared" si="15"/>
        <v>0</v>
      </c>
      <c r="AB211" s="456">
        <v>0</v>
      </c>
      <c r="AC211" s="2"/>
      <c r="AD211" s="4"/>
      <c r="AE211" s="5" t="s">
        <v>5238</v>
      </c>
      <c r="AF211" s="428"/>
    </row>
    <row r="212" spans="1:32" x14ac:dyDescent="0.25">
      <c r="A212" s="571" t="s">
        <v>5216</v>
      </c>
      <c r="B212" s="3" t="s">
        <v>1368</v>
      </c>
      <c r="C212" s="3" t="s">
        <v>1247</v>
      </c>
      <c r="D212" s="407" t="s">
        <v>1396</v>
      </c>
      <c r="E212" s="3" t="s">
        <v>5208</v>
      </c>
      <c r="F212" s="407" t="s">
        <v>4499</v>
      </c>
      <c r="G212" s="440" t="s">
        <v>4109</v>
      </c>
      <c r="H212" s="407" t="s">
        <v>4320</v>
      </c>
      <c r="I212" s="407" t="s">
        <v>3758</v>
      </c>
      <c r="J212" s="387" t="s">
        <v>4653</v>
      </c>
      <c r="K212" s="387">
        <v>1</v>
      </c>
      <c r="L212" s="387">
        <v>0</v>
      </c>
      <c r="M212" s="387">
        <f t="shared" si="12"/>
        <v>1</v>
      </c>
      <c r="N212" s="442">
        <f t="shared" si="13"/>
        <v>0</v>
      </c>
      <c r="O212" s="387" t="s">
        <v>1358</v>
      </c>
      <c r="P212" s="459">
        <v>0</v>
      </c>
      <c r="Q212" s="459"/>
      <c r="R212" s="456">
        <v>0</v>
      </c>
      <c r="S212" s="456">
        <v>27.353999999999999</v>
      </c>
      <c r="T212" s="410"/>
      <c r="U212" s="411">
        <v>1</v>
      </c>
      <c r="V212" s="411">
        <v>1</v>
      </c>
      <c r="W212" s="411">
        <v>1</v>
      </c>
      <c r="X212" s="411"/>
      <c r="Y212" s="411"/>
      <c r="Z212" s="412">
        <f t="shared" si="14"/>
        <v>0</v>
      </c>
      <c r="AA212" s="456">
        <f t="shared" si="15"/>
        <v>0</v>
      </c>
      <c r="AB212" s="456"/>
      <c r="AC212" s="2"/>
      <c r="AD212" s="4"/>
      <c r="AE212" s="5"/>
      <c r="AF212" s="428"/>
    </row>
    <row r="213" spans="1:32" x14ac:dyDescent="0.25">
      <c r="A213" s="1" t="s">
        <v>2660</v>
      </c>
      <c r="B213" s="3" t="s">
        <v>1368</v>
      </c>
      <c r="C213" s="3" t="s">
        <v>1247</v>
      </c>
      <c r="D213" s="407" t="s">
        <v>1400</v>
      </c>
      <c r="E213" s="3" t="s">
        <v>5208</v>
      </c>
      <c r="F213" s="407" t="s">
        <v>4477</v>
      </c>
      <c r="G213" s="440" t="s">
        <v>4109</v>
      </c>
      <c r="H213" s="407" t="s">
        <v>4298</v>
      </c>
      <c r="I213" s="407" t="s">
        <v>3779</v>
      </c>
      <c r="J213" s="387" t="s">
        <v>4656</v>
      </c>
      <c r="K213" s="387">
        <v>1</v>
      </c>
      <c r="L213" s="387">
        <v>0</v>
      </c>
      <c r="M213" s="387">
        <f t="shared" si="12"/>
        <v>1</v>
      </c>
      <c r="N213" s="442">
        <f t="shared" si="13"/>
        <v>0</v>
      </c>
      <c r="O213" s="387" t="s">
        <v>1358</v>
      </c>
      <c r="P213" s="459">
        <v>0</v>
      </c>
      <c r="Q213" s="459"/>
      <c r="R213" s="456">
        <v>0</v>
      </c>
      <c r="S213" s="456">
        <v>27.353999999999999</v>
      </c>
      <c r="T213" s="410"/>
      <c r="U213" s="411">
        <v>1</v>
      </c>
      <c r="V213" s="411">
        <v>1</v>
      </c>
      <c r="W213" s="411">
        <v>1</v>
      </c>
      <c r="X213" s="411"/>
      <c r="Y213" s="411"/>
      <c r="Z213" s="412">
        <f t="shared" si="14"/>
        <v>0</v>
      </c>
      <c r="AA213" s="456">
        <f t="shared" si="15"/>
        <v>0</v>
      </c>
      <c r="AB213" s="456">
        <v>0</v>
      </c>
      <c r="AC213" s="2"/>
      <c r="AD213" s="4"/>
      <c r="AE213" s="5"/>
      <c r="AF213" s="428"/>
    </row>
    <row r="214" spans="1:32" x14ac:dyDescent="0.25">
      <c r="A214" s="1" t="s">
        <v>2661</v>
      </c>
      <c r="B214" s="3" t="s">
        <v>1368</v>
      </c>
      <c r="C214" s="3" t="s">
        <v>1247</v>
      </c>
      <c r="D214" s="407" t="s">
        <v>1401</v>
      </c>
      <c r="E214" s="3" t="s">
        <v>1972</v>
      </c>
      <c r="F214" s="407" t="s">
        <v>4478</v>
      </c>
      <c r="G214" s="440" t="s">
        <v>4109</v>
      </c>
      <c r="H214" s="407" t="s">
        <v>4299</v>
      </c>
      <c r="I214" s="407" t="s">
        <v>3780</v>
      </c>
      <c r="J214" s="387" t="s">
        <v>4657</v>
      </c>
      <c r="K214" s="387">
        <v>1</v>
      </c>
      <c r="L214" s="387">
        <v>0</v>
      </c>
      <c r="M214" s="387">
        <f t="shared" si="12"/>
        <v>1</v>
      </c>
      <c r="N214" s="442">
        <f t="shared" si="13"/>
        <v>0</v>
      </c>
      <c r="O214" s="387" t="s">
        <v>1358</v>
      </c>
      <c r="P214" s="459">
        <v>0</v>
      </c>
      <c r="Q214" s="459"/>
      <c r="R214" s="456">
        <v>0</v>
      </c>
      <c r="S214" s="456">
        <v>27.353999999999999</v>
      </c>
      <c r="T214" s="410"/>
      <c r="U214" s="411">
        <v>0</v>
      </c>
      <c r="V214" s="411">
        <v>0</v>
      </c>
      <c r="W214" s="411">
        <v>0</v>
      </c>
      <c r="X214" s="411"/>
      <c r="Y214" s="411"/>
      <c r="Z214" s="412">
        <f t="shared" si="14"/>
        <v>0</v>
      </c>
      <c r="AA214" s="456">
        <f t="shared" si="15"/>
        <v>0</v>
      </c>
      <c r="AB214" s="456">
        <v>0</v>
      </c>
      <c r="AC214" s="2"/>
      <c r="AD214" s="4"/>
      <c r="AE214" s="5"/>
      <c r="AF214" s="428"/>
    </row>
    <row r="215" spans="1:32" x14ac:dyDescent="0.25">
      <c r="A215" s="1" t="s">
        <v>2662</v>
      </c>
      <c r="B215" s="3" t="s">
        <v>1368</v>
      </c>
      <c r="C215" s="3" t="s">
        <v>1247</v>
      </c>
      <c r="D215" s="407" t="s">
        <v>1402</v>
      </c>
      <c r="E215" s="3" t="s">
        <v>1973</v>
      </c>
      <c r="F215" s="407" t="s">
        <v>4481</v>
      </c>
      <c r="G215" s="440" t="s">
        <v>4109</v>
      </c>
      <c r="H215" s="407" t="s">
        <v>4302</v>
      </c>
      <c r="I215" s="407" t="s">
        <v>3783</v>
      </c>
      <c r="J215" s="387" t="s">
        <v>4659</v>
      </c>
      <c r="K215" s="387">
        <v>1</v>
      </c>
      <c r="L215" s="387">
        <v>0</v>
      </c>
      <c r="M215" s="387">
        <f t="shared" si="12"/>
        <v>1</v>
      </c>
      <c r="N215" s="442">
        <f t="shared" si="13"/>
        <v>0</v>
      </c>
      <c r="O215" s="387" t="s">
        <v>1358</v>
      </c>
      <c r="P215" s="459">
        <v>0</v>
      </c>
      <c r="Q215" s="459"/>
      <c r="R215" s="456">
        <v>0</v>
      </c>
      <c r="S215" s="456">
        <v>27.353999999999999</v>
      </c>
      <c r="T215" s="410"/>
      <c r="U215" s="411">
        <v>0</v>
      </c>
      <c r="V215" s="411">
        <v>0</v>
      </c>
      <c r="W215" s="411">
        <v>0</v>
      </c>
      <c r="X215" s="411"/>
      <c r="Y215" s="411"/>
      <c r="Z215" s="412">
        <f t="shared" si="14"/>
        <v>0</v>
      </c>
      <c r="AA215" s="456">
        <f t="shared" si="15"/>
        <v>0</v>
      </c>
      <c r="AB215" s="456">
        <v>0</v>
      </c>
      <c r="AC215" s="2"/>
      <c r="AD215" s="4"/>
      <c r="AE215" s="5"/>
      <c r="AF215" s="428"/>
    </row>
    <row r="216" spans="1:32" x14ac:dyDescent="0.25">
      <c r="A216" s="1" t="s">
        <v>2663</v>
      </c>
      <c r="B216" s="3" t="s">
        <v>1368</v>
      </c>
      <c r="C216" s="3" t="s">
        <v>1247</v>
      </c>
      <c r="D216" s="407" t="s">
        <v>3546</v>
      </c>
      <c r="E216" s="3" t="s">
        <v>1974</v>
      </c>
      <c r="F216" s="407" t="s">
        <v>4482</v>
      </c>
      <c r="G216" s="440" t="s">
        <v>4109</v>
      </c>
      <c r="H216" s="407" t="s">
        <v>4303</v>
      </c>
      <c r="I216" s="407" t="s">
        <v>3784</v>
      </c>
      <c r="J216" s="387" t="s">
        <v>4660</v>
      </c>
      <c r="K216" s="387">
        <v>1</v>
      </c>
      <c r="L216" s="387">
        <v>0</v>
      </c>
      <c r="M216" s="387">
        <f t="shared" si="12"/>
        <v>1</v>
      </c>
      <c r="N216" s="442">
        <f t="shared" si="13"/>
        <v>0</v>
      </c>
      <c r="O216" s="387" t="s">
        <v>1358</v>
      </c>
      <c r="P216" s="459">
        <v>0</v>
      </c>
      <c r="Q216" s="459"/>
      <c r="R216" s="456">
        <v>0</v>
      </c>
      <c r="S216" s="456">
        <v>26.602</v>
      </c>
      <c r="T216" s="410"/>
      <c r="U216" s="411">
        <v>0</v>
      </c>
      <c r="V216" s="411">
        <v>0</v>
      </c>
      <c r="W216" s="411">
        <v>0</v>
      </c>
      <c r="X216" s="411"/>
      <c r="Y216" s="411"/>
      <c r="Z216" s="412">
        <f t="shared" si="14"/>
        <v>0</v>
      </c>
      <c r="AA216" s="456">
        <f t="shared" si="15"/>
        <v>0</v>
      </c>
      <c r="AB216" s="456">
        <v>0</v>
      </c>
      <c r="AC216" s="2"/>
      <c r="AD216" s="4"/>
      <c r="AE216" s="5"/>
      <c r="AF216" s="428"/>
    </row>
    <row r="217" spans="1:32" x14ac:dyDescent="0.25">
      <c r="A217" s="1" t="s">
        <v>2664</v>
      </c>
      <c r="B217" s="3" t="s">
        <v>1368</v>
      </c>
      <c r="C217" s="3" t="s">
        <v>1247</v>
      </c>
      <c r="D217" s="407" t="s">
        <v>3547</v>
      </c>
      <c r="E217" s="3" t="s">
        <v>1975</v>
      </c>
      <c r="F217" s="407" t="s">
        <v>4501</v>
      </c>
      <c r="G217" s="440" t="s">
        <v>4109</v>
      </c>
      <c r="H217" s="407" t="s">
        <v>4322</v>
      </c>
      <c r="I217" s="407" t="s">
        <v>3797</v>
      </c>
      <c r="J217" s="387" t="s">
        <v>4655</v>
      </c>
      <c r="K217" s="387">
        <v>1</v>
      </c>
      <c r="L217" s="387">
        <v>0</v>
      </c>
      <c r="M217" s="387">
        <f t="shared" si="12"/>
        <v>1</v>
      </c>
      <c r="N217" s="442">
        <f t="shared" si="13"/>
        <v>0</v>
      </c>
      <c r="O217" s="387" t="s">
        <v>1358</v>
      </c>
      <c r="P217" s="459">
        <v>0</v>
      </c>
      <c r="Q217" s="459"/>
      <c r="R217" s="456">
        <v>0</v>
      </c>
      <c r="S217" s="456">
        <v>26.602</v>
      </c>
      <c r="T217" s="410"/>
      <c r="U217" s="411">
        <v>0</v>
      </c>
      <c r="V217" s="411">
        <v>0</v>
      </c>
      <c r="W217" s="411">
        <v>0</v>
      </c>
      <c r="X217" s="411"/>
      <c r="Y217" s="411"/>
      <c r="Z217" s="412">
        <f t="shared" si="14"/>
        <v>0</v>
      </c>
      <c r="AA217" s="456">
        <f t="shared" si="15"/>
        <v>0</v>
      </c>
      <c r="AB217" s="456">
        <v>0</v>
      </c>
      <c r="AC217" s="2"/>
      <c r="AD217" s="4"/>
      <c r="AE217" s="5"/>
      <c r="AF217" s="428"/>
    </row>
    <row r="218" spans="1:32" x14ac:dyDescent="0.25">
      <c r="A218" s="1" t="s">
        <v>2665</v>
      </c>
      <c r="B218" s="3" t="s">
        <v>1368</v>
      </c>
      <c r="C218" s="3" t="s">
        <v>1247</v>
      </c>
      <c r="D218" s="407" t="s">
        <v>3294</v>
      </c>
      <c r="E218" s="3" t="s">
        <v>1976</v>
      </c>
      <c r="F218" s="407" t="s">
        <v>4500</v>
      </c>
      <c r="G218" s="440" t="s">
        <v>4109</v>
      </c>
      <c r="H218" s="407" t="s">
        <v>4321</v>
      </c>
      <c r="I218" s="407" t="s">
        <v>3755</v>
      </c>
      <c r="J218" s="387" t="s">
        <v>4654</v>
      </c>
      <c r="K218" s="387">
        <v>1</v>
      </c>
      <c r="L218" s="387">
        <v>0</v>
      </c>
      <c r="M218" s="387">
        <f t="shared" si="12"/>
        <v>1</v>
      </c>
      <c r="N218" s="442">
        <f t="shared" si="13"/>
        <v>0</v>
      </c>
      <c r="O218" s="387" t="s">
        <v>1358</v>
      </c>
      <c r="P218" s="459">
        <v>0</v>
      </c>
      <c r="Q218" s="459"/>
      <c r="R218" s="456">
        <v>0</v>
      </c>
      <c r="S218" s="456">
        <v>19.939</v>
      </c>
      <c r="T218" s="410"/>
      <c r="U218" s="411">
        <v>1</v>
      </c>
      <c r="V218" s="411">
        <v>1</v>
      </c>
      <c r="W218" s="411">
        <v>1</v>
      </c>
      <c r="X218" s="411"/>
      <c r="Y218" s="411"/>
      <c r="Z218" s="412">
        <f t="shared" si="14"/>
        <v>0</v>
      </c>
      <c r="AA218" s="456">
        <f t="shared" si="15"/>
        <v>0</v>
      </c>
      <c r="AB218" s="456">
        <v>0</v>
      </c>
      <c r="AC218" s="2"/>
      <c r="AD218" s="4"/>
      <c r="AE218" s="5"/>
      <c r="AF218" s="428"/>
    </row>
    <row r="219" spans="1:32" x14ac:dyDescent="0.25">
      <c r="A219" s="1" t="s">
        <v>2666</v>
      </c>
      <c r="B219" s="3" t="s">
        <v>1368</v>
      </c>
      <c r="C219" s="3" t="s">
        <v>1247</v>
      </c>
      <c r="D219" s="407" t="s">
        <v>1374</v>
      </c>
      <c r="E219" s="3" t="s">
        <v>1977</v>
      </c>
      <c r="F219" s="407" t="s">
        <v>4495</v>
      </c>
      <c r="G219" s="440" t="s">
        <v>4109</v>
      </c>
      <c r="H219" s="407" t="s">
        <v>4316</v>
      </c>
      <c r="I219" s="407" t="s">
        <v>3757</v>
      </c>
      <c r="J219" s="387" t="s">
        <v>4665</v>
      </c>
      <c r="K219" s="387">
        <v>2</v>
      </c>
      <c r="L219" s="387">
        <v>0</v>
      </c>
      <c r="M219" s="387">
        <f t="shared" si="12"/>
        <v>2</v>
      </c>
      <c r="N219" s="442">
        <f t="shared" si="13"/>
        <v>0</v>
      </c>
      <c r="O219" s="387" t="s">
        <v>1358</v>
      </c>
      <c r="P219" s="459">
        <v>0</v>
      </c>
      <c r="Q219" s="459"/>
      <c r="R219" s="456">
        <v>0</v>
      </c>
      <c r="S219" s="456">
        <v>38.75</v>
      </c>
      <c r="T219" s="410"/>
      <c r="U219" s="411">
        <v>1</v>
      </c>
      <c r="V219" s="411">
        <v>1</v>
      </c>
      <c r="W219" s="411">
        <v>1</v>
      </c>
      <c r="X219" s="411"/>
      <c r="Y219" s="411"/>
      <c r="Z219" s="412">
        <f t="shared" si="14"/>
        <v>0</v>
      </c>
      <c r="AA219" s="456">
        <f t="shared" si="15"/>
        <v>0</v>
      </c>
      <c r="AB219" s="456">
        <v>0</v>
      </c>
      <c r="AC219" s="2"/>
      <c r="AD219" s="4"/>
      <c r="AE219" s="5"/>
      <c r="AF219" s="428"/>
    </row>
    <row r="220" spans="1:32" x14ac:dyDescent="0.25">
      <c r="A220" s="1" t="s">
        <v>2667</v>
      </c>
      <c r="B220" s="3" t="s">
        <v>1368</v>
      </c>
      <c r="C220" s="3" t="s">
        <v>1247</v>
      </c>
      <c r="D220" s="407" t="s">
        <v>1377</v>
      </c>
      <c r="E220" s="3" t="s">
        <v>1978</v>
      </c>
      <c r="F220" s="407" t="s">
        <v>4494</v>
      </c>
      <c r="G220" s="440" t="s">
        <v>4109</v>
      </c>
      <c r="H220" s="407" t="s">
        <v>4315</v>
      </c>
      <c r="I220" s="407" t="s">
        <v>3749</v>
      </c>
      <c r="J220" s="387" t="s">
        <v>4648</v>
      </c>
      <c r="K220" s="387">
        <v>1</v>
      </c>
      <c r="L220" s="387">
        <v>0</v>
      </c>
      <c r="M220" s="387">
        <f t="shared" si="12"/>
        <v>1</v>
      </c>
      <c r="N220" s="442">
        <f t="shared" si="13"/>
        <v>0</v>
      </c>
      <c r="O220" s="387" t="s">
        <v>1358</v>
      </c>
      <c r="P220" s="459">
        <v>0</v>
      </c>
      <c r="Q220" s="459"/>
      <c r="R220" s="456">
        <v>0</v>
      </c>
      <c r="S220" s="456">
        <v>19.376000000000001</v>
      </c>
      <c r="T220" s="410"/>
      <c r="U220" s="411">
        <v>1</v>
      </c>
      <c r="V220" s="411">
        <v>1</v>
      </c>
      <c r="W220" s="411">
        <v>1</v>
      </c>
      <c r="X220" s="411"/>
      <c r="Y220" s="411"/>
      <c r="Z220" s="412">
        <f t="shared" si="14"/>
        <v>0</v>
      </c>
      <c r="AA220" s="456">
        <f t="shared" si="15"/>
        <v>0</v>
      </c>
      <c r="AB220" s="456">
        <v>0</v>
      </c>
      <c r="AC220" s="2"/>
      <c r="AD220" s="4"/>
      <c r="AE220" s="5"/>
      <c r="AF220" s="428"/>
    </row>
    <row r="221" spans="1:32" x14ac:dyDescent="0.25">
      <c r="A221" s="1" t="s">
        <v>2668</v>
      </c>
      <c r="B221" s="3" t="s">
        <v>1368</v>
      </c>
      <c r="C221" s="3" t="s">
        <v>1247</v>
      </c>
      <c r="D221" s="407" t="s">
        <v>1381</v>
      </c>
      <c r="E221" s="3" t="s">
        <v>1979</v>
      </c>
      <c r="F221" s="407" t="s">
        <v>4497</v>
      </c>
      <c r="G221" s="440" t="s">
        <v>4109</v>
      </c>
      <c r="H221" s="407" t="s">
        <v>4318</v>
      </c>
      <c r="I221" s="407" t="s">
        <v>3751</v>
      </c>
      <c r="J221" s="387" t="s">
        <v>4631</v>
      </c>
      <c r="K221" s="387">
        <v>2</v>
      </c>
      <c r="L221" s="387">
        <v>0</v>
      </c>
      <c r="M221" s="387">
        <f t="shared" si="12"/>
        <v>2</v>
      </c>
      <c r="N221" s="442">
        <f t="shared" si="13"/>
        <v>0</v>
      </c>
      <c r="O221" s="387" t="s">
        <v>1358</v>
      </c>
      <c r="P221" s="459">
        <v>0</v>
      </c>
      <c r="Q221" s="459"/>
      <c r="R221" s="456">
        <v>0</v>
      </c>
      <c r="S221" s="456">
        <v>38.752000000000002</v>
      </c>
      <c r="T221" s="410"/>
      <c r="U221" s="411">
        <v>1</v>
      </c>
      <c r="V221" s="411">
        <v>1</v>
      </c>
      <c r="W221" s="411">
        <v>1</v>
      </c>
      <c r="X221" s="411"/>
      <c r="Y221" s="411"/>
      <c r="Z221" s="412">
        <f t="shared" si="14"/>
        <v>0</v>
      </c>
      <c r="AA221" s="456">
        <f t="shared" si="15"/>
        <v>0</v>
      </c>
      <c r="AB221" s="456">
        <v>0</v>
      </c>
      <c r="AC221" s="2"/>
      <c r="AD221" s="4"/>
      <c r="AE221" s="5"/>
      <c r="AF221" s="428"/>
    </row>
    <row r="222" spans="1:32" x14ac:dyDescent="0.25">
      <c r="A222" s="571" t="s">
        <v>5217</v>
      </c>
      <c r="B222" s="3" t="s">
        <v>1368</v>
      </c>
      <c r="C222" s="3" t="s">
        <v>1247</v>
      </c>
      <c r="D222" s="407" t="s">
        <v>1396</v>
      </c>
      <c r="E222" s="3" t="s">
        <v>5159</v>
      </c>
      <c r="F222" s="407"/>
      <c r="G222" s="440"/>
      <c r="H222" s="407"/>
      <c r="I222" s="407"/>
      <c r="J222" s="387" t="s">
        <v>4653</v>
      </c>
      <c r="K222" s="387">
        <v>1</v>
      </c>
      <c r="L222" s="387">
        <v>0</v>
      </c>
      <c r="M222" s="387">
        <f t="shared" si="12"/>
        <v>1</v>
      </c>
      <c r="N222" s="442">
        <f>K222*Z222</f>
        <v>0</v>
      </c>
      <c r="O222" s="387" t="s">
        <v>1358</v>
      </c>
      <c r="P222" s="459">
        <v>0</v>
      </c>
      <c r="Q222" s="459"/>
      <c r="R222" s="456">
        <v>0</v>
      </c>
      <c r="S222" s="456">
        <v>25.92</v>
      </c>
      <c r="T222" s="410"/>
      <c r="U222" s="411">
        <v>1</v>
      </c>
      <c r="V222" s="411">
        <v>1</v>
      </c>
      <c r="W222" s="411">
        <v>1</v>
      </c>
      <c r="X222" s="411"/>
      <c r="Y222" s="411"/>
      <c r="Z222" s="412">
        <f t="shared" si="14"/>
        <v>0</v>
      </c>
      <c r="AA222" s="456">
        <f t="shared" si="15"/>
        <v>0</v>
      </c>
      <c r="AB222" s="456"/>
      <c r="AC222" s="2"/>
      <c r="AD222" s="4"/>
      <c r="AE222" s="5"/>
      <c r="AF222" s="428"/>
    </row>
    <row r="223" spans="1:32" x14ac:dyDescent="0.25">
      <c r="A223" s="1" t="s">
        <v>2669</v>
      </c>
      <c r="B223" s="3" t="s">
        <v>1368</v>
      </c>
      <c r="C223" s="3" t="s">
        <v>1247</v>
      </c>
      <c r="D223" s="407" t="s">
        <v>1400</v>
      </c>
      <c r="E223" s="3" t="s">
        <v>5422</v>
      </c>
      <c r="F223" s="407" t="s">
        <v>4477</v>
      </c>
      <c r="G223" s="440" t="s">
        <v>4109</v>
      </c>
      <c r="H223" s="407" t="s">
        <v>4298</v>
      </c>
      <c r="I223" s="407" t="s">
        <v>3779</v>
      </c>
      <c r="J223" s="387" t="s">
        <v>4656</v>
      </c>
      <c r="K223" s="387">
        <v>1</v>
      </c>
      <c r="L223" s="387">
        <v>0</v>
      </c>
      <c r="M223" s="387">
        <f t="shared" si="12"/>
        <v>1</v>
      </c>
      <c r="N223" s="442">
        <f t="shared" si="13"/>
        <v>0</v>
      </c>
      <c r="O223" s="387" t="s">
        <v>1358</v>
      </c>
      <c r="P223" s="459">
        <v>0</v>
      </c>
      <c r="Q223" s="459"/>
      <c r="R223" s="456">
        <v>0</v>
      </c>
      <c r="S223" s="456">
        <v>26</v>
      </c>
      <c r="T223" s="410"/>
      <c r="U223" s="411">
        <v>1</v>
      </c>
      <c r="V223" s="411">
        <v>1</v>
      </c>
      <c r="W223" s="411">
        <v>1</v>
      </c>
      <c r="X223" s="411"/>
      <c r="Y223" s="411"/>
      <c r="Z223" s="412">
        <f t="shared" si="14"/>
        <v>0</v>
      </c>
      <c r="AA223" s="456">
        <f t="shared" si="15"/>
        <v>0</v>
      </c>
      <c r="AB223" s="456">
        <v>0</v>
      </c>
      <c r="AC223" s="2"/>
      <c r="AD223" s="4"/>
      <c r="AE223" s="5"/>
      <c r="AF223" s="428"/>
    </row>
    <row r="224" spans="1:32" x14ac:dyDescent="0.25">
      <c r="A224" s="1" t="s">
        <v>2670</v>
      </c>
      <c r="B224" s="3" t="s">
        <v>1368</v>
      </c>
      <c r="C224" s="3" t="s">
        <v>1247</v>
      </c>
      <c r="D224" s="407" t="s">
        <v>3294</v>
      </c>
      <c r="E224" s="3" t="s">
        <v>1980</v>
      </c>
      <c r="F224" s="407" t="s">
        <v>4500</v>
      </c>
      <c r="G224" s="440" t="s">
        <v>4109</v>
      </c>
      <c r="H224" s="407" t="s">
        <v>4321</v>
      </c>
      <c r="I224" s="407" t="s">
        <v>3755</v>
      </c>
      <c r="J224" s="387" t="s">
        <v>4870</v>
      </c>
      <c r="K224" s="387">
        <v>2</v>
      </c>
      <c r="L224" s="387">
        <v>0</v>
      </c>
      <c r="M224" s="387">
        <f t="shared" si="12"/>
        <v>2</v>
      </c>
      <c r="N224" s="442">
        <f t="shared" si="13"/>
        <v>0</v>
      </c>
      <c r="O224" s="387" t="s">
        <v>1358</v>
      </c>
      <c r="P224" s="459">
        <v>0</v>
      </c>
      <c r="Q224" s="459"/>
      <c r="R224" s="456">
        <v>0</v>
      </c>
      <c r="S224" s="456">
        <v>39.880000000000003</v>
      </c>
      <c r="T224" s="410"/>
      <c r="U224" s="411">
        <v>1</v>
      </c>
      <c r="V224" s="411">
        <v>1</v>
      </c>
      <c r="W224" s="411">
        <v>1</v>
      </c>
      <c r="X224" s="411"/>
      <c r="Y224" s="411"/>
      <c r="Z224" s="412">
        <f t="shared" si="14"/>
        <v>0</v>
      </c>
      <c r="AA224" s="456">
        <f t="shared" si="15"/>
        <v>0</v>
      </c>
      <c r="AB224" s="456">
        <v>0</v>
      </c>
      <c r="AC224" s="2"/>
      <c r="AD224" s="4"/>
      <c r="AE224" s="5"/>
      <c r="AF224" s="428"/>
    </row>
    <row r="225" spans="1:32" x14ac:dyDescent="0.25">
      <c r="A225" s="1" t="s">
        <v>2671</v>
      </c>
      <c r="B225" s="3" t="s">
        <v>1368</v>
      </c>
      <c r="C225" s="3" t="s">
        <v>1247</v>
      </c>
      <c r="D225" s="407" t="s">
        <v>1374</v>
      </c>
      <c r="E225" s="3" t="s">
        <v>1981</v>
      </c>
      <c r="F225" s="407" t="s">
        <v>4495</v>
      </c>
      <c r="G225" s="440" t="s">
        <v>4109</v>
      </c>
      <c r="H225" s="407" t="s">
        <v>4316</v>
      </c>
      <c r="I225" s="407" t="s">
        <v>3757</v>
      </c>
      <c r="J225" s="387" t="s">
        <v>4665</v>
      </c>
      <c r="K225" s="387">
        <v>2</v>
      </c>
      <c r="L225" s="387">
        <v>0</v>
      </c>
      <c r="M225" s="387">
        <f t="shared" si="12"/>
        <v>2</v>
      </c>
      <c r="N225" s="442">
        <f t="shared" si="13"/>
        <v>0</v>
      </c>
      <c r="O225" s="387" t="s">
        <v>1358</v>
      </c>
      <c r="P225" s="459">
        <v>0</v>
      </c>
      <c r="Q225" s="459"/>
      <c r="R225" s="456">
        <v>0</v>
      </c>
      <c r="S225" s="456">
        <v>38.752000000000002</v>
      </c>
      <c r="T225" s="410"/>
      <c r="U225" s="411">
        <v>1</v>
      </c>
      <c r="V225" s="411">
        <v>1</v>
      </c>
      <c r="W225" s="411">
        <v>1</v>
      </c>
      <c r="X225" s="411"/>
      <c r="Y225" s="411"/>
      <c r="Z225" s="412">
        <f t="shared" si="14"/>
        <v>0</v>
      </c>
      <c r="AA225" s="456">
        <f t="shared" si="15"/>
        <v>0</v>
      </c>
      <c r="AB225" s="456">
        <v>0</v>
      </c>
      <c r="AC225" s="2"/>
      <c r="AD225" s="4"/>
      <c r="AE225" s="5"/>
      <c r="AF225" s="428"/>
    </row>
    <row r="226" spans="1:32" x14ac:dyDescent="0.25">
      <c r="A226" s="1" t="s">
        <v>2672</v>
      </c>
      <c r="B226" s="3" t="s">
        <v>1368</v>
      </c>
      <c r="C226" s="3" t="s">
        <v>1247</v>
      </c>
      <c r="D226" s="407" t="s">
        <v>1377</v>
      </c>
      <c r="E226" s="3" t="s">
        <v>1982</v>
      </c>
      <c r="F226" s="407" t="s">
        <v>4494</v>
      </c>
      <c r="G226" s="440" t="s">
        <v>4109</v>
      </c>
      <c r="H226" s="407" t="s">
        <v>4315</v>
      </c>
      <c r="I226" s="407" t="s">
        <v>3749</v>
      </c>
      <c r="J226" s="387" t="s">
        <v>4648</v>
      </c>
      <c r="K226" s="387">
        <v>1</v>
      </c>
      <c r="L226" s="387">
        <v>0</v>
      </c>
      <c r="M226" s="387">
        <f t="shared" si="12"/>
        <v>1</v>
      </c>
      <c r="N226" s="442">
        <f t="shared" si="13"/>
        <v>0</v>
      </c>
      <c r="O226" s="387" t="s">
        <v>1358</v>
      </c>
      <c r="P226" s="459">
        <v>0</v>
      </c>
      <c r="Q226" s="459"/>
      <c r="R226" s="456">
        <v>0</v>
      </c>
      <c r="S226" s="456">
        <v>19.376000000000001</v>
      </c>
      <c r="T226" s="410"/>
      <c r="U226" s="411">
        <v>1</v>
      </c>
      <c r="V226" s="411">
        <v>1</v>
      </c>
      <c r="W226" s="411">
        <v>1</v>
      </c>
      <c r="X226" s="411"/>
      <c r="Y226" s="411"/>
      <c r="Z226" s="412">
        <f t="shared" si="14"/>
        <v>0</v>
      </c>
      <c r="AA226" s="456">
        <f t="shared" si="15"/>
        <v>0</v>
      </c>
      <c r="AB226" s="456">
        <v>0</v>
      </c>
      <c r="AC226" s="2"/>
      <c r="AD226" s="4"/>
      <c r="AE226" s="5"/>
      <c r="AF226" s="428"/>
    </row>
    <row r="227" spans="1:32" x14ac:dyDescent="0.25">
      <c r="A227" s="1" t="s">
        <v>2673</v>
      </c>
      <c r="B227" s="3" t="s">
        <v>1368</v>
      </c>
      <c r="C227" s="3" t="s">
        <v>1247</v>
      </c>
      <c r="D227" s="407" t="s">
        <v>1379</v>
      </c>
      <c r="E227" s="3" t="s">
        <v>1983</v>
      </c>
      <c r="F227" s="407" t="s">
        <v>4502</v>
      </c>
      <c r="G227" s="440" t="s">
        <v>4109</v>
      </c>
      <c r="H227" s="407" t="s">
        <v>4323</v>
      </c>
      <c r="I227" s="407" t="s">
        <v>3750</v>
      </c>
      <c r="J227" s="387" t="s">
        <v>4632</v>
      </c>
      <c r="K227" s="387">
        <v>2</v>
      </c>
      <c r="L227" s="387">
        <v>0</v>
      </c>
      <c r="M227" s="387">
        <f t="shared" si="12"/>
        <v>2</v>
      </c>
      <c r="N227" s="442">
        <f t="shared" si="13"/>
        <v>0</v>
      </c>
      <c r="O227" s="387" t="s">
        <v>1358</v>
      </c>
      <c r="P227" s="459">
        <v>0</v>
      </c>
      <c r="Q227" s="459"/>
      <c r="R227" s="456">
        <v>0</v>
      </c>
      <c r="S227" s="456">
        <v>38.752000000000002</v>
      </c>
      <c r="T227" s="410"/>
      <c r="U227" s="411">
        <v>1</v>
      </c>
      <c r="V227" s="411">
        <v>1</v>
      </c>
      <c r="W227" s="411">
        <v>1</v>
      </c>
      <c r="X227" s="411"/>
      <c r="Y227" s="411"/>
      <c r="Z227" s="412">
        <f t="shared" si="14"/>
        <v>0</v>
      </c>
      <c r="AA227" s="456">
        <f t="shared" si="15"/>
        <v>0</v>
      </c>
      <c r="AB227" s="456">
        <v>0</v>
      </c>
      <c r="AC227" s="2"/>
      <c r="AD227" s="4"/>
      <c r="AE227" s="5"/>
      <c r="AF227" s="428"/>
    </row>
    <row r="228" spans="1:32" x14ac:dyDescent="0.25">
      <c r="A228" s="1" t="s">
        <v>2674</v>
      </c>
      <c r="B228" s="3" t="s">
        <v>1368</v>
      </c>
      <c r="C228" s="3" t="s">
        <v>1247</v>
      </c>
      <c r="D228" s="407" t="s">
        <v>1396</v>
      </c>
      <c r="E228" s="3" t="s">
        <v>1984</v>
      </c>
      <c r="F228" s="407" t="s">
        <v>4498</v>
      </c>
      <c r="G228" s="440" t="s">
        <v>4109</v>
      </c>
      <c r="H228" s="407" t="s">
        <v>4319</v>
      </c>
      <c r="I228" s="407" t="s">
        <v>3752</v>
      </c>
      <c r="J228" s="387" t="s">
        <v>4652</v>
      </c>
      <c r="K228" s="387">
        <v>2</v>
      </c>
      <c r="L228" s="387">
        <v>0</v>
      </c>
      <c r="M228" s="387">
        <f t="shared" si="12"/>
        <v>2</v>
      </c>
      <c r="N228" s="442">
        <f t="shared" si="13"/>
        <v>0</v>
      </c>
      <c r="O228" s="387" t="s">
        <v>1358</v>
      </c>
      <c r="P228" s="459">
        <v>0</v>
      </c>
      <c r="Q228" s="459"/>
      <c r="R228" s="456">
        <v>0</v>
      </c>
      <c r="S228" s="456">
        <v>38.752000000000002</v>
      </c>
      <c r="T228" s="410"/>
      <c r="U228" s="411">
        <v>1</v>
      </c>
      <c r="V228" s="411">
        <v>1</v>
      </c>
      <c r="W228" s="411">
        <v>1</v>
      </c>
      <c r="X228" s="411"/>
      <c r="Y228" s="411"/>
      <c r="Z228" s="412">
        <f t="shared" si="14"/>
        <v>0</v>
      </c>
      <c r="AA228" s="456">
        <f t="shared" si="15"/>
        <v>0</v>
      </c>
      <c r="AB228" s="456">
        <v>0</v>
      </c>
      <c r="AC228" s="2"/>
      <c r="AD228" s="4"/>
      <c r="AE228" s="5"/>
      <c r="AF228" s="428"/>
    </row>
    <row r="229" spans="1:32" x14ac:dyDescent="0.25">
      <c r="A229" s="1" t="s">
        <v>2675</v>
      </c>
      <c r="B229" s="3" t="s">
        <v>1368</v>
      </c>
      <c r="C229" s="3" t="s">
        <v>1247</v>
      </c>
      <c r="D229" s="407" t="s">
        <v>1399</v>
      </c>
      <c r="E229" s="3" t="s">
        <v>1985</v>
      </c>
      <c r="F229" s="407" t="s">
        <v>4499</v>
      </c>
      <c r="G229" s="440" t="s">
        <v>4109</v>
      </c>
      <c r="H229" s="407" t="s">
        <v>4320</v>
      </c>
      <c r="I229" s="407" t="s">
        <v>3758</v>
      </c>
      <c r="J229" s="387" t="s">
        <v>4653</v>
      </c>
      <c r="K229" s="387">
        <v>2</v>
      </c>
      <c r="L229" s="387">
        <v>0</v>
      </c>
      <c r="M229" s="387">
        <f t="shared" si="12"/>
        <v>2</v>
      </c>
      <c r="N229" s="442">
        <f t="shared" si="13"/>
        <v>0</v>
      </c>
      <c r="O229" s="387" t="s">
        <v>1358</v>
      </c>
      <c r="P229" s="459">
        <v>0</v>
      </c>
      <c r="Q229" s="459"/>
      <c r="R229" s="456">
        <v>0</v>
      </c>
      <c r="S229" s="456">
        <v>51.84</v>
      </c>
      <c r="T229" s="410"/>
      <c r="U229" s="411">
        <v>1</v>
      </c>
      <c r="V229" s="411">
        <v>1</v>
      </c>
      <c r="W229" s="411">
        <v>1</v>
      </c>
      <c r="X229" s="411"/>
      <c r="Y229" s="411"/>
      <c r="Z229" s="412">
        <f t="shared" si="14"/>
        <v>0</v>
      </c>
      <c r="AA229" s="456">
        <f t="shared" si="15"/>
        <v>0</v>
      </c>
      <c r="AB229" s="456">
        <v>0</v>
      </c>
      <c r="AC229" s="2"/>
      <c r="AD229" s="4"/>
      <c r="AE229" s="5"/>
      <c r="AF229" s="428"/>
    </row>
    <row r="230" spans="1:32" x14ac:dyDescent="0.25">
      <c r="A230" s="1" t="s">
        <v>2676</v>
      </c>
      <c r="B230" s="3" t="s">
        <v>1368</v>
      </c>
      <c r="C230" s="3" t="s">
        <v>1247</v>
      </c>
      <c r="D230" s="407" t="s">
        <v>3547</v>
      </c>
      <c r="E230" s="3" t="s">
        <v>1986</v>
      </c>
      <c r="F230" s="407" t="s">
        <v>4501</v>
      </c>
      <c r="G230" s="440" t="s">
        <v>4109</v>
      </c>
      <c r="H230" s="407" t="s">
        <v>4322</v>
      </c>
      <c r="I230" s="407" t="s">
        <v>3797</v>
      </c>
      <c r="J230" s="387" t="s">
        <v>4655</v>
      </c>
      <c r="K230" s="387">
        <v>1</v>
      </c>
      <c r="L230" s="387">
        <v>0</v>
      </c>
      <c r="M230" s="387">
        <f t="shared" si="12"/>
        <v>1</v>
      </c>
      <c r="N230" s="442">
        <f t="shared" si="13"/>
        <v>0</v>
      </c>
      <c r="O230" s="387" t="s">
        <v>1358</v>
      </c>
      <c r="P230" s="459">
        <v>0</v>
      </c>
      <c r="Q230" s="459"/>
      <c r="R230" s="456">
        <v>0</v>
      </c>
      <c r="S230" s="456">
        <v>33.084000000000003</v>
      </c>
      <c r="T230" s="410"/>
      <c r="U230" s="411">
        <v>0</v>
      </c>
      <c r="V230" s="411">
        <v>0</v>
      </c>
      <c r="W230" s="411">
        <v>0</v>
      </c>
      <c r="X230" s="411"/>
      <c r="Y230" s="411"/>
      <c r="Z230" s="412">
        <f t="shared" si="14"/>
        <v>0</v>
      </c>
      <c r="AA230" s="456">
        <f t="shared" si="15"/>
        <v>0</v>
      </c>
      <c r="AB230" s="456">
        <v>0</v>
      </c>
      <c r="AC230" s="2"/>
      <c r="AD230" s="4"/>
      <c r="AE230" s="5"/>
      <c r="AF230" s="428"/>
    </row>
    <row r="231" spans="1:32" x14ac:dyDescent="0.25">
      <c r="A231" s="1" t="s">
        <v>2677</v>
      </c>
      <c r="B231" s="3" t="s">
        <v>1368</v>
      </c>
      <c r="C231" s="3" t="s">
        <v>1247</v>
      </c>
      <c r="D231" s="407" t="s">
        <v>3546</v>
      </c>
      <c r="E231" s="3" t="s">
        <v>1987</v>
      </c>
      <c r="F231" s="407" t="s">
        <v>4482</v>
      </c>
      <c r="G231" s="440" t="s">
        <v>4109</v>
      </c>
      <c r="H231" s="407" t="s">
        <v>4303</v>
      </c>
      <c r="I231" s="407" t="s">
        <v>3784</v>
      </c>
      <c r="J231" s="387" t="s">
        <v>4660</v>
      </c>
      <c r="K231" s="387">
        <v>1</v>
      </c>
      <c r="L231" s="387">
        <v>0</v>
      </c>
      <c r="M231" s="387">
        <f t="shared" si="12"/>
        <v>1</v>
      </c>
      <c r="N231" s="442">
        <f t="shared" si="13"/>
        <v>0</v>
      </c>
      <c r="O231" s="387" t="s">
        <v>1358</v>
      </c>
      <c r="P231" s="459">
        <v>0</v>
      </c>
      <c r="Q231" s="459"/>
      <c r="R231" s="456">
        <v>0</v>
      </c>
      <c r="S231" s="456">
        <v>33.084000000000003</v>
      </c>
      <c r="T231" s="410"/>
      <c r="U231" s="411">
        <v>0</v>
      </c>
      <c r="V231" s="411">
        <v>0</v>
      </c>
      <c r="W231" s="411">
        <v>0</v>
      </c>
      <c r="X231" s="411"/>
      <c r="Y231" s="411"/>
      <c r="Z231" s="412">
        <f t="shared" si="14"/>
        <v>0</v>
      </c>
      <c r="AA231" s="456">
        <f t="shared" si="15"/>
        <v>0</v>
      </c>
      <c r="AB231" s="456">
        <v>0</v>
      </c>
      <c r="AC231" s="2"/>
      <c r="AD231" s="4"/>
      <c r="AE231" s="5"/>
      <c r="AF231" s="428"/>
    </row>
    <row r="232" spans="1:32" x14ac:dyDescent="0.25">
      <c r="A232" s="1" t="s">
        <v>2678</v>
      </c>
      <c r="B232" s="3" t="s">
        <v>1368</v>
      </c>
      <c r="C232" s="3" t="s">
        <v>1247</v>
      </c>
      <c r="D232" s="407" t="s">
        <v>1402</v>
      </c>
      <c r="E232" s="3" t="s">
        <v>1988</v>
      </c>
      <c r="F232" s="407" t="s">
        <v>4481</v>
      </c>
      <c r="G232" s="440" t="s">
        <v>4109</v>
      </c>
      <c r="H232" s="407" t="s">
        <v>4302</v>
      </c>
      <c r="I232" s="407" t="s">
        <v>3783</v>
      </c>
      <c r="J232" s="387" t="s">
        <v>4659</v>
      </c>
      <c r="K232" s="387">
        <v>1</v>
      </c>
      <c r="L232" s="387">
        <v>0</v>
      </c>
      <c r="M232" s="387">
        <f t="shared" si="12"/>
        <v>1</v>
      </c>
      <c r="N232" s="442">
        <f t="shared" si="13"/>
        <v>0</v>
      </c>
      <c r="O232" s="387" t="s">
        <v>1358</v>
      </c>
      <c r="P232" s="459">
        <v>0</v>
      </c>
      <c r="Q232" s="459"/>
      <c r="R232" s="456">
        <v>0</v>
      </c>
      <c r="S232" s="456">
        <v>34.017000000000003</v>
      </c>
      <c r="T232" s="410"/>
      <c r="U232" s="411">
        <v>0</v>
      </c>
      <c r="V232" s="411">
        <v>0</v>
      </c>
      <c r="W232" s="411">
        <v>0</v>
      </c>
      <c r="X232" s="411"/>
      <c r="Y232" s="411"/>
      <c r="Z232" s="412">
        <f t="shared" si="14"/>
        <v>0</v>
      </c>
      <c r="AA232" s="456">
        <f t="shared" si="15"/>
        <v>0</v>
      </c>
      <c r="AB232" s="456">
        <v>0</v>
      </c>
      <c r="AC232" s="2"/>
      <c r="AD232" s="4"/>
      <c r="AE232" s="5"/>
      <c r="AF232" s="428"/>
    </row>
    <row r="233" spans="1:32" x14ac:dyDescent="0.25">
      <c r="A233" s="1" t="s">
        <v>2679</v>
      </c>
      <c r="B233" s="3" t="s">
        <v>1368</v>
      </c>
      <c r="C233" s="3" t="s">
        <v>1247</v>
      </c>
      <c r="D233" s="407" t="s">
        <v>1401</v>
      </c>
      <c r="E233" s="3" t="s">
        <v>1989</v>
      </c>
      <c r="F233" s="407" t="s">
        <v>4478</v>
      </c>
      <c r="G233" s="440" t="s">
        <v>4109</v>
      </c>
      <c r="H233" s="407" t="s">
        <v>4299</v>
      </c>
      <c r="I233" s="407" t="s">
        <v>3780</v>
      </c>
      <c r="J233" s="387" t="s">
        <v>4657</v>
      </c>
      <c r="K233" s="387">
        <v>1</v>
      </c>
      <c r="L233" s="387">
        <v>0</v>
      </c>
      <c r="M233" s="387">
        <f t="shared" si="12"/>
        <v>1</v>
      </c>
      <c r="N233" s="442">
        <f t="shared" si="13"/>
        <v>0</v>
      </c>
      <c r="O233" s="387" t="s">
        <v>1358</v>
      </c>
      <c r="P233" s="459">
        <v>0</v>
      </c>
      <c r="Q233" s="459"/>
      <c r="R233" s="456">
        <v>0</v>
      </c>
      <c r="S233" s="456">
        <v>34.017000000000003</v>
      </c>
      <c r="T233" s="410"/>
      <c r="U233" s="411">
        <v>0</v>
      </c>
      <c r="V233" s="411">
        <v>0</v>
      </c>
      <c r="W233" s="411">
        <v>0</v>
      </c>
      <c r="X233" s="411"/>
      <c r="Y233" s="411"/>
      <c r="Z233" s="412">
        <f t="shared" si="14"/>
        <v>0</v>
      </c>
      <c r="AA233" s="456">
        <f t="shared" si="15"/>
        <v>0</v>
      </c>
      <c r="AB233" s="456">
        <v>0</v>
      </c>
      <c r="AC233" s="2"/>
      <c r="AD233" s="4"/>
      <c r="AE233" s="5"/>
      <c r="AF233" s="428"/>
    </row>
    <row r="234" spans="1:32" x14ac:dyDescent="0.25">
      <c r="A234" s="1" t="s">
        <v>2680</v>
      </c>
      <c r="B234" s="3" t="s">
        <v>1368</v>
      </c>
      <c r="C234" s="3" t="s">
        <v>1247</v>
      </c>
      <c r="D234" s="407" t="s">
        <v>1400</v>
      </c>
      <c r="E234" s="3" t="s">
        <v>1990</v>
      </c>
      <c r="F234" s="407" t="s">
        <v>4477</v>
      </c>
      <c r="G234" s="440" t="s">
        <v>4109</v>
      </c>
      <c r="H234" s="407" t="s">
        <v>4298</v>
      </c>
      <c r="I234" s="407" t="s">
        <v>3779</v>
      </c>
      <c r="J234" s="387" t="s">
        <v>4656</v>
      </c>
      <c r="K234" s="387">
        <v>1</v>
      </c>
      <c r="L234" s="387">
        <v>0</v>
      </c>
      <c r="M234" s="387">
        <f t="shared" si="12"/>
        <v>1</v>
      </c>
      <c r="N234" s="442">
        <f t="shared" si="13"/>
        <v>0</v>
      </c>
      <c r="O234" s="387" t="s">
        <v>1358</v>
      </c>
      <c r="P234" s="459">
        <v>0</v>
      </c>
      <c r="Q234" s="459"/>
      <c r="R234" s="456">
        <v>0</v>
      </c>
      <c r="S234" s="456">
        <v>34.017000000000003</v>
      </c>
      <c r="T234" s="410"/>
      <c r="U234" s="411">
        <v>1</v>
      </c>
      <c r="V234" s="411">
        <v>1</v>
      </c>
      <c r="W234" s="411">
        <v>1</v>
      </c>
      <c r="X234" s="411"/>
      <c r="Y234" s="411"/>
      <c r="Z234" s="412">
        <f t="shared" si="14"/>
        <v>0</v>
      </c>
      <c r="AA234" s="456">
        <f t="shared" si="15"/>
        <v>0</v>
      </c>
      <c r="AB234" s="456">
        <v>0</v>
      </c>
      <c r="AC234" s="2"/>
      <c r="AD234" s="4"/>
      <c r="AE234" s="5"/>
      <c r="AF234" s="428"/>
    </row>
    <row r="235" spans="1:32" x14ac:dyDescent="0.25">
      <c r="A235" s="1" t="s">
        <v>2681</v>
      </c>
      <c r="B235" s="3" t="s">
        <v>1368</v>
      </c>
      <c r="C235" s="3" t="s">
        <v>1247</v>
      </c>
      <c r="D235" s="407" t="s">
        <v>1399</v>
      </c>
      <c r="E235" s="3" t="s">
        <v>1991</v>
      </c>
      <c r="F235" s="407" t="s">
        <v>4499</v>
      </c>
      <c r="G235" s="440" t="s">
        <v>4109</v>
      </c>
      <c r="H235" s="407" t="s">
        <v>4320</v>
      </c>
      <c r="I235" s="407" t="s">
        <v>3758</v>
      </c>
      <c r="J235" s="387" t="s">
        <v>4653</v>
      </c>
      <c r="K235" s="387">
        <v>1</v>
      </c>
      <c r="L235" s="387">
        <v>0</v>
      </c>
      <c r="M235" s="387">
        <f t="shared" si="12"/>
        <v>1</v>
      </c>
      <c r="N235" s="442">
        <f t="shared" si="13"/>
        <v>0</v>
      </c>
      <c r="O235" s="387" t="s">
        <v>1358</v>
      </c>
      <c r="P235" s="459">
        <v>0</v>
      </c>
      <c r="Q235" s="459"/>
      <c r="R235" s="456">
        <v>0</v>
      </c>
      <c r="S235" s="456">
        <v>34.017000000000003</v>
      </c>
      <c r="T235" s="410"/>
      <c r="U235" s="411">
        <v>0</v>
      </c>
      <c r="V235" s="411">
        <v>0</v>
      </c>
      <c r="W235" s="411">
        <v>0</v>
      </c>
      <c r="X235" s="411"/>
      <c r="Y235" s="411"/>
      <c r="Z235" s="412">
        <f t="shared" si="14"/>
        <v>0</v>
      </c>
      <c r="AA235" s="456">
        <f t="shared" si="15"/>
        <v>0</v>
      </c>
      <c r="AB235" s="456">
        <v>0</v>
      </c>
      <c r="AC235" s="2"/>
      <c r="AD235" s="4"/>
      <c r="AE235" s="5"/>
      <c r="AF235" s="428"/>
    </row>
    <row r="236" spans="1:32" x14ac:dyDescent="0.25">
      <c r="A236" s="1" t="s">
        <v>2682</v>
      </c>
      <c r="B236" s="3" t="s">
        <v>1368</v>
      </c>
      <c r="C236" s="3" t="s">
        <v>1247</v>
      </c>
      <c r="D236" s="407" t="s">
        <v>1396</v>
      </c>
      <c r="E236" s="3" t="s">
        <v>1992</v>
      </c>
      <c r="F236" s="407" t="s">
        <v>4498</v>
      </c>
      <c r="G236" s="440" t="s">
        <v>4109</v>
      </c>
      <c r="H236" s="407" t="s">
        <v>4319</v>
      </c>
      <c r="I236" s="407" t="s">
        <v>3752</v>
      </c>
      <c r="J236" s="387" t="s">
        <v>4652</v>
      </c>
      <c r="K236" s="387">
        <v>1</v>
      </c>
      <c r="L236" s="387">
        <v>0</v>
      </c>
      <c r="M236" s="387">
        <f t="shared" si="12"/>
        <v>1</v>
      </c>
      <c r="N236" s="442">
        <f t="shared" si="13"/>
        <v>0</v>
      </c>
      <c r="O236" s="387" t="s">
        <v>1358</v>
      </c>
      <c r="P236" s="459">
        <v>0</v>
      </c>
      <c r="Q236" s="459"/>
      <c r="R236" s="456">
        <v>0</v>
      </c>
      <c r="S236" s="456">
        <v>34.017000000000003</v>
      </c>
      <c r="T236" s="410"/>
      <c r="U236" s="411">
        <v>1</v>
      </c>
      <c r="V236" s="411">
        <v>1</v>
      </c>
      <c r="W236" s="411">
        <v>1</v>
      </c>
      <c r="X236" s="411"/>
      <c r="Y236" s="411"/>
      <c r="Z236" s="412">
        <f t="shared" si="14"/>
        <v>0</v>
      </c>
      <c r="AA236" s="456">
        <f t="shared" si="15"/>
        <v>0</v>
      </c>
      <c r="AB236" s="456">
        <v>0</v>
      </c>
      <c r="AC236" s="2"/>
      <c r="AD236" s="4"/>
      <c r="AE236" s="5"/>
      <c r="AF236" s="428"/>
    </row>
    <row r="237" spans="1:32" x14ac:dyDescent="0.25">
      <c r="A237" s="1" t="s">
        <v>2683</v>
      </c>
      <c r="B237" s="3" t="s">
        <v>1368</v>
      </c>
      <c r="C237" s="3" t="s">
        <v>1247</v>
      </c>
      <c r="D237" s="407" t="s">
        <v>1381</v>
      </c>
      <c r="E237" s="3" t="s">
        <v>1993</v>
      </c>
      <c r="F237" s="407" t="s">
        <v>4497</v>
      </c>
      <c r="G237" s="440" t="s">
        <v>4109</v>
      </c>
      <c r="H237" s="407" t="s">
        <v>4318</v>
      </c>
      <c r="I237" s="407" t="s">
        <v>3751</v>
      </c>
      <c r="J237" s="387" t="s">
        <v>4631</v>
      </c>
      <c r="K237" s="387">
        <v>1</v>
      </c>
      <c r="L237" s="387">
        <v>0</v>
      </c>
      <c r="M237" s="387">
        <f t="shared" si="12"/>
        <v>1</v>
      </c>
      <c r="N237" s="442">
        <f t="shared" si="13"/>
        <v>0</v>
      </c>
      <c r="O237" s="387" t="s">
        <v>1358</v>
      </c>
      <c r="P237" s="459">
        <v>0</v>
      </c>
      <c r="Q237" s="459"/>
      <c r="R237" s="456">
        <v>0</v>
      </c>
      <c r="S237" s="456">
        <v>32.151000000000003</v>
      </c>
      <c r="T237" s="410"/>
      <c r="U237" s="411">
        <v>1</v>
      </c>
      <c r="V237" s="411">
        <v>1</v>
      </c>
      <c r="W237" s="411">
        <v>1</v>
      </c>
      <c r="X237" s="411"/>
      <c r="Y237" s="411"/>
      <c r="Z237" s="412">
        <f t="shared" si="14"/>
        <v>0</v>
      </c>
      <c r="AA237" s="456">
        <f t="shared" si="15"/>
        <v>0</v>
      </c>
      <c r="AB237" s="456">
        <v>0</v>
      </c>
      <c r="AC237" s="2"/>
      <c r="AD237" s="4"/>
      <c r="AE237" s="5"/>
      <c r="AF237" s="428"/>
    </row>
    <row r="238" spans="1:32" x14ac:dyDescent="0.25">
      <c r="A238" s="1" t="s">
        <v>2684</v>
      </c>
      <c r="B238" s="3" t="s">
        <v>1368</v>
      </c>
      <c r="C238" s="3" t="s">
        <v>1247</v>
      </c>
      <c r="D238" s="407" t="s">
        <v>1379</v>
      </c>
      <c r="E238" s="3" t="s">
        <v>1994</v>
      </c>
      <c r="F238" s="407" t="s">
        <v>4502</v>
      </c>
      <c r="G238" s="440" t="s">
        <v>4109</v>
      </c>
      <c r="H238" s="407" t="s">
        <v>4323</v>
      </c>
      <c r="I238" s="407" t="s">
        <v>3750</v>
      </c>
      <c r="J238" s="387" t="s">
        <v>4632</v>
      </c>
      <c r="K238" s="387">
        <v>1</v>
      </c>
      <c r="L238" s="387">
        <v>0</v>
      </c>
      <c r="M238" s="387">
        <f t="shared" si="12"/>
        <v>1</v>
      </c>
      <c r="N238" s="442">
        <f t="shared" si="13"/>
        <v>0</v>
      </c>
      <c r="O238" s="387" t="s">
        <v>1358</v>
      </c>
      <c r="P238" s="459">
        <v>0</v>
      </c>
      <c r="Q238" s="459"/>
      <c r="R238" s="456">
        <v>0</v>
      </c>
      <c r="S238" s="456">
        <v>34.017000000000003</v>
      </c>
      <c r="T238" s="410"/>
      <c r="U238" s="411">
        <v>1</v>
      </c>
      <c r="V238" s="411">
        <v>1</v>
      </c>
      <c r="W238" s="411">
        <v>1</v>
      </c>
      <c r="X238" s="411"/>
      <c r="Y238" s="411"/>
      <c r="Z238" s="412">
        <f t="shared" si="14"/>
        <v>0</v>
      </c>
      <c r="AA238" s="456">
        <f t="shared" si="15"/>
        <v>0</v>
      </c>
      <c r="AB238" s="456">
        <v>0</v>
      </c>
      <c r="AC238" s="2"/>
      <c r="AD238" s="4"/>
      <c r="AE238" s="5"/>
      <c r="AF238" s="428"/>
    </row>
    <row r="239" spans="1:32" x14ac:dyDescent="0.25">
      <c r="A239" s="1" t="s">
        <v>2685</v>
      </c>
      <c r="B239" s="3" t="s">
        <v>1368</v>
      </c>
      <c r="C239" s="3" t="s">
        <v>1247</v>
      </c>
      <c r="D239" s="407" t="s">
        <v>1377</v>
      </c>
      <c r="E239" s="3" t="s">
        <v>1995</v>
      </c>
      <c r="F239" s="407" t="s">
        <v>4494</v>
      </c>
      <c r="G239" s="440" t="s">
        <v>4109</v>
      </c>
      <c r="H239" s="407" t="s">
        <v>4315</v>
      </c>
      <c r="I239" s="407" t="s">
        <v>3749</v>
      </c>
      <c r="J239" s="387" t="s">
        <v>4648</v>
      </c>
      <c r="K239" s="387">
        <v>1</v>
      </c>
      <c r="L239" s="387">
        <v>0</v>
      </c>
      <c r="M239" s="387">
        <f t="shared" si="12"/>
        <v>1</v>
      </c>
      <c r="N239" s="442">
        <f t="shared" si="13"/>
        <v>0</v>
      </c>
      <c r="O239" s="387" t="s">
        <v>1358</v>
      </c>
      <c r="P239" s="459">
        <v>0</v>
      </c>
      <c r="Q239" s="459"/>
      <c r="R239" s="456">
        <v>0</v>
      </c>
      <c r="S239" s="456">
        <v>34.017000000000003</v>
      </c>
      <c r="T239" s="410"/>
      <c r="U239" s="411">
        <v>1</v>
      </c>
      <c r="V239" s="411">
        <v>1</v>
      </c>
      <c r="W239" s="411">
        <v>1</v>
      </c>
      <c r="X239" s="411"/>
      <c r="Y239" s="411"/>
      <c r="Z239" s="412">
        <f t="shared" si="14"/>
        <v>0</v>
      </c>
      <c r="AA239" s="456">
        <f t="shared" si="15"/>
        <v>0</v>
      </c>
      <c r="AB239" s="456">
        <v>0</v>
      </c>
      <c r="AC239" s="2"/>
      <c r="AD239" s="4"/>
      <c r="AE239" s="5"/>
      <c r="AF239" s="428"/>
    </row>
    <row r="240" spans="1:32" x14ac:dyDescent="0.25">
      <c r="A240" s="1" t="s">
        <v>2686</v>
      </c>
      <c r="B240" s="3" t="s">
        <v>1368</v>
      </c>
      <c r="C240" s="3" t="s">
        <v>1247</v>
      </c>
      <c r="D240" s="407" t="s">
        <v>1374</v>
      </c>
      <c r="E240" s="3" t="s">
        <v>1996</v>
      </c>
      <c r="F240" s="407" t="s">
        <v>4495</v>
      </c>
      <c r="G240" s="440" t="s">
        <v>4109</v>
      </c>
      <c r="H240" s="407" t="s">
        <v>4316</v>
      </c>
      <c r="I240" s="407" t="s">
        <v>3757</v>
      </c>
      <c r="J240" s="387" t="s">
        <v>4649</v>
      </c>
      <c r="K240" s="387">
        <v>1</v>
      </c>
      <c r="L240" s="387">
        <v>0</v>
      </c>
      <c r="M240" s="387">
        <f t="shared" si="12"/>
        <v>1</v>
      </c>
      <c r="N240" s="442">
        <f t="shared" si="13"/>
        <v>0</v>
      </c>
      <c r="O240" s="387" t="s">
        <v>1358</v>
      </c>
      <c r="P240" s="459">
        <v>0</v>
      </c>
      <c r="Q240" s="459"/>
      <c r="R240" s="456">
        <v>0</v>
      </c>
      <c r="S240" s="456">
        <v>34.017000000000003</v>
      </c>
      <c r="T240" s="410"/>
      <c r="U240" s="411">
        <v>1</v>
      </c>
      <c r="V240" s="411">
        <v>1</v>
      </c>
      <c r="W240" s="411">
        <v>1</v>
      </c>
      <c r="X240" s="411"/>
      <c r="Y240" s="411"/>
      <c r="Z240" s="412">
        <f t="shared" si="14"/>
        <v>0</v>
      </c>
      <c r="AA240" s="456">
        <f t="shared" si="15"/>
        <v>0</v>
      </c>
      <c r="AB240" s="456">
        <v>0</v>
      </c>
      <c r="AC240" s="2"/>
      <c r="AD240" s="4"/>
      <c r="AE240" s="5"/>
      <c r="AF240" s="428"/>
    </row>
    <row r="241" spans="1:32" x14ac:dyDescent="0.25">
      <c r="A241" s="1" t="s">
        <v>2687</v>
      </c>
      <c r="B241" s="3" t="s">
        <v>1368</v>
      </c>
      <c r="C241" s="3" t="s">
        <v>1247</v>
      </c>
      <c r="D241" s="407" t="s">
        <v>1398</v>
      </c>
      <c r="E241" s="3" t="s">
        <v>1997</v>
      </c>
      <c r="F241" s="407" t="s">
        <v>4496</v>
      </c>
      <c r="G241" s="440" t="s">
        <v>4109</v>
      </c>
      <c r="H241" s="407" t="s">
        <v>4317</v>
      </c>
      <c r="I241" s="407" t="s">
        <v>3796</v>
      </c>
      <c r="J241" s="387" t="s">
        <v>4650</v>
      </c>
      <c r="K241" s="387">
        <v>1</v>
      </c>
      <c r="L241" s="387">
        <v>0</v>
      </c>
      <c r="M241" s="387">
        <f t="shared" si="12"/>
        <v>1</v>
      </c>
      <c r="N241" s="442">
        <f t="shared" si="13"/>
        <v>0</v>
      </c>
      <c r="O241" s="387" t="s">
        <v>1358</v>
      </c>
      <c r="P241" s="459">
        <v>0</v>
      </c>
      <c r="Q241" s="459"/>
      <c r="R241" s="456">
        <v>0</v>
      </c>
      <c r="S241" s="456">
        <v>34.017000000000003</v>
      </c>
      <c r="T241" s="410"/>
      <c r="U241" s="411">
        <v>1</v>
      </c>
      <c r="V241" s="411">
        <v>1</v>
      </c>
      <c r="W241" s="411">
        <v>1</v>
      </c>
      <c r="X241" s="411"/>
      <c r="Y241" s="411"/>
      <c r="Z241" s="412">
        <f t="shared" si="14"/>
        <v>0</v>
      </c>
      <c r="AA241" s="456">
        <f t="shared" si="15"/>
        <v>0</v>
      </c>
      <c r="AB241" s="456">
        <v>0</v>
      </c>
      <c r="AC241" s="2"/>
      <c r="AD241" s="4"/>
      <c r="AE241" s="5"/>
      <c r="AF241" s="428"/>
    </row>
    <row r="242" spans="1:32" x14ac:dyDescent="0.25">
      <c r="A242" s="1" t="s">
        <v>2688</v>
      </c>
      <c r="B242" s="3" t="s">
        <v>1368</v>
      </c>
      <c r="C242" s="3" t="s">
        <v>1247</v>
      </c>
      <c r="D242" s="407" t="s">
        <v>1397</v>
      </c>
      <c r="E242" s="3" t="s">
        <v>1998</v>
      </c>
      <c r="F242" s="407" t="s">
        <v>4493</v>
      </c>
      <c r="G242" s="440" t="s">
        <v>4109</v>
      </c>
      <c r="H242" s="407" t="s">
        <v>4314</v>
      </c>
      <c r="I242" s="407" t="s">
        <v>3795</v>
      </c>
      <c r="J242" s="387" t="s">
        <v>4647</v>
      </c>
      <c r="K242" s="387">
        <v>1</v>
      </c>
      <c r="L242" s="387">
        <v>0</v>
      </c>
      <c r="M242" s="387">
        <f t="shared" si="12"/>
        <v>1</v>
      </c>
      <c r="N242" s="442">
        <f t="shared" si="13"/>
        <v>0</v>
      </c>
      <c r="O242" s="387" t="s">
        <v>1358</v>
      </c>
      <c r="P242" s="459">
        <v>0</v>
      </c>
      <c r="Q242" s="459"/>
      <c r="R242" s="456">
        <v>0</v>
      </c>
      <c r="S242" s="456">
        <v>34.017000000000003</v>
      </c>
      <c r="T242" s="410"/>
      <c r="U242" s="411">
        <v>1</v>
      </c>
      <c r="V242" s="411">
        <v>1</v>
      </c>
      <c r="W242" s="411">
        <v>1</v>
      </c>
      <c r="X242" s="411"/>
      <c r="Y242" s="411"/>
      <c r="Z242" s="412">
        <f t="shared" si="14"/>
        <v>0</v>
      </c>
      <c r="AA242" s="456">
        <f t="shared" si="15"/>
        <v>0</v>
      </c>
      <c r="AB242" s="456">
        <v>0</v>
      </c>
      <c r="AC242" s="2"/>
      <c r="AD242" s="4"/>
      <c r="AE242" s="5"/>
      <c r="AF242" s="428"/>
    </row>
    <row r="243" spans="1:32" x14ac:dyDescent="0.25">
      <c r="A243" s="1" t="s">
        <v>2689</v>
      </c>
      <c r="B243" s="3" t="s">
        <v>1368</v>
      </c>
      <c r="C243" s="3" t="s">
        <v>1247</v>
      </c>
      <c r="D243" s="407" t="s">
        <v>1425</v>
      </c>
      <c r="E243" s="3" t="s">
        <v>1999</v>
      </c>
      <c r="F243" s="407" t="s">
        <v>4479</v>
      </c>
      <c r="G243" s="440" t="s">
        <v>4109</v>
      </c>
      <c r="H243" s="407" t="s">
        <v>4300</v>
      </c>
      <c r="I243" s="407" t="s">
        <v>3781</v>
      </c>
      <c r="J243" s="387" t="s">
        <v>4643</v>
      </c>
      <c r="K243" s="387">
        <v>1</v>
      </c>
      <c r="L243" s="387">
        <v>0</v>
      </c>
      <c r="M243" s="387">
        <f t="shared" si="12"/>
        <v>1</v>
      </c>
      <c r="N243" s="442">
        <f t="shared" si="13"/>
        <v>0</v>
      </c>
      <c r="O243" s="387" t="s">
        <v>1358</v>
      </c>
      <c r="P243" s="459">
        <v>0</v>
      </c>
      <c r="Q243" s="459"/>
      <c r="R243" s="456">
        <v>0</v>
      </c>
      <c r="S243" s="456">
        <v>31.218</v>
      </c>
      <c r="T243" s="410"/>
      <c r="U243" s="411">
        <v>1</v>
      </c>
      <c r="V243" s="411">
        <v>1</v>
      </c>
      <c r="W243" s="411">
        <v>1</v>
      </c>
      <c r="X243" s="411"/>
      <c r="Y243" s="411"/>
      <c r="Z243" s="412">
        <f t="shared" si="14"/>
        <v>0</v>
      </c>
      <c r="AA243" s="456">
        <f t="shared" si="15"/>
        <v>0</v>
      </c>
      <c r="AB243" s="456">
        <v>0</v>
      </c>
      <c r="AC243" s="2"/>
      <c r="AD243" s="4"/>
      <c r="AE243" s="5"/>
      <c r="AF243" s="428"/>
    </row>
    <row r="244" spans="1:32" x14ac:dyDescent="0.25">
      <c r="A244" s="1" t="s">
        <v>2690</v>
      </c>
      <c r="B244" s="3" t="s">
        <v>1368</v>
      </c>
      <c r="C244" s="3" t="s">
        <v>1247</v>
      </c>
      <c r="D244" s="407" t="s">
        <v>1426</v>
      </c>
      <c r="E244" s="3" t="s">
        <v>2000</v>
      </c>
      <c r="F244" s="407" t="s">
        <v>4480</v>
      </c>
      <c r="G244" s="440" t="s">
        <v>4109</v>
      </c>
      <c r="H244" s="407" t="s">
        <v>4301</v>
      </c>
      <c r="I244" s="407" t="s">
        <v>3782</v>
      </c>
      <c r="J244" s="387" t="s">
        <v>4637</v>
      </c>
      <c r="K244" s="387">
        <v>1</v>
      </c>
      <c r="L244" s="387">
        <v>0</v>
      </c>
      <c r="M244" s="387">
        <f t="shared" si="12"/>
        <v>1</v>
      </c>
      <c r="N244" s="442">
        <f t="shared" si="13"/>
        <v>0</v>
      </c>
      <c r="O244" s="387" t="s">
        <v>1358</v>
      </c>
      <c r="P244" s="459">
        <v>0</v>
      </c>
      <c r="Q244" s="459"/>
      <c r="R244" s="456">
        <v>0</v>
      </c>
      <c r="S244" s="456">
        <v>31.218</v>
      </c>
      <c r="T244" s="410"/>
      <c r="U244" s="411">
        <v>0</v>
      </c>
      <c r="V244" s="411">
        <v>0</v>
      </c>
      <c r="W244" s="411">
        <v>0</v>
      </c>
      <c r="X244" s="411"/>
      <c r="Y244" s="411"/>
      <c r="Z244" s="412">
        <f t="shared" si="14"/>
        <v>0</v>
      </c>
      <c r="AA244" s="456">
        <f t="shared" si="15"/>
        <v>0</v>
      </c>
      <c r="AB244" s="456">
        <v>0</v>
      </c>
      <c r="AC244" s="2"/>
      <c r="AD244" s="4"/>
      <c r="AE244" s="5"/>
      <c r="AF244" s="428"/>
    </row>
    <row r="245" spans="1:32" x14ac:dyDescent="0.25">
      <c r="A245" s="1" t="s">
        <v>2691</v>
      </c>
      <c r="B245" s="3" t="s">
        <v>1368</v>
      </c>
      <c r="C245" s="3" t="s">
        <v>1247</v>
      </c>
      <c r="D245" s="407" t="s">
        <v>1432</v>
      </c>
      <c r="E245" s="3" t="s">
        <v>2001</v>
      </c>
      <c r="F245" s="407" t="s">
        <v>4483</v>
      </c>
      <c r="G245" s="440" t="s">
        <v>4109</v>
      </c>
      <c r="H245" s="407" t="s">
        <v>4304</v>
      </c>
      <c r="I245" s="407" t="s">
        <v>3785</v>
      </c>
      <c r="J245" s="387" t="s">
        <v>4635</v>
      </c>
      <c r="K245" s="387">
        <v>1</v>
      </c>
      <c r="L245" s="387">
        <v>0</v>
      </c>
      <c r="M245" s="387">
        <f t="shared" si="12"/>
        <v>1</v>
      </c>
      <c r="N245" s="442">
        <f t="shared" si="13"/>
        <v>0</v>
      </c>
      <c r="O245" s="387" t="s">
        <v>1358</v>
      </c>
      <c r="P245" s="459">
        <v>0</v>
      </c>
      <c r="Q245" s="459"/>
      <c r="R245" s="456">
        <v>0</v>
      </c>
      <c r="S245" s="456">
        <v>28.169</v>
      </c>
      <c r="T245" s="410"/>
      <c r="U245" s="411">
        <v>0</v>
      </c>
      <c r="V245" s="411">
        <v>0</v>
      </c>
      <c r="W245" s="411">
        <v>0</v>
      </c>
      <c r="X245" s="411"/>
      <c r="Y245" s="411"/>
      <c r="Z245" s="412">
        <f t="shared" si="14"/>
        <v>0</v>
      </c>
      <c r="AA245" s="456">
        <f t="shared" si="15"/>
        <v>0</v>
      </c>
      <c r="AB245" s="456">
        <v>0</v>
      </c>
      <c r="AC245" s="2"/>
      <c r="AD245" s="4"/>
      <c r="AE245" s="5"/>
      <c r="AF245" s="428"/>
    </row>
    <row r="246" spans="1:32" x14ac:dyDescent="0.25">
      <c r="A246" s="1" t="s">
        <v>2692</v>
      </c>
      <c r="B246" s="3" t="s">
        <v>1368</v>
      </c>
      <c r="C246" s="3" t="s">
        <v>1247</v>
      </c>
      <c r="D246" s="407" t="s">
        <v>1397</v>
      </c>
      <c r="E246" s="3" t="s">
        <v>2002</v>
      </c>
      <c r="F246" s="407" t="s">
        <v>4493</v>
      </c>
      <c r="G246" s="440" t="s">
        <v>4109</v>
      </c>
      <c r="H246" s="407" t="s">
        <v>4314</v>
      </c>
      <c r="I246" s="407" t="s">
        <v>3795</v>
      </c>
      <c r="J246" s="387" t="s">
        <v>4647</v>
      </c>
      <c r="K246" s="387">
        <v>1</v>
      </c>
      <c r="L246" s="387">
        <v>0</v>
      </c>
      <c r="M246" s="387">
        <f t="shared" si="12"/>
        <v>1</v>
      </c>
      <c r="N246" s="442">
        <f t="shared" si="13"/>
        <v>0</v>
      </c>
      <c r="O246" s="387" t="s">
        <v>1358</v>
      </c>
      <c r="P246" s="459">
        <v>0</v>
      </c>
      <c r="Q246" s="459"/>
      <c r="R246" s="456">
        <v>0</v>
      </c>
      <c r="S246" s="456">
        <v>25.07</v>
      </c>
      <c r="T246" s="410"/>
      <c r="U246" s="411">
        <v>1</v>
      </c>
      <c r="V246" s="411">
        <v>1</v>
      </c>
      <c r="W246" s="411">
        <v>1</v>
      </c>
      <c r="X246" s="411"/>
      <c r="Y246" s="411"/>
      <c r="Z246" s="412">
        <f t="shared" si="14"/>
        <v>0</v>
      </c>
      <c r="AA246" s="456">
        <f t="shared" si="15"/>
        <v>0</v>
      </c>
      <c r="AB246" s="456">
        <v>0</v>
      </c>
      <c r="AC246" s="2"/>
      <c r="AD246" s="4"/>
      <c r="AE246" s="5"/>
      <c r="AF246" s="428"/>
    </row>
    <row r="247" spans="1:32" x14ac:dyDescent="0.25">
      <c r="A247" s="1" t="s">
        <v>2693</v>
      </c>
      <c r="B247" s="3" t="s">
        <v>1368</v>
      </c>
      <c r="C247" s="3" t="s">
        <v>1247</v>
      </c>
      <c r="D247" s="407" t="s">
        <v>1398</v>
      </c>
      <c r="E247" s="3" t="s">
        <v>2003</v>
      </c>
      <c r="F247" s="407" t="s">
        <v>4496</v>
      </c>
      <c r="G247" s="440" t="s">
        <v>4109</v>
      </c>
      <c r="H247" s="407" t="s">
        <v>4317</v>
      </c>
      <c r="I247" s="407" t="s">
        <v>3796</v>
      </c>
      <c r="J247" s="387" t="s">
        <v>4650</v>
      </c>
      <c r="K247" s="387">
        <v>1</v>
      </c>
      <c r="L247" s="387">
        <v>0</v>
      </c>
      <c r="M247" s="387">
        <f t="shared" si="12"/>
        <v>1</v>
      </c>
      <c r="N247" s="442">
        <f t="shared" si="13"/>
        <v>0</v>
      </c>
      <c r="O247" s="387" t="s">
        <v>1358</v>
      </c>
      <c r="P247" s="459">
        <v>0</v>
      </c>
      <c r="Q247" s="459"/>
      <c r="R247" s="456">
        <v>0</v>
      </c>
      <c r="S247" s="456">
        <v>25.07</v>
      </c>
      <c r="T247" s="410"/>
      <c r="U247" s="411">
        <v>1</v>
      </c>
      <c r="V247" s="411">
        <v>1</v>
      </c>
      <c r="W247" s="411">
        <v>1</v>
      </c>
      <c r="X247" s="411"/>
      <c r="Y247" s="411"/>
      <c r="Z247" s="412">
        <f t="shared" si="14"/>
        <v>0</v>
      </c>
      <c r="AA247" s="456">
        <f t="shared" si="15"/>
        <v>0</v>
      </c>
      <c r="AB247" s="456">
        <v>0</v>
      </c>
      <c r="AC247" s="2"/>
      <c r="AD247" s="4"/>
      <c r="AE247" s="5"/>
      <c r="AF247" s="428"/>
    </row>
    <row r="248" spans="1:32" x14ac:dyDescent="0.25">
      <c r="A248" s="1" t="s">
        <v>2694</v>
      </c>
      <c r="B248" s="3" t="s">
        <v>1368</v>
      </c>
      <c r="C248" s="3" t="s">
        <v>1247</v>
      </c>
      <c r="D248" s="407" t="s">
        <v>1374</v>
      </c>
      <c r="E248" s="3" t="s">
        <v>2004</v>
      </c>
      <c r="F248" s="407" t="s">
        <v>4495</v>
      </c>
      <c r="G248" s="440" t="s">
        <v>4109</v>
      </c>
      <c r="H248" s="407" t="s">
        <v>4316</v>
      </c>
      <c r="I248" s="407" t="s">
        <v>3757</v>
      </c>
      <c r="J248" s="387" t="s">
        <v>4665</v>
      </c>
      <c r="K248" s="387">
        <v>2</v>
      </c>
      <c r="L248" s="387">
        <v>0</v>
      </c>
      <c r="M248" s="387">
        <f t="shared" si="12"/>
        <v>2</v>
      </c>
      <c r="N248" s="442">
        <f t="shared" si="13"/>
        <v>0</v>
      </c>
      <c r="O248" s="387" t="s">
        <v>1358</v>
      </c>
      <c r="P248" s="459">
        <v>0</v>
      </c>
      <c r="Q248" s="459"/>
      <c r="R248" s="456">
        <v>0</v>
      </c>
      <c r="S248" s="456">
        <v>50.14</v>
      </c>
      <c r="T248" s="410"/>
      <c r="U248" s="411">
        <v>1</v>
      </c>
      <c r="V248" s="411">
        <v>1</v>
      </c>
      <c r="W248" s="411">
        <v>1</v>
      </c>
      <c r="X248" s="411"/>
      <c r="Y248" s="411"/>
      <c r="Z248" s="412">
        <f t="shared" si="14"/>
        <v>0</v>
      </c>
      <c r="AA248" s="456">
        <f t="shared" si="15"/>
        <v>0</v>
      </c>
      <c r="AB248" s="456">
        <v>0</v>
      </c>
      <c r="AC248" s="2"/>
      <c r="AD248" s="4"/>
      <c r="AE248" s="5"/>
      <c r="AF248" s="428"/>
    </row>
    <row r="249" spans="1:32" x14ac:dyDescent="0.25">
      <c r="A249" s="1" t="s">
        <v>2695</v>
      </c>
      <c r="B249" s="3" t="s">
        <v>1368</v>
      </c>
      <c r="C249" s="3" t="s">
        <v>1247</v>
      </c>
      <c r="D249" s="407" t="s">
        <v>1377</v>
      </c>
      <c r="E249" s="3" t="s">
        <v>2005</v>
      </c>
      <c r="F249" s="407" t="s">
        <v>4494</v>
      </c>
      <c r="G249" s="440" t="s">
        <v>4109</v>
      </c>
      <c r="H249" s="407" t="s">
        <v>4315</v>
      </c>
      <c r="I249" s="407" t="s">
        <v>3749</v>
      </c>
      <c r="J249" s="387" t="s">
        <v>4648</v>
      </c>
      <c r="K249" s="387">
        <v>1</v>
      </c>
      <c r="L249" s="387">
        <v>0</v>
      </c>
      <c r="M249" s="387">
        <f t="shared" si="12"/>
        <v>1</v>
      </c>
      <c r="N249" s="442">
        <f t="shared" si="13"/>
        <v>0</v>
      </c>
      <c r="O249" s="387" t="s">
        <v>1358</v>
      </c>
      <c r="P249" s="459">
        <v>0</v>
      </c>
      <c r="Q249" s="459"/>
      <c r="R249" s="456">
        <v>0</v>
      </c>
      <c r="S249" s="456">
        <v>25.07</v>
      </c>
      <c r="T249" s="410"/>
      <c r="U249" s="411">
        <v>1</v>
      </c>
      <c r="V249" s="411">
        <v>1</v>
      </c>
      <c r="W249" s="411">
        <v>1</v>
      </c>
      <c r="X249" s="411"/>
      <c r="Y249" s="411"/>
      <c r="Z249" s="412">
        <f t="shared" si="14"/>
        <v>0</v>
      </c>
      <c r="AA249" s="456">
        <f t="shared" si="15"/>
        <v>0</v>
      </c>
      <c r="AB249" s="456">
        <v>0</v>
      </c>
      <c r="AC249" s="2"/>
      <c r="AD249" s="4"/>
      <c r="AE249" s="5"/>
      <c r="AF249" s="428"/>
    </row>
    <row r="250" spans="1:32" x14ac:dyDescent="0.25">
      <c r="A250" s="1" t="s">
        <v>2696</v>
      </c>
      <c r="B250" s="3" t="s">
        <v>1368</v>
      </c>
      <c r="C250" s="3" t="s">
        <v>1247</v>
      </c>
      <c r="D250" s="407" t="s">
        <v>1379</v>
      </c>
      <c r="E250" s="3" t="s">
        <v>2006</v>
      </c>
      <c r="F250" s="407" t="s">
        <v>4502</v>
      </c>
      <c r="G250" s="440" t="s">
        <v>4109</v>
      </c>
      <c r="H250" s="407" t="s">
        <v>4323</v>
      </c>
      <c r="I250" s="407" t="s">
        <v>3750</v>
      </c>
      <c r="J250" s="387" t="s">
        <v>4632</v>
      </c>
      <c r="K250" s="387">
        <v>1</v>
      </c>
      <c r="L250" s="387">
        <v>0</v>
      </c>
      <c r="M250" s="387">
        <f t="shared" si="12"/>
        <v>1</v>
      </c>
      <c r="N250" s="442">
        <f t="shared" si="13"/>
        <v>0</v>
      </c>
      <c r="O250" s="387" t="s">
        <v>1358</v>
      </c>
      <c r="P250" s="459">
        <v>0</v>
      </c>
      <c r="Q250" s="459"/>
      <c r="R250" s="456">
        <v>0</v>
      </c>
      <c r="S250" s="456">
        <v>27.423999999999999</v>
      </c>
      <c r="T250" s="410"/>
      <c r="U250" s="411">
        <v>1</v>
      </c>
      <c r="V250" s="411">
        <v>1</v>
      </c>
      <c r="W250" s="411">
        <v>1</v>
      </c>
      <c r="X250" s="411"/>
      <c r="Y250" s="411"/>
      <c r="Z250" s="412">
        <f t="shared" si="14"/>
        <v>0</v>
      </c>
      <c r="AA250" s="456">
        <f t="shared" si="15"/>
        <v>0</v>
      </c>
      <c r="AB250" s="456">
        <v>0</v>
      </c>
      <c r="AC250" s="2"/>
      <c r="AD250" s="4"/>
      <c r="AE250" s="5"/>
      <c r="AF250" s="428"/>
    </row>
    <row r="251" spans="1:32" x14ac:dyDescent="0.25">
      <c r="A251" s="1" t="s">
        <v>2697</v>
      </c>
      <c r="B251" s="3" t="s">
        <v>1368</v>
      </c>
      <c r="C251" s="3" t="s">
        <v>1247</v>
      </c>
      <c r="D251" s="407" t="s">
        <v>1425</v>
      </c>
      <c r="E251" s="3" t="s">
        <v>2007</v>
      </c>
      <c r="F251" s="407" t="s">
        <v>4479</v>
      </c>
      <c r="G251" s="440" t="s">
        <v>4109</v>
      </c>
      <c r="H251" s="407" t="s">
        <v>4300</v>
      </c>
      <c r="I251" s="407" t="s">
        <v>3781</v>
      </c>
      <c r="J251" s="387" t="s">
        <v>4643</v>
      </c>
      <c r="K251" s="387">
        <v>1</v>
      </c>
      <c r="L251" s="387">
        <v>0</v>
      </c>
      <c r="M251" s="387">
        <f t="shared" si="12"/>
        <v>1</v>
      </c>
      <c r="N251" s="442">
        <f t="shared" si="13"/>
        <v>0</v>
      </c>
      <c r="O251" s="387" t="s">
        <v>1358</v>
      </c>
      <c r="P251" s="459">
        <v>0</v>
      </c>
      <c r="Q251" s="459"/>
      <c r="R251" s="456">
        <v>0</v>
      </c>
      <c r="S251" s="456">
        <v>28.169</v>
      </c>
      <c r="T251" s="410"/>
      <c r="U251" s="411">
        <v>1</v>
      </c>
      <c r="V251" s="411">
        <v>1</v>
      </c>
      <c r="W251" s="411">
        <v>1</v>
      </c>
      <c r="X251" s="411"/>
      <c r="Y251" s="411"/>
      <c r="Z251" s="412">
        <f t="shared" si="14"/>
        <v>0</v>
      </c>
      <c r="AA251" s="456">
        <f t="shared" si="15"/>
        <v>0</v>
      </c>
      <c r="AB251" s="456">
        <v>0</v>
      </c>
      <c r="AC251" s="2"/>
      <c r="AD251" s="4"/>
      <c r="AE251" s="5"/>
      <c r="AF251" s="428"/>
    </row>
    <row r="252" spans="1:32" x14ac:dyDescent="0.25">
      <c r="A252" s="1" t="s">
        <v>2698</v>
      </c>
      <c r="B252" s="3" t="s">
        <v>1368</v>
      </c>
      <c r="C252" s="3" t="s">
        <v>1247</v>
      </c>
      <c r="D252" s="407" t="s">
        <v>1426</v>
      </c>
      <c r="E252" s="3" t="s">
        <v>2008</v>
      </c>
      <c r="F252" s="407" t="s">
        <v>4480</v>
      </c>
      <c r="G252" s="440" t="s">
        <v>4109</v>
      </c>
      <c r="H252" s="407" t="s">
        <v>4301</v>
      </c>
      <c r="I252" s="407" t="s">
        <v>3782</v>
      </c>
      <c r="J252" s="387" t="s">
        <v>4637</v>
      </c>
      <c r="K252" s="387">
        <v>2</v>
      </c>
      <c r="L252" s="387">
        <v>0</v>
      </c>
      <c r="M252" s="387">
        <f t="shared" si="12"/>
        <v>2</v>
      </c>
      <c r="N252" s="442">
        <f t="shared" si="13"/>
        <v>0</v>
      </c>
      <c r="O252" s="387" t="s">
        <v>1358</v>
      </c>
      <c r="P252" s="459">
        <v>0</v>
      </c>
      <c r="Q252" s="459"/>
      <c r="R252" s="456">
        <v>0</v>
      </c>
      <c r="S252" s="456">
        <v>56.338000000000001</v>
      </c>
      <c r="T252" s="410"/>
      <c r="U252" s="411">
        <v>0</v>
      </c>
      <c r="V252" s="411">
        <v>0</v>
      </c>
      <c r="W252" s="411">
        <v>0</v>
      </c>
      <c r="X252" s="411"/>
      <c r="Y252" s="411"/>
      <c r="Z252" s="412">
        <f t="shared" si="14"/>
        <v>0</v>
      </c>
      <c r="AA252" s="456">
        <f t="shared" si="15"/>
        <v>0</v>
      </c>
      <c r="AB252" s="456">
        <v>0</v>
      </c>
      <c r="AC252" s="2"/>
      <c r="AD252" s="4"/>
      <c r="AE252" s="5"/>
      <c r="AF252" s="428"/>
    </row>
    <row r="253" spans="1:32" x14ac:dyDescent="0.25">
      <c r="A253" s="1" t="s">
        <v>2699</v>
      </c>
      <c r="B253" s="3" t="s">
        <v>1368</v>
      </c>
      <c r="C253" s="3" t="s">
        <v>1247</v>
      </c>
      <c r="D253" s="407" t="s">
        <v>1428</v>
      </c>
      <c r="E253" s="3" t="s">
        <v>2009</v>
      </c>
      <c r="F253" s="407" t="s">
        <v>4486</v>
      </c>
      <c r="G253" s="440" t="s">
        <v>4109</v>
      </c>
      <c r="H253" s="407" t="s">
        <v>4307</v>
      </c>
      <c r="I253" s="407" t="s">
        <v>3788</v>
      </c>
      <c r="J253" s="387" t="s">
        <v>4639</v>
      </c>
      <c r="K253" s="387">
        <v>1</v>
      </c>
      <c r="L253" s="387">
        <v>0</v>
      </c>
      <c r="M253" s="387">
        <f t="shared" si="12"/>
        <v>1</v>
      </c>
      <c r="N253" s="442">
        <f t="shared" si="13"/>
        <v>0</v>
      </c>
      <c r="O253" s="387" t="s">
        <v>1358</v>
      </c>
      <c r="P253" s="459">
        <v>0</v>
      </c>
      <c r="Q253" s="459"/>
      <c r="R253" s="456">
        <v>0</v>
      </c>
      <c r="S253" s="456">
        <v>28.169</v>
      </c>
      <c r="T253" s="410"/>
      <c r="U253" s="411">
        <v>0</v>
      </c>
      <c r="V253" s="411">
        <v>0</v>
      </c>
      <c r="W253" s="411">
        <v>0</v>
      </c>
      <c r="X253" s="411"/>
      <c r="Y253" s="411"/>
      <c r="Z253" s="412">
        <f t="shared" si="14"/>
        <v>0</v>
      </c>
      <c r="AA253" s="456">
        <f t="shared" si="15"/>
        <v>0</v>
      </c>
      <c r="AB253" s="456">
        <v>0</v>
      </c>
      <c r="AC253" s="2"/>
      <c r="AD253" s="4"/>
      <c r="AE253" s="5"/>
      <c r="AF253" s="428"/>
    </row>
    <row r="254" spans="1:32" x14ac:dyDescent="0.25">
      <c r="A254" s="1" t="s">
        <v>2700</v>
      </c>
      <c r="B254" s="3" t="s">
        <v>1368</v>
      </c>
      <c r="C254" s="3" t="s">
        <v>1247</v>
      </c>
      <c r="D254" s="407" t="s">
        <v>1429</v>
      </c>
      <c r="E254" s="3" t="s">
        <v>2010</v>
      </c>
      <c r="F254" s="407" t="s">
        <v>4487</v>
      </c>
      <c r="G254" s="440" t="s">
        <v>4109</v>
      </c>
      <c r="H254" s="407" t="s">
        <v>4308</v>
      </c>
      <c r="I254" s="407" t="s">
        <v>3789</v>
      </c>
      <c r="J254" s="387" t="s">
        <v>4640</v>
      </c>
      <c r="K254" s="387">
        <v>1</v>
      </c>
      <c r="L254" s="387">
        <v>0</v>
      </c>
      <c r="M254" s="387">
        <f t="shared" si="12"/>
        <v>1</v>
      </c>
      <c r="N254" s="442">
        <f t="shared" si="13"/>
        <v>0</v>
      </c>
      <c r="O254" s="387" t="s">
        <v>1358</v>
      </c>
      <c r="P254" s="459">
        <v>0</v>
      </c>
      <c r="Q254" s="459"/>
      <c r="R254" s="456">
        <v>0</v>
      </c>
      <c r="S254" s="456">
        <v>28.169</v>
      </c>
      <c r="T254" s="410"/>
      <c r="U254" s="411">
        <v>0</v>
      </c>
      <c r="V254" s="411">
        <v>0</v>
      </c>
      <c r="W254" s="411">
        <v>0</v>
      </c>
      <c r="X254" s="411"/>
      <c r="Y254" s="411"/>
      <c r="Z254" s="412">
        <f t="shared" si="14"/>
        <v>0</v>
      </c>
      <c r="AA254" s="456">
        <f t="shared" si="15"/>
        <v>0</v>
      </c>
      <c r="AB254" s="456">
        <v>0</v>
      </c>
      <c r="AC254" s="2"/>
      <c r="AD254" s="4"/>
      <c r="AE254" s="5"/>
      <c r="AF254" s="428"/>
    </row>
    <row r="255" spans="1:32" x14ac:dyDescent="0.25">
      <c r="A255" s="1" t="s">
        <v>2701</v>
      </c>
      <c r="B255" s="3" t="s">
        <v>1368</v>
      </c>
      <c r="C255" s="3" t="s">
        <v>1247</v>
      </c>
      <c r="D255" s="407" t="s">
        <v>1430</v>
      </c>
      <c r="E255" s="3" t="s">
        <v>2011</v>
      </c>
      <c r="F255" s="407" t="s">
        <v>4488</v>
      </c>
      <c r="G255" s="440" t="s">
        <v>4109</v>
      </c>
      <c r="H255" s="407" t="s">
        <v>4309</v>
      </c>
      <c r="I255" s="407" t="s">
        <v>3790</v>
      </c>
      <c r="J255" s="387" t="s">
        <v>4641</v>
      </c>
      <c r="K255" s="387">
        <v>1</v>
      </c>
      <c r="L255" s="387">
        <v>0</v>
      </c>
      <c r="M255" s="387">
        <f t="shared" si="12"/>
        <v>1</v>
      </c>
      <c r="N255" s="442">
        <f t="shared" si="13"/>
        <v>0</v>
      </c>
      <c r="O255" s="387" t="s">
        <v>1358</v>
      </c>
      <c r="P255" s="459">
        <v>0</v>
      </c>
      <c r="Q255" s="459"/>
      <c r="R255" s="456">
        <v>0</v>
      </c>
      <c r="S255" s="456">
        <v>28.169</v>
      </c>
      <c r="T255" s="410"/>
      <c r="U255" s="411">
        <v>0</v>
      </c>
      <c r="V255" s="411">
        <v>0</v>
      </c>
      <c r="W255" s="411">
        <v>0</v>
      </c>
      <c r="X255" s="411"/>
      <c r="Y255" s="411"/>
      <c r="Z255" s="412">
        <f t="shared" si="14"/>
        <v>0</v>
      </c>
      <c r="AA255" s="456">
        <f t="shared" si="15"/>
        <v>0</v>
      </c>
      <c r="AB255" s="456">
        <v>0</v>
      </c>
      <c r="AC255" s="2"/>
      <c r="AD255" s="4"/>
      <c r="AE255" s="5"/>
      <c r="AF255" s="428"/>
    </row>
    <row r="256" spans="1:32" x14ac:dyDescent="0.25">
      <c r="A256" s="1" t="s">
        <v>2702</v>
      </c>
      <c r="B256" s="3" t="s">
        <v>1368</v>
      </c>
      <c r="C256" s="3" t="s">
        <v>1247</v>
      </c>
      <c r="D256" s="407" t="s">
        <v>1431</v>
      </c>
      <c r="E256" s="3" t="s">
        <v>2012</v>
      </c>
      <c r="F256" s="407" t="s">
        <v>4489</v>
      </c>
      <c r="G256" s="440" t="s">
        <v>4109</v>
      </c>
      <c r="H256" s="407" t="s">
        <v>4310</v>
      </c>
      <c r="I256" s="407" t="s">
        <v>3791</v>
      </c>
      <c r="J256" s="387" t="s">
        <v>4642</v>
      </c>
      <c r="K256" s="387">
        <v>1</v>
      </c>
      <c r="L256" s="387">
        <v>0</v>
      </c>
      <c r="M256" s="387">
        <f t="shared" si="12"/>
        <v>1</v>
      </c>
      <c r="N256" s="442">
        <f t="shared" si="13"/>
        <v>0</v>
      </c>
      <c r="O256" s="387" t="s">
        <v>1358</v>
      </c>
      <c r="P256" s="459">
        <v>0</v>
      </c>
      <c r="Q256" s="459"/>
      <c r="R256" s="456">
        <v>0</v>
      </c>
      <c r="S256" s="456">
        <v>28.169</v>
      </c>
      <c r="T256" s="410"/>
      <c r="U256" s="411">
        <v>0</v>
      </c>
      <c r="V256" s="411">
        <v>0</v>
      </c>
      <c r="W256" s="411">
        <v>0</v>
      </c>
      <c r="X256" s="411"/>
      <c r="Y256" s="411"/>
      <c r="Z256" s="412">
        <f t="shared" si="14"/>
        <v>0</v>
      </c>
      <c r="AA256" s="456">
        <f t="shared" si="15"/>
        <v>0</v>
      </c>
      <c r="AB256" s="456">
        <v>0</v>
      </c>
      <c r="AC256" s="2"/>
      <c r="AD256" s="4"/>
      <c r="AE256" s="5"/>
      <c r="AF256" s="428"/>
    </row>
    <row r="257" spans="1:32" x14ac:dyDescent="0.25">
      <c r="A257" s="1" t="s">
        <v>2703</v>
      </c>
      <c r="B257" s="3" t="s">
        <v>1368</v>
      </c>
      <c r="C257" s="3" t="s">
        <v>1247</v>
      </c>
      <c r="D257" s="407" t="s">
        <v>1433</v>
      </c>
      <c r="E257" s="3" t="s">
        <v>2013</v>
      </c>
      <c r="F257" s="407" t="s">
        <v>4490</v>
      </c>
      <c r="G257" s="440" t="s">
        <v>4109</v>
      </c>
      <c r="H257" s="407" t="s">
        <v>4311</v>
      </c>
      <c r="I257" s="407" t="s">
        <v>3792</v>
      </c>
      <c r="J257" s="387" t="s">
        <v>4644</v>
      </c>
      <c r="K257" s="387">
        <v>1</v>
      </c>
      <c r="L257" s="387">
        <v>0</v>
      </c>
      <c r="M257" s="387">
        <f t="shared" si="12"/>
        <v>1</v>
      </c>
      <c r="N257" s="442">
        <f t="shared" si="13"/>
        <v>0</v>
      </c>
      <c r="O257" s="387" t="s">
        <v>1358</v>
      </c>
      <c r="P257" s="459">
        <v>0</v>
      </c>
      <c r="Q257" s="459"/>
      <c r="R257" s="456">
        <v>0</v>
      </c>
      <c r="S257" s="456">
        <v>28.169</v>
      </c>
      <c r="T257" s="410"/>
      <c r="U257" s="411">
        <v>0</v>
      </c>
      <c r="V257" s="411">
        <v>0</v>
      </c>
      <c r="W257" s="411">
        <v>0</v>
      </c>
      <c r="X257" s="411"/>
      <c r="Y257" s="411"/>
      <c r="Z257" s="412">
        <f t="shared" si="14"/>
        <v>0</v>
      </c>
      <c r="AA257" s="456">
        <f t="shared" si="15"/>
        <v>0</v>
      </c>
      <c r="AB257" s="456">
        <v>0</v>
      </c>
      <c r="AC257" s="2"/>
      <c r="AD257" s="4"/>
      <c r="AE257" s="5"/>
      <c r="AF257" s="428"/>
    </row>
    <row r="258" spans="1:32" x14ac:dyDescent="0.25">
      <c r="A258" s="1" t="s">
        <v>2704</v>
      </c>
      <c r="B258" s="3" t="s">
        <v>1368</v>
      </c>
      <c r="C258" s="3" t="s">
        <v>1247</v>
      </c>
      <c r="D258" s="407" t="s">
        <v>3306</v>
      </c>
      <c r="E258" s="3" t="s">
        <v>2014</v>
      </c>
      <c r="F258" s="407" t="s">
        <v>4484</v>
      </c>
      <c r="G258" s="440" t="s">
        <v>4109</v>
      </c>
      <c r="H258" s="407" t="s">
        <v>4305</v>
      </c>
      <c r="I258" s="407" t="s">
        <v>3786</v>
      </c>
      <c r="J258" s="387" t="s">
        <v>4636</v>
      </c>
      <c r="K258" s="387">
        <v>1</v>
      </c>
      <c r="L258" s="387">
        <v>0</v>
      </c>
      <c r="M258" s="387">
        <f t="shared" si="12"/>
        <v>1</v>
      </c>
      <c r="N258" s="442">
        <f t="shared" si="13"/>
        <v>0</v>
      </c>
      <c r="O258" s="387" t="s">
        <v>1358</v>
      </c>
      <c r="P258" s="459">
        <v>0</v>
      </c>
      <c r="Q258" s="459"/>
      <c r="R258" s="456">
        <v>0</v>
      </c>
      <c r="S258" s="456">
        <v>21.344999999999999</v>
      </c>
      <c r="T258" s="410"/>
      <c r="U258" s="411">
        <v>0</v>
      </c>
      <c r="V258" s="411">
        <v>0</v>
      </c>
      <c r="W258" s="411">
        <v>0</v>
      </c>
      <c r="X258" s="411"/>
      <c r="Y258" s="411"/>
      <c r="Z258" s="412">
        <f t="shared" si="14"/>
        <v>0</v>
      </c>
      <c r="AA258" s="456">
        <f t="shared" si="15"/>
        <v>0</v>
      </c>
      <c r="AB258" s="456">
        <v>0</v>
      </c>
      <c r="AC258" s="2"/>
      <c r="AD258" s="4"/>
      <c r="AE258" s="5"/>
      <c r="AF258" s="428"/>
    </row>
    <row r="259" spans="1:32" x14ac:dyDescent="0.25">
      <c r="A259" s="1" t="s">
        <v>2705</v>
      </c>
      <c r="B259" s="3" t="s">
        <v>1368</v>
      </c>
      <c r="C259" s="3" t="s">
        <v>1247</v>
      </c>
      <c r="D259" s="407" t="s">
        <v>3294</v>
      </c>
      <c r="E259" s="3" t="s">
        <v>2015</v>
      </c>
      <c r="F259" s="407" t="s">
        <v>4500</v>
      </c>
      <c r="G259" s="440" t="s">
        <v>4109</v>
      </c>
      <c r="H259" s="407" t="s">
        <v>4321</v>
      </c>
      <c r="I259" s="407" t="s">
        <v>3755</v>
      </c>
      <c r="J259" s="387" t="s">
        <v>4654</v>
      </c>
      <c r="K259" s="387">
        <v>1</v>
      </c>
      <c r="L259" s="387">
        <v>0</v>
      </c>
      <c r="M259" s="387">
        <f t="shared" si="12"/>
        <v>1</v>
      </c>
      <c r="N259" s="442">
        <f t="shared" si="13"/>
        <v>0</v>
      </c>
      <c r="O259" s="387" t="s">
        <v>1358</v>
      </c>
      <c r="P259" s="459">
        <v>0</v>
      </c>
      <c r="Q259" s="459"/>
      <c r="R259" s="456">
        <v>0</v>
      </c>
      <c r="S259" s="456">
        <v>25.097999999999999</v>
      </c>
      <c r="T259" s="410"/>
      <c r="U259" s="411">
        <v>1</v>
      </c>
      <c r="V259" s="411">
        <v>1</v>
      </c>
      <c r="W259" s="411">
        <v>1</v>
      </c>
      <c r="X259" s="411"/>
      <c r="Y259" s="411"/>
      <c r="Z259" s="412">
        <f t="shared" si="14"/>
        <v>0</v>
      </c>
      <c r="AA259" s="456">
        <f t="shared" si="15"/>
        <v>0</v>
      </c>
      <c r="AB259" s="456">
        <v>0</v>
      </c>
      <c r="AC259" s="2"/>
      <c r="AD259" s="4"/>
      <c r="AE259" s="5"/>
      <c r="AF259" s="428"/>
    </row>
    <row r="260" spans="1:32" x14ac:dyDescent="0.25">
      <c r="A260" s="1" t="s">
        <v>2706</v>
      </c>
      <c r="B260" s="3" t="s">
        <v>1368</v>
      </c>
      <c r="C260" s="3" t="s">
        <v>1247</v>
      </c>
      <c r="D260" s="407" t="s">
        <v>1374</v>
      </c>
      <c r="E260" s="3" t="s">
        <v>2016</v>
      </c>
      <c r="F260" s="407" t="s">
        <v>4495</v>
      </c>
      <c r="G260" s="440" t="s">
        <v>4109</v>
      </c>
      <c r="H260" s="407" t="s">
        <v>4316</v>
      </c>
      <c r="I260" s="407" t="s">
        <v>3757</v>
      </c>
      <c r="J260" s="387" t="s">
        <v>4665</v>
      </c>
      <c r="K260" s="387">
        <v>2</v>
      </c>
      <c r="L260" s="387">
        <v>0</v>
      </c>
      <c r="M260" s="387">
        <f t="shared" si="12"/>
        <v>2</v>
      </c>
      <c r="N260" s="442">
        <f t="shared" si="13"/>
        <v>0</v>
      </c>
      <c r="O260" s="387" t="s">
        <v>1358</v>
      </c>
      <c r="P260" s="459">
        <v>0</v>
      </c>
      <c r="Q260" s="459"/>
      <c r="R260" s="456">
        <v>0</v>
      </c>
      <c r="S260" s="456">
        <v>51.7</v>
      </c>
      <c r="T260" s="410"/>
      <c r="U260" s="411">
        <v>1</v>
      </c>
      <c r="V260" s="411">
        <v>1</v>
      </c>
      <c r="W260" s="411">
        <v>1</v>
      </c>
      <c r="X260" s="411"/>
      <c r="Y260" s="411"/>
      <c r="Z260" s="412">
        <f t="shared" si="14"/>
        <v>0</v>
      </c>
      <c r="AA260" s="456">
        <f t="shared" si="15"/>
        <v>0</v>
      </c>
      <c r="AB260" s="456">
        <v>0</v>
      </c>
      <c r="AC260" s="2"/>
      <c r="AD260" s="4"/>
      <c r="AE260" s="5"/>
      <c r="AF260" s="428"/>
    </row>
    <row r="261" spans="1:32" x14ac:dyDescent="0.25">
      <c r="A261" s="1" t="s">
        <v>2707</v>
      </c>
      <c r="B261" s="3" t="s">
        <v>1368</v>
      </c>
      <c r="C261" s="3" t="s">
        <v>1247</v>
      </c>
      <c r="D261" s="407" t="s">
        <v>1377</v>
      </c>
      <c r="E261" s="3" t="s">
        <v>2017</v>
      </c>
      <c r="F261" s="407" t="s">
        <v>4494</v>
      </c>
      <c r="G261" s="440" t="s">
        <v>4109</v>
      </c>
      <c r="H261" s="407" t="s">
        <v>4315</v>
      </c>
      <c r="I261" s="407" t="s">
        <v>3749</v>
      </c>
      <c r="J261" s="387" t="s">
        <v>4648</v>
      </c>
      <c r="K261" s="387">
        <v>1</v>
      </c>
      <c r="L261" s="387">
        <v>0</v>
      </c>
      <c r="M261" s="387">
        <f t="shared" si="12"/>
        <v>1</v>
      </c>
      <c r="N261" s="442">
        <f t="shared" si="13"/>
        <v>0</v>
      </c>
      <c r="O261" s="387" t="s">
        <v>1358</v>
      </c>
      <c r="P261" s="459">
        <v>0</v>
      </c>
      <c r="Q261" s="459"/>
      <c r="R261" s="456">
        <v>0</v>
      </c>
      <c r="S261" s="456">
        <v>25.85</v>
      </c>
      <c r="T261" s="410"/>
      <c r="U261" s="411">
        <v>1</v>
      </c>
      <c r="V261" s="411">
        <v>1</v>
      </c>
      <c r="W261" s="411">
        <v>1</v>
      </c>
      <c r="X261" s="411"/>
      <c r="Y261" s="411"/>
      <c r="Z261" s="412">
        <f t="shared" si="14"/>
        <v>0</v>
      </c>
      <c r="AA261" s="456">
        <f t="shared" si="15"/>
        <v>0</v>
      </c>
      <c r="AB261" s="456">
        <v>0</v>
      </c>
      <c r="AC261" s="2"/>
      <c r="AD261" s="4"/>
      <c r="AE261" s="5"/>
      <c r="AF261" s="428"/>
    </row>
    <row r="262" spans="1:32" x14ac:dyDescent="0.25">
      <c r="A262" s="1" t="s">
        <v>2708</v>
      </c>
      <c r="B262" s="3" t="s">
        <v>1368</v>
      </c>
      <c r="C262" s="3" t="s">
        <v>1247</v>
      </c>
      <c r="D262" s="407" t="s">
        <v>1379</v>
      </c>
      <c r="E262" s="3" t="s">
        <v>2018</v>
      </c>
      <c r="F262" s="407" t="s">
        <v>4502</v>
      </c>
      <c r="G262" s="440" t="s">
        <v>4109</v>
      </c>
      <c r="H262" s="407" t="s">
        <v>4323</v>
      </c>
      <c r="I262" s="407" t="s">
        <v>3750</v>
      </c>
      <c r="J262" s="387" t="s">
        <v>4632</v>
      </c>
      <c r="K262" s="387">
        <v>1</v>
      </c>
      <c r="L262" s="387">
        <v>0</v>
      </c>
      <c r="M262" s="387">
        <f t="shared" si="12"/>
        <v>1</v>
      </c>
      <c r="N262" s="442">
        <f t="shared" si="13"/>
        <v>0</v>
      </c>
      <c r="O262" s="387" t="s">
        <v>1358</v>
      </c>
      <c r="P262" s="459">
        <v>0</v>
      </c>
      <c r="Q262" s="459"/>
      <c r="R262" s="456">
        <v>0</v>
      </c>
      <c r="S262" s="456">
        <v>25.85</v>
      </c>
      <c r="T262" s="410"/>
      <c r="U262" s="411">
        <v>1</v>
      </c>
      <c r="V262" s="411">
        <v>1</v>
      </c>
      <c r="W262" s="411">
        <v>1</v>
      </c>
      <c r="X262" s="411"/>
      <c r="Y262" s="411"/>
      <c r="Z262" s="412">
        <f t="shared" si="14"/>
        <v>0</v>
      </c>
      <c r="AA262" s="456">
        <f t="shared" si="15"/>
        <v>0</v>
      </c>
      <c r="AB262" s="456">
        <v>0</v>
      </c>
      <c r="AC262" s="2"/>
      <c r="AD262" s="4"/>
      <c r="AE262" s="5"/>
      <c r="AF262" s="428"/>
    </row>
    <row r="263" spans="1:32" x14ac:dyDescent="0.25">
      <c r="A263" s="1" t="s">
        <v>2709</v>
      </c>
      <c r="B263" s="3" t="s">
        <v>1368</v>
      </c>
      <c r="C263" s="3" t="s">
        <v>1247</v>
      </c>
      <c r="D263" s="407" t="s">
        <v>1381</v>
      </c>
      <c r="E263" s="3" t="s">
        <v>2019</v>
      </c>
      <c r="F263" s="407" t="s">
        <v>4497</v>
      </c>
      <c r="G263" s="440" t="s">
        <v>4109</v>
      </c>
      <c r="H263" s="407" t="s">
        <v>4318</v>
      </c>
      <c r="I263" s="407" t="s">
        <v>3751</v>
      </c>
      <c r="J263" s="387" t="s">
        <v>4631</v>
      </c>
      <c r="K263" s="387">
        <v>1</v>
      </c>
      <c r="L263" s="387">
        <v>0</v>
      </c>
      <c r="M263" s="387">
        <f t="shared" si="12"/>
        <v>1</v>
      </c>
      <c r="N263" s="442">
        <f t="shared" si="13"/>
        <v>0</v>
      </c>
      <c r="O263" s="387" t="s">
        <v>1358</v>
      </c>
      <c r="P263" s="459">
        <v>0</v>
      </c>
      <c r="Q263" s="459"/>
      <c r="R263" s="456">
        <v>0</v>
      </c>
      <c r="S263" s="456">
        <v>25.850999999999999</v>
      </c>
      <c r="T263" s="410"/>
      <c r="U263" s="411">
        <v>1</v>
      </c>
      <c r="V263" s="411">
        <v>1</v>
      </c>
      <c r="W263" s="411">
        <v>1</v>
      </c>
      <c r="X263" s="411"/>
      <c r="Y263" s="411"/>
      <c r="Z263" s="412">
        <f t="shared" si="14"/>
        <v>0</v>
      </c>
      <c r="AA263" s="456">
        <f t="shared" si="15"/>
        <v>0</v>
      </c>
      <c r="AB263" s="456">
        <v>0</v>
      </c>
      <c r="AC263" s="2"/>
      <c r="AD263" s="4"/>
      <c r="AE263" s="5"/>
      <c r="AF263" s="428"/>
    </row>
    <row r="264" spans="1:32" x14ac:dyDescent="0.25">
      <c r="A264" s="1" t="s">
        <v>2710</v>
      </c>
      <c r="B264" s="3" t="s">
        <v>1368</v>
      </c>
      <c r="C264" s="3" t="s">
        <v>1247</v>
      </c>
      <c r="D264" s="407" t="s">
        <v>1396</v>
      </c>
      <c r="E264" s="3" t="s">
        <v>2020</v>
      </c>
      <c r="F264" s="407" t="s">
        <v>4498</v>
      </c>
      <c r="G264" s="440" t="s">
        <v>4109</v>
      </c>
      <c r="H264" s="407" t="s">
        <v>4319</v>
      </c>
      <c r="I264" s="407" t="s">
        <v>3752</v>
      </c>
      <c r="J264" s="387" t="s">
        <v>4652</v>
      </c>
      <c r="K264" s="387">
        <v>1</v>
      </c>
      <c r="L264" s="387">
        <v>0</v>
      </c>
      <c r="M264" s="387">
        <f t="shared" si="12"/>
        <v>1</v>
      </c>
      <c r="N264" s="442">
        <f t="shared" si="13"/>
        <v>0</v>
      </c>
      <c r="O264" s="387" t="s">
        <v>1358</v>
      </c>
      <c r="P264" s="459">
        <v>0</v>
      </c>
      <c r="Q264" s="459"/>
      <c r="R264" s="456">
        <v>0</v>
      </c>
      <c r="S264" s="456">
        <v>25.850999999999999</v>
      </c>
      <c r="T264" s="410"/>
      <c r="U264" s="411">
        <v>1</v>
      </c>
      <c r="V264" s="411">
        <v>1</v>
      </c>
      <c r="W264" s="411">
        <v>1</v>
      </c>
      <c r="X264" s="411"/>
      <c r="Y264" s="411"/>
      <c r="Z264" s="412">
        <f t="shared" si="14"/>
        <v>0</v>
      </c>
      <c r="AA264" s="456">
        <f t="shared" si="15"/>
        <v>0</v>
      </c>
      <c r="AB264" s="456">
        <v>0</v>
      </c>
      <c r="AC264" s="2"/>
      <c r="AD264" s="4"/>
      <c r="AE264" s="5"/>
      <c r="AF264" s="428"/>
    </row>
    <row r="265" spans="1:32" x14ac:dyDescent="0.25">
      <c r="A265" s="1" t="s">
        <v>2711</v>
      </c>
      <c r="B265" s="3" t="s">
        <v>1368</v>
      </c>
      <c r="C265" s="3" t="s">
        <v>1247</v>
      </c>
      <c r="D265" s="407" t="s">
        <v>1399</v>
      </c>
      <c r="E265" s="3" t="s">
        <v>2021</v>
      </c>
      <c r="F265" s="407" t="s">
        <v>4499</v>
      </c>
      <c r="G265" s="440" t="s">
        <v>4109</v>
      </c>
      <c r="H265" s="407" t="s">
        <v>4320</v>
      </c>
      <c r="I265" s="407" t="s">
        <v>3758</v>
      </c>
      <c r="J265" s="387" t="s">
        <v>4653</v>
      </c>
      <c r="K265" s="387">
        <v>1</v>
      </c>
      <c r="L265" s="387">
        <v>0</v>
      </c>
      <c r="M265" s="387">
        <f t="shared" si="12"/>
        <v>1</v>
      </c>
      <c r="N265" s="442">
        <f t="shared" si="13"/>
        <v>0</v>
      </c>
      <c r="O265" s="387" t="s">
        <v>1358</v>
      </c>
      <c r="P265" s="459">
        <v>0</v>
      </c>
      <c r="Q265" s="459"/>
      <c r="R265" s="456">
        <v>0</v>
      </c>
      <c r="S265" s="456">
        <v>25.850999999999999</v>
      </c>
      <c r="T265" s="410"/>
      <c r="U265" s="411">
        <v>1</v>
      </c>
      <c r="V265" s="411">
        <v>1</v>
      </c>
      <c r="W265" s="411">
        <v>1</v>
      </c>
      <c r="X265" s="411"/>
      <c r="Y265" s="411"/>
      <c r="Z265" s="412">
        <f t="shared" si="14"/>
        <v>0</v>
      </c>
      <c r="AA265" s="456">
        <f t="shared" si="15"/>
        <v>0</v>
      </c>
      <c r="AB265" s="456">
        <v>0</v>
      </c>
      <c r="AC265" s="2"/>
      <c r="AD265" s="4"/>
      <c r="AE265" s="5"/>
      <c r="AF265" s="428"/>
    </row>
    <row r="266" spans="1:32" x14ac:dyDescent="0.25">
      <c r="A266" s="1" t="s">
        <v>2712</v>
      </c>
      <c r="B266" s="3" t="s">
        <v>1368</v>
      </c>
      <c r="C266" s="3" t="s">
        <v>1247</v>
      </c>
      <c r="D266" s="407" t="s">
        <v>1400</v>
      </c>
      <c r="E266" s="3" t="s">
        <v>2022</v>
      </c>
      <c r="F266" s="407" t="s">
        <v>4477</v>
      </c>
      <c r="G266" s="440" t="s">
        <v>4109</v>
      </c>
      <c r="H266" s="407" t="s">
        <v>4298</v>
      </c>
      <c r="I266" s="407" t="s">
        <v>3779</v>
      </c>
      <c r="J266" s="387" t="s">
        <v>4656</v>
      </c>
      <c r="K266" s="387">
        <v>1</v>
      </c>
      <c r="L266" s="387">
        <v>0</v>
      </c>
      <c r="M266" s="387">
        <f t="shared" si="12"/>
        <v>1</v>
      </c>
      <c r="N266" s="442">
        <f t="shared" si="13"/>
        <v>0</v>
      </c>
      <c r="O266" s="387" t="s">
        <v>1358</v>
      </c>
      <c r="P266" s="459">
        <v>0</v>
      </c>
      <c r="Q266" s="459"/>
      <c r="R266" s="456">
        <v>0</v>
      </c>
      <c r="S266" s="456">
        <v>25.850999999999999</v>
      </c>
      <c r="T266" s="410"/>
      <c r="U266" s="411">
        <v>0</v>
      </c>
      <c r="V266" s="411">
        <v>0</v>
      </c>
      <c r="W266" s="411">
        <v>0</v>
      </c>
      <c r="X266" s="411"/>
      <c r="Y266" s="411"/>
      <c r="Z266" s="412">
        <f t="shared" si="14"/>
        <v>0</v>
      </c>
      <c r="AA266" s="456">
        <f t="shared" si="15"/>
        <v>0</v>
      </c>
      <c r="AB266" s="456">
        <v>0</v>
      </c>
      <c r="AC266" s="2"/>
      <c r="AD266" s="4"/>
      <c r="AE266" s="5"/>
      <c r="AF266" s="428"/>
    </row>
    <row r="267" spans="1:32" x14ac:dyDescent="0.25">
      <c r="A267" s="1" t="s">
        <v>2713</v>
      </c>
      <c r="B267" s="3" t="s">
        <v>1368</v>
      </c>
      <c r="C267" s="3" t="s">
        <v>1247</v>
      </c>
      <c r="D267" s="407" t="s">
        <v>1401</v>
      </c>
      <c r="E267" s="3" t="s">
        <v>2023</v>
      </c>
      <c r="F267" s="407" t="s">
        <v>4478</v>
      </c>
      <c r="G267" s="440" t="s">
        <v>4109</v>
      </c>
      <c r="H267" s="407" t="s">
        <v>4299</v>
      </c>
      <c r="I267" s="407" t="s">
        <v>3780</v>
      </c>
      <c r="J267" s="387" t="s">
        <v>4657</v>
      </c>
      <c r="K267" s="387">
        <v>2</v>
      </c>
      <c r="L267" s="387">
        <v>0</v>
      </c>
      <c r="M267" s="387">
        <f t="shared" ref="M267:M330" si="16">K267+L267</f>
        <v>2</v>
      </c>
      <c r="N267" s="442">
        <f t="shared" ref="N267:N330" si="17">K267*Z267</f>
        <v>0</v>
      </c>
      <c r="O267" s="387" t="s">
        <v>1358</v>
      </c>
      <c r="P267" s="459">
        <v>0</v>
      </c>
      <c r="Q267" s="459"/>
      <c r="R267" s="456">
        <v>0</v>
      </c>
      <c r="S267" s="456">
        <v>37.506</v>
      </c>
      <c r="T267" s="410"/>
      <c r="U267" s="411">
        <v>0</v>
      </c>
      <c r="V267" s="411">
        <v>0</v>
      </c>
      <c r="W267" s="411">
        <v>0</v>
      </c>
      <c r="X267" s="411"/>
      <c r="Y267" s="411"/>
      <c r="Z267" s="412">
        <f t="shared" ref="Z267:Z330" si="18">AA267/S267</f>
        <v>0</v>
      </c>
      <c r="AA267" s="456">
        <f t="shared" ref="AA267:AA330" si="19">(U267*U$368*S267)+(V267*V$368*S267)+(W267*W$368*S267)</f>
        <v>0</v>
      </c>
      <c r="AB267" s="456">
        <v>0</v>
      </c>
      <c r="AC267" s="2"/>
      <c r="AD267" s="4"/>
      <c r="AE267" s="5"/>
      <c r="AF267" s="428"/>
    </row>
    <row r="268" spans="1:32" x14ac:dyDescent="0.25">
      <c r="A268" s="1" t="s">
        <v>2714</v>
      </c>
      <c r="B268" s="3" t="s">
        <v>1368</v>
      </c>
      <c r="C268" s="3" t="s">
        <v>1247</v>
      </c>
      <c r="D268" s="407" t="s">
        <v>3294</v>
      </c>
      <c r="E268" s="3" t="s">
        <v>2024</v>
      </c>
      <c r="F268" s="407" t="s">
        <v>4500</v>
      </c>
      <c r="G268" s="440" t="s">
        <v>4109</v>
      </c>
      <c r="H268" s="407" t="s">
        <v>4321</v>
      </c>
      <c r="I268" s="407" t="s">
        <v>3755</v>
      </c>
      <c r="J268" s="387" t="s">
        <v>4654</v>
      </c>
      <c r="K268" s="387">
        <v>1</v>
      </c>
      <c r="L268" s="387">
        <v>0</v>
      </c>
      <c r="M268" s="387">
        <f t="shared" si="16"/>
        <v>1</v>
      </c>
      <c r="N268" s="442">
        <f t="shared" si="17"/>
        <v>0</v>
      </c>
      <c r="O268" s="387" t="s">
        <v>1358</v>
      </c>
      <c r="P268" s="459">
        <v>0</v>
      </c>
      <c r="Q268" s="459"/>
      <c r="R268" s="456">
        <v>0</v>
      </c>
      <c r="S268" s="456">
        <v>25.097999999999999</v>
      </c>
      <c r="T268" s="410"/>
      <c r="U268" s="411">
        <v>1</v>
      </c>
      <c r="V268" s="411">
        <v>1</v>
      </c>
      <c r="W268" s="411">
        <v>1</v>
      </c>
      <c r="X268" s="411"/>
      <c r="Y268" s="411"/>
      <c r="Z268" s="412">
        <f t="shared" si="18"/>
        <v>0</v>
      </c>
      <c r="AA268" s="456">
        <f t="shared" si="19"/>
        <v>0</v>
      </c>
      <c r="AB268" s="456">
        <v>0</v>
      </c>
      <c r="AC268" s="2"/>
      <c r="AD268" s="4"/>
      <c r="AE268" s="5"/>
      <c r="AF268" s="428"/>
    </row>
    <row r="269" spans="1:32" x14ac:dyDescent="0.25">
      <c r="A269" s="1" t="s">
        <v>2715</v>
      </c>
      <c r="B269" s="3" t="s">
        <v>1368</v>
      </c>
      <c r="C269" s="3" t="s">
        <v>1247</v>
      </c>
      <c r="D269" s="407" t="s">
        <v>1374</v>
      </c>
      <c r="E269" s="3" t="s">
        <v>2025</v>
      </c>
      <c r="F269" s="407" t="s">
        <v>4495</v>
      </c>
      <c r="G269" s="440" t="s">
        <v>4109</v>
      </c>
      <c r="H269" s="407" t="s">
        <v>4316</v>
      </c>
      <c r="I269" s="407" t="s">
        <v>3757</v>
      </c>
      <c r="J269" s="387" t="s">
        <v>4665</v>
      </c>
      <c r="K269" s="387">
        <v>2</v>
      </c>
      <c r="L269" s="387">
        <v>0</v>
      </c>
      <c r="M269" s="387">
        <f t="shared" si="16"/>
        <v>2</v>
      </c>
      <c r="N269" s="442">
        <f t="shared" si="17"/>
        <v>0</v>
      </c>
      <c r="O269" s="387" t="s">
        <v>1358</v>
      </c>
      <c r="P269" s="459">
        <v>0</v>
      </c>
      <c r="Q269" s="459"/>
      <c r="R269" s="456">
        <v>0</v>
      </c>
      <c r="S269" s="456">
        <v>50.14</v>
      </c>
      <c r="T269" s="410"/>
      <c r="U269" s="411">
        <v>1</v>
      </c>
      <c r="V269" s="411">
        <v>1</v>
      </c>
      <c r="W269" s="411">
        <v>1</v>
      </c>
      <c r="X269" s="411"/>
      <c r="Y269" s="411"/>
      <c r="Z269" s="412">
        <f t="shared" si="18"/>
        <v>0</v>
      </c>
      <c r="AA269" s="456">
        <f t="shared" si="19"/>
        <v>0</v>
      </c>
      <c r="AB269" s="456">
        <v>0</v>
      </c>
      <c r="AC269" s="2"/>
      <c r="AD269" s="4"/>
      <c r="AE269" s="5"/>
      <c r="AF269" s="428"/>
    </row>
    <row r="270" spans="1:32" x14ac:dyDescent="0.25">
      <c r="A270" s="1" t="s">
        <v>2716</v>
      </c>
      <c r="B270" s="3" t="s">
        <v>1368</v>
      </c>
      <c r="C270" s="3" t="s">
        <v>1247</v>
      </c>
      <c r="D270" s="407" t="s">
        <v>1377</v>
      </c>
      <c r="E270" s="3" t="s">
        <v>2026</v>
      </c>
      <c r="F270" s="407" t="s">
        <v>4494</v>
      </c>
      <c r="G270" s="440" t="s">
        <v>4109</v>
      </c>
      <c r="H270" s="407" t="s">
        <v>4315</v>
      </c>
      <c r="I270" s="407" t="s">
        <v>3749</v>
      </c>
      <c r="J270" s="387" t="s">
        <v>4648</v>
      </c>
      <c r="K270" s="387">
        <v>1</v>
      </c>
      <c r="L270" s="387">
        <v>0</v>
      </c>
      <c r="M270" s="387">
        <f t="shared" si="16"/>
        <v>1</v>
      </c>
      <c r="N270" s="442">
        <f t="shared" si="17"/>
        <v>0</v>
      </c>
      <c r="O270" s="387" t="s">
        <v>1358</v>
      </c>
      <c r="P270" s="459">
        <v>0</v>
      </c>
      <c r="Q270" s="459"/>
      <c r="R270" s="456">
        <v>0</v>
      </c>
      <c r="S270" s="456">
        <v>25.07</v>
      </c>
      <c r="T270" s="410"/>
      <c r="U270" s="411">
        <v>1</v>
      </c>
      <c r="V270" s="411">
        <v>1</v>
      </c>
      <c r="W270" s="411">
        <v>1</v>
      </c>
      <c r="X270" s="411"/>
      <c r="Y270" s="411"/>
      <c r="Z270" s="412">
        <f t="shared" si="18"/>
        <v>0</v>
      </c>
      <c r="AA270" s="456">
        <f t="shared" si="19"/>
        <v>0</v>
      </c>
      <c r="AB270" s="456">
        <v>0</v>
      </c>
      <c r="AC270" s="2"/>
      <c r="AD270" s="4"/>
      <c r="AE270" s="5"/>
      <c r="AF270" s="428"/>
    </row>
    <row r="271" spans="1:32" x14ac:dyDescent="0.25">
      <c r="A271" s="1" t="s">
        <v>2717</v>
      </c>
      <c r="B271" s="3" t="s">
        <v>1368</v>
      </c>
      <c r="C271" s="3" t="s">
        <v>1247</v>
      </c>
      <c r="D271" s="407" t="s">
        <v>1379</v>
      </c>
      <c r="E271" s="3" t="s">
        <v>2027</v>
      </c>
      <c r="F271" s="407" t="s">
        <v>4502</v>
      </c>
      <c r="G271" s="440" t="s">
        <v>4109</v>
      </c>
      <c r="H271" s="407" t="s">
        <v>4323</v>
      </c>
      <c r="I271" s="407" t="s">
        <v>3750</v>
      </c>
      <c r="J271" s="387" t="s">
        <v>4632</v>
      </c>
      <c r="K271" s="387">
        <v>1</v>
      </c>
      <c r="L271" s="387">
        <v>0</v>
      </c>
      <c r="M271" s="387">
        <f t="shared" si="16"/>
        <v>1</v>
      </c>
      <c r="N271" s="442">
        <f t="shared" si="17"/>
        <v>0</v>
      </c>
      <c r="O271" s="387" t="s">
        <v>1358</v>
      </c>
      <c r="P271" s="459">
        <v>0</v>
      </c>
      <c r="Q271" s="459"/>
      <c r="R271" s="456">
        <v>0</v>
      </c>
      <c r="S271" s="456">
        <v>25.07</v>
      </c>
      <c r="T271" s="410"/>
      <c r="U271" s="411">
        <v>1</v>
      </c>
      <c r="V271" s="411">
        <v>1</v>
      </c>
      <c r="W271" s="411">
        <v>1</v>
      </c>
      <c r="X271" s="411"/>
      <c r="Y271" s="411"/>
      <c r="Z271" s="412">
        <f t="shared" si="18"/>
        <v>0</v>
      </c>
      <c r="AA271" s="456">
        <f t="shared" si="19"/>
        <v>0</v>
      </c>
      <c r="AB271" s="456">
        <v>0</v>
      </c>
      <c r="AC271" s="2"/>
      <c r="AD271" s="4"/>
      <c r="AE271" s="5"/>
      <c r="AF271" s="428"/>
    </row>
    <row r="272" spans="1:32" x14ac:dyDescent="0.25">
      <c r="A272" s="1" t="s">
        <v>2718</v>
      </c>
      <c r="B272" s="3" t="s">
        <v>1368</v>
      </c>
      <c r="C272" s="3" t="s">
        <v>1247</v>
      </c>
      <c r="D272" s="407" t="s">
        <v>1381</v>
      </c>
      <c r="E272" s="3" t="s">
        <v>2028</v>
      </c>
      <c r="F272" s="407" t="s">
        <v>4497</v>
      </c>
      <c r="G272" s="440" t="s">
        <v>4109</v>
      </c>
      <c r="H272" s="407" t="s">
        <v>4318</v>
      </c>
      <c r="I272" s="407" t="s">
        <v>3751</v>
      </c>
      <c r="J272" s="387" t="s">
        <v>4631</v>
      </c>
      <c r="K272" s="387">
        <v>1</v>
      </c>
      <c r="L272" s="387">
        <v>0</v>
      </c>
      <c r="M272" s="387">
        <f t="shared" si="16"/>
        <v>1</v>
      </c>
      <c r="N272" s="442">
        <f t="shared" si="17"/>
        <v>0</v>
      </c>
      <c r="O272" s="387" t="s">
        <v>1358</v>
      </c>
      <c r="P272" s="459">
        <v>0</v>
      </c>
      <c r="Q272" s="459"/>
      <c r="R272" s="456">
        <v>0</v>
      </c>
      <c r="S272" s="456">
        <v>25.07</v>
      </c>
      <c r="T272" s="410"/>
      <c r="U272" s="411">
        <v>1</v>
      </c>
      <c r="V272" s="411">
        <v>1</v>
      </c>
      <c r="W272" s="411">
        <v>1</v>
      </c>
      <c r="X272" s="411"/>
      <c r="Y272" s="411"/>
      <c r="Z272" s="412">
        <f t="shared" si="18"/>
        <v>0</v>
      </c>
      <c r="AA272" s="456">
        <f t="shared" si="19"/>
        <v>0</v>
      </c>
      <c r="AB272" s="456">
        <v>0</v>
      </c>
      <c r="AC272" s="2"/>
      <c r="AD272" s="4"/>
      <c r="AE272" s="5"/>
      <c r="AF272" s="428"/>
    </row>
    <row r="273" spans="1:32" x14ac:dyDescent="0.25">
      <c r="A273" s="1" t="s">
        <v>2719</v>
      </c>
      <c r="B273" s="3" t="s">
        <v>1368</v>
      </c>
      <c r="C273" s="3" t="s">
        <v>1247</v>
      </c>
      <c r="D273" s="407" t="s">
        <v>1396</v>
      </c>
      <c r="E273" s="3" t="s">
        <v>2029</v>
      </c>
      <c r="F273" s="407" t="s">
        <v>4498</v>
      </c>
      <c r="G273" s="440" t="s">
        <v>4109</v>
      </c>
      <c r="H273" s="407" t="s">
        <v>4319</v>
      </c>
      <c r="I273" s="407" t="s">
        <v>3752</v>
      </c>
      <c r="J273" s="387" t="s">
        <v>4652</v>
      </c>
      <c r="K273" s="387">
        <v>1</v>
      </c>
      <c r="L273" s="387">
        <v>0</v>
      </c>
      <c r="M273" s="387">
        <f t="shared" si="16"/>
        <v>1</v>
      </c>
      <c r="N273" s="442">
        <f t="shared" si="17"/>
        <v>0</v>
      </c>
      <c r="O273" s="387" t="s">
        <v>1358</v>
      </c>
      <c r="P273" s="459">
        <v>0</v>
      </c>
      <c r="Q273" s="459"/>
      <c r="R273" s="456">
        <v>0</v>
      </c>
      <c r="S273" s="456">
        <v>25.07</v>
      </c>
      <c r="T273" s="410"/>
      <c r="U273" s="411">
        <v>1</v>
      </c>
      <c r="V273" s="411">
        <v>1</v>
      </c>
      <c r="W273" s="411">
        <v>1</v>
      </c>
      <c r="X273" s="411"/>
      <c r="Y273" s="411"/>
      <c r="Z273" s="412">
        <f t="shared" si="18"/>
        <v>0</v>
      </c>
      <c r="AA273" s="456">
        <f t="shared" si="19"/>
        <v>0</v>
      </c>
      <c r="AB273" s="456">
        <v>0</v>
      </c>
      <c r="AC273" s="2"/>
      <c r="AD273" s="4"/>
      <c r="AE273" s="5"/>
      <c r="AF273" s="428"/>
    </row>
    <row r="274" spans="1:32" x14ac:dyDescent="0.25">
      <c r="A274" s="1" t="s">
        <v>2720</v>
      </c>
      <c r="B274" s="3" t="s">
        <v>1368</v>
      </c>
      <c r="C274" s="3" t="s">
        <v>1247</v>
      </c>
      <c r="D274" s="407" t="s">
        <v>1399</v>
      </c>
      <c r="E274" s="3" t="s">
        <v>2030</v>
      </c>
      <c r="F274" s="407" t="s">
        <v>4499</v>
      </c>
      <c r="G274" s="440" t="s">
        <v>4109</v>
      </c>
      <c r="H274" s="407" t="s">
        <v>4320</v>
      </c>
      <c r="I274" s="407" t="s">
        <v>3758</v>
      </c>
      <c r="J274" s="387" t="s">
        <v>4653</v>
      </c>
      <c r="K274" s="387">
        <v>1</v>
      </c>
      <c r="L274" s="387">
        <v>0</v>
      </c>
      <c r="M274" s="387">
        <f t="shared" si="16"/>
        <v>1</v>
      </c>
      <c r="N274" s="442">
        <f t="shared" si="17"/>
        <v>0</v>
      </c>
      <c r="O274" s="387" t="s">
        <v>1358</v>
      </c>
      <c r="P274" s="459">
        <v>0</v>
      </c>
      <c r="Q274" s="459"/>
      <c r="R274" s="456">
        <v>0</v>
      </c>
      <c r="S274" s="456">
        <v>25.07</v>
      </c>
      <c r="T274" s="410"/>
      <c r="U274" s="411">
        <v>0</v>
      </c>
      <c r="V274" s="411">
        <v>0</v>
      </c>
      <c r="W274" s="411">
        <v>0</v>
      </c>
      <c r="X274" s="411"/>
      <c r="Y274" s="411"/>
      <c r="Z274" s="412">
        <f t="shared" si="18"/>
        <v>0</v>
      </c>
      <c r="AA274" s="456">
        <f t="shared" si="19"/>
        <v>0</v>
      </c>
      <c r="AB274" s="456">
        <v>0</v>
      </c>
      <c r="AC274" s="2"/>
      <c r="AD274" s="4"/>
      <c r="AE274" s="5"/>
      <c r="AF274" s="428"/>
    </row>
    <row r="275" spans="1:32" x14ac:dyDescent="0.25">
      <c r="A275" s="1" t="s">
        <v>2721</v>
      </c>
      <c r="B275" s="3" t="s">
        <v>1368</v>
      </c>
      <c r="C275" s="3" t="s">
        <v>1247</v>
      </c>
      <c r="D275" s="407" t="s">
        <v>1400</v>
      </c>
      <c r="E275" s="3" t="s">
        <v>2031</v>
      </c>
      <c r="F275" s="407" t="s">
        <v>4477</v>
      </c>
      <c r="G275" s="440" t="s">
        <v>4109</v>
      </c>
      <c r="H275" s="407" t="s">
        <v>4298</v>
      </c>
      <c r="I275" s="407" t="s">
        <v>3779</v>
      </c>
      <c r="J275" s="387" t="s">
        <v>4656</v>
      </c>
      <c r="K275" s="387">
        <v>1</v>
      </c>
      <c r="L275" s="387">
        <v>0</v>
      </c>
      <c r="M275" s="387">
        <f t="shared" si="16"/>
        <v>1</v>
      </c>
      <c r="N275" s="442">
        <f t="shared" si="17"/>
        <v>0</v>
      </c>
      <c r="O275" s="387" t="s">
        <v>1358</v>
      </c>
      <c r="P275" s="459">
        <v>0</v>
      </c>
      <c r="Q275" s="459"/>
      <c r="R275" s="456">
        <v>0</v>
      </c>
      <c r="S275" s="456">
        <v>25.07</v>
      </c>
      <c r="T275" s="410"/>
      <c r="U275" s="411">
        <v>1</v>
      </c>
      <c r="V275" s="411">
        <v>1</v>
      </c>
      <c r="W275" s="411">
        <v>1</v>
      </c>
      <c r="X275" s="411"/>
      <c r="Y275" s="411"/>
      <c r="Z275" s="412">
        <f t="shared" si="18"/>
        <v>0</v>
      </c>
      <c r="AA275" s="456">
        <f t="shared" si="19"/>
        <v>0</v>
      </c>
      <c r="AB275" s="456">
        <v>0</v>
      </c>
      <c r="AC275" s="2"/>
      <c r="AD275" s="4"/>
      <c r="AE275" s="5"/>
      <c r="AF275" s="428"/>
    </row>
    <row r="276" spans="1:32" x14ac:dyDescent="0.25">
      <c r="A276" s="1" t="s">
        <v>2722</v>
      </c>
      <c r="B276" s="3" t="s">
        <v>1368</v>
      </c>
      <c r="C276" s="3" t="s">
        <v>1247</v>
      </c>
      <c r="D276" s="407" t="s">
        <v>1401</v>
      </c>
      <c r="E276" s="3" t="s">
        <v>2032</v>
      </c>
      <c r="F276" s="407" t="s">
        <v>4478</v>
      </c>
      <c r="G276" s="440" t="s">
        <v>4109</v>
      </c>
      <c r="H276" s="407" t="s">
        <v>4299</v>
      </c>
      <c r="I276" s="407" t="s">
        <v>3780</v>
      </c>
      <c r="J276" s="387" t="s">
        <v>4657</v>
      </c>
      <c r="K276" s="387">
        <v>1</v>
      </c>
      <c r="L276" s="387">
        <v>0</v>
      </c>
      <c r="M276" s="387">
        <f t="shared" si="16"/>
        <v>1</v>
      </c>
      <c r="N276" s="442">
        <f t="shared" si="17"/>
        <v>0</v>
      </c>
      <c r="O276" s="387" t="s">
        <v>1358</v>
      </c>
      <c r="P276" s="459">
        <v>0</v>
      </c>
      <c r="Q276" s="459"/>
      <c r="R276" s="456">
        <v>0</v>
      </c>
      <c r="S276" s="456">
        <v>25.07</v>
      </c>
      <c r="T276" s="410"/>
      <c r="U276" s="411">
        <v>0</v>
      </c>
      <c r="V276" s="411">
        <v>0</v>
      </c>
      <c r="W276" s="411">
        <v>0</v>
      </c>
      <c r="X276" s="411"/>
      <c r="Y276" s="411"/>
      <c r="Z276" s="412">
        <f t="shared" si="18"/>
        <v>0</v>
      </c>
      <c r="AA276" s="456">
        <f t="shared" si="19"/>
        <v>0</v>
      </c>
      <c r="AB276" s="456">
        <v>0</v>
      </c>
      <c r="AC276" s="2"/>
      <c r="AD276" s="4"/>
      <c r="AE276" s="5"/>
      <c r="AF276" s="428"/>
    </row>
    <row r="277" spans="1:32" x14ac:dyDescent="0.25">
      <c r="A277" s="1" t="s">
        <v>2723</v>
      </c>
      <c r="B277" s="3" t="s">
        <v>1368</v>
      </c>
      <c r="C277" s="3" t="s">
        <v>1247</v>
      </c>
      <c r="D277" s="407" t="s">
        <v>1402</v>
      </c>
      <c r="E277" s="3" t="s">
        <v>2033</v>
      </c>
      <c r="F277" s="407" t="s">
        <v>4481</v>
      </c>
      <c r="G277" s="440" t="s">
        <v>4109</v>
      </c>
      <c r="H277" s="407" t="s">
        <v>4302</v>
      </c>
      <c r="I277" s="407" t="s">
        <v>3783</v>
      </c>
      <c r="J277" s="387" t="s">
        <v>4659</v>
      </c>
      <c r="K277" s="387">
        <v>1</v>
      </c>
      <c r="L277" s="387">
        <v>0</v>
      </c>
      <c r="M277" s="387">
        <f t="shared" si="16"/>
        <v>1</v>
      </c>
      <c r="N277" s="442">
        <f t="shared" si="17"/>
        <v>0</v>
      </c>
      <c r="O277" s="387" t="s">
        <v>1358</v>
      </c>
      <c r="P277" s="459">
        <v>0</v>
      </c>
      <c r="Q277" s="459"/>
      <c r="R277" s="456">
        <v>0</v>
      </c>
      <c r="S277" s="456">
        <v>25.85</v>
      </c>
      <c r="T277" s="410"/>
      <c r="U277" s="411">
        <v>0</v>
      </c>
      <c r="V277" s="411">
        <v>0</v>
      </c>
      <c r="W277" s="411">
        <v>0</v>
      </c>
      <c r="X277" s="411"/>
      <c r="Y277" s="411"/>
      <c r="Z277" s="412">
        <f t="shared" si="18"/>
        <v>0</v>
      </c>
      <c r="AA277" s="456">
        <f t="shared" si="19"/>
        <v>0</v>
      </c>
      <c r="AB277" s="456">
        <v>0</v>
      </c>
      <c r="AC277" s="2"/>
      <c r="AD277" s="4"/>
      <c r="AE277" s="5"/>
      <c r="AF277" s="428"/>
    </row>
    <row r="278" spans="1:32" x14ac:dyDescent="0.25">
      <c r="A278" s="1" t="s">
        <v>2724</v>
      </c>
      <c r="B278" s="3" t="s">
        <v>1368</v>
      </c>
      <c r="C278" s="3" t="s">
        <v>1247</v>
      </c>
      <c r="D278" s="407" t="s">
        <v>3546</v>
      </c>
      <c r="E278" s="3" t="s">
        <v>2034</v>
      </c>
      <c r="F278" s="407" t="s">
        <v>4482</v>
      </c>
      <c r="G278" s="440" t="s">
        <v>4109</v>
      </c>
      <c r="H278" s="407" t="s">
        <v>4303</v>
      </c>
      <c r="I278" s="407" t="s">
        <v>3784</v>
      </c>
      <c r="J278" s="387" t="s">
        <v>4660</v>
      </c>
      <c r="K278" s="387">
        <v>1</v>
      </c>
      <c r="L278" s="387">
        <v>0</v>
      </c>
      <c r="M278" s="387">
        <f t="shared" si="16"/>
        <v>1</v>
      </c>
      <c r="N278" s="442">
        <f t="shared" si="17"/>
        <v>0</v>
      </c>
      <c r="O278" s="387" t="s">
        <v>1358</v>
      </c>
      <c r="P278" s="459">
        <v>0</v>
      </c>
      <c r="Q278" s="459"/>
      <c r="R278" s="456">
        <v>0</v>
      </c>
      <c r="S278" s="456">
        <v>25.85</v>
      </c>
      <c r="T278" s="410"/>
      <c r="U278" s="411">
        <v>0</v>
      </c>
      <c r="V278" s="411">
        <v>0</v>
      </c>
      <c r="W278" s="411">
        <v>0</v>
      </c>
      <c r="X278" s="411"/>
      <c r="Y278" s="411"/>
      <c r="Z278" s="412">
        <f t="shared" si="18"/>
        <v>0</v>
      </c>
      <c r="AA278" s="456">
        <f t="shared" si="19"/>
        <v>0</v>
      </c>
      <c r="AB278" s="456">
        <v>0</v>
      </c>
      <c r="AC278" s="2"/>
      <c r="AD278" s="4"/>
      <c r="AE278" s="5"/>
      <c r="AF278" s="428"/>
    </row>
    <row r="279" spans="1:32" x14ac:dyDescent="0.25">
      <c r="A279" s="1" t="s">
        <v>2725</v>
      </c>
      <c r="B279" s="3" t="s">
        <v>1368</v>
      </c>
      <c r="C279" s="3" t="s">
        <v>1247</v>
      </c>
      <c r="D279" s="407" t="s">
        <v>3547</v>
      </c>
      <c r="E279" s="3" t="s">
        <v>2035</v>
      </c>
      <c r="F279" s="407" t="s">
        <v>4501</v>
      </c>
      <c r="G279" s="440" t="s">
        <v>4109</v>
      </c>
      <c r="H279" s="407" t="s">
        <v>4322</v>
      </c>
      <c r="I279" s="407" t="s">
        <v>3797</v>
      </c>
      <c r="J279" s="387" t="s">
        <v>4655</v>
      </c>
      <c r="K279" s="387">
        <v>1</v>
      </c>
      <c r="L279" s="387">
        <v>0</v>
      </c>
      <c r="M279" s="387">
        <f t="shared" si="16"/>
        <v>1</v>
      </c>
      <c r="N279" s="442">
        <f t="shared" si="17"/>
        <v>0</v>
      </c>
      <c r="O279" s="387" t="s">
        <v>1358</v>
      </c>
      <c r="P279" s="459">
        <v>0</v>
      </c>
      <c r="Q279" s="459"/>
      <c r="R279" s="456">
        <v>0</v>
      </c>
      <c r="S279" s="456">
        <v>25.85</v>
      </c>
      <c r="T279" s="410"/>
      <c r="U279" s="411">
        <v>0</v>
      </c>
      <c r="V279" s="411">
        <v>0</v>
      </c>
      <c r="W279" s="411">
        <v>0</v>
      </c>
      <c r="X279" s="411"/>
      <c r="Y279" s="411"/>
      <c r="Z279" s="412">
        <f t="shared" si="18"/>
        <v>0</v>
      </c>
      <c r="AA279" s="456">
        <f t="shared" si="19"/>
        <v>0</v>
      </c>
      <c r="AB279" s="456">
        <v>0</v>
      </c>
      <c r="AC279" s="2"/>
      <c r="AD279" s="4"/>
      <c r="AE279" s="5"/>
      <c r="AF279" s="428"/>
    </row>
    <row r="280" spans="1:32" x14ac:dyDescent="0.25">
      <c r="A280" s="1" t="s">
        <v>2726</v>
      </c>
      <c r="B280" s="3" t="s">
        <v>1368</v>
      </c>
      <c r="C280" s="3" t="s">
        <v>1247</v>
      </c>
      <c r="D280" s="407" t="s">
        <v>1397</v>
      </c>
      <c r="E280" s="3" t="s">
        <v>2036</v>
      </c>
      <c r="F280" s="407" t="s">
        <v>4493</v>
      </c>
      <c r="G280" s="440" t="s">
        <v>4109</v>
      </c>
      <c r="H280" s="407" t="s">
        <v>4314</v>
      </c>
      <c r="I280" s="407" t="s">
        <v>3795</v>
      </c>
      <c r="J280" s="387" t="s">
        <v>4647</v>
      </c>
      <c r="K280" s="387">
        <v>1</v>
      </c>
      <c r="L280" s="387">
        <v>0</v>
      </c>
      <c r="M280" s="387">
        <f t="shared" si="16"/>
        <v>1</v>
      </c>
      <c r="N280" s="442">
        <f t="shared" si="17"/>
        <v>0</v>
      </c>
      <c r="O280" s="387" t="s">
        <v>1358</v>
      </c>
      <c r="P280" s="459">
        <v>0</v>
      </c>
      <c r="Q280" s="459"/>
      <c r="R280" s="456">
        <v>0</v>
      </c>
      <c r="S280" s="456">
        <v>18.753</v>
      </c>
      <c r="T280" s="410"/>
      <c r="U280" s="411">
        <v>1</v>
      </c>
      <c r="V280" s="411">
        <v>1</v>
      </c>
      <c r="W280" s="411">
        <v>1</v>
      </c>
      <c r="X280" s="411"/>
      <c r="Y280" s="411"/>
      <c r="Z280" s="412">
        <f t="shared" si="18"/>
        <v>0</v>
      </c>
      <c r="AA280" s="456">
        <f t="shared" si="19"/>
        <v>0</v>
      </c>
      <c r="AB280" s="456">
        <v>0</v>
      </c>
      <c r="AC280" s="2"/>
      <c r="AD280" s="4"/>
      <c r="AE280" s="5"/>
      <c r="AF280" s="428"/>
    </row>
    <row r="281" spans="1:32" x14ac:dyDescent="0.25">
      <c r="A281" s="1" t="s">
        <v>2727</v>
      </c>
      <c r="B281" s="3" t="s">
        <v>1368</v>
      </c>
      <c r="C281" s="3" t="s">
        <v>1247</v>
      </c>
      <c r="D281" s="407" t="s">
        <v>1398</v>
      </c>
      <c r="E281" s="3" t="s">
        <v>2037</v>
      </c>
      <c r="F281" s="407" t="s">
        <v>4496</v>
      </c>
      <c r="G281" s="440" t="s">
        <v>4109</v>
      </c>
      <c r="H281" s="407" t="s">
        <v>4317</v>
      </c>
      <c r="I281" s="407" t="s">
        <v>3796</v>
      </c>
      <c r="J281" s="387" t="s">
        <v>4650</v>
      </c>
      <c r="K281" s="387">
        <v>1</v>
      </c>
      <c r="L281" s="387">
        <v>0</v>
      </c>
      <c r="M281" s="387">
        <f t="shared" si="16"/>
        <v>1</v>
      </c>
      <c r="N281" s="442">
        <f t="shared" si="17"/>
        <v>0</v>
      </c>
      <c r="O281" s="387" t="s">
        <v>1358</v>
      </c>
      <c r="P281" s="459">
        <v>0</v>
      </c>
      <c r="Q281" s="459"/>
      <c r="R281" s="456">
        <v>0</v>
      </c>
      <c r="S281" s="456">
        <v>18.753</v>
      </c>
      <c r="T281" s="410"/>
      <c r="U281" s="411">
        <v>1</v>
      </c>
      <c r="V281" s="411">
        <v>1</v>
      </c>
      <c r="W281" s="411">
        <v>1</v>
      </c>
      <c r="X281" s="411"/>
      <c r="Y281" s="411"/>
      <c r="Z281" s="412">
        <f t="shared" si="18"/>
        <v>0</v>
      </c>
      <c r="AA281" s="456">
        <f t="shared" si="19"/>
        <v>0</v>
      </c>
      <c r="AB281" s="456">
        <v>0</v>
      </c>
      <c r="AC281" s="2"/>
      <c r="AD281" s="4"/>
      <c r="AE281" s="5"/>
      <c r="AF281" s="428"/>
    </row>
    <row r="282" spans="1:32" x14ac:dyDescent="0.25">
      <c r="A282" s="1" t="s">
        <v>2728</v>
      </c>
      <c r="B282" s="3" t="s">
        <v>1368</v>
      </c>
      <c r="C282" s="3" t="s">
        <v>1247</v>
      </c>
      <c r="D282" s="407" t="s">
        <v>1374</v>
      </c>
      <c r="E282" s="3" t="s">
        <v>2038</v>
      </c>
      <c r="F282" s="407" t="s">
        <v>4495</v>
      </c>
      <c r="G282" s="440" t="s">
        <v>4109</v>
      </c>
      <c r="H282" s="407" t="s">
        <v>4316</v>
      </c>
      <c r="I282" s="407" t="s">
        <v>3757</v>
      </c>
      <c r="J282" s="387" t="s">
        <v>4649</v>
      </c>
      <c r="K282" s="387">
        <v>1</v>
      </c>
      <c r="L282" s="387">
        <v>0</v>
      </c>
      <c r="M282" s="387">
        <f t="shared" si="16"/>
        <v>1</v>
      </c>
      <c r="N282" s="442">
        <f t="shared" si="17"/>
        <v>0</v>
      </c>
      <c r="O282" s="387" t="s">
        <v>1358</v>
      </c>
      <c r="P282" s="459">
        <v>0</v>
      </c>
      <c r="Q282" s="459"/>
      <c r="R282" s="456">
        <v>0</v>
      </c>
      <c r="S282" s="456">
        <v>31.096</v>
      </c>
      <c r="T282" s="410"/>
      <c r="U282" s="411">
        <v>1</v>
      </c>
      <c r="V282" s="411">
        <v>1</v>
      </c>
      <c r="W282" s="411">
        <v>1</v>
      </c>
      <c r="X282" s="411"/>
      <c r="Y282" s="411"/>
      <c r="Z282" s="412">
        <f t="shared" si="18"/>
        <v>0</v>
      </c>
      <c r="AA282" s="456">
        <f t="shared" si="19"/>
        <v>0</v>
      </c>
      <c r="AB282" s="456">
        <v>0</v>
      </c>
      <c r="AC282" s="2"/>
      <c r="AD282" s="4"/>
      <c r="AE282" s="5"/>
      <c r="AF282" s="428"/>
    </row>
    <row r="283" spans="1:32" x14ac:dyDescent="0.25">
      <c r="A283" s="1" t="s">
        <v>2729</v>
      </c>
      <c r="B283" s="3" t="s">
        <v>1368</v>
      </c>
      <c r="C283" s="3" t="s">
        <v>1247</v>
      </c>
      <c r="D283" s="407" t="s">
        <v>1377</v>
      </c>
      <c r="E283" s="3" t="s">
        <v>2039</v>
      </c>
      <c r="F283" s="407" t="s">
        <v>4494</v>
      </c>
      <c r="G283" s="440" t="s">
        <v>4109</v>
      </c>
      <c r="H283" s="407" t="s">
        <v>4315</v>
      </c>
      <c r="I283" s="407" t="s">
        <v>3749</v>
      </c>
      <c r="J283" s="387" t="s">
        <v>4648</v>
      </c>
      <c r="K283" s="387">
        <v>1</v>
      </c>
      <c r="L283" s="387">
        <v>0</v>
      </c>
      <c r="M283" s="387">
        <f t="shared" si="16"/>
        <v>1</v>
      </c>
      <c r="N283" s="442">
        <f t="shared" si="17"/>
        <v>0</v>
      </c>
      <c r="O283" s="387" t="s">
        <v>1358</v>
      </c>
      <c r="P283" s="459">
        <v>0</v>
      </c>
      <c r="Q283" s="459"/>
      <c r="R283" s="456">
        <v>0</v>
      </c>
      <c r="S283" s="456">
        <v>31.096</v>
      </c>
      <c r="T283" s="410"/>
      <c r="U283" s="411">
        <v>1</v>
      </c>
      <c r="V283" s="411">
        <v>1</v>
      </c>
      <c r="W283" s="411">
        <v>1</v>
      </c>
      <c r="X283" s="411"/>
      <c r="Y283" s="411"/>
      <c r="Z283" s="412">
        <f t="shared" si="18"/>
        <v>0</v>
      </c>
      <c r="AA283" s="456">
        <f t="shared" si="19"/>
        <v>0</v>
      </c>
      <c r="AB283" s="456">
        <v>0</v>
      </c>
      <c r="AC283" s="2"/>
      <c r="AD283" s="4"/>
      <c r="AE283" s="5"/>
      <c r="AF283" s="428"/>
    </row>
    <row r="284" spans="1:32" x14ac:dyDescent="0.25">
      <c r="A284" s="1" t="s">
        <v>2730</v>
      </c>
      <c r="B284" s="3" t="s">
        <v>1368</v>
      </c>
      <c r="C284" s="3" t="s">
        <v>1247</v>
      </c>
      <c r="D284" s="407" t="s">
        <v>1379</v>
      </c>
      <c r="E284" s="3" t="s">
        <v>2040</v>
      </c>
      <c r="F284" s="407" t="s">
        <v>4502</v>
      </c>
      <c r="G284" s="440" t="s">
        <v>4109</v>
      </c>
      <c r="H284" s="407" t="s">
        <v>4323</v>
      </c>
      <c r="I284" s="407" t="s">
        <v>3750</v>
      </c>
      <c r="J284" s="387" t="s">
        <v>4632</v>
      </c>
      <c r="K284" s="387">
        <v>1</v>
      </c>
      <c r="L284" s="387">
        <v>0</v>
      </c>
      <c r="M284" s="387">
        <f t="shared" si="16"/>
        <v>1</v>
      </c>
      <c r="N284" s="442">
        <f t="shared" si="17"/>
        <v>0</v>
      </c>
      <c r="O284" s="387" t="s">
        <v>1358</v>
      </c>
      <c r="P284" s="459">
        <v>0</v>
      </c>
      <c r="Q284" s="459"/>
      <c r="R284" s="456">
        <v>0</v>
      </c>
      <c r="S284" s="456">
        <v>31.096</v>
      </c>
      <c r="T284" s="410"/>
      <c r="U284" s="411">
        <v>1</v>
      </c>
      <c r="V284" s="411">
        <v>1</v>
      </c>
      <c r="W284" s="411">
        <v>1</v>
      </c>
      <c r="X284" s="411"/>
      <c r="Y284" s="411"/>
      <c r="Z284" s="412">
        <f t="shared" si="18"/>
        <v>0</v>
      </c>
      <c r="AA284" s="456">
        <f t="shared" si="19"/>
        <v>0</v>
      </c>
      <c r="AB284" s="456">
        <v>0</v>
      </c>
      <c r="AC284" s="2"/>
      <c r="AD284" s="4"/>
      <c r="AE284" s="5"/>
      <c r="AF284" s="428"/>
    </row>
    <row r="285" spans="1:32" x14ac:dyDescent="0.25">
      <c r="A285" s="1" t="s">
        <v>2731</v>
      </c>
      <c r="B285" s="3" t="s">
        <v>1368</v>
      </c>
      <c r="C285" s="3" t="s">
        <v>1247</v>
      </c>
      <c r="D285" s="407" t="s">
        <v>1381</v>
      </c>
      <c r="E285" s="3" t="s">
        <v>2041</v>
      </c>
      <c r="F285" s="407" t="s">
        <v>4497</v>
      </c>
      <c r="G285" s="440" t="s">
        <v>4109</v>
      </c>
      <c r="H285" s="407" t="s">
        <v>4318</v>
      </c>
      <c r="I285" s="407" t="s">
        <v>3751</v>
      </c>
      <c r="J285" s="387" t="s">
        <v>4630</v>
      </c>
      <c r="K285" s="387">
        <v>2</v>
      </c>
      <c r="L285" s="387">
        <v>0</v>
      </c>
      <c r="M285" s="387">
        <f t="shared" si="16"/>
        <v>2</v>
      </c>
      <c r="N285" s="442">
        <f t="shared" si="17"/>
        <v>0</v>
      </c>
      <c r="O285" s="387" t="s">
        <v>1358</v>
      </c>
      <c r="P285" s="459">
        <v>0</v>
      </c>
      <c r="Q285" s="459"/>
      <c r="R285" s="456">
        <v>0</v>
      </c>
      <c r="S285" s="456">
        <v>62</v>
      </c>
      <c r="T285" s="410"/>
      <c r="U285" s="411">
        <v>1</v>
      </c>
      <c r="V285" s="411">
        <v>1</v>
      </c>
      <c r="W285" s="411">
        <v>1</v>
      </c>
      <c r="X285" s="411"/>
      <c r="Y285" s="411"/>
      <c r="Z285" s="412">
        <f t="shared" si="18"/>
        <v>0</v>
      </c>
      <c r="AA285" s="456">
        <f t="shared" si="19"/>
        <v>0</v>
      </c>
      <c r="AB285" s="456">
        <v>0</v>
      </c>
      <c r="AC285" s="2"/>
      <c r="AD285" s="4"/>
      <c r="AE285" s="5"/>
      <c r="AF285" s="428"/>
    </row>
    <row r="286" spans="1:32" x14ac:dyDescent="0.25">
      <c r="A286" s="1" t="s">
        <v>2732</v>
      </c>
      <c r="B286" s="3" t="s">
        <v>1368</v>
      </c>
      <c r="C286" s="3" t="s">
        <v>1247</v>
      </c>
      <c r="D286" s="407" t="s">
        <v>1396</v>
      </c>
      <c r="E286" s="3" t="s">
        <v>2042</v>
      </c>
      <c r="F286" s="407" t="s">
        <v>4498</v>
      </c>
      <c r="G286" s="440" t="s">
        <v>4109</v>
      </c>
      <c r="H286" s="407" t="s">
        <v>4319</v>
      </c>
      <c r="I286" s="407" t="s">
        <v>3752</v>
      </c>
      <c r="J286" s="387" t="s">
        <v>4652</v>
      </c>
      <c r="K286" s="387">
        <v>1</v>
      </c>
      <c r="L286" s="387">
        <v>0</v>
      </c>
      <c r="M286" s="387">
        <f t="shared" si="16"/>
        <v>1</v>
      </c>
      <c r="N286" s="442">
        <f t="shared" si="17"/>
        <v>0</v>
      </c>
      <c r="O286" s="387" t="s">
        <v>1358</v>
      </c>
      <c r="P286" s="459">
        <v>0</v>
      </c>
      <c r="Q286" s="459"/>
      <c r="R286" s="456">
        <v>0</v>
      </c>
      <c r="S286" s="456">
        <v>31.096</v>
      </c>
      <c r="T286" s="410"/>
      <c r="U286" s="411">
        <v>1</v>
      </c>
      <c r="V286" s="411">
        <v>1</v>
      </c>
      <c r="W286" s="411">
        <v>1</v>
      </c>
      <c r="X286" s="411"/>
      <c r="Y286" s="411"/>
      <c r="Z286" s="412">
        <f t="shared" si="18"/>
        <v>0</v>
      </c>
      <c r="AA286" s="456">
        <f t="shared" si="19"/>
        <v>0</v>
      </c>
      <c r="AB286" s="456">
        <v>0</v>
      </c>
      <c r="AC286" s="2"/>
      <c r="AD286" s="4"/>
      <c r="AE286" s="5"/>
      <c r="AF286" s="428"/>
    </row>
    <row r="287" spans="1:32" x14ac:dyDescent="0.25">
      <c r="A287" s="1" t="s">
        <v>2733</v>
      </c>
      <c r="B287" s="3" t="s">
        <v>1368</v>
      </c>
      <c r="C287" s="3" t="s">
        <v>1247</v>
      </c>
      <c r="D287" s="407" t="s">
        <v>1399</v>
      </c>
      <c r="E287" s="3" t="s">
        <v>2043</v>
      </c>
      <c r="F287" s="407" t="s">
        <v>4499</v>
      </c>
      <c r="G287" s="440" t="s">
        <v>4109</v>
      </c>
      <c r="H287" s="407" t="s">
        <v>4320</v>
      </c>
      <c r="I287" s="407" t="s">
        <v>3758</v>
      </c>
      <c r="J287" s="387" t="s">
        <v>5156</v>
      </c>
      <c r="K287" s="387">
        <v>1</v>
      </c>
      <c r="L287" s="387">
        <v>1</v>
      </c>
      <c r="M287" s="387">
        <f t="shared" si="16"/>
        <v>2</v>
      </c>
      <c r="N287" s="442">
        <f t="shared" si="17"/>
        <v>0</v>
      </c>
      <c r="O287" s="387" t="s">
        <v>1358</v>
      </c>
      <c r="P287" s="459">
        <v>0</v>
      </c>
      <c r="Q287" s="459"/>
      <c r="R287" s="456">
        <v>0</v>
      </c>
      <c r="S287" s="456">
        <v>62.192</v>
      </c>
      <c r="T287" s="410"/>
      <c r="U287" s="411">
        <v>1</v>
      </c>
      <c r="V287" s="411">
        <v>1</v>
      </c>
      <c r="W287" s="411">
        <v>1</v>
      </c>
      <c r="X287" s="411"/>
      <c r="Y287" s="411"/>
      <c r="Z287" s="412">
        <f t="shared" si="18"/>
        <v>0</v>
      </c>
      <c r="AA287" s="456">
        <f t="shared" si="19"/>
        <v>0</v>
      </c>
      <c r="AB287" s="456">
        <v>0</v>
      </c>
      <c r="AC287" s="2"/>
      <c r="AD287" s="4"/>
      <c r="AE287" s="5"/>
      <c r="AF287" s="428"/>
    </row>
    <row r="288" spans="1:32" x14ac:dyDescent="0.25">
      <c r="A288" s="1" t="s">
        <v>2734</v>
      </c>
      <c r="B288" s="3" t="s">
        <v>1368</v>
      </c>
      <c r="C288" s="3" t="s">
        <v>1247</v>
      </c>
      <c r="D288" s="407" t="s">
        <v>1400</v>
      </c>
      <c r="E288" s="3" t="s">
        <v>2044</v>
      </c>
      <c r="F288" s="407" t="s">
        <v>4477</v>
      </c>
      <c r="G288" s="440" t="s">
        <v>4109</v>
      </c>
      <c r="H288" s="407" t="s">
        <v>4298</v>
      </c>
      <c r="I288" s="407" t="s">
        <v>3779</v>
      </c>
      <c r="J288" s="387" t="s">
        <v>4656</v>
      </c>
      <c r="K288" s="387">
        <v>1</v>
      </c>
      <c r="L288" s="387">
        <v>0</v>
      </c>
      <c r="M288" s="387">
        <f t="shared" si="16"/>
        <v>1</v>
      </c>
      <c r="N288" s="442">
        <f t="shared" si="17"/>
        <v>0</v>
      </c>
      <c r="O288" s="387" t="s">
        <v>1358</v>
      </c>
      <c r="P288" s="459">
        <v>0</v>
      </c>
      <c r="Q288" s="459"/>
      <c r="R288" s="456">
        <v>0</v>
      </c>
      <c r="S288" s="456">
        <v>31.096</v>
      </c>
      <c r="T288" s="410"/>
      <c r="U288" s="411">
        <v>1</v>
      </c>
      <c r="V288" s="411">
        <v>1</v>
      </c>
      <c r="W288" s="411">
        <v>1</v>
      </c>
      <c r="X288" s="411"/>
      <c r="Y288" s="411"/>
      <c r="Z288" s="412">
        <f t="shared" si="18"/>
        <v>0</v>
      </c>
      <c r="AA288" s="456">
        <f t="shared" si="19"/>
        <v>0</v>
      </c>
      <c r="AB288" s="456">
        <v>0</v>
      </c>
      <c r="AC288" s="2"/>
      <c r="AD288" s="4"/>
      <c r="AE288" s="5"/>
      <c r="AF288" s="428"/>
    </row>
    <row r="289" spans="1:32" x14ac:dyDescent="0.25">
      <c r="A289" s="1" t="s">
        <v>2735</v>
      </c>
      <c r="B289" s="3" t="s">
        <v>1368</v>
      </c>
      <c r="C289" s="3" t="s">
        <v>1247</v>
      </c>
      <c r="D289" s="407" t="s">
        <v>1401</v>
      </c>
      <c r="E289" s="3" t="s">
        <v>2045</v>
      </c>
      <c r="F289" s="407" t="s">
        <v>4478</v>
      </c>
      <c r="G289" s="440" t="s">
        <v>4109</v>
      </c>
      <c r="H289" s="407" t="s">
        <v>4299</v>
      </c>
      <c r="I289" s="407" t="s">
        <v>3780</v>
      </c>
      <c r="J289" s="387" t="s">
        <v>4657</v>
      </c>
      <c r="K289" s="387">
        <v>1</v>
      </c>
      <c r="L289" s="387">
        <v>0</v>
      </c>
      <c r="M289" s="387">
        <f t="shared" si="16"/>
        <v>1</v>
      </c>
      <c r="N289" s="442">
        <f t="shared" si="17"/>
        <v>0</v>
      </c>
      <c r="O289" s="387" t="s">
        <v>1358</v>
      </c>
      <c r="P289" s="459">
        <v>0</v>
      </c>
      <c r="Q289" s="459"/>
      <c r="R289" s="456">
        <v>0</v>
      </c>
      <c r="S289" s="456">
        <v>31.096</v>
      </c>
      <c r="T289" s="410"/>
      <c r="U289" s="411">
        <v>0</v>
      </c>
      <c r="V289" s="411">
        <v>0</v>
      </c>
      <c r="W289" s="411">
        <v>0</v>
      </c>
      <c r="X289" s="411"/>
      <c r="Y289" s="411"/>
      <c r="Z289" s="412">
        <f t="shared" si="18"/>
        <v>0</v>
      </c>
      <c r="AA289" s="456">
        <f t="shared" si="19"/>
        <v>0</v>
      </c>
      <c r="AB289" s="456">
        <v>0</v>
      </c>
      <c r="AC289" s="2"/>
      <c r="AD289" s="4"/>
      <c r="AE289" s="5"/>
      <c r="AF289" s="428"/>
    </row>
    <row r="290" spans="1:32" x14ac:dyDescent="0.25">
      <c r="A290" s="1" t="s">
        <v>2736</v>
      </c>
      <c r="B290" s="3" t="s">
        <v>1368</v>
      </c>
      <c r="C290" s="3" t="s">
        <v>1247</v>
      </c>
      <c r="D290" s="407" t="s">
        <v>1426</v>
      </c>
      <c r="E290" s="3" t="s">
        <v>2046</v>
      </c>
      <c r="F290" s="407" t="s">
        <v>4480</v>
      </c>
      <c r="G290" s="440" t="s">
        <v>4109</v>
      </c>
      <c r="H290" s="407" t="s">
        <v>4301</v>
      </c>
      <c r="I290" s="407" t="s">
        <v>3782</v>
      </c>
      <c r="J290" s="387" t="s">
        <v>4637</v>
      </c>
      <c r="K290" s="387">
        <v>2</v>
      </c>
      <c r="L290" s="387">
        <v>0</v>
      </c>
      <c r="M290" s="387">
        <f t="shared" si="16"/>
        <v>2</v>
      </c>
      <c r="N290" s="442">
        <f t="shared" si="17"/>
        <v>0</v>
      </c>
      <c r="O290" s="387" t="s">
        <v>1358</v>
      </c>
      <c r="P290" s="459">
        <v>0</v>
      </c>
      <c r="Q290" s="459"/>
      <c r="R290" s="456">
        <v>0</v>
      </c>
      <c r="S290" s="456">
        <v>37.536000000000001</v>
      </c>
      <c r="T290" s="410"/>
      <c r="U290" s="411">
        <v>0</v>
      </c>
      <c r="V290" s="411">
        <v>0</v>
      </c>
      <c r="W290" s="411">
        <v>0</v>
      </c>
      <c r="X290" s="411"/>
      <c r="Y290" s="411"/>
      <c r="Z290" s="412">
        <f t="shared" si="18"/>
        <v>0</v>
      </c>
      <c r="AA290" s="456">
        <f t="shared" si="19"/>
        <v>0</v>
      </c>
      <c r="AB290" s="456">
        <v>0</v>
      </c>
      <c r="AC290" s="2"/>
      <c r="AD290" s="4"/>
      <c r="AE290" s="5"/>
      <c r="AF290" s="428"/>
    </row>
    <row r="291" spans="1:32" x14ac:dyDescent="0.25">
      <c r="A291" s="1" t="s">
        <v>2737</v>
      </c>
      <c r="B291" s="3" t="s">
        <v>1368</v>
      </c>
      <c r="C291" s="3" t="s">
        <v>1247</v>
      </c>
      <c r="D291" s="407" t="s">
        <v>1402</v>
      </c>
      <c r="E291" s="3" t="s">
        <v>2047</v>
      </c>
      <c r="F291" s="407" t="s">
        <v>4481</v>
      </c>
      <c r="G291" s="440" t="s">
        <v>4109</v>
      </c>
      <c r="H291" s="407" t="s">
        <v>4302</v>
      </c>
      <c r="I291" s="407" t="s">
        <v>3783</v>
      </c>
      <c r="J291" s="387" t="s">
        <v>4659</v>
      </c>
      <c r="K291" s="387">
        <v>1</v>
      </c>
      <c r="L291" s="387">
        <v>0</v>
      </c>
      <c r="M291" s="387">
        <f t="shared" si="16"/>
        <v>1</v>
      </c>
      <c r="N291" s="442">
        <f t="shared" si="17"/>
        <v>0</v>
      </c>
      <c r="O291" s="387" t="s">
        <v>1358</v>
      </c>
      <c r="P291" s="459">
        <v>0</v>
      </c>
      <c r="Q291" s="459"/>
      <c r="R291" s="456">
        <v>0</v>
      </c>
      <c r="S291" s="456">
        <v>32.073</v>
      </c>
      <c r="T291" s="410"/>
      <c r="U291" s="411">
        <v>0</v>
      </c>
      <c r="V291" s="411">
        <v>0</v>
      </c>
      <c r="W291" s="411">
        <v>0</v>
      </c>
      <c r="X291" s="411"/>
      <c r="Y291" s="411"/>
      <c r="Z291" s="412">
        <f t="shared" si="18"/>
        <v>0</v>
      </c>
      <c r="AA291" s="456">
        <f t="shared" si="19"/>
        <v>0</v>
      </c>
      <c r="AB291" s="456">
        <v>0</v>
      </c>
      <c r="AC291" s="2"/>
      <c r="AD291" s="4"/>
      <c r="AE291" s="5"/>
      <c r="AF291" s="428"/>
    </row>
    <row r="292" spans="1:32" x14ac:dyDescent="0.25">
      <c r="A292" s="1" t="s">
        <v>2738</v>
      </c>
      <c r="B292" s="3" t="s">
        <v>1368</v>
      </c>
      <c r="C292" s="3" t="s">
        <v>1247</v>
      </c>
      <c r="D292" s="407" t="s">
        <v>1425</v>
      </c>
      <c r="E292" s="3" t="s">
        <v>2048</v>
      </c>
      <c r="F292" s="407" t="s">
        <v>4479</v>
      </c>
      <c r="G292" s="440" t="s">
        <v>4109</v>
      </c>
      <c r="H292" s="407" t="s">
        <v>4300</v>
      </c>
      <c r="I292" s="407" t="s">
        <v>3781</v>
      </c>
      <c r="J292" s="387" t="s">
        <v>4643</v>
      </c>
      <c r="K292" s="387">
        <v>1</v>
      </c>
      <c r="L292" s="387">
        <v>0</v>
      </c>
      <c r="M292" s="387">
        <f t="shared" si="16"/>
        <v>1</v>
      </c>
      <c r="N292" s="442">
        <f t="shared" si="17"/>
        <v>0</v>
      </c>
      <c r="O292" s="387" t="s">
        <v>1358</v>
      </c>
      <c r="P292" s="459">
        <v>0</v>
      </c>
      <c r="Q292" s="459"/>
      <c r="R292" s="456">
        <v>0</v>
      </c>
      <c r="S292" s="456">
        <v>18.768000000000001</v>
      </c>
      <c r="T292" s="410"/>
      <c r="U292" s="411">
        <v>1</v>
      </c>
      <c r="V292" s="411">
        <v>1</v>
      </c>
      <c r="W292" s="411">
        <v>1</v>
      </c>
      <c r="X292" s="411"/>
      <c r="Y292" s="411"/>
      <c r="Z292" s="412">
        <f t="shared" si="18"/>
        <v>0</v>
      </c>
      <c r="AA292" s="456">
        <f t="shared" si="19"/>
        <v>0</v>
      </c>
      <c r="AB292" s="456">
        <v>0</v>
      </c>
      <c r="AC292" s="2"/>
      <c r="AD292" s="4"/>
      <c r="AE292" s="5"/>
      <c r="AF292" s="428"/>
    </row>
    <row r="293" spans="1:32" x14ac:dyDescent="0.25">
      <c r="A293" s="1" t="s">
        <v>2739</v>
      </c>
      <c r="B293" s="3" t="s">
        <v>1368</v>
      </c>
      <c r="C293" s="3" t="s">
        <v>1247</v>
      </c>
      <c r="D293" s="407" t="s">
        <v>3546</v>
      </c>
      <c r="E293" s="3" t="s">
        <v>2049</v>
      </c>
      <c r="F293" s="407" t="s">
        <v>4482</v>
      </c>
      <c r="G293" s="440" t="s">
        <v>4109</v>
      </c>
      <c r="H293" s="407" t="s">
        <v>4303</v>
      </c>
      <c r="I293" s="407" t="s">
        <v>3784</v>
      </c>
      <c r="J293" s="387" t="s">
        <v>4660</v>
      </c>
      <c r="K293" s="387">
        <v>1</v>
      </c>
      <c r="L293" s="387">
        <v>0</v>
      </c>
      <c r="M293" s="387">
        <f t="shared" si="16"/>
        <v>1</v>
      </c>
      <c r="N293" s="442">
        <f t="shared" si="17"/>
        <v>0</v>
      </c>
      <c r="O293" s="387" t="s">
        <v>1358</v>
      </c>
      <c r="P293" s="459">
        <v>0</v>
      </c>
      <c r="Q293" s="459"/>
      <c r="R293" s="456">
        <v>0</v>
      </c>
      <c r="S293" s="456">
        <v>19.329000000000001</v>
      </c>
      <c r="T293" s="410"/>
      <c r="U293" s="411">
        <v>0</v>
      </c>
      <c r="V293" s="411">
        <v>0</v>
      </c>
      <c r="W293" s="411">
        <v>0</v>
      </c>
      <c r="X293" s="411"/>
      <c r="Y293" s="411"/>
      <c r="Z293" s="412">
        <f t="shared" si="18"/>
        <v>0</v>
      </c>
      <c r="AA293" s="456">
        <f t="shared" si="19"/>
        <v>0</v>
      </c>
      <c r="AB293" s="456">
        <v>0</v>
      </c>
      <c r="AC293" s="2"/>
      <c r="AD293" s="4"/>
      <c r="AE293" s="5"/>
      <c r="AF293" s="428"/>
    </row>
    <row r="294" spans="1:32" x14ac:dyDescent="0.25">
      <c r="A294" s="1" t="s">
        <v>2740</v>
      </c>
      <c r="B294" s="3" t="s">
        <v>1368</v>
      </c>
      <c r="C294" s="3" t="s">
        <v>1247</v>
      </c>
      <c r="D294" s="407" t="s">
        <v>3547</v>
      </c>
      <c r="E294" s="3" t="s">
        <v>2050</v>
      </c>
      <c r="F294" s="407" t="s">
        <v>4501</v>
      </c>
      <c r="G294" s="440" t="s">
        <v>4109</v>
      </c>
      <c r="H294" s="407" t="s">
        <v>4322</v>
      </c>
      <c r="I294" s="407" t="s">
        <v>3797</v>
      </c>
      <c r="J294" s="387" t="s">
        <v>4655</v>
      </c>
      <c r="K294" s="387">
        <v>1</v>
      </c>
      <c r="L294" s="387">
        <v>0</v>
      </c>
      <c r="M294" s="387">
        <f t="shared" si="16"/>
        <v>1</v>
      </c>
      <c r="N294" s="442">
        <f t="shared" si="17"/>
        <v>0</v>
      </c>
      <c r="O294" s="387" t="s">
        <v>1358</v>
      </c>
      <c r="P294" s="459">
        <v>0</v>
      </c>
      <c r="Q294" s="459"/>
      <c r="R294" s="456">
        <v>0</v>
      </c>
      <c r="S294" s="456">
        <v>19.329000000000001</v>
      </c>
      <c r="T294" s="410"/>
      <c r="U294" s="411">
        <v>0</v>
      </c>
      <c r="V294" s="411">
        <v>0</v>
      </c>
      <c r="W294" s="411">
        <v>0</v>
      </c>
      <c r="X294" s="411"/>
      <c r="Y294" s="411"/>
      <c r="Z294" s="412">
        <f t="shared" si="18"/>
        <v>0</v>
      </c>
      <c r="AA294" s="456">
        <f t="shared" si="19"/>
        <v>0</v>
      </c>
      <c r="AB294" s="456">
        <v>0</v>
      </c>
      <c r="AC294" s="2"/>
      <c r="AD294" s="4"/>
      <c r="AE294" s="5"/>
      <c r="AF294" s="428"/>
    </row>
    <row r="295" spans="1:32" x14ac:dyDescent="0.25">
      <c r="A295" s="1" t="s">
        <v>2741</v>
      </c>
      <c r="B295" s="3" t="s">
        <v>1368</v>
      </c>
      <c r="C295" s="3" t="s">
        <v>1247</v>
      </c>
      <c r="D295" s="407" t="s">
        <v>3294</v>
      </c>
      <c r="E295" s="3" t="s">
        <v>2051</v>
      </c>
      <c r="F295" s="407" t="s">
        <v>4500</v>
      </c>
      <c r="G295" s="440" t="s">
        <v>4109</v>
      </c>
      <c r="H295" s="407" t="s">
        <v>4321</v>
      </c>
      <c r="I295" s="407" t="s">
        <v>3755</v>
      </c>
      <c r="J295" s="387" t="s">
        <v>4654</v>
      </c>
      <c r="K295" s="387">
        <v>1</v>
      </c>
      <c r="L295" s="387">
        <v>0</v>
      </c>
      <c r="M295" s="387">
        <f t="shared" si="16"/>
        <v>1</v>
      </c>
      <c r="N295" s="442">
        <f t="shared" si="17"/>
        <v>0</v>
      </c>
      <c r="O295" s="387" t="s">
        <v>1358</v>
      </c>
      <c r="P295" s="459">
        <v>0</v>
      </c>
      <c r="Q295" s="459"/>
      <c r="R295" s="456">
        <v>0</v>
      </c>
      <c r="S295" s="456">
        <v>33.006</v>
      </c>
      <c r="T295" s="410"/>
      <c r="U295" s="411">
        <v>1</v>
      </c>
      <c r="V295" s="411">
        <v>1</v>
      </c>
      <c r="W295" s="411">
        <v>1</v>
      </c>
      <c r="X295" s="411"/>
      <c r="Y295" s="411"/>
      <c r="Z295" s="412">
        <f t="shared" si="18"/>
        <v>0</v>
      </c>
      <c r="AA295" s="456">
        <f t="shared" si="19"/>
        <v>0</v>
      </c>
      <c r="AB295" s="456">
        <v>0</v>
      </c>
      <c r="AC295" s="2"/>
      <c r="AD295" s="4"/>
      <c r="AE295" s="5"/>
      <c r="AF295" s="428"/>
    </row>
    <row r="296" spans="1:32" x14ac:dyDescent="0.25">
      <c r="A296" s="1" t="s">
        <v>2742</v>
      </c>
      <c r="B296" s="3" t="s">
        <v>1368</v>
      </c>
      <c r="C296" s="3" t="s">
        <v>1247</v>
      </c>
      <c r="D296" s="407" t="s">
        <v>1398</v>
      </c>
      <c r="E296" s="3" t="s">
        <v>2052</v>
      </c>
      <c r="F296" s="407" t="s">
        <v>4496</v>
      </c>
      <c r="G296" s="440" t="s">
        <v>4109</v>
      </c>
      <c r="H296" s="407" t="s">
        <v>4317</v>
      </c>
      <c r="I296" s="407" t="s">
        <v>3796</v>
      </c>
      <c r="J296" s="387" t="s">
        <v>4650</v>
      </c>
      <c r="K296" s="387">
        <v>1</v>
      </c>
      <c r="L296" s="387">
        <v>0</v>
      </c>
      <c r="M296" s="387">
        <f t="shared" si="16"/>
        <v>1</v>
      </c>
      <c r="N296" s="442">
        <f t="shared" si="17"/>
        <v>0</v>
      </c>
      <c r="O296" s="387" t="s">
        <v>1358</v>
      </c>
      <c r="P296" s="459">
        <v>0</v>
      </c>
      <c r="Q296" s="459"/>
      <c r="R296" s="456">
        <v>0</v>
      </c>
      <c r="S296" s="456">
        <v>42.164999999999999</v>
      </c>
      <c r="T296" s="410"/>
      <c r="U296" s="411">
        <v>1</v>
      </c>
      <c r="V296" s="411">
        <v>1</v>
      </c>
      <c r="W296" s="411">
        <v>1</v>
      </c>
      <c r="X296" s="411"/>
      <c r="Y296" s="411"/>
      <c r="Z296" s="412">
        <f t="shared" si="18"/>
        <v>0</v>
      </c>
      <c r="AA296" s="456">
        <f t="shared" si="19"/>
        <v>0</v>
      </c>
      <c r="AB296" s="456">
        <v>0</v>
      </c>
      <c r="AC296" s="2"/>
      <c r="AD296" s="4"/>
      <c r="AE296" s="5"/>
      <c r="AF296" s="428"/>
    </row>
    <row r="297" spans="1:32" x14ac:dyDescent="0.25">
      <c r="A297" s="1" t="s">
        <v>2743</v>
      </c>
      <c r="B297" s="3" t="s">
        <v>1368</v>
      </c>
      <c r="C297" s="3" t="s">
        <v>1247</v>
      </c>
      <c r="D297" s="407" t="s">
        <v>1374</v>
      </c>
      <c r="E297" s="3" t="s">
        <v>2053</v>
      </c>
      <c r="F297" s="407" t="s">
        <v>4495</v>
      </c>
      <c r="G297" s="440" t="s">
        <v>4109</v>
      </c>
      <c r="H297" s="407" t="s">
        <v>4316</v>
      </c>
      <c r="I297" s="407" t="s">
        <v>3757</v>
      </c>
      <c r="J297" s="387" t="s">
        <v>4665</v>
      </c>
      <c r="K297" s="387">
        <v>2</v>
      </c>
      <c r="L297" s="387">
        <v>0</v>
      </c>
      <c r="M297" s="387">
        <f t="shared" si="16"/>
        <v>2</v>
      </c>
      <c r="N297" s="442">
        <f t="shared" si="17"/>
        <v>0</v>
      </c>
      <c r="O297" s="387" t="s">
        <v>1358</v>
      </c>
      <c r="P297" s="459">
        <v>0</v>
      </c>
      <c r="Q297" s="459"/>
      <c r="R297" s="456">
        <v>0</v>
      </c>
      <c r="S297" s="456">
        <v>84.426000000000002</v>
      </c>
      <c r="T297" s="410"/>
      <c r="U297" s="411">
        <v>1</v>
      </c>
      <c r="V297" s="411">
        <v>1</v>
      </c>
      <c r="W297" s="411">
        <v>1</v>
      </c>
      <c r="X297" s="411"/>
      <c r="Y297" s="411"/>
      <c r="Z297" s="412">
        <f t="shared" si="18"/>
        <v>0</v>
      </c>
      <c r="AA297" s="456">
        <f t="shared" si="19"/>
        <v>0</v>
      </c>
      <c r="AB297" s="456">
        <v>0</v>
      </c>
      <c r="AC297" s="2"/>
      <c r="AD297" s="4"/>
      <c r="AE297" s="5"/>
      <c r="AF297" s="428"/>
    </row>
    <row r="298" spans="1:32" x14ac:dyDescent="0.25">
      <c r="A298" s="1" t="s">
        <v>2744</v>
      </c>
      <c r="B298" s="3" t="s">
        <v>1368</v>
      </c>
      <c r="C298" s="3" t="s">
        <v>1247</v>
      </c>
      <c r="D298" s="407" t="s">
        <v>1377</v>
      </c>
      <c r="E298" s="3" t="s">
        <v>2054</v>
      </c>
      <c r="F298" s="407" t="s">
        <v>4494</v>
      </c>
      <c r="G298" s="440" t="s">
        <v>4109</v>
      </c>
      <c r="H298" s="407" t="s">
        <v>4315</v>
      </c>
      <c r="I298" s="407" t="s">
        <v>3749</v>
      </c>
      <c r="J298" s="387" t="s">
        <v>4648</v>
      </c>
      <c r="K298" s="387">
        <v>1</v>
      </c>
      <c r="L298" s="387">
        <v>0</v>
      </c>
      <c r="M298" s="387">
        <f t="shared" si="16"/>
        <v>1</v>
      </c>
      <c r="N298" s="442">
        <f t="shared" si="17"/>
        <v>0</v>
      </c>
      <c r="O298" s="387" t="s">
        <v>1358</v>
      </c>
      <c r="P298" s="459">
        <v>0</v>
      </c>
      <c r="Q298" s="459"/>
      <c r="R298" s="456">
        <v>0</v>
      </c>
      <c r="S298" s="456">
        <v>42.164999999999999</v>
      </c>
      <c r="T298" s="410"/>
      <c r="U298" s="411">
        <v>1</v>
      </c>
      <c r="V298" s="411">
        <v>1</v>
      </c>
      <c r="W298" s="411">
        <v>1</v>
      </c>
      <c r="X298" s="411"/>
      <c r="Y298" s="411"/>
      <c r="Z298" s="412">
        <f t="shared" si="18"/>
        <v>0</v>
      </c>
      <c r="AA298" s="456">
        <f t="shared" si="19"/>
        <v>0</v>
      </c>
      <c r="AB298" s="456">
        <v>0</v>
      </c>
      <c r="AC298" s="2"/>
      <c r="AD298" s="4"/>
      <c r="AE298" s="5"/>
      <c r="AF298" s="428"/>
    </row>
    <row r="299" spans="1:32" x14ac:dyDescent="0.25">
      <c r="A299" s="1" t="s">
        <v>2745</v>
      </c>
      <c r="B299" s="3" t="s">
        <v>1368</v>
      </c>
      <c r="C299" s="3" t="s">
        <v>1247</v>
      </c>
      <c r="D299" s="407" t="s">
        <v>1379</v>
      </c>
      <c r="E299" s="3" t="s">
        <v>2055</v>
      </c>
      <c r="F299" s="407" t="s">
        <v>4502</v>
      </c>
      <c r="G299" s="440" t="s">
        <v>4109</v>
      </c>
      <c r="H299" s="407" t="s">
        <v>4323</v>
      </c>
      <c r="I299" s="407" t="s">
        <v>3750</v>
      </c>
      <c r="J299" s="387" t="s">
        <v>4632</v>
      </c>
      <c r="K299" s="387">
        <v>1</v>
      </c>
      <c r="L299" s="387">
        <v>0</v>
      </c>
      <c r="M299" s="387">
        <f t="shared" si="16"/>
        <v>1</v>
      </c>
      <c r="N299" s="442">
        <f t="shared" si="17"/>
        <v>0</v>
      </c>
      <c r="O299" s="387" t="s">
        <v>1358</v>
      </c>
      <c r="P299" s="459">
        <v>0</v>
      </c>
      <c r="Q299" s="459"/>
      <c r="R299" s="456">
        <v>0</v>
      </c>
      <c r="S299" s="456">
        <v>42.164999999999999</v>
      </c>
      <c r="T299" s="410"/>
      <c r="U299" s="411">
        <v>1</v>
      </c>
      <c r="V299" s="411">
        <v>1</v>
      </c>
      <c r="W299" s="411">
        <v>1</v>
      </c>
      <c r="X299" s="411"/>
      <c r="Y299" s="411"/>
      <c r="Z299" s="412">
        <f t="shared" si="18"/>
        <v>0</v>
      </c>
      <c r="AA299" s="456">
        <f t="shared" si="19"/>
        <v>0</v>
      </c>
      <c r="AB299" s="456">
        <v>0</v>
      </c>
      <c r="AC299" s="2"/>
      <c r="AD299" s="4"/>
      <c r="AE299" s="5"/>
      <c r="AF299" s="428"/>
    </row>
    <row r="300" spans="1:32" x14ac:dyDescent="0.25">
      <c r="A300" s="1" t="s">
        <v>2746</v>
      </c>
      <c r="B300" s="3" t="s">
        <v>1368</v>
      </c>
      <c r="C300" s="3" t="s">
        <v>1247</v>
      </c>
      <c r="D300" s="407" t="s">
        <v>1381</v>
      </c>
      <c r="E300" s="3" t="s">
        <v>2056</v>
      </c>
      <c r="F300" s="407" t="s">
        <v>4497</v>
      </c>
      <c r="G300" s="440" t="s">
        <v>4109</v>
      </c>
      <c r="H300" s="407" t="s">
        <v>4318</v>
      </c>
      <c r="I300" s="407" t="s">
        <v>3751</v>
      </c>
      <c r="J300" s="387" t="s">
        <v>4631</v>
      </c>
      <c r="K300" s="387">
        <v>1</v>
      </c>
      <c r="L300" s="387">
        <v>0</v>
      </c>
      <c r="M300" s="387">
        <f t="shared" si="16"/>
        <v>1</v>
      </c>
      <c r="N300" s="442">
        <f t="shared" si="17"/>
        <v>0</v>
      </c>
      <c r="O300" s="387" t="s">
        <v>1358</v>
      </c>
      <c r="P300" s="459">
        <v>0</v>
      </c>
      <c r="Q300" s="459"/>
      <c r="R300" s="456">
        <v>0</v>
      </c>
      <c r="S300" s="456">
        <v>42.164999999999999</v>
      </c>
      <c r="T300" s="410"/>
      <c r="U300" s="411">
        <v>1</v>
      </c>
      <c r="V300" s="411">
        <v>1</v>
      </c>
      <c r="W300" s="411">
        <v>1</v>
      </c>
      <c r="X300" s="411"/>
      <c r="Y300" s="411"/>
      <c r="Z300" s="412">
        <f t="shared" si="18"/>
        <v>0</v>
      </c>
      <c r="AA300" s="456">
        <f t="shared" si="19"/>
        <v>0</v>
      </c>
      <c r="AB300" s="456">
        <v>0</v>
      </c>
      <c r="AC300" s="2"/>
      <c r="AD300" s="4"/>
      <c r="AE300" s="5"/>
      <c r="AF300" s="428"/>
    </row>
    <row r="301" spans="1:32" x14ac:dyDescent="0.25">
      <c r="A301" s="1" t="s">
        <v>2747</v>
      </c>
      <c r="B301" s="3" t="s">
        <v>1368</v>
      </c>
      <c r="C301" s="3" t="s">
        <v>1247</v>
      </c>
      <c r="D301" s="407" t="s">
        <v>1396</v>
      </c>
      <c r="E301" s="3" t="s">
        <v>2057</v>
      </c>
      <c r="F301" s="407" t="s">
        <v>4498</v>
      </c>
      <c r="G301" s="440" t="s">
        <v>4109</v>
      </c>
      <c r="H301" s="407" t="s">
        <v>4319</v>
      </c>
      <c r="I301" s="407" t="s">
        <v>3752</v>
      </c>
      <c r="J301" s="387" t="s">
        <v>4652</v>
      </c>
      <c r="K301" s="387">
        <v>1</v>
      </c>
      <c r="L301" s="387">
        <v>0</v>
      </c>
      <c r="M301" s="387">
        <f t="shared" si="16"/>
        <v>1</v>
      </c>
      <c r="N301" s="442">
        <f t="shared" si="17"/>
        <v>0</v>
      </c>
      <c r="O301" s="387" t="s">
        <v>1358</v>
      </c>
      <c r="P301" s="459">
        <v>0</v>
      </c>
      <c r="Q301" s="459"/>
      <c r="R301" s="456">
        <v>0</v>
      </c>
      <c r="S301" s="456">
        <v>42.164999999999999</v>
      </c>
      <c r="T301" s="410"/>
      <c r="U301" s="411">
        <v>1</v>
      </c>
      <c r="V301" s="411">
        <v>1</v>
      </c>
      <c r="W301" s="411">
        <v>1</v>
      </c>
      <c r="X301" s="411"/>
      <c r="Y301" s="411"/>
      <c r="Z301" s="412">
        <f t="shared" si="18"/>
        <v>0</v>
      </c>
      <c r="AA301" s="456">
        <f t="shared" si="19"/>
        <v>0</v>
      </c>
      <c r="AB301" s="456">
        <v>0</v>
      </c>
      <c r="AC301" s="2"/>
      <c r="AD301" s="4"/>
      <c r="AE301" s="5"/>
      <c r="AF301" s="428"/>
    </row>
    <row r="302" spans="1:32" x14ac:dyDescent="0.25">
      <c r="A302" s="1" t="s">
        <v>2748</v>
      </c>
      <c r="B302" s="3" t="s">
        <v>1368</v>
      </c>
      <c r="C302" s="3" t="s">
        <v>1247</v>
      </c>
      <c r="D302" s="407" t="s">
        <v>1425</v>
      </c>
      <c r="E302" s="3" t="s">
        <v>2058</v>
      </c>
      <c r="F302" s="407" t="s">
        <v>4479</v>
      </c>
      <c r="G302" s="440" t="s">
        <v>4109</v>
      </c>
      <c r="H302" s="407" t="s">
        <v>4300</v>
      </c>
      <c r="I302" s="407" t="s">
        <v>3781</v>
      </c>
      <c r="J302" s="387" t="s">
        <v>4643</v>
      </c>
      <c r="K302" s="387">
        <v>1</v>
      </c>
      <c r="L302" s="387">
        <v>0</v>
      </c>
      <c r="M302" s="387">
        <f t="shared" si="16"/>
        <v>1</v>
      </c>
      <c r="N302" s="442">
        <f t="shared" si="17"/>
        <v>0</v>
      </c>
      <c r="O302" s="387" t="s">
        <v>1358</v>
      </c>
      <c r="P302" s="459">
        <v>0</v>
      </c>
      <c r="Q302" s="459"/>
      <c r="R302" s="456">
        <v>0</v>
      </c>
      <c r="S302" s="456">
        <v>31.143000000000001</v>
      </c>
      <c r="T302" s="410"/>
      <c r="U302" s="411">
        <v>1</v>
      </c>
      <c r="V302" s="411">
        <v>1</v>
      </c>
      <c r="W302" s="411">
        <v>1</v>
      </c>
      <c r="X302" s="411"/>
      <c r="Y302" s="411"/>
      <c r="Z302" s="412">
        <f t="shared" si="18"/>
        <v>0</v>
      </c>
      <c r="AA302" s="456">
        <f t="shared" si="19"/>
        <v>0</v>
      </c>
      <c r="AB302" s="456">
        <v>0</v>
      </c>
      <c r="AC302" s="2"/>
      <c r="AD302" s="4"/>
      <c r="AE302" s="5"/>
      <c r="AF302" s="428"/>
    </row>
    <row r="303" spans="1:32" x14ac:dyDescent="0.25">
      <c r="A303" s="1" t="s">
        <v>2749</v>
      </c>
      <c r="B303" s="3" t="s">
        <v>1368</v>
      </c>
      <c r="C303" s="3" t="s">
        <v>1247</v>
      </c>
      <c r="D303" s="407" t="s">
        <v>1426</v>
      </c>
      <c r="E303" s="3" t="s">
        <v>2059</v>
      </c>
      <c r="F303" s="407" t="s">
        <v>4480</v>
      </c>
      <c r="G303" s="440" t="s">
        <v>4109</v>
      </c>
      <c r="H303" s="407" t="s">
        <v>4301</v>
      </c>
      <c r="I303" s="407" t="s">
        <v>3782</v>
      </c>
      <c r="J303" s="387" t="s">
        <v>4637</v>
      </c>
      <c r="K303" s="387">
        <v>1</v>
      </c>
      <c r="L303" s="387">
        <v>0</v>
      </c>
      <c r="M303" s="387">
        <f t="shared" si="16"/>
        <v>1</v>
      </c>
      <c r="N303" s="442">
        <f t="shared" si="17"/>
        <v>0</v>
      </c>
      <c r="O303" s="387" t="s">
        <v>1358</v>
      </c>
      <c r="P303" s="459">
        <v>0</v>
      </c>
      <c r="Q303" s="459"/>
      <c r="R303" s="456">
        <v>0</v>
      </c>
      <c r="S303" s="456">
        <v>31.143000000000001</v>
      </c>
      <c r="T303" s="410"/>
      <c r="U303" s="411">
        <v>0</v>
      </c>
      <c r="V303" s="411">
        <v>0</v>
      </c>
      <c r="W303" s="411">
        <v>0</v>
      </c>
      <c r="X303" s="411"/>
      <c r="Y303" s="411"/>
      <c r="Z303" s="412">
        <f t="shared" si="18"/>
        <v>0</v>
      </c>
      <c r="AA303" s="456">
        <f t="shared" si="19"/>
        <v>0</v>
      </c>
      <c r="AB303" s="456">
        <v>0</v>
      </c>
      <c r="AC303" s="2"/>
      <c r="AD303" s="4"/>
      <c r="AE303" s="5"/>
      <c r="AF303" s="428"/>
    </row>
    <row r="304" spans="1:32" x14ac:dyDescent="0.25">
      <c r="A304" s="1" t="s">
        <v>2750</v>
      </c>
      <c r="B304" s="3" t="s">
        <v>1368</v>
      </c>
      <c r="C304" s="3" t="s">
        <v>1247</v>
      </c>
      <c r="D304" s="407" t="s">
        <v>1427</v>
      </c>
      <c r="E304" s="3" t="s">
        <v>2060</v>
      </c>
      <c r="F304" s="407" t="s">
        <v>4485</v>
      </c>
      <c r="G304" s="440" t="s">
        <v>4109</v>
      </c>
      <c r="H304" s="407" t="s">
        <v>4306</v>
      </c>
      <c r="I304" s="407" t="s">
        <v>3787</v>
      </c>
      <c r="J304" s="387" t="s">
        <v>4638</v>
      </c>
      <c r="K304" s="387">
        <v>1</v>
      </c>
      <c r="L304" s="387">
        <v>0</v>
      </c>
      <c r="M304" s="387">
        <f t="shared" si="16"/>
        <v>1</v>
      </c>
      <c r="N304" s="442">
        <f t="shared" si="17"/>
        <v>0</v>
      </c>
      <c r="O304" s="387" t="s">
        <v>1358</v>
      </c>
      <c r="P304" s="459">
        <v>0</v>
      </c>
      <c r="Q304" s="459"/>
      <c r="R304" s="456">
        <v>0</v>
      </c>
      <c r="S304" s="456">
        <v>31.138000000000002</v>
      </c>
      <c r="T304" s="410"/>
      <c r="U304" s="411">
        <v>0</v>
      </c>
      <c r="V304" s="411">
        <v>0</v>
      </c>
      <c r="W304" s="411">
        <v>0</v>
      </c>
      <c r="X304" s="411"/>
      <c r="Y304" s="411"/>
      <c r="Z304" s="412">
        <f t="shared" si="18"/>
        <v>0</v>
      </c>
      <c r="AA304" s="456">
        <f t="shared" si="19"/>
        <v>0</v>
      </c>
      <c r="AB304" s="456">
        <v>0</v>
      </c>
      <c r="AC304" s="2"/>
      <c r="AD304" s="4"/>
      <c r="AE304" s="5"/>
      <c r="AF304" s="428"/>
    </row>
    <row r="305" spans="1:32" x14ac:dyDescent="0.25">
      <c r="A305" s="1" t="s">
        <v>2751</v>
      </c>
      <c r="B305" s="3" t="s">
        <v>1368</v>
      </c>
      <c r="C305" s="3" t="s">
        <v>1247</v>
      </c>
      <c r="D305" s="407" t="s">
        <v>1428</v>
      </c>
      <c r="E305" s="3" t="s">
        <v>2061</v>
      </c>
      <c r="F305" s="407" t="s">
        <v>4486</v>
      </c>
      <c r="G305" s="440" t="s">
        <v>4109</v>
      </c>
      <c r="H305" s="407" t="s">
        <v>4307</v>
      </c>
      <c r="I305" s="407" t="s">
        <v>3788</v>
      </c>
      <c r="J305" s="387" t="s">
        <v>4639</v>
      </c>
      <c r="K305" s="387">
        <v>1</v>
      </c>
      <c r="L305" s="387">
        <v>0</v>
      </c>
      <c r="M305" s="387">
        <f t="shared" si="16"/>
        <v>1</v>
      </c>
      <c r="N305" s="442">
        <f t="shared" si="17"/>
        <v>0</v>
      </c>
      <c r="O305" s="387" t="s">
        <v>1358</v>
      </c>
      <c r="P305" s="459">
        <v>0</v>
      </c>
      <c r="Q305" s="459"/>
      <c r="R305" s="456">
        <v>0</v>
      </c>
      <c r="S305" s="456">
        <v>31.143000000000001</v>
      </c>
      <c r="T305" s="410"/>
      <c r="U305" s="411">
        <v>0</v>
      </c>
      <c r="V305" s="411">
        <v>0</v>
      </c>
      <c r="W305" s="411">
        <v>0</v>
      </c>
      <c r="X305" s="411"/>
      <c r="Y305" s="411"/>
      <c r="Z305" s="412">
        <f t="shared" si="18"/>
        <v>0</v>
      </c>
      <c r="AA305" s="456">
        <f t="shared" si="19"/>
        <v>0</v>
      </c>
      <c r="AB305" s="456">
        <v>0</v>
      </c>
      <c r="AC305" s="2"/>
      <c r="AD305" s="4"/>
      <c r="AE305" s="5"/>
      <c r="AF305" s="428"/>
    </row>
    <row r="306" spans="1:32" x14ac:dyDescent="0.25">
      <c r="A306" s="1" t="s">
        <v>2752</v>
      </c>
      <c r="B306" s="3" t="s">
        <v>1368</v>
      </c>
      <c r="C306" s="3" t="s">
        <v>1247</v>
      </c>
      <c r="D306" s="407" t="s">
        <v>1429</v>
      </c>
      <c r="E306" s="3" t="s">
        <v>2062</v>
      </c>
      <c r="F306" s="407" t="s">
        <v>4487</v>
      </c>
      <c r="G306" s="440" t="s">
        <v>4109</v>
      </c>
      <c r="H306" s="407" t="s">
        <v>4308</v>
      </c>
      <c r="I306" s="407" t="s">
        <v>3789</v>
      </c>
      <c r="J306" s="387" t="s">
        <v>4640</v>
      </c>
      <c r="K306" s="387">
        <v>1</v>
      </c>
      <c r="L306" s="387">
        <v>0</v>
      </c>
      <c r="M306" s="387">
        <f t="shared" si="16"/>
        <v>1</v>
      </c>
      <c r="N306" s="442">
        <f t="shared" si="17"/>
        <v>0</v>
      </c>
      <c r="O306" s="387" t="s">
        <v>1358</v>
      </c>
      <c r="P306" s="459">
        <v>0</v>
      </c>
      <c r="Q306" s="459"/>
      <c r="R306" s="456">
        <v>0</v>
      </c>
      <c r="S306" s="456">
        <v>31.143000000000001</v>
      </c>
      <c r="T306" s="410"/>
      <c r="U306" s="411">
        <v>0</v>
      </c>
      <c r="V306" s="411">
        <v>0</v>
      </c>
      <c r="W306" s="411">
        <v>0</v>
      </c>
      <c r="X306" s="411"/>
      <c r="Y306" s="411"/>
      <c r="Z306" s="412">
        <f t="shared" si="18"/>
        <v>0</v>
      </c>
      <c r="AA306" s="456">
        <f t="shared" si="19"/>
        <v>0</v>
      </c>
      <c r="AB306" s="456">
        <v>0</v>
      </c>
      <c r="AC306" s="2"/>
      <c r="AD306" s="4"/>
      <c r="AE306" s="5"/>
      <c r="AF306" s="428"/>
    </row>
    <row r="307" spans="1:32" x14ac:dyDescent="0.25">
      <c r="A307" s="1" t="s">
        <v>2753</v>
      </c>
      <c r="B307" s="3" t="s">
        <v>1368</v>
      </c>
      <c r="C307" s="3" t="s">
        <v>1247</v>
      </c>
      <c r="D307" s="407" t="s">
        <v>1430</v>
      </c>
      <c r="E307" s="3" t="s">
        <v>2063</v>
      </c>
      <c r="F307" s="407" t="s">
        <v>4488</v>
      </c>
      <c r="G307" s="440" t="s">
        <v>4109</v>
      </c>
      <c r="H307" s="407" t="s">
        <v>4309</v>
      </c>
      <c r="I307" s="407" t="s">
        <v>3790</v>
      </c>
      <c r="J307" s="387" t="s">
        <v>4641</v>
      </c>
      <c r="K307" s="387">
        <v>1</v>
      </c>
      <c r="L307" s="387">
        <v>0</v>
      </c>
      <c r="M307" s="387">
        <f t="shared" si="16"/>
        <v>1</v>
      </c>
      <c r="N307" s="442">
        <f t="shared" si="17"/>
        <v>0</v>
      </c>
      <c r="O307" s="387" t="s">
        <v>1358</v>
      </c>
      <c r="P307" s="459">
        <v>0</v>
      </c>
      <c r="Q307" s="459"/>
      <c r="R307" s="456">
        <v>0</v>
      </c>
      <c r="S307" s="456">
        <v>31.143000000000001</v>
      </c>
      <c r="T307" s="410"/>
      <c r="U307" s="411">
        <v>0</v>
      </c>
      <c r="V307" s="411">
        <v>0</v>
      </c>
      <c r="W307" s="411">
        <v>0</v>
      </c>
      <c r="X307" s="411"/>
      <c r="Y307" s="411"/>
      <c r="Z307" s="412">
        <f t="shared" si="18"/>
        <v>0</v>
      </c>
      <c r="AA307" s="456">
        <f t="shared" si="19"/>
        <v>0</v>
      </c>
      <c r="AB307" s="456">
        <v>0</v>
      </c>
      <c r="AC307" s="2"/>
      <c r="AD307" s="4"/>
      <c r="AE307" s="5"/>
      <c r="AF307" s="428"/>
    </row>
    <row r="308" spans="1:32" x14ac:dyDescent="0.25">
      <c r="A308" s="1" t="s">
        <v>2754</v>
      </c>
      <c r="B308" s="3" t="s">
        <v>1368</v>
      </c>
      <c r="C308" s="3" t="s">
        <v>1247</v>
      </c>
      <c r="D308" s="407" t="s">
        <v>1431</v>
      </c>
      <c r="E308" s="3" t="s">
        <v>2064</v>
      </c>
      <c r="F308" s="407" t="s">
        <v>4489</v>
      </c>
      <c r="G308" s="440" t="s">
        <v>4109</v>
      </c>
      <c r="H308" s="407" t="s">
        <v>4310</v>
      </c>
      <c r="I308" s="407" t="s">
        <v>3791</v>
      </c>
      <c r="J308" s="387" t="s">
        <v>4642</v>
      </c>
      <c r="K308" s="387">
        <v>1</v>
      </c>
      <c r="L308" s="387">
        <v>0</v>
      </c>
      <c r="M308" s="387">
        <f t="shared" si="16"/>
        <v>1</v>
      </c>
      <c r="N308" s="442">
        <f t="shared" si="17"/>
        <v>0</v>
      </c>
      <c r="O308" s="387" t="s">
        <v>1358</v>
      </c>
      <c r="P308" s="459">
        <v>0</v>
      </c>
      <c r="Q308" s="459"/>
      <c r="R308" s="456">
        <v>0</v>
      </c>
      <c r="S308" s="456">
        <v>31.143000000000001</v>
      </c>
      <c r="T308" s="410"/>
      <c r="U308" s="411">
        <v>0</v>
      </c>
      <c r="V308" s="411">
        <v>0</v>
      </c>
      <c r="W308" s="411">
        <v>0</v>
      </c>
      <c r="X308" s="411"/>
      <c r="Y308" s="411"/>
      <c r="Z308" s="412">
        <f t="shared" si="18"/>
        <v>0</v>
      </c>
      <c r="AA308" s="456">
        <f t="shared" si="19"/>
        <v>0</v>
      </c>
      <c r="AB308" s="456">
        <v>0</v>
      </c>
      <c r="AC308" s="2"/>
      <c r="AD308" s="4"/>
      <c r="AE308" s="5"/>
      <c r="AF308" s="428"/>
    </row>
    <row r="309" spans="1:32" x14ac:dyDescent="0.25">
      <c r="A309" s="1" t="s">
        <v>2755</v>
      </c>
      <c r="B309" s="3" t="s">
        <v>1368</v>
      </c>
      <c r="C309" s="3" t="s">
        <v>1247</v>
      </c>
      <c r="D309" s="407" t="s">
        <v>1397</v>
      </c>
      <c r="E309" s="3" t="s">
        <v>2065</v>
      </c>
      <c r="F309" s="407" t="s">
        <v>4493</v>
      </c>
      <c r="G309" s="440" t="s">
        <v>4109</v>
      </c>
      <c r="H309" s="407" t="s">
        <v>4314</v>
      </c>
      <c r="I309" s="407" t="s">
        <v>3795</v>
      </c>
      <c r="J309" s="387" t="s">
        <v>4647</v>
      </c>
      <c r="K309" s="387">
        <v>1</v>
      </c>
      <c r="L309" s="387">
        <v>0</v>
      </c>
      <c r="M309" s="387">
        <f t="shared" si="16"/>
        <v>1</v>
      </c>
      <c r="N309" s="442">
        <f t="shared" si="17"/>
        <v>0</v>
      </c>
      <c r="O309" s="387" t="s">
        <v>1358</v>
      </c>
      <c r="P309" s="459">
        <v>0</v>
      </c>
      <c r="Q309" s="459"/>
      <c r="R309" s="456">
        <v>0</v>
      </c>
      <c r="S309" s="456">
        <v>42.164999999999999</v>
      </c>
      <c r="T309" s="410"/>
      <c r="U309" s="411">
        <v>1</v>
      </c>
      <c r="V309" s="411">
        <v>1</v>
      </c>
      <c r="W309" s="411">
        <v>1</v>
      </c>
      <c r="X309" s="411"/>
      <c r="Y309" s="411"/>
      <c r="Z309" s="412">
        <f t="shared" si="18"/>
        <v>0</v>
      </c>
      <c r="AA309" s="456">
        <f t="shared" si="19"/>
        <v>0</v>
      </c>
      <c r="AB309" s="456">
        <v>0</v>
      </c>
      <c r="AC309" s="2"/>
      <c r="AD309" s="4"/>
      <c r="AE309" s="5"/>
      <c r="AF309" s="428"/>
    </row>
    <row r="310" spans="1:32" x14ac:dyDescent="0.25">
      <c r="A310" s="1" t="s">
        <v>2756</v>
      </c>
      <c r="B310" s="3" t="s">
        <v>1368</v>
      </c>
      <c r="C310" s="3" t="s">
        <v>1247</v>
      </c>
      <c r="D310" s="407" t="s">
        <v>1432</v>
      </c>
      <c r="E310" s="3" t="s">
        <v>2066</v>
      </c>
      <c r="F310" s="407" t="s">
        <v>4483</v>
      </c>
      <c r="G310" s="440" t="s">
        <v>4109</v>
      </c>
      <c r="H310" s="407" t="s">
        <v>4304</v>
      </c>
      <c r="I310" s="407" t="s">
        <v>3785</v>
      </c>
      <c r="J310" s="387" t="s">
        <v>4635</v>
      </c>
      <c r="K310" s="387">
        <v>1</v>
      </c>
      <c r="L310" s="387">
        <v>0</v>
      </c>
      <c r="M310" s="387">
        <f t="shared" si="16"/>
        <v>1</v>
      </c>
      <c r="N310" s="442">
        <f t="shared" si="17"/>
        <v>0</v>
      </c>
      <c r="O310" s="387" t="s">
        <v>1358</v>
      </c>
      <c r="P310" s="459">
        <v>0</v>
      </c>
      <c r="Q310" s="459"/>
      <c r="R310" s="456">
        <v>0</v>
      </c>
      <c r="S310" s="456">
        <v>31.143000000000001</v>
      </c>
      <c r="T310" s="410"/>
      <c r="U310" s="411">
        <v>0</v>
      </c>
      <c r="V310" s="411">
        <v>0</v>
      </c>
      <c r="W310" s="411">
        <v>0</v>
      </c>
      <c r="X310" s="411"/>
      <c r="Y310" s="411"/>
      <c r="Z310" s="412">
        <f t="shared" si="18"/>
        <v>0</v>
      </c>
      <c r="AA310" s="456">
        <f t="shared" si="19"/>
        <v>0</v>
      </c>
      <c r="AB310" s="456">
        <v>0</v>
      </c>
      <c r="AC310" s="2"/>
      <c r="AD310" s="4"/>
      <c r="AE310" s="5"/>
      <c r="AF310" s="428"/>
    </row>
    <row r="311" spans="1:32" x14ac:dyDescent="0.25">
      <c r="A311" s="1" t="s">
        <v>2757</v>
      </c>
      <c r="B311" s="3" t="s">
        <v>1368</v>
      </c>
      <c r="C311" s="3" t="s">
        <v>1247</v>
      </c>
      <c r="D311" s="407" t="s">
        <v>1433</v>
      </c>
      <c r="E311" s="3" t="s">
        <v>2067</v>
      </c>
      <c r="F311" s="407" t="s">
        <v>4490</v>
      </c>
      <c r="G311" s="440" t="s">
        <v>4109</v>
      </c>
      <c r="H311" s="407" t="s">
        <v>4311</v>
      </c>
      <c r="I311" s="407" t="s">
        <v>3792</v>
      </c>
      <c r="J311" s="387" t="s">
        <v>4644</v>
      </c>
      <c r="K311" s="387">
        <v>1</v>
      </c>
      <c r="L311" s="387">
        <v>0</v>
      </c>
      <c r="M311" s="387">
        <f t="shared" si="16"/>
        <v>1</v>
      </c>
      <c r="N311" s="442">
        <f t="shared" si="17"/>
        <v>0</v>
      </c>
      <c r="O311" s="387" t="s">
        <v>1358</v>
      </c>
      <c r="P311" s="459">
        <v>0</v>
      </c>
      <c r="Q311" s="459"/>
      <c r="R311" s="456">
        <v>0</v>
      </c>
      <c r="S311" s="456">
        <v>31.143000000000001</v>
      </c>
      <c r="T311" s="410"/>
      <c r="U311" s="411">
        <v>0</v>
      </c>
      <c r="V311" s="411">
        <v>0</v>
      </c>
      <c r="W311" s="411">
        <v>0</v>
      </c>
      <c r="X311" s="411"/>
      <c r="Y311" s="411"/>
      <c r="Z311" s="412">
        <f t="shared" si="18"/>
        <v>0</v>
      </c>
      <c r="AA311" s="456">
        <f t="shared" si="19"/>
        <v>0</v>
      </c>
      <c r="AB311" s="456">
        <v>0</v>
      </c>
      <c r="AC311" s="2"/>
      <c r="AD311" s="4"/>
      <c r="AE311" s="5"/>
      <c r="AF311" s="428"/>
    </row>
    <row r="312" spans="1:32" x14ac:dyDescent="0.25">
      <c r="A312" s="1" t="s">
        <v>2758</v>
      </c>
      <c r="B312" s="3" t="s">
        <v>1368</v>
      </c>
      <c r="C312" s="3" t="s">
        <v>1247</v>
      </c>
      <c r="D312" s="407" t="s">
        <v>1432</v>
      </c>
      <c r="E312" s="3" t="s">
        <v>2068</v>
      </c>
      <c r="F312" s="407" t="s">
        <v>4483</v>
      </c>
      <c r="G312" s="440" t="s">
        <v>4109</v>
      </c>
      <c r="H312" s="407" t="s">
        <v>4304</v>
      </c>
      <c r="I312" s="407" t="s">
        <v>3785</v>
      </c>
      <c r="J312" s="387" t="s">
        <v>4635</v>
      </c>
      <c r="K312" s="387">
        <v>1</v>
      </c>
      <c r="L312" s="387">
        <v>0</v>
      </c>
      <c r="M312" s="387">
        <f t="shared" si="16"/>
        <v>1</v>
      </c>
      <c r="N312" s="442">
        <f t="shared" si="17"/>
        <v>0</v>
      </c>
      <c r="O312" s="387" t="s">
        <v>1358</v>
      </c>
      <c r="P312" s="459">
        <v>0</v>
      </c>
      <c r="Q312" s="459"/>
      <c r="R312" s="456">
        <v>0</v>
      </c>
      <c r="S312" s="456">
        <v>25.099</v>
      </c>
      <c r="T312" s="410"/>
      <c r="U312" s="411">
        <v>0</v>
      </c>
      <c r="V312" s="411">
        <v>0</v>
      </c>
      <c r="W312" s="411">
        <v>0</v>
      </c>
      <c r="X312" s="411"/>
      <c r="Y312" s="411"/>
      <c r="Z312" s="412">
        <f t="shared" si="18"/>
        <v>0</v>
      </c>
      <c r="AA312" s="456">
        <f t="shared" si="19"/>
        <v>0</v>
      </c>
      <c r="AB312" s="456">
        <v>0</v>
      </c>
      <c r="AC312" s="2"/>
      <c r="AD312" s="4"/>
      <c r="AE312" s="5"/>
      <c r="AF312" s="428"/>
    </row>
    <row r="313" spans="1:32" x14ac:dyDescent="0.25">
      <c r="A313" s="1" t="s">
        <v>2759</v>
      </c>
      <c r="B313" s="3" t="s">
        <v>1368</v>
      </c>
      <c r="C313" s="3" t="s">
        <v>1247</v>
      </c>
      <c r="D313" s="407" t="s">
        <v>1433</v>
      </c>
      <c r="E313" s="3" t="s">
        <v>2069</v>
      </c>
      <c r="F313" s="407" t="s">
        <v>4490</v>
      </c>
      <c r="G313" s="440" t="s">
        <v>4109</v>
      </c>
      <c r="H313" s="407" t="s">
        <v>4311</v>
      </c>
      <c r="I313" s="407" t="s">
        <v>3792</v>
      </c>
      <c r="J313" s="387" t="s">
        <v>4644</v>
      </c>
      <c r="K313" s="387">
        <v>1</v>
      </c>
      <c r="L313" s="387">
        <v>0</v>
      </c>
      <c r="M313" s="387">
        <f t="shared" si="16"/>
        <v>1</v>
      </c>
      <c r="N313" s="442">
        <f t="shared" si="17"/>
        <v>0</v>
      </c>
      <c r="O313" s="387" t="s">
        <v>1358</v>
      </c>
      <c r="P313" s="459">
        <v>0</v>
      </c>
      <c r="Q313" s="459"/>
      <c r="R313" s="456">
        <v>0</v>
      </c>
      <c r="S313" s="456">
        <v>25.099</v>
      </c>
      <c r="T313" s="410"/>
      <c r="U313" s="411">
        <v>0</v>
      </c>
      <c r="V313" s="411">
        <v>0</v>
      </c>
      <c r="W313" s="411">
        <v>0</v>
      </c>
      <c r="X313" s="411"/>
      <c r="Y313" s="411"/>
      <c r="Z313" s="412">
        <f t="shared" si="18"/>
        <v>0</v>
      </c>
      <c r="AA313" s="456">
        <f t="shared" si="19"/>
        <v>0</v>
      </c>
      <c r="AB313" s="456">
        <v>0</v>
      </c>
      <c r="AC313" s="2"/>
      <c r="AD313" s="4"/>
      <c r="AE313" s="5"/>
      <c r="AF313" s="428"/>
    </row>
    <row r="314" spans="1:32" x14ac:dyDescent="0.25">
      <c r="A314" s="1" t="s">
        <v>2760</v>
      </c>
      <c r="B314" s="3" t="s">
        <v>1368</v>
      </c>
      <c r="C314" s="3" t="s">
        <v>1247</v>
      </c>
      <c r="D314" s="407" t="s">
        <v>1427</v>
      </c>
      <c r="E314" s="3" t="s">
        <v>2070</v>
      </c>
      <c r="F314" s="407" t="s">
        <v>4485</v>
      </c>
      <c r="G314" s="440" t="s">
        <v>4109</v>
      </c>
      <c r="H314" s="407" t="s">
        <v>4306</v>
      </c>
      <c r="I314" s="407" t="s">
        <v>3787</v>
      </c>
      <c r="J314" s="387" t="s">
        <v>4638</v>
      </c>
      <c r="K314" s="387">
        <v>1</v>
      </c>
      <c r="L314" s="387">
        <v>0</v>
      </c>
      <c r="M314" s="387">
        <f t="shared" si="16"/>
        <v>1</v>
      </c>
      <c r="N314" s="442">
        <f t="shared" si="17"/>
        <v>0</v>
      </c>
      <c r="O314" s="387" t="s">
        <v>1358</v>
      </c>
      <c r="P314" s="459">
        <v>0</v>
      </c>
      <c r="Q314" s="459"/>
      <c r="R314" s="456">
        <v>0</v>
      </c>
      <c r="S314" s="456">
        <v>25.099</v>
      </c>
      <c r="T314" s="410"/>
      <c r="U314" s="411">
        <v>0</v>
      </c>
      <c r="V314" s="411">
        <v>0</v>
      </c>
      <c r="W314" s="411">
        <v>0</v>
      </c>
      <c r="X314" s="411"/>
      <c r="Y314" s="411"/>
      <c r="Z314" s="412">
        <f t="shared" si="18"/>
        <v>0</v>
      </c>
      <c r="AA314" s="456">
        <f t="shared" si="19"/>
        <v>0</v>
      </c>
      <c r="AB314" s="456">
        <v>0</v>
      </c>
      <c r="AC314" s="2"/>
      <c r="AD314" s="4"/>
      <c r="AE314" s="5"/>
      <c r="AF314" s="428"/>
    </row>
    <row r="315" spans="1:32" x14ac:dyDescent="0.25">
      <c r="A315" s="1" t="s">
        <v>2761</v>
      </c>
      <c r="B315" s="3" t="s">
        <v>1368</v>
      </c>
      <c r="C315" s="3" t="s">
        <v>1247</v>
      </c>
      <c r="D315" s="407" t="s">
        <v>1428</v>
      </c>
      <c r="E315" s="3" t="s">
        <v>2071</v>
      </c>
      <c r="F315" s="407" t="s">
        <v>4486</v>
      </c>
      <c r="G315" s="440" t="s">
        <v>4109</v>
      </c>
      <c r="H315" s="407" t="s">
        <v>4307</v>
      </c>
      <c r="I315" s="407" t="s">
        <v>3788</v>
      </c>
      <c r="J315" s="387" t="s">
        <v>4639</v>
      </c>
      <c r="K315" s="387">
        <v>1</v>
      </c>
      <c r="L315" s="387">
        <v>0</v>
      </c>
      <c r="M315" s="387">
        <f t="shared" si="16"/>
        <v>1</v>
      </c>
      <c r="N315" s="442">
        <f t="shared" si="17"/>
        <v>0</v>
      </c>
      <c r="O315" s="387" t="s">
        <v>1358</v>
      </c>
      <c r="P315" s="459">
        <v>0</v>
      </c>
      <c r="Q315" s="459"/>
      <c r="R315" s="456">
        <v>0</v>
      </c>
      <c r="S315" s="456">
        <v>25.099</v>
      </c>
      <c r="T315" s="410"/>
      <c r="U315" s="411">
        <v>0</v>
      </c>
      <c r="V315" s="411">
        <v>0</v>
      </c>
      <c r="W315" s="411">
        <v>0</v>
      </c>
      <c r="X315" s="411"/>
      <c r="Y315" s="411"/>
      <c r="Z315" s="412">
        <f t="shared" si="18"/>
        <v>0</v>
      </c>
      <c r="AA315" s="456">
        <f t="shared" si="19"/>
        <v>0</v>
      </c>
      <c r="AB315" s="456">
        <v>0</v>
      </c>
      <c r="AC315" s="2"/>
      <c r="AD315" s="4"/>
      <c r="AE315" s="5"/>
      <c r="AF315" s="428"/>
    </row>
    <row r="316" spans="1:32" x14ac:dyDescent="0.25">
      <c r="A316" s="1" t="s">
        <v>2762</v>
      </c>
      <c r="B316" s="3" t="s">
        <v>1368</v>
      </c>
      <c r="C316" s="3" t="s">
        <v>1247</v>
      </c>
      <c r="D316" s="407" t="s">
        <v>1429</v>
      </c>
      <c r="E316" s="3" t="s">
        <v>2072</v>
      </c>
      <c r="F316" s="407" t="s">
        <v>4487</v>
      </c>
      <c r="G316" s="440" t="s">
        <v>4109</v>
      </c>
      <c r="H316" s="407" t="s">
        <v>4308</v>
      </c>
      <c r="I316" s="407" t="s">
        <v>3789</v>
      </c>
      <c r="J316" s="387" t="s">
        <v>4640</v>
      </c>
      <c r="K316" s="387">
        <v>1</v>
      </c>
      <c r="L316" s="387">
        <v>0</v>
      </c>
      <c r="M316" s="387">
        <f t="shared" si="16"/>
        <v>1</v>
      </c>
      <c r="N316" s="442">
        <f t="shared" si="17"/>
        <v>0</v>
      </c>
      <c r="O316" s="387" t="s">
        <v>1358</v>
      </c>
      <c r="P316" s="459">
        <v>0</v>
      </c>
      <c r="Q316" s="459"/>
      <c r="R316" s="456">
        <v>0</v>
      </c>
      <c r="S316" s="456">
        <v>25.099</v>
      </c>
      <c r="T316" s="410"/>
      <c r="U316" s="411">
        <v>0</v>
      </c>
      <c r="V316" s="411">
        <v>0</v>
      </c>
      <c r="W316" s="411">
        <v>0</v>
      </c>
      <c r="X316" s="411"/>
      <c r="Y316" s="411"/>
      <c r="Z316" s="412">
        <f t="shared" si="18"/>
        <v>0</v>
      </c>
      <c r="AA316" s="456">
        <f t="shared" si="19"/>
        <v>0</v>
      </c>
      <c r="AB316" s="456">
        <v>0</v>
      </c>
      <c r="AC316" s="2"/>
      <c r="AD316" s="4"/>
      <c r="AE316" s="5"/>
      <c r="AF316" s="428"/>
    </row>
    <row r="317" spans="1:32" x14ac:dyDescent="0.25">
      <c r="A317" s="1" t="s">
        <v>2763</v>
      </c>
      <c r="B317" s="3" t="s">
        <v>1368</v>
      </c>
      <c r="C317" s="3" t="s">
        <v>1247</v>
      </c>
      <c r="D317" s="407" t="s">
        <v>1430</v>
      </c>
      <c r="E317" s="3" t="s">
        <v>2073</v>
      </c>
      <c r="F317" s="407" t="s">
        <v>4488</v>
      </c>
      <c r="G317" s="440" t="s">
        <v>4109</v>
      </c>
      <c r="H317" s="407" t="s">
        <v>4309</v>
      </c>
      <c r="I317" s="407" t="s">
        <v>3790</v>
      </c>
      <c r="J317" s="387" t="s">
        <v>4641</v>
      </c>
      <c r="K317" s="387">
        <v>1</v>
      </c>
      <c r="L317" s="387">
        <v>0</v>
      </c>
      <c r="M317" s="387">
        <f t="shared" si="16"/>
        <v>1</v>
      </c>
      <c r="N317" s="442">
        <f t="shared" si="17"/>
        <v>0</v>
      </c>
      <c r="O317" s="387" t="s">
        <v>1358</v>
      </c>
      <c r="P317" s="459">
        <v>0</v>
      </c>
      <c r="Q317" s="459"/>
      <c r="R317" s="456">
        <v>0</v>
      </c>
      <c r="S317" s="456">
        <v>25.099</v>
      </c>
      <c r="T317" s="410"/>
      <c r="U317" s="411">
        <v>0</v>
      </c>
      <c r="V317" s="411">
        <v>0</v>
      </c>
      <c r="W317" s="411">
        <v>0</v>
      </c>
      <c r="X317" s="411"/>
      <c r="Y317" s="411"/>
      <c r="Z317" s="412">
        <f t="shared" si="18"/>
        <v>0</v>
      </c>
      <c r="AA317" s="456">
        <f t="shared" si="19"/>
        <v>0</v>
      </c>
      <c r="AB317" s="456">
        <v>0</v>
      </c>
      <c r="AC317" s="2"/>
      <c r="AD317" s="4"/>
      <c r="AE317" s="5"/>
      <c r="AF317" s="428"/>
    </row>
    <row r="318" spans="1:32" x14ac:dyDescent="0.25">
      <c r="A318" s="1" t="s">
        <v>2764</v>
      </c>
      <c r="B318" s="3" t="s">
        <v>1368</v>
      </c>
      <c r="C318" s="3" t="s">
        <v>1247</v>
      </c>
      <c r="D318" s="407" t="s">
        <v>1431</v>
      </c>
      <c r="E318" s="3" t="s">
        <v>2074</v>
      </c>
      <c r="F318" s="407" t="s">
        <v>4489</v>
      </c>
      <c r="G318" s="440" t="s">
        <v>4109</v>
      </c>
      <c r="H318" s="407" t="s">
        <v>4310</v>
      </c>
      <c r="I318" s="407" t="s">
        <v>3791</v>
      </c>
      <c r="J318" s="387" t="s">
        <v>4642</v>
      </c>
      <c r="K318" s="387">
        <v>1</v>
      </c>
      <c r="L318" s="387">
        <v>0</v>
      </c>
      <c r="M318" s="387">
        <f t="shared" si="16"/>
        <v>1</v>
      </c>
      <c r="N318" s="442">
        <f t="shared" si="17"/>
        <v>0</v>
      </c>
      <c r="O318" s="387" t="s">
        <v>1358</v>
      </c>
      <c r="P318" s="459">
        <v>0</v>
      </c>
      <c r="Q318" s="459"/>
      <c r="R318" s="456">
        <v>0</v>
      </c>
      <c r="S318" s="456">
        <v>25.099</v>
      </c>
      <c r="T318" s="410"/>
      <c r="U318" s="411">
        <v>0</v>
      </c>
      <c r="V318" s="411">
        <v>0</v>
      </c>
      <c r="W318" s="411">
        <v>0</v>
      </c>
      <c r="X318" s="411"/>
      <c r="Y318" s="411"/>
      <c r="Z318" s="412">
        <f t="shared" si="18"/>
        <v>0</v>
      </c>
      <c r="AA318" s="456">
        <f t="shared" si="19"/>
        <v>0</v>
      </c>
      <c r="AB318" s="456">
        <v>0</v>
      </c>
      <c r="AC318" s="2"/>
      <c r="AD318" s="4"/>
      <c r="AE318" s="5"/>
      <c r="AF318" s="428"/>
    </row>
    <row r="319" spans="1:32" x14ac:dyDescent="0.25">
      <c r="A319" s="1" t="s">
        <v>2765</v>
      </c>
      <c r="B319" s="3" t="s">
        <v>1368</v>
      </c>
      <c r="C319" s="3" t="s">
        <v>1247</v>
      </c>
      <c r="D319" s="407" t="s">
        <v>3306</v>
      </c>
      <c r="E319" s="3" t="s">
        <v>2075</v>
      </c>
      <c r="F319" s="407" t="s">
        <v>4484</v>
      </c>
      <c r="G319" s="440" t="s">
        <v>4109</v>
      </c>
      <c r="H319" s="407" t="s">
        <v>4305</v>
      </c>
      <c r="I319" s="407" t="s">
        <v>3786</v>
      </c>
      <c r="J319" s="387" t="s">
        <v>4636</v>
      </c>
      <c r="K319" s="387">
        <v>1</v>
      </c>
      <c r="L319" s="387">
        <v>0</v>
      </c>
      <c r="M319" s="387">
        <f t="shared" si="16"/>
        <v>1</v>
      </c>
      <c r="N319" s="442">
        <f t="shared" si="17"/>
        <v>0</v>
      </c>
      <c r="O319" s="387" t="s">
        <v>1358</v>
      </c>
      <c r="P319" s="459">
        <v>0</v>
      </c>
      <c r="Q319" s="459"/>
      <c r="R319" s="456">
        <v>0</v>
      </c>
      <c r="S319" s="456">
        <v>33.94</v>
      </c>
      <c r="T319" s="410"/>
      <c r="U319" s="411">
        <v>0</v>
      </c>
      <c r="V319" s="411">
        <v>0</v>
      </c>
      <c r="W319" s="411">
        <v>0</v>
      </c>
      <c r="X319" s="411"/>
      <c r="Y319" s="411"/>
      <c r="Z319" s="412">
        <f t="shared" si="18"/>
        <v>0</v>
      </c>
      <c r="AA319" s="456">
        <f t="shared" si="19"/>
        <v>0</v>
      </c>
      <c r="AB319" s="456">
        <v>0</v>
      </c>
      <c r="AC319" s="2"/>
      <c r="AD319" s="4"/>
      <c r="AE319" s="5"/>
      <c r="AF319" s="428"/>
    </row>
    <row r="320" spans="1:32" x14ac:dyDescent="0.25">
      <c r="A320" s="1" t="s">
        <v>2766</v>
      </c>
      <c r="B320" s="3" t="s">
        <v>1368</v>
      </c>
      <c r="C320" s="3" t="s">
        <v>1247</v>
      </c>
      <c r="D320" s="407" t="s">
        <v>3236</v>
      </c>
      <c r="E320" s="3" t="s">
        <v>2076</v>
      </c>
      <c r="F320" s="407" t="s">
        <v>4491</v>
      </c>
      <c r="G320" s="440" t="s">
        <v>4109</v>
      </c>
      <c r="H320" s="407" t="s">
        <v>4312</v>
      </c>
      <c r="I320" s="407" t="s">
        <v>3793</v>
      </c>
      <c r="J320" s="387" t="s">
        <v>4645</v>
      </c>
      <c r="K320" s="387">
        <v>1</v>
      </c>
      <c r="L320" s="387">
        <v>0</v>
      </c>
      <c r="M320" s="387">
        <f t="shared" si="16"/>
        <v>1</v>
      </c>
      <c r="N320" s="442">
        <f t="shared" si="17"/>
        <v>0</v>
      </c>
      <c r="O320" s="387" t="s">
        <v>1358</v>
      </c>
      <c r="P320" s="459">
        <v>0</v>
      </c>
      <c r="Q320" s="459"/>
      <c r="R320" s="456">
        <v>0</v>
      </c>
      <c r="S320" s="456">
        <v>20.454999999999998</v>
      </c>
      <c r="T320" s="410"/>
      <c r="U320" s="411">
        <v>1</v>
      </c>
      <c r="V320" s="411">
        <v>1</v>
      </c>
      <c r="W320" s="411">
        <v>1</v>
      </c>
      <c r="X320" s="411"/>
      <c r="Y320" s="411"/>
      <c r="Z320" s="412">
        <f t="shared" si="18"/>
        <v>0</v>
      </c>
      <c r="AA320" s="456">
        <f t="shared" si="19"/>
        <v>0</v>
      </c>
      <c r="AB320" s="456">
        <v>0</v>
      </c>
      <c r="AC320" s="2"/>
      <c r="AD320" s="4"/>
      <c r="AE320" s="5"/>
      <c r="AF320" s="428"/>
    </row>
    <row r="321" spans="1:32" x14ac:dyDescent="0.25">
      <c r="A321" s="1" t="s">
        <v>2767</v>
      </c>
      <c r="B321" s="3" t="s">
        <v>1368</v>
      </c>
      <c r="C321" s="3" t="s">
        <v>1247</v>
      </c>
      <c r="D321" s="407" t="s">
        <v>3234</v>
      </c>
      <c r="E321" s="3" t="s">
        <v>2077</v>
      </c>
      <c r="F321" s="407" t="s">
        <v>4492</v>
      </c>
      <c r="G321" s="440" t="s">
        <v>4109</v>
      </c>
      <c r="H321" s="407" t="s">
        <v>4313</v>
      </c>
      <c r="I321" s="407" t="s">
        <v>3794</v>
      </c>
      <c r="J321" s="387" t="s">
        <v>4646</v>
      </c>
      <c r="K321" s="387">
        <v>1</v>
      </c>
      <c r="L321" s="387">
        <v>0</v>
      </c>
      <c r="M321" s="387">
        <f t="shared" si="16"/>
        <v>1</v>
      </c>
      <c r="N321" s="442">
        <f t="shared" si="17"/>
        <v>0</v>
      </c>
      <c r="O321" s="387" t="s">
        <v>1358</v>
      </c>
      <c r="P321" s="459">
        <v>0</v>
      </c>
      <c r="Q321" s="459"/>
      <c r="R321" s="456">
        <v>0</v>
      </c>
      <c r="S321" s="456">
        <v>18.765999999999998</v>
      </c>
      <c r="T321" s="410"/>
      <c r="U321" s="411">
        <v>1</v>
      </c>
      <c r="V321" s="411">
        <v>1</v>
      </c>
      <c r="W321" s="411">
        <v>1</v>
      </c>
      <c r="X321" s="411"/>
      <c r="Y321" s="411"/>
      <c r="Z321" s="412">
        <f t="shared" si="18"/>
        <v>0</v>
      </c>
      <c r="AA321" s="456">
        <f t="shared" si="19"/>
        <v>0</v>
      </c>
      <c r="AB321" s="456">
        <v>0</v>
      </c>
      <c r="AC321" s="2"/>
      <c r="AD321" s="4"/>
      <c r="AE321" s="5"/>
      <c r="AF321" s="428"/>
    </row>
    <row r="322" spans="1:32" x14ac:dyDescent="0.25">
      <c r="A322" s="1" t="s">
        <v>2768</v>
      </c>
      <c r="B322" s="3" t="s">
        <v>1368</v>
      </c>
      <c r="C322" s="3" t="s">
        <v>1247</v>
      </c>
      <c r="D322" s="407" t="s">
        <v>1374</v>
      </c>
      <c r="E322" s="3" t="s">
        <v>2078</v>
      </c>
      <c r="F322" s="407" t="s">
        <v>4495</v>
      </c>
      <c r="G322" s="440" t="s">
        <v>4109</v>
      </c>
      <c r="H322" s="407" t="s">
        <v>4316</v>
      </c>
      <c r="I322" s="407" t="s">
        <v>3757</v>
      </c>
      <c r="J322" s="387" t="s">
        <v>4649</v>
      </c>
      <c r="K322" s="387">
        <v>1</v>
      </c>
      <c r="L322" s="387">
        <v>0</v>
      </c>
      <c r="M322" s="387">
        <f t="shared" si="16"/>
        <v>1</v>
      </c>
      <c r="N322" s="442">
        <f t="shared" si="17"/>
        <v>0</v>
      </c>
      <c r="O322" s="387" t="s">
        <v>1358</v>
      </c>
      <c r="P322" s="459">
        <v>0</v>
      </c>
      <c r="Q322" s="459"/>
      <c r="R322" s="456">
        <v>0</v>
      </c>
      <c r="S322" s="456">
        <v>18.753</v>
      </c>
      <c r="T322" s="410"/>
      <c r="U322" s="411">
        <v>1</v>
      </c>
      <c r="V322" s="411">
        <v>1</v>
      </c>
      <c r="W322" s="411">
        <v>1</v>
      </c>
      <c r="X322" s="411"/>
      <c r="Y322" s="411"/>
      <c r="Z322" s="412">
        <f t="shared" si="18"/>
        <v>0</v>
      </c>
      <c r="AA322" s="456">
        <f t="shared" si="19"/>
        <v>0</v>
      </c>
      <c r="AB322" s="456">
        <v>0</v>
      </c>
      <c r="AC322" s="2"/>
      <c r="AD322" s="4"/>
      <c r="AE322" s="5"/>
      <c r="AF322" s="428"/>
    </row>
    <row r="323" spans="1:32" x14ac:dyDescent="0.25">
      <c r="A323" s="1" t="s">
        <v>2769</v>
      </c>
      <c r="B323" s="3" t="s">
        <v>1368</v>
      </c>
      <c r="C323" s="3" t="s">
        <v>1247</v>
      </c>
      <c r="D323" s="407" t="s">
        <v>3546</v>
      </c>
      <c r="E323" s="3" t="s">
        <v>2079</v>
      </c>
      <c r="F323" s="407" t="s">
        <v>4482</v>
      </c>
      <c r="G323" s="440" t="s">
        <v>4109</v>
      </c>
      <c r="H323" s="407" t="s">
        <v>4303</v>
      </c>
      <c r="I323" s="407" t="s">
        <v>3784</v>
      </c>
      <c r="J323" s="387" t="s">
        <v>4660</v>
      </c>
      <c r="K323" s="387">
        <v>1</v>
      </c>
      <c r="L323" s="387">
        <v>0</v>
      </c>
      <c r="M323" s="387">
        <f t="shared" si="16"/>
        <v>1</v>
      </c>
      <c r="N323" s="442">
        <f t="shared" si="17"/>
        <v>0</v>
      </c>
      <c r="O323" s="387" t="s">
        <v>1358</v>
      </c>
      <c r="P323" s="459">
        <v>0</v>
      </c>
      <c r="Q323" s="459"/>
      <c r="R323" s="456">
        <v>0</v>
      </c>
      <c r="S323" s="456">
        <v>33.084000000000003</v>
      </c>
      <c r="T323" s="410"/>
      <c r="U323" s="411">
        <v>0</v>
      </c>
      <c r="V323" s="411">
        <v>0</v>
      </c>
      <c r="W323" s="411">
        <v>0</v>
      </c>
      <c r="X323" s="411"/>
      <c r="Y323" s="411"/>
      <c r="Z323" s="412">
        <f t="shared" si="18"/>
        <v>0</v>
      </c>
      <c r="AA323" s="456">
        <f t="shared" si="19"/>
        <v>0</v>
      </c>
      <c r="AB323" s="456">
        <v>0</v>
      </c>
      <c r="AC323" s="2"/>
      <c r="AD323" s="4"/>
      <c r="AE323" s="5"/>
      <c r="AF323" s="428"/>
    </row>
    <row r="324" spans="1:32" x14ac:dyDescent="0.25">
      <c r="A324" s="1" t="s">
        <v>2770</v>
      </c>
      <c r="B324" s="3" t="s">
        <v>1368</v>
      </c>
      <c r="C324" s="3" t="s">
        <v>1247</v>
      </c>
      <c r="D324" s="407" t="s">
        <v>1402</v>
      </c>
      <c r="E324" s="3" t="s">
        <v>2080</v>
      </c>
      <c r="F324" s="407" t="s">
        <v>4481</v>
      </c>
      <c r="G324" s="440" t="s">
        <v>4109</v>
      </c>
      <c r="H324" s="407" t="s">
        <v>4302</v>
      </c>
      <c r="I324" s="407" t="s">
        <v>3783</v>
      </c>
      <c r="J324" s="387" t="s">
        <v>4659</v>
      </c>
      <c r="K324" s="387">
        <v>1</v>
      </c>
      <c r="L324" s="387">
        <v>0</v>
      </c>
      <c r="M324" s="387">
        <f t="shared" si="16"/>
        <v>1</v>
      </c>
      <c r="N324" s="442">
        <f t="shared" si="17"/>
        <v>0</v>
      </c>
      <c r="O324" s="387" t="s">
        <v>1358</v>
      </c>
      <c r="P324" s="459">
        <v>0</v>
      </c>
      <c r="Q324" s="459"/>
      <c r="R324" s="456">
        <v>0</v>
      </c>
      <c r="S324" s="456">
        <v>34.017000000000003</v>
      </c>
      <c r="T324" s="410"/>
      <c r="U324" s="411">
        <v>0</v>
      </c>
      <c r="V324" s="411">
        <v>0</v>
      </c>
      <c r="W324" s="411">
        <v>0</v>
      </c>
      <c r="X324" s="411"/>
      <c r="Y324" s="411"/>
      <c r="Z324" s="412">
        <f t="shared" si="18"/>
        <v>0</v>
      </c>
      <c r="AA324" s="456">
        <f t="shared" si="19"/>
        <v>0</v>
      </c>
      <c r="AB324" s="456">
        <v>0</v>
      </c>
      <c r="AC324" s="2"/>
      <c r="AD324" s="4"/>
      <c r="AE324" s="5"/>
      <c r="AF324" s="428"/>
    </row>
    <row r="325" spans="1:32" x14ac:dyDescent="0.25">
      <c r="A325" s="1" t="s">
        <v>2771</v>
      </c>
      <c r="B325" s="3" t="s">
        <v>1368</v>
      </c>
      <c r="C325" s="3" t="s">
        <v>1247</v>
      </c>
      <c r="D325" s="407" t="s">
        <v>1401</v>
      </c>
      <c r="E325" s="3" t="s">
        <v>2081</v>
      </c>
      <c r="F325" s="407" t="s">
        <v>4478</v>
      </c>
      <c r="G325" s="440" t="s">
        <v>4109</v>
      </c>
      <c r="H325" s="407" t="s">
        <v>4299</v>
      </c>
      <c r="I325" s="407" t="s">
        <v>3780</v>
      </c>
      <c r="J325" s="387" t="s">
        <v>4657</v>
      </c>
      <c r="K325" s="387">
        <v>1</v>
      </c>
      <c r="L325" s="387">
        <v>0</v>
      </c>
      <c r="M325" s="387">
        <f t="shared" si="16"/>
        <v>1</v>
      </c>
      <c r="N325" s="442">
        <f t="shared" si="17"/>
        <v>0</v>
      </c>
      <c r="O325" s="387" t="s">
        <v>1358</v>
      </c>
      <c r="P325" s="459">
        <v>0</v>
      </c>
      <c r="Q325" s="459"/>
      <c r="R325" s="456">
        <v>0</v>
      </c>
      <c r="S325" s="456">
        <v>34.017000000000003</v>
      </c>
      <c r="T325" s="410"/>
      <c r="U325" s="411">
        <v>0</v>
      </c>
      <c r="V325" s="411">
        <v>0</v>
      </c>
      <c r="W325" s="411">
        <v>0</v>
      </c>
      <c r="X325" s="411"/>
      <c r="Y325" s="411"/>
      <c r="Z325" s="412">
        <f t="shared" si="18"/>
        <v>0</v>
      </c>
      <c r="AA325" s="456">
        <f t="shared" si="19"/>
        <v>0</v>
      </c>
      <c r="AB325" s="456">
        <v>0</v>
      </c>
      <c r="AC325" s="2"/>
      <c r="AD325" s="4"/>
      <c r="AE325" s="5"/>
      <c r="AF325" s="428"/>
    </row>
    <row r="326" spans="1:32" x14ac:dyDescent="0.25">
      <c r="A326" s="1" t="s">
        <v>2772</v>
      </c>
      <c r="B326" s="3" t="s">
        <v>1368</v>
      </c>
      <c r="C326" s="3" t="s">
        <v>1247</v>
      </c>
      <c r="D326" s="407" t="s">
        <v>1400</v>
      </c>
      <c r="E326" s="3" t="s">
        <v>2082</v>
      </c>
      <c r="F326" s="407" t="s">
        <v>4477</v>
      </c>
      <c r="G326" s="440" t="s">
        <v>4109</v>
      </c>
      <c r="H326" s="407" t="s">
        <v>4298</v>
      </c>
      <c r="I326" s="407" t="s">
        <v>3779</v>
      </c>
      <c r="J326" s="387" t="s">
        <v>4656</v>
      </c>
      <c r="K326" s="387">
        <v>1</v>
      </c>
      <c r="L326" s="387">
        <v>0</v>
      </c>
      <c r="M326" s="387">
        <f t="shared" si="16"/>
        <v>1</v>
      </c>
      <c r="N326" s="442">
        <f t="shared" si="17"/>
        <v>0</v>
      </c>
      <c r="O326" s="387" t="s">
        <v>1358</v>
      </c>
      <c r="P326" s="459">
        <v>0</v>
      </c>
      <c r="Q326" s="459"/>
      <c r="R326" s="456">
        <v>0</v>
      </c>
      <c r="S326" s="456">
        <v>34.017000000000003</v>
      </c>
      <c r="T326" s="410"/>
      <c r="U326" s="411">
        <v>1</v>
      </c>
      <c r="V326" s="411">
        <v>1</v>
      </c>
      <c r="W326" s="411">
        <v>1</v>
      </c>
      <c r="X326" s="411"/>
      <c r="Y326" s="411"/>
      <c r="Z326" s="412">
        <f t="shared" si="18"/>
        <v>0</v>
      </c>
      <c r="AA326" s="456">
        <f t="shared" si="19"/>
        <v>0</v>
      </c>
      <c r="AB326" s="456">
        <v>0</v>
      </c>
      <c r="AC326" s="2"/>
      <c r="AD326" s="4"/>
      <c r="AE326" s="5"/>
      <c r="AF326" s="428"/>
    </row>
    <row r="327" spans="1:32" x14ac:dyDescent="0.25">
      <c r="A327" s="1" t="s">
        <v>2773</v>
      </c>
      <c r="B327" s="3" t="s">
        <v>1368</v>
      </c>
      <c r="C327" s="3" t="s">
        <v>1247</v>
      </c>
      <c r="D327" s="407" t="s">
        <v>1399</v>
      </c>
      <c r="E327" s="3" t="s">
        <v>2083</v>
      </c>
      <c r="F327" s="407" t="s">
        <v>4499</v>
      </c>
      <c r="G327" s="440" t="s">
        <v>4109</v>
      </c>
      <c r="H327" s="407" t="s">
        <v>4320</v>
      </c>
      <c r="I327" s="407" t="s">
        <v>3758</v>
      </c>
      <c r="J327" s="387" t="s">
        <v>4653</v>
      </c>
      <c r="K327" s="387">
        <v>1</v>
      </c>
      <c r="L327" s="387">
        <v>0</v>
      </c>
      <c r="M327" s="387">
        <f t="shared" si="16"/>
        <v>1</v>
      </c>
      <c r="N327" s="442">
        <f t="shared" si="17"/>
        <v>0</v>
      </c>
      <c r="O327" s="387" t="s">
        <v>1358</v>
      </c>
      <c r="P327" s="459">
        <v>0</v>
      </c>
      <c r="Q327" s="459"/>
      <c r="R327" s="456">
        <v>0</v>
      </c>
      <c r="S327" s="456">
        <v>34.017000000000003</v>
      </c>
      <c r="T327" s="410"/>
      <c r="U327" s="411">
        <v>1</v>
      </c>
      <c r="V327" s="411">
        <v>1</v>
      </c>
      <c r="W327" s="411">
        <v>1</v>
      </c>
      <c r="X327" s="411"/>
      <c r="Y327" s="411"/>
      <c r="Z327" s="412">
        <f t="shared" si="18"/>
        <v>0</v>
      </c>
      <c r="AA327" s="456">
        <f t="shared" si="19"/>
        <v>0</v>
      </c>
      <c r="AB327" s="456">
        <v>0</v>
      </c>
      <c r="AC327" s="2"/>
      <c r="AD327" s="4"/>
      <c r="AE327" s="5"/>
      <c r="AF327" s="428"/>
    </row>
    <row r="328" spans="1:32" x14ac:dyDescent="0.25">
      <c r="A328" s="1" t="s">
        <v>2774</v>
      </c>
      <c r="B328" s="3" t="s">
        <v>1368</v>
      </c>
      <c r="C328" s="3" t="s">
        <v>1247</v>
      </c>
      <c r="D328" s="407" t="s">
        <v>1396</v>
      </c>
      <c r="E328" s="3" t="s">
        <v>2084</v>
      </c>
      <c r="F328" s="407" t="s">
        <v>4498</v>
      </c>
      <c r="G328" s="440" t="s">
        <v>4109</v>
      </c>
      <c r="H328" s="407" t="s">
        <v>4319</v>
      </c>
      <c r="I328" s="407" t="s">
        <v>3752</v>
      </c>
      <c r="J328" s="387" t="s">
        <v>4652</v>
      </c>
      <c r="K328" s="387">
        <v>1</v>
      </c>
      <c r="L328" s="387">
        <v>0</v>
      </c>
      <c r="M328" s="387">
        <f t="shared" si="16"/>
        <v>1</v>
      </c>
      <c r="N328" s="442">
        <f t="shared" si="17"/>
        <v>0</v>
      </c>
      <c r="O328" s="387" t="s">
        <v>1358</v>
      </c>
      <c r="P328" s="459">
        <v>0</v>
      </c>
      <c r="Q328" s="459"/>
      <c r="R328" s="456">
        <v>0</v>
      </c>
      <c r="S328" s="456">
        <v>34.017000000000003</v>
      </c>
      <c r="T328" s="410"/>
      <c r="U328" s="411">
        <v>1</v>
      </c>
      <c r="V328" s="411">
        <v>1</v>
      </c>
      <c r="W328" s="411">
        <v>1</v>
      </c>
      <c r="X328" s="411"/>
      <c r="Y328" s="411"/>
      <c r="Z328" s="412">
        <f t="shared" si="18"/>
        <v>0</v>
      </c>
      <c r="AA328" s="456">
        <f t="shared" si="19"/>
        <v>0</v>
      </c>
      <c r="AB328" s="456">
        <v>0</v>
      </c>
      <c r="AC328" s="2"/>
      <c r="AD328" s="4"/>
      <c r="AE328" s="5"/>
      <c r="AF328" s="428"/>
    </row>
    <row r="329" spans="1:32" x14ac:dyDescent="0.25">
      <c r="A329" s="1" t="s">
        <v>2775</v>
      </c>
      <c r="B329" s="3" t="s">
        <v>1368</v>
      </c>
      <c r="C329" s="3" t="s">
        <v>1247</v>
      </c>
      <c r="D329" s="407" t="s">
        <v>1381</v>
      </c>
      <c r="E329" s="3" t="s">
        <v>2085</v>
      </c>
      <c r="F329" s="407" t="s">
        <v>4497</v>
      </c>
      <c r="G329" s="440" t="s">
        <v>4109</v>
      </c>
      <c r="H329" s="407" t="s">
        <v>4318</v>
      </c>
      <c r="I329" s="407" t="s">
        <v>3751</v>
      </c>
      <c r="J329" s="387" t="s">
        <v>4631</v>
      </c>
      <c r="K329" s="387">
        <v>1</v>
      </c>
      <c r="L329" s="387">
        <v>0</v>
      </c>
      <c r="M329" s="387">
        <f t="shared" si="16"/>
        <v>1</v>
      </c>
      <c r="N329" s="442">
        <f t="shared" si="17"/>
        <v>0</v>
      </c>
      <c r="O329" s="387" t="s">
        <v>1358</v>
      </c>
      <c r="P329" s="459">
        <v>0</v>
      </c>
      <c r="Q329" s="459"/>
      <c r="R329" s="456">
        <v>0</v>
      </c>
      <c r="S329" s="456">
        <v>34.017000000000003</v>
      </c>
      <c r="T329" s="410"/>
      <c r="U329" s="411">
        <v>1</v>
      </c>
      <c r="V329" s="411">
        <v>1</v>
      </c>
      <c r="W329" s="411">
        <v>1</v>
      </c>
      <c r="X329" s="411"/>
      <c r="Y329" s="411"/>
      <c r="Z329" s="412">
        <f t="shared" si="18"/>
        <v>0</v>
      </c>
      <c r="AA329" s="456">
        <f t="shared" si="19"/>
        <v>0</v>
      </c>
      <c r="AB329" s="456">
        <v>0</v>
      </c>
      <c r="AC329" s="2"/>
      <c r="AD329" s="4"/>
      <c r="AE329" s="5"/>
      <c r="AF329" s="428"/>
    </row>
    <row r="330" spans="1:32" x14ac:dyDescent="0.25">
      <c r="A330" s="1" t="s">
        <v>2776</v>
      </c>
      <c r="B330" s="3" t="s">
        <v>1368</v>
      </c>
      <c r="C330" s="3" t="s">
        <v>1247</v>
      </c>
      <c r="D330" s="407" t="s">
        <v>1379</v>
      </c>
      <c r="E330" s="3" t="s">
        <v>2086</v>
      </c>
      <c r="F330" s="407" t="s">
        <v>4502</v>
      </c>
      <c r="G330" s="440" t="s">
        <v>4109</v>
      </c>
      <c r="H330" s="407" t="s">
        <v>4323</v>
      </c>
      <c r="I330" s="407" t="s">
        <v>3750</v>
      </c>
      <c r="J330" s="387" t="s">
        <v>4632</v>
      </c>
      <c r="K330" s="387">
        <v>1</v>
      </c>
      <c r="L330" s="387">
        <v>0</v>
      </c>
      <c r="M330" s="387">
        <f t="shared" si="16"/>
        <v>1</v>
      </c>
      <c r="N330" s="442">
        <f t="shared" si="17"/>
        <v>0</v>
      </c>
      <c r="O330" s="387" t="s">
        <v>1358</v>
      </c>
      <c r="P330" s="459">
        <v>0</v>
      </c>
      <c r="Q330" s="459"/>
      <c r="R330" s="456">
        <v>0</v>
      </c>
      <c r="S330" s="456">
        <v>34.017000000000003</v>
      </c>
      <c r="T330" s="410"/>
      <c r="U330" s="411">
        <v>1</v>
      </c>
      <c r="V330" s="411">
        <v>1</v>
      </c>
      <c r="W330" s="411">
        <v>1</v>
      </c>
      <c r="X330" s="411"/>
      <c r="Y330" s="411"/>
      <c r="Z330" s="412">
        <f t="shared" si="18"/>
        <v>0</v>
      </c>
      <c r="AA330" s="456">
        <f t="shared" si="19"/>
        <v>0</v>
      </c>
      <c r="AB330" s="456">
        <v>0</v>
      </c>
      <c r="AC330" s="2"/>
      <c r="AD330" s="4"/>
      <c r="AE330" s="5"/>
      <c r="AF330" s="428"/>
    </row>
    <row r="331" spans="1:32" x14ac:dyDescent="0.25">
      <c r="A331" s="1" t="s">
        <v>2777</v>
      </c>
      <c r="B331" s="3" t="s">
        <v>1368</v>
      </c>
      <c r="C331" s="3" t="s">
        <v>1247</v>
      </c>
      <c r="D331" s="407" t="s">
        <v>1377</v>
      </c>
      <c r="E331" s="3" t="s">
        <v>2087</v>
      </c>
      <c r="F331" s="407" t="s">
        <v>4494</v>
      </c>
      <c r="G331" s="440" t="s">
        <v>4109</v>
      </c>
      <c r="H331" s="407" t="s">
        <v>4315</v>
      </c>
      <c r="I331" s="407" t="s">
        <v>3749</v>
      </c>
      <c r="J331" s="387" t="s">
        <v>4648</v>
      </c>
      <c r="K331" s="387">
        <v>1</v>
      </c>
      <c r="L331" s="387">
        <v>0</v>
      </c>
      <c r="M331" s="387">
        <f t="shared" ref="M331:M395" si="20">K331+L331</f>
        <v>1</v>
      </c>
      <c r="N331" s="442">
        <f t="shared" ref="N331:N395" si="21">K331*Z331</f>
        <v>0</v>
      </c>
      <c r="O331" s="387" t="s">
        <v>1358</v>
      </c>
      <c r="P331" s="459">
        <v>0</v>
      </c>
      <c r="Q331" s="459"/>
      <c r="R331" s="456">
        <v>0</v>
      </c>
      <c r="S331" s="456">
        <v>34.017000000000003</v>
      </c>
      <c r="T331" s="410"/>
      <c r="U331" s="411">
        <v>1</v>
      </c>
      <c r="V331" s="411">
        <v>1</v>
      </c>
      <c r="W331" s="411">
        <v>1</v>
      </c>
      <c r="X331" s="411"/>
      <c r="Y331" s="411"/>
      <c r="Z331" s="412">
        <f t="shared" ref="Z331:Z395" si="22">AA331/S331</f>
        <v>0</v>
      </c>
      <c r="AA331" s="456">
        <f t="shared" ref="AA331:AA395" si="23">(U331*U$368*S331)+(V331*V$368*S331)+(W331*W$368*S331)</f>
        <v>0</v>
      </c>
      <c r="AB331" s="456">
        <v>0</v>
      </c>
      <c r="AC331" s="2"/>
      <c r="AD331" s="4"/>
      <c r="AE331" s="5"/>
      <c r="AF331" s="428"/>
    </row>
    <row r="332" spans="1:32" x14ac:dyDescent="0.25">
      <c r="A332" s="1" t="s">
        <v>2778</v>
      </c>
      <c r="B332" s="3" t="s">
        <v>1368</v>
      </c>
      <c r="C332" s="3" t="s">
        <v>1247</v>
      </c>
      <c r="D332" s="407" t="s">
        <v>1374</v>
      </c>
      <c r="E332" s="3" t="s">
        <v>2088</v>
      </c>
      <c r="F332" s="407" t="s">
        <v>4495</v>
      </c>
      <c r="G332" s="440" t="s">
        <v>4109</v>
      </c>
      <c r="H332" s="407" t="s">
        <v>4316</v>
      </c>
      <c r="I332" s="407" t="s">
        <v>3757</v>
      </c>
      <c r="J332" s="387" t="s">
        <v>4649</v>
      </c>
      <c r="K332" s="387">
        <v>1</v>
      </c>
      <c r="L332" s="387">
        <v>0</v>
      </c>
      <c r="M332" s="387">
        <f t="shared" si="20"/>
        <v>1</v>
      </c>
      <c r="N332" s="442">
        <f t="shared" si="21"/>
        <v>0</v>
      </c>
      <c r="O332" s="387" t="s">
        <v>1358</v>
      </c>
      <c r="P332" s="459">
        <v>0</v>
      </c>
      <c r="Q332" s="459"/>
      <c r="R332" s="456">
        <v>0</v>
      </c>
      <c r="S332" s="456">
        <v>34.017000000000003</v>
      </c>
      <c r="T332" s="410"/>
      <c r="U332" s="411">
        <v>1</v>
      </c>
      <c r="V332" s="411">
        <v>1</v>
      </c>
      <c r="W332" s="411">
        <v>1</v>
      </c>
      <c r="X332" s="411"/>
      <c r="Y332" s="411"/>
      <c r="Z332" s="412">
        <f t="shared" si="22"/>
        <v>0</v>
      </c>
      <c r="AA332" s="456">
        <f t="shared" si="23"/>
        <v>0</v>
      </c>
      <c r="AB332" s="456">
        <v>0</v>
      </c>
      <c r="AC332" s="2"/>
      <c r="AD332" s="4"/>
      <c r="AE332" s="5"/>
      <c r="AF332" s="428"/>
    </row>
    <row r="333" spans="1:32" x14ac:dyDescent="0.25">
      <c r="A333" s="1" t="s">
        <v>2779</v>
      </c>
      <c r="B333" s="3" t="s">
        <v>1368</v>
      </c>
      <c r="C333" s="3" t="s">
        <v>1247</v>
      </c>
      <c r="D333" s="407" t="s">
        <v>1398</v>
      </c>
      <c r="E333" s="3" t="s">
        <v>2089</v>
      </c>
      <c r="F333" s="407" t="s">
        <v>4496</v>
      </c>
      <c r="G333" s="440" t="s">
        <v>4109</v>
      </c>
      <c r="H333" s="407" t="s">
        <v>4317</v>
      </c>
      <c r="I333" s="407" t="s">
        <v>3796</v>
      </c>
      <c r="J333" s="387" t="s">
        <v>4650</v>
      </c>
      <c r="K333" s="387">
        <v>1</v>
      </c>
      <c r="L333" s="387">
        <v>0</v>
      </c>
      <c r="M333" s="387">
        <f t="shared" si="20"/>
        <v>1</v>
      </c>
      <c r="N333" s="442">
        <f t="shared" si="21"/>
        <v>0</v>
      </c>
      <c r="O333" s="387" t="s">
        <v>1358</v>
      </c>
      <c r="P333" s="459">
        <v>0</v>
      </c>
      <c r="Q333" s="459"/>
      <c r="R333" s="456">
        <v>0</v>
      </c>
      <c r="S333" s="456">
        <v>34.017000000000003</v>
      </c>
      <c r="T333" s="410"/>
      <c r="U333" s="411">
        <v>1</v>
      </c>
      <c r="V333" s="411">
        <v>1</v>
      </c>
      <c r="W333" s="411">
        <v>1</v>
      </c>
      <c r="X333" s="411"/>
      <c r="Y333" s="411"/>
      <c r="Z333" s="412">
        <f t="shared" si="22"/>
        <v>0</v>
      </c>
      <c r="AA333" s="456">
        <f t="shared" si="23"/>
        <v>0</v>
      </c>
      <c r="AB333" s="456">
        <v>0</v>
      </c>
      <c r="AC333" s="2"/>
      <c r="AD333" s="4"/>
      <c r="AE333" s="5"/>
      <c r="AF333" s="428"/>
    </row>
    <row r="334" spans="1:32" x14ac:dyDescent="0.25">
      <c r="A334" s="1" t="s">
        <v>2780</v>
      </c>
      <c r="B334" s="3" t="s">
        <v>1368</v>
      </c>
      <c r="C334" s="3" t="s">
        <v>1247</v>
      </c>
      <c r="D334" s="407" t="s">
        <v>1397</v>
      </c>
      <c r="E334" s="3" t="s">
        <v>2090</v>
      </c>
      <c r="F334" s="407" t="s">
        <v>4493</v>
      </c>
      <c r="G334" s="440" t="s">
        <v>4109</v>
      </c>
      <c r="H334" s="407" t="s">
        <v>4314</v>
      </c>
      <c r="I334" s="407" t="s">
        <v>3795</v>
      </c>
      <c r="J334" s="387" t="s">
        <v>4647</v>
      </c>
      <c r="K334" s="387">
        <v>1</v>
      </c>
      <c r="L334" s="387">
        <v>0</v>
      </c>
      <c r="M334" s="387">
        <f t="shared" si="20"/>
        <v>1</v>
      </c>
      <c r="N334" s="442">
        <f t="shared" si="21"/>
        <v>0</v>
      </c>
      <c r="O334" s="387" t="s">
        <v>1358</v>
      </c>
      <c r="P334" s="459">
        <v>0</v>
      </c>
      <c r="Q334" s="459"/>
      <c r="R334" s="456">
        <v>0</v>
      </c>
      <c r="S334" s="456">
        <v>34.017000000000003</v>
      </c>
      <c r="T334" s="410"/>
      <c r="U334" s="411">
        <v>1</v>
      </c>
      <c r="V334" s="411">
        <v>1</v>
      </c>
      <c r="W334" s="411">
        <v>1</v>
      </c>
      <c r="X334" s="411"/>
      <c r="Y334" s="411"/>
      <c r="Z334" s="412">
        <f t="shared" si="22"/>
        <v>0</v>
      </c>
      <c r="AA334" s="456">
        <f t="shared" si="23"/>
        <v>0</v>
      </c>
      <c r="AB334" s="456">
        <v>0</v>
      </c>
      <c r="AC334" s="2"/>
      <c r="AD334" s="4"/>
      <c r="AE334" s="5"/>
      <c r="AF334" s="428"/>
    </row>
    <row r="335" spans="1:32" x14ac:dyDescent="0.25">
      <c r="A335" s="1" t="s">
        <v>2781</v>
      </c>
      <c r="B335" s="3" t="s">
        <v>1368</v>
      </c>
      <c r="C335" s="3" t="s">
        <v>1247</v>
      </c>
      <c r="D335" s="407" t="s">
        <v>1425</v>
      </c>
      <c r="E335" s="3" t="s">
        <v>2091</v>
      </c>
      <c r="F335" s="407" t="s">
        <v>4479</v>
      </c>
      <c r="G335" s="440" t="s">
        <v>4109</v>
      </c>
      <c r="H335" s="407" t="s">
        <v>4300</v>
      </c>
      <c r="I335" s="407" t="s">
        <v>3781</v>
      </c>
      <c r="J335" s="387" t="s">
        <v>4643</v>
      </c>
      <c r="K335" s="387">
        <v>1</v>
      </c>
      <c r="L335" s="387">
        <v>0</v>
      </c>
      <c r="M335" s="387">
        <f t="shared" si="20"/>
        <v>1</v>
      </c>
      <c r="N335" s="442">
        <f t="shared" si="21"/>
        <v>0</v>
      </c>
      <c r="O335" s="387" t="s">
        <v>1358</v>
      </c>
      <c r="P335" s="459">
        <v>0</v>
      </c>
      <c r="Q335" s="459"/>
      <c r="R335" s="456">
        <v>0</v>
      </c>
      <c r="S335" s="456">
        <v>31.218</v>
      </c>
      <c r="T335" s="410"/>
      <c r="U335" s="411">
        <v>1</v>
      </c>
      <c r="V335" s="411">
        <v>1</v>
      </c>
      <c r="W335" s="411">
        <v>1</v>
      </c>
      <c r="X335" s="411"/>
      <c r="Y335" s="411"/>
      <c r="Z335" s="412">
        <f t="shared" si="22"/>
        <v>0</v>
      </c>
      <c r="AA335" s="456">
        <f t="shared" si="23"/>
        <v>0</v>
      </c>
      <c r="AB335" s="456">
        <v>0</v>
      </c>
      <c r="AC335" s="2"/>
      <c r="AD335" s="4"/>
      <c r="AE335" s="5"/>
      <c r="AF335" s="428"/>
    </row>
    <row r="336" spans="1:32" x14ac:dyDescent="0.25">
      <c r="A336" s="1" t="s">
        <v>2782</v>
      </c>
      <c r="B336" s="3" t="s">
        <v>1368</v>
      </c>
      <c r="C336" s="3" t="s">
        <v>1247</v>
      </c>
      <c r="D336" s="407" t="s">
        <v>1426</v>
      </c>
      <c r="E336" s="3" t="s">
        <v>2092</v>
      </c>
      <c r="F336" s="407" t="s">
        <v>4480</v>
      </c>
      <c r="G336" s="440" t="s">
        <v>4109</v>
      </c>
      <c r="H336" s="407" t="s">
        <v>4301</v>
      </c>
      <c r="I336" s="407" t="s">
        <v>3782</v>
      </c>
      <c r="J336" s="387" t="s">
        <v>4637</v>
      </c>
      <c r="K336" s="387">
        <v>1</v>
      </c>
      <c r="L336" s="387">
        <v>0</v>
      </c>
      <c r="M336" s="387">
        <f t="shared" si="20"/>
        <v>1</v>
      </c>
      <c r="N336" s="442">
        <f t="shared" si="21"/>
        <v>0</v>
      </c>
      <c r="O336" s="387" t="s">
        <v>1358</v>
      </c>
      <c r="P336" s="459">
        <v>0</v>
      </c>
      <c r="Q336" s="459"/>
      <c r="R336" s="456">
        <v>0</v>
      </c>
      <c r="S336" s="456">
        <v>31.218</v>
      </c>
      <c r="T336" s="410"/>
      <c r="U336" s="411">
        <v>0</v>
      </c>
      <c r="V336" s="411">
        <v>0</v>
      </c>
      <c r="W336" s="411">
        <v>0</v>
      </c>
      <c r="X336" s="411"/>
      <c r="Y336" s="411"/>
      <c r="Z336" s="412">
        <f t="shared" si="22"/>
        <v>0</v>
      </c>
      <c r="AA336" s="456">
        <f t="shared" si="23"/>
        <v>0</v>
      </c>
      <c r="AB336" s="456">
        <v>0</v>
      </c>
      <c r="AC336" s="2"/>
      <c r="AD336" s="4"/>
      <c r="AE336" s="5"/>
      <c r="AF336" s="428"/>
    </row>
    <row r="337" spans="1:32" x14ac:dyDescent="0.25">
      <c r="A337" s="1" t="s">
        <v>2783</v>
      </c>
      <c r="B337" s="3" t="s">
        <v>1368</v>
      </c>
      <c r="C337" s="3" t="s">
        <v>1247</v>
      </c>
      <c r="D337" s="407" t="s">
        <v>3293</v>
      </c>
      <c r="E337" s="3" t="s">
        <v>2093</v>
      </c>
      <c r="F337" s="407" t="s">
        <v>4503</v>
      </c>
      <c r="G337" s="440" t="s">
        <v>4109</v>
      </c>
      <c r="H337" s="407" t="s">
        <v>4324</v>
      </c>
      <c r="I337" s="407" t="s">
        <v>3798</v>
      </c>
      <c r="J337" s="387" t="s">
        <v>4658</v>
      </c>
      <c r="K337" s="387">
        <v>1</v>
      </c>
      <c r="L337" s="387">
        <v>0</v>
      </c>
      <c r="M337" s="387">
        <f t="shared" si="20"/>
        <v>1</v>
      </c>
      <c r="N337" s="442">
        <f t="shared" si="21"/>
        <v>0</v>
      </c>
      <c r="O337" s="387" t="s">
        <v>1358</v>
      </c>
      <c r="P337" s="459">
        <v>0</v>
      </c>
      <c r="Q337" s="459"/>
      <c r="R337" s="456">
        <v>0</v>
      </c>
      <c r="S337" s="456">
        <v>18.812999999999999</v>
      </c>
      <c r="T337" s="410"/>
      <c r="U337" s="411">
        <v>1</v>
      </c>
      <c r="V337" s="411">
        <v>1</v>
      </c>
      <c r="W337" s="411">
        <v>1</v>
      </c>
      <c r="X337" s="411"/>
      <c r="Y337" s="411"/>
      <c r="Z337" s="412">
        <f t="shared" si="22"/>
        <v>0</v>
      </c>
      <c r="AA337" s="456">
        <f t="shared" si="23"/>
        <v>0</v>
      </c>
      <c r="AB337" s="456">
        <v>0</v>
      </c>
      <c r="AC337" s="2"/>
      <c r="AD337" s="4"/>
      <c r="AE337" s="5"/>
      <c r="AF337" s="428"/>
    </row>
    <row r="338" spans="1:32" x14ac:dyDescent="0.25">
      <c r="A338" s="1" t="s">
        <v>2784</v>
      </c>
      <c r="B338" s="3" t="s">
        <v>1368</v>
      </c>
      <c r="C338" s="3" t="s">
        <v>1247</v>
      </c>
      <c r="D338" s="407" t="s">
        <v>1399</v>
      </c>
      <c r="E338" s="3" t="s">
        <v>2094</v>
      </c>
      <c r="F338" s="407" t="s">
        <v>4499</v>
      </c>
      <c r="G338" s="440" t="s">
        <v>4109</v>
      </c>
      <c r="H338" s="407" t="s">
        <v>4320</v>
      </c>
      <c r="I338" s="407" t="s">
        <v>3758</v>
      </c>
      <c r="J338" s="387" t="s">
        <v>4653</v>
      </c>
      <c r="K338" s="387">
        <v>1</v>
      </c>
      <c r="L338" s="387">
        <v>0</v>
      </c>
      <c r="M338" s="387">
        <f t="shared" si="20"/>
        <v>1</v>
      </c>
      <c r="N338" s="442">
        <f t="shared" si="21"/>
        <v>0</v>
      </c>
      <c r="O338" s="387" t="s">
        <v>1358</v>
      </c>
      <c r="P338" s="459">
        <v>0</v>
      </c>
      <c r="Q338" s="459"/>
      <c r="R338" s="456">
        <v>0</v>
      </c>
      <c r="S338" s="456">
        <v>25.07</v>
      </c>
      <c r="T338" s="410"/>
      <c r="U338" s="411">
        <v>1</v>
      </c>
      <c r="V338" s="411">
        <v>1</v>
      </c>
      <c r="W338" s="411">
        <v>1</v>
      </c>
      <c r="X338" s="411"/>
      <c r="Y338" s="411"/>
      <c r="Z338" s="412">
        <f t="shared" si="22"/>
        <v>0</v>
      </c>
      <c r="AA338" s="456">
        <f t="shared" si="23"/>
        <v>0</v>
      </c>
      <c r="AB338" s="456">
        <v>0</v>
      </c>
      <c r="AC338" s="2"/>
      <c r="AD338" s="4"/>
      <c r="AE338" s="5"/>
      <c r="AF338" s="428"/>
    </row>
    <row r="339" spans="1:32" x14ac:dyDescent="0.25">
      <c r="A339" s="1" t="s">
        <v>2785</v>
      </c>
      <c r="B339" s="3" t="s">
        <v>1368</v>
      </c>
      <c r="C339" s="3" t="s">
        <v>1247</v>
      </c>
      <c r="D339" s="407" t="s">
        <v>1432</v>
      </c>
      <c r="E339" s="3" t="s">
        <v>2095</v>
      </c>
      <c r="F339" s="407" t="s">
        <v>4483</v>
      </c>
      <c r="G339" s="440" t="s">
        <v>4109</v>
      </c>
      <c r="H339" s="407" t="s">
        <v>4304</v>
      </c>
      <c r="I339" s="407" t="s">
        <v>3785</v>
      </c>
      <c r="J339" s="387" t="s">
        <v>4635</v>
      </c>
      <c r="K339" s="387">
        <v>1</v>
      </c>
      <c r="L339" s="387">
        <v>0</v>
      </c>
      <c r="M339" s="387">
        <f t="shared" si="20"/>
        <v>1</v>
      </c>
      <c r="N339" s="442">
        <f t="shared" si="21"/>
        <v>0</v>
      </c>
      <c r="O339" s="387" t="s">
        <v>1358</v>
      </c>
      <c r="P339" s="459">
        <v>0</v>
      </c>
      <c r="Q339" s="459"/>
      <c r="R339" s="456">
        <v>0</v>
      </c>
      <c r="S339" s="456">
        <v>28.169</v>
      </c>
      <c r="T339" s="410"/>
      <c r="U339" s="411">
        <v>0</v>
      </c>
      <c r="V339" s="411">
        <v>0</v>
      </c>
      <c r="W339" s="411">
        <v>0</v>
      </c>
      <c r="X339" s="411"/>
      <c r="Y339" s="411"/>
      <c r="Z339" s="412">
        <f t="shared" si="22"/>
        <v>0</v>
      </c>
      <c r="AA339" s="456">
        <f t="shared" si="23"/>
        <v>0</v>
      </c>
      <c r="AB339" s="456">
        <v>0</v>
      </c>
      <c r="AC339" s="2"/>
      <c r="AD339" s="4"/>
      <c r="AE339" s="5"/>
      <c r="AF339" s="428"/>
    </row>
    <row r="340" spans="1:32" x14ac:dyDescent="0.25">
      <c r="A340" s="1" t="s">
        <v>2786</v>
      </c>
      <c r="B340" s="3" t="s">
        <v>1368</v>
      </c>
      <c r="C340" s="3" t="s">
        <v>1247</v>
      </c>
      <c r="D340" s="407" t="s">
        <v>1397</v>
      </c>
      <c r="E340" s="3" t="s">
        <v>2096</v>
      </c>
      <c r="F340" s="407" t="s">
        <v>4493</v>
      </c>
      <c r="G340" s="440" t="s">
        <v>4109</v>
      </c>
      <c r="H340" s="407" t="s">
        <v>4314</v>
      </c>
      <c r="I340" s="407" t="s">
        <v>3795</v>
      </c>
      <c r="J340" s="387" t="s">
        <v>4647</v>
      </c>
      <c r="K340" s="387">
        <v>1</v>
      </c>
      <c r="L340" s="387">
        <v>0</v>
      </c>
      <c r="M340" s="387">
        <f t="shared" si="20"/>
        <v>1</v>
      </c>
      <c r="N340" s="442">
        <f t="shared" si="21"/>
        <v>0</v>
      </c>
      <c r="O340" s="387" t="s">
        <v>1358</v>
      </c>
      <c r="P340" s="459">
        <v>0</v>
      </c>
      <c r="Q340" s="459"/>
      <c r="R340" s="456">
        <v>0</v>
      </c>
      <c r="S340" s="456">
        <v>27.423999999999999</v>
      </c>
      <c r="T340" s="410"/>
      <c r="U340" s="411">
        <v>1</v>
      </c>
      <c r="V340" s="411">
        <v>1</v>
      </c>
      <c r="W340" s="411">
        <v>1</v>
      </c>
      <c r="X340" s="411"/>
      <c r="Y340" s="411"/>
      <c r="Z340" s="412">
        <f t="shared" si="22"/>
        <v>0</v>
      </c>
      <c r="AA340" s="456">
        <f t="shared" si="23"/>
        <v>0</v>
      </c>
      <c r="AB340" s="456">
        <v>0</v>
      </c>
      <c r="AC340" s="2"/>
      <c r="AD340" s="4"/>
      <c r="AE340" s="5"/>
      <c r="AF340" s="428"/>
    </row>
    <row r="341" spans="1:32" x14ac:dyDescent="0.25">
      <c r="A341" s="1" t="s">
        <v>2787</v>
      </c>
      <c r="B341" s="3" t="s">
        <v>1368</v>
      </c>
      <c r="C341" s="3" t="s">
        <v>1247</v>
      </c>
      <c r="D341" s="407" t="s">
        <v>1398</v>
      </c>
      <c r="E341" s="3" t="s">
        <v>2097</v>
      </c>
      <c r="F341" s="407" t="s">
        <v>4496</v>
      </c>
      <c r="G341" s="440" t="s">
        <v>4109</v>
      </c>
      <c r="H341" s="407" t="s">
        <v>4317</v>
      </c>
      <c r="I341" s="407" t="s">
        <v>3796</v>
      </c>
      <c r="J341" s="387" t="s">
        <v>4650</v>
      </c>
      <c r="K341" s="387">
        <v>2</v>
      </c>
      <c r="L341" s="387">
        <v>0</v>
      </c>
      <c r="M341" s="387">
        <f t="shared" si="20"/>
        <v>2</v>
      </c>
      <c r="N341" s="442">
        <f t="shared" si="21"/>
        <v>0</v>
      </c>
      <c r="O341" s="387" t="s">
        <v>1358</v>
      </c>
      <c r="P341" s="459">
        <v>0</v>
      </c>
      <c r="Q341" s="459"/>
      <c r="R341" s="456">
        <v>0</v>
      </c>
      <c r="S341" s="456">
        <v>50</v>
      </c>
      <c r="T341" s="410"/>
      <c r="U341" s="411">
        <v>1</v>
      </c>
      <c r="V341" s="411">
        <v>1</v>
      </c>
      <c r="W341" s="411">
        <v>1</v>
      </c>
      <c r="X341" s="411"/>
      <c r="Y341" s="411"/>
      <c r="Z341" s="412">
        <f t="shared" si="22"/>
        <v>0</v>
      </c>
      <c r="AA341" s="456">
        <f t="shared" si="23"/>
        <v>0</v>
      </c>
      <c r="AB341" s="456">
        <v>0</v>
      </c>
      <c r="AC341" s="2"/>
      <c r="AD341" s="4"/>
      <c r="AE341" s="5"/>
      <c r="AF341" s="428"/>
    </row>
    <row r="342" spans="1:32" x14ac:dyDescent="0.25">
      <c r="A342" s="1" t="s">
        <v>2788</v>
      </c>
      <c r="B342" s="3" t="s">
        <v>1368</v>
      </c>
      <c r="C342" s="3" t="s">
        <v>1247</v>
      </c>
      <c r="D342" s="407" t="s">
        <v>1374</v>
      </c>
      <c r="E342" s="3" t="s">
        <v>2098</v>
      </c>
      <c r="F342" s="407" t="s">
        <v>4495</v>
      </c>
      <c r="G342" s="440" t="s">
        <v>4109</v>
      </c>
      <c r="H342" s="407" t="s">
        <v>4316</v>
      </c>
      <c r="I342" s="407" t="s">
        <v>3757</v>
      </c>
      <c r="J342" s="387" t="s">
        <v>4649</v>
      </c>
      <c r="K342" s="387">
        <v>2</v>
      </c>
      <c r="L342" s="387">
        <v>0</v>
      </c>
      <c r="M342" s="387">
        <f t="shared" si="20"/>
        <v>2</v>
      </c>
      <c r="N342" s="442">
        <f t="shared" si="21"/>
        <v>2</v>
      </c>
      <c r="O342" s="387" t="s">
        <v>1358</v>
      </c>
      <c r="P342" s="459">
        <v>0</v>
      </c>
      <c r="Q342" s="459"/>
      <c r="R342" s="456">
        <v>0</v>
      </c>
      <c r="S342" s="456">
        <v>50</v>
      </c>
      <c r="T342" s="410"/>
      <c r="U342" s="411">
        <v>1</v>
      </c>
      <c r="V342" s="411">
        <v>1</v>
      </c>
      <c r="W342" s="411">
        <v>1</v>
      </c>
      <c r="X342" s="411"/>
      <c r="Y342" s="411"/>
      <c r="Z342" s="412">
        <f t="shared" si="22"/>
        <v>1</v>
      </c>
      <c r="AA342" s="456">
        <v>50</v>
      </c>
      <c r="AB342" s="456">
        <v>0</v>
      </c>
      <c r="AC342" s="2"/>
      <c r="AD342" s="4"/>
      <c r="AE342" s="5"/>
      <c r="AF342" s="428"/>
    </row>
    <row r="343" spans="1:32" x14ac:dyDescent="0.25">
      <c r="A343" s="1" t="s">
        <v>2789</v>
      </c>
      <c r="B343" s="3" t="s">
        <v>1368</v>
      </c>
      <c r="C343" s="3" t="s">
        <v>1247</v>
      </c>
      <c r="D343" s="407" t="s">
        <v>1377</v>
      </c>
      <c r="E343" s="3" t="s">
        <v>2099</v>
      </c>
      <c r="F343" s="407" t="s">
        <v>4494</v>
      </c>
      <c r="G343" s="440" t="s">
        <v>4109</v>
      </c>
      <c r="H343" s="407" t="s">
        <v>4315</v>
      </c>
      <c r="I343" s="407" t="s">
        <v>3749</v>
      </c>
      <c r="J343" s="387" t="s">
        <v>4648</v>
      </c>
      <c r="K343" s="387">
        <v>1</v>
      </c>
      <c r="L343" s="387">
        <v>0</v>
      </c>
      <c r="M343" s="387">
        <f t="shared" si="20"/>
        <v>1</v>
      </c>
      <c r="N343" s="442">
        <f t="shared" si="21"/>
        <v>0</v>
      </c>
      <c r="O343" s="387" t="s">
        <v>1358</v>
      </c>
      <c r="P343" s="459">
        <v>0</v>
      </c>
      <c r="Q343" s="459"/>
      <c r="R343" s="456">
        <v>0</v>
      </c>
      <c r="S343" s="456">
        <v>25.07</v>
      </c>
      <c r="T343" s="410"/>
      <c r="U343" s="411">
        <v>1</v>
      </c>
      <c r="V343" s="411">
        <v>1</v>
      </c>
      <c r="W343" s="411">
        <v>1</v>
      </c>
      <c r="X343" s="411"/>
      <c r="Y343" s="411"/>
      <c r="Z343" s="412">
        <f t="shared" si="22"/>
        <v>0</v>
      </c>
      <c r="AA343" s="456">
        <f t="shared" si="23"/>
        <v>0</v>
      </c>
      <c r="AB343" s="456">
        <v>0</v>
      </c>
      <c r="AC343" s="2"/>
      <c r="AD343" s="4"/>
      <c r="AE343" s="5"/>
      <c r="AF343" s="428"/>
    </row>
    <row r="344" spans="1:32" x14ac:dyDescent="0.25">
      <c r="A344" s="1" t="s">
        <v>2790</v>
      </c>
      <c r="B344" s="3" t="s">
        <v>1368</v>
      </c>
      <c r="C344" s="3" t="s">
        <v>1247</v>
      </c>
      <c r="D344" s="407" t="s">
        <v>1379</v>
      </c>
      <c r="E344" s="3" t="s">
        <v>2100</v>
      </c>
      <c r="F344" s="407" t="s">
        <v>4502</v>
      </c>
      <c r="G344" s="440" t="s">
        <v>4109</v>
      </c>
      <c r="H344" s="407" t="s">
        <v>4323</v>
      </c>
      <c r="I344" s="407" t="s">
        <v>3750</v>
      </c>
      <c r="J344" s="387" t="s">
        <v>4632</v>
      </c>
      <c r="K344" s="387">
        <v>1</v>
      </c>
      <c r="L344" s="387">
        <v>0</v>
      </c>
      <c r="M344" s="387">
        <f t="shared" si="20"/>
        <v>1</v>
      </c>
      <c r="N344" s="442">
        <f t="shared" si="21"/>
        <v>0</v>
      </c>
      <c r="O344" s="387" t="s">
        <v>1358</v>
      </c>
      <c r="P344" s="459">
        <v>0</v>
      </c>
      <c r="Q344" s="459"/>
      <c r="R344" s="456">
        <v>0</v>
      </c>
      <c r="S344" s="456">
        <v>25.07</v>
      </c>
      <c r="T344" s="410"/>
      <c r="U344" s="411">
        <v>1</v>
      </c>
      <c r="V344" s="411">
        <v>1</v>
      </c>
      <c r="W344" s="411">
        <v>1</v>
      </c>
      <c r="X344" s="411"/>
      <c r="Y344" s="411"/>
      <c r="Z344" s="412">
        <f t="shared" si="22"/>
        <v>0</v>
      </c>
      <c r="AA344" s="456">
        <f t="shared" si="23"/>
        <v>0</v>
      </c>
      <c r="AB344" s="456">
        <v>0</v>
      </c>
      <c r="AC344" s="2"/>
      <c r="AD344" s="4"/>
      <c r="AE344" s="5"/>
      <c r="AF344" s="428"/>
    </row>
    <row r="345" spans="1:32" x14ac:dyDescent="0.25">
      <c r="A345" s="1" t="s">
        <v>2791</v>
      </c>
      <c r="B345" s="3" t="s">
        <v>1368</v>
      </c>
      <c r="C345" s="3" t="s">
        <v>1247</v>
      </c>
      <c r="D345" s="407" t="s">
        <v>1381</v>
      </c>
      <c r="E345" s="3" t="s">
        <v>2101</v>
      </c>
      <c r="F345" s="407" t="s">
        <v>4497</v>
      </c>
      <c r="G345" s="440" t="s">
        <v>4109</v>
      </c>
      <c r="H345" s="407" t="s">
        <v>4318</v>
      </c>
      <c r="I345" s="407" t="s">
        <v>3751</v>
      </c>
      <c r="J345" s="387" t="s">
        <v>4631</v>
      </c>
      <c r="K345" s="387">
        <v>1</v>
      </c>
      <c r="L345" s="387">
        <v>0</v>
      </c>
      <c r="M345" s="387">
        <f t="shared" si="20"/>
        <v>1</v>
      </c>
      <c r="N345" s="442">
        <f t="shared" si="21"/>
        <v>0</v>
      </c>
      <c r="O345" s="387" t="s">
        <v>1358</v>
      </c>
      <c r="P345" s="459">
        <v>0</v>
      </c>
      <c r="Q345" s="459"/>
      <c r="R345" s="456">
        <v>0</v>
      </c>
      <c r="S345" s="456">
        <v>25.07</v>
      </c>
      <c r="T345" s="410"/>
      <c r="U345" s="411">
        <v>1</v>
      </c>
      <c r="V345" s="411">
        <v>1</v>
      </c>
      <c r="W345" s="411">
        <v>1</v>
      </c>
      <c r="X345" s="411"/>
      <c r="Y345" s="411"/>
      <c r="Z345" s="412">
        <f t="shared" si="22"/>
        <v>0</v>
      </c>
      <c r="AA345" s="456">
        <f t="shared" si="23"/>
        <v>0</v>
      </c>
      <c r="AB345" s="456">
        <v>0</v>
      </c>
      <c r="AC345" s="2"/>
      <c r="AD345" s="4"/>
      <c r="AE345" s="5"/>
      <c r="AF345" s="428"/>
    </row>
    <row r="346" spans="1:32" x14ac:dyDescent="0.25">
      <c r="A346" s="1" t="s">
        <v>2792</v>
      </c>
      <c r="B346" s="3" t="s">
        <v>1368</v>
      </c>
      <c r="C346" s="3" t="s">
        <v>1247</v>
      </c>
      <c r="D346" s="407" t="s">
        <v>1396</v>
      </c>
      <c r="E346" s="3" t="s">
        <v>2102</v>
      </c>
      <c r="F346" s="407" t="s">
        <v>4498</v>
      </c>
      <c r="G346" s="440" t="s">
        <v>4109</v>
      </c>
      <c r="H346" s="407" t="s">
        <v>4319</v>
      </c>
      <c r="I346" s="407" t="s">
        <v>3752</v>
      </c>
      <c r="J346" s="387" t="s">
        <v>4652</v>
      </c>
      <c r="K346" s="387">
        <v>1</v>
      </c>
      <c r="L346" s="387">
        <v>0</v>
      </c>
      <c r="M346" s="387">
        <f t="shared" si="20"/>
        <v>1</v>
      </c>
      <c r="N346" s="442">
        <f t="shared" si="21"/>
        <v>0</v>
      </c>
      <c r="O346" s="387" t="s">
        <v>1358</v>
      </c>
      <c r="P346" s="459">
        <v>0</v>
      </c>
      <c r="Q346" s="459"/>
      <c r="R346" s="456">
        <v>0</v>
      </c>
      <c r="S346" s="456">
        <v>25.07</v>
      </c>
      <c r="T346" s="410"/>
      <c r="U346" s="411">
        <v>1</v>
      </c>
      <c r="V346" s="411">
        <v>1</v>
      </c>
      <c r="W346" s="411">
        <v>1</v>
      </c>
      <c r="X346" s="411"/>
      <c r="Y346" s="411"/>
      <c r="Z346" s="412">
        <f t="shared" si="22"/>
        <v>0</v>
      </c>
      <c r="AA346" s="456">
        <f t="shared" si="23"/>
        <v>0</v>
      </c>
      <c r="AB346" s="456">
        <v>0</v>
      </c>
      <c r="AC346" s="2"/>
      <c r="AD346" s="4"/>
      <c r="AE346" s="5"/>
      <c r="AF346" s="428"/>
    </row>
    <row r="347" spans="1:32" x14ac:dyDescent="0.25">
      <c r="A347" s="571" t="s">
        <v>5218</v>
      </c>
      <c r="B347" s="3" t="s">
        <v>1368</v>
      </c>
      <c r="C347" s="3" t="s">
        <v>1247</v>
      </c>
      <c r="D347" s="407" t="s">
        <v>1396</v>
      </c>
      <c r="E347" s="3" t="s">
        <v>5209</v>
      </c>
      <c r="F347" s="407" t="s">
        <v>4498</v>
      </c>
      <c r="G347" s="440" t="s">
        <v>4109</v>
      </c>
      <c r="H347" s="407" t="s">
        <v>4319</v>
      </c>
      <c r="I347" s="407" t="s">
        <v>3752</v>
      </c>
      <c r="J347" s="387" t="s">
        <v>4653</v>
      </c>
      <c r="K347" s="387">
        <v>1</v>
      </c>
      <c r="L347" s="387">
        <v>0</v>
      </c>
      <c r="M347" s="387">
        <f t="shared" si="20"/>
        <v>1</v>
      </c>
      <c r="N347" s="442">
        <f t="shared" si="21"/>
        <v>0</v>
      </c>
      <c r="O347" s="387" t="s">
        <v>1358</v>
      </c>
      <c r="P347" s="459">
        <v>1</v>
      </c>
      <c r="Q347" s="459"/>
      <c r="R347" s="456">
        <v>0</v>
      </c>
      <c r="S347" s="456">
        <v>27.353999999999999</v>
      </c>
      <c r="T347" s="410"/>
      <c r="U347" s="411">
        <v>1</v>
      </c>
      <c r="V347" s="411">
        <v>1</v>
      </c>
      <c r="W347" s="411">
        <v>1</v>
      </c>
      <c r="X347" s="411"/>
      <c r="Y347" s="411"/>
      <c r="Z347" s="412">
        <f t="shared" si="22"/>
        <v>0</v>
      </c>
      <c r="AA347" s="456">
        <f t="shared" si="23"/>
        <v>0</v>
      </c>
      <c r="AB347" s="456"/>
      <c r="AC347" s="2"/>
      <c r="AD347" s="4"/>
      <c r="AE347" s="5"/>
      <c r="AF347" s="428"/>
    </row>
    <row r="348" spans="1:32" x14ac:dyDescent="0.25">
      <c r="A348" s="1" t="s">
        <v>2793</v>
      </c>
      <c r="B348" s="3" t="s">
        <v>1368</v>
      </c>
      <c r="C348" s="3" t="s">
        <v>1247</v>
      </c>
      <c r="D348" s="407" t="s">
        <v>1433</v>
      </c>
      <c r="E348" s="3" t="s">
        <v>2103</v>
      </c>
      <c r="F348" s="407" t="s">
        <v>4490</v>
      </c>
      <c r="G348" s="440" t="s">
        <v>4109</v>
      </c>
      <c r="H348" s="407" t="s">
        <v>4311</v>
      </c>
      <c r="I348" s="407" t="s">
        <v>3792</v>
      </c>
      <c r="J348" s="387" t="s">
        <v>4644</v>
      </c>
      <c r="K348" s="387">
        <v>1</v>
      </c>
      <c r="L348" s="387">
        <v>0</v>
      </c>
      <c r="M348" s="387">
        <f t="shared" si="20"/>
        <v>1</v>
      </c>
      <c r="N348" s="442">
        <f t="shared" si="21"/>
        <v>0</v>
      </c>
      <c r="O348" s="387" t="s">
        <v>1358</v>
      </c>
      <c r="P348" s="459">
        <v>0</v>
      </c>
      <c r="Q348" s="459"/>
      <c r="R348" s="456">
        <v>0</v>
      </c>
      <c r="S348" s="456">
        <v>28.169</v>
      </c>
      <c r="T348" s="410"/>
      <c r="U348" s="411">
        <v>0</v>
      </c>
      <c r="V348" s="411">
        <v>0</v>
      </c>
      <c r="W348" s="411">
        <v>0</v>
      </c>
      <c r="X348" s="411"/>
      <c r="Y348" s="411"/>
      <c r="Z348" s="412">
        <f t="shared" si="22"/>
        <v>0</v>
      </c>
      <c r="AA348" s="456">
        <f t="shared" si="23"/>
        <v>0</v>
      </c>
      <c r="AB348" s="456">
        <v>0</v>
      </c>
      <c r="AC348" s="2"/>
      <c r="AD348" s="4"/>
      <c r="AE348" s="5"/>
      <c r="AF348" s="428"/>
    </row>
    <row r="349" spans="1:32" x14ac:dyDescent="0.25">
      <c r="A349" s="1" t="s">
        <v>2794</v>
      </c>
      <c r="B349" s="3" t="s">
        <v>1368</v>
      </c>
      <c r="C349" s="3" t="s">
        <v>1247</v>
      </c>
      <c r="D349" s="407" t="s">
        <v>1425</v>
      </c>
      <c r="E349" s="3" t="s">
        <v>2104</v>
      </c>
      <c r="F349" s="407" t="s">
        <v>4479</v>
      </c>
      <c r="G349" s="440" t="s">
        <v>4109</v>
      </c>
      <c r="H349" s="407" t="s">
        <v>4300</v>
      </c>
      <c r="I349" s="407" t="s">
        <v>3781</v>
      </c>
      <c r="J349" s="387" t="s">
        <v>4643</v>
      </c>
      <c r="K349" s="387">
        <v>1</v>
      </c>
      <c r="L349" s="387">
        <v>0</v>
      </c>
      <c r="M349" s="387">
        <f t="shared" si="20"/>
        <v>1</v>
      </c>
      <c r="N349" s="442">
        <f t="shared" si="21"/>
        <v>0</v>
      </c>
      <c r="O349" s="387" t="s">
        <v>1358</v>
      </c>
      <c r="P349" s="459">
        <v>0</v>
      </c>
      <c r="Q349" s="459"/>
      <c r="R349" s="456">
        <v>0</v>
      </c>
      <c r="S349" s="456">
        <v>28.169</v>
      </c>
      <c r="T349" s="410"/>
      <c r="U349" s="411">
        <v>1</v>
      </c>
      <c r="V349" s="411">
        <v>1</v>
      </c>
      <c r="W349" s="411">
        <v>1</v>
      </c>
      <c r="X349" s="411"/>
      <c r="Y349" s="411"/>
      <c r="Z349" s="412">
        <f t="shared" si="22"/>
        <v>0</v>
      </c>
      <c r="AA349" s="456">
        <f t="shared" si="23"/>
        <v>0</v>
      </c>
      <c r="AB349" s="456">
        <v>0</v>
      </c>
      <c r="AC349" s="2"/>
      <c r="AD349" s="4"/>
      <c r="AE349" s="5"/>
      <c r="AF349" s="428"/>
    </row>
    <row r="350" spans="1:32" x14ac:dyDescent="0.25">
      <c r="A350" s="1" t="s">
        <v>2795</v>
      </c>
      <c r="B350" s="3" t="s">
        <v>1368</v>
      </c>
      <c r="C350" s="3" t="s">
        <v>1247</v>
      </c>
      <c r="D350" s="407" t="s">
        <v>1426</v>
      </c>
      <c r="E350" s="3" t="s">
        <v>2105</v>
      </c>
      <c r="F350" s="407" t="s">
        <v>4480</v>
      </c>
      <c r="G350" s="440" t="s">
        <v>4109</v>
      </c>
      <c r="H350" s="407" t="s">
        <v>4301</v>
      </c>
      <c r="I350" s="407" t="s">
        <v>3782</v>
      </c>
      <c r="J350" s="387" t="s">
        <v>4637</v>
      </c>
      <c r="K350" s="387">
        <v>1</v>
      </c>
      <c r="L350" s="387">
        <v>0</v>
      </c>
      <c r="M350" s="387">
        <f t="shared" si="20"/>
        <v>1</v>
      </c>
      <c r="N350" s="442">
        <f t="shared" si="21"/>
        <v>0</v>
      </c>
      <c r="O350" s="387" t="s">
        <v>1358</v>
      </c>
      <c r="P350" s="459">
        <v>0</v>
      </c>
      <c r="Q350" s="459"/>
      <c r="R350" s="456">
        <v>0</v>
      </c>
      <c r="S350" s="456">
        <v>28.169</v>
      </c>
      <c r="T350" s="410"/>
      <c r="U350" s="411">
        <v>0</v>
      </c>
      <c r="V350" s="411">
        <v>0</v>
      </c>
      <c r="W350" s="411">
        <v>0</v>
      </c>
      <c r="X350" s="411"/>
      <c r="Y350" s="411"/>
      <c r="Z350" s="412">
        <f t="shared" si="22"/>
        <v>0</v>
      </c>
      <c r="AA350" s="456">
        <f t="shared" si="23"/>
        <v>0</v>
      </c>
      <c r="AB350" s="456">
        <v>0</v>
      </c>
      <c r="AC350" s="2"/>
      <c r="AD350" s="4"/>
      <c r="AE350" s="5"/>
      <c r="AF350" s="428"/>
    </row>
    <row r="351" spans="1:32" x14ac:dyDescent="0.25">
      <c r="A351" s="1" t="s">
        <v>2796</v>
      </c>
      <c r="B351" s="3" t="s">
        <v>1368</v>
      </c>
      <c r="C351" s="3" t="s">
        <v>1247</v>
      </c>
      <c r="D351" s="407" t="s">
        <v>1427</v>
      </c>
      <c r="E351" s="3" t="s">
        <v>2106</v>
      </c>
      <c r="F351" s="407" t="s">
        <v>4485</v>
      </c>
      <c r="G351" s="440" t="s">
        <v>4109</v>
      </c>
      <c r="H351" s="407" t="s">
        <v>4306</v>
      </c>
      <c r="I351" s="407" t="s">
        <v>3787</v>
      </c>
      <c r="J351" s="387" t="s">
        <v>4638</v>
      </c>
      <c r="K351" s="387">
        <v>1</v>
      </c>
      <c r="L351" s="387">
        <v>0</v>
      </c>
      <c r="M351" s="387">
        <f t="shared" si="20"/>
        <v>1</v>
      </c>
      <c r="N351" s="442">
        <f t="shared" si="21"/>
        <v>0</v>
      </c>
      <c r="O351" s="387" t="s">
        <v>1358</v>
      </c>
      <c r="P351" s="459">
        <v>0</v>
      </c>
      <c r="Q351" s="459"/>
      <c r="R351" s="456">
        <v>0</v>
      </c>
      <c r="S351" s="456">
        <v>28.169</v>
      </c>
      <c r="T351" s="410"/>
      <c r="U351" s="411">
        <v>0</v>
      </c>
      <c r="V351" s="411">
        <v>0</v>
      </c>
      <c r="W351" s="411">
        <v>0</v>
      </c>
      <c r="X351" s="411"/>
      <c r="Y351" s="411"/>
      <c r="Z351" s="412">
        <f t="shared" si="22"/>
        <v>0</v>
      </c>
      <c r="AA351" s="456">
        <f t="shared" si="23"/>
        <v>0</v>
      </c>
      <c r="AB351" s="456">
        <v>0</v>
      </c>
      <c r="AC351" s="2"/>
      <c r="AD351" s="4"/>
      <c r="AE351" s="5"/>
      <c r="AF351" s="428"/>
    </row>
    <row r="352" spans="1:32" x14ac:dyDescent="0.25">
      <c r="A352" s="1" t="s">
        <v>2797</v>
      </c>
      <c r="B352" s="3" t="s">
        <v>1368</v>
      </c>
      <c r="C352" s="3" t="s">
        <v>1247</v>
      </c>
      <c r="D352" s="407" t="s">
        <v>1428</v>
      </c>
      <c r="E352" s="3" t="s">
        <v>2107</v>
      </c>
      <c r="F352" s="407" t="s">
        <v>4486</v>
      </c>
      <c r="G352" s="440" t="s">
        <v>4109</v>
      </c>
      <c r="H352" s="407" t="s">
        <v>4307</v>
      </c>
      <c r="I352" s="407" t="s">
        <v>3788</v>
      </c>
      <c r="J352" s="387" t="s">
        <v>4639</v>
      </c>
      <c r="K352" s="387">
        <v>1</v>
      </c>
      <c r="L352" s="387">
        <v>0</v>
      </c>
      <c r="M352" s="387">
        <f t="shared" si="20"/>
        <v>1</v>
      </c>
      <c r="N352" s="442">
        <f t="shared" si="21"/>
        <v>0</v>
      </c>
      <c r="O352" s="387" t="s">
        <v>1358</v>
      </c>
      <c r="P352" s="459">
        <v>0</v>
      </c>
      <c r="Q352" s="459"/>
      <c r="R352" s="456">
        <v>0</v>
      </c>
      <c r="S352" s="456">
        <v>28.169</v>
      </c>
      <c r="T352" s="410"/>
      <c r="U352" s="411">
        <v>0</v>
      </c>
      <c r="V352" s="411">
        <v>0</v>
      </c>
      <c r="W352" s="411">
        <v>0</v>
      </c>
      <c r="X352" s="411"/>
      <c r="Y352" s="411"/>
      <c r="Z352" s="412">
        <f t="shared" si="22"/>
        <v>0</v>
      </c>
      <c r="AA352" s="456">
        <f t="shared" si="23"/>
        <v>0</v>
      </c>
      <c r="AB352" s="456">
        <v>0</v>
      </c>
      <c r="AC352" s="2"/>
      <c r="AD352" s="4"/>
      <c r="AE352" s="5"/>
      <c r="AF352" s="428"/>
    </row>
    <row r="353" spans="1:32" x14ac:dyDescent="0.25">
      <c r="A353" s="1" t="s">
        <v>2798</v>
      </c>
      <c r="B353" s="3" t="s">
        <v>1368</v>
      </c>
      <c r="C353" s="3" t="s">
        <v>1247</v>
      </c>
      <c r="D353" s="407" t="s">
        <v>1429</v>
      </c>
      <c r="E353" s="3" t="s">
        <v>2108</v>
      </c>
      <c r="F353" s="407" t="s">
        <v>4487</v>
      </c>
      <c r="G353" s="440" t="s">
        <v>4109</v>
      </c>
      <c r="H353" s="407" t="s">
        <v>4308</v>
      </c>
      <c r="I353" s="407" t="s">
        <v>3789</v>
      </c>
      <c r="J353" s="387" t="s">
        <v>4640</v>
      </c>
      <c r="K353" s="387">
        <v>1</v>
      </c>
      <c r="L353" s="387">
        <v>0</v>
      </c>
      <c r="M353" s="387">
        <f t="shared" si="20"/>
        <v>1</v>
      </c>
      <c r="N353" s="442">
        <f t="shared" si="21"/>
        <v>0</v>
      </c>
      <c r="O353" s="387" t="s">
        <v>1358</v>
      </c>
      <c r="P353" s="459">
        <v>0</v>
      </c>
      <c r="Q353" s="459"/>
      <c r="R353" s="456">
        <v>0</v>
      </c>
      <c r="S353" s="456">
        <v>28.169</v>
      </c>
      <c r="T353" s="410"/>
      <c r="U353" s="411">
        <v>0</v>
      </c>
      <c r="V353" s="411">
        <v>0</v>
      </c>
      <c r="W353" s="411">
        <v>0</v>
      </c>
      <c r="X353" s="411"/>
      <c r="Y353" s="411"/>
      <c r="Z353" s="412">
        <f t="shared" si="22"/>
        <v>0</v>
      </c>
      <c r="AA353" s="456">
        <f t="shared" si="23"/>
        <v>0</v>
      </c>
      <c r="AB353" s="456">
        <v>0</v>
      </c>
      <c r="AC353" s="2"/>
      <c r="AD353" s="4"/>
      <c r="AE353" s="5"/>
      <c r="AF353" s="428"/>
    </row>
    <row r="354" spans="1:32" x14ac:dyDescent="0.25">
      <c r="A354" s="1" t="s">
        <v>2799</v>
      </c>
      <c r="B354" s="3" t="s">
        <v>1368</v>
      </c>
      <c r="C354" s="3" t="s">
        <v>1247</v>
      </c>
      <c r="D354" s="407" t="s">
        <v>1430</v>
      </c>
      <c r="E354" s="3" t="s">
        <v>2109</v>
      </c>
      <c r="F354" s="407" t="s">
        <v>4488</v>
      </c>
      <c r="G354" s="440" t="s">
        <v>4109</v>
      </c>
      <c r="H354" s="407" t="s">
        <v>4309</v>
      </c>
      <c r="I354" s="407" t="s">
        <v>3790</v>
      </c>
      <c r="J354" s="387" t="s">
        <v>4641</v>
      </c>
      <c r="K354" s="387">
        <v>1</v>
      </c>
      <c r="L354" s="387">
        <v>0</v>
      </c>
      <c r="M354" s="387">
        <f t="shared" si="20"/>
        <v>1</v>
      </c>
      <c r="N354" s="442">
        <f t="shared" si="21"/>
        <v>0</v>
      </c>
      <c r="O354" s="387" t="s">
        <v>1358</v>
      </c>
      <c r="P354" s="459">
        <v>0</v>
      </c>
      <c r="Q354" s="459"/>
      <c r="R354" s="456">
        <v>0</v>
      </c>
      <c r="S354" s="456">
        <v>28.169</v>
      </c>
      <c r="T354" s="410"/>
      <c r="U354" s="411">
        <v>0</v>
      </c>
      <c r="V354" s="411">
        <v>0</v>
      </c>
      <c r="W354" s="411">
        <v>0</v>
      </c>
      <c r="X354" s="411"/>
      <c r="Y354" s="411"/>
      <c r="Z354" s="412">
        <f t="shared" si="22"/>
        <v>0</v>
      </c>
      <c r="AA354" s="456">
        <f t="shared" si="23"/>
        <v>0</v>
      </c>
      <c r="AB354" s="456">
        <v>0</v>
      </c>
      <c r="AC354" s="2"/>
      <c r="AD354" s="4"/>
      <c r="AE354" s="5"/>
      <c r="AF354" s="428"/>
    </row>
    <row r="355" spans="1:32" x14ac:dyDescent="0.25">
      <c r="A355" s="1" t="s">
        <v>2800</v>
      </c>
      <c r="B355" s="3" t="s">
        <v>1368</v>
      </c>
      <c r="C355" s="3" t="s">
        <v>1247</v>
      </c>
      <c r="D355" s="407" t="s">
        <v>1431</v>
      </c>
      <c r="E355" s="3" t="s">
        <v>2110</v>
      </c>
      <c r="F355" s="407" t="s">
        <v>4489</v>
      </c>
      <c r="G355" s="440" t="s">
        <v>4109</v>
      </c>
      <c r="H355" s="407" t="s">
        <v>4310</v>
      </c>
      <c r="I355" s="407" t="s">
        <v>3791</v>
      </c>
      <c r="J355" s="387" t="s">
        <v>4642</v>
      </c>
      <c r="K355" s="387">
        <v>1</v>
      </c>
      <c r="L355" s="387">
        <v>0</v>
      </c>
      <c r="M355" s="387">
        <f t="shared" si="20"/>
        <v>1</v>
      </c>
      <c r="N355" s="442">
        <f t="shared" si="21"/>
        <v>0</v>
      </c>
      <c r="O355" s="387" t="s">
        <v>1358</v>
      </c>
      <c r="P355" s="459">
        <v>0</v>
      </c>
      <c r="Q355" s="459"/>
      <c r="R355" s="456">
        <v>0</v>
      </c>
      <c r="S355" s="456">
        <v>28.169</v>
      </c>
      <c r="T355" s="410"/>
      <c r="U355" s="411">
        <v>0</v>
      </c>
      <c r="V355" s="411">
        <v>0</v>
      </c>
      <c r="W355" s="411">
        <v>0</v>
      </c>
      <c r="X355" s="411"/>
      <c r="Y355" s="411"/>
      <c r="Z355" s="412">
        <f t="shared" si="22"/>
        <v>0</v>
      </c>
      <c r="AA355" s="456">
        <f t="shared" si="23"/>
        <v>0</v>
      </c>
      <c r="AB355" s="456">
        <v>0</v>
      </c>
      <c r="AC355" s="2"/>
      <c r="AD355" s="4"/>
      <c r="AE355" s="5"/>
      <c r="AF355" s="428"/>
    </row>
    <row r="356" spans="1:32" x14ac:dyDescent="0.25">
      <c r="A356" s="1" t="s">
        <v>2801</v>
      </c>
      <c r="B356" s="3" t="s">
        <v>1368</v>
      </c>
      <c r="C356" s="3" t="s">
        <v>1247</v>
      </c>
      <c r="D356" s="407" t="s">
        <v>3306</v>
      </c>
      <c r="E356" s="3" t="s">
        <v>2111</v>
      </c>
      <c r="F356" s="407" t="s">
        <v>4484</v>
      </c>
      <c r="G356" s="440" t="s">
        <v>4109</v>
      </c>
      <c r="H356" s="407" t="s">
        <v>4305</v>
      </c>
      <c r="I356" s="407" t="s">
        <v>3786</v>
      </c>
      <c r="J356" s="387" t="s">
        <v>4636</v>
      </c>
      <c r="K356" s="387">
        <v>1</v>
      </c>
      <c r="L356" s="387">
        <v>0</v>
      </c>
      <c r="M356" s="387">
        <f t="shared" si="20"/>
        <v>1</v>
      </c>
      <c r="N356" s="442">
        <f t="shared" si="21"/>
        <v>0</v>
      </c>
      <c r="O356" s="387" t="s">
        <v>1358</v>
      </c>
      <c r="P356" s="459">
        <v>0</v>
      </c>
      <c r="Q356" s="459"/>
      <c r="R356" s="456">
        <v>0</v>
      </c>
      <c r="S356" s="456">
        <v>28.545000000000002</v>
      </c>
      <c r="T356" s="410"/>
      <c r="U356" s="411">
        <v>0</v>
      </c>
      <c r="V356" s="411">
        <v>0</v>
      </c>
      <c r="W356" s="411">
        <v>0</v>
      </c>
      <c r="X356" s="411"/>
      <c r="Y356" s="411"/>
      <c r="Z356" s="412">
        <f t="shared" si="22"/>
        <v>0</v>
      </c>
      <c r="AA356" s="456">
        <f t="shared" si="23"/>
        <v>0</v>
      </c>
      <c r="AB356" s="456">
        <v>0</v>
      </c>
      <c r="AC356" s="2"/>
      <c r="AD356" s="4"/>
      <c r="AE356" s="5"/>
      <c r="AF356" s="428"/>
    </row>
    <row r="357" spans="1:32" x14ac:dyDescent="0.25">
      <c r="A357" s="1" t="s">
        <v>2802</v>
      </c>
      <c r="B357" s="3" t="s">
        <v>1368</v>
      </c>
      <c r="C357" s="3" t="s">
        <v>1247</v>
      </c>
      <c r="D357" s="407" t="s">
        <v>3293</v>
      </c>
      <c r="E357" s="3" t="s">
        <v>2112</v>
      </c>
      <c r="F357" s="407" t="s">
        <v>4503</v>
      </c>
      <c r="G357" s="440" t="s">
        <v>4109</v>
      </c>
      <c r="H357" s="407" t="s">
        <v>4324</v>
      </c>
      <c r="I357" s="407" t="s">
        <v>3798</v>
      </c>
      <c r="J357" s="387" t="s">
        <v>4658</v>
      </c>
      <c r="K357" s="387">
        <v>1</v>
      </c>
      <c r="L357" s="387">
        <v>0</v>
      </c>
      <c r="M357" s="387">
        <f t="shared" si="20"/>
        <v>1</v>
      </c>
      <c r="N357" s="442">
        <f t="shared" si="21"/>
        <v>0</v>
      </c>
      <c r="O357" s="387" t="s">
        <v>1358</v>
      </c>
      <c r="P357" s="459">
        <v>0</v>
      </c>
      <c r="Q357" s="459"/>
      <c r="R357" s="456">
        <v>0</v>
      </c>
      <c r="S357" s="456">
        <v>13.776999999999999</v>
      </c>
      <c r="T357" s="410"/>
      <c r="U357" s="411">
        <v>1</v>
      </c>
      <c r="V357" s="411">
        <v>1</v>
      </c>
      <c r="W357" s="411">
        <v>1</v>
      </c>
      <c r="X357" s="411"/>
      <c r="Y357" s="411"/>
      <c r="Z357" s="412">
        <f t="shared" si="22"/>
        <v>0</v>
      </c>
      <c r="AA357" s="456">
        <f t="shared" si="23"/>
        <v>0</v>
      </c>
      <c r="AB357" s="456">
        <v>0</v>
      </c>
      <c r="AC357" s="2"/>
      <c r="AD357" s="4"/>
      <c r="AE357" s="5"/>
      <c r="AF357" s="428"/>
    </row>
    <row r="358" spans="1:32" x14ac:dyDescent="0.25">
      <c r="A358" s="1" t="s">
        <v>2803</v>
      </c>
      <c r="B358" s="3" t="s">
        <v>1368</v>
      </c>
      <c r="C358" s="3" t="s">
        <v>1247</v>
      </c>
      <c r="D358" s="407" t="s">
        <v>1398</v>
      </c>
      <c r="E358" s="3" t="s">
        <v>2113</v>
      </c>
      <c r="F358" s="407" t="s">
        <v>4496</v>
      </c>
      <c r="G358" s="440" t="s">
        <v>4109</v>
      </c>
      <c r="H358" s="407" t="s">
        <v>4317</v>
      </c>
      <c r="I358" s="407" t="s">
        <v>3796</v>
      </c>
      <c r="J358" s="387" t="s">
        <v>4650</v>
      </c>
      <c r="K358" s="387">
        <v>1</v>
      </c>
      <c r="L358" s="387">
        <v>0</v>
      </c>
      <c r="M358" s="387">
        <f t="shared" si="20"/>
        <v>1</v>
      </c>
      <c r="N358" s="442">
        <f t="shared" si="21"/>
        <v>0</v>
      </c>
      <c r="O358" s="387" t="s">
        <v>1358</v>
      </c>
      <c r="P358" s="459">
        <v>0</v>
      </c>
      <c r="Q358" s="459"/>
      <c r="R358" s="456">
        <v>0</v>
      </c>
      <c r="S358" s="456">
        <v>13.409000000000001</v>
      </c>
      <c r="T358" s="410"/>
      <c r="U358" s="411">
        <v>1</v>
      </c>
      <c r="V358" s="411">
        <v>1</v>
      </c>
      <c r="W358" s="411">
        <v>1</v>
      </c>
      <c r="X358" s="411"/>
      <c r="Y358" s="411"/>
      <c r="Z358" s="412">
        <f t="shared" si="22"/>
        <v>0</v>
      </c>
      <c r="AA358" s="456">
        <f t="shared" si="23"/>
        <v>0</v>
      </c>
      <c r="AB358" s="456">
        <v>0</v>
      </c>
      <c r="AC358" s="2"/>
      <c r="AD358" s="4"/>
      <c r="AE358" s="5"/>
      <c r="AF358" s="428"/>
    </row>
    <row r="359" spans="1:32" x14ac:dyDescent="0.25">
      <c r="A359" s="1" t="s">
        <v>2804</v>
      </c>
      <c r="B359" s="3" t="s">
        <v>1368</v>
      </c>
      <c r="C359" s="3" t="s">
        <v>1247</v>
      </c>
      <c r="D359" s="407" t="s">
        <v>1374</v>
      </c>
      <c r="E359" s="3" t="s">
        <v>2114</v>
      </c>
      <c r="F359" s="407" t="s">
        <v>4495</v>
      </c>
      <c r="G359" s="440" t="s">
        <v>4109</v>
      </c>
      <c r="H359" s="407" t="s">
        <v>4316</v>
      </c>
      <c r="I359" s="407" t="s">
        <v>3757</v>
      </c>
      <c r="J359" s="387" t="s">
        <v>4649</v>
      </c>
      <c r="K359" s="387">
        <v>1</v>
      </c>
      <c r="L359" s="387">
        <v>0</v>
      </c>
      <c r="M359" s="387">
        <f t="shared" si="20"/>
        <v>1</v>
      </c>
      <c r="N359" s="442">
        <f t="shared" si="21"/>
        <v>0</v>
      </c>
      <c r="O359" s="387" t="s">
        <v>1358</v>
      </c>
      <c r="P359" s="459">
        <v>0</v>
      </c>
      <c r="Q359" s="459"/>
      <c r="R359" s="456">
        <v>0</v>
      </c>
      <c r="S359" s="456">
        <v>13.409000000000001</v>
      </c>
      <c r="T359" s="410"/>
      <c r="U359" s="411">
        <v>1</v>
      </c>
      <c r="V359" s="411">
        <v>1</v>
      </c>
      <c r="W359" s="411">
        <v>1</v>
      </c>
      <c r="X359" s="411"/>
      <c r="Y359" s="411"/>
      <c r="Z359" s="412">
        <f t="shared" si="22"/>
        <v>0</v>
      </c>
      <c r="AA359" s="456">
        <f t="shared" si="23"/>
        <v>0</v>
      </c>
      <c r="AB359" s="456">
        <v>0</v>
      </c>
      <c r="AC359" s="2"/>
      <c r="AD359" s="4"/>
      <c r="AE359" s="5"/>
      <c r="AF359" s="428"/>
    </row>
    <row r="360" spans="1:32" x14ac:dyDescent="0.25">
      <c r="A360" s="1" t="s">
        <v>2805</v>
      </c>
      <c r="B360" s="3" t="s">
        <v>1368</v>
      </c>
      <c r="C360" s="3" t="s">
        <v>1247</v>
      </c>
      <c r="D360" s="407" t="s">
        <v>1377</v>
      </c>
      <c r="E360" s="3" t="s">
        <v>2115</v>
      </c>
      <c r="F360" s="407" t="s">
        <v>4494</v>
      </c>
      <c r="G360" s="440" t="s">
        <v>4109</v>
      </c>
      <c r="H360" s="407" t="s">
        <v>4315</v>
      </c>
      <c r="I360" s="407" t="s">
        <v>3749</v>
      </c>
      <c r="J360" s="387" t="s">
        <v>4648</v>
      </c>
      <c r="K360" s="387">
        <v>1</v>
      </c>
      <c r="L360" s="387">
        <v>0</v>
      </c>
      <c r="M360" s="387">
        <f t="shared" si="20"/>
        <v>1</v>
      </c>
      <c r="N360" s="442">
        <f t="shared" si="21"/>
        <v>0</v>
      </c>
      <c r="O360" s="387" t="s">
        <v>1358</v>
      </c>
      <c r="P360" s="459">
        <v>0</v>
      </c>
      <c r="Q360" s="459"/>
      <c r="R360" s="456">
        <v>0</v>
      </c>
      <c r="S360" s="456">
        <v>13.404999999999999</v>
      </c>
      <c r="T360" s="410"/>
      <c r="U360" s="411">
        <v>0</v>
      </c>
      <c r="V360" s="411">
        <v>0</v>
      </c>
      <c r="W360" s="411">
        <v>0</v>
      </c>
      <c r="X360" s="411"/>
      <c r="Y360" s="411"/>
      <c r="Z360" s="412">
        <f t="shared" si="22"/>
        <v>0</v>
      </c>
      <c r="AA360" s="456">
        <f t="shared" si="23"/>
        <v>0</v>
      </c>
      <c r="AB360" s="456">
        <v>0</v>
      </c>
      <c r="AC360" s="2"/>
      <c r="AD360" s="4"/>
      <c r="AE360" s="5"/>
      <c r="AF360" s="428"/>
    </row>
    <row r="361" spans="1:32" x14ac:dyDescent="0.25">
      <c r="A361" s="1" t="s">
        <v>2806</v>
      </c>
      <c r="B361" s="3" t="s">
        <v>1368</v>
      </c>
      <c r="C361" s="3" t="s">
        <v>1247</v>
      </c>
      <c r="D361" s="407" t="s">
        <v>1379</v>
      </c>
      <c r="E361" s="3" t="s">
        <v>2116</v>
      </c>
      <c r="F361" s="407" t="s">
        <v>4502</v>
      </c>
      <c r="G361" s="440" t="s">
        <v>4109</v>
      </c>
      <c r="H361" s="407" t="s">
        <v>4323</v>
      </c>
      <c r="I361" s="407" t="s">
        <v>3750</v>
      </c>
      <c r="J361" s="387" t="s">
        <v>4632</v>
      </c>
      <c r="K361" s="387">
        <v>1</v>
      </c>
      <c r="L361" s="387">
        <v>0</v>
      </c>
      <c r="M361" s="387">
        <f t="shared" si="20"/>
        <v>1</v>
      </c>
      <c r="N361" s="442">
        <f t="shared" si="21"/>
        <v>0</v>
      </c>
      <c r="O361" s="387" t="s">
        <v>1358</v>
      </c>
      <c r="P361" s="459">
        <v>0</v>
      </c>
      <c r="Q361" s="459"/>
      <c r="R361" s="456">
        <v>0</v>
      </c>
      <c r="S361" s="456">
        <v>13.409000000000001</v>
      </c>
      <c r="T361" s="410"/>
      <c r="U361" s="411">
        <v>1</v>
      </c>
      <c r="V361" s="411">
        <v>1</v>
      </c>
      <c r="W361" s="411">
        <v>1</v>
      </c>
      <c r="X361" s="411"/>
      <c r="Y361" s="411"/>
      <c r="Z361" s="412">
        <f t="shared" si="22"/>
        <v>0</v>
      </c>
      <c r="AA361" s="456">
        <f t="shared" si="23"/>
        <v>0</v>
      </c>
      <c r="AB361" s="456">
        <v>0</v>
      </c>
      <c r="AC361" s="2"/>
      <c r="AD361" s="4"/>
      <c r="AE361" s="5"/>
      <c r="AF361" s="428"/>
    </row>
    <row r="362" spans="1:32" x14ac:dyDescent="0.25">
      <c r="A362" s="1" t="s">
        <v>2807</v>
      </c>
      <c r="B362" s="3" t="s">
        <v>1368</v>
      </c>
      <c r="C362" s="3" t="s">
        <v>1247</v>
      </c>
      <c r="D362" s="407" t="s">
        <v>1381</v>
      </c>
      <c r="E362" s="3" t="s">
        <v>2117</v>
      </c>
      <c r="F362" s="407" t="s">
        <v>4497</v>
      </c>
      <c r="G362" s="440" t="s">
        <v>4109</v>
      </c>
      <c r="H362" s="407" t="s">
        <v>4318</v>
      </c>
      <c r="I362" s="407" t="s">
        <v>3751</v>
      </c>
      <c r="J362" s="387" t="s">
        <v>4631</v>
      </c>
      <c r="K362" s="387">
        <v>1</v>
      </c>
      <c r="L362" s="387">
        <v>0</v>
      </c>
      <c r="M362" s="387">
        <f t="shared" si="20"/>
        <v>1</v>
      </c>
      <c r="N362" s="442">
        <f t="shared" si="21"/>
        <v>0</v>
      </c>
      <c r="O362" s="387" t="s">
        <v>1358</v>
      </c>
      <c r="P362" s="459">
        <v>0</v>
      </c>
      <c r="Q362" s="459"/>
      <c r="R362" s="456">
        <v>0</v>
      </c>
      <c r="S362" s="456">
        <v>13.409000000000001</v>
      </c>
      <c r="T362" s="410"/>
      <c r="U362" s="411">
        <v>1</v>
      </c>
      <c r="V362" s="411">
        <v>1</v>
      </c>
      <c r="W362" s="411">
        <v>1</v>
      </c>
      <c r="X362" s="411"/>
      <c r="Y362" s="411"/>
      <c r="Z362" s="412">
        <f t="shared" si="22"/>
        <v>0</v>
      </c>
      <c r="AA362" s="456">
        <f t="shared" si="23"/>
        <v>0</v>
      </c>
      <c r="AB362" s="456">
        <v>0</v>
      </c>
      <c r="AC362" s="2"/>
      <c r="AD362" s="4"/>
      <c r="AE362" s="5"/>
      <c r="AF362" s="428"/>
    </row>
    <row r="363" spans="1:32" x14ac:dyDescent="0.25">
      <c r="A363" s="1" t="s">
        <v>2808</v>
      </c>
      <c r="B363" s="3" t="s">
        <v>1368</v>
      </c>
      <c r="C363" s="3" t="s">
        <v>1247</v>
      </c>
      <c r="D363" s="407" t="s">
        <v>3291</v>
      </c>
      <c r="E363" s="3" t="s">
        <v>2118</v>
      </c>
      <c r="F363" s="407" t="s">
        <v>4476</v>
      </c>
      <c r="G363" s="440" t="s">
        <v>4109</v>
      </c>
      <c r="H363" s="407" t="s">
        <v>4297</v>
      </c>
      <c r="I363" s="407" t="s">
        <v>3753</v>
      </c>
      <c r="J363" s="387" t="s">
        <v>4651</v>
      </c>
      <c r="K363" s="387">
        <v>1</v>
      </c>
      <c r="L363" s="387">
        <v>0</v>
      </c>
      <c r="M363" s="387">
        <f t="shared" si="20"/>
        <v>1</v>
      </c>
      <c r="N363" s="442">
        <f t="shared" si="21"/>
        <v>0</v>
      </c>
      <c r="O363" s="387" t="s">
        <v>1358</v>
      </c>
      <c r="P363" s="459">
        <v>0</v>
      </c>
      <c r="Q363" s="459"/>
      <c r="R363" s="456">
        <v>0</v>
      </c>
      <c r="S363" s="456">
        <v>13.776999999999999</v>
      </c>
      <c r="T363" s="410"/>
      <c r="U363" s="411">
        <v>1</v>
      </c>
      <c r="V363" s="411">
        <v>1</v>
      </c>
      <c r="W363" s="411">
        <v>1</v>
      </c>
      <c r="X363" s="411"/>
      <c r="Y363" s="411"/>
      <c r="Z363" s="412">
        <f t="shared" si="22"/>
        <v>0</v>
      </c>
      <c r="AA363" s="456">
        <f t="shared" si="23"/>
        <v>0</v>
      </c>
      <c r="AB363" s="456">
        <v>0</v>
      </c>
      <c r="AC363" s="2"/>
      <c r="AD363" s="4"/>
      <c r="AE363" s="5"/>
      <c r="AF363" s="428"/>
    </row>
    <row r="364" spans="1:32" x14ac:dyDescent="0.25">
      <c r="A364" s="1" t="s">
        <v>2809</v>
      </c>
      <c r="B364" s="3" t="s">
        <v>1368</v>
      </c>
      <c r="C364" s="3" t="s">
        <v>1247</v>
      </c>
      <c r="D364" s="407" t="s">
        <v>3306</v>
      </c>
      <c r="E364" s="3" t="s">
        <v>2119</v>
      </c>
      <c r="F364" s="407" t="s">
        <v>4484</v>
      </c>
      <c r="G364" s="440" t="s">
        <v>4109</v>
      </c>
      <c r="H364" s="407" t="s">
        <v>4305</v>
      </c>
      <c r="I364" s="407" t="s">
        <v>3786</v>
      </c>
      <c r="J364" s="387" t="s">
        <v>4636</v>
      </c>
      <c r="K364" s="387">
        <v>1</v>
      </c>
      <c r="L364" s="387">
        <v>0</v>
      </c>
      <c r="M364" s="387">
        <f t="shared" si="20"/>
        <v>1</v>
      </c>
      <c r="N364" s="442">
        <f t="shared" si="21"/>
        <v>0</v>
      </c>
      <c r="O364" s="387" t="s">
        <v>1358</v>
      </c>
      <c r="P364" s="459">
        <v>0</v>
      </c>
      <c r="Q364" s="459"/>
      <c r="R364" s="456">
        <v>0</v>
      </c>
      <c r="S364" s="456">
        <v>10.207000000000001</v>
      </c>
      <c r="T364" s="410"/>
      <c r="U364" s="411">
        <v>0</v>
      </c>
      <c r="V364" s="411">
        <v>0</v>
      </c>
      <c r="W364" s="411">
        <v>0</v>
      </c>
      <c r="X364" s="411"/>
      <c r="Y364" s="411"/>
      <c r="Z364" s="412">
        <f t="shared" si="22"/>
        <v>0</v>
      </c>
      <c r="AA364" s="456">
        <f t="shared" si="23"/>
        <v>0</v>
      </c>
      <c r="AB364" s="456">
        <v>0</v>
      </c>
      <c r="AC364" s="2"/>
      <c r="AD364" s="4"/>
      <c r="AE364" s="5"/>
      <c r="AF364" s="428"/>
    </row>
    <row r="365" spans="1:32" x14ac:dyDescent="0.25">
      <c r="A365" s="1" t="s">
        <v>2810</v>
      </c>
      <c r="B365" s="3" t="s">
        <v>1368</v>
      </c>
      <c r="C365" s="3" t="s">
        <v>1247</v>
      </c>
      <c r="D365" s="407" t="s">
        <v>1432</v>
      </c>
      <c r="E365" s="3" t="s">
        <v>2120</v>
      </c>
      <c r="F365" s="407" t="s">
        <v>4483</v>
      </c>
      <c r="G365" s="440" t="s">
        <v>4109</v>
      </c>
      <c r="H365" s="407" t="s">
        <v>4304</v>
      </c>
      <c r="I365" s="407" t="s">
        <v>3785</v>
      </c>
      <c r="J365" s="387" t="s">
        <v>4635</v>
      </c>
      <c r="K365" s="387">
        <v>1</v>
      </c>
      <c r="L365" s="387">
        <v>0</v>
      </c>
      <c r="M365" s="387">
        <f t="shared" si="20"/>
        <v>1</v>
      </c>
      <c r="N365" s="442">
        <f t="shared" si="21"/>
        <v>0</v>
      </c>
      <c r="O365" s="387" t="s">
        <v>1358</v>
      </c>
      <c r="P365" s="459">
        <v>0</v>
      </c>
      <c r="Q365" s="459"/>
      <c r="R365" s="456">
        <v>0</v>
      </c>
      <c r="S365" s="456">
        <v>12.303000000000001</v>
      </c>
      <c r="T365" s="410"/>
      <c r="U365" s="411">
        <v>0</v>
      </c>
      <c r="V365" s="411">
        <v>0</v>
      </c>
      <c r="W365" s="411">
        <v>0</v>
      </c>
      <c r="X365" s="411"/>
      <c r="Y365" s="411"/>
      <c r="Z365" s="412">
        <f t="shared" si="22"/>
        <v>0</v>
      </c>
      <c r="AA365" s="456">
        <f t="shared" si="23"/>
        <v>0</v>
      </c>
      <c r="AB365" s="456">
        <v>0</v>
      </c>
      <c r="AC365" s="2"/>
      <c r="AD365" s="4"/>
      <c r="AE365" s="5"/>
      <c r="AF365" s="428"/>
    </row>
    <row r="366" spans="1:32" x14ac:dyDescent="0.25">
      <c r="A366" s="1" t="s">
        <v>2811</v>
      </c>
      <c r="B366" s="3" t="s">
        <v>1368</v>
      </c>
      <c r="C366" s="3" t="s">
        <v>1247</v>
      </c>
      <c r="D366" s="407" t="s">
        <v>3236</v>
      </c>
      <c r="E366" s="3" t="s">
        <v>2121</v>
      </c>
      <c r="F366" s="407" t="s">
        <v>4491</v>
      </c>
      <c r="G366" s="440" t="s">
        <v>4109</v>
      </c>
      <c r="H366" s="407" t="s">
        <v>4312</v>
      </c>
      <c r="I366" s="407" t="s">
        <v>3793</v>
      </c>
      <c r="J366" s="387" t="s">
        <v>4645</v>
      </c>
      <c r="K366" s="387">
        <v>1</v>
      </c>
      <c r="L366" s="387">
        <v>0</v>
      </c>
      <c r="M366" s="387">
        <f t="shared" si="20"/>
        <v>1</v>
      </c>
      <c r="N366" s="442">
        <f t="shared" si="21"/>
        <v>0</v>
      </c>
      <c r="O366" s="387" t="s">
        <v>1358</v>
      </c>
      <c r="P366" s="459">
        <v>0</v>
      </c>
      <c r="Q366" s="459"/>
      <c r="R366" s="456">
        <v>0</v>
      </c>
      <c r="S366" s="456">
        <v>13.409000000000001</v>
      </c>
      <c r="T366" s="410"/>
      <c r="U366" s="411">
        <v>1</v>
      </c>
      <c r="V366" s="411">
        <v>1</v>
      </c>
      <c r="W366" s="411">
        <v>1</v>
      </c>
      <c r="X366" s="411"/>
      <c r="Y366" s="411"/>
      <c r="Z366" s="412">
        <f t="shared" si="22"/>
        <v>0</v>
      </c>
      <c r="AA366" s="456">
        <f t="shared" si="23"/>
        <v>0</v>
      </c>
      <c r="AB366" s="456">
        <v>0</v>
      </c>
      <c r="AC366" s="2"/>
      <c r="AD366" s="4"/>
      <c r="AE366" s="5"/>
      <c r="AF366" s="428"/>
    </row>
    <row r="367" spans="1:32" x14ac:dyDescent="0.25">
      <c r="A367" s="1" t="s">
        <v>2812</v>
      </c>
      <c r="B367" s="3" t="s">
        <v>1368</v>
      </c>
      <c r="C367" s="3" t="s">
        <v>1247</v>
      </c>
      <c r="D367" s="407" t="s">
        <v>1426</v>
      </c>
      <c r="E367" s="3" t="s">
        <v>2122</v>
      </c>
      <c r="F367" s="407" t="s">
        <v>4480</v>
      </c>
      <c r="G367" s="440" t="s">
        <v>4109</v>
      </c>
      <c r="H367" s="407" t="s">
        <v>4301</v>
      </c>
      <c r="I367" s="407" t="s">
        <v>3782</v>
      </c>
      <c r="J367" s="387" t="s">
        <v>4637</v>
      </c>
      <c r="K367" s="387">
        <v>1</v>
      </c>
      <c r="L367" s="387">
        <v>0</v>
      </c>
      <c r="M367" s="387">
        <f t="shared" si="20"/>
        <v>1</v>
      </c>
      <c r="N367" s="442">
        <f t="shared" si="21"/>
        <v>0</v>
      </c>
      <c r="O367" s="387" t="s">
        <v>1358</v>
      </c>
      <c r="P367" s="459">
        <v>0</v>
      </c>
      <c r="Q367" s="459"/>
      <c r="R367" s="456">
        <v>0</v>
      </c>
      <c r="S367" s="456">
        <v>12.303000000000001</v>
      </c>
      <c r="T367" s="410"/>
      <c r="U367" s="411">
        <v>1</v>
      </c>
      <c r="V367" s="411">
        <v>1</v>
      </c>
      <c r="W367" s="411">
        <v>1</v>
      </c>
      <c r="X367" s="411"/>
      <c r="Y367" s="411"/>
      <c r="Z367" s="412">
        <f t="shared" si="22"/>
        <v>0</v>
      </c>
      <c r="AA367" s="456">
        <f t="shared" si="23"/>
        <v>0</v>
      </c>
      <c r="AB367" s="456">
        <v>0</v>
      </c>
      <c r="AC367" s="2"/>
      <c r="AD367" s="4"/>
      <c r="AE367" s="5"/>
      <c r="AF367" s="428"/>
    </row>
    <row r="368" spans="1:32" x14ac:dyDescent="0.25">
      <c r="A368" s="1" t="s">
        <v>2813</v>
      </c>
      <c r="B368" s="3" t="s">
        <v>1368</v>
      </c>
      <c r="C368" s="3" t="s">
        <v>1247</v>
      </c>
      <c r="D368" s="407" t="s">
        <v>1427</v>
      </c>
      <c r="E368" s="3" t="s">
        <v>2123</v>
      </c>
      <c r="F368" s="407" t="s">
        <v>4485</v>
      </c>
      <c r="G368" s="440" t="s">
        <v>4109</v>
      </c>
      <c r="H368" s="407" t="s">
        <v>4306</v>
      </c>
      <c r="I368" s="407" t="s">
        <v>3787</v>
      </c>
      <c r="J368" s="387" t="s">
        <v>4638</v>
      </c>
      <c r="K368" s="387">
        <v>1</v>
      </c>
      <c r="L368" s="387">
        <v>0</v>
      </c>
      <c r="M368" s="387">
        <f t="shared" si="20"/>
        <v>1</v>
      </c>
      <c r="N368" s="442">
        <f t="shared" si="21"/>
        <v>0</v>
      </c>
      <c r="O368" s="387" t="s">
        <v>1358</v>
      </c>
      <c r="P368" s="459">
        <v>0</v>
      </c>
      <c r="Q368" s="459"/>
      <c r="R368" s="456">
        <v>0</v>
      </c>
      <c r="S368" s="456">
        <v>12.303000000000001</v>
      </c>
      <c r="T368" s="410"/>
      <c r="U368" s="411">
        <v>0</v>
      </c>
      <c r="V368" s="411">
        <v>0</v>
      </c>
      <c r="W368" s="411">
        <v>0</v>
      </c>
      <c r="X368" s="411"/>
      <c r="Y368" s="411"/>
      <c r="Z368" s="412">
        <f t="shared" si="22"/>
        <v>0</v>
      </c>
      <c r="AA368" s="456">
        <f t="shared" si="23"/>
        <v>0</v>
      </c>
      <c r="AB368" s="456">
        <v>0</v>
      </c>
      <c r="AC368" s="2"/>
      <c r="AD368" s="4"/>
      <c r="AE368" s="5"/>
      <c r="AF368" s="428"/>
    </row>
    <row r="369" spans="1:32" x14ac:dyDescent="0.25">
      <c r="A369" s="1" t="s">
        <v>2814</v>
      </c>
      <c r="B369" s="3" t="s">
        <v>1368</v>
      </c>
      <c r="C369" s="3" t="s">
        <v>1247</v>
      </c>
      <c r="D369" s="407" t="s">
        <v>1428</v>
      </c>
      <c r="E369" s="3" t="s">
        <v>2124</v>
      </c>
      <c r="F369" s="407" t="s">
        <v>4486</v>
      </c>
      <c r="G369" s="440" t="s">
        <v>4109</v>
      </c>
      <c r="H369" s="407" t="s">
        <v>4307</v>
      </c>
      <c r="I369" s="407" t="s">
        <v>3788</v>
      </c>
      <c r="J369" s="387" t="s">
        <v>4639</v>
      </c>
      <c r="K369" s="387">
        <v>1</v>
      </c>
      <c r="L369" s="387">
        <v>0</v>
      </c>
      <c r="M369" s="387">
        <f t="shared" si="20"/>
        <v>1</v>
      </c>
      <c r="N369" s="442">
        <f t="shared" si="21"/>
        <v>0</v>
      </c>
      <c r="O369" s="387" t="s">
        <v>1358</v>
      </c>
      <c r="P369" s="459">
        <v>0</v>
      </c>
      <c r="Q369" s="459"/>
      <c r="R369" s="456">
        <v>0</v>
      </c>
      <c r="S369" s="456">
        <v>12.303000000000001</v>
      </c>
      <c r="T369" s="410"/>
      <c r="U369" s="411">
        <v>0</v>
      </c>
      <c r="V369" s="411">
        <v>0</v>
      </c>
      <c r="W369" s="411">
        <v>0</v>
      </c>
      <c r="X369" s="411"/>
      <c r="Y369" s="411"/>
      <c r="Z369" s="412">
        <f t="shared" si="22"/>
        <v>0</v>
      </c>
      <c r="AA369" s="456">
        <f t="shared" si="23"/>
        <v>0</v>
      </c>
      <c r="AB369" s="456">
        <v>0</v>
      </c>
      <c r="AC369" s="2"/>
      <c r="AD369" s="4"/>
      <c r="AE369" s="5"/>
      <c r="AF369" s="428"/>
    </row>
    <row r="370" spans="1:32" x14ac:dyDescent="0.25">
      <c r="A370" s="1" t="s">
        <v>2815</v>
      </c>
      <c r="B370" s="3" t="s">
        <v>1368</v>
      </c>
      <c r="C370" s="3" t="s">
        <v>1247</v>
      </c>
      <c r="D370" s="407" t="s">
        <v>1429</v>
      </c>
      <c r="E370" s="3" t="s">
        <v>2125</v>
      </c>
      <c r="F370" s="407" t="s">
        <v>4487</v>
      </c>
      <c r="G370" s="440" t="s">
        <v>4109</v>
      </c>
      <c r="H370" s="407" t="s">
        <v>4308</v>
      </c>
      <c r="I370" s="407" t="s">
        <v>3789</v>
      </c>
      <c r="J370" s="387" t="s">
        <v>4640</v>
      </c>
      <c r="K370" s="387">
        <v>1</v>
      </c>
      <c r="L370" s="387">
        <v>0</v>
      </c>
      <c r="M370" s="387">
        <f t="shared" si="20"/>
        <v>1</v>
      </c>
      <c r="N370" s="442">
        <f t="shared" si="21"/>
        <v>0</v>
      </c>
      <c r="O370" s="387" t="s">
        <v>1358</v>
      </c>
      <c r="P370" s="459">
        <v>0</v>
      </c>
      <c r="Q370" s="459"/>
      <c r="R370" s="456">
        <v>0</v>
      </c>
      <c r="S370" s="456">
        <v>12.303000000000001</v>
      </c>
      <c r="T370" s="410"/>
      <c r="U370" s="411">
        <v>0</v>
      </c>
      <c r="V370" s="411">
        <v>0</v>
      </c>
      <c r="W370" s="411">
        <v>0</v>
      </c>
      <c r="X370" s="411"/>
      <c r="Y370" s="411"/>
      <c r="Z370" s="412">
        <f t="shared" si="22"/>
        <v>0</v>
      </c>
      <c r="AA370" s="456">
        <f t="shared" si="23"/>
        <v>0</v>
      </c>
      <c r="AB370" s="456">
        <v>0</v>
      </c>
      <c r="AC370" s="2"/>
      <c r="AD370" s="4"/>
      <c r="AE370" s="5"/>
      <c r="AF370" s="428"/>
    </row>
    <row r="371" spans="1:32" x14ac:dyDescent="0.25">
      <c r="A371" s="1" t="s">
        <v>2816</v>
      </c>
      <c r="B371" s="3" t="s">
        <v>1368</v>
      </c>
      <c r="C371" s="3" t="s">
        <v>1247</v>
      </c>
      <c r="D371" s="407" t="s">
        <v>1430</v>
      </c>
      <c r="E371" s="3" t="s">
        <v>2126</v>
      </c>
      <c r="F371" s="407" t="s">
        <v>4488</v>
      </c>
      <c r="G371" s="440" t="s">
        <v>4109</v>
      </c>
      <c r="H371" s="407" t="s">
        <v>4309</v>
      </c>
      <c r="I371" s="407" t="s">
        <v>3790</v>
      </c>
      <c r="J371" s="387" t="s">
        <v>4641</v>
      </c>
      <c r="K371" s="387">
        <v>1</v>
      </c>
      <c r="L371" s="387">
        <v>0</v>
      </c>
      <c r="M371" s="387">
        <f t="shared" si="20"/>
        <v>1</v>
      </c>
      <c r="N371" s="442">
        <f t="shared" si="21"/>
        <v>0</v>
      </c>
      <c r="O371" s="387" t="s">
        <v>1358</v>
      </c>
      <c r="P371" s="459">
        <v>0</v>
      </c>
      <c r="Q371" s="459"/>
      <c r="R371" s="456">
        <v>0</v>
      </c>
      <c r="S371" s="456">
        <v>12.303000000000001</v>
      </c>
      <c r="T371" s="410"/>
      <c r="U371" s="411">
        <v>0</v>
      </c>
      <c r="V371" s="411">
        <v>0</v>
      </c>
      <c r="W371" s="411">
        <v>0</v>
      </c>
      <c r="X371" s="411"/>
      <c r="Y371" s="411"/>
      <c r="Z371" s="412">
        <f t="shared" si="22"/>
        <v>0</v>
      </c>
      <c r="AA371" s="456">
        <f t="shared" si="23"/>
        <v>0</v>
      </c>
      <c r="AB371" s="456">
        <v>0</v>
      </c>
      <c r="AC371" s="2"/>
      <c r="AD371" s="4"/>
      <c r="AE371" s="5"/>
      <c r="AF371" s="428"/>
    </row>
    <row r="372" spans="1:32" x14ac:dyDescent="0.25">
      <c r="A372" s="1" t="s">
        <v>2817</v>
      </c>
      <c r="B372" s="3" t="s">
        <v>1368</v>
      </c>
      <c r="C372" s="3" t="s">
        <v>1247</v>
      </c>
      <c r="D372" s="407" t="s">
        <v>1431</v>
      </c>
      <c r="E372" s="3" t="s">
        <v>2127</v>
      </c>
      <c r="F372" s="407" t="s">
        <v>4489</v>
      </c>
      <c r="G372" s="440" t="s">
        <v>4109</v>
      </c>
      <c r="H372" s="407" t="s">
        <v>4310</v>
      </c>
      <c r="I372" s="407" t="s">
        <v>3791</v>
      </c>
      <c r="J372" s="387" t="s">
        <v>4642</v>
      </c>
      <c r="K372" s="387">
        <v>1</v>
      </c>
      <c r="L372" s="387">
        <v>0</v>
      </c>
      <c r="M372" s="387">
        <f t="shared" si="20"/>
        <v>1</v>
      </c>
      <c r="N372" s="442">
        <f t="shared" si="21"/>
        <v>0</v>
      </c>
      <c r="O372" s="387" t="s">
        <v>1358</v>
      </c>
      <c r="P372" s="459">
        <v>0</v>
      </c>
      <c r="Q372" s="459"/>
      <c r="R372" s="456">
        <v>0</v>
      </c>
      <c r="S372" s="456">
        <v>12.303000000000001</v>
      </c>
      <c r="T372" s="410"/>
      <c r="U372" s="411">
        <v>0</v>
      </c>
      <c r="V372" s="411">
        <v>0</v>
      </c>
      <c r="W372" s="411">
        <v>0</v>
      </c>
      <c r="X372" s="411"/>
      <c r="Y372" s="411"/>
      <c r="Z372" s="412">
        <f t="shared" si="22"/>
        <v>0</v>
      </c>
      <c r="AA372" s="456">
        <f t="shared" si="23"/>
        <v>0</v>
      </c>
      <c r="AB372" s="456">
        <v>0</v>
      </c>
      <c r="AC372" s="2"/>
      <c r="AD372" s="4"/>
      <c r="AE372" s="5"/>
      <c r="AF372" s="428"/>
    </row>
    <row r="373" spans="1:32" x14ac:dyDescent="0.25">
      <c r="A373" s="1" t="s">
        <v>2818</v>
      </c>
      <c r="B373" s="3" t="s">
        <v>1368</v>
      </c>
      <c r="C373" s="3" t="s">
        <v>1247</v>
      </c>
      <c r="D373" s="407" t="s">
        <v>1433</v>
      </c>
      <c r="E373" s="3" t="s">
        <v>2128</v>
      </c>
      <c r="F373" s="407" t="s">
        <v>4490</v>
      </c>
      <c r="G373" s="440" t="s">
        <v>4109</v>
      </c>
      <c r="H373" s="407" t="s">
        <v>4311</v>
      </c>
      <c r="I373" s="407" t="s">
        <v>3792</v>
      </c>
      <c r="J373" s="387" t="s">
        <v>4644</v>
      </c>
      <c r="K373" s="387">
        <v>1</v>
      </c>
      <c r="L373" s="387">
        <v>0</v>
      </c>
      <c r="M373" s="387">
        <f t="shared" si="20"/>
        <v>1</v>
      </c>
      <c r="N373" s="442">
        <f t="shared" si="21"/>
        <v>0</v>
      </c>
      <c r="O373" s="387" t="s">
        <v>1358</v>
      </c>
      <c r="P373" s="459">
        <v>0</v>
      </c>
      <c r="Q373" s="459"/>
      <c r="R373" s="456">
        <v>0</v>
      </c>
      <c r="S373" s="456">
        <v>2.081</v>
      </c>
      <c r="T373" s="410"/>
      <c r="U373" s="411">
        <v>0</v>
      </c>
      <c r="V373" s="411">
        <v>0</v>
      </c>
      <c r="W373" s="411">
        <v>0</v>
      </c>
      <c r="X373" s="411"/>
      <c r="Y373" s="411"/>
      <c r="Z373" s="412">
        <f t="shared" si="22"/>
        <v>0</v>
      </c>
      <c r="AA373" s="456">
        <f t="shared" si="23"/>
        <v>0</v>
      </c>
      <c r="AB373" s="456">
        <v>0</v>
      </c>
      <c r="AC373" s="2"/>
      <c r="AD373" s="4"/>
      <c r="AE373" s="5"/>
      <c r="AF373" s="428"/>
    </row>
    <row r="374" spans="1:32" x14ac:dyDescent="0.25">
      <c r="A374" s="1" t="s">
        <v>2819</v>
      </c>
      <c r="B374" s="3" t="s">
        <v>1368</v>
      </c>
      <c r="C374" s="3" t="s">
        <v>1247</v>
      </c>
      <c r="D374" s="407" t="s">
        <v>3234</v>
      </c>
      <c r="E374" s="3" t="s">
        <v>2129</v>
      </c>
      <c r="F374" s="407" t="s">
        <v>4492</v>
      </c>
      <c r="G374" s="440" t="s">
        <v>4109</v>
      </c>
      <c r="H374" s="407" t="s">
        <v>4313</v>
      </c>
      <c r="I374" s="407" t="s">
        <v>3794</v>
      </c>
      <c r="J374" s="387" t="s">
        <v>4646</v>
      </c>
      <c r="K374" s="387">
        <v>1</v>
      </c>
      <c r="L374" s="387">
        <v>0</v>
      </c>
      <c r="M374" s="387">
        <f t="shared" si="20"/>
        <v>1</v>
      </c>
      <c r="N374" s="442">
        <f t="shared" si="21"/>
        <v>0</v>
      </c>
      <c r="O374" s="387" t="s">
        <v>1358</v>
      </c>
      <c r="P374" s="459">
        <v>0</v>
      </c>
      <c r="Q374" s="459"/>
      <c r="R374" s="456">
        <v>0</v>
      </c>
      <c r="S374" s="456">
        <v>9.3650000000000002</v>
      </c>
      <c r="T374" s="410"/>
      <c r="U374" s="411">
        <v>1</v>
      </c>
      <c r="V374" s="411">
        <v>1</v>
      </c>
      <c r="W374" s="411">
        <v>1</v>
      </c>
      <c r="X374" s="411"/>
      <c r="Y374" s="411"/>
      <c r="Z374" s="412">
        <f t="shared" si="22"/>
        <v>0</v>
      </c>
      <c r="AA374" s="456">
        <f t="shared" si="23"/>
        <v>0</v>
      </c>
      <c r="AB374" s="456">
        <v>0</v>
      </c>
      <c r="AC374" s="2"/>
      <c r="AD374" s="4"/>
      <c r="AE374" s="5"/>
      <c r="AF374" s="428"/>
    </row>
    <row r="375" spans="1:32" x14ac:dyDescent="0.25">
      <c r="A375" s="1" t="s">
        <v>2820</v>
      </c>
      <c r="B375" s="3" t="s">
        <v>1368</v>
      </c>
      <c r="C375" s="3" t="s">
        <v>1247</v>
      </c>
      <c r="D375" s="407" t="s">
        <v>3291</v>
      </c>
      <c r="E375" s="3" t="s">
        <v>2130</v>
      </c>
      <c r="F375" s="407" t="s">
        <v>4476</v>
      </c>
      <c r="G375" s="440" t="s">
        <v>4109</v>
      </c>
      <c r="H375" s="407" t="s">
        <v>4297</v>
      </c>
      <c r="I375" s="407" t="s">
        <v>3753</v>
      </c>
      <c r="J375" s="387" t="s">
        <v>4651</v>
      </c>
      <c r="K375" s="387">
        <v>1</v>
      </c>
      <c r="L375" s="387">
        <v>0</v>
      </c>
      <c r="M375" s="387">
        <f t="shared" si="20"/>
        <v>1</v>
      </c>
      <c r="N375" s="442">
        <f t="shared" si="21"/>
        <v>0</v>
      </c>
      <c r="O375" s="387" t="s">
        <v>1358</v>
      </c>
      <c r="P375" s="459">
        <v>0</v>
      </c>
      <c r="Q375" s="459"/>
      <c r="R375" s="456">
        <v>0</v>
      </c>
      <c r="S375" s="456">
        <v>16.542000000000002</v>
      </c>
      <c r="T375" s="410"/>
      <c r="U375" s="411">
        <v>1</v>
      </c>
      <c r="V375" s="411">
        <v>1</v>
      </c>
      <c r="W375" s="411">
        <v>1</v>
      </c>
      <c r="X375" s="411"/>
      <c r="Y375" s="411"/>
      <c r="Z375" s="412">
        <f t="shared" si="22"/>
        <v>0</v>
      </c>
      <c r="AA375" s="456">
        <f>(U375*U$368*S375)+(V375*V$368*S375)+(W375*W$368*S375)</f>
        <v>0</v>
      </c>
      <c r="AB375" s="456">
        <v>0</v>
      </c>
      <c r="AC375" s="2"/>
      <c r="AD375" s="4"/>
      <c r="AE375" s="5"/>
      <c r="AF375" s="428"/>
    </row>
    <row r="376" spans="1:32" x14ac:dyDescent="0.25">
      <c r="A376" s="1" t="s">
        <v>2821</v>
      </c>
      <c r="B376" s="3" t="s">
        <v>1368</v>
      </c>
      <c r="C376" s="3" t="s">
        <v>1247</v>
      </c>
      <c r="D376" s="407" t="s">
        <v>3293</v>
      </c>
      <c r="E376" s="3" t="s">
        <v>2131</v>
      </c>
      <c r="F376" s="407" t="s">
        <v>4503</v>
      </c>
      <c r="G376" s="440" t="s">
        <v>4109</v>
      </c>
      <c r="H376" s="407" t="s">
        <v>4324</v>
      </c>
      <c r="I376" s="407" t="s">
        <v>3798</v>
      </c>
      <c r="J376" s="387" t="s">
        <v>4658</v>
      </c>
      <c r="K376" s="387">
        <v>1</v>
      </c>
      <c r="L376" s="387">
        <v>0</v>
      </c>
      <c r="M376" s="387">
        <f t="shared" si="20"/>
        <v>1</v>
      </c>
      <c r="N376" s="442">
        <f t="shared" si="21"/>
        <v>0</v>
      </c>
      <c r="O376" s="387" t="s">
        <v>1358</v>
      </c>
      <c r="P376" s="459">
        <v>0</v>
      </c>
      <c r="Q376" s="459"/>
      <c r="R376" s="456">
        <v>0</v>
      </c>
      <c r="S376" s="456">
        <v>13.071</v>
      </c>
      <c r="T376" s="410"/>
      <c r="U376" s="411">
        <v>1</v>
      </c>
      <c r="V376" s="411">
        <v>1</v>
      </c>
      <c r="W376" s="411">
        <v>1</v>
      </c>
      <c r="X376" s="411"/>
      <c r="Y376" s="411"/>
      <c r="Z376" s="412">
        <f t="shared" si="22"/>
        <v>0</v>
      </c>
      <c r="AA376" s="456">
        <f t="shared" si="23"/>
        <v>0</v>
      </c>
      <c r="AB376" s="456">
        <v>0</v>
      </c>
      <c r="AC376" s="2"/>
      <c r="AD376" s="4"/>
      <c r="AE376" s="5"/>
      <c r="AF376" s="428"/>
    </row>
    <row r="377" spans="1:32" x14ac:dyDescent="0.25">
      <c r="A377" s="1" t="s">
        <v>2822</v>
      </c>
      <c r="B377" s="3" t="s">
        <v>1368</v>
      </c>
      <c r="C377" s="3" t="s">
        <v>1247</v>
      </c>
      <c r="D377" s="407" t="s">
        <v>1398</v>
      </c>
      <c r="E377" s="3" t="s">
        <v>2132</v>
      </c>
      <c r="F377" s="407" t="s">
        <v>4496</v>
      </c>
      <c r="G377" s="440" t="s">
        <v>4109</v>
      </c>
      <c r="H377" s="407" t="s">
        <v>4317</v>
      </c>
      <c r="I377" s="407" t="s">
        <v>3796</v>
      </c>
      <c r="J377" s="387" t="s">
        <v>4650</v>
      </c>
      <c r="K377" s="387">
        <v>1</v>
      </c>
      <c r="L377" s="387">
        <v>0</v>
      </c>
      <c r="M377" s="387">
        <f t="shared" si="20"/>
        <v>1</v>
      </c>
      <c r="N377" s="442">
        <f t="shared" si="21"/>
        <v>0</v>
      </c>
      <c r="O377" s="387" t="s">
        <v>1358</v>
      </c>
      <c r="P377" s="459">
        <v>0</v>
      </c>
      <c r="Q377" s="459"/>
      <c r="R377" s="456">
        <v>0</v>
      </c>
      <c r="S377" s="456">
        <v>42.228000000000002</v>
      </c>
      <c r="T377" s="410"/>
      <c r="U377" s="411">
        <v>1</v>
      </c>
      <c r="V377" s="411">
        <v>1</v>
      </c>
      <c r="W377" s="411">
        <v>1</v>
      </c>
      <c r="X377" s="411"/>
      <c r="Y377" s="411"/>
      <c r="Z377" s="412">
        <f t="shared" si="22"/>
        <v>0</v>
      </c>
      <c r="AA377" s="456">
        <f t="shared" si="23"/>
        <v>0</v>
      </c>
      <c r="AB377" s="456">
        <v>0</v>
      </c>
      <c r="AC377" s="2"/>
      <c r="AD377" s="4"/>
      <c r="AE377" s="5"/>
      <c r="AF377" s="428"/>
    </row>
    <row r="378" spans="1:32" x14ac:dyDescent="0.25">
      <c r="A378" s="1" t="s">
        <v>2823</v>
      </c>
      <c r="B378" s="3" t="s">
        <v>1368</v>
      </c>
      <c r="C378" s="3" t="s">
        <v>1247</v>
      </c>
      <c r="D378" s="407" t="s">
        <v>1398</v>
      </c>
      <c r="E378" s="3" t="s">
        <v>2133</v>
      </c>
      <c r="F378" s="407" t="s">
        <v>4496</v>
      </c>
      <c r="G378" s="440" t="s">
        <v>4109</v>
      </c>
      <c r="H378" s="407" t="s">
        <v>4317</v>
      </c>
      <c r="I378" s="407" t="s">
        <v>3796</v>
      </c>
      <c r="J378" s="387" t="s">
        <v>4650</v>
      </c>
      <c r="K378" s="387">
        <v>1</v>
      </c>
      <c r="L378" s="387">
        <v>0</v>
      </c>
      <c r="M378" s="387">
        <f t="shared" si="20"/>
        <v>1</v>
      </c>
      <c r="N378" s="442">
        <f t="shared" si="21"/>
        <v>0</v>
      </c>
      <c r="O378" s="387" t="s">
        <v>1358</v>
      </c>
      <c r="P378" s="459">
        <v>0</v>
      </c>
      <c r="Q378" s="459"/>
      <c r="R378" s="456">
        <v>0</v>
      </c>
      <c r="S378" s="456">
        <v>12.702</v>
      </c>
      <c r="T378" s="410"/>
      <c r="U378" s="411">
        <v>1</v>
      </c>
      <c r="V378" s="411">
        <v>1</v>
      </c>
      <c r="W378" s="411">
        <v>1</v>
      </c>
      <c r="X378" s="411"/>
      <c r="Y378" s="411"/>
      <c r="Z378" s="412">
        <f t="shared" si="22"/>
        <v>0</v>
      </c>
      <c r="AA378" s="456">
        <f t="shared" si="23"/>
        <v>0</v>
      </c>
      <c r="AB378" s="456">
        <v>0</v>
      </c>
      <c r="AC378" s="2"/>
      <c r="AD378" s="4"/>
      <c r="AE378" s="5"/>
      <c r="AF378" s="428"/>
    </row>
    <row r="379" spans="1:32" x14ac:dyDescent="0.25">
      <c r="A379" s="1" t="s">
        <v>2824</v>
      </c>
      <c r="B379" s="3" t="s">
        <v>1368</v>
      </c>
      <c r="C379" s="3" t="s">
        <v>1247</v>
      </c>
      <c r="D379" s="407" t="s">
        <v>1374</v>
      </c>
      <c r="E379" s="3" t="s">
        <v>2134</v>
      </c>
      <c r="F379" s="407" t="s">
        <v>4495</v>
      </c>
      <c r="G379" s="440" t="s">
        <v>4109</v>
      </c>
      <c r="H379" s="407" t="s">
        <v>4316</v>
      </c>
      <c r="I379" s="407" t="s">
        <v>3757</v>
      </c>
      <c r="J379" s="387" t="s">
        <v>4649</v>
      </c>
      <c r="K379" s="387">
        <v>1</v>
      </c>
      <c r="L379" s="387">
        <v>0</v>
      </c>
      <c r="M379" s="387">
        <f t="shared" si="20"/>
        <v>1</v>
      </c>
      <c r="N379" s="442">
        <f t="shared" si="21"/>
        <v>0</v>
      </c>
      <c r="O379" s="387" t="s">
        <v>1358</v>
      </c>
      <c r="P379" s="459">
        <v>0</v>
      </c>
      <c r="Q379" s="459"/>
      <c r="R379" s="456">
        <v>0</v>
      </c>
      <c r="S379" s="456">
        <v>12.706</v>
      </c>
      <c r="T379" s="410"/>
      <c r="U379" s="411">
        <v>1</v>
      </c>
      <c r="V379" s="411">
        <v>1</v>
      </c>
      <c r="W379" s="411">
        <v>1</v>
      </c>
      <c r="X379" s="411"/>
      <c r="Y379" s="411"/>
      <c r="Z379" s="412">
        <f t="shared" si="22"/>
        <v>0</v>
      </c>
      <c r="AA379" s="456">
        <f t="shared" si="23"/>
        <v>0</v>
      </c>
      <c r="AB379" s="456">
        <v>0</v>
      </c>
      <c r="AC379" s="2"/>
      <c r="AD379" s="4"/>
      <c r="AE379" s="5"/>
      <c r="AF379" s="428"/>
    </row>
    <row r="380" spans="1:32" x14ac:dyDescent="0.25">
      <c r="A380" s="1" t="s">
        <v>2825</v>
      </c>
      <c r="B380" s="3" t="s">
        <v>1368</v>
      </c>
      <c r="C380" s="3" t="s">
        <v>1247</v>
      </c>
      <c r="D380" s="407" t="s">
        <v>1377</v>
      </c>
      <c r="E380" s="3" t="s">
        <v>2135</v>
      </c>
      <c r="F380" s="407" t="s">
        <v>4494</v>
      </c>
      <c r="G380" s="440" t="s">
        <v>4109</v>
      </c>
      <c r="H380" s="407" t="s">
        <v>4315</v>
      </c>
      <c r="I380" s="407" t="s">
        <v>3749</v>
      </c>
      <c r="J380" s="387" t="s">
        <v>4648</v>
      </c>
      <c r="K380" s="387">
        <v>1</v>
      </c>
      <c r="L380" s="387">
        <v>0</v>
      </c>
      <c r="M380" s="387">
        <f t="shared" si="20"/>
        <v>1</v>
      </c>
      <c r="N380" s="442">
        <f t="shared" si="21"/>
        <v>0</v>
      </c>
      <c r="O380" s="387" t="s">
        <v>1358</v>
      </c>
      <c r="P380" s="459">
        <v>0</v>
      </c>
      <c r="Q380" s="459"/>
      <c r="R380" s="456">
        <v>0</v>
      </c>
      <c r="S380" s="456">
        <v>16.074999999999999</v>
      </c>
      <c r="T380" s="410"/>
      <c r="U380" s="411">
        <v>0</v>
      </c>
      <c r="V380" s="411">
        <v>0</v>
      </c>
      <c r="W380" s="411">
        <v>0</v>
      </c>
      <c r="X380" s="411"/>
      <c r="Y380" s="411"/>
      <c r="Z380" s="412">
        <f t="shared" si="22"/>
        <v>0</v>
      </c>
      <c r="AA380" s="456">
        <f t="shared" si="23"/>
        <v>0</v>
      </c>
      <c r="AB380" s="456">
        <v>0</v>
      </c>
      <c r="AC380" s="2"/>
      <c r="AD380" s="4"/>
      <c r="AE380" s="5"/>
      <c r="AF380" s="428"/>
    </row>
    <row r="381" spans="1:32" x14ac:dyDescent="0.25">
      <c r="A381" s="1" t="s">
        <v>2826</v>
      </c>
      <c r="B381" s="3" t="s">
        <v>1368</v>
      </c>
      <c r="C381" s="3" t="s">
        <v>1247</v>
      </c>
      <c r="D381" s="407" t="s">
        <v>1379</v>
      </c>
      <c r="E381" s="3" t="s">
        <v>2136</v>
      </c>
      <c r="F381" s="407" t="s">
        <v>4502</v>
      </c>
      <c r="G381" s="440" t="s">
        <v>4109</v>
      </c>
      <c r="H381" s="407" t="s">
        <v>4323</v>
      </c>
      <c r="I381" s="407" t="s">
        <v>3750</v>
      </c>
      <c r="J381" s="387" t="s">
        <v>4632</v>
      </c>
      <c r="K381" s="387">
        <v>1</v>
      </c>
      <c r="L381" s="387">
        <v>0</v>
      </c>
      <c r="M381" s="387">
        <f t="shared" si="20"/>
        <v>1</v>
      </c>
      <c r="N381" s="442">
        <f t="shared" si="21"/>
        <v>0</v>
      </c>
      <c r="O381" s="387" t="s">
        <v>1358</v>
      </c>
      <c r="P381" s="459">
        <v>0</v>
      </c>
      <c r="Q381" s="459"/>
      <c r="R381" s="456">
        <v>0</v>
      </c>
      <c r="S381" s="456">
        <v>16.074999999999999</v>
      </c>
      <c r="T381" s="410"/>
      <c r="U381" s="411">
        <v>1</v>
      </c>
      <c r="V381" s="411">
        <v>1</v>
      </c>
      <c r="W381" s="411">
        <v>1</v>
      </c>
      <c r="X381" s="411"/>
      <c r="Y381" s="411"/>
      <c r="Z381" s="412">
        <f t="shared" si="22"/>
        <v>0</v>
      </c>
      <c r="AA381" s="456">
        <f t="shared" si="23"/>
        <v>0</v>
      </c>
      <c r="AB381" s="456">
        <v>0</v>
      </c>
      <c r="AC381" s="2"/>
      <c r="AD381" s="4"/>
      <c r="AE381" s="5"/>
      <c r="AF381" s="428"/>
    </row>
    <row r="382" spans="1:32" x14ac:dyDescent="0.25">
      <c r="A382" s="1" t="s">
        <v>2827</v>
      </c>
      <c r="B382" s="3" t="s">
        <v>1368</v>
      </c>
      <c r="C382" s="3" t="s">
        <v>1247</v>
      </c>
      <c r="D382" s="407" t="s">
        <v>1381</v>
      </c>
      <c r="E382" s="3" t="s">
        <v>2137</v>
      </c>
      <c r="F382" s="407" t="s">
        <v>4497</v>
      </c>
      <c r="G382" s="440" t="s">
        <v>4109</v>
      </c>
      <c r="H382" s="407" t="s">
        <v>4318</v>
      </c>
      <c r="I382" s="407" t="s">
        <v>3751</v>
      </c>
      <c r="J382" s="387" t="s">
        <v>4631</v>
      </c>
      <c r="K382" s="387">
        <v>1</v>
      </c>
      <c r="L382" s="387">
        <v>0</v>
      </c>
      <c r="M382" s="387">
        <f t="shared" si="20"/>
        <v>1</v>
      </c>
      <c r="N382" s="442">
        <f t="shared" si="21"/>
        <v>0</v>
      </c>
      <c r="O382" s="387" t="s">
        <v>1358</v>
      </c>
      <c r="P382" s="459">
        <v>0</v>
      </c>
      <c r="Q382" s="459"/>
      <c r="R382" s="456">
        <v>0</v>
      </c>
      <c r="S382" s="456">
        <v>16.074999999999999</v>
      </c>
      <c r="T382" s="410"/>
      <c r="U382" s="411">
        <v>1</v>
      </c>
      <c r="V382" s="411">
        <v>1</v>
      </c>
      <c r="W382" s="411">
        <v>1</v>
      </c>
      <c r="X382" s="411"/>
      <c r="Y382" s="411"/>
      <c r="Z382" s="412">
        <f t="shared" si="22"/>
        <v>0</v>
      </c>
      <c r="AA382" s="456">
        <f t="shared" si="23"/>
        <v>0</v>
      </c>
      <c r="AB382" s="456">
        <v>0</v>
      </c>
      <c r="AC382" s="2"/>
      <c r="AD382" s="4"/>
      <c r="AE382" s="5"/>
      <c r="AF382" s="428"/>
    </row>
    <row r="383" spans="1:32" x14ac:dyDescent="0.25">
      <c r="A383" s="1" t="s">
        <v>2828</v>
      </c>
      <c r="B383" s="3" t="s">
        <v>1368</v>
      </c>
      <c r="C383" s="3" t="s">
        <v>1247</v>
      </c>
      <c r="D383" s="407" t="s">
        <v>3234</v>
      </c>
      <c r="E383" s="3" t="s">
        <v>2138</v>
      </c>
      <c r="F383" s="407" t="s">
        <v>4492</v>
      </c>
      <c r="G383" s="440" t="s">
        <v>4109</v>
      </c>
      <c r="H383" s="407" t="s">
        <v>4313</v>
      </c>
      <c r="I383" s="407" t="s">
        <v>3794</v>
      </c>
      <c r="J383" s="387" t="s">
        <v>4646</v>
      </c>
      <c r="K383" s="387">
        <v>1</v>
      </c>
      <c r="L383" s="387">
        <v>0</v>
      </c>
      <c r="M383" s="387">
        <f t="shared" si="20"/>
        <v>1</v>
      </c>
      <c r="N383" s="442">
        <f t="shared" si="21"/>
        <v>0</v>
      </c>
      <c r="O383" s="387" t="s">
        <v>1358</v>
      </c>
      <c r="P383" s="459">
        <v>0</v>
      </c>
      <c r="Q383" s="459"/>
      <c r="R383" s="456">
        <v>0</v>
      </c>
      <c r="S383" s="456">
        <v>15.609</v>
      </c>
      <c r="T383" s="410"/>
      <c r="U383" s="411">
        <v>1</v>
      </c>
      <c r="V383" s="411">
        <v>1</v>
      </c>
      <c r="W383" s="411">
        <v>1</v>
      </c>
      <c r="X383" s="411"/>
      <c r="Y383" s="411"/>
      <c r="Z383" s="412">
        <f t="shared" si="22"/>
        <v>0</v>
      </c>
      <c r="AA383" s="456">
        <f t="shared" si="23"/>
        <v>0</v>
      </c>
      <c r="AB383" s="456">
        <v>0</v>
      </c>
      <c r="AC383" s="2"/>
      <c r="AD383" s="4"/>
      <c r="AE383" s="5"/>
      <c r="AF383" s="428"/>
    </row>
    <row r="384" spans="1:32" x14ac:dyDescent="0.25">
      <c r="A384" s="1" t="s">
        <v>2829</v>
      </c>
      <c r="B384" s="3" t="s">
        <v>1368</v>
      </c>
      <c r="C384" s="3" t="s">
        <v>1247</v>
      </c>
      <c r="D384" s="407" t="s">
        <v>1432</v>
      </c>
      <c r="E384" s="3" t="s">
        <v>2139</v>
      </c>
      <c r="F384" s="407" t="s">
        <v>4483</v>
      </c>
      <c r="G384" s="440" t="s">
        <v>4109</v>
      </c>
      <c r="H384" s="407" t="s">
        <v>4304</v>
      </c>
      <c r="I384" s="407" t="s">
        <v>3785</v>
      </c>
      <c r="J384" s="387" t="s">
        <v>4635</v>
      </c>
      <c r="K384" s="387">
        <v>1</v>
      </c>
      <c r="L384" s="387">
        <v>0</v>
      </c>
      <c r="M384" s="387">
        <f t="shared" si="20"/>
        <v>1</v>
      </c>
      <c r="N384" s="442">
        <f t="shared" si="21"/>
        <v>0</v>
      </c>
      <c r="O384" s="387" t="s">
        <v>1358</v>
      </c>
      <c r="P384" s="459">
        <v>0</v>
      </c>
      <c r="Q384" s="459"/>
      <c r="R384" s="456">
        <v>0</v>
      </c>
      <c r="S384" s="456">
        <v>15.609</v>
      </c>
      <c r="T384" s="410"/>
      <c r="U384" s="411">
        <v>0</v>
      </c>
      <c r="V384" s="411">
        <v>0</v>
      </c>
      <c r="W384" s="411">
        <v>0</v>
      </c>
      <c r="X384" s="411"/>
      <c r="Y384" s="411"/>
      <c r="Z384" s="412">
        <f t="shared" si="22"/>
        <v>0</v>
      </c>
      <c r="AA384" s="456">
        <f t="shared" si="23"/>
        <v>0</v>
      </c>
      <c r="AB384" s="456">
        <v>0</v>
      </c>
      <c r="AC384" s="2"/>
      <c r="AD384" s="4"/>
      <c r="AE384" s="5"/>
      <c r="AF384" s="428"/>
    </row>
    <row r="385" spans="1:32" x14ac:dyDescent="0.25">
      <c r="A385" s="1" t="s">
        <v>2830</v>
      </c>
      <c r="B385" s="3" t="s">
        <v>1368</v>
      </c>
      <c r="C385" s="3" t="s">
        <v>1247</v>
      </c>
      <c r="D385" s="407" t="s">
        <v>3236</v>
      </c>
      <c r="E385" s="3" t="s">
        <v>2140</v>
      </c>
      <c r="F385" s="407" t="s">
        <v>4491</v>
      </c>
      <c r="G385" s="440" t="s">
        <v>4109</v>
      </c>
      <c r="H385" s="407" t="s">
        <v>4312</v>
      </c>
      <c r="I385" s="407" t="s">
        <v>3793</v>
      </c>
      <c r="J385" s="387" t="s">
        <v>4645</v>
      </c>
      <c r="K385" s="387">
        <v>1</v>
      </c>
      <c r="L385" s="387">
        <v>0</v>
      </c>
      <c r="M385" s="387">
        <f t="shared" si="20"/>
        <v>1</v>
      </c>
      <c r="N385" s="442">
        <f t="shared" si="21"/>
        <v>0</v>
      </c>
      <c r="O385" s="387" t="s">
        <v>1358</v>
      </c>
      <c r="P385" s="459">
        <v>0</v>
      </c>
      <c r="Q385" s="459"/>
      <c r="R385" s="456">
        <v>0</v>
      </c>
      <c r="S385" s="456">
        <v>16.074999999999999</v>
      </c>
      <c r="T385" s="410"/>
      <c r="U385" s="411">
        <v>1</v>
      </c>
      <c r="V385" s="411">
        <v>1</v>
      </c>
      <c r="W385" s="411">
        <v>1</v>
      </c>
      <c r="X385" s="411"/>
      <c r="Y385" s="411"/>
      <c r="Z385" s="412">
        <f t="shared" si="22"/>
        <v>0</v>
      </c>
      <c r="AA385" s="456">
        <f t="shared" si="23"/>
        <v>0</v>
      </c>
      <c r="AB385" s="456">
        <v>0</v>
      </c>
      <c r="AC385" s="2"/>
      <c r="AD385" s="4"/>
      <c r="AE385" s="5"/>
      <c r="AF385" s="428"/>
    </row>
    <row r="386" spans="1:32" x14ac:dyDescent="0.25">
      <c r="A386" s="1" t="s">
        <v>2831</v>
      </c>
      <c r="B386" s="3" t="s">
        <v>1368</v>
      </c>
      <c r="C386" s="3" t="s">
        <v>1247</v>
      </c>
      <c r="D386" s="407" t="s">
        <v>1426</v>
      </c>
      <c r="E386" s="3" t="s">
        <v>2141</v>
      </c>
      <c r="F386" s="407" t="s">
        <v>4480</v>
      </c>
      <c r="G386" s="440" t="s">
        <v>4109</v>
      </c>
      <c r="H386" s="407" t="s">
        <v>4301</v>
      </c>
      <c r="I386" s="407" t="s">
        <v>3782</v>
      </c>
      <c r="J386" s="387" t="s">
        <v>4637</v>
      </c>
      <c r="K386" s="387">
        <v>1</v>
      </c>
      <c r="L386" s="387">
        <v>0</v>
      </c>
      <c r="M386" s="387">
        <f t="shared" si="20"/>
        <v>1</v>
      </c>
      <c r="N386" s="442">
        <f t="shared" si="21"/>
        <v>0</v>
      </c>
      <c r="O386" s="387" t="s">
        <v>1358</v>
      </c>
      <c r="P386" s="459">
        <v>0</v>
      </c>
      <c r="Q386" s="459"/>
      <c r="R386" s="456">
        <v>0</v>
      </c>
      <c r="S386" s="456">
        <v>15.609</v>
      </c>
      <c r="T386" s="410"/>
      <c r="U386" s="411">
        <v>1</v>
      </c>
      <c r="V386" s="411">
        <v>1</v>
      </c>
      <c r="W386" s="411">
        <v>1</v>
      </c>
      <c r="X386" s="411"/>
      <c r="Y386" s="411"/>
      <c r="Z386" s="412">
        <f t="shared" si="22"/>
        <v>0</v>
      </c>
      <c r="AA386" s="456">
        <f t="shared" si="23"/>
        <v>0</v>
      </c>
      <c r="AB386" s="456">
        <v>0</v>
      </c>
      <c r="AC386" s="2"/>
      <c r="AD386" s="4"/>
      <c r="AE386" s="5"/>
      <c r="AF386" s="428"/>
    </row>
    <row r="387" spans="1:32" x14ac:dyDescent="0.25">
      <c r="A387" s="1" t="s">
        <v>2832</v>
      </c>
      <c r="B387" s="3" t="s">
        <v>1368</v>
      </c>
      <c r="C387" s="3" t="s">
        <v>1247</v>
      </c>
      <c r="D387" s="407" t="s">
        <v>1427</v>
      </c>
      <c r="E387" s="3" t="s">
        <v>2142</v>
      </c>
      <c r="F387" s="407" t="s">
        <v>4485</v>
      </c>
      <c r="G387" s="440" t="s">
        <v>4109</v>
      </c>
      <c r="H387" s="407" t="s">
        <v>4306</v>
      </c>
      <c r="I387" s="407" t="s">
        <v>3787</v>
      </c>
      <c r="J387" s="387" t="s">
        <v>4638</v>
      </c>
      <c r="K387" s="387">
        <v>1</v>
      </c>
      <c r="L387" s="387">
        <v>0</v>
      </c>
      <c r="M387" s="387">
        <f t="shared" si="20"/>
        <v>1</v>
      </c>
      <c r="N387" s="442">
        <f t="shared" si="21"/>
        <v>0</v>
      </c>
      <c r="O387" s="387" t="s">
        <v>1358</v>
      </c>
      <c r="P387" s="459">
        <v>0</v>
      </c>
      <c r="Q387" s="459"/>
      <c r="R387" s="456">
        <v>0</v>
      </c>
      <c r="S387" s="456">
        <v>15.609</v>
      </c>
      <c r="T387" s="410"/>
      <c r="U387" s="411">
        <v>0</v>
      </c>
      <c r="V387" s="411">
        <v>0</v>
      </c>
      <c r="W387" s="411">
        <v>0</v>
      </c>
      <c r="X387" s="411"/>
      <c r="Y387" s="411"/>
      <c r="Z387" s="412">
        <f t="shared" si="22"/>
        <v>0</v>
      </c>
      <c r="AA387" s="456">
        <f t="shared" si="23"/>
        <v>0</v>
      </c>
      <c r="AB387" s="456">
        <v>0</v>
      </c>
      <c r="AC387" s="2"/>
      <c r="AD387" s="4"/>
      <c r="AE387" s="5"/>
      <c r="AF387" s="428"/>
    </row>
    <row r="388" spans="1:32" x14ac:dyDescent="0.25">
      <c r="A388" s="1" t="s">
        <v>2833</v>
      </c>
      <c r="B388" s="3" t="s">
        <v>1368</v>
      </c>
      <c r="C388" s="3" t="s">
        <v>1247</v>
      </c>
      <c r="D388" s="407" t="s">
        <v>1428</v>
      </c>
      <c r="E388" s="3" t="s">
        <v>2143</v>
      </c>
      <c r="F388" s="407" t="s">
        <v>4486</v>
      </c>
      <c r="G388" s="440" t="s">
        <v>4109</v>
      </c>
      <c r="H388" s="407" t="s">
        <v>4307</v>
      </c>
      <c r="I388" s="407" t="s">
        <v>3788</v>
      </c>
      <c r="J388" s="387" t="s">
        <v>4639</v>
      </c>
      <c r="K388" s="387">
        <v>1</v>
      </c>
      <c r="L388" s="387">
        <v>0</v>
      </c>
      <c r="M388" s="387">
        <f t="shared" si="20"/>
        <v>1</v>
      </c>
      <c r="N388" s="442">
        <f t="shared" si="21"/>
        <v>0</v>
      </c>
      <c r="O388" s="387" t="s">
        <v>1358</v>
      </c>
      <c r="P388" s="459">
        <v>0</v>
      </c>
      <c r="Q388" s="459"/>
      <c r="R388" s="456">
        <v>0</v>
      </c>
      <c r="S388" s="456">
        <v>15.609</v>
      </c>
      <c r="T388" s="410"/>
      <c r="U388" s="411">
        <v>0</v>
      </c>
      <c r="V388" s="411">
        <v>0</v>
      </c>
      <c r="W388" s="411">
        <v>0</v>
      </c>
      <c r="X388" s="411"/>
      <c r="Y388" s="411"/>
      <c r="Z388" s="412">
        <f t="shared" si="22"/>
        <v>0</v>
      </c>
      <c r="AA388" s="456">
        <f t="shared" si="23"/>
        <v>0</v>
      </c>
      <c r="AB388" s="456">
        <v>0</v>
      </c>
      <c r="AC388" s="2"/>
      <c r="AD388" s="4"/>
      <c r="AE388" s="5"/>
      <c r="AF388" s="428"/>
    </row>
    <row r="389" spans="1:32" x14ac:dyDescent="0.25">
      <c r="A389" s="1" t="s">
        <v>2834</v>
      </c>
      <c r="B389" s="3" t="s">
        <v>1368</v>
      </c>
      <c r="C389" s="3" t="s">
        <v>1247</v>
      </c>
      <c r="D389" s="407" t="s">
        <v>1429</v>
      </c>
      <c r="E389" s="3" t="s">
        <v>2144</v>
      </c>
      <c r="F389" s="407" t="s">
        <v>4487</v>
      </c>
      <c r="G389" s="440" t="s">
        <v>4109</v>
      </c>
      <c r="H389" s="407" t="s">
        <v>4308</v>
      </c>
      <c r="I389" s="407" t="s">
        <v>3789</v>
      </c>
      <c r="J389" s="387" t="s">
        <v>4640</v>
      </c>
      <c r="K389" s="387">
        <v>1</v>
      </c>
      <c r="L389" s="387">
        <v>0</v>
      </c>
      <c r="M389" s="387">
        <f t="shared" si="20"/>
        <v>1</v>
      </c>
      <c r="N389" s="442">
        <f t="shared" si="21"/>
        <v>0</v>
      </c>
      <c r="O389" s="387" t="s">
        <v>1358</v>
      </c>
      <c r="P389" s="459">
        <v>0</v>
      </c>
      <c r="Q389" s="459"/>
      <c r="R389" s="456">
        <v>0</v>
      </c>
      <c r="S389" s="456">
        <v>15.609</v>
      </c>
      <c r="T389" s="410"/>
      <c r="U389" s="411">
        <v>0</v>
      </c>
      <c r="V389" s="411">
        <v>0</v>
      </c>
      <c r="W389" s="411">
        <v>0</v>
      </c>
      <c r="X389" s="411"/>
      <c r="Y389" s="411"/>
      <c r="Z389" s="412">
        <f t="shared" si="22"/>
        <v>0</v>
      </c>
      <c r="AA389" s="456">
        <f t="shared" si="23"/>
        <v>0</v>
      </c>
      <c r="AB389" s="456">
        <v>0</v>
      </c>
      <c r="AC389" s="2"/>
      <c r="AD389" s="4"/>
      <c r="AE389" s="5"/>
      <c r="AF389" s="428"/>
    </row>
    <row r="390" spans="1:32" x14ac:dyDescent="0.25">
      <c r="A390" s="1" t="s">
        <v>2835</v>
      </c>
      <c r="B390" s="3" t="s">
        <v>1368</v>
      </c>
      <c r="C390" s="3" t="s">
        <v>1247</v>
      </c>
      <c r="D390" s="407" t="s">
        <v>1430</v>
      </c>
      <c r="E390" s="3" t="s">
        <v>2145</v>
      </c>
      <c r="F390" s="407" t="s">
        <v>4488</v>
      </c>
      <c r="G390" s="440" t="s">
        <v>4109</v>
      </c>
      <c r="H390" s="407" t="s">
        <v>4309</v>
      </c>
      <c r="I390" s="407" t="s">
        <v>3790</v>
      </c>
      <c r="J390" s="387" t="s">
        <v>4641</v>
      </c>
      <c r="K390" s="387">
        <v>1</v>
      </c>
      <c r="L390" s="387">
        <v>0</v>
      </c>
      <c r="M390" s="387">
        <f t="shared" si="20"/>
        <v>1</v>
      </c>
      <c r="N390" s="442">
        <f t="shared" si="21"/>
        <v>0</v>
      </c>
      <c r="O390" s="387" t="s">
        <v>1358</v>
      </c>
      <c r="P390" s="459">
        <v>0</v>
      </c>
      <c r="Q390" s="459"/>
      <c r="R390" s="456">
        <v>0</v>
      </c>
      <c r="S390" s="456">
        <v>15.609</v>
      </c>
      <c r="T390" s="410"/>
      <c r="U390" s="411">
        <v>0</v>
      </c>
      <c r="V390" s="411">
        <v>0</v>
      </c>
      <c r="W390" s="411">
        <v>0</v>
      </c>
      <c r="X390" s="411"/>
      <c r="Y390" s="411"/>
      <c r="Z390" s="412">
        <f t="shared" si="22"/>
        <v>0</v>
      </c>
      <c r="AA390" s="456">
        <f t="shared" si="23"/>
        <v>0</v>
      </c>
      <c r="AB390" s="456">
        <v>0</v>
      </c>
      <c r="AC390" s="2"/>
      <c r="AD390" s="4"/>
      <c r="AE390" s="5"/>
      <c r="AF390" s="428"/>
    </row>
    <row r="391" spans="1:32" x14ac:dyDescent="0.25">
      <c r="A391" s="1" t="s">
        <v>2836</v>
      </c>
      <c r="B391" s="3" t="s">
        <v>1368</v>
      </c>
      <c r="C391" s="3" t="s">
        <v>1247</v>
      </c>
      <c r="D391" s="407" t="s">
        <v>1431</v>
      </c>
      <c r="E391" s="3" t="s">
        <v>2146</v>
      </c>
      <c r="F391" s="407" t="s">
        <v>4489</v>
      </c>
      <c r="G391" s="440" t="s">
        <v>4109</v>
      </c>
      <c r="H391" s="407" t="s">
        <v>4310</v>
      </c>
      <c r="I391" s="407" t="s">
        <v>3791</v>
      </c>
      <c r="J391" s="387" t="s">
        <v>4642</v>
      </c>
      <c r="K391" s="387">
        <v>1</v>
      </c>
      <c r="L391" s="387">
        <v>0</v>
      </c>
      <c r="M391" s="387">
        <f t="shared" si="20"/>
        <v>1</v>
      </c>
      <c r="N391" s="442">
        <f t="shared" si="21"/>
        <v>0</v>
      </c>
      <c r="O391" s="387" t="s">
        <v>1358</v>
      </c>
      <c r="P391" s="459">
        <v>0</v>
      </c>
      <c r="Q391" s="459"/>
      <c r="R391" s="456">
        <v>0</v>
      </c>
      <c r="S391" s="456">
        <v>15.609</v>
      </c>
      <c r="T391" s="410"/>
      <c r="U391" s="411">
        <v>0</v>
      </c>
      <c r="V391" s="411">
        <v>0</v>
      </c>
      <c r="W391" s="411">
        <v>0</v>
      </c>
      <c r="X391" s="411"/>
      <c r="Y391" s="411"/>
      <c r="Z391" s="412">
        <f t="shared" si="22"/>
        <v>0</v>
      </c>
      <c r="AA391" s="456">
        <f t="shared" si="23"/>
        <v>0</v>
      </c>
      <c r="AB391" s="456">
        <v>0</v>
      </c>
      <c r="AC391" s="2"/>
      <c r="AD391" s="4"/>
      <c r="AE391" s="5"/>
      <c r="AF391" s="428"/>
    </row>
    <row r="392" spans="1:32" x14ac:dyDescent="0.25">
      <c r="A392" s="1" t="s">
        <v>2837</v>
      </c>
      <c r="B392" s="3" t="s">
        <v>1368</v>
      </c>
      <c r="C392" s="3" t="s">
        <v>1247</v>
      </c>
      <c r="D392" s="407" t="s">
        <v>1433</v>
      </c>
      <c r="E392" s="3" t="s">
        <v>2147</v>
      </c>
      <c r="F392" s="407" t="s">
        <v>4490</v>
      </c>
      <c r="G392" s="440" t="s">
        <v>4109</v>
      </c>
      <c r="H392" s="407" t="s">
        <v>4311</v>
      </c>
      <c r="I392" s="407" t="s">
        <v>3792</v>
      </c>
      <c r="J392" s="387" t="s">
        <v>4644</v>
      </c>
      <c r="K392" s="387">
        <v>1</v>
      </c>
      <c r="L392" s="387">
        <v>0</v>
      </c>
      <c r="M392" s="387">
        <f t="shared" si="20"/>
        <v>1</v>
      </c>
      <c r="N392" s="442">
        <f t="shared" si="21"/>
        <v>0</v>
      </c>
      <c r="O392" s="387" t="s">
        <v>1358</v>
      </c>
      <c r="P392" s="459">
        <v>0</v>
      </c>
      <c r="Q392" s="459"/>
      <c r="R392" s="456">
        <v>0</v>
      </c>
      <c r="S392" s="456">
        <v>2.0019999999999998</v>
      </c>
      <c r="T392" s="410"/>
      <c r="U392" s="411">
        <v>0</v>
      </c>
      <c r="V392" s="411">
        <v>0</v>
      </c>
      <c r="W392" s="411">
        <v>0</v>
      </c>
      <c r="X392" s="411"/>
      <c r="Y392" s="411"/>
      <c r="Z392" s="412">
        <f t="shared" si="22"/>
        <v>0</v>
      </c>
      <c r="AA392" s="456">
        <f t="shared" si="23"/>
        <v>0</v>
      </c>
      <c r="AB392" s="456">
        <v>0</v>
      </c>
      <c r="AC392" s="2"/>
      <c r="AD392" s="4"/>
      <c r="AE392" s="5"/>
      <c r="AF392" s="428"/>
    </row>
    <row r="393" spans="1:32" x14ac:dyDescent="0.25">
      <c r="A393" s="1" t="s">
        <v>2838</v>
      </c>
      <c r="B393" s="3" t="s">
        <v>1368</v>
      </c>
      <c r="C393" s="3" t="s">
        <v>1247</v>
      </c>
      <c r="D393" s="407" t="s">
        <v>3306</v>
      </c>
      <c r="E393" s="3" t="s">
        <v>2148</v>
      </c>
      <c r="F393" s="407" t="s">
        <v>4484</v>
      </c>
      <c r="G393" s="440" t="s">
        <v>4109</v>
      </c>
      <c r="H393" s="407" t="s">
        <v>4305</v>
      </c>
      <c r="I393" s="407" t="s">
        <v>3786</v>
      </c>
      <c r="J393" s="387" t="s">
        <v>4636</v>
      </c>
      <c r="K393" s="387">
        <v>1</v>
      </c>
      <c r="L393" s="387">
        <v>0</v>
      </c>
      <c r="M393" s="387">
        <f t="shared" si="20"/>
        <v>1</v>
      </c>
      <c r="N393" s="442">
        <f t="shared" si="21"/>
        <v>0</v>
      </c>
      <c r="O393" s="387" t="s">
        <v>1358</v>
      </c>
      <c r="P393" s="459">
        <v>0</v>
      </c>
      <c r="Q393" s="459"/>
      <c r="R393" s="456">
        <v>0</v>
      </c>
      <c r="S393" s="456">
        <v>12.702</v>
      </c>
      <c r="T393" s="410"/>
      <c r="U393" s="411">
        <v>0</v>
      </c>
      <c r="V393" s="411">
        <v>0</v>
      </c>
      <c r="W393" s="411">
        <v>0</v>
      </c>
      <c r="X393" s="411"/>
      <c r="Y393" s="411"/>
      <c r="Z393" s="412">
        <f t="shared" si="22"/>
        <v>0</v>
      </c>
      <c r="AA393" s="456">
        <f t="shared" si="23"/>
        <v>0</v>
      </c>
      <c r="AB393" s="456">
        <v>0</v>
      </c>
      <c r="AC393" s="2"/>
      <c r="AD393" s="4"/>
      <c r="AE393" s="5"/>
      <c r="AF393" s="428"/>
    </row>
    <row r="394" spans="1:32" x14ac:dyDescent="0.25">
      <c r="A394" s="1" t="s">
        <v>2839</v>
      </c>
      <c r="B394" s="3" t="s">
        <v>1368</v>
      </c>
      <c r="C394" s="3" t="s">
        <v>1247</v>
      </c>
      <c r="D394" s="407" t="s">
        <v>1374</v>
      </c>
      <c r="E394" s="3" t="s">
        <v>2149</v>
      </c>
      <c r="F394" s="407" t="s">
        <v>4495</v>
      </c>
      <c r="G394" s="440" t="s">
        <v>4109</v>
      </c>
      <c r="H394" s="407" t="s">
        <v>4316</v>
      </c>
      <c r="I394" s="407" t="s">
        <v>3757</v>
      </c>
      <c r="J394" s="387" t="s">
        <v>4649</v>
      </c>
      <c r="K394" s="387">
        <v>1</v>
      </c>
      <c r="L394" s="387">
        <v>0</v>
      </c>
      <c r="M394" s="387">
        <f t="shared" si="20"/>
        <v>1</v>
      </c>
      <c r="N394" s="442">
        <f t="shared" si="21"/>
        <v>0</v>
      </c>
      <c r="O394" s="387" t="s">
        <v>1358</v>
      </c>
      <c r="P394" s="459">
        <v>0</v>
      </c>
      <c r="Q394" s="459"/>
      <c r="R394" s="456">
        <v>0</v>
      </c>
      <c r="S394" s="456">
        <v>41.875</v>
      </c>
      <c r="T394" s="410"/>
      <c r="U394" s="411">
        <v>1</v>
      </c>
      <c r="V394" s="411">
        <v>1</v>
      </c>
      <c r="W394" s="411">
        <v>1</v>
      </c>
      <c r="X394" s="411"/>
      <c r="Y394" s="411"/>
      <c r="Z394" s="412">
        <f t="shared" si="22"/>
        <v>0</v>
      </c>
      <c r="AA394" s="456">
        <f t="shared" si="23"/>
        <v>0</v>
      </c>
      <c r="AB394" s="456">
        <v>0</v>
      </c>
      <c r="AC394" s="2"/>
      <c r="AD394" s="4"/>
      <c r="AE394" s="5"/>
      <c r="AF394" s="428"/>
    </row>
    <row r="395" spans="1:32" x14ac:dyDescent="0.25">
      <c r="A395" s="1" t="s">
        <v>2840</v>
      </c>
      <c r="B395" s="3" t="s">
        <v>1368</v>
      </c>
      <c r="C395" s="3" t="s">
        <v>1247</v>
      </c>
      <c r="D395" s="407" t="s">
        <v>1377</v>
      </c>
      <c r="E395" s="3" t="s">
        <v>2150</v>
      </c>
      <c r="F395" s="407" t="s">
        <v>4494</v>
      </c>
      <c r="G395" s="440" t="s">
        <v>4109</v>
      </c>
      <c r="H395" s="407" t="s">
        <v>4315</v>
      </c>
      <c r="I395" s="407" t="s">
        <v>3749</v>
      </c>
      <c r="J395" s="387" t="s">
        <v>4648</v>
      </c>
      <c r="K395" s="387">
        <v>1</v>
      </c>
      <c r="L395" s="387">
        <v>0</v>
      </c>
      <c r="M395" s="387">
        <f t="shared" si="20"/>
        <v>1</v>
      </c>
      <c r="N395" s="442">
        <f t="shared" si="21"/>
        <v>0</v>
      </c>
      <c r="O395" s="387" t="s">
        <v>1358</v>
      </c>
      <c r="P395" s="459">
        <v>0</v>
      </c>
      <c r="Q395" s="459"/>
      <c r="R395" s="456">
        <v>0</v>
      </c>
      <c r="S395" s="456">
        <v>42.066000000000003</v>
      </c>
      <c r="T395" s="410"/>
      <c r="U395" s="411">
        <v>0</v>
      </c>
      <c r="V395" s="411">
        <v>0</v>
      </c>
      <c r="W395" s="411">
        <v>0</v>
      </c>
      <c r="X395" s="411"/>
      <c r="Y395" s="411"/>
      <c r="Z395" s="412">
        <f t="shared" si="22"/>
        <v>0</v>
      </c>
      <c r="AA395" s="456">
        <f t="shared" si="23"/>
        <v>0</v>
      </c>
      <c r="AB395" s="456">
        <v>0</v>
      </c>
      <c r="AC395" s="2"/>
      <c r="AD395" s="4"/>
      <c r="AE395" s="5"/>
      <c r="AF395" s="428"/>
    </row>
    <row r="396" spans="1:32" x14ac:dyDescent="0.25">
      <c r="A396" s="1" t="s">
        <v>2841</v>
      </c>
      <c r="B396" s="3" t="s">
        <v>1368</v>
      </c>
      <c r="C396" s="3" t="s">
        <v>1247</v>
      </c>
      <c r="D396" s="407" t="s">
        <v>1379</v>
      </c>
      <c r="E396" s="3" t="s">
        <v>2151</v>
      </c>
      <c r="F396" s="407" t="s">
        <v>4502</v>
      </c>
      <c r="G396" s="440" t="s">
        <v>4109</v>
      </c>
      <c r="H396" s="407" t="s">
        <v>4323</v>
      </c>
      <c r="I396" s="407" t="s">
        <v>3750</v>
      </c>
      <c r="J396" s="387" t="s">
        <v>4632</v>
      </c>
      <c r="K396" s="387">
        <v>1</v>
      </c>
      <c r="L396" s="387">
        <v>0</v>
      </c>
      <c r="M396" s="387">
        <f t="shared" ref="M396:M459" si="24">K396+L396</f>
        <v>1</v>
      </c>
      <c r="N396" s="442">
        <f t="shared" ref="N396:N459" si="25">K396*Z396</f>
        <v>0</v>
      </c>
      <c r="O396" s="387" t="s">
        <v>1358</v>
      </c>
      <c r="P396" s="459">
        <v>0</v>
      </c>
      <c r="Q396" s="459"/>
      <c r="R396" s="456">
        <v>0</v>
      </c>
      <c r="S396" s="456">
        <v>42.29</v>
      </c>
      <c r="T396" s="410"/>
      <c r="U396" s="411">
        <v>1</v>
      </c>
      <c r="V396" s="411">
        <v>1</v>
      </c>
      <c r="W396" s="411">
        <v>1</v>
      </c>
      <c r="X396" s="411"/>
      <c r="Y396" s="411"/>
      <c r="Z396" s="412">
        <f t="shared" ref="Z396:Z459" si="26">AA396/S396</f>
        <v>0</v>
      </c>
      <c r="AA396" s="456">
        <f t="shared" ref="AA396:AA459" si="27">(U396*U$368*S396)+(V396*V$368*S396)+(W396*W$368*S396)</f>
        <v>0</v>
      </c>
      <c r="AB396" s="456">
        <v>0</v>
      </c>
      <c r="AC396" s="2"/>
      <c r="AD396" s="4"/>
      <c r="AE396" s="5"/>
      <c r="AF396" s="428"/>
    </row>
    <row r="397" spans="1:32" x14ac:dyDescent="0.25">
      <c r="A397" s="1" t="s">
        <v>2842</v>
      </c>
      <c r="B397" s="3" t="s">
        <v>1368</v>
      </c>
      <c r="C397" s="3" t="s">
        <v>1247</v>
      </c>
      <c r="D397" s="407" t="s">
        <v>1381</v>
      </c>
      <c r="E397" s="3" t="s">
        <v>2152</v>
      </c>
      <c r="F397" s="407" t="s">
        <v>4497</v>
      </c>
      <c r="G397" s="440" t="s">
        <v>4109</v>
      </c>
      <c r="H397" s="407" t="s">
        <v>4318</v>
      </c>
      <c r="I397" s="407" t="s">
        <v>3751</v>
      </c>
      <c r="J397" s="387" t="s">
        <v>4631</v>
      </c>
      <c r="K397" s="387">
        <v>1</v>
      </c>
      <c r="L397" s="387">
        <v>0</v>
      </c>
      <c r="M397" s="387">
        <f t="shared" si="24"/>
        <v>1</v>
      </c>
      <c r="N397" s="442">
        <f t="shared" si="25"/>
        <v>0</v>
      </c>
      <c r="O397" s="387" t="s">
        <v>1358</v>
      </c>
      <c r="P397" s="459">
        <v>0</v>
      </c>
      <c r="Q397" s="459"/>
      <c r="R397" s="456">
        <v>0</v>
      </c>
      <c r="S397" s="456">
        <v>42.29</v>
      </c>
      <c r="T397" s="410"/>
      <c r="U397" s="411">
        <v>1</v>
      </c>
      <c r="V397" s="411">
        <v>1</v>
      </c>
      <c r="W397" s="411">
        <v>1</v>
      </c>
      <c r="X397" s="411"/>
      <c r="Y397" s="411"/>
      <c r="Z397" s="412">
        <f t="shared" si="26"/>
        <v>0</v>
      </c>
      <c r="AA397" s="456">
        <f t="shared" si="27"/>
        <v>0</v>
      </c>
      <c r="AB397" s="456">
        <v>0</v>
      </c>
      <c r="AC397" s="2"/>
      <c r="AD397" s="4"/>
      <c r="AE397" s="5"/>
      <c r="AF397" s="428"/>
    </row>
    <row r="398" spans="1:32" x14ac:dyDescent="0.25">
      <c r="A398" s="1" t="s">
        <v>2843</v>
      </c>
      <c r="B398" s="3" t="s">
        <v>1368</v>
      </c>
      <c r="C398" s="3" t="s">
        <v>1247</v>
      </c>
      <c r="D398" s="407" t="s">
        <v>1396</v>
      </c>
      <c r="E398" s="3" t="s">
        <v>2153</v>
      </c>
      <c r="F398" s="407" t="s">
        <v>4498</v>
      </c>
      <c r="G398" s="440" t="s">
        <v>4109</v>
      </c>
      <c r="H398" s="407" t="s">
        <v>4319</v>
      </c>
      <c r="I398" s="407" t="s">
        <v>3752</v>
      </c>
      <c r="J398" s="387" t="s">
        <v>4652</v>
      </c>
      <c r="K398" s="387">
        <v>1</v>
      </c>
      <c r="L398" s="387">
        <v>0</v>
      </c>
      <c r="M398" s="387">
        <f t="shared" si="24"/>
        <v>1</v>
      </c>
      <c r="N398" s="442">
        <f t="shared" si="25"/>
        <v>0</v>
      </c>
      <c r="O398" s="387" t="s">
        <v>1358</v>
      </c>
      <c r="P398" s="459">
        <v>0</v>
      </c>
      <c r="Q398" s="459"/>
      <c r="R398" s="456">
        <v>0</v>
      </c>
      <c r="S398" s="456">
        <v>42.448999999999998</v>
      </c>
      <c r="T398" s="410"/>
      <c r="U398" s="411">
        <v>1</v>
      </c>
      <c r="V398" s="411">
        <v>1</v>
      </c>
      <c r="W398" s="411">
        <v>1</v>
      </c>
      <c r="X398" s="411"/>
      <c r="Y398" s="411"/>
      <c r="Z398" s="412">
        <f t="shared" si="26"/>
        <v>0</v>
      </c>
      <c r="AA398" s="456">
        <f t="shared" si="27"/>
        <v>0</v>
      </c>
      <c r="AB398" s="456">
        <v>0</v>
      </c>
      <c r="AC398" s="2"/>
      <c r="AD398" s="4"/>
      <c r="AE398" s="5"/>
      <c r="AF398" s="428"/>
    </row>
    <row r="399" spans="1:32" x14ac:dyDescent="0.25">
      <c r="A399" s="1" t="s">
        <v>2844</v>
      </c>
      <c r="B399" s="3" t="s">
        <v>1368</v>
      </c>
      <c r="C399" s="3" t="s">
        <v>1247</v>
      </c>
      <c r="D399" s="407" t="s">
        <v>1399</v>
      </c>
      <c r="E399" s="3" t="s">
        <v>2154</v>
      </c>
      <c r="F399" s="407" t="s">
        <v>4499</v>
      </c>
      <c r="G399" s="440" t="s">
        <v>4109</v>
      </c>
      <c r="H399" s="407" t="s">
        <v>4320</v>
      </c>
      <c r="I399" s="407" t="s">
        <v>3758</v>
      </c>
      <c r="J399" s="387" t="s">
        <v>4653</v>
      </c>
      <c r="K399" s="387">
        <v>1</v>
      </c>
      <c r="L399" s="387">
        <v>0</v>
      </c>
      <c r="M399" s="387">
        <f t="shared" si="24"/>
        <v>1</v>
      </c>
      <c r="N399" s="442">
        <f t="shared" si="25"/>
        <v>0</v>
      </c>
      <c r="O399" s="387" t="s">
        <v>1358</v>
      </c>
      <c r="P399" s="459">
        <v>0</v>
      </c>
      <c r="Q399" s="459"/>
      <c r="R399" s="456">
        <v>0</v>
      </c>
      <c r="S399" s="456">
        <v>42.877000000000002</v>
      </c>
      <c r="T399" s="410"/>
      <c r="U399" s="411">
        <v>1</v>
      </c>
      <c r="V399" s="411">
        <v>1</v>
      </c>
      <c r="W399" s="411">
        <v>1</v>
      </c>
      <c r="X399" s="411"/>
      <c r="Y399" s="411"/>
      <c r="Z399" s="412">
        <f t="shared" si="26"/>
        <v>0</v>
      </c>
      <c r="AA399" s="456">
        <f t="shared" si="27"/>
        <v>0</v>
      </c>
      <c r="AB399" s="456">
        <v>0</v>
      </c>
      <c r="AC399" s="2"/>
      <c r="AD399" s="4"/>
      <c r="AE399" s="5"/>
      <c r="AF399" s="428"/>
    </row>
    <row r="400" spans="1:32" x14ac:dyDescent="0.25">
      <c r="A400" s="1" t="s">
        <v>2845</v>
      </c>
      <c r="B400" s="3" t="s">
        <v>1368</v>
      </c>
      <c r="C400" s="3" t="s">
        <v>1247</v>
      </c>
      <c r="D400" s="407" t="s">
        <v>1400</v>
      </c>
      <c r="E400" s="3" t="s">
        <v>2155</v>
      </c>
      <c r="F400" s="407" t="s">
        <v>4477</v>
      </c>
      <c r="G400" s="440" t="s">
        <v>4109</v>
      </c>
      <c r="H400" s="407" t="s">
        <v>4298</v>
      </c>
      <c r="I400" s="407" t="s">
        <v>3779</v>
      </c>
      <c r="J400" s="387" t="s">
        <v>4656</v>
      </c>
      <c r="K400" s="387">
        <v>1</v>
      </c>
      <c r="L400" s="387">
        <v>0</v>
      </c>
      <c r="M400" s="387">
        <f t="shared" si="24"/>
        <v>1</v>
      </c>
      <c r="N400" s="442">
        <f t="shared" si="25"/>
        <v>0</v>
      </c>
      <c r="O400" s="387" t="s">
        <v>1358</v>
      </c>
      <c r="P400" s="459">
        <v>0</v>
      </c>
      <c r="Q400" s="459"/>
      <c r="R400" s="456">
        <v>0</v>
      </c>
      <c r="S400" s="456">
        <v>42.877000000000002</v>
      </c>
      <c r="T400" s="410"/>
      <c r="U400" s="411">
        <v>0</v>
      </c>
      <c r="V400" s="411">
        <v>0</v>
      </c>
      <c r="W400" s="411">
        <v>0</v>
      </c>
      <c r="X400" s="411"/>
      <c r="Y400" s="411"/>
      <c r="Z400" s="412">
        <f t="shared" si="26"/>
        <v>0</v>
      </c>
      <c r="AA400" s="456">
        <f t="shared" si="27"/>
        <v>0</v>
      </c>
      <c r="AB400" s="456">
        <v>0</v>
      </c>
      <c r="AC400" s="2"/>
      <c r="AD400" s="4"/>
      <c r="AE400" s="5"/>
      <c r="AF400" s="428"/>
    </row>
    <row r="401" spans="1:32" x14ac:dyDescent="0.25">
      <c r="A401" s="1" t="s">
        <v>2846</v>
      </c>
      <c r="B401" s="3" t="s">
        <v>1368</v>
      </c>
      <c r="C401" s="3" t="s">
        <v>1247</v>
      </c>
      <c r="D401" s="407" t="s">
        <v>1401</v>
      </c>
      <c r="E401" s="3" t="s">
        <v>2156</v>
      </c>
      <c r="F401" s="407" t="s">
        <v>4478</v>
      </c>
      <c r="G401" s="440" t="s">
        <v>4109</v>
      </c>
      <c r="H401" s="407" t="s">
        <v>4299</v>
      </c>
      <c r="I401" s="407" t="s">
        <v>3780</v>
      </c>
      <c r="J401" s="387" t="s">
        <v>4657</v>
      </c>
      <c r="K401" s="387">
        <v>1</v>
      </c>
      <c r="L401" s="387">
        <v>0</v>
      </c>
      <c r="M401" s="387">
        <f t="shared" si="24"/>
        <v>1</v>
      </c>
      <c r="N401" s="442">
        <f t="shared" si="25"/>
        <v>0</v>
      </c>
      <c r="O401" s="387" t="s">
        <v>1358</v>
      </c>
      <c r="P401" s="459">
        <v>0</v>
      </c>
      <c r="Q401" s="459"/>
      <c r="R401" s="456">
        <v>0</v>
      </c>
      <c r="S401" s="456">
        <v>43.098999999999997</v>
      </c>
      <c r="T401" s="410"/>
      <c r="U401" s="411">
        <v>0</v>
      </c>
      <c r="V401" s="411">
        <v>0</v>
      </c>
      <c r="W401" s="411">
        <v>0</v>
      </c>
      <c r="X401" s="411"/>
      <c r="Y401" s="411"/>
      <c r="Z401" s="412">
        <f t="shared" si="26"/>
        <v>0</v>
      </c>
      <c r="AA401" s="456">
        <f t="shared" si="27"/>
        <v>0</v>
      </c>
      <c r="AB401" s="456">
        <v>0</v>
      </c>
      <c r="AC401" s="2"/>
      <c r="AD401" s="4"/>
      <c r="AE401" s="5"/>
      <c r="AF401" s="428"/>
    </row>
    <row r="402" spans="1:32" x14ac:dyDescent="0.25">
      <c r="A402" s="1" t="s">
        <v>2847</v>
      </c>
      <c r="B402" s="3" t="s">
        <v>1368</v>
      </c>
      <c r="C402" s="3" t="s">
        <v>1247</v>
      </c>
      <c r="D402" s="407" t="s">
        <v>1432</v>
      </c>
      <c r="E402" s="3" t="s">
        <v>2157</v>
      </c>
      <c r="F402" s="407" t="s">
        <v>4483</v>
      </c>
      <c r="G402" s="440" t="s">
        <v>4109</v>
      </c>
      <c r="H402" s="407" t="s">
        <v>4304</v>
      </c>
      <c r="I402" s="407" t="s">
        <v>3785</v>
      </c>
      <c r="J402" s="387" t="s">
        <v>4635</v>
      </c>
      <c r="K402" s="387">
        <v>1</v>
      </c>
      <c r="L402" s="387">
        <v>0</v>
      </c>
      <c r="M402" s="387">
        <f t="shared" si="24"/>
        <v>1</v>
      </c>
      <c r="N402" s="442">
        <f t="shared" si="25"/>
        <v>0</v>
      </c>
      <c r="O402" s="387" t="s">
        <v>1358</v>
      </c>
      <c r="P402" s="459">
        <v>0</v>
      </c>
      <c r="Q402" s="459"/>
      <c r="R402" s="456">
        <v>0</v>
      </c>
      <c r="S402" s="456">
        <v>33.194000000000003</v>
      </c>
      <c r="T402" s="410"/>
      <c r="U402" s="411">
        <v>0</v>
      </c>
      <c r="V402" s="411">
        <v>0</v>
      </c>
      <c r="W402" s="411">
        <v>0</v>
      </c>
      <c r="X402" s="411"/>
      <c r="Y402" s="411"/>
      <c r="Z402" s="412">
        <f t="shared" si="26"/>
        <v>0</v>
      </c>
      <c r="AA402" s="456">
        <f t="shared" si="27"/>
        <v>0</v>
      </c>
      <c r="AB402" s="456">
        <v>0</v>
      </c>
      <c r="AC402" s="2"/>
      <c r="AD402" s="4"/>
      <c r="AE402" s="5"/>
      <c r="AF402" s="428"/>
    </row>
    <row r="403" spans="1:32" x14ac:dyDescent="0.25">
      <c r="A403" s="1" t="s">
        <v>2848</v>
      </c>
      <c r="B403" s="3" t="s">
        <v>1368</v>
      </c>
      <c r="C403" s="3" t="s">
        <v>1247</v>
      </c>
      <c r="D403" s="407" t="s">
        <v>1433</v>
      </c>
      <c r="E403" s="3" t="s">
        <v>2158</v>
      </c>
      <c r="F403" s="407" t="s">
        <v>4490</v>
      </c>
      <c r="G403" s="440" t="s">
        <v>4109</v>
      </c>
      <c r="H403" s="407" t="s">
        <v>4311</v>
      </c>
      <c r="I403" s="407" t="s">
        <v>3792</v>
      </c>
      <c r="J403" s="387" t="s">
        <v>4644</v>
      </c>
      <c r="K403" s="387">
        <v>1</v>
      </c>
      <c r="L403" s="387">
        <v>0</v>
      </c>
      <c r="M403" s="387">
        <f t="shared" si="24"/>
        <v>1</v>
      </c>
      <c r="N403" s="442">
        <f t="shared" si="25"/>
        <v>0</v>
      </c>
      <c r="O403" s="387" t="s">
        <v>1358</v>
      </c>
      <c r="P403" s="459">
        <v>0</v>
      </c>
      <c r="Q403" s="459"/>
      <c r="R403" s="456">
        <v>0</v>
      </c>
      <c r="S403" s="456">
        <v>33.106000000000002</v>
      </c>
      <c r="T403" s="410"/>
      <c r="U403" s="411">
        <v>0</v>
      </c>
      <c r="V403" s="411">
        <v>0</v>
      </c>
      <c r="W403" s="411">
        <v>0</v>
      </c>
      <c r="X403" s="411"/>
      <c r="Y403" s="411"/>
      <c r="Z403" s="412">
        <f t="shared" si="26"/>
        <v>0</v>
      </c>
      <c r="AA403" s="456">
        <f t="shared" si="27"/>
        <v>0</v>
      </c>
      <c r="AB403" s="456">
        <v>0</v>
      </c>
      <c r="AC403" s="2"/>
      <c r="AD403" s="4"/>
      <c r="AE403" s="5"/>
      <c r="AF403" s="428"/>
    </row>
    <row r="404" spans="1:32" x14ac:dyDescent="0.25">
      <c r="A404" s="1" t="s">
        <v>2849</v>
      </c>
      <c r="B404" s="3" t="s">
        <v>1368</v>
      </c>
      <c r="C404" s="3" t="s">
        <v>1247</v>
      </c>
      <c r="D404" s="407" t="s">
        <v>3306</v>
      </c>
      <c r="E404" s="3" t="s">
        <v>2159</v>
      </c>
      <c r="F404" s="407" t="s">
        <v>4484</v>
      </c>
      <c r="G404" s="440" t="s">
        <v>4109</v>
      </c>
      <c r="H404" s="407" t="s">
        <v>4305</v>
      </c>
      <c r="I404" s="407" t="s">
        <v>3786</v>
      </c>
      <c r="J404" s="387" t="s">
        <v>4636</v>
      </c>
      <c r="K404" s="387">
        <v>1</v>
      </c>
      <c r="L404" s="387">
        <v>0</v>
      </c>
      <c r="M404" s="387">
        <f t="shared" si="24"/>
        <v>1</v>
      </c>
      <c r="N404" s="442">
        <f t="shared" si="25"/>
        <v>0</v>
      </c>
      <c r="O404" s="387" t="s">
        <v>1358</v>
      </c>
      <c r="P404" s="459">
        <v>0</v>
      </c>
      <c r="Q404" s="459"/>
      <c r="R404" s="456">
        <v>0</v>
      </c>
      <c r="S404" s="456">
        <v>32.154000000000003</v>
      </c>
      <c r="T404" s="410"/>
      <c r="U404" s="411">
        <v>0</v>
      </c>
      <c r="V404" s="411">
        <v>0</v>
      </c>
      <c r="W404" s="411">
        <v>0</v>
      </c>
      <c r="X404" s="411"/>
      <c r="Y404" s="411"/>
      <c r="Z404" s="412">
        <f t="shared" si="26"/>
        <v>0</v>
      </c>
      <c r="AA404" s="456">
        <f t="shared" si="27"/>
        <v>0</v>
      </c>
      <c r="AB404" s="456">
        <v>0</v>
      </c>
      <c r="AC404" s="2"/>
      <c r="AD404" s="4"/>
      <c r="AE404" s="5"/>
      <c r="AF404" s="428"/>
    </row>
    <row r="405" spans="1:32" x14ac:dyDescent="0.25">
      <c r="A405" s="1" t="s">
        <v>2850</v>
      </c>
      <c r="B405" s="3" t="s">
        <v>1368</v>
      </c>
      <c r="C405" s="3" t="s">
        <v>1247</v>
      </c>
      <c r="D405" s="407" t="s">
        <v>1377</v>
      </c>
      <c r="E405" s="3" t="s">
        <v>2160</v>
      </c>
      <c r="F405" s="407" t="s">
        <v>4494</v>
      </c>
      <c r="G405" s="440" t="s">
        <v>4109</v>
      </c>
      <c r="H405" s="407" t="s">
        <v>4315</v>
      </c>
      <c r="I405" s="407" t="s">
        <v>3749</v>
      </c>
      <c r="J405" s="387" t="s">
        <v>4648</v>
      </c>
      <c r="K405" s="387">
        <v>1</v>
      </c>
      <c r="L405" s="387">
        <v>0</v>
      </c>
      <c r="M405" s="387">
        <f t="shared" si="24"/>
        <v>1</v>
      </c>
      <c r="N405" s="442">
        <f t="shared" si="25"/>
        <v>0</v>
      </c>
      <c r="O405" s="387" t="s">
        <v>1358</v>
      </c>
      <c r="P405" s="459">
        <v>0</v>
      </c>
      <c r="Q405" s="459"/>
      <c r="R405" s="456">
        <v>0</v>
      </c>
      <c r="S405" s="456">
        <v>25.85</v>
      </c>
      <c r="T405" s="410"/>
      <c r="U405" s="411">
        <v>0</v>
      </c>
      <c r="V405" s="411">
        <v>0</v>
      </c>
      <c r="W405" s="411">
        <v>0</v>
      </c>
      <c r="X405" s="411"/>
      <c r="Y405" s="411"/>
      <c r="Z405" s="412">
        <f t="shared" si="26"/>
        <v>0</v>
      </c>
      <c r="AA405" s="456">
        <f t="shared" si="27"/>
        <v>0</v>
      </c>
      <c r="AB405" s="456">
        <v>0</v>
      </c>
      <c r="AC405" s="2"/>
      <c r="AD405" s="4"/>
      <c r="AE405" s="5"/>
      <c r="AF405" s="428"/>
    </row>
    <row r="406" spans="1:32" x14ac:dyDescent="0.25">
      <c r="A406" s="1" t="s">
        <v>2851</v>
      </c>
      <c r="B406" s="3" t="s">
        <v>1368</v>
      </c>
      <c r="C406" s="3" t="s">
        <v>1247</v>
      </c>
      <c r="D406" s="407" t="s">
        <v>1379</v>
      </c>
      <c r="E406" s="3" t="s">
        <v>2161</v>
      </c>
      <c r="F406" s="407" t="s">
        <v>4502</v>
      </c>
      <c r="G406" s="440" t="s">
        <v>4109</v>
      </c>
      <c r="H406" s="407" t="s">
        <v>4323</v>
      </c>
      <c r="I406" s="407" t="s">
        <v>3750</v>
      </c>
      <c r="J406" s="387" t="s">
        <v>4632</v>
      </c>
      <c r="K406" s="387">
        <v>1</v>
      </c>
      <c r="L406" s="387">
        <v>0</v>
      </c>
      <c r="M406" s="387">
        <f t="shared" si="24"/>
        <v>1</v>
      </c>
      <c r="N406" s="442">
        <f t="shared" si="25"/>
        <v>0</v>
      </c>
      <c r="O406" s="387" t="s">
        <v>1358</v>
      </c>
      <c r="P406" s="459">
        <v>0</v>
      </c>
      <c r="Q406" s="459"/>
      <c r="R406" s="456">
        <v>0</v>
      </c>
      <c r="S406" s="456">
        <v>25.85</v>
      </c>
      <c r="T406" s="410"/>
      <c r="U406" s="411">
        <v>0</v>
      </c>
      <c r="V406" s="411">
        <v>0</v>
      </c>
      <c r="W406" s="411">
        <v>0</v>
      </c>
      <c r="X406" s="411"/>
      <c r="Y406" s="411"/>
      <c r="Z406" s="412">
        <f t="shared" si="26"/>
        <v>0</v>
      </c>
      <c r="AA406" s="456">
        <f t="shared" si="27"/>
        <v>0</v>
      </c>
      <c r="AB406" s="456">
        <v>0</v>
      </c>
      <c r="AC406" s="2"/>
      <c r="AD406" s="4"/>
      <c r="AE406" s="5"/>
      <c r="AF406" s="428"/>
    </row>
    <row r="407" spans="1:32" x14ac:dyDescent="0.25">
      <c r="A407" s="1" t="s">
        <v>2852</v>
      </c>
      <c r="B407" s="3" t="s">
        <v>1368</v>
      </c>
      <c r="C407" s="3" t="s">
        <v>1247</v>
      </c>
      <c r="D407" s="407" t="s">
        <v>1381</v>
      </c>
      <c r="E407" s="3" t="s">
        <v>2162</v>
      </c>
      <c r="F407" s="407" t="s">
        <v>4497</v>
      </c>
      <c r="G407" s="440" t="s">
        <v>4109</v>
      </c>
      <c r="H407" s="407" t="s">
        <v>4318</v>
      </c>
      <c r="I407" s="407" t="s">
        <v>3751</v>
      </c>
      <c r="J407" s="387" t="s">
        <v>4786</v>
      </c>
      <c r="K407" s="387">
        <v>1</v>
      </c>
      <c r="L407" s="387">
        <v>0</v>
      </c>
      <c r="M407" s="387">
        <f t="shared" si="24"/>
        <v>1</v>
      </c>
      <c r="N407" s="442">
        <f t="shared" si="25"/>
        <v>0</v>
      </c>
      <c r="O407" s="387" t="s">
        <v>1358</v>
      </c>
      <c r="P407" s="459">
        <v>0</v>
      </c>
      <c r="Q407" s="459"/>
      <c r="R407" s="456">
        <v>0</v>
      </c>
      <c r="S407" s="456">
        <v>25.85</v>
      </c>
      <c r="T407" s="410"/>
      <c r="U407" s="411">
        <v>0</v>
      </c>
      <c r="V407" s="411">
        <v>0</v>
      </c>
      <c r="W407" s="411">
        <v>0</v>
      </c>
      <c r="X407" s="411"/>
      <c r="Y407" s="411"/>
      <c r="Z407" s="412">
        <f t="shared" si="26"/>
        <v>0</v>
      </c>
      <c r="AA407" s="456">
        <f t="shared" si="27"/>
        <v>0</v>
      </c>
      <c r="AB407" s="456">
        <v>0</v>
      </c>
      <c r="AC407" s="2"/>
      <c r="AD407" s="4"/>
      <c r="AE407" s="5"/>
      <c r="AF407" s="428"/>
    </row>
    <row r="408" spans="1:32" x14ac:dyDescent="0.25">
      <c r="A408" s="1" t="s">
        <v>2853</v>
      </c>
      <c r="B408" s="3" t="s">
        <v>1368</v>
      </c>
      <c r="C408" s="3" t="s">
        <v>1247</v>
      </c>
      <c r="D408" s="407" t="s">
        <v>1396</v>
      </c>
      <c r="E408" s="3" t="s">
        <v>2163</v>
      </c>
      <c r="F408" s="407" t="s">
        <v>4498</v>
      </c>
      <c r="G408" s="440" t="s">
        <v>4109</v>
      </c>
      <c r="H408" s="407" t="s">
        <v>4319</v>
      </c>
      <c r="I408" s="407" t="s">
        <v>3752</v>
      </c>
      <c r="J408" s="387" t="s">
        <v>4661</v>
      </c>
      <c r="K408" s="387">
        <v>1</v>
      </c>
      <c r="L408" s="387">
        <v>0</v>
      </c>
      <c r="M408" s="387">
        <f t="shared" si="24"/>
        <v>1</v>
      </c>
      <c r="N408" s="442">
        <f t="shared" si="25"/>
        <v>0</v>
      </c>
      <c r="O408" s="387" t="s">
        <v>1358</v>
      </c>
      <c r="P408" s="459">
        <v>0</v>
      </c>
      <c r="Q408" s="459"/>
      <c r="R408" s="456">
        <v>0</v>
      </c>
      <c r="S408" s="456">
        <v>25.85</v>
      </c>
      <c r="T408" s="410"/>
      <c r="U408" s="411">
        <v>0</v>
      </c>
      <c r="V408" s="411">
        <v>0</v>
      </c>
      <c r="W408" s="411">
        <v>0</v>
      </c>
      <c r="X408" s="411"/>
      <c r="Y408" s="411"/>
      <c r="Z408" s="412">
        <f t="shared" si="26"/>
        <v>0</v>
      </c>
      <c r="AA408" s="456">
        <f t="shared" si="27"/>
        <v>0</v>
      </c>
      <c r="AB408" s="456">
        <v>0</v>
      </c>
      <c r="AC408" s="2"/>
      <c r="AD408" s="4"/>
      <c r="AE408" s="5"/>
      <c r="AF408" s="428"/>
    </row>
    <row r="409" spans="1:32" x14ac:dyDescent="0.25">
      <c r="A409" s="1" t="s">
        <v>2854</v>
      </c>
      <c r="B409" s="3" t="s">
        <v>1368</v>
      </c>
      <c r="C409" s="3" t="s">
        <v>1247</v>
      </c>
      <c r="D409" s="407" t="s">
        <v>3547</v>
      </c>
      <c r="E409" s="3" t="s">
        <v>2164</v>
      </c>
      <c r="F409" s="407" t="s">
        <v>4501</v>
      </c>
      <c r="G409" s="440" t="s">
        <v>4109</v>
      </c>
      <c r="H409" s="407" t="s">
        <v>4322</v>
      </c>
      <c r="I409" s="407" t="s">
        <v>3797</v>
      </c>
      <c r="J409" s="387" t="s">
        <v>4655</v>
      </c>
      <c r="K409" s="387">
        <v>4</v>
      </c>
      <c r="L409" s="387">
        <v>0</v>
      </c>
      <c r="M409" s="387">
        <f t="shared" si="24"/>
        <v>4</v>
      </c>
      <c r="N409" s="442">
        <f t="shared" si="25"/>
        <v>0</v>
      </c>
      <c r="O409" s="387" t="s">
        <v>1358</v>
      </c>
      <c r="P409" s="459">
        <v>0</v>
      </c>
      <c r="Q409" s="459"/>
      <c r="R409" s="456">
        <v>0</v>
      </c>
      <c r="S409" s="456">
        <v>103.4</v>
      </c>
      <c r="T409" s="410"/>
      <c r="U409" s="411">
        <v>0</v>
      </c>
      <c r="V409" s="411">
        <v>0</v>
      </c>
      <c r="W409" s="411">
        <v>0</v>
      </c>
      <c r="X409" s="411"/>
      <c r="Y409" s="411"/>
      <c r="Z409" s="412">
        <f t="shared" si="26"/>
        <v>0</v>
      </c>
      <c r="AA409" s="456">
        <f t="shared" si="27"/>
        <v>0</v>
      </c>
      <c r="AB409" s="456">
        <v>0</v>
      </c>
      <c r="AC409" s="2"/>
      <c r="AD409" s="4"/>
      <c r="AE409" s="5"/>
      <c r="AF409" s="428"/>
    </row>
    <row r="410" spans="1:32" x14ac:dyDescent="0.25">
      <c r="A410" s="1" t="s">
        <v>2855</v>
      </c>
      <c r="B410" s="3" t="s">
        <v>1368</v>
      </c>
      <c r="C410" s="3" t="s">
        <v>1247</v>
      </c>
      <c r="D410" s="407" t="s">
        <v>1374</v>
      </c>
      <c r="E410" s="3" t="s">
        <v>2165</v>
      </c>
      <c r="F410" s="407" t="s">
        <v>4495</v>
      </c>
      <c r="G410" s="440" t="s">
        <v>4109</v>
      </c>
      <c r="H410" s="407" t="s">
        <v>4316</v>
      </c>
      <c r="I410" s="407" t="s">
        <v>3757</v>
      </c>
      <c r="J410" s="387" t="s">
        <v>4649</v>
      </c>
      <c r="K410" s="387">
        <v>1</v>
      </c>
      <c r="L410" s="387">
        <v>0</v>
      </c>
      <c r="M410" s="387">
        <f t="shared" si="24"/>
        <v>1</v>
      </c>
      <c r="N410" s="442">
        <f t="shared" si="25"/>
        <v>0</v>
      </c>
      <c r="O410" s="387" t="s">
        <v>1358</v>
      </c>
      <c r="P410" s="459">
        <v>0</v>
      </c>
      <c r="Q410" s="459"/>
      <c r="R410" s="456">
        <v>0</v>
      </c>
      <c r="S410" s="456">
        <v>25.097999999999999</v>
      </c>
      <c r="T410" s="410"/>
      <c r="U410" s="411">
        <v>1</v>
      </c>
      <c r="V410" s="411">
        <v>1</v>
      </c>
      <c r="W410" s="411">
        <v>1</v>
      </c>
      <c r="X410" s="411"/>
      <c r="Y410" s="411"/>
      <c r="Z410" s="412">
        <f t="shared" si="26"/>
        <v>0</v>
      </c>
      <c r="AA410" s="456">
        <f t="shared" si="27"/>
        <v>0</v>
      </c>
      <c r="AB410" s="456">
        <v>0</v>
      </c>
      <c r="AC410" s="2"/>
      <c r="AD410" s="4"/>
      <c r="AE410" s="5"/>
      <c r="AF410" s="428"/>
    </row>
    <row r="411" spans="1:32" x14ac:dyDescent="0.25">
      <c r="A411" s="1" t="s">
        <v>2856</v>
      </c>
      <c r="B411" s="3" t="s">
        <v>1368</v>
      </c>
      <c r="C411" s="3" t="s">
        <v>1247</v>
      </c>
      <c r="D411" s="407" t="s">
        <v>1400</v>
      </c>
      <c r="E411" s="3" t="s">
        <v>2166</v>
      </c>
      <c r="F411" s="407" t="s">
        <v>4477</v>
      </c>
      <c r="G411" s="440" t="s">
        <v>4109</v>
      </c>
      <c r="H411" s="407" t="s">
        <v>4298</v>
      </c>
      <c r="I411" s="407" t="s">
        <v>3779</v>
      </c>
      <c r="J411" s="387" t="s">
        <v>4656</v>
      </c>
      <c r="K411" s="387">
        <v>1</v>
      </c>
      <c r="L411" s="387">
        <v>0</v>
      </c>
      <c r="M411" s="387">
        <f t="shared" si="24"/>
        <v>1</v>
      </c>
      <c r="N411" s="442">
        <f t="shared" si="25"/>
        <v>0</v>
      </c>
      <c r="O411" s="387" t="s">
        <v>1358</v>
      </c>
      <c r="P411" s="459">
        <v>0</v>
      </c>
      <c r="Q411" s="459"/>
      <c r="R411" s="456">
        <v>0</v>
      </c>
      <c r="S411" s="456">
        <v>19.376000000000001</v>
      </c>
      <c r="T411" s="410"/>
      <c r="U411" s="411">
        <v>0</v>
      </c>
      <c r="V411" s="411">
        <v>0</v>
      </c>
      <c r="W411" s="411">
        <v>0</v>
      </c>
      <c r="X411" s="411"/>
      <c r="Y411" s="411"/>
      <c r="Z411" s="412">
        <f t="shared" si="26"/>
        <v>0</v>
      </c>
      <c r="AA411" s="456">
        <f t="shared" si="27"/>
        <v>0</v>
      </c>
      <c r="AB411" s="456">
        <v>0</v>
      </c>
      <c r="AC411" s="2"/>
      <c r="AD411" s="4"/>
      <c r="AE411" s="5"/>
      <c r="AF411" s="428"/>
    </row>
    <row r="412" spans="1:32" x14ac:dyDescent="0.25">
      <c r="A412" s="1" t="s">
        <v>2857</v>
      </c>
      <c r="B412" s="3" t="s">
        <v>1368</v>
      </c>
      <c r="C412" s="3" t="s">
        <v>1247</v>
      </c>
      <c r="D412" s="407" t="s">
        <v>1401</v>
      </c>
      <c r="E412" s="3" t="s">
        <v>2167</v>
      </c>
      <c r="F412" s="407" t="s">
        <v>4478</v>
      </c>
      <c r="G412" s="440" t="s">
        <v>4109</v>
      </c>
      <c r="H412" s="407" t="s">
        <v>4299</v>
      </c>
      <c r="I412" s="407" t="s">
        <v>3780</v>
      </c>
      <c r="J412" s="387" t="s">
        <v>4657</v>
      </c>
      <c r="K412" s="387">
        <v>1</v>
      </c>
      <c r="L412" s="387">
        <v>0</v>
      </c>
      <c r="M412" s="387">
        <f t="shared" si="24"/>
        <v>1</v>
      </c>
      <c r="N412" s="442">
        <f t="shared" si="25"/>
        <v>0</v>
      </c>
      <c r="O412" s="387" t="s">
        <v>1358</v>
      </c>
      <c r="P412" s="459">
        <v>0</v>
      </c>
      <c r="Q412" s="459"/>
      <c r="R412" s="456">
        <v>0</v>
      </c>
      <c r="S412" s="456">
        <v>18.753</v>
      </c>
      <c r="T412" s="410"/>
      <c r="U412" s="411">
        <v>0</v>
      </c>
      <c r="V412" s="411">
        <v>0</v>
      </c>
      <c r="W412" s="411">
        <v>0</v>
      </c>
      <c r="X412" s="411"/>
      <c r="Y412" s="411"/>
      <c r="Z412" s="412">
        <f t="shared" si="26"/>
        <v>0</v>
      </c>
      <c r="AA412" s="456">
        <f t="shared" si="27"/>
        <v>0</v>
      </c>
      <c r="AB412" s="456">
        <v>0</v>
      </c>
      <c r="AC412" s="2"/>
      <c r="AD412" s="4"/>
      <c r="AE412" s="5"/>
      <c r="AF412" s="428"/>
    </row>
    <row r="413" spans="1:32" x14ac:dyDescent="0.25">
      <c r="A413" s="1" t="s">
        <v>2858</v>
      </c>
      <c r="B413" s="3" t="s">
        <v>1368</v>
      </c>
      <c r="C413" s="3" t="s">
        <v>1247</v>
      </c>
      <c r="D413" s="407" t="s">
        <v>1432</v>
      </c>
      <c r="E413" s="3" t="s">
        <v>2168</v>
      </c>
      <c r="F413" s="407" t="s">
        <v>4483</v>
      </c>
      <c r="G413" s="440" t="s">
        <v>4109</v>
      </c>
      <c r="H413" s="407" t="s">
        <v>4304</v>
      </c>
      <c r="I413" s="407" t="s">
        <v>3785</v>
      </c>
      <c r="J413" s="387" t="s">
        <v>4635</v>
      </c>
      <c r="K413" s="387">
        <v>6</v>
      </c>
      <c r="L413" s="387">
        <v>0</v>
      </c>
      <c r="M413" s="387">
        <f t="shared" si="24"/>
        <v>6</v>
      </c>
      <c r="N413" s="442">
        <f t="shared" si="25"/>
        <v>0</v>
      </c>
      <c r="O413" s="387" t="s">
        <v>1358</v>
      </c>
      <c r="P413" s="459">
        <v>0</v>
      </c>
      <c r="Q413" s="459"/>
      <c r="R413" s="456">
        <v>0</v>
      </c>
      <c r="S413" s="456">
        <v>126.38399999999999</v>
      </c>
      <c r="T413" s="410"/>
      <c r="U413" s="411">
        <v>0</v>
      </c>
      <c r="V413" s="411">
        <v>0</v>
      </c>
      <c r="W413" s="411">
        <v>0</v>
      </c>
      <c r="X413" s="411"/>
      <c r="Y413" s="411"/>
      <c r="Z413" s="412">
        <f t="shared" si="26"/>
        <v>0</v>
      </c>
      <c r="AA413" s="456">
        <f t="shared" si="27"/>
        <v>0</v>
      </c>
      <c r="AB413" s="456">
        <v>0</v>
      </c>
      <c r="AC413" s="2"/>
      <c r="AD413" s="4"/>
      <c r="AE413" s="5"/>
      <c r="AF413" s="428"/>
    </row>
    <row r="414" spans="1:32" x14ac:dyDescent="0.25">
      <c r="A414" s="1" t="s">
        <v>2859</v>
      </c>
      <c r="B414" s="3" t="s">
        <v>1368</v>
      </c>
      <c r="C414" s="3" t="s">
        <v>1247</v>
      </c>
      <c r="D414" s="407" t="s">
        <v>1431</v>
      </c>
      <c r="E414" s="3" t="s">
        <v>2169</v>
      </c>
      <c r="F414" s="407" t="s">
        <v>4489</v>
      </c>
      <c r="G414" s="440" t="s">
        <v>4109</v>
      </c>
      <c r="H414" s="407" t="s">
        <v>4310</v>
      </c>
      <c r="I414" s="407" t="s">
        <v>3791</v>
      </c>
      <c r="J414" s="387" t="s">
        <v>4642</v>
      </c>
      <c r="K414" s="387">
        <v>2</v>
      </c>
      <c r="L414" s="387">
        <v>0</v>
      </c>
      <c r="M414" s="387">
        <f t="shared" si="24"/>
        <v>2</v>
      </c>
      <c r="N414" s="442">
        <f t="shared" si="25"/>
        <v>0</v>
      </c>
      <c r="O414" s="387" t="s">
        <v>1358</v>
      </c>
      <c r="P414" s="459">
        <v>0</v>
      </c>
      <c r="Q414" s="459"/>
      <c r="R414" s="456">
        <v>0</v>
      </c>
      <c r="S414" s="456">
        <v>42.128</v>
      </c>
      <c r="T414" s="410"/>
      <c r="U414" s="411">
        <v>0</v>
      </c>
      <c r="V414" s="411">
        <v>0</v>
      </c>
      <c r="W414" s="411">
        <v>0</v>
      </c>
      <c r="X414" s="411"/>
      <c r="Y414" s="411"/>
      <c r="Z414" s="412">
        <f t="shared" si="26"/>
        <v>0</v>
      </c>
      <c r="AA414" s="456">
        <f t="shared" si="27"/>
        <v>0</v>
      </c>
      <c r="AB414" s="456">
        <v>0</v>
      </c>
      <c r="AC414" s="2"/>
      <c r="AD414" s="4"/>
      <c r="AE414" s="5"/>
      <c r="AF414" s="428"/>
    </row>
    <row r="415" spans="1:32" x14ac:dyDescent="0.25">
      <c r="A415" s="1" t="s">
        <v>2860</v>
      </c>
      <c r="B415" s="3" t="s">
        <v>1368</v>
      </c>
      <c r="C415" s="3" t="s">
        <v>1247</v>
      </c>
      <c r="D415" s="407" t="s">
        <v>1377</v>
      </c>
      <c r="E415" s="3" t="s">
        <v>2170</v>
      </c>
      <c r="F415" s="407" t="s">
        <v>4494</v>
      </c>
      <c r="G415" s="440" t="s">
        <v>4109</v>
      </c>
      <c r="H415" s="407" t="s">
        <v>4315</v>
      </c>
      <c r="I415" s="407" t="s">
        <v>3749</v>
      </c>
      <c r="J415" s="387" t="s">
        <v>4648</v>
      </c>
      <c r="K415" s="387">
        <v>1</v>
      </c>
      <c r="L415" s="387">
        <v>0</v>
      </c>
      <c r="M415" s="387">
        <f t="shared" si="24"/>
        <v>1</v>
      </c>
      <c r="N415" s="442">
        <f t="shared" si="25"/>
        <v>0</v>
      </c>
      <c r="O415" s="387" t="s">
        <v>1358</v>
      </c>
      <c r="P415" s="459">
        <v>0</v>
      </c>
      <c r="Q415" s="459"/>
      <c r="R415" s="456">
        <v>0</v>
      </c>
      <c r="S415" s="456">
        <v>40.854999999999997</v>
      </c>
      <c r="T415" s="410"/>
      <c r="U415" s="411">
        <v>1</v>
      </c>
      <c r="V415" s="411">
        <v>1</v>
      </c>
      <c r="W415" s="411">
        <v>1</v>
      </c>
      <c r="X415" s="411"/>
      <c r="Y415" s="411"/>
      <c r="Z415" s="412">
        <f t="shared" si="26"/>
        <v>0</v>
      </c>
      <c r="AA415" s="456">
        <f t="shared" si="27"/>
        <v>0</v>
      </c>
      <c r="AB415" s="456">
        <v>0</v>
      </c>
      <c r="AC415" s="2"/>
      <c r="AD415" s="4"/>
      <c r="AE415" s="5"/>
      <c r="AF415" s="428"/>
    </row>
    <row r="416" spans="1:32" x14ac:dyDescent="0.25">
      <c r="A416" s="1" t="s">
        <v>2861</v>
      </c>
      <c r="B416" s="3" t="s">
        <v>1368</v>
      </c>
      <c r="C416" s="3" t="s">
        <v>1247</v>
      </c>
      <c r="D416" s="407" t="s">
        <v>1374</v>
      </c>
      <c r="E416" s="3" t="s">
        <v>2171</v>
      </c>
      <c r="F416" s="407" t="s">
        <v>4495</v>
      </c>
      <c r="G416" s="440" t="s">
        <v>4109</v>
      </c>
      <c r="H416" s="407" t="s">
        <v>4316</v>
      </c>
      <c r="I416" s="407" t="s">
        <v>3757</v>
      </c>
      <c r="J416" s="387" t="s">
        <v>4649</v>
      </c>
      <c r="K416" s="387">
        <v>1</v>
      </c>
      <c r="L416" s="387">
        <v>0</v>
      </c>
      <c r="M416" s="387">
        <f t="shared" si="24"/>
        <v>1</v>
      </c>
      <c r="N416" s="442">
        <f t="shared" si="25"/>
        <v>0</v>
      </c>
      <c r="O416" s="387" t="s">
        <v>1358</v>
      </c>
      <c r="P416" s="459">
        <v>0</v>
      </c>
      <c r="Q416" s="459"/>
      <c r="R416" s="456">
        <v>0</v>
      </c>
      <c r="S416" s="456">
        <v>40.854999999999997</v>
      </c>
      <c r="T416" s="410"/>
      <c r="U416" s="411">
        <v>1</v>
      </c>
      <c r="V416" s="411">
        <v>1</v>
      </c>
      <c r="W416" s="411">
        <v>1</v>
      </c>
      <c r="X416" s="411"/>
      <c r="Y416" s="411"/>
      <c r="Z416" s="412">
        <f t="shared" si="26"/>
        <v>0</v>
      </c>
      <c r="AA416" s="456">
        <f t="shared" si="27"/>
        <v>0</v>
      </c>
      <c r="AB416" s="456">
        <v>0</v>
      </c>
      <c r="AC416" s="2"/>
      <c r="AD416" s="4"/>
      <c r="AE416" s="5"/>
      <c r="AF416" s="428"/>
    </row>
    <row r="417" spans="1:32" x14ac:dyDescent="0.25">
      <c r="A417" s="1" t="s">
        <v>2862</v>
      </c>
      <c r="B417" s="3" t="s">
        <v>1368</v>
      </c>
      <c r="C417" s="3" t="s">
        <v>1247</v>
      </c>
      <c r="D417" s="407" t="s">
        <v>1374</v>
      </c>
      <c r="E417" s="3" t="s">
        <v>2172</v>
      </c>
      <c r="F417" s="407" t="s">
        <v>4495</v>
      </c>
      <c r="G417" s="440" t="s">
        <v>4109</v>
      </c>
      <c r="H417" s="407" t="s">
        <v>4316</v>
      </c>
      <c r="I417" s="407" t="s">
        <v>3757</v>
      </c>
      <c r="J417" s="387" t="s">
        <v>4649</v>
      </c>
      <c r="K417" s="387">
        <v>1</v>
      </c>
      <c r="L417" s="387">
        <v>0</v>
      </c>
      <c r="M417" s="387">
        <f t="shared" si="24"/>
        <v>1</v>
      </c>
      <c r="N417" s="442">
        <f t="shared" si="25"/>
        <v>0</v>
      </c>
      <c r="O417" s="387" t="s">
        <v>1358</v>
      </c>
      <c r="P417" s="459">
        <v>0</v>
      </c>
      <c r="Q417" s="459"/>
      <c r="R417" s="456">
        <v>0</v>
      </c>
      <c r="S417" s="456">
        <v>18.753</v>
      </c>
      <c r="T417" s="410"/>
      <c r="U417" s="411">
        <v>1</v>
      </c>
      <c r="V417" s="411">
        <v>1</v>
      </c>
      <c r="W417" s="411">
        <v>1</v>
      </c>
      <c r="X417" s="411"/>
      <c r="Y417" s="411"/>
      <c r="Z417" s="412">
        <f t="shared" si="26"/>
        <v>0</v>
      </c>
      <c r="AA417" s="456">
        <f t="shared" si="27"/>
        <v>0</v>
      </c>
      <c r="AB417" s="456">
        <v>0</v>
      </c>
      <c r="AC417" s="2"/>
      <c r="AD417" s="4"/>
      <c r="AE417" s="5"/>
      <c r="AF417" s="428"/>
    </row>
    <row r="418" spans="1:32" x14ac:dyDescent="0.25">
      <c r="A418" s="1" t="s">
        <v>2863</v>
      </c>
      <c r="B418" s="3" t="s">
        <v>1368</v>
      </c>
      <c r="C418" s="3" t="s">
        <v>1247</v>
      </c>
      <c r="D418" s="407" t="s">
        <v>1377</v>
      </c>
      <c r="E418" s="3" t="s">
        <v>2173</v>
      </c>
      <c r="F418" s="407" t="s">
        <v>4494</v>
      </c>
      <c r="G418" s="440" t="s">
        <v>4109</v>
      </c>
      <c r="H418" s="407" t="s">
        <v>4315</v>
      </c>
      <c r="I418" s="407" t="s">
        <v>3749</v>
      </c>
      <c r="J418" s="387" t="s">
        <v>4648</v>
      </c>
      <c r="K418" s="387">
        <v>1</v>
      </c>
      <c r="L418" s="387">
        <v>0</v>
      </c>
      <c r="M418" s="387">
        <f t="shared" si="24"/>
        <v>1</v>
      </c>
      <c r="N418" s="442">
        <f t="shared" si="25"/>
        <v>0</v>
      </c>
      <c r="O418" s="387" t="s">
        <v>1358</v>
      </c>
      <c r="P418" s="459">
        <v>0</v>
      </c>
      <c r="Q418" s="459"/>
      <c r="R418" s="456">
        <v>0</v>
      </c>
      <c r="S418" s="456">
        <v>18.753</v>
      </c>
      <c r="T418" s="410"/>
      <c r="U418" s="411">
        <v>1</v>
      </c>
      <c r="V418" s="411">
        <v>1</v>
      </c>
      <c r="W418" s="411">
        <v>1</v>
      </c>
      <c r="X418" s="411"/>
      <c r="Y418" s="411"/>
      <c r="Z418" s="412">
        <f t="shared" si="26"/>
        <v>0</v>
      </c>
      <c r="AA418" s="456">
        <f t="shared" si="27"/>
        <v>0</v>
      </c>
      <c r="AB418" s="456">
        <v>0</v>
      </c>
      <c r="AC418" s="2"/>
      <c r="AD418" s="4"/>
      <c r="AE418" s="5"/>
      <c r="AF418" s="428"/>
    </row>
    <row r="419" spans="1:32" x14ac:dyDescent="0.25">
      <c r="A419" s="1" t="s">
        <v>2864</v>
      </c>
      <c r="B419" s="3" t="s">
        <v>1368</v>
      </c>
      <c r="C419" s="3" t="s">
        <v>1247</v>
      </c>
      <c r="D419" s="407" t="s">
        <v>1379</v>
      </c>
      <c r="E419" s="3" t="s">
        <v>2174</v>
      </c>
      <c r="F419" s="407" t="s">
        <v>4502</v>
      </c>
      <c r="G419" s="440" t="s">
        <v>4109</v>
      </c>
      <c r="H419" s="407" t="s">
        <v>4323</v>
      </c>
      <c r="I419" s="407" t="s">
        <v>3750</v>
      </c>
      <c r="J419" s="387" t="s">
        <v>4632</v>
      </c>
      <c r="K419" s="387">
        <v>2</v>
      </c>
      <c r="L419" s="387">
        <v>0</v>
      </c>
      <c r="M419" s="387">
        <f t="shared" si="24"/>
        <v>2</v>
      </c>
      <c r="N419" s="442">
        <f t="shared" si="25"/>
        <v>0</v>
      </c>
      <c r="O419" s="387" t="s">
        <v>1358</v>
      </c>
      <c r="P419" s="459">
        <v>0</v>
      </c>
      <c r="Q419" s="459"/>
      <c r="R419" s="456">
        <v>0</v>
      </c>
      <c r="S419" s="456">
        <v>37.506</v>
      </c>
      <c r="T419" s="410"/>
      <c r="U419" s="411">
        <v>1</v>
      </c>
      <c r="V419" s="411">
        <v>1</v>
      </c>
      <c r="W419" s="411">
        <v>1</v>
      </c>
      <c r="X419" s="411"/>
      <c r="Y419" s="411"/>
      <c r="Z419" s="412">
        <f t="shared" si="26"/>
        <v>0</v>
      </c>
      <c r="AA419" s="456">
        <f t="shared" si="27"/>
        <v>0</v>
      </c>
      <c r="AB419" s="456">
        <v>0</v>
      </c>
      <c r="AC419" s="2"/>
      <c r="AD419" s="4"/>
      <c r="AE419" s="5"/>
      <c r="AF419" s="428"/>
    </row>
    <row r="420" spans="1:32" x14ac:dyDescent="0.25">
      <c r="A420" s="1" t="s">
        <v>2865</v>
      </c>
      <c r="B420" s="3" t="s">
        <v>1368</v>
      </c>
      <c r="C420" s="3" t="s">
        <v>1247</v>
      </c>
      <c r="D420" s="407" t="s">
        <v>1381</v>
      </c>
      <c r="E420" s="3" t="s">
        <v>2175</v>
      </c>
      <c r="F420" s="407" t="s">
        <v>4497</v>
      </c>
      <c r="G420" s="440" t="s">
        <v>4109</v>
      </c>
      <c r="H420" s="407" t="s">
        <v>4318</v>
      </c>
      <c r="I420" s="407" t="s">
        <v>3751</v>
      </c>
      <c r="J420" s="387" t="s">
        <v>4631</v>
      </c>
      <c r="K420" s="387">
        <v>1</v>
      </c>
      <c r="L420" s="387">
        <v>0</v>
      </c>
      <c r="M420" s="387">
        <f t="shared" si="24"/>
        <v>1</v>
      </c>
      <c r="N420" s="442">
        <f t="shared" si="25"/>
        <v>0</v>
      </c>
      <c r="O420" s="387" t="s">
        <v>1358</v>
      </c>
      <c r="P420" s="459">
        <v>0</v>
      </c>
      <c r="Q420" s="459"/>
      <c r="R420" s="456">
        <v>0</v>
      </c>
      <c r="S420" s="456">
        <v>18.753</v>
      </c>
      <c r="T420" s="410"/>
      <c r="U420" s="411">
        <v>1</v>
      </c>
      <c r="V420" s="411">
        <v>1</v>
      </c>
      <c r="W420" s="411">
        <v>1</v>
      </c>
      <c r="X420" s="411"/>
      <c r="Y420" s="411"/>
      <c r="Z420" s="412">
        <f t="shared" si="26"/>
        <v>0</v>
      </c>
      <c r="AA420" s="456">
        <f t="shared" si="27"/>
        <v>0</v>
      </c>
      <c r="AB420" s="456">
        <v>0</v>
      </c>
      <c r="AC420" s="2"/>
      <c r="AD420" s="4"/>
      <c r="AE420" s="5"/>
      <c r="AF420" s="428"/>
    </row>
    <row r="421" spans="1:32" x14ac:dyDescent="0.25">
      <c r="A421" s="1" t="s">
        <v>2866</v>
      </c>
      <c r="B421" s="3" t="s">
        <v>1368</v>
      </c>
      <c r="C421" s="3" t="s">
        <v>1247</v>
      </c>
      <c r="D421" s="407" t="s">
        <v>1396</v>
      </c>
      <c r="E421" s="3" t="s">
        <v>2176</v>
      </c>
      <c r="F421" s="407" t="s">
        <v>4498</v>
      </c>
      <c r="G421" s="440" t="s">
        <v>4109</v>
      </c>
      <c r="H421" s="407" t="s">
        <v>4319</v>
      </c>
      <c r="I421" s="407" t="s">
        <v>3752</v>
      </c>
      <c r="J421" s="387" t="s">
        <v>4652</v>
      </c>
      <c r="K421" s="387">
        <v>1</v>
      </c>
      <c r="L421" s="387">
        <v>0</v>
      </c>
      <c r="M421" s="387">
        <f t="shared" si="24"/>
        <v>1</v>
      </c>
      <c r="N421" s="442">
        <f t="shared" si="25"/>
        <v>0</v>
      </c>
      <c r="O421" s="387" t="s">
        <v>1358</v>
      </c>
      <c r="P421" s="459">
        <v>0</v>
      </c>
      <c r="Q421" s="459"/>
      <c r="R421" s="456">
        <v>0</v>
      </c>
      <c r="S421" s="456">
        <v>18.753</v>
      </c>
      <c r="T421" s="410"/>
      <c r="U421" s="411">
        <v>1</v>
      </c>
      <c r="V421" s="411">
        <v>1</v>
      </c>
      <c r="W421" s="411">
        <v>1</v>
      </c>
      <c r="X421" s="411"/>
      <c r="Y421" s="411"/>
      <c r="Z421" s="412">
        <f t="shared" si="26"/>
        <v>0</v>
      </c>
      <c r="AA421" s="456">
        <f t="shared" si="27"/>
        <v>0</v>
      </c>
      <c r="AB421" s="456">
        <v>0</v>
      </c>
      <c r="AC421" s="2"/>
      <c r="AD421" s="4"/>
      <c r="AE421" s="5"/>
      <c r="AF421" s="428"/>
    </row>
    <row r="422" spans="1:32" x14ac:dyDescent="0.25">
      <c r="A422" s="1" t="s">
        <v>2867</v>
      </c>
      <c r="B422" s="3" t="s">
        <v>1368</v>
      </c>
      <c r="C422" s="3" t="s">
        <v>1247</v>
      </c>
      <c r="D422" s="407" t="s">
        <v>1399</v>
      </c>
      <c r="E422" s="3" t="s">
        <v>2177</v>
      </c>
      <c r="F422" s="407" t="s">
        <v>4499</v>
      </c>
      <c r="G422" s="440" t="s">
        <v>4109</v>
      </c>
      <c r="H422" s="407" t="s">
        <v>4320</v>
      </c>
      <c r="I422" s="407" t="s">
        <v>3758</v>
      </c>
      <c r="J422" s="387" t="s">
        <v>4653</v>
      </c>
      <c r="K422" s="387">
        <v>1</v>
      </c>
      <c r="L422" s="387">
        <v>0</v>
      </c>
      <c r="M422" s="387">
        <f t="shared" si="24"/>
        <v>1</v>
      </c>
      <c r="N422" s="442">
        <f t="shared" si="25"/>
        <v>0</v>
      </c>
      <c r="O422" s="387" t="s">
        <v>1358</v>
      </c>
      <c r="P422" s="459">
        <v>0</v>
      </c>
      <c r="Q422" s="459"/>
      <c r="R422" s="456">
        <v>0</v>
      </c>
      <c r="S422" s="456">
        <v>18.753</v>
      </c>
      <c r="T422" s="410"/>
      <c r="U422" s="411">
        <v>1</v>
      </c>
      <c r="V422" s="411">
        <v>1</v>
      </c>
      <c r="W422" s="411">
        <v>1</v>
      </c>
      <c r="X422" s="411"/>
      <c r="Y422" s="411"/>
      <c r="Z422" s="412">
        <f t="shared" si="26"/>
        <v>0</v>
      </c>
      <c r="AA422" s="456">
        <f t="shared" si="27"/>
        <v>0</v>
      </c>
      <c r="AB422" s="456">
        <v>0</v>
      </c>
      <c r="AC422" s="2"/>
      <c r="AD422" s="4"/>
      <c r="AE422" s="5"/>
      <c r="AF422" s="428"/>
    </row>
    <row r="423" spans="1:32" x14ac:dyDescent="0.25">
      <c r="A423" s="1" t="s">
        <v>2868</v>
      </c>
      <c r="B423" s="3" t="s">
        <v>1368</v>
      </c>
      <c r="C423" s="3" t="s">
        <v>1247</v>
      </c>
      <c r="D423" s="407" t="s">
        <v>1401</v>
      </c>
      <c r="E423" s="3" t="s">
        <v>2178</v>
      </c>
      <c r="F423" s="407" t="s">
        <v>4478</v>
      </c>
      <c r="G423" s="440" t="s">
        <v>4109</v>
      </c>
      <c r="H423" s="407" t="s">
        <v>4299</v>
      </c>
      <c r="I423" s="407" t="s">
        <v>3780</v>
      </c>
      <c r="J423" s="387" t="s">
        <v>4657</v>
      </c>
      <c r="K423" s="387">
        <v>1</v>
      </c>
      <c r="L423" s="387">
        <v>0</v>
      </c>
      <c r="M423" s="387">
        <f t="shared" si="24"/>
        <v>1</v>
      </c>
      <c r="N423" s="442">
        <f t="shared" si="25"/>
        <v>0</v>
      </c>
      <c r="O423" s="387" t="s">
        <v>1358</v>
      </c>
      <c r="P423" s="459">
        <v>0</v>
      </c>
      <c r="Q423" s="459"/>
      <c r="R423" s="456">
        <v>0</v>
      </c>
      <c r="S423" s="456">
        <v>18.753</v>
      </c>
      <c r="T423" s="410"/>
      <c r="U423" s="411">
        <v>0</v>
      </c>
      <c r="V423" s="411">
        <v>0</v>
      </c>
      <c r="W423" s="411">
        <v>0</v>
      </c>
      <c r="X423" s="411"/>
      <c r="Y423" s="411"/>
      <c r="Z423" s="412">
        <f t="shared" si="26"/>
        <v>0</v>
      </c>
      <c r="AA423" s="456">
        <f t="shared" si="27"/>
        <v>0</v>
      </c>
      <c r="AB423" s="456">
        <v>0</v>
      </c>
      <c r="AC423" s="2"/>
      <c r="AD423" s="4"/>
      <c r="AE423" s="5"/>
      <c r="AF423" s="428"/>
    </row>
    <row r="424" spans="1:32" x14ac:dyDescent="0.25">
      <c r="A424" s="1" t="s">
        <v>2869</v>
      </c>
      <c r="B424" s="3" t="s">
        <v>1368</v>
      </c>
      <c r="C424" s="3" t="s">
        <v>1247</v>
      </c>
      <c r="D424" s="407" t="s">
        <v>1374</v>
      </c>
      <c r="E424" s="3" t="s">
        <v>2179</v>
      </c>
      <c r="F424" s="407" t="s">
        <v>4495</v>
      </c>
      <c r="G424" s="440" t="s">
        <v>4109</v>
      </c>
      <c r="H424" s="407" t="s">
        <v>4316</v>
      </c>
      <c r="I424" s="407" t="s">
        <v>3757</v>
      </c>
      <c r="J424" s="387" t="s">
        <v>4649</v>
      </c>
      <c r="K424" s="387">
        <v>1</v>
      </c>
      <c r="L424" s="387">
        <v>0</v>
      </c>
      <c r="M424" s="387">
        <f t="shared" si="24"/>
        <v>1</v>
      </c>
      <c r="N424" s="442">
        <f t="shared" si="25"/>
        <v>0</v>
      </c>
      <c r="O424" s="387" t="s">
        <v>1358</v>
      </c>
      <c r="P424" s="459">
        <v>0</v>
      </c>
      <c r="Q424" s="459"/>
      <c r="R424" s="456">
        <v>0</v>
      </c>
      <c r="S424" s="456">
        <v>44.719000000000001</v>
      </c>
      <c r="T424" s="410"/>
      <c r="U424" s="411">
        <v>0</v>
      </c>
      <c r="V424" s="411">
        <v>0</v>
      </c>
      <c r="W424" s="411">
        <v>0</v>
      </c>
      <c r="X424" s="411"/>
      <c r="Y424" s="411"/>
      <c r="Z424" s="412">
        <f t="shared" si="26"/>
        <v>0</v>
      </c>
      <c r="AA424" s="456">
        <f t="shared" si="27"/>
        <v>0</v>
      </c>
      <c r="AB424" s="456">
        <v>0</v>
      </c>
      <c r="AC424" s="2"/>
      <c r="AD424" s="4"/>
      <c r="AE424" s="5"/>
      <c r="AF424" s="428"/>
    </row>
    <row r="425" spans="1:32" x14ac:dyDescent="0.25">
      <c r="A425" s="1" t="s">
        <v>2870</v>
      </c>
      <c r="B425" s="3" t="s">
        <v>1368</v>
      </c>
      <c r="C425" s="3" t="s">
        <v>1247</v>
      </c>
      <c r="D425" s="407" t="s">
        <v>1377</v>
      </c>
      <c r="E425" s="3" t="s">
        <v>2180</v>
      </c>
      <c r="F425" s="407" t="s">
        <v>4494</v>
      </c>
      <c r="G425" s="440" t="s">
        <v>4109</v>
      </c>
      <c r="H425" s="407" t="s">
        <v>4315</v>
      </c>
      <c r="I425" s="407" t="s">
        <v>3749</v>
      </c>
      <c r="J425" s="387" t="s">
        <v>4648</v>
      </c>
      <c r="K425" s="387">
        <v>1</v>
      </c>
      <c r="L425" s="387">
        <v>0</v>
      </c>
      <c r="M425" s="387">
        <f t="shared" si="24"/>
        <v>1</v>
      </c>
      <c r="N425" s="442">
        <f t="shared" si="25"/>
        <v>0</v>
      </c>
      <c r="O425" s="387" t="s">
        <v>1358</v>
      </c>
      <c r="P425" s="459">
        <v>0</v>
      </c>
      <c r="Q425" s="459"/>
      <c r="R425" s="456">
        <v>0</v>
      </c>
      <c r="S425" s="456">
        <v>44.719000000000001</v>
      </c>
      <c r="T425" s="410"/>
      <c r="U425" s="411">
        <v>1</v>
      </c>
      <c r="V425" s="411">
        <v>1</v>
      </c>
      <c r="W425" s="411">
        <v>1</v>
      </c>
      <c r="X425" s="411"/>
      <c r="Y425" s="411"/>
      <c r="Z425" s="412">
        <f t="shared" si="26"/>
        <v>0</v>
      </c>
      <c r="AA425" s="456">
        <f t="shared" si="27"/>
        <v>0</v>
      </c>
      <c r="AB425" s="456">
        <v>0</v>
      </c>
      <c r="AC425" s="2"/>
      <c r="AD425" s="4"/>
      <c r="AE425" s="5"/>
      <c r="AF425" s="428"/>
    </row>
    <row r="426" spans="1:32" x14ac:dyDescent="0.25">
      <c r="A426" s="1" t="s">
        <v>2871</v>
      </c>
      <c r="B426" s="3" t="s">
        <v>1368</v>
      </c>
      <c r="C426" s="3" t="s">
        <v>1247</v>
      </c>
      <c r="D426" s="407" t="s">
        <v>1379</v>
      </c>
      <c r="E426" s="3" t="s">
        <v>2181</v>
      </c>
      <c r="F426" s="407" t="s">
        <v>4502</v>
      </c>
      <c r="G426" s="440" t="s">
        <v>4109</v>
      </c>
      <c r="H426" s="407" t="s">
        <v>4323</v>
      </c>
      <c r="I426" s="407" t="s">
        <v>3750</v>
      </c>
      <c r="J426" s="387" t="s">
        <v>4632</v>
      </c>
      <c r="K426" s="387">
        <v>2</v>
      </c>
      <c r="L426" s="387">
        <v>0</v>
      </c>
      <c r="M426" s="387">
        <f t="shared" si="24"/>
        <v>2</v>
      </c>
      <c r="N426" s="442">
        <f t="shared" si="25"/>
        <v>0</v>
      </c>
      <c r="O426" s="387" t="s">
        <v>1358</v>
      </c>
      <c r="P426" s="459">
        <v>0</v>
      </c>
      <c r="Q426" s="459"/>
      <c r="R426" s="456">
        <v>0</v>
      </c>
      <c r="S426" s="456">
        <v>89.438000000000002</v>
      </c>
      <c r="T426" s="410"/>
      <c r="U426" s="411">
        <v>1</v>
      </c>
      <c r="V426" s="411">
        <v>1</v>
      </c>
      <c r="W426" s="411">
        <v>1</v>
      </c>
      <c r="X426" s="411"/>
      <c r="Y426" s="411"/>
      <c r="Z426" s="412">
        <f t="shared" si="26"/>
        <v>0</v>
      </c>
      <c r="AA426" s="456">
        <f t="shared" si="27"/>
        <v>0</v>
      </c>
      <c r="AB426" s="456">
        <v>0</v>
      </c>
      <c r="AC426" s="2"/>
      <c r="AD426" s="4"/>
      <c r="AE426" s="5"/>
      <c r="AF426" s="428"/>
    </row>
    <row r="427" spans="1:32" x14ac:dyDescent="0.25">
      <c r="A427" s="1" t="s">
        <v>2872</v>
      </c>
      <c r="B427" s="3" t="s">
        <v>1368</v>
      </c>
      <c r="C427" s="3" t="s">
        <v>1247</v>
      </c>
      <c r="D427" s="407" t="s">
        <v>1381</v>
      </c>
      <c r="E427" s="3" t="s">
        <v>2182</v>
      </c>
      <c r="F427" s="407" t="s">
        <v>4497</v>
      </c>
      <c r="G427" s="440" t="s">
        <v>4109</v>
      </c>
      <c r="H427" s="407" t="s">
        <v>4318</v>
      </c>
      <c r="I427" s="407" t="s">
        <v>3751</v>
      </c>
      <c r="J427" s="387" t="s">
        <v>4631</v>
      </c>
      <c r="K427" s="387">
        <v>2</v>
      </c>
      <c r="L427" s="387">
        <v>0</v>
      </c>
      <c r="M427" s="387">
        <f t="shared" si="24"/>
        <v>2</v>
      </c>
      <c r="N427" s="442">
        <f t="shared" si="25"/>
        <v>0</v>
      </c>
      <c r="O427" s="387" t="s">
        <v>1358</v>
      </c>
      <c r="P427" s="459">
        <v>0</v>
      </c>
      <c r="Q427" s="459"/>
      <c r="R427" s="456">
        <v>0</v>
      </c>
      <c r="S427" s="456">
        <v>89.438000000000002</v>
      </c>
      <c r="T427" s="410"/>
      <c r="U427" s="411">
        <v>1</v>
      </c>
      <c r="V427" s="411">
        <v>1</v>
      </c>
      <c r="W427" s="411">
        <v>1</v>
      </c>
      <c r="X427" s="411"/>
      <c r="Y427" s="411"/>
      <c r="Z427" s="412">
        <f t="shared" si="26"/>
        <v>0</v>
      </c>
      <c r="AA427" s="456">
        <f t="shared" si="27"/>
        <v>0</v>
      </c>
      <c r="AB427" s="456">
        <v>0</v>
      </c>
      <c r="AC427" s="2"/>
      <c r="AD427" s="4"/>
      <c r="AE427" s="5"/>
      <c r="AF427" s="428"/>
    </row>
    <row r="428" spans="1:32" x14ac:dyDescent="0.25">
      <c r="A428" s="1" t="s">
        <v>2873</v>
      </c>
      <c r="B428" s="3" t="s">
        <v>1368</v>
      </c>
      <c r="C428" s="3" t="s">
        <v>1247</v>
      </c>
      <c r="D428" s="407" t="s">
        <v>1396</v>
      </c>
      <c r="E428" s="3" t="s">
        <v>2183</v>
      </c>
      <c r="F428" s="407" t="s">
        <v>4498</v>
      </c>
      <c r="G428" s="440" t="s">
        <v>4109</v>
      </c>
      <c r="H428" s="407" t="s">
        <v>4319</v>
      </c>
      <c r="I428" s="407" t="s">
        <v>3752</v>
      </c>
      <c r="J428" s="387" t="s">
        <v>4652</v>
      </c>
      <c r="K428" s="387">
        <v>1</v>
      </c>
      <c r="L428" s="387">
        <v>0</v>
      </c>
      <c r="M428" s="387">
        <f t="shared" si="24"/>
        <v>1</v>
      </c>
      <c r="N428" s="442">
        <f t="shared" si="25"/>
        <v>0</v>
      </c>
      <c r="O428" s="387" t="s">
        <v>1358</v>
      </c>
      <c r="P428" s="459">
        <v>0</v>
      </c>
      <c r="Q428" s="459"/>
      <c r="R428" s="456">
        <v>0</v>
      </c>
      <c r="S428" s="456">
        <v>44.719000000000001</v>
      </c>
      <c r="T428" s="410"/>
      <c r="U428" s="411">
        <v>1</v>
      </c>
      <c r="V428" s="411">
        <v>1</v>
      </c>
      <c r="W428" s="411">
        <v>1</v>
      </c>
      <c r="X428" s="411"/>
      <c r="Y428" s="411"/>
      <c r="Z428" s="412">
        <f t="shared" si="26"/>
        <v>0</v>
      </c>
      <c r="AA428" s="456">
        <f t="shared" si="27"/>
        <v>0</v>
      </c>
      <c r="AB428" s="456">
        <v>0</v>
      </c>
      <c r="AC428" s="2"/>
      <c r="AD428" s="4"/>
      <c r="AE428" s="5"/>
      <c r="AF428" s="428"/>
    </row>
    <row r="429" spans="1:32" x14ac:dyDescent="0.25">
      <c r="A429" s="1" t="s">
        <v>2874</v>
      </c>
      <c r="B429" s="3" t="s">
        <v>1368</v>
      </c>
      <c r="C429" s="3" t="s">
        <v>1247</v>
      </c>
      <c r="D429" s="407" t="s">
        <v>1399</v>
      </c>
      <c r="E429" s="3" t="s">
        <v>2184</v>
      </c>
      <c r="F429" s="407" t="s">
        <v>4499</v>
      </c>
      <c r="G429" s="440" t="s">
        <v>4109</v>
      </c>
      <c r="H429" s="407" t="s">
        <v>4320</v>
      </c>
      <c r="I429" s="407" t="s">
        <v>3758</v>
      </c>
      <c r="J429" s="387" t="s">
        <v>4653</v>
      </c>
      <c r="K429" s="387">
        <v>1</v>
      </c>
      <c r="L429" s="387">
        <v>0</v>
      </c>
      <c r="M429" s="387">
        <f t="shared" si="24"/>
        <v>1</v>
      </c>
      <c r="N429" s="442">
        <f t="shared" si="25"/>
        <v>0</v>
      </c>
      <c r="O429" s="387" t="s">
        <v>1358</v>
      </c>
      <c r="P429" s="459">
        <v>0</v>
      </c>
      <c r="Q429" s="459"/>
      <c r="R429" s="456">
        <v>0</v>
      </c>
      <c r="S429" s="456">
        <v>44.719000000000001</v>
      </c>
      <c r="T429" s="410"/>
      <c r="U429" s="411">
        <v>1</v>
      </c>
      <c r="V429" s="411">
        <v>1</v>
      </c>
      <c r="W429" s="411">
        <v>1</v>
      </c>
      <c r="X429" s="411"/>
      <c r="Y429" s="411"/>
      <c r="Z429" s="412">
        <f t="shared" si="26"/>
        <v>0</v>
      </c>
      <c r="AA429" s="456">
        <f t="shared" si="27"/>
        <v>0</v>
      </c>
      <c r="AB429" s="456">
        <v>0</v>
      </c>
      <c r="AC429" s="2"/>
      <c r="AD429" s="4"/>
      <c r="AE429" s="5"/>
      <c r="AF429" s="428"/>
    </row>
    <row r="430" spans="1:32" x14ac:dyDescent="0.25">
      <c r="A430" s="1" t="s">
        <v>2875</v>
      </c>
      <c r="B430" s="3" t="s">
        <v>1368</v>
      </c>
      <c r="C430" s="3" t="s">
        <v>1247</v>
      </c>
      <c r="D430" s="407" t="s">
        <v>1400</v>
      </c>
      <c r="E430" s="3" t="s">
        <v>2185</v>
      </c>
      <c r="F430" s="407" t="s">
        <v>4477</v>
      </c>
      <c r="G430" s="440" t="s">
        <v>4109</v>
      </c>
      <c r="H430" s="407" t="s">
        <v>4298</v>
      </c>
      <c r="I430" s="407" t="s">
        <v>3779</v>
      </c>
      <c r="J430" s="387" t="s">
        <v>4656</v>
      </c>
      <c r="K430" s="387">
        <v>1</v>
      </c>
      <c r="L430" s="387">
        <v>0</v>
      </c>
      <c r="M430" s="387">
        <f t="shared" si="24"/>
        <v>1</v>
      </c>
      <c r="N430" s="442">
        <f t="shared" si="25"/>
        <v>0</v>
      </c>
      <c r="O430" s="387" t="s">
        <v>1358</v>
      </c>
      <c r="P430" s="459">
        <v>0</v>
      </c>
      <c r="Q430" s="459"/>
      <c r="R430" s="456">
        <v>0</v>
      </c>
      <c r="S430" s="456">
        <v>44.719000000000001</v>
      </c>
      <c r="T430" s="410"/>
      <c r="U430" s="411">
        <v>1</v>
      </c>
      <c r="V430" s="411">
        <v>1</v>
      </c>
      <c r="W430" s="411">
        <v>1</v>
      </c>
      <c r="X430" s="411"/>
      <c r="Y430" s="411"/>
      <c r="Z430" s="412">
        <f t="shared" si="26"/>
        <v>0</v>
      </c>
      <c r="AA430" s="456">
        <f t="shared" si="27"/>
        <v>0</v>
      </c>
      <c r="AB430" s="456">
        <v>0</v>
      </c>
      <c r="AC430" s="2"/>
      <c r="AD430" s="4"/>
      <c r="AE430" s="5"/>
      <c r="AF430" s="428"/>
    </row>
    <row r="431" spans="1:32" x14ac:dyDescent="0.25">
      <c r="A431" s="1" t="s">
        <v>2876</v>
      </c>
      <c r="B431" s="3" t="s">
        <v>1368</v>
      </c>
      <c r="C431" s="3" t="s">
        <v>1247</v>
      </c>
      <c r="D431" s="407" t="s">
        <v>1401</v>
      </c>
      <c r="E431" s="3" t="s">
        <v>2186</v>
      </c>
      <c r="F431" s="407" t="s">
        <v>4478</v>
      </c>
      <c r="G431" s="440" t="s">
        <v>4109</v>
      </c>
      <c r="H431" s="407" t="s">
        <v>4299</v>
      </c>
      <c r="I431" s="407" t="s">
        <v>3780</v>
      </c>
      <c r="J431" s="387" t="s">
        <v>4657</v>
      </c>
      <c r="K431" s="387">
        <v>1</v>
      </c>
      <c r="L431" s="387">
        <v>0</v>
      </c>
      <c r="M431" s="387">
        <f t="shared" si="24"/>
        <v>1</v>
      </c>
      <c r="N431" s="442">
        <f t="shared" si="25"/>
        <v>0</v>
      </c>
      <c r="O431" s="387" t="s">
        <v>1358</v>
      </c>
      <c r="P431" s="459">
        <v>0</v>
      </c>
      <c r="Q431" s="459"/>
      <c r="R431" s="456">
        <v>0</v>
      </c>
      <c r="S431" s="456">
        <v>44.719000000000001</v>
      </c>
      <c r="T431" s="410"/>
      <c r="U431" s="411">
        <v>0</v>
      </c>
      <c r="V431" s="411">
        <v>0</v>
      </c>
      <c r="W431" s="411">
        <v>0</v>
      </c>
      <c r="X431" s="411"/>
      <c r="Y431" s="411"/>
      <c r="Z431" s="412">
        <f t="shared" si="26"/>
        <v>0</v>
      </c>
      <c r="AA431" s="456">
        <f t="shared" si="27"/>
        <v>0</v>
      </c>
      <c r="AB431" s="456">
        <v>0</v>
      </c>
      <c r="AC431" s="2"/>
      <c r="AD431" s="4"/>
      <c r="AE431" s="5"/>
      <c r="AF431" s="428"/>
    </row>
    <row r="432" spans="1:32" x14ac:dyDescent="0.25">
      <c r="A432" s="1" t="s">
        <v>2877</v>
      </c>
      <c r="B432" s="3" t="s">
        <v>1368</v>
      </c>
      <c r="C432" s="3" t="s">
        <v>1247</v>
      </c>
      <c r="D432" s="407" t="s">
        <v>1402</v>
      </c>
      <c r="E432" s="3" t="s">
        <v>2187</v>
      </c>
      <c r="F432" s="407" t="s">
        <v>4481</v>
      </c>
      <c r="G432" s="440" t="s">
        <v>4109</v>
      </c>
      <c r="H432" s="407" t="s">
        <v>4302</v>
      </c>
      <c r="I432" s="407" t="s">
        <v>3783</v>
      </c>
      <c r="J432" s="387" t="s">
        <v>4659</v>
      </c>
      <c r="K432" s="387">
        <v>1</v>
      </c>
      <c r="L432" s="387">
        <v>0</v>
      </c>
      <c r="M432" s="387">
        <f t="shared" si="24"/>
        <v>1</v>
      </c>
      <c r="N432" s="442">
        <f t="shared" si="25"/>
        <v>0</v>
      </c>
      <c r="O432" s="387" t="s">
        <v>1358</v>
      </c>
      <c r="P432" s="459">
        <v>0</v>
      </c>
      <c r="Q432" s="459"/>
      <c r="R432" s="456">
        <v>0</v>
      </c>
      <c r="S432" s="456">
        <v>44.719000000000001</v>
      </c>
      <c r="T432" s="410"/>
      <c r="U432" s="411">
        <v>0</v>
      </c>
      <c r="V432" s="411">
        <v>0</v>
      </c>
      <c r="W432" s="411">
        <v>0</v>
      </c>
      <c r="X432" s="411"/>
      <c r="Y432" s="411"/>
      <c r="Z432" s="412">
        <f t="shared" si="26"/>
        <v>0</v>
      </c>
      <c r="AA432" s="456">
        <f t="shared" si="27"/>
        <v>0</v>
      </c>
      <c r="AB432" s="456">
        <v>0</v>
      </c>
      <c r="AC432" s="2"/>
      <c r="AD432" s="4"/>
      <c r="AE432" s="5"/>
      <c r="AF432" s="428"/>
    </row>
    <row r="433" spans="1:32" x14ac:dyDescent="0.25">
      <c r="A433" s="1" t="s">
        <v>2878</v>
      </c>
      <c r="B433" s="3" t="s">
        <v>1368</v>
      </c>
      <c r="C433" s="3" t="s">
        <v>1247</v>
      </c>
      <c r="D433" s="407" t="s">
        <v>3546</v>
      </c>
      <c r="E433" s="3" t="s">
        <v>2188</v>
      </c>
      <c r="F433" s="407" t="s">
        <v>4482</v>
      </c>
      <c r="G433" s="440" t="s">
        <v>4109</v>
      </c>
      <c r="H433" s="407" t="s">
        <v>4303</v>
      </c>
      <c r="I433" s="407" t="s">
        <v>3784</v>
      </c>
      <c r="J433" s="387" t="s">
        <v>4660</v>
      </c>
      <c r="K433" s="387">
        <v>1</v>
      </c>
      <c r="L433" s="387">
        <v>0</v>
      </c>
      <c r="M433" s="387">
        <f t="shared" si="24"/>
        <v>1</v>
      </c>
      <c r="N433" s="442">
        <f t="shared" si="25"/>
        <v>0</v>
      </c>
      <c r="O433" s="387" t="s">
        <v>1358</v>
      </c>
      <c r="P433" s="459">
        <v>0</v>
      </c>
      <c r="Q433" s="459"/>
      <c r="R433" s="456">
        <v>0</v>
      </c>
      <c r="S433" s="456">
        <v>43.493000000000002</v>
      </c>
      <c r="T433" s="410"/>
      <c r="U433" s="411">
        <v>0</v>
      </c>
      <c r="V433" s="411">
        <v>0</v>
      </c>
      <c r="W433" s="411">
        <v>0</v>
      </c>
      <c r="X433" s="411"/>
      <c r="Y433" s="411"/>
      <c r="Z433" s="412">
        <f t="shared" si="26"/>
        <v>0</v>
      </c>
      <c r="AA433" s="456">
        <f t="shared" si="27"/>
        <v>0</v>
      </c>
      <c r="AB433" s="456">
        <v>0</v>
      </c>
      <c r="AC433" s="2"/>
      <c r="AD433" s="4"/>
      <c r="AE433" s="5"/>
      <c r="AF433" s="428"/>
    </row>
    <row r="434" spans="1:32" x14ac:dyDescent="0.25">
      <c r="A434" s="1" t="s">
        <v>2879</v>
      </c>
      <c r="B434" s="3" t="s">
        <v>1368</v>
      </c>
      <c r="C434" s="3" t="s">
        <v>1247</v>
      </c>
      <c r="D434" s="407" t="s">
        <v>3547</v>
      </c>
      <c r="E434" s="3" t="s">
        <v>2189</v>
      </c>
      <c r="F434" s="407" t="s">
        <v>4501</v>
      </c>
      <c r="G434" s="440" t="s">
        <v>4109</v>
      </c>
      <c r="H434" s="407" t="s">
        <v>4322</v>
      </c>
      <c r="I434" s="407" t="s">
        <v>3797</v>
      </c>
      <c r="J434" s="387" t="s">
        <v>4655</v>
      </c>
      <c r="K434" s="387">
        <v>1</v>
      </c>
      <c r="L434" s="387">
        <v>0</v>
      </c>
      <c r="M434" s="387">
        <f t="shared" si="24"/>
        <v>1</v>
      </c>
      <c r="N434" s="442">
        <f t="shared" si="25"/>
        <v>0</v>
      </c>
      <c r="O434" s="387" t="s">
        <v>1358</v>
      </c>
      <c r="P434" s="459">
        <v>0</v>
      </c>
      <c r="Q434" s="459"/>
      <c r="R434" s="456">
        <v>0</v>
      </c>
      <c r="S434" s="456">
        <v>43.493000000000002</v>
      </c>
      <c r="T434" s="410"/>
      <c r="U434" s="411">
        <v>0</v>
      </c>
      <c r="V434" s="411">
        <v>0</v>
      </c>
      <c r="W434" s="411">
        <v>0</v>
      </c>
      <c r="X434" s="411"/>
      <c r="Y434" s="411"/>
      <c r="Z434" s="412">
        <f t="shared" si="26"/>
        <v>0</v>
      </c>
      <c r="AA434" s="456">
        <f t="shared" si="27"/>
        <v>0</v>
      </c>
      <c r="AB434" s="456">
        <v>0</v>
      </c>
      <c r="AC434" s="2"/>
      <c r="AD434" s="4"/>
      <c r="AE434" s="5"/>
      <c r="AF434" s="428"/>
    </row>
    <row r="435" spans="1:32" x14ac:dyDescent="0.25">
      <c r="A435" s="1" t="s">
        <v>2880</v>
      </c>
      <c r="B435" s="3" t="s">
        <v>1368</v>
      </c>
      <c r="C435" s="3" t="s">
        <v>1247</v>
      </c>
      <c r="D435" s="407" t="s">
        <v>3293</v>
      </c>
      <c r="E435" s="3" t="s">
        <v>2190</v>
      </c>
      <c r="F435" s="407" t="s">
        <v>4503</v>
      </c>
      <c r="G435" s="440" t="s">
        <v>4109</v>
      </c>
      <c r="H435" s="407" t="s">
        <v>4324</v>
      </c>
      <c r="I435" s="407" t="s">
        <v>3798</v>
      </c>
      <c r="J435" s="387" t="s">
        <v>4658</v>
      </c>
      <c r="K435" s="387">
        <v>1</v>
      </c>
      <c r="L435" s="387">
        <v>0</v>
      </c>
      <c r="M435" s="387">
        <f t="shared" si="24"/>
        <v>1</v>
      </c>
      <c r="N435" s="442">
        <f t="shared" si="25"/>
        <v>0</v>
      </c>
      <c r="O435" s="387" t="s">
        <v>1358</v>
      </c>
      <c r="P435" s="459">
        <v>0</v>
      </c>
      <c r="Q435" s="459"/>
      <c r="R435" s="456">
        <v>0</v>
      </c>
      <c r="S435" s="456">
        <v>4.2050000000000001</v>
      </c>
      <c r="T435" s="410"/>
      <c r="U435" s="411">
        <v>1</v>
      </c>
      <c r="V435" s="411">
        <v>1</v>
      </c>
      <c r="W435" s="411">
        <v>1</v>
      </c>
      <c r="X435" s="411"/>
      <c r="Y435" s="411"/>
      <c r="Z435" s="412">
        <f t="shared" si="26"/>
        <v>0</v>
      </c>
      <c r="AA435" s="456">
        <f t="shared" si="27"/>
        <v>0</v>
      </c>
      <c r="AB435" s="456">
        <v>0</v>
      </c>
      <c r="AC435" s="2"/>
      <c r="AD435" s="4"/>
      <c r="AE435" s="5"/>
      <c r="AF435" s="428"/>
    </row>
    <row r="436" spans="1:32" x14ac:dyDescent="0.25">
      <c r="A436" s="1" t="s">
        <v>2881</v>
      </c>
      <c r="B436" s="3" t="s">
        <v>1368</v>
      </c>
      <c r="C436" s="3" t="s">
        <v>1247</v>
      </c>
      <c r="D436" s="407" t="s">
        <v>1398</v>
      </c>
      <c r="E436" s="3" t="s">
        <v>2191</v>
      </c>
      <c r="F436" s="407" t="s">
        <v>4496</v>
      </c>
      <c r="G436" s="440" t="s">
        <v>4109</v>
      </c>
      <c r="H436" s="407" t="s">
        <v>4317</v>
      </c>
      <c r="I436" s="407" t="s">
        <v>3796</v>
      </c>
      <c r="J436" s="387" t="s">
        <v>4650</v>
      </c>
      <c r="K436" s="387">
        <v>1</v>
      </c>
      <c r="L436" s="387">
        <v>0</v>
      </c>
      <c r="M436" s="387">
        <f t="shared" si="24"/>
        <v>1</v>
      </c>
      <c r="N436" s="442">
        <f t="shared" si="25"/>
        <v>0</v>
      </c>
      <c r="O436" s="387" t="s">
        <v>1358</v>
      </c>
      <c r="P436" s="459">
        <v>0</v>
      </c>
      <c r="Q436" s="459"/>
      <c r="R436" s="456">
        <v>0</v>
      </c>
      <c r="S436" s="456">
        <v>31.096</v>
      </c>
      <c r="T436" s="410"/>
      <c r="U436" s="411">
        <v>1</v>
      </c>
      <c r="V436" s="411">
        <v>1</v>
      </c>
      <c r="W436" s="411">
        <v>1</v>
      </c>
      <c r="X436" s="411"/>
      <c r="Y436" s="411"/>
      <c r="Z436" s="412">
        <f t="shared" si="26"/>
        <v>0</v>
      </c>
      <c r="AA436" s="456">
        <f t="shared" si="27"/>
        <v>0</v>
      </c>
      <c r="AB436" s="456">
        <v>0</v>
      </c>
      <c r="AC436" s="2"/>
      <c r="AD436" s="4"/>
      <c r="AE436" s="5"/>
      <c r="AF436" s="428"/>
    </row>
    <row r="437" spans="1:32" x14ac:dyDescent="0.25">
      <c r="A437" s="1" t="s">
        <v>2882</v>
      </c>
      <c r="B437" s="3" t="s">
        <v>1368</v>
      </c>
      <c r="C437" s="3" t="s">
        <v>1247</v>
      </c>
      <c r="D437" s="407" t="s">
        <v>3236</v>
      </c>
      <c r="E437" s="3" t="s">
        <v>2192</v>
      </c>
      <c r="F437" s="407" t="s">
        <v>4491</v>
      </c>
      <c r="G437" s="440" t="s">
        <v>4109</v>
      </c>
      <c r="H437" s="407" t="s">
        <v>4312</v>
      </c>
      <c r="I437" s="407" t="s">
        <v>3793</v>
      </c>
      <c r="J437" s="387" t="s">
        <v>4645</v>
      </c>
      <c r="K437" s="387">
        <v>1</v>
      </c>
      <c r="L437" s="387">
        <v>0</v>
      </c>
      <c r="M437" s="387">
        <f t="shared" si="24"/>
        <v>1</v>
      </c>
      <c r="N437" s="442">
        <f t="shared" si="25"/>
        <v>0</v>
      </c>
      <c r="O437" s="387" t="s">
        <v>1358</v>
      </c>
      <c r="P437" s="459">
        <v>0</v>
      </c>
      <c r="Q437" s="459"/>
      <c r="R437" s="456">
        <v>0</v>
      </c>
      <c r="S437" s="456">
        <v>2.1819999999999999</v>
      </c>
      <c r="T437" s="410"/>
      <c r="U437" s="411">
        <v>0</v>
      </c>
      <c r="V437" s="411">
        <v>0</v>
      </c>
      <c r="W437" s="411">
        <v>0</v>
      </c>
      <c r="X437" s="411"/>
      <c r="Y437" s="411"/>
      <c r="Z437" s="412">
        <f t="shared" si="26"/>
        <v>0</v>
      </c>
      <c r="AA437" s="456">
        <f t="shared" si="27"/>
        <v>0</v>
      </c>
      <c r="AB437" s="456">
        <v>0</v>
      </c>
      <c r="AC437" s="2"/>
      <c r="AD437" s="4"/>
      <c r="AE437" s="5"/>
      <c r="AF437" s="428"/>
    </row>
    <row r="438" spans="1:32" x14ac:dyDescent="0.25">
      <c r="A438" s="1" t="s">
        <v>2883</v>
      </c>
      <c r="B438" s="3" t="s">
        <v>1368</v>
      </c>
      <c r="C438" s="3" t="s">
        <v>1247</v>
      </c>
      <c r="D438" s="407" t="s">
        <v>3234</v>
      </c>
      <c r="E438" s="3" t="s">
        <v>2193</v>
      </c>
      <c r="F438" s="407" t="s">
        <v>4492</v>
      </c>
      <c r="G438" s="440" t="s">
        <v>4109</v>
      </c>
      <c r="H438" s="407" t="s">
        <v>4313</v>
      </c>
      <c r="I438" s="407" t="s">
        <v>3794</v>
      </c>
      <c r="J438" s="387" t="s">
        <v>4646</v>
      </c>
      <c r="K438" s="387">
        <v>1</v>
      </c>
      <c r="L438" s="387">
        <v>0</v>
      </c>
      <c r="M438" s="387">
        <f t="shared" si="24"/>
        <v>1</v>
      </c>
      <c r="N438" s="442">
        <f t="shared" si="25"/>
        <v>0</v>
      </c>
      <c r="O438" s="387" t="s">
        <v>1358</v>
      </c>
      <c r="P438" s="459">
        <v>0</v>
      </c>
      <c r="Q438" s="459"/>
      <c r="R438" s="456">
        <v>0</v>
      </c>
      <c r="S438" s="456">
        <v>18.812999999999999</v>
      </c>
      <c r="T438" s="410"/>
      <c r="U438" s="411">
        <v>0</v>
      </c>
      <c r="V438" s="411">
        <v>0</v>
      </c>
      <c r="W438" s="411">
        <v>0</v>
      </c>
      <c r="X438" s="411"/>
      <c r="Y438" s="411"/>
      <c r="Z438" s="412">
        <f t="shared" si="26"/>
        <v>0</v>
      </c>
      <c r="AA438" s="456">
        <f t="shared" si="27"/>
        <v>0</v>
      </c>
      <c r="AB438" s="456">
        <v>0</v>
      </c>
      <c r="AC438" s="2"/>
      <c r="AD438" s="4"/>
      <c r="AE438" s="5"/>
      <c r="AF438" s="428"/>
    </row>
    <row r="439" spans="1:32" x14ac:dyDescent="0.25">
      <c r="A439" s="1" t="s">
        <v>2884</v>
      </c>
      <c r="B439" s="3" t="s">
        <v>1368</v>
      </c>
      <c r="C439" s="3" t="s">
        <v>1247</v>
      </c>
      <c r="D439" s="407" t="s">
        <v>1427</v>
      </c>
      <c r="E439" s="3" t="s">
        <v>2194</v>
      </c>
      <c r="F439" s="407" t="s">
        <v>4485</v>
      </c>
      <c r="G439" s="440" t="s">
        <v>4109</v>
      </c>
      <c r="H439" s="407" t="s">
        <v>4306</v>
      </c>
      <c r="I439" s="407" t="s">
        <v>3787</v>
      </c>
      <c r="J439" s="387" t="s">
        <v>4638</v>
      </c>
      <c r="K439" s="387">
        <v>1</v>
      </c>
      <c r="L439" s="387">
        <v>0</v>
      </c>
      <c r="M439" s="387">
        <f t="shared" si="24"/>
        <v>1</v>
      </c>
      <c r="N439" s="442">
        <f t="shared" si="25"/>
        <v>0</v>
      </c>
      <c r="O439" s="387" t="s">
        <v>1358</v>
      </c>
      <c r="P439" s="459">
        <v>0</v>
      </c>
      <c r="Q439" s="459"/>
      <c r="R439" s="456">
        <v>0</v>
      </c>
      <c r="S439" s="456">
        <v>19.939</v>
      </c>
      <c r="T439" s="410"/>
      <c r="U439" s="411">
        <v>0</v>
      </c>
      <c r="V439" s="411">
        <v>0</v>
      </c>
      <c r="W439" s="411">
        <v>0</v>
      </c>
      <c r="X439" s="411"/>
      <c r="Y439" s="411"/>
      <c r="Z439" s="412">
        <f t="shared" si="26"/>
        <v>0</v>
      </c>
      <c r="AA439" s="456">
        <f t="shared" si="27"/>
        <v>0</v>
      </c>
      <c r="AB439" s="456">
        <v>0</v>
      </c>
      <c r="AC439" s="2"/>
      <c r="AD439" s="4"/>
      <c r="AE439" s="5"/>
      <c r="AF439" s="428"/>
    </row>
    <row r="440" spans="1:32" x14ac:dyDescent="0.25">
      <c r="A440" s="1" t="s">
        <v>2885</v>
      </c>
      <c r="B440" s="3" t="s">
        <v>1368</v>
      </c>
      <c r="C440" s="3" t="s">
        <v>1247</v>
      </c>
      <c r="D440" s="407" t="s">
        <v>1432</v>
      </c>
      <c r="E440" s="3" t="s">
        <v>2195</v>
      </c>
      <c r="F440" s="407" t="s">
        <v>4483</v>
      </c>
      <c r="G440" s="440" t="s">
        <v>4109</v>
      </c>
      <c r="H440" s="407" t="s">
        <v>4304</v>
      </c>
      <c r="I440" s="407" t="s">
        <v>3785</v>
      </c>
      <c r="J440" s="387" t="s">
        <v>4635</v>
      </c>
      <c r="K440" s="387">
        <v>1</v>
      </c>
      <c r="L440" s="387">
        <v>0</v>
      </c>
      <c r="M440" s="387">
        <f t="shared" si="24"/>
        <v>1</v>
      </c>
      <c r="N440" s="442">
        <f t="shared" si="25"/>
        <v>0</v>
      </c>
      <c r="O440" s="387" t="s">
        <v>1358</v>
      </c>
      <c r="P440" s="459">
        <v>0</v>
      </c>
      <c r="Q440" s="459"/>
      <c r="R440" s="456">
        <v>0</v>
      </c>
      <c r="S440" s="456">
        <v>19.939</v>
      </c>
      <c r="T440" s="410"/>
      <c r="U440" s="411">
        <v>0</v>
      </c>
      <c r="V440" s="411">
        <v>0</v>
      </c>
      <c r="W440" s="411">
        <v>0</v>
      </c>
      <c r="X440" s="411"/>
      <c r="Y440" s="411"/>
      <c r="Z440" s="412">
        <f t="shared" si="26"/>
        <v>0</v>
      </c>
      <c r="AA440" s="456">
        <f t="shared" si="27"/>
        <v>0</v>
      </c>
      <c r="AB440" s="456">
        <v>0</v>
      </c>
      <c r="AC440" s="2"/>
      <c r="AD440" s="4"/>
      <c r="AE440" s="5"/>
      <c r="AF440" s="428"/>
    </row>
    <row r="441" spans="1:32" x14ac:dyDescent="0.25">
      <c r="A441" s="1" t="s">
        <v>2886</v>
      </c>
      <c r="B441" s="3" t="s">
        <v>1368</v>
      </c>
      <c r="C441" s="3" t="s">
        <v>1247</v>
      </c>
      <c r="D441" s="407" t="s">
        <v>1397</v>
      </c>
      <c r="E441" s="3" t="s">
        <v>2196</v>
      </c>
      <c r="F441" s="407" t="s">
        <v>4493</v>
      </c>
      <c r="G441" s="440" t="s">
        <v>4109</v>
      </c>
      <c r="H441" s="407" t="s">
        <v>4314</v>
      </c>
      <c r="I441" s="407" t="s">
        <v>3795</v>
      </c>
      <c r="J441" s="387" t="s">
        <v>4647</v>
      </c>
      <c r="K441" s="387">
        <v>1</v>
      </c>
      <c r="L441" s="387">
        <v>0</v>
      </c>
      <c r="M441" s="387">
        <f t="shared" si="24"/>
        <v>1</v>
      </c>
      <c r="N441" s="442">
        <f t="shared" si="25"/>
        <v>0</v>
      </c>
      <c r="O441" s="387" t="s">
        <v>1358</v>
      </c>
      <c r="P441" s="459">
        <v>0</v>
      </c>
      <c r="Q441" s="459"/>
      <c r="R441" s="456">
        <v>0</v>
      </c>
      <c r="S441" s="456">
        <v>19.376000000000001</v>
      </c>
      <c r="T441" s="410"/>
      <c r="U441" s="411">
        <v>1</v>
      </c>
      <c r="V441" s="411">
        <v>1</v>
      </c>
      <c r="W441" s="411">
        <v>1</v>
      </c>
      <c r="X441" s="411"/>
      <c r="Y441" s="411"/>
      <c r="Z441" s="412">
        <f t="shared" si="26"/>
        <v>0</v>
      </c>
      <c r="AA441" s="456">
        <f t="shared" si="27"/>
        <v>0</v>
      </c>
      <c r="AB441" s="456">
        <v>0</v>
      </c>
      <c r="AC441" s="2"/>
      <c r="AD441" s="4"/>
      <c r="AE441" s="5"/>
      <c r="AF441" s="428"/>
    </row>
    <row r="442" spans="1:32" x14ac:dyDescent="0.25">
      <c r="A442" s="1" t="s">
        <v>2887</v>
      </c>
      <c r="B442" s="3" t="s">
        <v>1368</v>
      </c>
      <c r="C442" s="3" t="s">
        <v>1247</v>
      </c>
      <c r="D442" s="407" t="s">
        <v>1398</v>
      </c>
      <c r="E442" s="3" t="s">
        <v>2197</v>
      </c>
      <c r="F442" s="407" t="s">
        <v>4496</v>
      </c>
      <c r="G442" s="440" t="s">
        <v>4109</v>
      </c>
      <c r="H442" s="407" t="s">
        <v>4317</v>
      </c>
      <c r="I442" s="407" t="s">
        <v>3796</v>
      </c>
      <c r="J442" s="387" t="s">
        <v>4650</v>
      </c>
      <c r="K442" s="387">
        <v>1</v>
      </c>
      <c r="L442" s="387">
        <v>0</v>
      </c>
      <c r="M442" s="387">
        <f t="shared" si="24"/>
        <v>1</v>
      </c>
      <c r="N442" s="442">
        <f t="shared" si="25"/>
        <v>0</v>
      </c>
      <c r="O442" s="387" t="s">
        <v>1358</v>
      </c>
      <c r="P442" s="459">
        <v>0</v>
      </c>
      <c r="Q442" s="459"/>
      <c r="R442" s="456">
        <v>0</v>
      </c>
      <c r="S442" s="456">
        <v>19.376000000000001</v>
      </c>
      <c r="T442" s="410"/>
      <c r="U442" s="411">
        <v>1</v>
      </c>
      <c r="V442" s="411">
        <v>1</v>
      </c>
      <c r="W442" s="411">
        <v>1</v>
      </c>
      <c r="X442" s="411"/>
      <c r="Y442" s="411"/>
      <c r="Z442" s="412">
        <f t="shared" si="26"/>
        <v>0</v>
      </c>
      <c r="AA442" s="456">
        <f t="shared" si="27"/>
        <v>0</v>
      </c>
      <c r="AB442" s="456">
        <v>0</v>
      </c>
      <c r="AC442" s="2"/>
      <c r="AD442" s="4"/>
      <c r="AE442" s="5"/>
      <c r="AF442" s="428"/>
    </row>
    <row r="443" spans="1:32" x14ac:dyDescent="0.25">
      <c r="A443" s="1" t="s">
        <v>2888</v>
      </c>
      <c r="B443" s="3" t="s">
        <v>1368</v>
      </c>
      <c r="C443" s="3" t="s">
        <v>1247</v>
      </c>
      <c r="D443" s="407" t="s">
        <v>1425</v>
      </c>
      <c r="E443" s="3" t="s">
        <v>2198</v>
      </c>
      <c r="F443" s="407" t="s">
        <v>4479</v>
      </c>
      <c r="G443" s="440" t="s">
        <v>4109</v>
      </c>
      <c r="H443" s="407" t="s">
        <v>4300</v>
      </c>
      <c r="I443" s="407" t="s">
        <v>3781</v>
      </c>
      <c r="J443" s="387" t="s">
        <v>4643</v>
      </c>
      <c r="K443" s="387">
        <v>1</v>
      </c>
      <c r="L443" s="387">
        <v>0</v>
      </c>
      <c r="M443" s="387">
        <f t="shared" si="24"/>
        <v>1</v>
      </c>
      <c r="N443" s="442">
        <f t="shared" si="25"/>
        <v>0</v>
      </c>
      <c r="O443" s="387" t="s">
        <v>1358</v>
      </c>
      <c r="P443" s="459">
        <v>0</v>
      </c>
      <c r="Q443" s="459"/>
      <c r="R443" s="456">
        <v>0</v>
      </c>
      <c r="S443" s="456">
        <v>19.939</v>
      </c>
      <c r="T443" s="410"/>
      <c r="U443" s="411">
        <v>1</v>
      </c>
      <c r="V443" s="411">
        <v>1</v>
      </c>
      <c r="W443" s="411">
        <v>1</v>
      </c>
      <c r="X443" s="411"/>
      <c r="Y443" s="411"/>
      <c r="Z443" s="412">
        <f t="shared" si="26"/>
        <v>0</v>
      </c>
      <c r="AA443" s="456">
        <f t="shared" si="27"/>
        <v>0</v>
      </c>
      <c r="AB443" s="456">
        <v>0</v>
      </c>
      <c r="AC443" s="2"/>
      <c r="AD443" s="4"/>
      <c r="AE443" s="5"/>
      <c r="AF443" s="428"/>
    </row>
    <row r="444" spans="1:32" x14ac:dyDescent="0.25">
      <c r="A444" s="1" t="s">
        <v>2889</v>
      </c>
      <c r="B444" s="3" t="s">
        <v>1368</v>
      </c>
      <c r="C444" s="3" t="s">
        <v>1247</v>
      </c>
      <c r="D444" s="407" t="s">
        <v>1426</v>
      </c>
      <c r="E444" s="3" t="s">
        <v>2199</v>
      </c>
      <c r="F444" s="407" t="s">
        <v>4480</v>
      </c>
      <c r="G444" s="440" t="s">
        <v>4109</v>
      </c>
      <c r="H444" s="407" t="s">
        <v>4301</v>
      </c>
      <c r="I444" s="407" t="s">
        <v>3782</v>
      </c>
      <c r="J444" s="387" t="s">
        <v>4637</v>
      </c>
      <c r="K444" s="387">
        <v>1</v>
      </c>
      <c r="L444" s="387">
        <v>0</v>
      </c>
      <c r="M444" s="387">
        <f t="shared" si="24"/>
        <v>1</v>
      </c>
      <c r="N444" s="442">
        <f t="shared" si="25"/>
        <v>0</v>
      </c>
      <c r="O444" s="387" t="s">
        <v>1358</v>
      </c>
      <c r="P444" s="459">
        <v>0</v>
      </c>
      <c r="Q444" s="459"/>
      <c r="R444" s="456">
        <v>0</v>
      </c>
      <c r="S444" s="456">
        <v>19.939</v>
      </c>
      <c r="T444" s="410"/>
      <c r="U444" s="411">
        <v>0</v>
      </c>
      <c r="V444" s="411">
        <v>0</v>
      </c>
      <c r="W444" s="411">
        <v>0</v>
      </c>
      <c r="X444" s="411"/>
      <c r="Y444" s="411"/>
      <c r="Z444" s="412">
        <f t="shared" si="26"/>
        <v>0</v>
      </c>
      <c r="AA444" s="456">
        <f t="shared" si="27"/>
        <v>0</v>
      </c>
      <c r="AB444" s="456">
        <v>0</v>
      </c>
      <c r="AC444" s="2"/>
      <c r="AD444" s="4"/>
      <c r="AE444" s="5"/>
      <c r="AF444" s="428"/>
    </row>
    <row r="445" spans="1:32" x14ac:dyDescent="0.25">
      <c r="A445" s="1" t="s">
        <v>2890</v>
      </c>
      <c r="B445" s="3" t="s">
        <v>1368</v>
      </c>
      <c r="C445" s="3" t="s">
        <v>1247</v>
      </c>
      <c r="D445" s="407" t="s">
        <v>1428</v>
      </c>
      <c r="E445" s="3" t="s">
        <v>2200</v>
      </c>
      <c r="F445" s="407" t="s">
        <v>4486</v>
      </c>
      <c r="G445" s="440" t="s">
        <v>4109</v>
      </c>
      <c r="H445" s="407" t="s">
        <v>4307</v>
      </c>
      <c r="I445" s="407" t="s">
        <v>3788</v>
      </c>
      <c r="J445" s="387" t="s">
        <v>4639</v>
      </c>
      <c r="K445" s="387">
        <v>1</v>
      </c>
      <c r="L445" s="387">
        <v>0</v>
      </c>
      <c r="M445" s="387">
        <f t="shared" si="24"/>
        <v>1</v>
      </c>
      <c r="N445" s="442">
        <f t="shared" si="25"/>
        <v>0</v>
      </c>
      <c r="O445" s="387" t="s">
        <v>1358</v>
      </c>
      <c r="P445" s="459">
        <v>0</v>
      </c>
      <c r="Q445" s="459"/>
      <c r="R445" s="456">
        <v>0</v>
      </c>
      <c r="S445" s="456">
        <v>19.939</v>
      </c>
      <c r="T445" s="410"/>
      <c r="U445" s="411">
        <v>0</v>
      </c>
      <c r="V445" s="411">
        <v>0</v>
      </c>
      <c r="W445" s="411">
        <v>0</v>
      </c>
      <c r="X445" s="411"/>
      <c r="Y445" s="411"/>
      <c r="Z445" s="412">
        <f t="shared" si="26"/>
        <v>0</v>
      </c>
      <c r="AA445" s="456">
        <f t="shared" si="27"/>
        <v>0</v>
      </c>
      <c r="AB445" s="456">
        <v>0</v>
      </c>
      <c r="AC445" s="2"/>
      <c r="AD445" s="4"/>
      <c r="AE445" s="5"/>
      <c r="AF445" s="428"/>
    </row>
    <row r="446" spans="1:32" x14ac:dyDescent="0.25">
      <c r="A446" s="1" t="s">
        <v>2891</v>
      </c>
      <c r="B446" s="3" t="s">
        <v>1368</v>
      </c>
      <c r="C446" s="3" t="s">
        <v>1247</v>
      </c>
      <c r="D446" s="407" t="s">
        <v>1429</v>
      </c>
      <c r="E446" s="3" t="s">
        <v>2201</v>
      </c>
      <c r="F446" s="407" t="s">
        <v>4487</v>
      </c>
      <c r="G446" s="440" t="s">
        <v>4109</v>
      </c>
      <c r="H446" s="407" t="s">
        <v>4308</v>
      </c>
      <c r="I446" s="407" t="s">
        <v>3789</v>
      </c>
      <c r="J446" s="387" t="s">
        <v>4640</v>
      </c>
      <c r="K446" s="387">
        <v>1</v>
      </c>
      <c r="L446" s="387">
        <v>0</v>
      </c>
      <c r="M446" s="387">
        <f t="shared" si="24"/>
        <v>1</v>
      </c>
      <c r="N446" s="442">
        <f t="shared" si="25"/>
        <v>0</v>
      </c>
      <c r="O446" s="387" t="s">
        <v>1358</v>
      </c>
      <c r="P446" s="459">
        <v>0</v>
      </c>
      <c r="Q446" s="459"/>
      <c r="R446" s="456">
        <v>0</v>
      </c>
      <c r="S446" s="456">
        <v>19.939</v>
      </c>
      <c r="T446" s="410"/>
      <c r="U446" s="411">
        <v>0</v>
      </c>
      <c r="V446" s="411">
        <v>0</v>
      </c>
      <c r="W446" s="411">
        <v>0</v>
      </c>
      <c r="X446" s="411"/>
      <c r="Y446" s="411"/>
      <c r="Z446" s="412">
        <f t="shared" si="26"/>
        <v>0</v>
      </c>
      <c r="AA446" s="456">
        <f t="shared" si="27"/>
        <v>0</v>
      </c>
      <c r="AB446" s="456">
        <v>0</v>
      </c>
      <c r="AC446" s="2"/>
      <c r="AD446" s="4"/>
      <c r="AE446" s="5"/>
      <c r="AF446" s="428"/>
    </row>
    <row r="447" spans="1:32" x14ac:dyDescent="0.25">
      <c r="A447" s="1" t="s">
        <v>2892</v>
      </c>
      <c r="B447" s="3" t="s">
        <v>1368</v>
      </c>
      <c r="C447" s="3" t="s">
        <v>1247</v>
      </c>
      <c r="D447" s="407" t="s">
        <v>1430</v>
      </c>
      <c r="E447" s="3" t="s">
        <v>2202</v>
      </c>
      <c r="F447" s="407" t="s">
        <v>4488</v>
      </c>
      <c r="G447" s="440" t="s">
        <v>4109</v>
      </c>
      <c r="H447" s="407" t="s">
        <v>4309</v>
      </c>
      <c r="I447" s="407" t="s">
        <v>3790</v>
      </c>
      <c r="J447" s="387" t="s">
        <v>4641</v>
      </c>
      <c r="K447" s="387">
        <v>1</v>
      </c>
      <c r="L447" s="387">
        <v>0</v>
      </c>
      <c r="M447" s="387">
        <f t="shared" si="24"/>
        <v>1</v>
      </c>
      <c r="N447" s="442">
        <f t="shared" si="25"/>
        <v>0</v>
      </c>
      <c r="O447" s="387" t="s">
        <v>1358</v>
      </c>
      <c r="P447" s="459">
        <v>0</v>
      </c>
      <c r="Q447" s="459"/>
      <c r="R447" s="456">
        <v>0</v>
      </c>
      <c r="S447" s="456">
        <v>19.939</v>
      </c>
      <c r="T447" s="410"/>
      <c r="U447" s="411">
        <v>0</v>
      </c>
      <c r="V447" s="411">
        <v>0</v>
      </c>
      <c r="W447" s="411">
        <v>0</v>
      </c>
      <c r="X447" s="411"/>
      <c r="Y447" s="411"/>
      <c r="Z447" s="412">
        <f t="shared" si="26"/>
        <v>0</v>
      </c>
      <c r="AA447" s="456">
        <f t="shared" si="27"/>
        <v>0</v>
      </c>
      <c r="AB447" s="456">
        <v>0</v>
      </c>
      <c r="AC447" s="2"/>
      <c r="AD447" s="4"/>
      <c r="AE447" s="5"/>
      <c r="AF447" s="428"/>
    </row>
    <row r="448" spans="1:32" x14ac:dyDescent="0.25">
      <c r="A448" s="1" t="s">
        <v>2893</v>
      </c>
      <c r="B448" s="3" t="s">
        <v>1368</v>
      </c>
      <c r="C448" s="3" t="s">
        <v>1247</v>
      </c>
      <c r="D448" s="407" t="s">
        <v>1431</v>
      </c>
      <c r="E448" s="3" t="s">
        <v>2203</v>
      </c>
      <c r="F448" s="407" t="s">
        <v>4489</v>
      </c>
      <c r="G448" s="440" t="s">
        <v>4109</v>
      </c>
      <c r="H448" s="407" t="s">
        <v>4310</v>
      </c>
      <c r="I448" s="407" t="s">
        <v>3791</v>
      </c>
      <c r="J448" s="387" t="s">
        <v>4642</v>
      </c>
      <c r="K448" s="387">
        <v>1</v>
      </c>
      <c r="L448" s="387">
        <v>0</v>
      </c>
      <c r="M448" s="387">
        <f t="shared" si="24"/>
        <v>1</v>
      </c>
      <c r="N448" s="442">
        <f t="shared" si="25"/>
        <v>0</v>
      </c>
      <c r="O448" s="387" t="s">
        <v>1358</v>
      </c>
      <c r="P448" s="459">
        <v>0</v>
      </c>
      <c r="Q448" s="459"/>
      <c r="R448" s="456">
        <v>0</v>
      </c>
      <c r="S448" s="456">
        <v>19.939</v>
      </c>
      <c r="T448" s="410"/>
      <c r="U448" s="411">
        <v>0</v>
      </c>
      <c r="V448" s="411">
        <v>0</v>
      </c>
      <c r="W448" s="411">
        <v>0</v>
      </c>
      <c r="X448" s="411"/>
      <c r="Y448" s="411"/>
      <c r="Z448" s="412">
        <f t="shared" si="26"/>
        <v>0</v>
      </c>
      <c r="AA448" s="456">
        <f t="shared" si="27"/>
        <v>0</v>
      </c>
      <c r="AB448" s="456">
        <v>0</v>
      </c>
      <c r="AC448" s="2"/>
      <c r="AD448" s="4"/>
      <c r="AE448" s="5"/>
      <c r="AF448" s="428"/>
    </row>
    <row r="449" spans="1:32" x14ac:dyDescent="0.25">
      <c r="A449" s="1" t="s">
        <v>2894</v>
      </c>
      <c r="B449" s="3" t="s">
        <v>1368</v>
      </c>
      <c r="C449" s="3" t="s">
        <v>1247</v>
      </c>
      <c r="D449" s="407" t="s">
        <v>1432</v>
      </c>
      <c r="E449" s="3" t="s">
        <v>2204</v>
      </c>
      <c r="F449" s="407" t="s">
        <v>4483</v>
      </c>
      <c r="G449" s="440" t="s">
        <v>4109</v>
      </c>
      <c r="H449" s="407" t="s">
        <v>4304</v>
      </c>
      <c r="I449" s="407" t="s">
        <v>3785</v>
      </c>
      <c r="J449" s="387" t="s">
        <v>4635</v>
      </c>
      <c r="K449" s="387">
        <v>1</v>
      </c>
      <c r="L449" s="387">
        <v>0</v>
      </c>
      <c r="M449" s="387">
        <f t="shared" si="24"/>
        <v>1</v>
      </c>
      <c r="N449" s="442">
        <f t="shared" si="25"/>
        <v>0</v>
      </c>
      <c r="O449" s="387" t="s">
        <v>1358</v>
      </c>
      <c r="P449" s="459">
        <v>0</v>
      </c>
      <c r="Q449" s="459"/>
      <c r="R449" s="456">
        <v>0</v>
      </c>
      <c r="S449" s="456">
        <v>26.664000000000001</v>
      </c>
      <c r="T449" s="410"/>
      <c r="U449" s="411">
        <v>0</v>
      </c>
      <c r="V449" s="411">
        <v>0</v>
      </c>
      <c r="W449" s="411">
        <v>0</v>
      </c>
      <c r="X449" s="411"/>
      <c r="Y449" s="411"/>
      <c r="Z449" s="412">
        <f t="shared" si="26"/>
        <v>0</v>
      </c>
      <c r="AA449" s="456">
        <f t="shared" si="27"/>
        <v>0</v>
      </c>
      <c r="AB449" s="456">
        <v>0</v>
      </c>
      <c r="AC449" s="2"/>
      <c r="AD449" s="4"/>
      <c r="AE449" s="5"/>
      <c r="AF449" s="428"/>
    </row>
    <row r="450" spans="1:32" x14ac:dyDescent="0.25">
      <c r="A450" s="1" t="s">
        <v>2895</v>
      </c>
      <c r="B450" s="3" t="s">
        <v>1368</v>
      </c>
      <c r="C450" s="3" t="s">
        <v>1247</v>
      </c>
      <c r="D450" s="407" t="s">
        <v>1397</v>
      </c>
      <c r="E450" s="3" t="s">
        <v>2205</v>
      </c>
      <c r="F450" s="407" t="s">
        <v>4493</v>
      </c>
      <c r="G450" s="440" t="s">
        <v>4109</v>
      </c>
      <c r="H450" s="407" t="s">
        <v>4314</v>
      </c>
      <c r="I450" s="407" t="s">
        <v>3795</v>
      </c>
      <c r="J450" s="387" t="s">
        <v>4647</v>
      </c>
      <c r="K450" s="387">
        <v>1</v>
      </c>
      <c r="L450" s="387">
        <v>0</v>
      </c>
      <c r="M450" s="387">
        <f t="shared" si="24"/>
        <v>1</v>
      </c>
      <c r="N450" s="442">
        <f t="shared" si="25"/>
        <v>0</v>
      </c>
      <c r="O450" s="387" t="s">
        <v>1358</v>
      </c>
      <c r="P450" s="459">
        <v>0</v>
      </c>
      <c r="Q450" s="459"/>
      <c r="R450" s="456">
        <v>0</v>
      </c>
      <c r="S450" s="456">
        <v>32.151000000000003</v>
      </c>
      <c r="T450" s="410"/>
      <c r="U450" s="411">
        <v>1</v>
      </c>
      <c r="V450" s="411">
        <v>1</v>
      </c>
      <c r="W450" s="411">
        <v>1</v>
      </c>
      <c r="X450" s="411"/>
      <c r="Y450" s="411"/>
      <c r="Z450" s="412">
        <f t="shared" si="26"/>
        <v>0</v>
      </c>
      <c r="AA450" s="456">
        <f t="shared" si="27"/>
        <v>0</v>
      </c>
      <c r="AB450" s="456">
        <v>0</v>
      </c>
      <c r="AC450" s="2"/>
      <c r="AD450" s="4"/>
      <c r="AE450" s="5"/>
      <c r="AF450" s="428"/>
    </row>
    <row r="451" spans="1:32" x14ac:dyDescent="0.25">
      <c r="A451" s="1" t="s">
        <v>2896</v>
      </c>
      <c r="B451" s="3" t="s">
        <v>1368</v>
      </c>
      <c r="C451" s="3" t="s">
        <v>1247</v>
      </c>
      <c r="D451" s="407" t="s">
        <v>3306</v>
      </c>
      <c r="E451" s="3" t="s">
        <v>2206</v>
      </c>
      <c r="F451" s="407" t="s">
        <v>4484</v>
      </c>
      <c r="G451" s="440" t="s">
        <v>4109</v>
      </c>
      <c r="H451" s="407" t="s">
        <v>4305</v>
      </c>
      <c r="I451" s="407" t="s">
        <v>3786</v>
      </c>
      <c r="J451" s="387" t="s">
        <v>4636</v>
      </c>
      <c r="K451" s="387">
        <v>1</v>
      </c>
      <c r="L451" s="387">
        <v>0</v>
      </c>
      <c r="M451" s="387">
        <f t="shared" si="24"/>
        <v>1</v>
      </c>
      <c r="N451" s="442">
        <f t="shared" si="25"/>
        <v>0</v>
      </c>
      <c r="O451" s="387" t="s">
        <v>1358</v>
      </c>
      <c r="P451" s="459">
        <v>0</v>
      </c>
      <c r="Q451" s="459"/>
      <c r="R451" s="456">
        <v>0</v>
      </c>
      <c r="S451" s="456">
        <v>20.501000000000001</v>
      </c>
      <c r="T451" s="410"/>
      <c r="U451" s="411">
        <v>0</v>
      </c>
      <c r="V451" s="411">
        <v>0</v>
      </c>
      <c r="W451" s="411">
        <v>0</v>
      </c>
      <c r="X451" s="411"/>
      <c r="Y451" s="411"/>
      <c r="Z451" s="412">
        <f t="shared" si="26"/>
        <v>0</v>
      </c>
      <c r="AA451" s="456">
        <f t="shared" si="27"/>
        <v>0</v>
      </c>
      <c r="AB451" s="456">
        <v>0</v>
      </c>
      <c r="AC451" s="2"/>
      <c r="AD451" s="4"/>
      <c r="AE451" s="5"/>
      <c r="AF451" s="428"/>
    </row>
    <row r="452" spans="1:32" x14ac:dyDescent="0.25">
      <c r="A452" s="1" t="s">
        <v>2897</v>
      </c>
      <c r="B452" s="3" t="s">
        <v>1368</v>
      </c>
      <c r="C452" s="3" t="s">
        <v>1247</v>
      </c>
      <c r="D452" s="407" t="s">
        <v>1425</v>
      </c>
      <c r="E452" s="3" t="s">
        <v>2207</v>
      </c>
      <c r="F452" s="407" t="s">
        <v>4479</v>
      </c>
      <c r="G452" s="440" t="s">
        <v>4109</v>
      </c>
      <c r="H452" s="407" t="s">
        <v>4300</v>
      </c>
      <c r="I452" s="407" t="s">
        <v>3781</v>
      </c>
      <c r="J452" s="387" t="s">
        <v>4643</v>
      </c>
      <c r="K452" s="387">
        <v>1</v>
      </c>
      <c r="L452" s="387">
        <v>0</v>
      </c>
      <c r="M452" s="387">
        <f t="shared" si="24"/>
        <v>1</v>
      </c>
      <c r="N452" s="442">
        <f t="shared" si="25"/>
        <v>0</v>
      </c>
      <c r="O452" s="387" t="s">
        <v>1358</v>
      </c>
      <c r="P452" s="459">
        <v>0</v>
      </c>
      <c r="Q452" s="459"/>
      <c r="R452" s="456">
        <v>0</v>
      </c>
      <c r="S452" s="456">
        <v>33.084000000000003</v>
      </c>
      <c r="T452" s="410"/>
      <c r="U452" s="411">
        <v>1</v>
      </c>
      <c r="V452" s="411">
        <v>1</v>
      </c>
      <c r="W452" s="411">
        <v>1</v>
      </c>
      <c r="X452" s="411"/>
      <c r="Y452" s="411"/>
      <c r="Z452" s="412">
        <f t="shared" si="26"/>
        <v>0</v>
      </c>
      <c r="AA452" s="456">
        <f t="shared" si="27"/>
        <v>0</v>
      </c>
      <c r="AB452" s="456">
        <v>0</v>
      </c>
      <c r="AC452" s="2"/>
      <c r="AD452" s="4"/>
      <c r="AE452" s="5"/>
      <c r="AF452" s="428"/>
    </row>
    <row r="453" spans="1:32" x14ac:dyDescent="0.25">
      <c r="A453" s="1" t="s">
        <v>2898</v>
      </c>
      <c r="B453" s="3" t="s">
        <v>1368</v>
      </c>
      <c r="C453" s="3" t="s">
        <v>1247</v>
      </c>
      <c r="D453" s="407" t="s">
        <v>1426</v>
      </c>
      <c r="E453" s="3" t="s">
        <v>2208</v>
      </c>
      <c r="F453" s="407" t="s">
        <v>4480</v>
      </c>
      <c r="G453" s="440" t="s">
        <v>4109</v>
      </c>
      <c r="H453" s="407" t="s">
        <v>4301</v>
      </c>
      <c r="I453" s="407" t="s">
        <v>3782</v>
      </c>
      <c r="J453" s="387" t="s">
        <v>4637</v>
      </c>
      <c r="K453" s="387">
        <v>1</v>
      </c>
      <c r="L453" s="387">
        <v>0</v>
      </c>
      <c r="M453" s="387">
        <f t="shared" si="24"/>
        <v>1</v>
      </c>
      <c r="N453" s="442">
        <f t="shared" si="25"/>
        <v>0</v>
      </c>
      <c r="O453" s="387" t="s">
        <v>1358</v>
      </c>
      <c r="P453" s="459">
        <v>0</v>
      </c>
      <c r="Q453" s="459"/>
      <c r="R453" s="456">
        <v>0</v>
      </c>
      <c r="S453" s="456">
        <v>26.664000000000001</v>
      </c>
      <c r="T453" s="410"/>
      <c r="U453" s="411">
        <v>1</v>
      </c>
      <c r="V453" s="411">
        <v>1</v>
      </c>
      <c r="W453" s="411">
        <v>1</v>
      </c>
      <c r="X453" s="411"/>
      <c r="Y453" s="411"/>
      <c r="Z453" s="412">
        <f t="shared" si="26"/>
        <v>0</v>
      </c>
      <c r="AA453" s="456">
        <f t="shared" si="27"/>
        <v>0</v>
      </c>
      <c r="AB453" s="456">
        <v>0</v>
      </c>
      <c r="AC453" s="2"/>
      <c r="AD453" s="4"/>
      <c r="AE453" s="5"/>
      <c r="AF453" s="428"/>
    </row>
    <row r="454" spans="1:32" x14ac:dyDescent="0.25">
      <c r="A454" s="1" t="s">
        <v>2899</v>
      </c>
      <c r="B454" s="3" t="s">
        <v>1368</v>
      </c>
      <c r="C454" s="3" t="s">
        <v>1247</v>
      </c>
      <c r="D454" s="407" t="s">
        <v>1427</v>
      </c>
      <c r="E454" s="3" t="s">
        <v>2209</v>
      </c>
      <c r="F454" s="407" t="s">
        <v>4485</v>
      </c>
      <c r="G454" s="440" t="s">
        <v>4109</v>
      </c>
      <c r="H454" s="407" t="s">
        <v>4306</v>
      </c>
      <c r="I454" s="407" t="s">
        <v>3787</v>
      </c>
      <c r="J454" s="387" t="s">
        <v>4638</v>
      </c>
      <c r="K454" s="387">
        <v>1</v>
      </c>
      <c r="L454" s="387">
        <v>0</v>
      </c>
      <c r="M454" s="387">
        <f t="shared" si="24"/>
        <v>1</v>
      </c>
      <c r="N454" s="442">
        <f t="shared" si="25"/>
        <v>0</v>
      </c>
      <c r="O454" s="387" t="s">
        <v>1358</v>
      </c>
      <c r="P454" s="459">
        <v>0</v>
      </c>
      <c r="Q454" s="459"/>
      <c r="R454" s="456">
        <v>0</v>
      </c>
      <c r="S454" s="456">
        <v>26.664000000000001</v>
      </c>
      <c r="T454" s="410"/>
      <c r="U454" s="411">
        <v>0</v>
      </c>
      <c r="V454" s="411">
        <v>0</v>
      </c>
      <c r="W454" s="411">
        <v>0</v>
      </c>
      <c r="X454" s="411"/>
      <c r="Y454" s="411"/>
      <c r="Z454" s="412">
        <f t="shared" si="26"/>
        <v>0</v>
      </c>
      <c r="AA454" s="456">
        <f t="shared" si="27"/>
        <v>0</v>
      </c>
      <c r="AB454" s="456">
        <v>0</v>
      </c>
      <c r="AC454" s="2"/>
      <c r="AD454" s="4"/>
      <c r="AE454" s="5"/>
      <c r="AF454" s="428"/>
    </row>
    <row r="455" spans="1:32" x14ac:dyDescent="0.25">
      <c r="A455" s="1" t="s">
        <v>2900</v>
      </c>
      <c r="B455" s="3" t="s">
        <v>1368</v>
      </c>
      <c r="C455" s="3" t="s">
        <v>1247</v>
      </c>
      <c r="D455" s="407" t="s">
        <v>1428</v>
      </c>
      <c r="E455" s="3" t="s">
        <v>2210</v>
      </c>
      <c r="F455" s="407" t="s">
        <v>4486</v>
      </c>
      <c r="G455" s="440" t="s">
        <v>4109</v>
      </c>
      <c r="H455" s="407" t="s">
        <v>4307</v>
      </c>
      <c r="I455" s="407" t="s">
        <v>3788</v>
      </c>
      <c r="J455" s="387" t="s">
        <v>4639</v>
      </c>
      <c r="K455" s="387">
        <v>1</v>
      </c>
      <c r="L455" s="387">
        <v>0</v>
      </c>
      <c r="M455" s="387">
        <f t="shared" si="24"/>
        <v>1</v>
      </c>
      <c r="N455" s="442">
        <f t="shared" si="25"/>
        <v>0</v>
      </c>
      <c r="O455" s="387" t="s">
        <v>1358</v>
      </c>
      <c r="P455" s="459">
        <v>0</v>
      </c>
      <c r="Q455" s="459"/>
      <c r="R455" s="456">
        <v>0</v>
      </c>
      <c r="S455" s="456">
        <v>26.664000000000001</v>
      </c>
      <c r="T455" s="410"/>
      <c r="U455" s="411">
        <v>0</v>
      </c>
      <c r="V455" s="411">
        <v>0</v>
      </c>
      <c r="W455" s="411">
        <v>0</v>
      </c>
      <c r="X455" s="411"/>
      <c r="Y455" s="411"/>
      <c r="Z455" s="412">
        <f t="shared" si="26"/>
        <v>0</v>
      </c>
      <c r="AA455" s="456">
        <f t="shared" si="27"/>
        <v>0</v>
      </c>
      <c r="AB455" s="456">
        <v>0</v>
      </c>
      <c r="AC455" s="2"/>
      <c r="AD455" s="4"/>
      <c r="AE455" s="5"/>
      <c r="AF455" s="428"/>
    </row>
    <row r="456" spans="1:32" x14ac:dyDescent="0.25">
      <c r="A456" s="1" t="s">
        <v>2901</v>
      </c>
      <c r="B456" s="3" t="s">
        <v>1368</v>
      </c>
      <c r="C456" s="3" t="s">
        <v>1247</v>
      </c>
      <c r="D456" s="407" t="s">
        <v>1429</v>
      </c>
      <c r="E456" s="3" t="s">
        <v>2211</v>
      </c>
      <c r="F456" s="407" t="s">
        <v>4487</v>
      </c>
      <c r="G456" s="440" t="s">
        <v>4109</v>
      </c>
      <c r="H456" s="407" t="s">
        <v>4308</v>
      </c>
      <c r="I456" s="407" t="s">
        <v>3789</v>
      </c>
      <c r="J456" s="387" t="s">
        <v>4640</v>
      </c>
      <c r="K456" s="387">
        <v>1</v>
      </c>
      <c r="L456" s="387">
        <v>0</v>
      </c>
      <c r="M456" s="387">
        <f t="shared" si="24"/>
        <v>1</v>
      </c>
      <c r="N456" s="442">
        <f t="shared" si="25"/>
        <v>0</v>
      </c>
      <c r="O456" s="387" t="s">
        <v>1358</v>
      </c>
      <c r="P456" s="459">
        <v>0</v>
      </c>
      <c r="Q456" s="459"/>
      <c r="R456" s="456">
        <v>0</v>
      </c>
      <c r="S456" s="456">
        <v>26.664000000000001</v>
      </c>
      <c r="T456" s="410"/>
      <c r="U456" s="411">
        <v>0</v>
      </c>
      <c r="V456" s="411">
        <v>0</v>
      </c>
      <c r="W456" s="411">
        <v>0</v>
      </c>
      <c r="X456" s="411"/>
      <c r="Y456" s="411"/>
      <c r="Z456" s="412">
        <f t="shared" si="26"/>
        <v>0</v>
      </c>
      <c r="AA456" s="456">
        <f t="shared" si="27"/>
        <v>0</v>
      </c>
      <c r="AB456" s="456">
        <v>0</v>
      </c>
      <c r="AC456" s="2"/>
      <c r="AD456" s="4"/>
      <c r="AE456" s="5"/>
      <c r="AF456" s="428"/>
    </row>
    <row r="457" spans="1:32" x14ac:dyDescent="0.25">
      <c r="A457" s="1" t="s">
        <v>2902</v>
      </c>
      <c r="B457" s="3" t="s">
        <v>1368</v>
      </c>
      <c r="C457" s="3" t="s">
        <v>1247</v>
      </c>
      <c r="D457" s="407" t="s">
        <v>1430</v>
      </c>
      <c r="E457" s="3" t="s">
        <v>2212</v>
      </c>
      <c r="F457" s="407" t="s">
        <v>4488</v>
      </c>
      <c r="G457" s="440" t="s">
        <v>4109</v>
      </c>
      <c r="H457" s="407" t="s">
        <v>4309</v>
      </c>
      <c r="I457" s="407" t="s">
        <v>3790</v>
      </c>
      <c r="J457" s="387" t="s">
        <v>4641</v>
      </c>
      <c r="K457" s="387">
        <v>1</v>
      </c>
      <c r="L457" s="387">
        <v>0</v>
      </c>
      <c r="M457" s="387">
        <f t="shared" si="24"/>
        <v>1</v>
      </c>
      <c r="N457" s="442">
        <f t="shared" si="25"/>
        <v>0</v>
      </c>
      <c r="O457" s="387" t="s">
        <v>1358</v>
      </c>
      <c r="P457" s="459">
        <v>0</v>
      </c>
      <c r="Q457" s="459"/>
      <c r="R457" s="456">
        <v>0</v>
      </c>
      <c r="S457" s="456">
        <v>26.664000000000001</v>
      </c>
      <c r="T457" s="410"/>
      <c r="U457" s="411">
        <v>0</v>
      </c>
      <c r="V457" s="411">
        <v>0</v>
      </c>
      <c r="W457" s="411">
        <v>0</v>
      </c>
      <c r="X457" s="411"/>
      <c r="Y457" s="411"/>
      <c r="Z457" s="412">
        <f t="shared" si="26"/>
        <v>0</v>
      </c>
      <c r="AA457" s="456">
        <f t="shared" si="27"/>
        <v>0</v>
      </c>
      <c r="AB457" s="456">
        <v>0</v>
      </c>
      <c r="AC457" s="2"/>
      <c r="AD457" s="4"/>
      <c r="AE457" s="5"/>
      <c r="AF457" s="428"/>
    </row>
    <row r="458" spans="1:32" x14ac:dyDescent="0.25">
      <c r="A458" s="1" t="s">
        <v>2903</v>
      </c>
      <c r="B458" s="3" t="s">
        <v>1368</v>
      </c>
      <c r="C458" s="3" t="s">
        <v>1247</v>
      </c>
      <c r="D458" s="407" t="s">
        <v>1433</v>
      </c>
      <c r="E458" s="3" t="s">
        <v>2213</v>
      </c>
      <c r="F458" s="407" t="s">
        <v>4490</v>
      </c>
      <c r="G458" s="440" t="s">
        <v>4109</v>
      </c>
      <c r="H458" s="407" t="s">
        <v>4311</v>
      </c>
      <c r="I458" s="407" t="s">
        <v>3792</v>
      </c>
      <c r="J458" s="387" t="s">
        <v>4644</v>
      </c>
      <c r="K458" s="387">
        <v>2</v>
      </c>
      <c r="L458" s="387">
        <v>0</v>
      </c>
      <c r="M458" s="387">
        <f t="shared" si="24"/>
        <v>2</v>
      </c>
      <c r="N458" s="442">
        <f t="shared" si="25"/>
        <v>0</v>
      </c>
      <c r="O458" s="387" t="s">
        <v>1358</v>
      </c>
      <c r="P458" s="459">
        <v>0</v>
      </c>
      <c r="Q458" s="459"/>
      <c r="R458" s="456">
        <v>0</v>
      </c>
      <c r="S458" s="456">
        <v>39.878</v>
      </c>
      <c r="T458" s="410"/>
      <c r="U458" s="411">
        <v>0</v>
      </c>
      <c r="V458" s="411">
        <v>0</v>
      </c>
      <c r="W458" s="411">
        <v>0</v>
      </c>
      <c r="X458" s="411"/>
      <c r="Y458" s="411"/>
      <c r="Z458" s="412">
        <f t="shared" si="26"/>
        <v>0</v>
      </c>
      <c r="AA458" s="456">
        <f t="shared" si="27"/>
        <v>0</v>
      </c>
      <c r="AB458" s="456">
        <v>0</v>
      </c>
      <c r="AC458" s="2"/>
      <c r="AD458" s="4"/>
      <c r="AE458" s="5"/>
      <c r="AF458" s="428"/>
    </row>
    <row r="459" spans="1:32" x14ac:dyDescent="0.25">
      <c r="A459" s="1" t="s">
        <v>2904</v>
      </c>
      <c r="B459" s="3" t="s">
        <v>1368</v>
      </c>
      <c r="C459" s="3" t="s">
        <v>1247</v>
      </c>
      <c r="D459" s="407" t="s">
        <v>1374</v>
      </c>
      <c r="E459" s="3" t="s">
        <v>2214</v>
      </c>
      <c r="F459" s="407" t="s">
        <v>4495</v>
      </c>
      <c r="G459" s="440" t="s">
        <v>4109</v>
      </c>
      <c r="H459" s="407" t="s">
        <v>4316</v>
      </c>
      <c r="I459" s="407" t="s">
        <v>3757</v>
      </c>
      <c r="J459" s="387" t="s">
        <v>4665</v>
      </c>
      <c r="K459" s="387">
        <v>2</v>
      </c>
      <c r="L459" s="387">
        <v>0</v>
      </c>
      <c r="M459" s="387">
        <f t="shared" si="24"/>
        <v>2</v>
      </c>
      <c r="N459" s="442">
        <f t="shared" si="25"/>
        <v>0</v>
      </c>
      <c r="O459" s="387" t="s">
        <v>1358</v>
      </c>
      <c r="P459" s="459">
        <v>0</v>
      </c>
      <c r="Q459" s="459"/>
      <c r="R459" s="456">
        <v>0</v>
      </c>
      <c r="S459" s="456">
        <v>38.752000000000002</v>
      </c>
      <c r="T459" s="410"/>
      <c r="U459" s="411">
        <v>1</v>
      </c>
      <c r="V459" s="411">
        <v>1</v>
      </c>
      <c r="W459" s="411">
        <v>1</v>
      </c>
      <c r="X459" s="411"/>
      <c r="Y459" s="411"/>
      <c r="Z459" s="412">
        <f t="shared" si="26"/>
        <v>0</v>
      </c>
      <c r="AA459" s="456">
        <f t="shared" si="27"/>
        <v>0</v>
      </c>
      <c r="AB459" s="456">
        <v>0</v>
      </c>
      <c r="AC459" s="2"/>
      <c r="AD459" s="4"/>
      <c r="AE459" s="5"/>
      <c r="AF459" s="428"/>
    </row>
    <row r="460" spans="1:32" x14ac:dyDescent="0.25">
      <c r="A460" s="1" t="s">
        <v>2905</v>
      </c>
      <c r="B460" s="3" t="s">
        <v>1368</v>
      </c>
      <c r="C460" s="3" t="s">
        <v>1247</v>
      </c>
      <c r="D460" s="407" t="s">
        <v>1377</v>
      </c>
      <c r="E460" s="3" t="s">
        <v>2215</v>
      </c>
      <c r="F460" s="407" t="s">
        <v>4494</v>
      </c>
      <c r="G460" s="440" t="s">
        <v>4109</v>
      </c>
      <c r="H460" s="407" t="s">
        <v>4315</v>
      </c>
      <c r="I460" s="407" t="s">
        <v>3749</v>
      </c>
      <c r="J460" s="387" t="s">
        <v>4648</v>
      </c>
      <c r="K460" s="387">
        <v>1</v>
      </c>
      <c r="L460" s="387">
        <v>0</v>
      </c>
      <c r="M460" s="387">
        <f t="shared" ref="M460:M524" si="28">K460+L460</f>
        <v>1</v>
      </c>
      <c r="N460" s="442">
        <f t="shared" ref="N460:N524" si="29">K460*Z460</f>
        <v>0</v>
      </c>
      <c r="O460" s="387" t="s">
        <v>1358</v>
      </c>
      <c r="P460" s="459">
        <v>0</v>
      </c>
      <c r="Q460" s="459"/>
      <c r="R460" s="456">
        <v>0</v>
      </c>
      <c r="S460" s="456">
        <v>19.376000000000001</v>
      </c>
      <c r="T460" s="410"/>
      <c r="U460" s="411">
        <v>1</v>
      </c>
      <c r="V460" s="411">
        <v>1</v>
      </c>
      <c r="W460" s="411">
        <v>1</v>
      </c>
      <c r="X460" s="411"/>
      <c r="Y460" s="411"/>
      <c r="Z460" s="412">
        <f t="shared" ref="Z460:Z524" si="30">AA460/S460</f>
        <v>0</v>
      </c>
      <c r="AA460" s="456">
        <f t="shared" ref="AA460:AA524" si="31">(U460*U$368*S460)+(V460*V$368*S460)+(W460*W$368*S460)</f>
        <v>0</v>
      </c>
      <c r="AB460" s="456">
        <v>0</v>
      </c>
      <c r="AC460" s="2"/>
      <c r="AD460" s="4"/>
      <c r="AE460" s="5"/>
      <c r="AF460" s="428"/>
    </row>
    <row r="461" spans="1:32" x14ac:dyDescent="0.25">
      <c r="A461" s="1" t="s">
        <v>2906</v>
      </c>
      <c r="B461" s="3" t="s">
        <v>1368</v>
      </c>
      <c r="C461" s="3" t="s">
        <v>1247</v>
      </c>
      <c r="D461" s="407" t="s">
        <v>3291</v>
      </c>
      <c r="E461" s="3" t="s">
        <v>5141</v>
      </c>
      <c r="F461" s="407" t="s">
        <v>4476</v>
      </c>
      <c r="G461" s="440" t="s">
        <v>4109</v>
      </c>
      <c r="H461" s="407" t="s">
        <v>4297</v>
      </c>
      <c r="I461" s="407" t="s">
        <v>3753</v>
      </c>
      <c r="J461" s="387" t="s">
        <v>4651</v>
      </c>
      <c r="K461" s="387">
        <v>1</v>
      </c>
      <c r="L461" s="387">
        <v>0</v>
      </c>
      <c r="M461" s="387">
        <f t="shared" si="28"/>
        <v>1</v>
      </c>
      <c r="N461" s="442">
        <f t="shared" si="29"/>
        <v>0</v>
      </c>
      <c r="O461" s="387" t="s">
        <v>1358</v>
      </c>
      <c r="P461" s="459">
        <v>0</v>
      </c>
      <c r="Q461" s="459"/>
      <c r="R461" s="456">
        <v>0</v>
      </c>
      <c r="S461" s="456">
        <v>60.076999999999998</v>
      </c>
      <c r="T461" s="410"/>
      <c r="U461" s="411">
        <v>1</v>
      </c>
      <c r="V461" s="411">
        <v>1</v>
      </c>
      <c r="W461" s="411">
        <v>1</v>
      </c>
      <c r="X461" s="411"/>
      <c r="Y461" s="411"/>
      <c r="Z461" s="412">
        <f t="shared" si="30"/>
        <v>0</v>
      </c>
      <c r="AA461" s="456">
        <f t="shared" si="31"/>
        <v>0</v>
      </c>
      <c r="AB461" s="456">
        <v>0</v>
      </c>
      <c r="AC461" s="2"/>
      <c r="AD461" s="4"/>
      <c r="AE461" s="5"/>
      <c r="AF461" s="428"/>
    </row>
    <row r="462" spans="1:32" x14ac:dyDescent="0.25">
      <c r="A462" s="1" t="s">
        <v>2907</v>
      </c>
      <c r="B462" s="3" t="s">
        <v>1368</v>
      </c>
      <c r="C462" s="3" t="s">
        <v>1247</v>
      </c>
      <c r="D462" s="407" t="s">
        <v>3293</v>
      </c>
      <c r="E462" s="3" t="s">
        <v>2216</v>
      </c>
      <c r="F462" s="407" t="s">
        <v>4503</v>
      </c>
      <c r="G462" s="440" t="s">
        <v>4109</v>
      </c>
      <c r="H462" s="407" t="s">
        <v>4324</v>
      </c>
      <c r="I462" s="407" t="s">
        <v>3798</v>
      </c>
      <c r="J462" s="387" t="s">
        <v>4658</v>
      </c>
      <c r="K462" s="387">
        <v>1</v>
      </c>
      <c r="L462" s="387">
        <v>0</v>
      </c>
      <c r="M462" s="387">
        <f t="shared" si="28"/>
        <v>1</v>
      </c>
      <c r="N462" s="442">
        <f t="shared" si="29"/>
        <v>0</v>
      </c>
      <c r="O462" s="387" t="s">
        <v>1358</v>
      </c>
      <c r="P462" s="459">
        <v>0</v>
      </c>
      <c r="Q462" s="459"/>
      <c r="R462" s="456">
        <v>0</v>
      </c>
      <c r="S462" s="456">
        <v>29.852</v>
      </c>
      <c r="T462" s="410"/>
      <c r="U462" s="411">
        <v>1</v>
      </c>
      <c r="V462" s="411">
        <v>1</v>
      </c>
      <c r="W462" s="411">
        <v>1</v>
      </c>
      <c r="X462" s="411"/>
      <c r="Y462" s="411"/>
      <c r="Z462" s="412">
        <f t="shared" si="30"/>
        <v>0</v>
      </c>
      <c r="AA462" s="456">
        <f t="shared" si="31"/>
        <v>0</v>
      </c>
      <c r="AB462" s="456">
        <v>0</v>
      </c>
      <c r="AC462" s="2"/>
      <c r="AD462" s="4"/>
      <c r="AE462" s="5"/>
      <c r="AF462" s="428"/>
    </row>
    <row r="463" spans="1:32" x14ac:dyDescent="0.25">
      <c r="A463" s="1" t="s">
        <v>2908</v>
      </c>
      <c r="B463" s="3" t="s">
        <v>1368</v>
      </c>
      <c r="C463" s="3" t="s">
        <v>1247</v>
      </c>
      <c r="D463" s="407" t="s">
        <v>1398</v>
      </c>
      <c r="E463" s="3" t="s">
        <v>2217</v>
      </c>
      <c r="F463" s="407" t="s">
        <v>4496</v>
      </c>
      <c r="G463" s="440" t="s">
        <v>4109</v>
      </c>
      <c r="H463" s="407" t="s">
        <v>4317</v>
      </c>
      <c r="I463" s="407" t="s">
        <v>3796</v>
      </c>
      <c r="J463" s="387" t="s">
        <v>4650</v>
      </c>
      <c r="K463" s="387">
        <v>1</v>
      </c>
      <c r="L463" s="387">
        <v>0</v>
      </c>
      <c r="M463" s="387">
        <f t="shared" si="28"/>
        <v>1</v>
      </c>
      <c r="N463" s="442">
        <f t="shared" si="29"/>
        <v>0</v>
      </c>
      <c r="O463" s="387" t="s">
        <v>1358</v>
      </c>
      <c r="P463" s="459">
        <v>0</v>
      </c>
      <c r="Q463" s="459"/>
      <c r="R463" s="456">
        <v>0</v>
      </c>
      <c r="S463" s="456">
        <v>29.010999999999999</v>
      </c>
      <c r="T463" s="410"/>
      <c r="U463" s="411">
        <v>1</v>
      </c>
      <c r="V463" s="411">
        <v>1</v>
      </c>
      <c r="W463" s="411">
        <v>1</v>
      </c>
      <c r="X463" s="411"/>
      <c r="Y463" s="411"/>
      <c r="Z463" s="412">
        <f t="shared" si="30"/>
        <v>0</v>
      </c>
      <c r="AA463" s="456">
        <f t="shared" si="31"/>
        <v>0</v>
      </c>
      <c r="AB463" s="456">
        <v>0</v>
      </c>
      <c r="AC463" s="2"/>
      <c r="AD463" s="4"/>
      <c r="AE463" s="5"/>
      <c r="AF463" s="428"/>
    </row>
    <row r="464" spans="1:32" x14ac:dyDescent="0.25">
      <c r="A464" s="1" t="s">
        <v>2909</v>
      </c>
      <c r="B464" s="3" t="s">
        <v>1368</v>
      </c>
      <c r="C464" s="3" t="s">
        <v>1247</v>
      </c>
      <c r="D464" s="407" t="s">
        <v>1397</v>
      </c>
      <c r="E464" s="3" t="s">
        <v>2218</v>
      </c>
      <c r="F464" s="407" t="s">
        <v>4493</v>
      </c>
      <c r="G464" s="440" t="s">
        <v>4109</v>
      </c>
      <c r="H464" s="407" t="s">
        <v>4314</v>
      </c>
      <c r="I464" s="407" t="s">
        <v>3795</v>
      </c>
      <c r="J464" s="387" t="s">
        <v>4647</v>
      </c>
      <c r="K464" s="387">
        <v>1</v>
      </c>
      <c r="L464" s="387">
        <v>0</v>
      </c>
      <c r="M464" s="387">
        <f t="shared" si="28"/>
        <v>1</v>
      </c>
      <c r="N464" s="442">
        <f t="shared" si="29"/>
        <v>0</v>
      </c>
      <c r="O464" s="387" t="s">
        <v>1358</v>
      </c>
      <c r="P464" s="459">
        <v>0</v>
      </c>
      <c r="Q464" s="459"/>
      <c r="R464" s="456">
        <v>0</v>
      </c>
      <c r="S464" s="456">
        <v>9.9380000000000006</v>
      </c>
      <c r="T464" s="410"/>
      <c r="U464" s="411">
        <v>0</v>
      </c>
      <c r="V464" s="411">
        <v>0</v>
      </c>
      <c r="W464" s="411">
        <v>0</v>
      </c>
      <c r="X464" s="411"/>
      <c r="Y464" s="411"/>
      <c r="Z464" s="412">
        <f t="shared" si="30"/>
        <v>0</v>
      </c>
      <c r="AA464" s="456">
        <f t="shared" si="31"/>
        <v>0</v>
      </c>
      <c r="AB464" s="456">
        <v>0</v>
      </c>
      <c r="AC464" s="2"/>
      <c r="AD464" s="4"/>
      <c r="AE464" s="5"/>
      <c r="AF464" s="428"/>
    </row>
    <row r="465" spans="1:32" x14ac:dyDescent="0.25">
      <c r="A465" s="1" t="s">
        <v>2910</v>
      </c>
      <c r="B465" s="3" t="s">
        <v>1368</v>
      </c>
      <c r="C465" s="3" t="s">
        <v>1247</v>
      </c>
      <c r="D465" s="407" t="s">
        <v>1374</v>
      </c>
      <c r="E465" s="3" t="s">
        <v>2219</v>
      </c>
      <c r="F465" s="407" t="s">
        <v>4495</v>
      </c>
      <c r="G465" s="440" t="s">
        <v>4109</v>
      </c>
      <c r="H465" s="407" t="s">
        <v>4316</v>
      </c>
      <c r="I465" s="407" t="s">
        <v>3757</v>
      </c>
      <c r="J465" s="387" t="s">
        <v>4649</v>
      </c>
      <c r="K465" s="387">
        <v>2</v>
      </c>
      <c r="L465" s="387">
        <v>0</v>
      </c>
      <c r="M465" s="387">
        <f t="shared" si="28"/>
        <v>2</v>
      </c>
      <c r="N465" s="442">
        <f t="shared" si="29"/>
        <v>0</v>
      </c>
      <c r="O465" s="387" t="s">
        <v>1358</v>
      </c>
      <c r="P465" s="459">
        <v>0</v>
      </c>
      <c r="Q465" s="459"/>
      <c r="R465" s="456">
        <v>0</v>
      </c>
      <c r="S465" s="456">
        <v>58.15</v>
      </c>
      <c r="T465" s="410"/>
      <c r="U465" s="411">
        <v>1</v>
      </c>
      <c r="V465" s="411">
        <v>1</v>
      </c>
      <c r="W465" s="411">
        <v>1</v>
      </c>
      <c r="X465" s="411"/>
      <c r="Y465" s="411"/>
      <c r="Z465" s="412">
        <f t="shared" si="30"/>
        <v>0</v>
      </c>
      <c r="AA465" s="456">
        <f t="shared" si="31"/>
        <v>0</v>
      </c>
      <c r="AB465" s="456">
        <v>0</v>
      </c>
      <c r="AC465" s="2"/>
      <c r="AD465" s="4"/>
      <c r="AE465" s="5"/>
      <c r="AF465" s="428"/>
    </row>
    <row r="466" spans="1:32" x14ac:dyDescent="0.25">
      <c r="A466" s="1" t="s">
        <v>2911</v>
      </c>
      <c r="B466" s="3" t="s">
        <v>1368</v>
      </c>
      <c r="C466" s="3" t="s">
        <v>1247</v>
      </c>
      <c r="D466" s="407" t="s">
        <v>1377</v>
      </c>
      <c r="E466" s="3" t="s">
        <v>2220</v>
      </c>
      <c r="F466" s="407" t="s">
        <v>4494</v>
      </c>
      <c r="G466" s="440" t="s">
        <v>4109</v>
      </c>
      <c r="H466" s="407" t="s">
        <v>4315</v>
      </c>
      <c r="I466" s="407" t="s">
        <v>3749</v>
      </c>
      <c r="J466" s="387" t="s">
        <v>4648</v>
      </c>
      <c r="K466" s="387">
        <v>1</v>
      </c>
      <c r="L466" s="387">
        <v>0</v>
      </c>
      <c r="M466" s="387">
        <f t="shared" si="28"/>
        <v>1</v>
      </c>
      <c r="N466" s="442">
        <f t="shared" si="29"/>
        <v>0</v>
      </c>
      <c r="O466" s="387" t="s">
        <v>1358</v>
      </c>
      <c r="P466" s="459">
        <v>0</v>
      </c>
      <c r="Q466" s="459"/>
      <c r="R466" s="456">
        <v>0</v>
      </c>
      <c r="S466" s="456">
        <v>58.389000000000003</v>
      </c>
      <c r="T466" s="410"/>
      <c r="U466" s="411">
        <v>1</v>
      </c>
      <c r="V466" s="411">
        <v>1</v>
      </c>
      <c r="W466" s="411">
        <v>1</v>
      </c>
      <c r="X466" s="411"/>
      <c r="Y466" s="411"/>
      <c r="Z466" s="412">
        <f t="shared" si="30"/>
        <v>0</v>
      </c>
      <c r="AA466" s="456">
        <f t="shared" si="31"/>
        <v>0</v>
      </c>
      <c r="AB466" s="456">
        <v>0</v>
      </c>
      <c r="AC466" s="2"/>
      <c r="AD466" s="4"/>
      <c r="AE466" s="5"/>
      <c r="AF466" s="428"/>
    </row>
    <row r="467" spans="1:32" x14ac:dyDescent="0.25">
      <c r="A467" s="1" t="s">
        <v>2912</v>
      </c>
      <c r="B467" s="3" t="s">
        <v>1368</v>
      </c>
      <c r="C467" s="3" t="s">
        <v>1247</v>
      </c>
      <c r="D467" s="407" t="s">
        <v>1379</v>
      </c>
      <c r="E467" s="3" t="s">
        <v>2221</v>
      </c>
      <c r="F467" s="407" t="s">
        <v>4502</v>
      </c>
      <c r="G467" s="440" t="s">
        <v>4109</v>
      </c>
      <c r="H467" s="407" t="s">
        <v>4323</v>
      </c>
      <c r="I467" s="407" t="s">
        <v>3750</v>
      </c>
      <c r="J467" s="387" t="s">
        <v>4632</v>
      </c>
      <c r="K467" s="387">
        <v>1</v>
      </c>
      <c r="L467" s="387">
        <v>0</v>
      </c>
      <c r="M467" s="387">
        <f t="shared" si="28"/>
        <v>1</v>
      </c>
      <c r="N467" s="442">
        <f t="shared" si="29"/>
        <v>0</v>
      </c>
      <c r="O467" s="387" t="s">
        <v>1358</v>
      </c>
      <c r="P467" s="459">
        <v>0</v>
      </c>
      <c r="Q467" s="459"/>
      <c r="R467" s="456">
        <v>0</v>
      </c>
      <c r="S467" s="456">
        <v>58.389000000000003</v>
      </c>
      <c r="T467" s="410"/>
      <c r="U467" s="411">
        <v>1</v>
      </c>
      <c r="V467" s="411">
        <v>1</v>
      </c>
      <c r="W467" s="411">
        <v>1</v>
      </c>
      <c r="X467" s="411"/>
      <c r="Y467" s="411"/>
      <c r="Z467" s="412">
        <f t="shared" si="30"/>
        <v>0</v>
      </c>
      <c r="AA467" s="456">
        <f t="shared" si="31"/>
        <v>0</v>
      </c>
      <c r="AB467" s="456">
        <v>0</v>
      </c>
      <c r="AC467" s="2"/>
      <c r="AD467" s="4"/>
      <c r="AE467" s="5"/>
      <c r="AF467" s="428"/>
    </row>
    <row r="468" spans="1:32" x14ac:dyDescent="0.25">
      <c r="A468" s="1" t="s">
        <v>2913</v>
      </c>
      <c r="B468" s="3" t="s">
        <v>1368</v>
      </c>
      <c r="C468" s="3" t="s">
        <v>1247</v>
      </c>
      <c r="D468" s="407" t="s">
        <v>1381</v>
      </c>
      <c r="E468" s="3" t="s">
        <v>2222</v>
      </c>
      <c r="F468" s="407" t="s">
        <v>4497</v>
      </c>
      <c r="G468" s="440" t="s">
        <v>4109</v>
      </c>
      <c r="H468" s="407" t="s">
        <v>4318</v>
      </c>
      <c r="I468" s="407" t="s">
        <v>3751</v>
      </c>
      <c r="J468" s="387" t="s">
        <v>4631</v>
      </c>
      <c r="K468" s="387">
        <v>1</v>
      </c>
      <c r="L468" s="387">
        <v>0</v>
      </c>
      <c r="M468" s="387">
        <f t="shared" si="28"/>
        <v>1</v>
      </c>
      <c r="N468" s="442">
        <f t="shared" si="29"/>
        <v>0</v>
      </c>
      <c r="O468" s="387" t="s">
        <v>1358</v>
      </c>
      <c r="P468" s="459">
        <v>0</v>
      </c>
      <c r="Q468" s="459"/>
      <c r="R468" s="456">
        <v>0</v>
      </c>
      <c r="S468" s="456">
        <v>58.389000000000003</v>
      </c>
      <c r="T468" s="410"/>
      <c r="U468" s="411">
        <v>1</v>
      </c>
      <c r="V468" s="411">
        <v>1</v>
      </c>
      <c r="W468" s="411">
        <v>1</v>
      </c>
      <c r="X468" s="411"/>
      <c r="Y468" s="411"/>
      <c r="Z468" s="412">
        <f t="shared" si="30"/>
        <v>0</v>
      </c>
      <c r="AA468" s="456">
        <f t="shared" si="31"/>
        <v>0</v>
      </c>
      <c r="AB468" s="456">
        <v>0</v>
      </c>
      <c r="AC468" s="2"/>
      <c r="AD468" s="4"/>
      <c r="AE468" s="5"/>
      <c r="AF468" s="428"/>
    </row>
    <row r="469" spans="1:32" x14ac:dyDescent="0.25">
      <c r="A469" s="1" t="s">
        <v>2914</v>
      </c>
      <c r="B469" s="3" t="s">
        <v>1368</v>
      </c>
      <c r="C469" s="3" t="s">
        <v>1247</v>
      </c>
      <c r="D469" s="407" t="s">
        <v>1396</v>
      </c>
      <c r="E469" s="3" t="s">
        <v>2223</v>
      </c>
      <c r="F469" s="407" t="s">
        <v>4498</v>
      </c>
      <c r="G469" s="440" t="s">
        <v>4109</v>
      </c>
      <c r="H469" s="407" t="s">
        <v>4319</v>
      </c>
      <c r="I469" s="407" t="s">
        <v>3752</v>
      </c>
      <c r="J469" s="387" t="s">
        <v>4652</v>
      </c>
      <c r="K469" s="387">
        <v>1</v>
      </c>
      <c r="L469" s="387">
        <v>0</v>
      </c>
      <c r="M469" s="387">
        <f t="shared" si="28"/>
        <v>1</v>
      </c>
      <c r="N469" s="442">
        <f t="shared" si="29"/>
        <v>0</v>
      </c>
      <c r="O469" s="387" t="s">
        <v>1358</v>
      </c>
      <c r="P469" s="459">
        <v>0</v>
      </c>
      <c r="Q469" s="459"/>
      <c r="R469" s="456">
        <v>0</v>
      </c>
      <c r="S469" s="456">
        <v>58.389000000000003</v>
      </c>
      <c r="T469" s="410"/>
      <c r="U469" s="411">
        <v>1</v>
      </c>
      <c r="V469" s="411">
        <v>1</v>
      </c>
      <c r="W469" s="411">
        <v>1</v>
      </c>
      <c r="X469" s="411"/>
      <c r="Y469" s="411"/>
      <c r="Z469" s="412">
        <f t="shared" si="30"/>
        <v>0</v>
      </c>
      <c r="AA469" s="456">
        <f t="shared" si="31"/>
        <v>0</v>
      </c>
      <c r="AB469" s="456">
        <v>0</v>
      </c>
      <c r="AC469" s="2"/>
      <c r="AD469" s="4"/>
      <c r="AE469" s="5"/>
      <c r="AF469" s="428"/>
    </row>
    <row r="470" spans="1:32" x14ac:dyDescent="0.25">
      <c r="A470" s="1" t="s">
        <v>2915</v>
      </c>
      <c r="B470" s="3" t="s">
        <v>1368</v>
      </c>
      <c r="C470" s="3" t="s">
        <v>1247</v>
      </c>
      <c r="D470" s="407" t="s">
        <v>1399</v>
      </c>
      <c r="E470" s="3" t="s">
        <v>2224</v>
      </c>
      <c r="F470" s="407" t="s">
        <v>4499</v>
      </c>
      <c r="G470" s="440" t="s">
        <v>4109</v>
      </c>
      <c r="H470" s="407" t="s">
        <v>4320</v>
      </c>
      <c r="I470" s="407" t="s">
        <v>3758</v>
      </c>
      <c r="J470" s="387" t="s">
        <v>4653</v>
      </c>
      <c r="K470" s="387">
        <v>1</v>
      </c>
      <c r="L470" s="387">
        <v>0</v>
      </c>
      <c r="M470" s="387">
        <f t="shared" si="28"/>
        <v>1</v>
      </c>
      <c r="N470" s="442">
        <f t="shared" si="29"/>
        <v>0</v>
      </c>
      <c r="O470" s="387" t="s">
        <v>1358</v>
      </c>
      <c r="P470" s="459">
        <v>0</v>
      </c>
      <c r="Q470" s="459"/>
      <c r="R470" s="456">
        <v>0</v>
      </c>
      <c r="S470" s="456">
        <v>58.389000000000003</v>
      </c>
      <c r="T470" s="410"/>
      <c r="U470" s="411">
        <v>0</v>
      </c>
      <c r="V470" s="411">
        <v>0</v>
      </c>
      <c r="W470" s="411">
        <v>0</v>
      </c>
      <c r="X470" s="411"/>
      <c r="Y470" s="411"/>
      <c r="Z470" s="412">
        <f t="shared" si="30"/>
        <v>0</v>
      </c>
      <c r="AA470" s="456">
        <f t="shared" si="31"/>
        <v>0</v>
      </c>
      <c r="AB470" s="456">
        <v>0</v>
      </c>
      <c r="AC470" s="2"/>
      <c r="AD470" s="4"/>
      <c r="AE470" s="5"/>
      <c r="AF470" s="428"/>
    </row>
    <row r="471" spans="1:32" x14ac:dyDescent="0.25">
      <c r="A471" s="1" t="s">
        <v>2916</v>
      </c>
      <c r="B471" s="3" t="s">
        <v>1368</v>
      </c>
      <c r="C471" s="3" t="s">
        <v>1247</v>
      </c>
      <c r="D471" s="407" t="s">
        <v>1400</v>
      </c>
      <c r="E471" s="3" t="s">
        <v>2225</v>
      </c>
      <c r="F471" s="407" t="s">
        <v>4477</v>
      </c>
      <c r="G471" s="440" t="s">
        <v>4109</v>
      </c>
      <c r="H471" s="407" t="s">
        <v>4298</v>
      </c>
      <c r="I471" s="407" t="s">
        <v>3779</v>
      </c>
      <c r="J471" s="387" t="s">
        <v>4656</v>
      </c>
      <c r="K471" s="387">
        <v>1</v>
      </c>
      <c r="L471" s="387">
        <v>0</v>
      </c>
      <c r="M471" s="387">
        <f t="shared" si="28"/>
        <v>1</v>
      </c>
      <c r="N471" s="442">
        <f t="shared" si="29"/>
        <v>0</v>
      </c>
      <c r="O471" s="387" t="s">
        <v>1358</v>
      </c>
      <c r="P471" s="459">
        <v>0</v>
      </c>
      <c r="Q471" s="459"/>
      <c r="R471" s="456">
        <v>0</v>
      </c>
      <c r="S471" s="456">
        <v>58.389000000000003</v>
      </c>
      <c r="T471" s="410"/>
      <c r="U471" s="411">
        <v>1</v>
      </c>
      <c r="V471" s="411">
        <v>1</v>
      </c>
      <c r="W471" s="411">
        <v>1</v>
      </c>
      <c r="X471" s="411"/>
      <c r="Y471" s="411"/>
      <c r="Z471" s="412">
        <f t="shared" si="30"/>
        <v>0</v>
      </c>
      <c r="AA471" s="456">
        <f t="shared" si="31"/>
        <v>0</v>
      </c>
      <c r="AB471" s="456">
        <v>0</v>
      </c>
      <c r="AC471" s="2"/>
      <c r="AD471" s="4"/>
      <c r="AE471" s="5"/>
      <c r="AF471" s="428"/>
    </row>
    <row r="472" spans="1:32" x14ac:dyDescent="0.25">
      <c r="A472" s="1" t="s">
        <v>2917</v>
      </c>
      <c r="B472" s="3" t="s">
        <v>1368</v>
      </c>
      <c r="C472" s="3" t="s">
        <v>1247</v>
      </c>
      <c r="D472" s="407" t="s">
        <v>1401</v>
      </c>
      <c r="E472" s="3" t="s">
        <v>2226</v>
      </c>
      <c r="F472" s="407" t="s">
        <v>4478</v>
      </c>
      <c r="G472" s="440" t="s">
        <v>4109</v>
      </c>
      <c r="H472" s="407" t="s">
        <v>4299</v>
      </c>
      <c r="I472" s="407" t="s">
        <v>3780</v>
      </c>
      <c r="J472" s="387" t="s">
        <v>4657</v>
      </c>
      <c r="K472" s="387">
        <v>1</v>
      </c>
      <c r="L472" s="387">
        <v>0</v>
      </c>
      <c r="M472" s="387">
        <f t="shared" si="28"/>
        <v>1</v>
      </c>
      <c r="N472" s="442">
        <f t="shared" si="29"/>
        <v>0</v>
      </c>
      <c r="O472" s="387" t="s">
        <v>1358</v>
      </c>
      <c r="P472" s="459">
        <v>0</v>
      </c>
      <c r="Q472" s="459"/>
      <c r="R472" s="456">
        <v>0</v>
      </c>
      <c r="S472" s="456">
        <v>58.389000000000003</v>
      </c>
      <c r="T472" s="410"/>
      <c r="U472" s="411">
        <v>0</v>
      </c>
      <c r="V472" s="411">
        <v>0</v>
      </c>
      <c r="W472" s="411">
        <v>0</v>
      </c>
      <c r="X472" s="411"/>
      <c r="Y472" s="411"/>
      <c r="Z472" s="412">
        <f t="shared" si="30"/>
        <v>0</v>
      </c>
      <c r="AA472" s="456">
        <f t="shared" si="31"/>
        <v>0</v>
      </c>
      <c r="AB472" s="456">
        <v>0</v>
      </c>
      <c r="AC472" s="2"/>
      <c r="AD472" s="4"/>
      <c r="AE472" s="5"/>
      <c r="AF472" s="428"/>
    </row>
    <row r="473" spans="1:32" x14ac:dyDescent="0.25">
      <c r="A473" s="430" t="s">
        <v>5122</v>
      </c>
      <c r="B473" s="3" t="s">
        <v>1368</v>
      </c>
      <c r="C473" s="3" t="s">
        <v>1247</v>
      </c>
      <c r="D473" s="407" t="s">
        <v>1397</v>
      </c>
      <c r="E473" s="3" t="s">
        <v>5033</v>
      </c>
      <c r="F473" s="407"/>
      <c r="G473" s="440"/>
      <c r="H473" s="407"/>
      <c r="I473" s="407"/>
      <c r="J473" s="387" t="s">
        <v>4647</v>
      </c>
      <c r="K473" s="387">
        <v>1</v>
      </c>
      <c r="L473" s="387">
        <v>0</v>
      </c>
      <c r="M473" s="387">
        <f t="shared" si="28"/>
        <v>1</v>
      </c>
      <c r="N473" s="442">
        <f t="shared" si="29"/>
        <v>0</v>
      </c>
      <c r="O473" s="387" t="s">
        <v>1358</v>
      </c>
      <c r="P473" s="459">
        <v>0</v>
      </c>
      <c r="Q473" s="459"/>
      <c r="R473" s="456">
        <v>0</v>
      </c>
      <c r="S473" s="456">
        <v>9.9380000000000006</v>
      </c>
      <c r="T473" s="410"/>
      <c r="U473" s="411">
        <v>1</v>
      </c>
      <c r="V473" s="411">
        <v>1</v>
      </c>
      <c r="W473" s="411">
        <v>1</v>
      </c>
      <c r="X473" s="411"/>
      <c r="Y473" s="411"/>
      <c r="Z473" s="412">
        <f t="shared" si="30"/>
        <v>0</v>
      </c>
      <c r="AA473" s="456">
        <f t="shared" si="31"/>
        <v>0</v>
      </c>
      <c r="AB473" s="456">
        <v>0</v>
      </c>
      <c r="AC473" s="2"/>
      <c r="AD473" s="4"/>
      <c r="AE473" s="5"/>
      <c r="AF473" s="428"/>
    </row>
    <row r="474" spans="1:32" x14ac:dyDescent="0.25">
      <c r="A474" s="1" t="s">
        <v>2918</v>
      </c>
      <c r="B474" s="3" t="s">
        <v>1368</v>
      </c>
      <c r="C474" s="3" t="s">
        <v>1247</v>
      </c>
      <c r="D474" s="407" t="s">
        <v>1425</v>
      </c>
      <c r="E474" s="3" t="s">
        <v>2227</v>
      </c>
      <c r="F474" s="407" t="s">
        <v>4479</v>
      </c>
      <c r="G474" s="440" t="s">
        <v>4109</v>
      </c>
      <c r="H474" s="407" t="s">
        <v>4300</v>
      </c>
      <c r="I474" s="407" t="s">
        <v>3781</v>
      </c>
      <c r="J474" s="387" t="s">
        <v>4643</v>
      </c>
      <c r="K474" s="387">
        <v>1</v>
      </c>
      <c r="L474" s="387">
        <v>0</v>
      </c>
      <c r="M474" s="387">
        <f t="shared" si="28"/>
        <v>1</v>
      </c>
      <c r="N474" s="442">
        <f t="shared" si="29"/>
        <v>0</v>
      </c>
      <c r="O474" s="387" t="s">
        <v>1358</v>
      </c>
      <c r="P474" s="459">
        <v>0</v>
      </c>
      <c r="Q474" s="459"/>
      <c r="R474" s="456">
        <v>0</v>
      </c>
      <c r="S474" s="456">
        <v>9.3759999999999994</v>
      </c>
      <c r="T474" s="410"/>
      <c r="U474" s="411">
        <v>1</v>
      </c>
      <c r="V474" s="411">
        <v>1</v>
      </c>
      <c r="W474" s="411">
        <v>1</v>
      </c>
      <c r="X474" s="411"/>
      <c r="Y474" s="411"/>
      <c r="Z474" s="412">
        <f t="shared" si="30"/>
        <v>0</v>
      </c>
      <c r="AA474" s="456">
        <f t="shared" si="31"/>
        <v>0</v>
      </c>
      <c r="AB474" s="456">
        <v>0</v>
      </c>
      <c r="AC474" s="2"/>
      <c r="AD474" s="4"/>
      <c r="AE474" s="5"/>
      <c r="AF474" s="428"/>
    </row>
    <row r="475" spans="1:32" x14ac:dyDescent="0.25">
      <c r="A475" s="1" t="s">
        <v>2919</v>
      </c>
      <c r="B475" s="3" t="s">
        <v>1368</v>
      </c>
      <c r="C475" s="3" t="s">
        <v>1247</v>
      </c>
      <c r="D475" s="407" t="s">
        <v>1426</v>
      </c>
      <c r="E475" s="3" t="s">
        <v>2228</v>
      </c>
      <c r="F475" s="407" t="s">
        <v>4480</v>
      </c>
      <c r="G475" s="440" t="s">
        <v>4109</v>
      </c>
      <c r="H475" s="407" t="s">
        <v>4301</v>
      </c>
      <c r="I475" s="407" t="s">
        <v>3782</v>
      </c>
      <c r="J475" s="387" t="s">
        <v>4637</v>
      </c>
      <c r="K475" s="387">
        <v>1</v>
      </c>
      <c r="L475" s="387">
        <v>0</v>
      </c>
      <c r="M475" s="387">
        <f t="shared" si="28"/>
        <v>1</v>
      </c>
      <c r="N475" s="442">
        <f t="shared" si="29"/>
        <v>0</v>
      </c>
      <c r="O475" s="387" t="s">
        <v>1358</v>
      </c>
      <c r="P475" s="459">
        <v>0</v>
      </c>
      <c r="Q475" s="459"/>
      <c r="R475" s="456">
        <v>0</v>
      </c>
      <c r="S475" s="456">
        <v>9.3759999999999994</v>
      </c>
      <c r="T475" s="410"/>
      <c r="U475" s="411">
        <v>1</v>
      </c>
      <c r="V475" s="411">
        <v>1</v>
      </c>
      <c r="W475" s="411">
        <v>1</v>
      </c>
      <c r="X475" s="411"/>
      <c r="Y475" s="411"/>
      <c r="Z475" s="412">
        <f t="shared" si="30"/>
        <v>0</v>
      </c>
      <c r="AA475" s="456">
        <f t="shared" si="31"/>
        <v>0</v>
      </c>
      <c r="AB475" s="456">
        <v>0</v>
      </c>
      <c r="AC475" s="2"/>
      <c r="AD475" s="4"/>
      <c r="AE475" s="5"/>
      <c r="AF475" s="428"/>
    </row>
    <row r="476" spans="1:32" x14ac:dyDescent="0.25">
      <c r="A476" s="1" t="s">
        <v>2920</v>
      </c>
      <c r="B476" s="3" t="s">
        <v>1368</v>
      </c>
      <c r="C476" s="3" t="s">
        <v>1247</v>
      </c>
      <c r="D476" s="407" t="s">
        <v>1402</v>
      </c>
      <c r="E476" s="3" t="s">
        <v>2229</v>
      </c>
      <c r="F476" s="407" t="s">
        <v>4481</v>
      </c>
      <c r="G476" s="440" t="s">
        <v>4109</v>
      </c>
      <c r="H476" s="407" t="s">
        <v>4302</v>
      </c>
      <c r="I476" s="407" t="s">
        <v>3783</v>
      </c>
      <c r="J476" s="387" t="s">
        <v>4659</v>
      </c>
      <c r="K476" s="387">
        <v>1</v>
      </c>
      <c r="L476" s="387">
        <v>0</v>
      </c>
      <c r="M476" s="387">
        <f t="shared" si="28"/>
        <v>1</v>
      </c>
      <c r="N476" s="442">
        <f t="shared" si="29"/>
        <v>0</v>
      </c>
      <c r="O476" s="387" t="s">
        <v>1358</v>
      </c>
      <c r="P476" s="459">
        <v>0</v>
      </c>
      <c r="Q476" s="459"/>
      <c r="R476" s="456">
        <v>0</v>
      </c>
      <c r="S476" s="456">
        <v>9.657</v>
      </c>
      <c r="T476" s="410"/>
      <c r="U476" s="411">
        <v>0</v>
      </c>
      <c r="V476" s="411">
        <v>0</v>
      </c>
      <c r="W476" s="411">
        <v>0</v>
      </c>
      <c r="X476" s="411"/>
      <c r="Y476" s="411"/>
      <c r="Z476" s="412">
        <f t="shared" si="30"/>
        <v>0</v>
      </c>
      <c r="AA476" s="456">
        <f t="shared" si="31"/>
        <v>0</v>
      </c>
      <c r="AB476" s="456">
        <v>0</v>
      </c>
      <c r="AC476" s="2"/>
      <c r="AD476" s="4"/>
      <c r="AE476" s="5"/>
      <c r="AF476" s="428"/>
    </row>
    <row r="477" spans="1:32" x14ac:dyDescent="0.25">
      <c r="A477" s="1" t="s">
        <v>2921</v>
      </c>
      <c r="B477" s="3" t="s">
        <v>1368</v>
      </c>
      <c r="C477" s="3" t="s">
        <v>1247</v>
      </c>
      <c r="D477" s="407" t="s">
        <v>3546</v>
      </c>
      <c r="E477" s="3" t="s">
        <v>2230</v>
      </c>
      <c r="F477" s="407" t="s">
        <v>4482</v>
      </c>
      <c r="G477" s="440" t="s">
        <v>4109</v>
      </c>
      <c r="H477" s="407" t="s">
        <v>4303</v>
      </c>
      <c r="I477" s="407" t="s">
        <v>3784</v>
      </c>
      <c r="J477" s="387" t="s">
        <v>4660</v>
      </c>
      <c r="K477" s="387">
        <v>1</v>
      </c>
      <c r="L477" s="387">
        <v>0</v>
      </c>
      <c r="M477" s="387">
        <f t="shared" si="28"/>
        <v>1</v>
      </c>
      <c r="N477" s="442">
        <f t="shared" si="29"/>
        <v>0</v>
      </c>
      <c r="O477" s="387" t="s">
        <v>1358</v>
      </c>
      <c r="P477" s="459">
        <v>0</v>
      </c>
      <c r="Q477" s="459"/>
      <c r="R477" s="456">
        <v>0</v>
      </c>
      <c r="S477" s="456">
        <v>9.657</v>
      </c>
      <c r="T477" s="410"/>
      <c r="U477" s="411">
        <v>0</v>
      </c>
      <c r="V477" s="411">
        <v>0</v>
      </c>
      <c r="W477" s="411">
        <v>0</v>
      </c>
      <c r="X477" s="411"/>
      <c r="Y477" s="411"/>
      <c r="Z477" s="412">
        <f t="shared" si="30"/>
        <v>0</v>
      </c>
      <c r="AA477" s="456">
        <f t="shared" si="31"/>
        <v>0</v>
      </c>
      <c r="AB477" s="456">
        <v>0</v>
      </c>
      <c r="AC477" s="2"/>
      <c r="AD477" s="4"/>
      <c r="AE477" s="5"/>
      <c r="AF477" s="428"/>
    </row>
    <row r="478" spans="1:32" x14ac:dyDescent="0.25">
      <c r="A478" s="1" t="s">
        <v>2922</v>
      </c>
      <c r="B478" s="3" t="s">
        <v>1368</v>
      </c>
      <c r="C478" s="3" t="s">
        <v>1247</v>
      </c>
      <c r="D478" s="407" t="s">
        <v>3547</v>
      </c>
      <c r="E478" s="3" t="s">
        <v>2231</v>
      </c>
      <c r="F478" s="407" t="s">
        <v>4501</v>
      </c>
      <c r="G478" s="440" t="s">
        <v>4109</v>
      </c>
      <c r="H478" s="407" t="s">
        <v>4322</v>
      </c>
      <c r="I478" s="407" t="s">
        <v>3797</v>
      </c>
      <c r="J478" s="387" t="s">
        <v>4655</v>
      </c>
      <c r="K478" s="387">
        <v>1</v>
      </c>
      <c r="L478" s="387">
        <v>0</v>
      </c>
      <c r="M478" s="387">
        <f t="shared" si="28"/>
        <v>1</v>
      </c>
      <c r="N478" s="442">
        <f t="shared" si="29"/>
        <v>0</v>
      </c>
      <c r="O478" s="387" t="s">
        <v>1358</v>
      </c>
      <c r="P478" s="459">
        <v>0</v>
      </c>
      <c r="Q478" s="459"/>
      <c r="R478" s="456">
        <v>0</v>
      </c>
      <c r="S478" s="456">
        <v>9.657</v>
      </c>
      <c r="T478" s="410"/>
      <c r="U478" s="411">
        <v>0</v>
      </c>
      <c r="V478" s="411">
        <v>0</v>
      </c>
      <c r="W478" s="411">
        <v>0</v>
      </c>
      <c r="X478" s="411"/>
      <c r="Y478" s="411"/>
      <c r="Z478" s="412">
        <f t="shared" si="30"/>
        <v>0</v>
      </c>
      <c r="AA478" s="456">
        <f t="shared" si="31"/>
        <v>0</v>
      </c>
      <c r="AB478" s="456">
        <v>0</v>
      </c>
      <c r="AC478" s="2"/>
      <c r="AD478" s="4"/>
      <c r="AE478" s="5"/>
      <c r="AF478" s="428"/>
    </row>
    <row r="479" spans="1:32" x14ac:dyDescent="0.25">
      <c r="A479" s="1" t="s">
        <v>2923</v>
      </c>
      <c r="B479" s="3" t="s">
        <v>1368</v>
      </c>
      <c r="C479" s="3" t="s">
        <v>1247</v>
      </c>
      <c r="D479" s="407" t="s">
        <v>3306</v>
      </c>
      <c r="E479" s="3" t="s">
        <v>2232</v>
      </c>
      <c r="F479" s="407" t="s">
        <v>4484</v>
      </c>
      <c r="G479" s="440" t="s">
        <v>4109</v>
      </c>
      <c r="H479" s="407" t="s">
        <v>4305</v>
      </c>
      <c r="I479" s="407" t="s">
        <v>3786</v>
      </c>
      <c r="J479" s="387" t="s">
        <v>4636</v>
      </c>
      <c r="K479" s="387">
        <v>1</v>
      </c>
      <c r="L479" s="387">
        <v>0</v>
      </c>
      <c r="M479" s="387">
        <f t="shared" si="28"/>
        <v>1</v>
      </c>
      <c r="N479" s="442">
        <f t="shared" si="29"/>
        <v>0</v>
      </c>
      <c r="O479" s="387" t="s">
        <v>1358</v>
      </c>
      <c r="P479" s="459">
        <v>0</v>
      </c>
      <c r="Q479" s="459"/>
      <c r="R479" s="456">
        <v>0</v>
      </c>
      <c r="S479" s="456">
        <v>29.010999999999999</v>
      </c>
      <c r="T479" s="410"/>
      <c r="U479" s="411">
        <v>0</v>
      </c>
      <c r="V479" s="411">
        <v>0</v>
      </c>
      <c r="W479" s="411">
        <v>0</v>
      </c>
      <c r="X479" s="411"/>
      <c r="Y479" s="411"/>
      <c r="Z479" s="412">
        <f t="shared" si="30"/>
        <v>0</v>
      </c>
      <c r="AA479" s="456">
        <f t="shared" si="31"/>
        <v>0</v>
      </c>
      <c r="AB479" s="456">
        <v>0</v>
      </c>
      <c r="AC479" s="2"/>
      <c r="AD479" s="4"/>
      <c r="AE479" s="5"/>
      <c r="AF479" s="428"/>
    </row>
    <row r="480" spans="1:32" x14ac:dyDescent="0.25">
      <c r="A480" s="1" t="s">
        <v>2924</v>
      </c>
      <c r="B480" s="3" t="s">
        <v>1368</v>
      </c>
      <c r="C480" s="3" t="s">
        <v>1247</v>
      </c>
      <c r="D480" s="407" t="s">
        <v>1433</v>
      </c>
      <c r="E480" s="3" t="s">
        <v>2233</v>
      </c>
      <c r="F480" s="407" t="s">
        <v>4490</v>
      </c>
      <c r="G480" s="440" t="s">
        <v>4109</v>
      </c>
      <c r="H480" s="407" t="s">
        <v>4311</v>
      </c>
      <c r="I480" s="407" t="s">
        <v>3792</v>
      </c>
      <c r="J480" s="387" t="s">
        <v>4644</v>
      </c>
      <c r="K480" s="387">
        <v>1</v>
      </c>
      <c r="L480" s="387">
        <v>0</v>
      </c>
      <c r="M480" s="387">
        <f t="shared" si="28"/>
        <v>1</v>
      </c>
      <c r="N480" s="442">
        <f t="shared" si="29"/>
        <v>0</v>
      </c>
      <c r="O480" s="387" t="s">
        <v>1358</v>
      </c>
      <c r="P480" s="459">
        <v>0</v>
      </c>
      <c r="Q480" s="459"/>
      <c r="R480" s="456">
        <v>0</v>
      </c>
      <c r="S480" s="456">
        <v>42.463000000000001</v>
      </c>
      <c r="T480" s="410"/>
      <c r="U480" s="411">
        <v>0</v>
      </c>
      <c r="V480" s="411">
        <v>0</v>
      </c>
      <c r="W480" s="411">
        <v>0</v>
      </c>
      <c r="X480" s="411"/>
      <c r="Y480" s="411"/>
      <c r="Z480" s="412">
        <f t="shared" si="30"/>
        <v>0</v>
      </c>
      <c r="AA480" s="456">
        <f t="shared" si="31"/>
        <v>0</v>
      </c>
      <c r="AB480" s="456">
        <v>0</v>
      </c>
      <c r="AC480" s="2"/>
      <c r="AD480" s="4"/>
      <c r="AE480" s="5"/>
      <c r="AF480" s="428"/>
    </row>
    <row r="481" spans="1:32" x14ac:dyDescent="0.25">
      <c r="A481" s="1" t="s">
        <v>2925</v>
      </c>
      <c r="B481" s="3" t="s">
        <v>1368</v>
      </c>
      <c r="C481" s="3" t="s">
        <v>1247</v>
      </c>
      <c r="D481" s="407" t="s">
        <v>1426</v>
      </c>
      <c r="E481" s="3" t="s">
        <v>2234</v>
      </c>
      <c r="F481" s="407" t="s">
        <v>4480</v>
      </c>
      <c r="G481" s="440" t="s">
        <v>4109</v>
      </c>
      <c r="H481" s="407" t="s">
        <v>4301</v>
      </c>
      <c r="I481" s="407" t="s">
        <v>3782</v>
      </c>
      <c r="J481" s="387" t="s">
        <v>4637</v>
      </c>
      <c r="K481" s="387">
        <v>1</v>
      </c>
      <c r="L481" s="387">
        <v>0</v>
      </c>
      <c r="M481" s="387">
        <f t="shared" si="28"/>
        <v>1</v>
      </c>
      <c r="N481" s="442">
        <f t="shared" si="29"/>
        <v>0</v>
      </c>
      <c r="O481" s="387" t="s">
        <v>1358</v>
      </c>
      <c r="P481" s="459">
        <v>0</v>
      </c>
      <c r="Q481" s="459"/>
      <c r="R481" s="456">
        <v>0</v>
      </c>
      <c r="S481" s="456">
        <v>42.463000000000001</v>
      </c>
      <c r="T481" s="410"/>
      <c r="U481" s="411">
        <v>1</v>
      </c>
      <c r="V481" s="411">
        <v>1</v>
      </c>
      <c r="W481" s="411">
        <v>1</v>
      </c>
      <c r="X481" s="411"/>
      <c r="Y481" s="411"/>
      <c r="Z481" s="412">
        <f t="shared" si="30"/>
        <v>0</v>
      </c>
      <c r="AA481" s="456">
        <f t="shared" si="31"/>
        <v>0</v>
      </c>
      <c r="AB481" s="456">
        <v>0</v>
      </c>
      <c r="AC481" s="2"/>
      <c r="AD481" s="4"/>
      <c r="AE481" s="5"/>
      <c r="AF481" s="428"/>
    </row>
    <row r="482" spans="1:32" x14ac:dyDescent="0.25">
      <c r="A482" s="1" t="s">
        <v>2926</v>
      </c>
      <c r="B482" s="3" t="s">
        <v>1368</v>
      </c>
      <c r="C482" s="3" t="s">
        <v>1247</v>
      </c>
      <c r="D482" s="407" t="s">
        <v>1427</v>
      </c>
      <c r="E482" s="3" t="s">
        <v>2235</v>
      </c>
      <c r="F482" s="407" t="s">
        <v>4485</v>
      </c>
      <c r="G482" s="440" t="s">
        <v>4109</v>
      </c>
      <c r="H482" s="407" t="s">
        <v>4306</v>
      </c>
      <c r="I482" s="407" t="s">
        <v>3787</v>
      </c>
      <c r="J482" s="387" t="s">
        <v>4638</v>
      </c>
      <c r="K482" s="387">
        <v>1</v>
      </c>
      <c r="L482" s="387">
        <v>0</v>
      </c>
      <c r="M482" s="387">
        <f t="shared" si="28"/>
        <v>1</v>
      </c>
      <c r="N482" s="442">
        <f t="shared" si="29"/>
        <v>0</v>
      </c>
      <c r="O482" s="387" t="s">
        <v>1358</v>
      </c>
      <c r="P482" s="459">
        <v>0</v>
      </c>
      <c r="Q482" s="459"/>
      <c r="R482" s="456">
        <v>0</v>
      </c>
      <c r="S482" s="456">
        <v>42.463000000000001</v>
      </c>
      <c r="T482" s="410"/>
      <c r="U482" s="411">
        <v>0</v>
      </c>
      <c r="V482" s="411">
        <v>0</v>
      </c>
      <c r="W482" s="411">
        <v>0</v>
      </c>
      <c r="X482" s="411"/>
      <c r="Y482" s="411"/>
      <c r="Z482" s="412">
        <f t="shared" si="30"/>
        <v>0</v>
      </c>
      <c r="AA482" s="456">
        <f t="shared" si="31"/>
        <v>0</v>
      </c>
      <c r="AB482" s="456">
        <v>0</v>
      </c>
      <c r="AC482" s="2"/>
      <c r="AD482" s="4"/>
      <c r="AE482" s="5"/>
      <c r="AF482" s="428"/>
    </row>
    <row r="483" spans="1:32" x14ac:dyDescent="0.25">
      <c r="A483" s="1" t="s">
        <v>2927</v>
      </c>
      <c r="B483" s="3" t="s">
        <v>1368</v>
      </c>
      <c r="C483" s="3" t="s">
        <v>1247</v>
      </c>
      <c r="D483" s="407" t="s">
        <v>1428</v>
      </c>
      <c r="E483" s="3" t="s">
        <v>2236</v>
      </c>
      <c r="F483" s="407" t="s">
        <v>4486</v>
      </c>
      <c r="G483" s="440" t="s">
        <v>4109</v>
      </c>
      <c r="H483" s="407" t="s">
        <v>4307</v>
      </c>
      <c r="I483" s="407" t="s">
        <v>3788</v>
      </c>
      <c r="J483" s="387" t="s">
        <v>4639</v>
      </c>
      <c r="K483" s="387">
        <v>1</v>
      </c>
      <c r="L483" s="387">
        <v>0</v>
      </c>
      <c r="M483" s="387">
        <f t="shared" si="28"/>
        <v>1</v>
      </c>
      <c r="N483" s="442">
        <f t="shared" si="29"/>
        <v>0</v>
      </c>
      <c r="O483" s="387" t="s">
        <v>1358</v>
      </c>
      <c r="P483" s="459">
        <v>0</v>
      </c>
      <c r="Q483" s="459"/>
      <c r="R483" s="456">
        <v>0</v>
      </c>
      <c r="S483" s="456">
        <v>42.463000000000001</v>
      </c>
      <c r="T483" s="410"/>
      <c r="U483" s="411">
        <v>0</v>
      </c>
      <c r="V483" s="411">
        <v>0</v>
      </c>
      <c r="W483" s="411">
        <v>0</v>
      </c>
      <c r="X483" s="411"/>
      <c r="Y483" s="411"/>
      <c r="Z483" s="412">
        <f t="shared" si="30"/>
        <v>0</v>
      </c>
      <c r="AA483" s="456">
        <f t="shared" si="31"/>
        <v>0</v>
      </c>
      <c r="AB483" s="456">
        <v>0</v>
      </c>
      <c r="AC483" s="2"/>
      <c r="AD483" s="4"/>
      <c r="AE483" s="5"/>
      <c r="AF483" s="428"/>
    </row>
    <row r="484" spans="1:32" x14ac:dyDescent="0.25">
      <c r="A484" s="1" t="s">
        <v>2928</v>
      </c>
      <c r="B484" s="3" t="s">
        <v>1368</v>
      </c>
      <c r="C484" s="3" t="s">
        <v>1247</v>
      </c>
      <c r="D484" s="407" t="s">
        <v>1429</v>
      </c>
      <c r="E484" s="3" t="s">
        <v>2237</v>
      </c>
      <c r="F484" s="407" t="s">
        <v>4487</v>
      </c>
      <c r="G484" s="440" t="s">
        <v>4109</v>
      </c>
      <c r="H484" s="407" t="s">
        <v>4308</v>
      </c>
      <c r="I484" s="407" t="s">
        <v>3789</v>
      </c>
      <c r="J484" s="387" t="s">
        <v>4640</v>
      </c>
      <c r="K484" s="387">
        <v>1</v>
      </c>
      <c r="L484" s="387">
        <v>0</v>
      </c>
      <c r="M484" s="387">
        <f t="shared" si="28"/>
        <v>1</v>
      </c>
      <c r="N484" s="442">
        <f t="shared" si="29"/>
        <v>0</v>
      </c>
      <c r="O484" s="387" t="s">
        <v>1358</v>
      </c>
      <c r="P484" s="459">
        <v>0</v>
      </c>
      <c r="Q484" s="459"/>
      <c r="R484" s="456">
        <v>0</v>
      </c>
      <c r="S484" s="456">
        <v>42.463000000000001</v>
      </c>
      <c r="T484" s="410"/>
      <c r="U484" s="411">
        <v>0</v>
      </c>
      <c r="V484" s="411">
        <v>0</v>
      </c>
      <c r="W484" s="411">
        <v>0</v>
      </c>
      <c r="X484" s="411"/>
      <c r="Y484" s="411"/>
      <c r="Z484" s="412">
        <f t="shared" si="30"/>
        <v>0</v>
      </c>
      <c r="AA484" s="456">
        <f t="shared" si="31"/>
        <v>0</v>
      </c>
      <c r="AB484" s="456">
        <v>0</v>
      </c>
      <c r="AC484" s="2"/>
      <c r="AD484" s="4"/>
      <c r="AE484" s="5"/>
      <c r="AF484" s="428"/>
    </row>
    <row r="485" spans="1:32" x14ac:dyDescent="0.25">
      <c r="A485" s="1" t="s">
        <v>2929</v>
      </c>
      <c r="B485" s="3" t="s">
        <v>1368</v>
      </c>
      <c r="C485" s="3" t="s">
        <v>1247</v>
      </c>
      <c r="D485" s="407" t="s">
        <v>1430</v>
      </c>
      <c r="E485" s="3" t="s">
        <v>2238</v>
      </c>
      <c r="F485" s="407" t="s">
        <v>4488</v>
      </c>
      <c r="G485" s="440" t="s">
        <v>4109</v>
      </c>
      <c r="H485" s="407" t="s">
        <v>4309</v>
      </c>
      <c r="I485" s="407" t="s">
        <v>3790</v>
      </c>
      <c r="J485" s="387" t="s">
        <v>4641</v>
      </c>
      <c r="K485" s="387">
        <v>1</v>
      </c>
      <c r="L485" s="387">
        <v>0</v>
      </c>
      <c r="M485" s="387">
        <f t="shared" si="28"/>
        <v>1</v>
      </c>
      <c r="N485" s="442">
        <f t="shared" si="29"/>
        <v>0</v>
      </c>
      <c r="O485" s="387" t="s">
        <v>1358</v>
      </c>
      <c r="P485" s="459">
        <v>0</v>
      </c>
      <c r="Q485" s="459"/>
      <c r="R485" s="456">
        <v>0</v>
      </c>
      <c r="S485" s="456">
        <v>42.463000000000001</v>
      </c>
      <c r="T485" s="410"/>
      <c r="U485" s="411">
        <v>0</v>
      </c>
      <c r="V485" s="411">
        <v>0</v>
      </c>
      <c r="W485" s="411">
        <v>0</v>
      </c>
      <c r="X485" s="411"/>
      <c r="Y485" s="411"/>
      <c r="Z485" s="412">
        <f t="shared" si="30"/>
        <v>0</v>
      </c>
      <c r="AA485" s="456">
        <f t="shared" si="31"/>
        <v>0</v>
      </c>
      <c r="AB485" s="456">
        <v>0</v>
      </c>
      <c r="AC485" s="2"/>
      <c r="AD485" s="4"/>
      <c r="AE485" s="5"/>
      <c r="AF485" s="428"/>
    </row>
    <row r="486" spans="1:32" x14ac:dyDescent="0.25">
      <c r="A486" s="1" t="s">
        <v>2930</v>
      </c>
      <c r="B486" s="3" t="s">
        <v>1368</v>
      </c>
      <c r="C486" s="3" t="s">
        <v>1247</v>
      </c>
      <c r="D486" s="407" t="s">
        <v>1431</v>
      </c>
      <c r="E486" s="3" t="s">
        <v>2239</v>
      </c>
      <c r="F486" s="407" t="s">
        <v>4489</v>
      </c>
      <c r="G486" s="440" t="s">
        <v>4109</v>
      </c>
      <c r="H486" s="407" t="s">
        <v>4310</v>
      </c>
      <c r="I486" s="407" t="s">
        <v>3791</v>
      </c>
      <c r="J486" s="387" t="s">
        <v>4642</v>
      </c>
      <c r="K486" s="387">
        <v>1</v>
      </c>
      <c r="L486" s="387">
        <v>0</v>
      </c>
      <c r="M486" s="387">
        <f t="shared" si="28"/>
        <v>1</v>
      </c>
      <c r="N486" s="442">
        <f t="shared" si="29"/>
        <v>0</v>
      </c>
      <c r="O486" s="387" t="s">
        <v>1358</v>
      </c>
      <c r="P486" s="459">
        <v>0</v>
      </c>
      <c r="Q486" s="459"/>
      <c r="R486" s="456">
        <v>0</v>
      </c>
      <c r="S486" s="456">
        <v>42.463000000000001</v>
      </c>
      <c r="T486" s="410"/>
      <c r="U486" s="411">
        <v>0</v>
      </c>
      <c r="V486" s="411">
        <v>0</v>
      </c>
      <c r="W486" s="411">
        <v>0</v>
      </c>
      <c r="X486" s="411"/>
      <c r="Y486" s="411"/>
      <c r="Z486" s="412">
        <f t="shared" si="30"/>
        <v>0</v>
      </c>
      <c r="AA486" s="456">
        <f t="shared" si="31"/>
        <v>0</v>
      </c>
      <c r="AB486" s="456">
        <v>0</v>
      </c>
      <c r="AC486" s="2"/>
      <c r="AD486" s="4"/>
      <c r="AE486" s="5"/>
      <c r="AF486" s="428"/>
    </row>
    <row r="487" spans="1:32" x14ac:dyDescent="0.25">
      <c r="A487" s="1" t="s">
        <v>2931</v>
      </c>
      <c r="B487" s="3" t="s">
        <v>1368</v>
      </c>
      <c r="C487" s="3" t="s">
        <v>1247</v>
      </c>
      <c r="D487" s="407" t="s">
        <v>1432</v>
      </c>
      <c r="E487" s="3" t="s">
        <v>2240</v>
      </c>
      <c r="F487" s="407" t="s">
        <v>4483</v>
      </c>
      <c r="G487" s="440" t="s">
        <v>4109</v>
      </c>
      <c r="H487" s="407" t="s">
        <v>4304</v>
      </c>
      <c r="I487" s="407" t="s">
        <v>3785</v>
      </c>
      <c r="J487" s="387" t="s">
        <v>4635</v>
      </c>
      <c r="K487" s="387">
        <v>1</v>
      </c>
      <c r="L487" s="387">
        <v>0</v>
      </c>
      <c r="M487" s="387">
        <f t="shared" si="28"/>
        <v>1</v>
      </c>
      <c r="N487" s="442">
        <f t="shared" si="29"/>
        <v>0</v>
      </c>
      <c r="O487" s="387" t="s">
        <v>1358</v>
      </c>
      <c r="P487" s="459">
        <v>0</v>
      </c>
      <c r="Q487" s="459"/>
      <c r="R487" s="456">
        <v>0</v>
      </c>
      <c r="S487" s="456">
        <v>42.463000000000001</v>
      </c>
      <c r="T487" s="410"/>
      <c r="U487" s="411">
        <v>0</v>
      </c>
      <c r="V487" s="411">
        <v>0</v>
      </c>
      <c r="W487" s="411">
        <v>0</v>
      </c>
      <c r="X487" s="411"/>
      <c r="Y487" s="411"/>
      <c r="Z487" s="412">
        <f t="shared" si="30"/>
        <v>0</v>
      </c>
      <c r="AA487" s="456">
        <f t="shared" si="31"/>
        <v>0</v>
      </c>
      <c r="AB487" s="456">
        <v>0</v>
      </c>
      <c r="AC487" s="2"/>
      <c r="AD487" s="4"/>
      <c r="AE487" s="5"/>
      <c r="AF487" s="428"/>
    </row>
    <row r="488" spans="1:32" x14ac:dyDescent="0.25">
      <c r="A488" s="1" t="s">
        <v>2932</v>
      </c>
      <c r="B488" s="3" t="s">
        <v>1368</v>
      </c>
      <c r="C488" s="3" t="s">
        <v>1247</v>
      </c>
      <c r="D488" s="407" t="s">
        <v>3236</v>
      </c>
      <c r="E488" s="3" t="s">
        <v>2241</v>
      </c>
      <c r="F488" s="407" t="s">
        <v>4491</v>
      </c>
      <c r="G488" s="440" t="s">
        <v>4109</v>
      </c>
      <c r="H488" s="407" t="s">
        <v>4312</v>
      </c>
      <c r="I488" s="407" t="s">
        <v>3793</v>
      </c>
      <c r="J488" s="387" t="s">
        <v>4645</v>
      </c>
      <c r="K488" s="387">
        <v>1</v>
      </c>
      <c r="L488" s="387">
        <v>0</v>
      </c>
      <c r="M488" s="387">
        <f t="shared" si="28"/>
        <v>1</v>
      </c>
      <c r="N488" s="442">
        <f t="shared" si="29"/>
        <v>0</v>
      </c>
      <c r="O488" s="387" t="s">
        <v>1358</v>
      </c>
      <c r="P488" s="459">
        <v>0</v>
      </c>
      <c r="Q488" s="459"/>
      <c r="R488" s="456">
        <v>0</v>
      </c>
      <c r="S488" s="456">
        <v>43.728999999999999</v>
      </c>
      <c r="T488" s="410"/>
      <c r="U488" s="411">
        <v>0</v>
      </c>
      <c r="V488" s="411">
        <v>0</v>
      </c>
      <c r="W488" s="411">
        <v>0</v>
      </c>
      <c r="X488" s="411"/>
      <c r="Y488" s="411"/>
      <c r="Z488" s="412">
        <f t="shared" si="30"/>
        <v>0</v>
      </c>
      <c r="AA488" s="456">
        <f t="shared" si="31"/>
        <v>0</v>
      </c>
      <c r="AB488" s="456">
        <v>0</v>
      </c>
      <c r="AC488" s="2"/>
      <c r="AD488" s="4"/>
      <c r="AE488" s="5"/>
      <c r="AF488" s="428"/>
    </row>
    <row r="489" spans="1:32" x14ac:dyDescent="0.25">
      <c r="A489" s="1" t="s">
        <v>2933</v>
      </c>
      <c r="B489" s="3" t="s">
        <v>1368</v>
      </c>
      <c r="C489" s="3" t="s">
        <v>1247</v>
      </c>
      <c r="D489" s="407" t="s">
        <v>3234</v>
      </c>
      <c r="E489" s="3" t="s">
        <v>2242</v>
      </c>
      <c r="F489" s="407" t="s">
        <v>4492</v>
      </c>
      <c r="G489" s="440" t="s">
        <v>4109</v>
      </c>
      <c r="H489" s="407" t="s">
        <v>4313</v>
      </c>
      <c r="I489" s="407" t="s">
        <v>3794</v>
      </c>
      <c r="J489" s="387" t="s">
        <v>4646</v>
      </c>
      <c r="K489" s="387">
        <v>1</v>
      </c>
      <c r="L489" s="387">
        <v>0</v>
      </c>
      <c r="M489" s="387">
        <f t="shared" si="28"/>
        <v>1</v>
      </c>
      <c r="N489" s="442">
        <f t="shared" si="29"/>
        <v>0</v>
      </c>
      <c r="O489" s="387" t="s">
        <v>1358</v>
      </c>
      <c r="P489" s="459">
        <v>0</v>
      </c>
      <c r="Q489" s="459"/>
      <c r="R489" s="456">
        <v>0</v>
      </c>
      <c r="S489" s="456">
        <v>15.609</v>
      </c>
      <c r="T489" s="410"/>
      <c r="U489" s="411">
        <v>1</v>
      </c>
      <c r="V489" s="411">
        <v>1</v>
      </c>
      <c r="W489" s="411">
        <v>1</v>
      </c>
      <c r="X489" s="411"/>
      <c r="Y489" s="411"/>
      <c r="Z489" s="412">
        <f t="shared" si="30"/>
        <v>0</v>
      </c>
      <c r="AA489" s="456">
        <f t="shared" si="31"/>
        <v>0</v>
      </c>
      <c r="AB489" s="456">
        <v>0</v>
      </c>
      <c r="AC489" s="2"/>
      <c r="AD489" s="4"/>
      <c r="AE489" s="5"/>
      <c r="AF489" s="428"/>
    </row>
    <row r="490" spans="1:32" x14ac:dyDescent="0.25">
      <c r="A490" s="1" t="s">
        <v>2934</v>
      </c>
      <c r="B490" s="3" t="s">
        <v>1368</v>
      </c>
      <c r="C490" s="3" t="s">
        <v>1247</v>
      </c>
      <c r="D490" s="407" t="s">
        <v>1432</v>
      </c>
      <c r="E490" s="3" t="s">
        <v>2243</v>
      </c>
      <c r="F490" s="407" t="s">
        <v>4483</v>
      </c>
      <c r="G490" s="440" t="s">
        <v>4109</v>
      </c>
      <c r="H490" s="407" t="s">
        <v>4304</v>
      </c>
      <c r="I490" s="407" t="s">
        <v>3785</v>
      </c>
      <c r="J490" s="387" t="s">
        <v>4635</v>
      </c>
      <c r="K490" s="387">
        <v>1</v>
      </c>
      <c r="L490" s="387">
        <v>0</v>
      </c>
      <c r="M490" s="387">
        <f t="shared" si="28"/>
        <v>1</v>
      </c>
      <c r="N490" s="442">
        <f t="shared" si="29"/>
        <v>0</v>
      </c>
      <c r="O490" s="387" t="s">
        <v>1358</v>
      </c>
      <c r="P490" s="459">
        <v>0</v>
      </c>
      <c r="Q490" s="459"/>
      <c r="R490" s="456">
        <v>0</v>
      </c>
      <c r="S490" s="456">
        <v>9.3580000000000005</v>
      </c>
      <c r="T490" s="410"/>
      <c r="U490" s="411">
        <v>0</v>
      </c>
      <c r="V490" s="411">
        <v>0</v>
      </c>
      <c r="W490" s="411">
        <v>0</v>
      </c>
      <c r="X490" s="411"/>
      <c r="Y490" s="411"/>
      <c r="Z490" s="412">
        <f t="shared" si="30"/>
        <v>0</v>
      </c>
      <c r="AA490" s="456">
        <f t="shared" si="31"/>
        <v>0</v>
      </c>
      <c r="AB490" s="456">
        <v>0</v>
      </c>
      <c r="AC490" s="2"/>
      <c r="AD490" s="4"/>
      <c r="AE490" s="5"/>
      <c r="AF490" s="428"/>
    </row>
    <row r="491" spans="1:32" x14ac:dyDescent="0.25">
      <c r="A491" s="1" t="s">
        <v>2935</v>
      </c>
      <c r="B491" s="3" t="s">
        <v>1368</v>
      </c>
      <c r="C491" s="3" t="s">
        <v>1247</v>
      </c>
      <c r="D491" s="407" t="s">
        <v>1427</v>
      </c>
      <c r="E491" s="3" t="s">
        <v>2244</v>
      </c>
      <c r="F491" s="407" t="s">
        <v>4485</v>
      </c>
      <c r="G491" s="440" t="s">
        <v>4109</v>
      </c>
      <c r="H491" s="407" t="s">
        <v>4306</v>
      </c>
      <c r="I491" s="407" t="s">
        <v>3787</v>
      </c>
      <c r="J491" s="387" t="s">
        <v>4638</v>
      </c>
      <c r="K491" s="387">
        <v>2</v>
      </c>
      <c r="L491" s="387">
        <v>0</v>
      </c>
      <c r="M491" s="387">
        <f t="shared" si="28"/>
        <v>2</v>
      </c>
      <c r="N491" s="442">
        <f t="shared" si="29"/>
        <v>0</v>
      </c>
      <c r="O491" s="387" t="s">
        <v>1358</v>
      </c>
      <c r="P491" s="459">
        <v>0</v>
      </c>
      <c r="Q491" s="459"/>
      <c r="R491" s="456">
        <v>0</v>
      </c>
      <c r="S491" s="456">
        <v>37.506</v>
      </c>
      <c r="T491" s="410"/>
      <c r="U491" s="411">
        <v>0</v>
      </c>
      <c r="V491" s="411">
        <v>0</v>
      </c>
      <c r="W491" s="411">
        <v>0</v>
      </c>
      <c r="X491" s="411"/>
      <c r="Y491" s="411"/>
      <c r="Z491" s="412">
        <f t="shared" si="30"/>
        <v>0</v>
      </c>
      <c r="AA491" s="456">
        <f t="shared" si="31"/>
        <v>0</v>
      </c>
      <c r="AB491" s="456">
        <v>0</v>
      </c>
      <c r="AC491" s="2"/>
      <c r="AD491" s="4"/>
      <c r="AE491" s="5"/>
      <c r="AF491" s="428"/>
    </row>
    <row r="492" spans="1:32" x14ac:dyDescent="0.25">
      <c r="A492" s="1" t="s">
        <v>2936</v>
      </c>
      <c r="B492" s="3" t="s">
        <v>1368</v>
      </c>
      <c r="C492" s="3" t="s">
        <v>1247</v>
      </c>
      <c r="D492" s="407" t="s">
        <v>1432</v>
      </c>
      <c r="E492" s="3" t="s">
        <v>2245</v>
      </c>
      <c r="F492" s="407" t="s">
        <v>4483</v>
      </c>
      <c r="G492" s="440" t="s">
        <v>4109</v>
      </c>
      <c r="H492" s="407" t="s">
        <v>4304</v>
      </c>
      <c r="I492" s="407" t="s">
        <v>3785</v>
      </c>
      <c r="J492" s="387" t="s">
        <v>4635</v>
      </c>
      <c r="K492" s="387">
        <v>9</v>
      </c>
      <c r="L492" s="387">
        <v>0</v>
      </c>
      <c r="M492" s="387">
        <f t="shared" si="28"/>
        <v>9</v>
      </c>
      <c r="N492" s="442">
        <f t="shared" si="29"/>
        <v>0</v>
      </c>
      <c r="O492" s="387" t="s">
        <v>1358</v>
      </c>
      <c r="P492" s="459">
        <v>0</v>
      </c>
      <c r="Q492" s="459"/>
      <c r="R492" s="456">
        <v>0</v>
      </c>
      <c r="S492" s="456">
        <v>253.52100000000004</v>
      </c>
      <c r="T492" s="410"/>
      <c r="U492" s="411">
        <v>0</v>
      </c>
      <c r="V492" s="411">
        <v>0</v>
      </c>
      <c r="W492" s="411">
        <v>0</v>
      </c>
      <c r="X492" s="411"/>
      <c r="Y492" s="411"/>
      <c r="Z492" s="412">
        <f t="shared" si="30"/>
        <v>0</v>
      </c>
      <c r="AA492" s="456">
        <f t="shared" si="31"/>
        <v>0</v>
      </c>
      <c r="AB492" s="456">
        <v>0</v>
      </c>
      <c r="AC492" s="2"/>
      <c r="AD492" s="4"/>
      <c r="AE492" s="5"/>
      <c r="AF492" s="428"/>
    </row>
    <row r="493" spans="1:32" x14ac:dyDescent="0.25">
      <c r="A493" s="1" t="s">
        <v>2937</v>
      </c>
      <c r="B493" s="3" t="s">
        <v>1368</v>
      </c>
      <c r="C493" s="3" t="s">
        <v>1247</v>
      </c>
      <c r="D493" s="407" t="s">
        <v>1433</v>
      </c>
      <c r="E493" s="3" t="s">
        <v>2246</v>
      </c>
      <c r="F493" s="407" t="s">
        <v>4490</v>
      </c>
      <c r="G493" s="440" t="s">
        <v>4109</v>
      </c>
      <c r="H493" s="407" t="s">
        <v>4311</v>
      </c>
      <c r="I493" s="407" t="s">
        <v>3792</v>
      </c>
      <c r="J493" s="387" t="s">
        <v>4644</v>
      </c>
      <c r="K493" s="387">
        <v>10</v>
      </c>
      <c r="L493" s="387">
        <v>0</v>
      </c>
      <c r="M493" s="387">
        <f t="shared" si="28"/>
        <v>10</v>
      </c>
      <c r="N493" s="442">
        <f t="shared" si="29"/>
        <v>0</v>
      </c>
      <c r="O493" s="387" t="s">
        <v>1358</v>
      </c>
      <c r="P493" s="459">
        <v>0</v>
      </c>
      <c r="Q493" s="459"/>
      <c r="R493" s="456">
        <v>0</v>
      </c>
      <c r="S493" s="456">
        <v>255.85700000000006</v>
      </c>
      <c r="T493" s="410"/>
      <c r="U493" s="411">
        <v>0</v>
      </c>
      <c r="V493" s="411">
        <v>0</v>
      </c>
      <c r="W493" s="411">
        <v>0</v>
      </c>
      <c r="X493" s="411"/>
      <c r="Y493" s="411"/>
      <c r="Z493" s="412">
        <f t="shared" si="30"/>
        <v>0</v>
      </c>
      <c r="AA493" s="456">
        <f t="shared" si="31"/>
        <v>0</v>
      </c>
      <c r="AB493" s="456">
        <v>0</v>
      </c>
      <c r="AC493" s="2"/>
      <c r="AD493" s="4"/>
      <c r="AE493" s="5"/>
      <c r="AF493" s="428"/>
    </row>
    <row r="494" spans="1:32" x14ac:dyDescent="0.25">
      <c r="A494" s="1" t="s">
        <v>2938</v>
      </c>
      <c r="B494" s="3" t="s">
        <v>1368</v>
      </c>
      <c r="C494" s="3" t="s">
        <v>1247</v>
      </c>
      <c r="D494" s="407" t="s">
        <v>3306</v>
      </c>
      <c r="E494" s="3" t="s">
        <v>2247</v>
      </c>
      <c r="F494" s="407" t="s">
        <v>4484</v>
      </c>
      <c r="G494" s="440" t="s">
        <v>4109</v>
      </c>
      <c r="H494" s="407" t="s">
        <v>4305</v>
      </c>
      <c r="I494" s="407" t="s">
        <v>3786</v>
      </c>
      <c r="J494" s="387" t="s">
        <v>4636</v>
      </c>
      <c r="K494" s="387">
        <v>10</v>
      </c>
      <c r="L494" s="387">
        <v>0</v>
      </c>
      <c r="M494" s="387">
        <f t="shared" si="28"/>
        <v>10</v>
      </c>
      <c r="N494" s="442">
        <f t="shared" si="29"/>
        <v>0</v>
      </c>
      <c r="O494" s="387" t="s">
        <v>1358</v>
      </c>
      <c r="P494" s="459">
        <v>0</v>
      </c>
      <c r="Q494" s="459"/>
      <c r="R494" s="456">
        <v>0</v>
      </c>
      <c r="S494" s="456">
        <v>285.4500000000001</v>
      </c>
      <c r="T494" s="410"/>
      <c r="U494" s="411">
        <v>0</v>
      </c>
      <c r="V494" s="411">
        <v>0</v>
      </c>
      <c r="W494" s="411">
        <v>0</v>
      </c>
      <c r="X494" s="411"/>
      <c r="Y494" s="411"/>
      <c r="Z494" s="412">
        <f t="shared" si="30"/>
        <v>0</v>
      </c>
      <c r="AA494" s="456">
        <f t="shared" si="31"/>
        <v>0</v>
      </c>
      <c r="AB494" s="456">
        <v>0</v>
      </c>
      <c r="AC494" s="2"/>
      <c r="AD494" s="4"/>
      <c r="AE494" s="5"/>
      <c r="AF494" s="428"/>
    </row>
    <row r="495" spans="1:32" x14ac:dyDescent="0.25">
      <c r="A495" s="1" t="s">
        <v>2939</v>
      </c>
      <c r="B495" s="3" t="s">
        <v>1368</v>
      </c>
      <c r="C495" s="3" t="s">
        <v>1247</v>
      </c>
      <c r="D495" s="407" t="s">
        <v>1431</v>
      </c>
      <c r="E495" s="3" t="s">
        <v>2248</v>
      </c>
      <c r="F495" s="407" t="s">
        <v>4489</v>
      </c>
      <c r="G495" s="440" t="s">
        <v>4109</v>
      </c>
      <c r="H495" s="407" t="s">
        <v>4310</v>
      </c>
      <c r="I495" s="407" t="s">
        <v>3791</v>
      </c>
      <c r="J495" s="387" t="s">
        <v>4642</v>
      </c>
      <c r="K495" s="387">
        <v>4</v>
      </c>
      <c r="L495" s="387">
        <v>0</v>
      </c>
      <c r="M495" s="387">
        <f t="shared" si="28"/>
        <v>4</v>
      </c>
      <c r="N495" s="442">
        <f t="shared" si="29"/>
        <v>0</v>
      </c>
      <c r="O495" s="387" t="s">
        <v>1358</v>
      </c>
      <c r="P495" s="459">
        <v>0</v>
      </c>
      <c r="Q495" s="459"/>
      <c r="R495" s="456">
        <v>0</v>
      </c>
      <c r="S495" s="456">
        <v>112.676</v>
      </c>
      <c r="T495" s="410"/>
      <c r="U495" s="411">
        <v>0</v>
      </c>
      <c r="V495" s="411">
        <v>0</v>
      </c>
      <c r="W495" s="411">
        <v>0</v>
      </c>
      <c r="X495" s="411"/>
      <c r="Y495" s="411"/>
      <c r="Z495" s="412">
        <f t="shared" si="30"/>
        <v>0</v>
      </c>
      <c r="AA495" s="456">
        <f t="shared" si="31"/>
        <v>0</v>
      </c>
      <c r="AB495" s="456">
        <v>0</v>
      </c>
      <c r="AC495" s="2"/>
      <c r="AD495" s="4"/>
      <c r="AE495" s="5"/>
      <c r="AF495" s="428"/>
    </row>
    <row r="496" spans="1:32" x14ac:dyDescent="0.25">
      <c r="A496" s="1" t="s">
        <v>2940</v>
      </c>
      <c r="B496" s="3" t="s">
        <v>1368</v>
      </c>
      <c r="C496" s="3" t="s">
        <v>1247</v>
      </c>
      <c r="D496" s="407" t="s">
        <v>1431</v>
      </c>
      <c r="E496" s="3" t="s">
        <v>2249</v>
      </c>
      <c r="F496" s="407" t="s">
        <v>4489</v>
      </c>
      <c r="G496" s="440" t="s">
        <v>4109</v>
      </c>
      <c r="H496" s="407" t="s">
        <v>4310</v>
      </c>
      <c r="I496" s="407" t="s">
        <v>3791</v>
      </c>
      <c r="J496" s="387" t="s">
        <v>4642</v>
      </c>
      <c r="K496" s="387">
        <v>2</v>
      </c>
      <c r="L496" s="387">
        <v>0</v>
      </c>
      <c r="M496" s="387">
        <f t="shared" si="28"/>
        <v>2</v>
      </c>
      <c r="N496" s="442">
        <f t="shared" si="29"/>
        <v>0</v>
      </c>
      <c r="O496" s="387" t="s">
        <v>1358</v>
      </c>
      <c r="P496" s="459">
        <v>0</v>
      </c>
      <c r="Q496" s="459"/>
      <c r="R496" s="456">
        <v>0</v>
      </c>
      <c r="S496" s="456">
        <v>37.625999999999998</v>
      </c>
      <c r="T496" s="410"/>
      <c r="U496" s="411">
        <v>0</v>
      </c>
      <c r="V496" s="411">
        <v>0</v>
      </c>
      <c r="W496" s="411">
        <v>0</v>
      </c>
      <c r="X496" s="411"/>
      <c r="Y496" s="411"/>
      <c r="Z496" s="412">
        <f t="shared" si="30"/>
        <v>0</v>
      </c>
      <c r="AA496" s="456">
        <f t="shared" si="31"/>
        <v>0</v>
      </c>
      <c r="AB496" s="456">
        <v>0</v>
      </c>
      <c r="AC496" s="2"/>
      <c r="AD496" s="4"/>
      <c r="AE496" s="5"/>
      <c r="AF496" s="428"/>
    </row>
    <row r="497" spans="1:32" x14ac:dyDescent="0.25">
      <c r="A497" s="1" t="s">
        <v>2941</v>
      </c>
      <c r="B497" s="3" t="s">
        <v>1368</v>
      </c>
      <c r="C497" s="3" t="s">
        <v>1247</v>
      </c>
      <c r="D497" s="407" t="s">
        <v>3293</v>
      </c>
      <c r="E497" s="3" t="s">
        <v>2250</v>
      </c>
      <c r="F497" s="407" t="s">
        <v>4503</v>
      </c>
      <c r="G497" s="440" t="s">
        <v>4109</v>
      </c>
      <c r="H497" s="407" t="s">
        <v>4324</v>
      </c>
      <c r="I497" s="407" t="s">
        <v>3798</v>
      </c>
      <c r="J497" s="387" t="s">
        <v>4658</v>
      </c>
      <c r="K497" s="387">
        <v>1</v>
      </c>
      <c r="L497" s="387">
        <v>0</v>
      </c>
      <c r="M497" s="387">
        <f t="shared" si="28"/>
        <v>1</v>
      </c>
      <c r="N497" s="442">
        <f t="shared" si="29"/>
        <v>0</v>
      </c>
      <c r="O497" s="387" t="s">
        <v>1358</v>
      </c>
      <c r="P497" s="459">
        <v>0</v>
      </c>
      <c r="Q497" s="459"/>
      <c r="R497" s="456">
        <v>0</v>
      </c>
      <c r="S497" s="456">
        <v>25.16</v>
      </c>
      <c r="T497" s="410"/>
      <c r="U497" s="411">
        <v>0</v>
      </c>
      <c r="V497" s="411">
        <v>0</v>
      </c>
      <c r="W497" s="411">
        <v>0</v>
      </c>
      <c r="X497" s="411"/>
      <c r="Y497" s="411"/>
      <c r="Z497" s="412">
        <f t="shared" si="30"/>
        <v>0</v>
      </c>
      <c r="AA497" s="456">
        <f t="shared" si="31"/>
        <v>0</v>
      </c>
      <c r="AB497" s="456">
        <v>0</v>
      </c>
      <c r="AC497" s="2"/>
      <c r="AD497" s="4"/>
      <c r="AE497" s="5"/>
      <c r="AF497" s="428"/>
    </row>
    <row r="498" spans="1:32" x14ac:dyDescent="0.25">
      <c r="A498" s="1" t="s">
        <v>2942</v>
      </c>
      <c r="B498" s="3" t="s">
        <v>1368</v>
      </c>
      <c r="C498" s="3" t="s">
        <v>1247</v>
      </c>
      <c r="D498" s="407" t="s">
        <v>1398</v>
      </c>
      <c r="E498" s="3" t="s">
        <v>2251</v>
      </c>
      <c r="F498" s="407" t="s">
        <v>4496</v>
      </c>
      <c r="G498" s="440" t="s">
        <v>4109</v>
      </c>
      <c r="H498" s="407" t="s">
        <v>4317</v>
      </c>
      <c r="I498" s="407" t="s">
        <v>3796</v>
      </c>
      <c r="J498" s="387" t="s">
        <v>4650</v>
      </c>
      <c r="K498" s="387">
        <v>1</v>
      </c>
      <c r="L498" s="387">
        <v>0</v>
      </c>
      <c r="M498" s="387">
        <f t="shared" si="28"/>
        <v>1</v>
      </c>
      <c r="N498" s="442">
        <f t="shared" si="29"/>
        <v>0</v>
      </c>
      <c r="O498" s="387" t="s">
        <v>1358</v>
      </c>
      <c r="P498" s="459">
        <v>0</v>
      </c>
      <c r="Q498" s="459"/>
      <c r="R498" s="456">
        <v>0</v>
      </c>
      <c r="S498" s="456">
        <v>25.911999999999999</v>
      </c>
      <c r="T498" s="410"/>
      <c r="U498" s="411">
        <v>1</v>
      </c>
      <c r="V498" s="411">
        <v>1</v>
      </c>
      <c r="W498" s="411">
        <v>1</v>
      </c>
      <c r="X498" s="411"/>
      <c r="Y498" s="411"/>
      <c r="Z498" s="412">
        <f t="shared" si="30"/>
        <v>0</v>
      </c>
      <c r="AA498" s="456">
        <f t="shared" si="31"/>
        <v>0</v>
      </c>
      <c r="AB498" s="456">
        <v>0</v>
      </c>
      <c r="AC498" s="2"/>
      <c r="AD498" s="4"/>
      <c r="AE498" s="5"/>
      <c r="AF498" s="428"/>
    </row>
    <row r="499" spans="1:32" x14ac:dyDescent="0.25">
      <c r="A499" s="1" t="s">
        <v>2943</v>
      </c>
      <c r="B499" s="3" t="s">
        <v>1368</v>
      </c>
      <c r="C499" s="3" t="s">
        <v>1247</v>
      </c>
      <c r="D499" s="407" t="s">
        <v>1374</v>
      </c>
      <c r="E499" s="3" t="s">
        <v>2252</v>
      </c>
      <c r="F499" s="407" t="s">
        <v>4495</v>
      </c>
      <c r="G499" s="440" t="s">
        <v>4109</v>
      </c>
      <c r="H499" s="407" t="s">
        <v>4316</v>
      </c>
      <c r="I499" s="407" t="s">
        <v>3757</v>
      </c>
      <c r="J499" s="387" t="s">
        <v>4665</v>
      </c>
      <c r="K499" s="387">
        <v>2</v>
      </c>
      <c r="L499" s="387">
        <v>0</v>
      </c>
      <c r="M499" s="387">
        <f t="shared" si="28"/>
        <v>2</v>
      </c>
      <c r="N499" s="442">
        <f t="shared" si="29"/>
        <v>0</v>
      </c>
      <c r="O499" s="387" t="s">
        <v>1358</v>
      </c>
      <c r="P499" s="459">
        <v>0</v>
      </c>
      <c r="Q499" s="459"/>
      <c r="R499" s="456">
        <v>0</v>
      </c>
      <c r="S499" s="456">
        <v>51.82</v>
      </c>
      <c r="T499" s="410"/>
      <c r="U499" s="411">
        <v>1</v>
      </c>
      <c r="V499" s="411">
        <v>1</v>
      </c>
      <c r="W499" s="411">
        <v>1</v>
      </c>
      <c r="X499" s="411"/>
      <c r="Y499" s="411"/>
      <c r="Z499" s="412">
        <f t="shared" si="30"/>
        <v>0</v>
      </c>
      <c r="AA499" s="456">
        <f t="shared" si="31"/>
        <v>0</v>
      </c>
      <c r="AB499" s="456">
        <v>0</v>
      </c>
      <c r="AC499" s="2"/>
      <c r="AD499" s="4"/>
      <c r="AE499" s="5"/>
      <c r="AF499" s="428"/>
    </row>
    <row r="500" spans="1:32" x14ac:dyDescent="0.25">
      <c r="A500" s="1" t="s">
        <v>2944</v>
      </c>
      <c r="B500" s="3" t="s">
        <v>1368</v>
      </c>
      <c r="C500" s="3" t="s">
        <v>1247</v>
      </c>
      <c r="D500" s="407" t="s">
        <v>1377</v>
      </c>
      <c r="E500" s="3" t="s">
        <v>2253</v>
      </c>
      <c r="F500" s="407" t="s">
        <v>4494</v>
      </c>
      <c r="G500" s="440" t="s">
        <v>4109</v>
      </c>
      <c r="H500" s="407" t="s">
        <v>4315</v>
      </c>
      <c r="I500" s="407" t="s">
        <v>3749</v>
      </c>
      <c r="J500" s="387" t="s">
        <v>4648</v>
      </c>
      <c r="K500" s="387">
        <v>1</v>
      </c>
      <c r="L500" s="387">
        <v>0</v>
      </c>
      <c r="M500" s="387">
        <f t="shared" si="28"/>
        <v>1</v>
      </c>
      <c r="N500" s="442">
        <f t="shared" si="29"/>
        <v>0</v>
      </c>
      <c r="O500" s="387" t="s">
        <v>1358</v>
      </c>
      <c r="P500" s="459">
        <v>0</v>
      </c>
      <c r="Q500" s="459"/>
      <c r="R500" s="456">
        <v>0</v>
      </c>
      <c r="S500" s="456">
        <v>25.911999999999999</v>
      </c>
      <c r="T500" s="410"/>
      <c r="U500" s="411">
        <v>1</v>
      </c>
      <c r="V500" s="411">
        <v>1</v>
      </c>
      <c r="W500" s="411">
        <v>1</v>
      </c>
      <c r="X500" s="411"/>
      <c r="Y500" s="411"/>
      <c r="Z500" s="412">
        <f t="shared" si="30"/>
        <v>0</v>
      </c>
      <c r="AA500" s="456">
        <f t="shared" si="31"/>
        <v>0</v>
      </c>
      <c r="AB500" s="456">
        <v>0</v>
      </c>
      <c r="AC500" s="2"/>
      <c r="AD500" s="4"/>
      <c r="AE500" s="5"/>
      <c r="AF500" s="428"/>
    </row>
    <row r="501" spans="1:32" x14ac:dyDescent="0.25">
      <c r="A501" s="1" t="s">
        <v>2945</v>
      </c>
      <c r="B501" s="3" t="s">
        <v>1368</v>
      </c>
      <c r="C501" s="3" t="s">
        <v>1247</v>
      </c>
      <c r="D501" s="407" t="s">
        <v>1379</v>
      </c>
      <c r="E501" s="3" t="s">
        <v>2254</v>
      </c>
      <c r="F501" s="407" t="s">
        <v>4502</v>
      </c>
      <c r="G501" s="440" t="s">
        <v>4109</v>
      </c>
      <c r="H501" s="407" t="s">
        <v>4323</v>
      </c>
      <c r="I501" s="407" t="s">
        <v>3750</v>
      </c>
      <c r="J501" s="387" t="s">
        <v>4632</v>
      </c>
      <c r="K501" s="387">
        <v>1</v>
      </c>
      <c r="L501" s="387">
        <v>0</v>
      </c>
      <c r="M501" s="387">
        <f t="shared" si="28"/>
        <v>1</v>
      </c>
      <c r="N501" s="442">
        <f t="shared" si="29"/>
        <v>0</v>
      </c>
      <c r="O501" s="387" t="s">
        <v>1358</v>
      </c>
      <c r="P501" s="459">
        <v>0</v>
      </c>
      <c r="Q501" s="459"/>
      <c r="R501" s="456">
        <v>0</v>
      </c>
      <c r="S501" s="456">
        <v>25.911999999999999</v>
      </c>
      <c r="T501" s="410"/>
      <c r="U501" s="411">
        <v>1</v>
      </c>
      <c r="V501" s="411">
        <v>1</v>
      </c>
      <c r="W501" s="411">
        <v>1</v>
      </c>
      <c r="X501" s="411"/>
      <c r="Y501" s="411"/>
      <c r="Z501" s="412">
        <f t="shared" si="30"/>
        <v>0</v>
      </c>
      <c r="AA501" s="456">
        <f t="shared" si="31"/>
        <v>0</v>
      </c>
      <c r="AB501" s="456">
        <v>0</v>
      </c>
      <c r="AC501" s="2"/>
      <c r="AD501" s="4"/>
      <c r="AE501" s="5"/>
      <c r="AF501" s="428"/>
    </row>
    <row r="502" spans="1:32" x14ac:dyDescent="0.25">
      <c r="A502" s="1" t="s">
        <v>2946</v>
      </c>
      <c r="B502" s="3" t="s">
        <v>1368</v>
      </c>
      <c r="C502" s="3" t="s">
        <v>1247</v>
      </c>
      <c r="D502" s="407" t="s">
        <v>1381</v>
      </c>
      <c r="E502" s="3" t="s">
        <v>2255</v>
      </c>
      <c r="F502" s="407" t="s">
        <v>4497</v>
      </c>
      <c r="G502" s="440" t="s">
        <v>4109</v>
      </c>
      <c r="H502" s="407" t="s">
        <v>4318</v>
      </c>
      <c r="I502" s="407" t="s">
        <v>3751</v>
      </c>
      <c r="J502" s="387" t="s">
        <v>4631</v>
      </c>
      <c r="K502" s="387">
        <v>1</v>
      </c>
      <c r="L502" s="387">
        <v>0</v>
      </c>
      <c r="M502" s="387">
        <f t="shared" si="28"/>
        <v>1</v>
      </c>
      <c r="N502" s="442">
        <f t="shared" si="29"/>
        <v>0</v>
      </c>
      <c r="O502" s="387" t="s">
        <v>1358</v>
      </c>
      <c r="P502" s="459">
        <v>0</v>
      </c>
      <c r="Q502" s="459"/>
      <c r="R502" s="456">
        <v>0</v>
      </c>
      <c r="S502" s="456">
        <v>25.92</v>
      </c>
      <c r="T502" s="410"/>
      <c r="U502" s="411">
        <v>1</v>
      </c>
      <c r="V502" s="411">
        <v>1</v>
      </c>
      <c r="W502" s="411">
        <v>1</v>
      </c>
      <c r="X502" s="411"/>
      <c r="Y502" s="411"/>
      <c r="Z502" s="412">
        <f t="shared" si="30"/>
        <v>0</v>
      </c>
      <c r="AA502" s="456">
        <f t="shared" si="31"/>
        <v>0</v>
      </c>
      <c r="AB502" s="456">
        <v>0</v>
      </c>
      <c r="AC502" s="2"/>
      <c r="AD502" s="4"/>
      <c r="AE502" s="5"/>
      <c r="AF502" s="428"/>
    </row>
    <row r="503" spans="1:32" x14ac:dyDescent="0.25">
      <c r="A503" s="1" t="s">
        <v>2947</v>
      </c>
      <c r="B503" s="3" t="s">
        <v>1368</v>
      </c>
      <c r="C503" s="3" t="s">
        <v>1247</v>
      </c>
      <c r="D503" s="407" t="s">
        <v>1396</v>
      </c>
      <c r="E503" s="3" t="s">
        <v>2256</v>
      </c>
      <c r="F503" s="407" t="s">
        <v>4498</v>
      </c>
      <c r="G503" s="440" t="s">
        <v>4109</v>
      </c>
      <c r="H503" s="407" t="s">
        <v>4319</v>
      </c>
      <c r="I503" s="407" t="s">
        <v>3752</v>
      </c>
      <c r="J503" s="387" t="s">
        <v>4652</v>
      </c>
      <c r="K503" s="387">
        <v>1</v>
      </c>
      <c r="L503" s="387">
        <v>0</v>
      </c>
      <c r="M503" s="387">
        <f t="shared" si="28"/>
        <v>1</v>
      </c>
      <c r="N503" s="442">
        <f t="shared" si="29"/>
        <v>0</v>
      </c>
      <c r="O503" s="387" t="s">
        <v>1358</v>
      </c>
      <c r="P503" s="459">
        <v>0</v>
      </c>
      <c r="Q503" s="459"/>
      <c r="R503" s="456">
        <v>0</v>
      </c>
      <c r="S503" s="456">
        <v>32.151000000000003</v>
      </c>
      <c r="T503" s="410"/>
      <c r="U503" s="411">
        <v>1</v>
      </c>
      <c r="V503" s="411">
        <v>1</v>
      </c>
      <c r="W503" s="411">
        <v>1</v>
      </c>
      <c r="X503" s="411"/>
      <c r="Y503" s="411"/>
      <c r="Z503" s="412">
        <f t="shared" si="30"/>
        <v>0</v>
      </c>
      <c r="AA503" s="456">
        <f t="shared" si="31"/>
        <v>0</v>
      </c>
      <c r="AB503" s="456">
        <v>0</v>
      </c>
      <c r="AC503" s="2"/>
      <c r="AD503" s="4"/>
      <c r="AE503" s="5"/>
      <c r="AF503" s="428"/>
    </row>
    <row r="504" spans="1:32" x14ac:dyDescent="0.25">
      <c r="A504" s="1" t="s">
        <v>2948</v>
      </c>
      <c r="B504" s="3" t="s">
        <v>1368</v>
      </c>
      <c r="C504" s="3" t="s">
        <v>1247</v>
      </c>
      <c r="D504" s="407" t="s">
        <v>1396</v>
      </c>
      <c r="E504" s="3" t="s">
        <v>2257</v>
      </c>
      <c r="F504" s="407" t="s">
        <v>4498</v>
      </c>
      <c r="G504" s="440" t="s">
        <v>4109</v>
      </c>
      <c r="H504" s="407" t="s">
        <v>4319</v>
      </c>
      <c r="I504" s="407" t="s">
        <v>3752</v>
      </c>
      <c r="J504" s="387" t="s">
        <v>4652</v>
      </c>
      <c r="K504" s="387">
        <v>1</v>
      </c>
      <c r="L504" s="387">
        <v>0</v>
      </c>
      <c r="M504" s="387">
        <f t="shared" si="28"/>
        <v>1</v>
      </c>
      <c r="N504" s="442">
        <f t="shared" si="29"/>
        <v>0</v>
      </c>
      <c r="O504" s="387" t="s">
        <v>1358</v>
      </c>
      <c r="P504" s="459">
        <v>0</v>
      </c>
      <c r="Q504" s="459"/>
      <c r="R504" s="456">
        <v>0</v>
      </c>
      <c r="S504" s="456">
        <v>19.376000000000001</v>
      </c>
      <c r="T504" s="410"/>
      <c r="U504" s="411">
        <v>1</v>
      </c>
      <c r="V504" s="411">
        <v>1</v>
      </c>
      <c r="W504" s="411">
        <v>1</v>
      </c>
      <c r="X504" s="411"/>
      <c r="Y504" s="411"/>
      <c r="Z504" s="412">
        <f t="shared" si="30"/>
        <v>0</v>
      </c>
      <c r="AA504" s="456">
        <f t="shared" si="31"/>
        <v>0</v>
      </c>
      <c r="AB504" s="456">
        <v>0</v>
      </c>
      <c r="AC504" s="2"/>
      <c r="AD504" s="4"/>
      <c r="AE504" s="5"/>
      <c r="AF504" s="428"/>
    </row>
    <row r="505" spans="1:32" x14ac:dyDescent="0.25">
      <c r="A505" s="1" t="s">
        <v>2949</v>
      </c>
      <c r="B505" s="3" t="s">
        <v>1368</v>
      </c>
      <c r="C505" s="3" t="s">
        <v>1247</v>
      </c>
      <c r="D505" s="407" t="s">
        <v>1425</v>
      </c>
      <c r="E505" s="3" t="s">
        <v>2258</v>
      </c>
      <c r="F505" s="407" t="s">
        <v>4479</v>
      </c>
      <c r="G505" s="440" t="s">
        <v>4109</v>
      </c>
      <c r="H505" s="407" t="s">
        <v>4300</v>
      </c>
      <c r="I505" s="407" t="s">
        <v>3781</v>
      </c>
      <c r="J505" s="387" t="s">
        <v>4643</v>
      </c>
      <c r="K505" s="387">
        <v>1</v>
      </c>
      <c r="L505" s="387">
        <v>0</v>
      </c>
      <c r="M505" s="387">
        <f t="shared" si="28"/>
        <v>1</v>
      </c>
      <c r="N505" s="442">
        <f t="shared" si="29"/>
        <v>0</v>
      </c>
      <c r="O505" s="387" t="s">
        <v>1358</v>
      </c>
      <c r="P505" s="459">
        <v>0</v>
      </c>
      <c r="Q505" s="459"/>
      <c r="R505" s="456">
        <v>0</v>
      </c>
      <c r="S505" s="456">
        <v>25.07</v>
      </c>
      <c r="T505" s="410"/>
      <c r="U505" s="411">
        <v>1</v>
      </c>
      <c r="V505" s="411">
        <v>1</v>
      </c>
      <c r="W505" s="411">
        <v>1</v>
      </c>
      <c r="X505" s="411"/>
      <c r="Y505" s="411"/>
      <c r="Z505" s="412">
        <f t="shared" si="30"/>
        <v>0</v>
      </c>
      <c r="AA505" s="456">
        <f t="shared" si="31"/>
        <v>0</v>
      </c>
      <c r="AB505" s="456">
        <v>0</v>
      </c>
      <c r="AC505" s="2"/>
      <c r="AD505" s="4"/>
      <c r="AE505" s="5"/>
      <c r="AF505" s="428"/>
    </row>
    <row r="506" spans="1:32" x14ac:dyDescent="0.25">
      <c r="A506" s="1" t="s">
        <v>2950</v>
      </c>
      <c r="B506" s="3" t="s">
        <v>1368</v>
      </c>
      <c r="C506" s="3" t="s">
        <v>1247</v>
      </c>
      <c r="D506" s="407" t="s">
        <v>1397</v>
      </c>
      <c r="E506" s="3" t="s">
        <v>2259</v>
      </c>
      <c r="F506" s="407" t="s">
        <v>4493</v>
      </c>
      <c r="G506" s="440" t="s">
        <v>4109</v>
      </c>
      <c r="H506" s="407" t="s">
        <v>4314</v>
      </c>
      <c r="I506" s="407" t="s">
        <v>3795</v>
      </c>
      <c r="J506" s="387" t="s">
        <v>4647</v>
      </c>
      <c r="K506" s="387">
        <v>1</v>
      </c>
      <c r="L506" s="387">
        <v>0</v>
      </c>
      <c r="M506" s="387">
        <f t="shared" si="28"/>
        <v>1</v>
      </c>
      <c r="N506" s="442">
        <f t="shared" si="29"/>
        <v>0</v>
      </c>
      <c r="O506" s="387" t="s">
        <v>1358</v>
      </c>
      <c r="P506" s="459">
        <v>0</v>
      </c>
      <c r="Q506" s="459"/>
      <c r="R506" s="456">
        <v>0</v>
      </c>
      <c r="S506" s="456">
        <v>25.07</v>
      </c>
      <c r="T506" s="410"/>
      <c r="U506" s="411">
        <v>1</v>
      </c>
      <c r="V506" s="411">
        <v>1</v>
      </c>
      <c r="W506" s="411">
        <v>1</v>
      </c>
      <c r="X506" s="411"/>
      <c r="Y506" s="411"/>
      <c r="Z506" s="412">
        <f t="shared" si="30"/>
        <v>0</v>
      </c>
      <c r="AA506" s="456">
        <f t="shared" si="31"/>
        <v>0</v>
      </c>
      <c r="AB506" s="456">
        <v>0</v>
      </c>
      <c r="AC506" s="2"/>
      <c r="AD506" s="4"/>
      <c r="AE506" s="5"/>
      <c r="AF506" s="428"/>
    </row>
    <row r="507" spans="1:32" x14ac:dyDescent="0.25">
      <c r="A507" s="1" t="s">
        <v>2951</v>
      </c>
      <c r="B507" s="3" t="s">
        <v>1368</v>
      </c>
      <c r="C507" s="3" t="s">
        <v>1247</v>
      </c>
      <c r="D507" s="407" t="s">
        <v>1374</v>
      </c>
      <c r="E507" s="3" t="s">
        <v>2260</v>
      </c>
      <c r="F507" s="407" t="s">
        <v>4495</v>
      </c>
      <c r="G507" s="440" t="s">
        <v>4109</v>
      </c>
      <c r="H507" s="407" t="s">
        <v>4316</v>
      </c>
      <c r="I507" s="407" t="s">
        <v>3757</v>
      </c>
      <c r="J507" s="387" t="s">
        <v>4649</v>
      </c>
      <c r="K507" s="387">
        <v>1</v>
      </c>
      <c r="L507" s="387">
        <v>0</v>
      </c>
      <c r="M507" s="387">
        <f t="shared" si="28"/>
        <v>1</v>
      </c>
      <c r="N507" s="442">
        <f t="shared" si="29"/>
        <v>0</v>
      </c>
      <c r="O507" s="387" t="s">
        <v>1358</v>
      </c>
      <c r="P507" s="459">
        <v>0</v>
      </c>
      <c r="Q507" s="459"/>
      <c r="R507" s="456">
        <v>0</v>
      </c>
      <c r="S507" s="456">
        <v>25.07</v>
      </c>
      <c r="T507" s="410"/>
      <c r="U507" s="411">
        <v>1</v>
      </c>
      <c r="V507" s="411">
        <v>1</v>
      </c>
      <c r="W507" s="411">
        <v>1</v>
      </c>
      <c r="X507" s="411"/>
      <c r="Y507" s="411"/>
      <c r="Z507" s="412">
        <f t="shared" si="30"/>
        <v>0</v>
      </c>
      <c r="AA507" s="456">
        <f t="shared" si="31"/>
        <v>0</v>
      </c>
      <c r="AB507" s="456">
        <v>0</v>
      </c>
      <c r="AC507" s="2"/>
      <c r="AD507" s="4"/>
      <c r="AE507" s="5"/>
      <c r="AF507" s="428"/>
    </row>
    <row r="508" spans="1:32" x14ac:dyDescent="0.25">
      <c r="A508" s="1" t="s">
        <v>2952</v>
      </c>
      <c r="B508" s="3" t="s">
        <v>1368</v>
      </c>
      <c r="C508" s="3" t="s">
        <v>1247</v>
      </c>
      <c r="D508" s="407" t="s">
        <v>1377</v>
      </c>
      <c r="E508" s="3" t="s">
        <v>2261</v>
      </c>
      <c r="F508" s="407" t="s">
        <v>4494</v>
      </c>
      <c r="G508" s="440" t="s">
        <v>4109</v>
      </c>
      <c r="H508" s="407" t="s">
        <v>4315</v>
      </c>
      <c r="I508" s="407" t="s">
        <v>3749</v>
      </c>
      <c r="J508" s="387" t="s">
        <v>4648</v>
      </c>
      <c r="K508" s="387">
        <v>1</v>
      </c>
      <c r="L508" s="387">
        <v>0</v>
      </c>
      <c r="M508" s="387">
        <f t="shared" si="28"/>
        <v>1</v>
      </c>
      <c r="N508" s="442">
        <f t="shared" si="29"/>
        <v>0</v>
      </c>
      <c r="O508" s="387" t="s">
        <v>1358</v>
      </c>
      <c r="P508" s="459">
        <v>0</v>
      </c>
      <c r="Q508" s="459"/>
      <c r="R508" s="456">
        <v>0</v>
      </c>
      <c r="S508" s="456">
        <v>25.07</v>
      </c>
      <c r="T508" s="410"/>
      <c r="U508" s="411">
        <v>1</v>
      </c>
      <c r="V508" s="411">
        <v>1</v>
      </c>
      <c r="W508" s="411">
        <v>1</v>
      </c>
      <c r="X508" s="411"/>
      <c r="Y508" s="411"/>
      <c r="Z508" s="412">
        <f t="shared" si="30"/>
        <v>0</v>
      </c>
      <c r="AA508" s="456">
        <f t="shared" si="31"/>
        <v>0</v>
      </c>
      <c r="AB508" s="456">
        <v>0</v>
      </c>
      <c r="AC508" s="2"/>
      <c r="AD508" s="4"/>
      <c r="AE508" s="5"/>
      <c r="AF508" s="428"/>
    </row>
    <row r="509" spans="1:32" x14ac:dyDescent="0.25">
      <c r="A509" s="1" t="s">
        <v>2953</v>
      </c>
      <c r="B509" s="3" t="s">
        <v>1368</v>
      </c>
      <c r="C509" s="3" t="s">
        <v>1247</v>
      </c>
      <c r="D509" s="407" t="s">
        <v>1379</v>
      </c>
      <c r="E509" s="3" t="s">
        <v>2262</v>
      </c>
      <c r="F509" s="407" t="s">
        <v>4502</v>
      </c>
      <c r="G509" s="440" t="s">
        <v>4109</v>
      </c>
      <c r="H509" s="407" t="s">
        <v>4323</v>
      </c>
      <c r="I509" s="407" t="s">
        <v>3750</v>
      </c>
      <c r="J509" s="387" t="s">
        <v>4632</v>
      </c>
      <c r="K509" s="387">
        <v>1</v>
      </c>
      <c r="L509" s="387">
        <v>0</v>
      </c>
      <c r="M509" s="387">
        <f t="shared" si="28"/>
        <v>1</v>
      </c>
      <c r="N509" s="442">
        <f t="shared" si="29"/>
        <v>0</v>
      </c>
      <c r="O509" s="387" t="s">
        <v>1358</v>
      </c>
      <c r="P509" s="459">
        <v>0</v>
      </c>
      <c r="Q509" s="459"/>
      <c r="R509" s="456">
        <v>0</v>
      </c>
      <c r="S509" s="456">
        <v>25.07</v>
      </c>
      <c r="T509" s="410"/>
      <c r="U509" s="411">
        <v>1</v>
      </c>
      <c r="V509" s="411">
        <v>1</v>
      </c>
      <c r="W509" s="411">
        <v>1</v>
      </c>
      <c r="X509" s="411"/>
      <c r="Y509" s="411"/>
      <c r="Z509" s="412">
        <f t="shared" si="30"/>
        <v>0</v>
      </c>
      <c r="AA509" s="456">
        <f t="shared" si="31"/>
        <v>0</v>
      </c>
      <c r="AB509" s="456">
        <v>0</v>
      </c>
      <c r="AC509" s="2"/>
      <c r="AD509" s="4"/>
      <c r="AE509" s="5"/>
      <c r="AF509" s="428"/>
    </row>
    <row r="510" spans="1:32" x14ac:dyDescent="0.25">
      <c r="A510" s="1" t="s">
        <v>2954</v>
      </c>
      <c r="B510" s="3" t="s">
        <v>1368</v>
      </c>
      <c r="C510" s="3" t="s">
        <v>1247</v>
      </c>
      <c r="D510" s="407" t="s">
        <v>1381</v>
      </c>
      <c r="E510" s="3" t="s">
        <v>2263</v>
      </c>
      <c r="F510" s="407" t="s">
        <v>4497</v>
      </c>
      <c r="G510" s="440" t="s">
        <v>4109</v>
      </c>
      <c r="H510" s="407" t="s">
        <v>4318</v>
      </c>
      <c r="I510" s="407" t="s">
        <v>3751</v>
      </c>
      <c r="J510" s="387" t="s">
        <v>4631</v>
      </c>
      <c r="K510" s="387">
        <v>1</v>
      </c>
      <c r="L510" s="387">
        <v>0</v>
      </c>
      <c r="M510" s="387">
        <f t="shared" si="28"/>
        <v>1</v>
      </c>
      <c r="N510" s="442">
        <f t="shared" si="29"/>
        <v>0</v>
      </c>
      <c r="O510" s="387" t="s">
        <v>1358</v>
      </c>
      <c r="P510" s="459">
        <v>0</v>
      </c>
      <c r="Q510" s="459"/>
      <c r="R510" s="456">
        <v>0</v>
      </c>
      <c r="S510" s="456">
        <v>25.07</v>
      </c>
      <c r="T510" s="410"/>
      <c r="U510" s="411">
        <v>1</v>
      </c>
      <c r="V510" s="411">
        <v>1</v>
      </c>
      <c r="W510" s="411">
        <v>1</v>
      </c>
      <c r="X510" s="411"/>
      <c r="Y510" s="411"/>
      <c r="Z510" s="412">
        <f t="shared" si="30"/>
        <v>0</v>
      </c>
      <c r="AA510" s="456">
        <f t="shared" si="31"/>
        <v>0</v>
      </c>
      <c r="AB510" s="456">
        <v>0</v>
      </c>
      <c r="AC510" s="2"/>
      <c r="AD510" s="4"/>
      <c r="AE510" s="5"/>
      <c r="AF510" s="428"/>
    </row>
    <row r="511" spans="1:32" x14ac:dyDescent="0.25">
      <c r="A511" s="1" t="s">
        <v>2955</v>
      </c>
      <c r="B511" s="3" t="s">
        <v>1368</v>
      </c>
      <c r="C511" s="3" t="s">
        <v>1247</v>
      </c>
      <c r="D511" s="407" t="s">
        <v>1396</v>
      </c>
      <c r="E511" s="3" t="s">
        <v>2264</v>
      </c>
      <c r="F511" s="407" t="s">
        <v>4498</v>
      </c>
      <c r="G511" s="440" t="s">
        <v>4109</v>
      </c>
      <c r="H511" s="407" t="s">
        <v>4319</v>
      </c>
      <c r="I511" s="407" t="s">
        <v>3752</v>
      </c>
      <c r="J511" s="387" t="s">
        <v>4652</v>
      </c>
      <c r="K511" s="387">
        <v>1</v>
      </c>
      <c r="L511" s="387">
        <v>0</v>
      </c>
      <c r="M511" s="387">
        <f t="shared" si="28"/>
        <v>1</v>
      </c>
      <c r="N511" s="442">
        <f t="shared" si="29"/>
        <v>0</v>
      </c>
      <c r="O511" s="387" t="s">
        <v>1358</v>
      </c>
      <c r="P511" s="459">
        <v>0</v>
      </c>
      <c r="Q511" s="459"/>
      <c r="R511" s="456">
        <v>0</v>
      </c>
      <c r="S511" s="456">
        <v>25.07</v>
      </c>
      <c r="T511" s="410"/>
      <c r="U511" s="411">
        <v>1</v>
      </c>
      <c r="V511" s="411">
        <v>1</v>
      </c>
      <c r="W511" s="411">
        <v>1</v>
      </c>
      <c r="X511" s="411"/>
      <c r="Y511" s="411"/>
      <c r="Z511" s="412">
        <f t="shared" si="30"/>
        <v>0</v>
      </c>
      <c r="AA511" s="456">
        <f t="shared" si="31"/>
        <v>0</v>
      </c>
      <c r="AB511" s="456">
        <v>0</v>
      </c>
      <c r="AC511" s="2"/>
      <c r="AD511" s="4"/>
      <c r="AE511" s="5"/>
      <c r="AF511" s="428"/>
    </row>
    <row r="512" spans="1:32" x14ac:dyDescent="0.25">
      <c r="A512" s="1" t="s">
        <v>2956</v>
      </c>
      <c r="B512" s="3" t="s">
        <v>1368</v>
      </c>
      <c r="C512" s="3" t="s">
        <v>1247</v>
      </c>
      <c r="D512" s="407" t="s">
        <v>1399</v>
      </c>
      <c r="E512" s="3" t="s">
        <v>2265</v>
      </c>
      <c r="F512" s="407" t="s">
        <v>4499</v>
      </c>
      <c r="G512" s="440" t="s">
        <v>4109</v>
      </c>
      <c r="H512" s="407" t="s">
        <v>4320</v>
      </c>
      <c r="I512" s="407" t="s">
        <v>3758</v>
      </c>
      <c r="J512" s="387" t="s">
        <v>4653</v>
      </c>
      <c r="K512" s="387">
        <v>1</v>
      </c>
      <c r="L512" s="387">
        <v>0</v>
      </c>
      <c r="M512" s="387">
        <f t="shared" si="28"/>
        <v>1</v>
      </c>
      <c r="N512" s="442">
        <f t="shared" si="29"/>
        <v>0</v>
      </c>
      <c r="O512" s="387" t="s">
        <v>1358</v>
      </c>
      <c r="P512" s="459">
        <v>0</v>
      </c>
      <c r="Q512" s="459"/>
      <c r="R512" s="456">
        <v>0</v>
      </c>
      <c r="S512" s="456">
        <v>25.07</v>
      </c>
      <c r="T512" s="410"/>
      <c r="U512" s="411">
        <v>1</v>
      </c>
      <c r="V512" s="411">
        <v>1</v>
      </c>
      <c r="W512" s="411">
        <v>1</v>
      </c>
      <c r="X512" s="411"/>
      <c r="Y512" s="411"/>
      <c r="Z512" s="412">
        <f t="shared" si="30"/>
        <v>0</v>
      </c>
      <c r="AA512" s="456">
        <f t="shared" si="31"/>
        <v>0</v>
      </c>
      <c r="AB512" s="456">
        <v>0</v>
      </c>
      <c r="AC512" s="2"/>
      <c r="AD512" s="4"/>
      <c r="AE512" s="5"/>
      <c r="AF512" s="428"/>
    </row>
    <row r="513" spans="1:32" x14ac:dyDescent="0.25">
      <c r="A513" s="1" t="s">
        <v>2957</v>
      </c>
      <c r="B513" s="3" t="s">
        <v>1368</v>
      </c>
      <c r="C513" s="3" t="s">
        <v>1247</v>
      </c>
      <c r="D513" s="407" t="s">
        <v>1400</v>
      </c>
      <c r="E513" s="3" t="s">
        <v>2266</v>
      </c>
      <c r="F513" s="407" t="s">
        <v>4477</v>
      </c>
      <c r="G513" s="440" t="s">
        <v>4109</v>
      </c>
      <c r="H513" s="407" t="s">
        <v>4298</v>
      </c>
      <c r="I513" s="407" t="s">
        <v>3779</v>
      </c>
      <c r="J513" s="387" t="s">
        <v>4656</v>
      </c>
      <c r="K513" s="387">
        <v>1</v>
      </c>
      <c r="L513" s="387">
        <v>0</v>
      </c>
      <c r="M513" s="387">
        <f t="shared" si="28"/>
        <v>1</v>
      </c>
      <c r="N513" s="442">
        <f t="shared" si="29"/>
        <v>0</v>
      </c>
      <c r="O513" s="387" t="s">
        <v>1358</v>
      </c>
      <c r="P513" s="459">
        <v>0</v>
      </c>
      <c r="Q513" s="459"/>
      <c r="R513" s="456">
        <v>0</v>
      </c>
      <c r="S513" s="456">
        <v>25.07</v>
      </c>
      <c r="T513" s="410"/>
      <c r="U513" s="411">
        <v>0</v>
      </c>
      <c r="V513" s="411">
        <v>0</v>
      </c>
      <c r="W513" s="411">
        <v>0</v>
      </c>
      <c r="X513" s="411"/>
      <c r="Y513" s="411"/>
      <c r="Z513" s="412">
        <f t="shared" si="30"/>
        <v>0</v>
      </c>
      <c r="AA513" s="456">
        <f t="shared" si="31"/>
        <v>0</v>
      </c>
      <c r="AB513" s="456">
        <v>0</v>
      </c>
      <c r="AC513" s="2"/>
      <c r="AD513" s="4"/>
      <c r="AE513" s="5"/>
      <c r="AF513" s="428"/>
    </row>
    <row r="514" spans="1:32" x14ac:dyDescent="0.25">
      <c r="A514" s="1" t="s">
        <v>2958</v>
      </c>
      <c r="B514" s="3" t="s">
        <v>1368</v>
      </c>
      <c r="C514" s="3" t="s">
        <v>1247</v>
      </c>
      <c r="D514" s="407" t="s">
        <v>1401</v>
      </c>
      <c r="E514" s="3" t="s">
        <v>2267</v>
      </c>
      <c r="F514" s="407" t="s">
        <v>4478</v>
      </c>
      <c r="G514" s="440" t="s">
        <v>4109</v>
      </c>
      <c r="H514" s="407" t="s">
        <v>4299</v>
      </c>
      <c r="I514" s="407" t="s">
        <v>3780</v>
      </c>
      <c r="J514" s="387" t="s">
        <v>4657</v>
      </c>
      <c r="K514" s="387">
        <v>1</v>
      </c>
      <c r="L514" s="387">
        <v>0</v>
      </c>
      <c r="M514" s="387">
        <f t="shared" si="28"/>
        <v>1</v>
      </c>
      <c r="N514" s="442">
        <f t="shared" si="29"/>
        <v>0</v>
      </c>
      <c r="O514" s="387" t="s">
        <v>1358</v>
      </c>
      <c r="P514" s="459">
        <v>0</v>
      </c>
      <c r="Q514" s="459"/>
      <c r="R514" s="456">
        <v>0</v>
      </c>
      <c r="S514" s="456">
        <v>25.07</v>
      </c>
      <c r="T514" s="410"/>
      <c r="U514" s="411">
        <v>0</v>
      </c>
      <c r="V514" s="411">
        <v>0</v>
      </c>
      <c r="W514" s="411">
        <v>0</v>
      </c>
      <c r="X514" s="411"/>
      <c r="Y514" s="411"/>
      <c r="Z514" s="412">
        <f t="shared" si="30"/>
        <v>0</v>
      </c>
      <c r="AA514" s="456">
        <f t="shared" si="31"/>
        <v>0</v>
      </c>
      <c r="AB514" s="456">
        <v>0</v>
      </c>
      <c r="AC514" s="2"/>
      <c r="AD514" s="4"/>
      <c r="AE514" s="5"/>
      <c r="AF514" s="428"/>
    </row>
    <row r="515" spans="1:32" x14ac:dyDescent="0.25">
      <c r="A515" s="1" t="s">
        <v>2959</v>
      </c>
      <c r="B515" s="3" t="s">
        <v>1368</v>
      </c>
      <c r="C515" s="3" t="s">
        <v>1247</v>
      </c>
      <c r="D515" s="407" t="s">
        <v>1432</v>
      </c>
      <c r="E515" s="3" t="s">
        <v>2268</v>
      </c>
      <c r="F515" s="407" t="s">
        <v>4483</v>
      </c>
      <c r="G515" s="440" t="s">
        <v>4109</v>
      </c>
      <c r="H515" s="407" t="s">
        <v>4304</v>
      </c>
      <c r="I515" s="407" t="s">
        <v>3785</v>
      </c>
      <c r="J515" s="387" t="s">
        <v>4635</v>
      </c>
      <c r="K515" s="387">
        <v>1</v>
      </c>
      <c r="L515" s="387">
        <v>0</v>
      </c>
      <c r="M515" s="387">
        <f t="shared" si="28"/>
        <v>1</v>
      </c>
      <c r="N515" s="442">
        <f t="shared" si="29"/>
        <v>0</v>
      </c>
      <c r="O515" s="387" t="s">
        <v>1358</v>
      </c>
      <c r="P515" s="459">
        <v>0</v>
      </c>
      <c r="Q515" s="459"/>
      <c r="R515" s="456">
        <v>0</v>
      </c>
      <c r="S515" s="456">
        <v>19.939</v>
      </c>
      <c r="T515" s="410"/>
      <c r="U515" s="411">
        <v>0</v>
      </c>
      <c r="V515" s="411">
        <v>0</v>
      </c>
      <c r="W515" s="411">
        <v>0</v>
      </c>
      <c r="X515" s="411"/>
      <c r="Y515" s="411"/>
      <c r="Z515" s="412">
        <f t="shared" si="30"/>
        <v>0</v>
      </c>
      <c r="AA515" s="456">
        <f t="shared" si="31"/>
        <v>0</v>
      </c>
      <c r="AB515" s="456">
        <v>0</v>
      </c>
      <c r="AC515" s="2"/>
      <c r="AD515" s="4"/>
      <c r="AE515" s="5"/>
      <c r="AF515" s="428"/>
    </row>
    <row r="516" spans="1:32" x14ac:dyDescent="0.25">
      <c r="A516" s="1" t="s">
        <v>2960</v>
      </c>
      <c r="B516" s="3" t="s">
        <v>1368</v>
      </c>
      <c r="C516" s="3" t="s">
        <v>1247</v>
      </c>
      <c r="D516" s="407" t="s">
        <v>1433</v>
      </c>
      <c r="E516" s="3" t="s">
        <v>2269</v>
      </c>
      <c r="F516" s="407" t="s">
        <v>4490</v>
      </c>
      <c r="G516" s="440" t="s">
        <v>4109</v>
      </c>
      <c r="H516" s="407" t="s">
        <v>4311</v>
      </c>
      <c r="I516" s="407" t="s">
        <v>3792</v>
      </c>
      <c r="J516" s="387" t="s">
        <v>4644</v>
      </c>
      <c r="K516" s="387">
        <v>1</v>
      </c>
      <c r="L516" s="387">
        <v>0</v>
      </c>
      <c r="M516" s="387">
        <f t="shared" si="28"/>
        <v>1</v>
      </c>
      <c r="N516" s="442">
        <f t="shared" si="29"/>
        <v>0</v>
      </c>
      <c r="O516" s="387" t="s">
        <v>1358</v>
      </c>
      <c r="P516" s="459">
        <v>0</v>
      </c>
      <c r="Q516" s="459"/>
      <c r="R516" s="456">
        <v>0</v>
      </c>
      <c r="S516" s="456">
        <v>19.939</v>
      </c>
      <c r="T516" s="410"/>
      <c r="U516" s="411">
        <v>0</v>
      </c>
      <c r="V516" s="411">
        <v>0</v>
      </c>
      <c r="W516" s="411">
        <v>0</v>
      </c>
      <c r="X516" s="411"/>
      <c r="Y516" s="411"/>
      <c r="Z516" s="412">
        <f t="shared" si="30"/>
        <v>0</v>
      </c>
      <c r="AA516" s="456">
        <f t="shared" si="31"/>
        <v>0</v>
      </c>
      <c r="AB516" s="456">
        <v>0</v>
      </c>
      <c r="AC516" s="2"/>
      <c r="AD516" s="4"/>
      <c r="AE516" s="5"/>
      <c r="AF516" s="428"/>
    </row>
    <row r="517" spans="1:32" x14ac:dyDescent="0.25">
      <c r="A517" s="1" t="s">
        <v>2961</v>
      </c>
      <c r="B517" s="3" t="s">
        <v>1368</v>
      </c>
      <c r="C517" s="3" t="s">
        <v>1247</v>
      </c>
      <c r="D517" s="407" t="s">
        <v>1426</v>
      </c>
      <c r="E517" s="3" t="s">
        <v>2270</v>
      </c>
      <c r="F517" s="407" t="s">
        <v>4480</v>
      </c>
      <c r="G517" s="440" t="s">
        <v>4109</v>
      </c>
      <c r="H517" s="407" t="s">
        <v>4301</v>
      </c>
      <c r="I517" s="407" t="s">
        <v>3782</v>
      </c>
      <c r="J517" s="387" t="s">
        <v>4637</v>
      </c>
      <c r="K517" s="387">
        <v>1</v>
      </c>
      <c r="L517" s="387">
        <v>0</v>
      </c>
      <c r="M517" s="387">
        <f t="shared" si="28"/>
        <v>1</v>
      </c>
      <c r="N517" s="442">
        <f t="shared" si="29"/>
        <v>0</v>
      </c>
      <c r="O517" s="387" t="s">
        <v>1358</v>
      </c>
      <c r="P517" s="459">
        <v>0</v>
      </c>
      <c r="Q517" s="459"/>
      <c r="R517" s="456">
        <v>0</v>
      </c>
      <c r="S517" s="456">
        <v>19.939</v>
      </c>
      <c r="T517" s="410"/>
      <c r="U517" s="411">
        <v>1</v>
      </c>
      <c r="V517" s="411">
        <v>1</v>
      </c>
      <c r="W517" s="411">
        <v>1</v>
      </c>
      <c r="X517" s="411"/>
      <c r="Y517" s="411"/>
      <c r="Z517" s="412">
        <f t="shared" si="30"/>
        <v>0</v>
      </c>
      <c r="AA517" s="456">
        <f t="shared" si="31"/>
        <v>0</v>
      </c>
      <c r="AB517" s="456">
        <v>0</v>
      </c>
      <c r="AC517" s="2"/>
      <c r="AD517" s="4"/>
      <c r="AE517" s="5"/>
      <c r="AF517" s="428"/>
    </row>
    <row r="518" spans="1:32" x14ac:dyDescent="0.25">
      <c r="A518" s="1" t="s">
        <v>2962</v>
      </c>
      <c r="B518" s="3" t="s">
        <v>1368</v>
      </c>
      <c r="C518" s="3" t="s">
        <v>1247</v>
      </c>
      <c r="D518" s="407" t="s">
        <v>1427</v>
      </c>
      <c r="E518" s="3" t="s">
        <v>2271</v>
      </c>
      <c r="F518" s="407" t="s">
        <v>4485</v>
      </c>
      <c r="G518" s="440" t="s">
        <v>4109</v>
      </c>
      <c r="H518" s="407" t="s">
        <v>4306</v>
      </c>
      <c r="I518" s="407" t="s">
        <v>3787</v>
      </c>
      <c r="J518" s="387" t="s">
        <v>4638</v>
      </c>
      <c r="K518" s="387">
        <v>1</v>
      </c>
      <c r="L518" s="387">
        <v>0</v>
      </c>
      <c r="M518" s="387">
        <f t="shared" si="28"/>
        <v>1</v>
      </c>
      <c r="N518" s="442">
        <f t="shared" si="29"/>
        <v>0</v>
      </c>
      <c r="O518" s="387" t="s">
        <v>1358</v>
      </c>
      <c r="P518" s="459">
        <v>0</v>
      </c>
      <c r="Q518" s="459"/>
      <c r="R518" s="456">
        <v>0</v>
      </c>
      <c r="S518" s="456">
        <v>19.939</v>
      </c>
      <c r="T518" s="410"/>
      <c r="U518" s="411">
        <v>0</v>
      </c>
      <c r="V518" s="411">
        <v>0</v>
      </c>
      <c r="W518" s="411">
        <v>0</v>
      </c>
      <c r="X518" s="411"/>
      <c r="Y518" s="411"/>
      <c r="Z518" s="412">
        <f t="shared" si="30"/>
        <v>0</v>
      </c>
      <c r="AA518" s="456">
        <f t="shared" si="31"/>
        <v>0</v>
      </c>
      <c r="AB518" s="456">
        <v>0</v>
      </c>
      <c r="AC518" s="2"/>
      <c r="AD518" s="4"/>
      <c r="AE518" s="5"/>
      <c r="AF518" s="428"/>
    </row>
    <row r="519" spans="1:32" x14ac:dyDescent="0.25">
      <c r="A519" s="1" t="s">
        <v>2963</v>
      </c>
      <c r="B519" s="3" t="s">
        <v>1368</v>
      </c>
      <c r="C519" s="3" t="s">
        <v>1247</v>
      </c>
      <c r="D519" s="407" t="s">
        <v>1431</v>
      </c>
      <c r="E519" s="3" t="s">
        <v>2272</v>
      </c>
      <c r="F519" s="407" t="s">
        <v>4489</v>
      </c>
      <c r="G519" s="440" t="s">
        <v>4109</v>
      </c>
      <c r="H519" s="407" t="s">
        <v>4310</v>
      </c>
      <c r="I519" s="407" t="s">
        <v>3791</v>
      </c>
      <c r="J519" s="387" t="s">
        <v>4642</v>
      </c>
      <c r="K519" s="387">
        <v>1</v>
      </c>
      <c r="L519" s="387">
        <v>0</v>
      </c>
      <c r="M519" s="387">
        <f t="shared" si="28"/>
        <v>1</v>
      </c>
      <c r="N519" s="442">
        <f t="shared" si="29"/>
        <v>0</v>
      </c>
      <c r="O519" s="387" t="s">
        <v>1358</v>
      </c>
      <c r="P519" s="459">
        <v>0</v>
      </c>
      <c r="Q519" s="459"/>
      <c r="R519" s="456">
        <v>0</v>
      </c>
      <c r="S519" s="456">
        <v>19.939</v>
      </c>
      <c r="T519" s="410"/>
      <c r="U519" s="411">
        <v>0</v>
      </c>
      <c r="V519" s="411">
        <v>0</v>
      </c>
      <c r="W519" s="411">
        <v>0</v>
      </c>
      <c r="X519" s="411"/>
      <c r="Y519" s="411"/>
      <c r="Z519" s="412">
        <f t="shared" si="30"/>
        <v>0</v>
      </c>
      <c r="AA519" s="456">
        <f t="shared" si="31"/>
        <v>0</v>
      </c>
      <c r="AB519" s="456">
        <v>0</v>
      </c>
      <c r="AC519" s="2"/>
      <c r="AD519" s="4"/>
      <c r="AE519" s="5"/>
      <c r="AF519" s="428"/>
    </row>
    <row r="520" spans="1:32" x14ac:dyDescent="0.25">
      <c r="A520" s="1" t="s">
        <v>2964</v>
      </c>
      <c r="B520" s="3" t="s">
        <v>1368</v>
      </c>
      <c r="C520" s="3" t="s">
        <v>1247</v>
      </c>
      <c r="D520" s="407" t="s">
        <v>1428</v>
      </c>
      <c r="E520" s="3" t="s">
        <v>2273</v>
      </c>
      <c r="F520" s="407" t="s">
        <v>4486</v>
      </c>
      <c r="G520" s="440" t="s">
        <v>4109</v>
      </c>
      <c r="H520" s="407" t="s">
        <v>4307</v>
      </c>
      <c r="I520" s="407" t="s">
        <v>3788</v>
      </c>
      <c r="J520" s="387" t="s">
        <v>4639</v>
      </c>
      <c r="K520" s="387">
        <v>1</v>
      </c>
      <c r="L520" s="387">
        <v>0</v>
      </c>
      <c r="M520" s="387">
        <f t="shared" si="28"/>
        <v>1</v>
      </c>
      <c r="N520" s="442">
        <f t="shared" si="29"/>
        <v>0</v>
      </c>
      <c r="O520" s="387" t="s">
        <v>1358</v>
      </c>
      <c r="P520" s="459">
        <v>0</v>
      </c>
      <c r="Q520" s="459"/>
      <c r="R520" s="456">
        <v>0</v>
      </c>
      <c r="S520" s="456">
        <v>19.939</v>
      </c>
      <c r="T520" s="410"/>
      <c r="U520" s="411">
        <v>0</v>
      </c>
      <c r="V520" s="411">
        <v>0</v>
      </c>
      <c r="W520" s="411">
        <v>0</v>
      </c>
      <c r="X520" s="411"/>
      <c r="Y520" s="411"/>
      <c r="Z520" s="412">
        <f t="shared" si="30"/>
        <v>0</v>
      </c>
      <c r="AA520" s="456">
        <f t="shared" si="31"/>
        <v>0</v>
      </c>
      <c r="AB520" s="456">
        <v>0</v>
      </c>
      <c r="AC520" s="2"/>
      <c r="AD520" s="4"/>
      <c r="AE520" s="5"/>
      <c r="AF520" s="428"/>
    </row>
    <row r="521" spans="1:32" x14ac:dyDescent="0.25">
      <c r="A521" s="1" t="s">
        <v>2965</v>
      </c>
      <c r="B521" s="3" t="s">
        <v>1368</v>
      </c>
      <c r="C521" s="3" t="s">
        <v>1247</v>
      </c>
      <c r="D521" s="407" t="s">
        <v>1429</v>
      </c>
      <c r="E521" s="3" t="s">
        <v>2274</v>
      </c>
      <c r="F521" s="407" t="s">
        <v>4487</v>
      </c>
      <c r="G521" s="440" t="s">
        <v>4109</v>
      </c>
      <c r="H521" s="407" t="s">
        <v>4308</v>
      </c>
      <c r="I521" s="407" t="s">
        <v>3789</v>
      </c>
      <c r="J521" s="387" t="s">
        <v>4640</v>
      </c>
      <c r="K521" s="387">
        <v>1</v>
      </c>
      <c r="L521" s="387">
        <v>0</v>
      </c>
      <c r="M521" s="387">
        <f t="shared" si="28"/>
        <v>1</v>
      </c>
      <c r="N521" s="442">
        <f t="shared" si="29"/>
        <v>0</v>
      </c>
      <c r="O521" s="387" t="s">
        <v>1358</v>
      </c>
      <c r="P521" s="459">
        <v>0</v>
      </c>
      <c r="Q521" s="459"/>
      <c r="R521" s="456">
        <v>0</v>
      </c>
      <c r="S521" s="456">
        <v>19.939</v>
      </c>
      <c r="T521" s="410"/>
      <c r="U521" s="411">
        <v>0</v>
      </c>
      <c r="V521" s="411">
        <v>0</v>
      </c>
      <c r="W521" s="411">
        <v>0</v>
      </c>
      <c r="X521" s="411"/>
      <c r="Y521" s="411"/>
      <c r="Z521" s="412">
        <f t="shared" si="30"/>
        <v>0</v>
      </c>
      <c r="AA521" s="456">
        <f t="shared" si="31"/>
        <v>0</v>
      </c>
      <c r="AB521" s="456">
        <v>0</v>
      </c>
      <c r="AC521" s="2"/>
      <c r="AD521" s="4"/>
      <c r="AE521" s="5"/>
      <c r="AF521" s="428"/>
    </row>
    <row r="522" spans="1:32" x14ac:dyDescent="0.25">
      <c r="A522" s="1" t="s">
        <v>2966</v>
      </c>
      <c r="B522" s="3" t="s">
        <v>1368</v>
      </c>
      <c r="C522" s="3" t="s">
        <v>1247</v>
      </c>
      <c r="D522" s="407" t="s">
        <v>1430</v>
      </c>
      <c r="E522" s="3" t="s">
        <v>2275</v>
      </c>
      <c r="F522" s="407" t="s">
        <v>4488</v>
      </c>
      <c r="G522" s="440" t="s">
        <v>4109</v>
      </c>
      <c r="H522" s="407" t="s">
        <v>4309</v>
      </c>
      <c r="I522" s="407" t="s">
        <v>3790</v>
      </c>
      <c r="J522" s="387" t="s">
        <v>4641</v>
      </c>
      <c r="K522" s="387">
        <v>1</v>
      </c>
      <c r="L522" s="387">
        <v>0</v>
      </c>
      <c r="M522" s="387">
        <f t="shared" si="28"/>
        <v>1</v>
      </c>
      <c r="N522" s="442">
        <f t="shared" si="29"/>
        <v>0</v>
      </c>
      <c r="O522" s="387" t="s">
        <v>1358</v>
      </c>
      <c r="P522" s="459">
        <v>0</v>
      </c>
      <c r="Q522" s="459"/>
      <c r="R522" s="456">
        <v>0</v>
      </c>
      <c r="S522" s="456">
        <v>19.939</v>
      </c>
      <c r="T522" s="410"/>
      <c r="U522" s="411">
        <v>0</v>
      </c>
      <c r="V522" s="411">
        <v>0</v>
      </c>
      <c r="W522" s="411">
        <v>0</v>
      </c>
      <c r="X522" s="411"/>
      <c r="Y522" s="411"/>
      <c r="Z522" s="412">
        <f t="shared" si="30"/>
        <v>0</v>
      </c>
      <c r="AA522" s="456">
        <f t="shared" si="31"/>
        <v>0</v>
      </c>
      <c r="AB522" s="456">
        <v>0</v>
      </c>
      <c r="AC522" s="2"/>
      <c r="AD522" s="4"/>
      <c r="AE522" s="5"/>
      <c r="AF522" s="428"/>
    </row>
    <row r="523" spans="1:32" x14ac:dyDescent="0.25">
      <c r="A523" s="1" t="s">
        <v>2967</v>
      </c>
      <c r="B523" s="3" t="s">
        <v>1368</v>
      </c>
      <c r="C523" s="3" t="s">
        <v>1247</v>
      </c>
      <c r="D523" s="407" t="s">
        <v>3306</v>
      </c>
      <c r="E523" s="3" t="s">
        <v>2276</v>
      </c>
      <c r="F523" s="407" t="s">
        <v>4484</v>
      </c>
      <c r="G523" s="440" t="s">
        <v>4109</v>
      </c>
      <c r="H523" s="407" t="s">
        <v>4305</v>
      </c>
      <c r="I523" s="407" t="s">
        <v>3786</v>
      </c>
      <c r="J523" s="387" t="s">
        <v>4636</v>
      </c>
      <c r="K523" s="387">
        <v>1</v>
      </c>
      <c r="L523" s="387">
        <v>0</v>
      </c>
      <c r="M523" s="387">
        <f t="shared" si="28"/>
        <v>1</v>
      </c>
      <c r="N523" s="442">
        <f t="shared" si="29"/>
        <v>0</v>
      </c>
      <c r="O523" s="387" t="s">
        <v>1358</v>
      </c>
      <c r="P523" s="459">
        <v>0</v>
      </c>
      <c r="Q523" s="459"/>
      <c r="R523" s="456">
        <v>0</v>
      </c>
      <c r="S523" s="456">
        <v>20.501000000000001</v>
      </c>
      <c r="T523" s="410"/>
      <c r="U523" s="411">
        <v>0</v>
      </c>
      <c r="V523" s="411">
        <v>0</v>
      </c>
      <c r="W523" s="411">
        <v>0</v>
      </c>
      <c r="X523" s="411"/>
      <c r="Y523" s="411"/>
      <c r="Z523" s="412">
        <f t="shared" si="30"/>
        <v>0</v>
      </c>
      <c r="AA523" s="456">
        <f t="shared" si="31"/>
        <v>0</v>
      </c>
      <c r="AB523" s="456">
        <v>0</v>
      </c>
      <c r="AC523" s="2"/>
      <c r="AD523" s="4"/>
      <c r="AE523" s="5"/>
      <c r="AF523" s="428"/>
    </row>
    <row r="524" spans="1:32" x14ac:dyDescent="0.25">
      <c r="A524" s="1" t="s">
        <v>2968</v>
      </c>
      <c r="B524" s="3" t="s">
        <v>1368</v>
      </c>
      <c r="C524" s="3" t="s">
        <v>1247</v>
      </c>
      <c r="D524" s="407" t="s">
        <v>1398</v>
      </c>
      <c r="E524" s="3" t="s">
        <v>2277</v>
      </c>
      <c r="F524" s="407" t="s">
        <v>4496</v>
      </c>
      <c r="G524" s="440" t="s">
        <v>4109</v>
      </c>
      <c r="H524" s="407" t="s">
        <v>4317</v>
      </c>
      <c r="I524" s="407" t="s">
        <v>3796</v>
      </c>
      <c r="J524" s="387" t="s">
        <v>4650</v>
      </c>
      <c r="K524" s="387">
        <v>1</v>
      </c>
      <c r="L524" s="387">
        <v>0</v>
      </c>
      <c r="M524" s="387">
        <f t="shared" si="28"/>
        <v>1</v>
      </c>
      <c r="N524" s="442">
        <f t="shared" si="29"/>
        <v>0</v>
      </c>
      <c r="O524" s="387" t="s">
        <v>1358</v>
      </c>
      <c r="P524" s="459">
        <v>0</v>
      </c>
      <c r="Q524" s="459"/>
      <c r="R524" s="456">
        <v>0</v>
      </c>
      <c r="S524" s="456">
        <v>25.105</v>
      </c>
      <c r="T524" s="410"/>
      <c r="U524" s="411">
        <v>1</v>
      </c>
      <c r="V524" s="411">
        <v>1</v>
      </c>
      <c r="W524" s="411">
        <v>1</v>
      </c>
      <c r="X524" s="411"/>
      <c r="Y524" s="411"/>
      <c r="Z524" s="412">
        <f t="shared" si="30"/>
        <v>0</v>
      </c>
      <c r="AA524" s="456">
        <f t="shared" si="31"/>
        <v>0</v>
      </c>
      <c r="AB524" s="456">
        <v>0</v>
      </c>
      <c r="AC524" s="2"/>
      <c r="AD524" s="4"/>
      <c r="AE524" s="5"/>
      <c r="AF524" s="428"/>
    </row>
    <row r="525" spans="1:32" x14ac:dyDescent="0.25">
      <c r="A525" s="1" t="s">
        <v>2969</v>
      </c>
      <c r="B525" s="3" t="s">
        <v>1368</v>
      </c>
      <c r="C525" s="3" t="s">
        <v>1247</v>
      </c>
      <c r="D525" s="407" t="s">
        <v>1379</v>
      </c>
      <c r="E525" s="3" t="s">
        <v>2278</v>
      </c>
      <c r="F525" s="407" t="s">
        <v>4502</v>
      </c>
      <c r="G525" s="440" t="s">
        <v>4109</v>
      </c>
      <c r="H525" s="407" t="s">
        <v>4323</v>
      </c>
      <c r="I525" s="407" t="s">
        <v>3750</v>
      </c>
      <c r="J525" s="387" t="s">
        <v>4632</v>
      </c>
      <c r="K525" s="387">
        <v>1</v>
      </c>
      <c r="L525" s="387">
        <v>0</v>
      </c>
      <c r="M525" s="387">
        <f t="shared" ref="M525:M589" si="32">K525+L525</f>
        <v>1</v>
      </c>
      <c r="N525" s="442">
        <f t="shared" ref="N525:N589" si="33">K525*Z525</f>
        <v>0</v>
      </c>
      <c r="O525" s="387" t="s">
        <v>1358</v>
      </c>
      <c r="P525" s="459">
        <v>0</v>
      </c>
      <c r="Q525" s="459"/>
      <c r="R525" s="456">
        <v>0</v>
      </c>
      <c r="S525" s="456">
        <v>40.854999999999997</v>
      </c>
      <c r="T525" s="410"/>
      <c r="U525" s="411">
        <v>1</v>
      </c>
      <c r="V525" s="411">
        <v>1</v>
      </c>
      <c r="W525" s="411">
        <v>1</v>
      </c>
      <c r="X525" s="411"/>
      <c r="Y525" s="411"/>
      <c r="Z525" s="412">
        <f t="shared" ref="Z525:Z589" si="34">AA525/S525</f>
        <v>0</v>
      </c>
      <c r="AA525" s="456">
        <f t="shared" ref="AA525:AA589" si="35">(U525*U$368*S525)+(V525*V$368*S525)+(W525*W$368*S525)</f>
        <v>0</v>
      </c>
      <c r="AB525" s="456">
        <v>0</v>
      </c>
      <c r="AC525" s="2"/>
      <c r="AD525" s="4"/>
      <c r="AE525" s="5"/>
      <c r="AF525" s="428"/>
    </row>
    <row r="526" spans="1:32" x14ac:dyDescent="0.25">
      <c r="A526" s="1" t="s">
        <v>2970</v>
      </c>
      <c r="B526" s="3" t="s">
        <v>1368</v>
      </c>
      <c r="C526" s="3" t="s">
        <v>1247</v>
      </c>
      <c r="D526" s="407" t="s">
        <v>1377</v>
      </c>
      <c r="E526" s="3" t="s">
        <v>2279</v>
      </c>
      <c r="F526" s="407" t="s">
        <v>4494</v>
      </c>
      <c r="G526" s="440" t="s">
        <v>4109</v>
      </c>
      <c r="H526" s="407" t="s">
        <v>4315</v>
      </c>
      <c r="I526" s="407" t="s">
        <v>3749</v>
      </c>
      <c r="J526" s="387" t="s">
        <v>4648</v>
      </c>
      <c r="K526" s="387">
        <v>1</v>
      </c>
      <c r="L526" s="387">
        <v>0</v>
      </c>
      <c r="M526" s="387">
        <f t="shared" si="32"/>
        <v>1</v>
      </c>
      <c r="N526" s="442">
        <f t="shared" si="33"/>
        <v>0</v>
      </c>
      <c r="O526" s="387" t="s">
        <v>1358</v>
      </c>
      <c r="P526" s="459">
        <v>0</v>
      </c>
      <c r="Q526" s="459"/>
      <c r="R526" s="456">
        <v>0</v>
      </c>
      <c r="S526" s="456">
        <v>40.854999999999997</v>
      </c>
      <c r="T526" s="410"/>
      <c r="U526" s="411">
        <v>1</v>
      </c>
      <c r="V526" s="411">
        <v>1</v>
      </c>
      <c r="W526" s="411">
        <v>1</v>
      </c>
      <c r="X526" s="411"/>
      <c r="Y526" s="411"/>
      <c r="Z526" s="412">
        <f t="shared" si="34"/>
        <v>0</v>
      </c>
      <c r="AA526" s="456">
        <f t="shared" si="35"/>
        <v>0</v>
      </c>
      <c r="AB526" s="456">
        <v>0</v>
      </c>
      <c r="AC526" s="2"/>
      <c r="AD526" s="4"/>
      <c r="AE526" s="5"/>
      <c r="AF526" s="428"/>
    </row>
    <row r="527" spans="1:32" x14ac:dyDescent="0.25">
      <c r="A527" s="1" t="s">
        <v>2971</v>
      </c>
      <c r="B527" s="3" t="s">
        <v>1368</v>
      </c>
      <c r="C527" s="3" t="s">
        <v>1247</v>
      </c>
      <c r="D527" s="407" t="s">
        <v>1374</v>
      </c>
      <c r="E527" s="3" t="s">
        <v>2280</v>
      </c>
      <c r="F527" s="407" t="s">
        <v>4495</v>
      </c>
      <c r="G527" s="440" t="s">
        <v>4109</v>
      </c>
      <c r="H527" s="407" t="s">
        <v>4316</v>
      </c>
      <c r="I527" s="407" t="s">
        <v>3757</v>
      </c>
      <c r="J527" s="387" t="s">
        <v>4649</v>
      </c>
      <c r="K527" s="387">
        <v>1</v>
      </c>
      <c r="L527" s="387">
        <v>0</v>
      </c>
      <c r="M527" s="387">
        <f t="shared" si="32"/>
        <v>1</v>
      </c>
      <c r="N527" s="442">
        <f t="shared" si="33"/>
        <v>0</v>
      </c>
      <c r="O527" s="387" t="s">
        <v>1358</v>
      </c>
      <c r="P527" s="459">
        <v>0</v>
      </c>
      <c r="Q527" s="459"/>
      <c r="R527" s="456">
        <v>0</v>
      </c>
      <c r="S527" s="456">
        <v>40.854999999999997</v>
      </c>
      <c r="T527" s="410"/>
      <c r="U527" s="411">
        <v>1</v>
      </c>
      <c r="V527" s="411">
        <v>1</v>
      </c>
      <c r="W527" s="411">
        <v>1</v>
      </c>
      <c r="X527" s="411"/>
      <c r="Y527" s="411"/>
      <c r="Z527" s="412">
        <f t="shared" si="34"/>
        <v>0</v>
      </c>
      <c r="AA527" s="456">
        <f t="shared" si="35"/>
        <v>0</v>
      </c>
      <c r="AB527" s="456">
        <v>0</v>
      </c>
      <c r="AC527" s="2"/>
      <c r="AD527" s="4"/>
      <c r="AE527" s="5"/>
      <c r="AF527" s="428"/>
    </row>
    <row r="528" spans="1:32" x14ac:dyDescent="0.25">
      <c r="A528" s="1" t="s">
        <v>2972</v>
      </c>
      <c r="B528" s="3" t="s">
        <v>1368</v>
      </c>
      <c r="C528" s="3" t="s">
        <v>1247</v>
      </c>
      <c r="D528" s="407" t="s">
        <v>1401</v>
      </c>
      <c r="E528" s="3" t="s">
        <v>2281</v>
      </c>
      <c r="F528" s="407" t="s">
        <v>4478</v>
      </c>
      <c r="G528" s="440" t="s">
        <v>4109</v>
      </c>
      <c r="H528" s="407" t="s">
        <v>4299</v>
      </c>
      <c r="I528" s="407" t="s">
        <v>3780</v>
      </c>
      <c r="J528" s="387" t="s">
        <v>4657</v>
      </c>
      <c r="K528" s="387">
        <v>2</v>
      </c>
      <c r="L528" s="387">
        <v>0</v>
      </c>
      <c r="M528" s="387">
        <f t="shared" si="32"/>
        <v>2</v>
      </c>
      <c r="N528" s="442">
        <f t="shared" si="33"/>
        <v>0</v>
      </c>
      <c r="O528" s="387" t="s">
        <v>1358</v>
      </c>
      <c r="P528" s="459">
        <v>0</v>
      </c>
      <c r="Q528" s="459"/>
      <c r="R528" s="456">
        <v>0</v>
      </c>
      <c r="S528" s="456">
        <v>37.506</v>
      </c>
      <c r="T528" s="410"/>
      <c r="U528" s="411">
        <v>0</v>
      </c>
      <c r="V528" s="411">
        <v>0</v>
      </c>
      <c r="W528" s="411">
        <v>0</v>
      </c>
      <c r="X528" s="411"/>
      <c r="Y528" s="411"/>
      <c r="Z528" s="412">
        <f t="shared" si="34"/>
        <v>0</v>
      </c>
      <c r="AA528" s="456">
        <f t="shared" si="35"/>
        <v>0</v>
      </c>
      <c r="AB528" s="456">
        <v>0</v>
      </c>
      <c r="AC528" s="2"/>
      <c r="AD528" s="4"/>
      <c r="AE528" s="5"/>
      <c r="AF528" s="428"/>
    </row>
    <row r="529" spans="1:32" x14ac:dyDescent="0.25">
      <c r="A529" s="1" t="s">
        <v>2973</v>
      </c>
      <c r="B529" s="3" t="s">
        <v>1368</v>
      </c>
      <c r="C529" s="3" t="s">
        <v>1247</v>
      </c>
      <c r="D529" s="407" t="s">
        <v>1400</v>
      </c>
      <c r="E529" s="3" t="s">
        <v>2282</v>
      </c>
      <c r="F529" s="407" t="s">
        <v>4477</v>
      </c>
      <c r="G529" s="440" t="s">
        <v>4109</v>
      </c>
      <c r="H529" s="407" t="s">
        <v>4298</v>
      </c>
      <c r="I529" s="407" t="s">
        <v>3779</v>
      </c>
      <c r="J529" s="387" t="s">
        <v>4656</v>
      </c>
      <c r="K529" s="387">
        <v>2</v>
      </c>
      <c r="L529" s="387">
        <v>0</v>
      </c>
      <c r="M529" s="387">
        <f t="shared" si="32"/>
        <v>2</v>
      </c>
      <c r="N529" s="442">
        <f t="shared" si="33"/>
        <v>0</v>
      </c>
      <c r="O529" s="387" t="s">
        <v>1358</v>
      </c>
      <c r="P529" s="459">
        <v>0</v>
      </c>
      <c r="Q529" s="459"/>
      <c r="R529" s="456">
        <v>0</v>
      </c>
      <c r="S529" s="456">
        <v>37.506</v>
      </c>
      <c r="T529" s="410"/>
      <c r="U529" s="411">
        <v>0</v>
      </c>
      <c r="V529" s="411">
        <v>0</v>
      </c>
      <c r="W529" s="411">
        <v>0</v>
      </c>
      <c r="X529" s="411"/>
      <c r="Y529" s="411"/>
      <c r="Z529" s="412">
        <f t="shared" si="34"/>
        <v>0</v>
      </c>
      <c r="AA529" s="456">
        <f t="shared" si="35"/>
        <v>0</v>
      </c>
      <c r="AB529" s="456">
        <v>0</v>
      </c>
      <c r="AC529" s="2"/>
      <c r="AD529" s="4"/>
      <c r="AE529" s="5"/>
      <c r="AF529" s="428"/>
    </row>
    <row r="530" spans="1:32" x14ac:dyDescent="0.25">
      <c r="A530" s="1" t="s">
        <v>2974</v>
      </c>
      <c r="B530" s="3" t="s">
        <v>1368</v>
      </c>
      <c r="C530" s="3" t="s">
        <v>1247</v>
      </c>
      <c r="D530" s="407" t="s">
        <v>1377</v>
      </c>
      <c r="E530" s="3" t="s">
        <v>2283</v>
      </c>
      <c r="F530" s="407" t="s">
        <v>4494</v>
      </c>
      <c r="G530" s="440" t="s">
        <v>4109</v>
      </c>
      <c r="H530" s="407" t="s">
        <v>4315</v>
      </c>
      <c r="I530" s="407" t="s">
        <v>3749</v>
      </c>
      <c r="J530" s="387" t="s">
        <v>4648</v>
      </c>
      <c r="K530" s="387">
        <v>1</v>
      </c>
      <c r="L530" s="387">
        <v>0</v>
      </c>
      <c r="M530" s="387">
        <f t="shared" si="32"/>
        <v>1</v>
      </c>
      <c r="N530" s="442">
        <f t="shared" si="33"/>
        <v>0</v>
      </c>
      <c r="O530" s="387" t="s">
        <v>1358</v>
      </c>
      <c r="P530" s="459">
        <v>0</v>
      </c>
      <c r="Q530" s="459"/>
      <c r="R530" s="456">
        <v>0</v>
      </c>
      <c r="S530" s="456">
        <v>18.753</v>
      </c>
      <c r="T530" s="410"/>
      <c r="U530" s="411">
        <v>1</v>
      </c>
      <c r="V530" s="411">
        <v>1</v>
      </c>
      <c r="W530" s="411">
        <v>1</v>
      </c>
      <c r="X530" s="411"/>
      <c r="Y530" s="411"/>
      <c r="Z530" s="412">
        <f t="shared" si="34"/>
        <v>0</v>
      </c>
      <c r="AA530" s="456">
        <f t="shared" si="35"/>
        <v>0</v>
      </c>
      <c r="AB530" s="456">
        <v>0</v>
      </c>
      <c r="AC530" s="2"/>
      <c r="AD530" s="4"/>
      <c r="AE530" s="5"/>
      <c r="AF530" s="428"/>
    </row>
    <row r="531" spans="1:32" x14ac:dyDescent="0.25">
      <c r="A531" s="1" t="s">
        <v>2975</v>
      </c>
      <c r="B531" s="3" t="s">
        <v>1368</v>
      </c>
      <c r="C531" s="3" t="s">
        <v>1247</v>
      </c>
      <c r="D531" s="407" t="s">
        <v>1374</v>
      </c>
      <c r="E531" s="3" t="s">
        <v>2284</v>
      </c>
      <c r="F531" s="407" t="s">
        <v>4495</v>
      </c>
      <c r="G531" s="440" t="s">
        <v>4109</v>
      </c>
      <c r="H531" s="407" t="s">
        <v>4316</v>
      </c>
      <c r="I531" s="407" t="s">
        <v>3757</v>
      </c>
      <c r="J531" s="387" t="s">
        <v>4665</v>
      </c>
      <c r="K531" s="387">
        <v>2</v>
      </c>
      <c r="L531" s="387">
        <v>0</v>
      </c>
      <c r="M531" s="387">
        <f t="shared" si="32"/>
        <v>2</v>
      </c>
      <c r="N531" s="442">
        <f t="shared" si="33"/>
        <v>0</v>
      </c>
      <c r="O531" s="387" t="s">
        <v>1358</v>
      </c>
      <c r="P531" s="459">
        <v>0</v>
      </c>
      <c r="Q531" s="459"/>
      <c r="R531" s="456">
        <v>0</v>
      </c>
      <c r="S531" s="456">
        <v>37.51</v>
      </c>
      <c r="T531" s="410"/>
      <c r="U531" s="411">
        <v>1</v>
      </c>
      <c r="V531" s="411">
        <v>1</v>
      </c>
      <c r="W531" s="411">
        <v>1</v>
      </c>
      <c r="X531" s="411"/>
      <c r="Y531" s="411"/>
      <c r="Z531" s="412">
        <f t="shared" si="34"/>
        <v>0</v>
      </c>
      <c r="AA531" s="456">
        <f t="shared" si="35"/>
        <v>0</v>
      </c>
      <c r="AB531" s="456">
        <v>0</v>
      </c>
      <c r="AC531" s="2"/>
      <c r="AD531" s="4"/>
      <c r="AE531" s="5"/>
      <c r="AF531" s="428"/>
    </row>
    <row r="532" spans="1:32" x14ac:dyDescent="0.25">
      <c r="A532" s="1" t="s">
        <v>2976</v>
      </c>
      <c r="B532" s="3" t="s">
        <v>1368</v>
      </c>
      <c r="C532" s="3" t="s">
        <v>1247</v>
      </c>
      <c r="D532" s="407" t="s">
        <v>1377</v>
      </c>
      <c r="E532" s="3" t="s">
        <v>2285</v>
      </c>
      <c r="F532" s="407" t="s">
        <v>4494</v>
      </c>
      <c r="G532" s="440" t="s">
        <v>4109</v>
      </c>
      <c r="H532" s="407" t="s">
        <v>4315</v>
      </c>
      <c r="I532" s="407" t="s">
        <v>3749</v>
      </c>
      <c r="J532" s="387" t="s">
        <v>4648</v>
      </c>
      <c r="K532" s="387">
        <v>1</v>
      </c>
      <c r="L532" s="387">
        <v>0</v>
      </c>
      <c r="M532" s="387">
        <f t="shared" si="32"/>
        <v>1</v>
      </c>
      <c r="N532" s="442">
        <f t="shared" si="33"/>
        <v>0</v>
      </c>
      <c r="O532" s="387" t="s">
        <v>1358</v>
      </c>
      <c r="P532" s="459">
        <v>0</v>
      </c>
      <c r="Q532" s="459"/>
      <c r="R532" s="456">
        <v>0</v>
      </c>
      <c r="S532" s="456">
        <v>18.753</v>
      </c>
      <c r="T532" s="410"/>
      <c r="U532" s="411">
        <v>1</v>
      </c>
      <c r="V532" s="411">
        <v>1</v>
      </c>
      <c r="W532" s="411">
        <v>1</v>
      </c>
      <c r="X532" s="411"/>
      <c r="Y532" s="411"/>
      <c r="Z532" s="412">
        <f t="shared" si="34"/>
        <v>0</v>
      </c>
      <c r="AA532" s="456">
        <f t="shared" si="35"/>
        <v>0</v>
      </c>
      <c r="AB532" s="456">
        <v>0</v>
      </c>
      <c r="AC532" s="2"/>
      <c r="AD532" s="4"/>
      <c r="AE532" s="5"/>
      <c r="AF532" s="428"/>
    </row>
    <row r="533" spans="1:32" x14ac:dyDescent="0.25">
      <c r="A533" s="1" t="s">
        <v>2977</v>
      </c>
      <c r="B533" s="3" t="s">
        <v>1368</v>
      </c>
      <c r="C533" s="3" t="s">
        <v>1247</v>
      </c>
      <c r="D533" s="407" t="s">
        <v>1374</v>
      </c>
      <c r="E533" s="3" t="s">
        <v>2286</v>
      </c>
      <c r="F533" s="407" t="s">
        <v>4495</v>
      </c>
      <c r="G533" s="440" t="s">
        <v>4109</v>
      </c>
      <c r="H533" s="407" t="s">
        <v>4316</v>
      </c>
      <c r="I533" s="407" t="s">
        <v>3757</v>
      </c>
      <c r="J533" s="387" t="s">
        <v>4665</v>
      </c>
      <c r="K533" s="387">
        <v>2</v>
      </c>
      <c r="L533" s="387">
        <v>0</v>
      </c>
      <c r="M533" s="387">
        <f t="shared" si="32"/>
        <v>2</v>
      </c>
      <c r="N533" s="442">
        <f t="shared" si="33"/>
        <v>0</v>
      </c>
      <c r="O533" s="387" t="s">
        <v>1358</v>
      </c>
      <c r="P533" s="459">
        <v>0</v>
      </c>
      <c r="Q533" s="459"/>
      <c r="R533" s="456">
        <v>0</v>
      </c>
      <c r="S533" s="456">
        <v>37.51</v>
      </c>
      <c r="T533" s="410"/>
      <c r="U533" s="411">
        <v>1</v>
      </c>
      <c r="V533" s="411">
        <v>1</v>
      </c>
      <c r="W533" s="411">
        <v>1</v>
      </c>
      <c r="X533" s="411"/>
      <c r="Y533" s="411"/>
      <c r="Z533" s="412">
        <f t="shared" si="34"/>
        <v>0</v>
      </c>
      <c r="AA533" s="456">
        <f t="shared" si="35"/>
        <v>0</v>
      </c>
      <c r="AB533" s="456">
        <v>0</v>
      </c>
      <c r="AC533" s="2"/>
      <c r="AD533" s="4"/>
      <c r="AE533" s="5"/>
      <c r="AF533" s="428"/>
    </row>
    <row r="534" spans="1:32" x14ac:dyDescent="0.25">
      <c r="A534" s="1" t="s">
        <v>2978</v>
      </c>
      <c r="B534" s="3" t="s">
        <v>1368</v>
      </c>
      <c r="C534" s="3" t="s">
        <v>1247</v>
      </c>
      <c r="D534" s="407" t="s">
        <v>3293</v>
      </c>
      <c r="E534" s="3" t="s">
        <v>2287</v>
      </c>
      <c r="F534" s="407" t="s">
        <v>4503</v>
      </c>
      <c r="G534" s="440" t="s">
        <v>4109</v>
      </c>
      <c r="H534" s="407" t="s">
        <v>4324</v>
      </c>
      <c r="I534" s="407" t="s">
        <v>3798</v>
      </c>
      <c r="J534" s="387" t="s">
        <v>4658</v>
      </c>
      <c r="K534" s="387">
        <v>1</v>
      </c>
      <c r="L534" s="387">
        <v>0</v>
      </c>
      <c r="M534" s="387">
        <f t="shared" si="32"/>
        <v>1</v>
      </c>
      <c r="N534" s="442">
        <f t="shared" si="33"/>
        <v>0</v>
      </c>
      <c r="O534" s="387" t="s">
        <v>1358</v>
      </c>
      <c r="P534" s="459">
        <v>0</v>
      </c>
      <c r="Q534" s="459"/>
      <c r="R534" s="456">
        <v>0</v>
      </c>
      <c r="S534" s="456">
        <v>41.042000000000002</v>
      </c>
      <c r="T534" s="410"/>
      <c r="U534" s="411">
        <v>1</v>
      </c>
      <c r="V534" s="411">
        <v>1</v>
      </c>
      <c r="W534" s="411">
        <v>1</v>
      </c>
      <c r="X534" s="411"/>
      <c r="Y534" s="411"/>
      <c r="Z534" s="412">
        <f t="shared" si="34"/>
        <v>0</v>
      </c>
      <c r="AA534" s="456">
        <f t="shared" si="35"/>
        <v>0</v>
      </c>
      <c r="AB534" s="456">
        <v>0</v>
      </c>
      <c r="AC534" s="2"/>
      <c r="AD534" s="4"/>
      <c r="AE534" s="5"/>
      <c r="AF534" s="428"/>
    </row>
    <row r="535" spans="1:32" x14ac:dyDescent="0.25">
      <c r="A535" s="1" t="s">
        <v>2979</v>
      </c>
      <c r="B535" s="3" t="s">
        <v>1368</v>
      </c>
      <c r="C535" s="3" t="s">
        <v>1247</v>
      </c>
      <c r="D535" s="407" t="s">
        <v>1398</v>
      </c>
      <c r="E535" s="3" t="s">
        <v>2288</v>
      </c>
      <c r="F535" s="407" t="s">
        <v>4496</v>
      </c>
      <c r="G535" s="440" t="s">
        <v>4109</v>
      </c>
      <c r="H535" s="407" t="s">
        <v>4317</v>
      </c>
      <c r="I535" s="407" t="s">
        <v>3796</v>
      </c>
      <c r="J535" s="387" t="s">
        <v>4650</v>
      </c>
      <c r="K535" s="387">
        <v>1</v>
      </c>
      <c r="L535" s="387">
        <v>0</v>
      </c>
      <c r="M535" s="387">
        <f t="shared" si="32"/>
        <v>1</v>
      </c>
      <c r="N535" s="442">
        <f t="shared" si="33"/>
        <v>0</v>
      </c>
      <c r="O535" s="387" t="s">
        <v>1358</v>
      </c>
      <c r="P535" s="459">
        <v>0</v>
      </c>
      <c r="Q535" s="459"/>
      <c r="R535" s="456">
        <v>0</v>
      </c>
      <c r="S535" s="456">
        <v>31.096</v>
      </c>
      <c r="T535" s="410"/>
      <c r="U535" s="411">
        <v>1</v>
      </c>
      <c r="V535" s="411">
        <v>1</v>
      </c>
      <c r="W535" s="411">
        <v>1</v>
      </c>
      <c r="X535" s="411"/>
      <c r="Y535" s="411"/>
      <c r="Z535" s="412">
        <f t="shared" si="34"/>
        <v>0</v>
      </c>
      <c r="AA535" s="456">
        <f t="shared" si="35"/>
        <v>0</v>
      </c>
      <c r="AB535" s="456">
        <v>0</v>
      </c>
      <c r="AC535" s="2"/>
      <c r="AD535" s="4"/>
      <c r="AE535" s="5"/>
      <c r="AF535" s="428"/>
    </row>
    <row r="536" spans="1:32" x14ac:dyDescent="0.25">
      <c r="A536" s="1" t="s">
        <v>2980</v>
      </c>
      <c r="B536" s="3" t="s">
        <v>1368</v>
      </c>
      <c r="C536" s="3" t="s">
        <v>1247</v>
      </c>
      <c r="D536" s="407" t="s">
        <v>3294</v>
      </c>
      <c r="E536" s="3" t="s">
        <v>2289</v>
      </c>
      <c r="F536" s="407" t="s">
        <v>4500</v>
      </c>
      <c r="G536" s="440" t="s">
        <v>4109</v>
      </c>
      <c r="H536" s="407" t="s">
        <v>4321</v>
      </c>
      <c r="I536" s="407" t="s">
        <v>3755</v>
      </c>
      <c r="J536" s="387" t="s">
        <v>4654</v>
      </c>
      <c r="K536" s="387">
        <v>1</v>
      </c>
      <c r="L536" s="387">
        <v>0</v>
      </c>
      <c r="M536" s="387">
        <f t="shared" si="32"/>
        <v>1</v>
      </c>
      <c r="N536" s="442">
        <f t="shared" si="33"/>
        <v>0</v>
      </c>
      <c r="O536" s="387" t="s">
        <v>1358</v>
      </c>
      <c r="P536" s="459">
        <v>0</v>
      </c>
      <c r="Q536" s="459"/>
      <c r="R536" s="456">
        <v>0</v>
      </c>
      <c r="S536" s="456">
        <v>18.812999999999999</v>
      </c>
      <c r="T536" s="410"/>
      <c r="U536" s="411">
        <v>1</v>
      </c>
      <c r="V536" s="411">
        <v>1</v>
      </c>
      <c r="W536" s="411">
        <v>1</v>
      </c>
      <c r="X536" s="411"/>
      <c r="Y536" s="411"/>
      <c r="Z536" s="412">
        <f t="shared" si="34"/>
        <v>0</v>
      </c>
      <c r="AA536" s="456">
        <f t="shared" si="35"/>
        <v>0</v>
      </c>
      <c r="AB536" s="456">
        <v>0</v>
      </c>
      <c r="AC536" s="2"/>
      <c r="AD536" s="4"/>
      <c r="AE536" s="5"/>
      <c r="AF536" s="428"/>
    </row>
    <row r="537" spans="1:32" x14ac:dyDescent="0.25">
      <c r="A537" s="1" t="s">
        <v>2981</v>
      </c>
      <c r="B537" s="3" t="s">
        <v>1368</v>
      </c>
      <c r="C537" s="3" t="s">
        <v>1247</v>
      </c>
      <c r="D537" s="407" t="s">
        <v>1432</v>
      </c>
      <c r="E537" s="3" t="s">
        <v>2290</v>
      </c>
      <c r="F537" s="407" t="s">
        <v>4483</v>
      </c>
      <c r="G537" s="440" t="s">
        <v>4109</v>
      </c>
      <c r="H537" s="407" t="s">
        <v>4304</v>
      </c>
      <c r="I537" s="407" t="s">
        <v>3785</v>
      </c>
      <c r="J537" s="387" t="s">
        <v>4635</v>
      </c>
      <c r="K537" s="387">
        <v>2</v>
      </c>
      <c r="L537" s="387">
        <v>0</v>
      </c>
      <c r="M537" s="387">
        <f t="shared" si="32"/>
        <v>2</v>
      </c>
      <c r="N537" s="442">
        <f t="shared" si="33"/>
        <v>0</v>
      </c>
      <c r="O537" s="387" t="s">
        <v>1358</v>
      </c>
      <c r="P537" s="459">
        <v>0</v>
      </c>
      <c r="Q537" s="459"/>
      <c r="R537" s="456">
        <v>0</v>
      </c>
      <c r="S537" s="456">
        <v>39.878</v>
      </c>
      <c r="T537" s="410"/>
      <c r="U537" s="411">
        <v>0</v>
      </c>
      <c r="V537" s="411">
        <v>0</v>
      </c>
      <c r="W537" s="411">
        <v>0</v>
      </c>
      <c r="X537" s="411"/>
      <c r="Y537" s="411"/>
      <c r="Z537" s="412">
        <f t="shared" si="34"/>
        <v>0</v>
      </c>
      <c r="AA537" s="456">
        <f t="shared" si="35"/>
        <v>0</v>
      </c>
      <c r="AB537" s="456">
        <v>0</v>
      </c>
      <c r="AC537" s="2"/>
      <c r="AD537" s="4"/>
      <c r="AE537" s="5"/>
      <c r="AF537" s="428"/>
    </row>
    <row r="538" spans="1:32" x14ac:dyDescent="0.25">
      <c r="A538" s="1" t="s">
        <v>2982</v>
      </c>
      <c r="B538" s="3" t="s">
        <v>1368</v>
      </c>
      <c r="C538" s="3" t="s">
        <v>1247</v>
      </c>
      <c r="D538" s="407" t="s">
        <v>1397</v>
      </c>
      <c r="E538" s="3" t="s">
        <v>2291</v>
      </c>
      <c r="F538" s="407" t="s">
        <v>4493</v>
      </c>
      <c r="G538" s="440" t="s">
        <v>4109</v>
      </c>
      <c r="H538" s="407" t="s">
        <v>4314</v>
      </c>
      <c r="I538" s="407" t="s">
        <v>3795</v>
      </c>
      <c r="J538" s="387" t="s">
        <v>4647</v>
      </c>
      <c r="K538" s="387">
        <v>1</v>
      </c>
      <c r="L538" s="387">
        <v>0</v>
      </c>
      <c r="M538" s="387">
        <f t="shared" si="32"/>
        <v>1</v>
      </c>
      <c r="N538" s="442">
        <f t="shared" si="33"/>
        <v>0</v>
      </c>
      <c r="O538" s="387" t="s">
        <v>1358</v>
      </c>
      <c r="P538" s="459">
        <v>0</v>
      </c>
      <c r="Q538" s="459"/>
      <c r="R538" s="456">
        <v>0</v>
      </c>
      <c r="S538" s="456">
        <v>19.376000000000001</v>
      </c>
      <c r="T538" s="410"/>
      <c r="U538" s="411">
        <v>1</v>
      </c>
      <c r="V538" s="411">
        <v>1</v>
      </c>
      <c r="W538" s="411">
        <v>1</v>
      </c>
      <c r="X538" s="411"/>
      <c r="Y538" s="411"/>
      <c r="Z538" s="412">
        <f t="shared" si="34"/>
        <v>0</v>
      </c>
      <c r="AA538" s="456">
        <f t="shared" si="35"/>
        <v>0</v>
      </c>
      <c r="AB538" s="456">
        <v>0</v>
      </c>
      <c r="AC538" s="2"/>
      <c r="AD538" s="4"/>
      <c r="AE538" s="5"/>
      <c r="AF538" s="428"/>
    </row>
    <row r="539" spans="1:32" x14ac:dyDescent="0.25">
      <c r="A539" s="1" t="s">
        <v>2983</v>
      </c>
      <c r="B539" s="3" t="s">
        <v>1368</v>
      </c>
      <c r="C539" s="3" t="s">
        <v>1247</v>
      </c>
      <c r="D539" s="407" t="s">
        <v>1398</v>
      </c>
      <c r="E539" s="3" t="s">
        <v>2292</v>
      </c>
      <c r="F539" s="407" t="s">
        <v>4496</v>
      </c>
      <c r="G539" s="440" t="s">
        <v>4109</v>
      </c>
      <c r="H539" s="407" t="s">
        <v>4317</v>
      </c>
      <c r="I539" s="407" t="s">
        <v>3796</v>
      </c>
      <c r="J539" s="387" t="s">
        <v>4650</v>
      </c>
      <c r="K539" s="387">
        <v>1</v>
      </c>
      <c r="L539" s="387">
        <v>0</v>
      </c>
      <c r="M539" s="387">
        <f t="shared" si="32"/>
        <v>1</v>
      </c>
      <c r="N539" s="442">
        <f t="shared" si="33"/>
        <v>0</v>
      </c>
      <c r="O539" s="387" t="s">
        <v>1358</v>
      </c>
      <c r="P539" s="459">
        <v>0</v>
      </c>
      <c r="Q539" s="459"/>
      <c r="R539" s="456">
        <v>0</v>
      </c>
      <c r="S539" s="456">
        <v>19.376000000000001</v>
      </c>
      <c r="T539" s="410"/>
      <c r="U539" s="411">
        <v>1</v>
      </c>
      <c r="V539" s="411">
        <v>1</v>
      </c>
      <c r="W539" s="411">
        <v>1</v>
      </c>
      <c r="X539" s="411"/>
      <c r="Y539" s="411"/>
      <c r="Z539" s="412">
        <f t="shared" si="34"/>
        <v>0</v>
      </c>
      <c r="AA539" s="456">
        <f t="shared" si="35"/>
        <v>0</v>
      </c>
      <c r="AB539" s="456">
        <v>0</v>
      </c>
      <c r="AC539" s="2"/>
      <c r="AD539" s="4"/>
      <c r="AE539" s="5"/>
      <c r="AF539" s="428"/>
    </row>
    <row r="540" spans="1:32" x14ac:dyDescent="0.25">
      <c r="A540" s="1" t="s">
        <v>2984</v>
      </c>
      <c r="B540" s="3" t="s">
        <v>1368</v>
      </c>
      <c r="C540" s="3" t="s">
        <v>1247</v>
      </c>
      <c r="D540" s="407" t="s">
        <v>1425</v>
      </c>
      <c r="E540" s="3" t="s">
        <v>2293</v>
      </c>
      <c r="F540" s="407" t="s">
        <v>4479</v>
      </c>
      <c r="G540" s="440" t="s">
        <v>4109</v>
      </c>
      <c r="H540" s="407" t="s">
        <v>4300</v>
      </c>
      <c r="I540" s="407" t="s">
        <v>3781</v>
      </c>
      <c r="J540" s="387" t="s">
        <v>4643</v>
      </c>
      <c r="K540" s="387">
        <v>1</v>
      </c>
      <c r="L540" s="387">
        <v>0</v>
      </c>
      <c r="M540" s="387">
        <f t="shared" si="32"/>
        <v>1</v>
      </c>
      <c r="N540" s="442">
        <f t="shared" si="33"/>
        <v>0</v>
      </c>
      <c r="O540" s="387" t="s">
        <v>1358</v>
      </c>
      <c r="P540" s="459">
        <v>0</v>
      </c>
      <c r="Q540" s="459"/>
      <c r="R540" s="456">
        <v>0</v>
      </c>
      <c r="S540" s="456">
        <v>19.939</v>
      </c>
      <c r="T540" s="410"/>
      <c r="U540" s="411">
        <v>1</v>
      </c>
      <c r="V540" s="411">
        <v>1</v>
      </c>
      <c r="W540" s="411">
        <v>1</v>
      </c>
      <c r="X540" s="411"/>
      <c r="Y540" s="411"/>
      <c r="Z540" s="412">
        <f t="shared" si="34"/>
        <v>0</v>
      </c>
      <c r="AA540" s="456">
        <f t="shared" si="35"/>
        <v>0</v>
      </c>
      <c r="AB540" s="456">
        <v>0</v>
      </c>
      <c r="AC540" s="2"/>
      <c r="AD540" s="4"/>
      <c r="AE540" s="5"/>
      <c r="AF540" s="428"/>
    </row>
    <row r="541" spans="1:32" x14ac:dyDescent="0.25">
      <c r="A541" s="1" t="s">
        <v>2985</v>
      </c>
      <c r="B541" s="3" t="s">
        <v>1368</v>
      </c>
      <c r="C541" s="3" t="s">
        <v>1247</v>
      </c>
      <c r="D541" s="407" t="s">
        <v>1426</v>
      </c>
      <c r="E541" s="3" t="s">
        <v>2294</v>
      </c>
      <c r="F541" s="407" t="s">
        <v>4480</v>
      </c>
      <c r="G541" s="440" t="s">
        <v>4109</v>
      </c>
      <c r="H541" s="407" t="s">
        <v>4301</v>
      </c>
      <c r="I541" s="407" t="s">
        <v>3782</v>
      </c>
      <c r="J541" s="387" t="s">
        <v>4637</v>
      </c>
      <c r="K541" s="387">
        <v>2</v>
      </c>
      <c r="L541" s="387">
        <v>0</v>
      </c>
      <c r="M541" s="387">
        <f t="shared" si="32"/>
        <v>2</v>
      </c>
      <c r="N541" s="442">
        <f t="shared" si="33"/>
        <v>0</v>
      </c>
      <c r="O541" s="387" t="s">
        <v>1358</v>
      </c>
      <c r="P541" s="459">
        <v>0</v>
      </c>
      <c r="Q541" s="459"/>
      <c r="R541" s="456">
        <v>0</v>
      </c>
      <c r="S541" s="456">
        <v>39.878</v>
      </c>
      <c r="T541" s="410"/>
      <c r="U541" s="411">
        <v>0</v>
      </c>
      <c r="V541" s="411">
        <v>0</v>
      </c>
      <c r="W541" s="411">
        <v>0</v>
      </c>
      <c r="X541" s="411"/>
      <c r="Y541" s="411"/>
      <c r="Z541" s="412">
        <f t="shared" si="34"/>
        <v>0</v>
      </c>
      <c r="AA541" s="456">
        <f t="shared" si="35"/>
        <v>0</v>
      </c>
      <c r="AB541" s="456">
        <v>0</v>
      </c>
      <c r="AC541" s="2"/>
      <c r="AD541" s="4"/>
      <c r="AE541" s="5"/>
      <c r="AF541" s="428"/>
    </row>
    <row r="542" spans="1:32" x14ac:dyDescent="0.25">
      <c r="A542" s="1" t="s">
        <v>2986</v>
      </c>
      <c r="B542" s="3" t="s">
        <v>1368</v>
      </c>
      <c r="C542" s="3" t="s">
        <v>1247</v>
      </c>
      <c r="D542" s="407" t="s">
        <v>1428</v>
      </c>
      <c r="E542" s="3" t="s">
        <v>2295</v>
      </c>
      <c r="F542" s="407" t="s">
        <v>4486</v>
      </c>
      <c r="G542" s="440" t="s">
        <v>4109</v>
      </c>
      <c r="H542" s="407" t="s">
        <v>4307</v>
      </c>
      <c r="I542" s="407" t="s">
        <v>3788</v>
      </c>
      <c r="J542" s="387" t="s">
        <v>4639</v>
      </c>
      <c r="K542" s="387">
        <v>2</v>
      </c>
      <c r="L542" s="387">
        <v>0</v>
      </c>
      <c r="M542" s="387">
        <f t="shared" si="32"/>
        <v>2</v>
      </c>
      <c r="N542" s="442">
        <f t="shared" si="33"/>
        <v>0</v>
      </c>
      <c r="O542" s="387" t="s">
        <v>1358</v>
      </c>
      <c r="P542" s="459">
        <v>0</v>
      </c>
      <c r="Q542" s="459"/>
      <c r="R542" s="456">
        <v>0</v>
      </c>
      <c r="S542" s="456">
        <v>39.878</v>
      </c>
      <c r="T542" s="410"/>
      <c r="U542" s="411">
        <v>0</v>
      </c>
      <c r="V542" s="411">
        <v>0</v>
      </c>
      <c r="W542" s="411">
        <v>0</v>
      </c>
      <c r="X542" s="411"/>
      <c r="Y542" s="411"/>
      <c r="Z542" s="412">
        <f t="shared" si="34"/>
        <v>0</v>
      </c>
      <c r="AA542" s="456">
        <f t="shared" si="35"/>
        <v>0</v>
      </c>
      <c r="AB542" s="456">
        <v>0</v>
      </c>
      <c r="AC542" s="2"/>
      <c r="AD542" s="4"/>
      <c r="AE542" s="5"/>
      <c r="AF542" s="428"/>
    </row>
    <row r="543" spans="1:32" x14ac:dyDescent="0.25">
      <c r="A543" s="1" t="s">
        <v>2987</v>
      </c>
      <c r="B543" s="3" t="s">
        <v>1368</v>
      </c>
      <c r="C543" s="3" t="s">
        <v>1247</v>
      </c>
      <c r="D543" s="407" t="s">
        <v>1430</v>
      </c>
      <c r="E543" s="3" t="s">
        <v>2296</v>
      </c>
      <c r="F543" s="407" t="s">
        <v>4488</v>
      </c>
      <c r="G543" s="440" t="s">
        <v>4109</v>
      </c>
      <c r="H543" s="407" t="s">
        <v>4309</v>
      </c>
      <c r="I543" s="407" t="s">
        <v>3790</v>
      </c>
      <c r="J543" s="387" t="s">
        <v>4641</v>
      </c>
      <c r="K543" s="387">
        <v>2</v>
      </c>
      <c r="L543" s="387">
        <v>0</v>
      </c>
      <c r="M543" s="387">
        <f t="shared" si="32"/>
        <v>2</v>
      </c>
      <c r="N543" s="442">
        <f t="shared" si="33"/>
        <v>0</v>
      </c>
      <c r="O543" s="387" t="s">
        <v>1358</v>
      </c>
      <c r="P543" s="459">
        <v>0</v>
      </c>
      <c r="Q543" s="459"/>
      <c r="R543" s="456">
        <v>0</v>
      </c>
      <c r="S543" s="456">
        <v>39.878</v>
      </c>
      <c r="T543" s="410"/>
      <c r="U543" s="411">
        <v>0</v>
      </c>
      <c r="V543" s="411">
        <v>0</v>
      </c>
      <c r="W543" s="411">
        <v>0</v>
      </c>
      <c r="X543" s="411"/>
      <c r="Y543" s="411"/>
      <c r="Z543" s="412">
        <f t="shared" si="34"/>
        <v>0</v>
      </c>
      <c r="AA543" s="456">
        <f t="shared" si="35"/>
        <v>0</v>
      </c>
      <c r="AB543" s="456">
        <v>0</v>
      </c>
      <c r="AC543" s="2"/>
      <c r="AD543" s="4"/>
      <c r="AE543" s="5"/>
      <c r="AF543" s="428"/>
    </row>
    <row r="544" spans="1:32" x14ac:dyDescent="0.25">
      <c r="A544" s="1" t="s">
        <v>2988</v>
      </c>
      <c r="B544" s="3" t="s">
        <v>1368</v>
      </c>
      <c r="C544" s="3" t="s">
        <v>1247</v>
      </c>
      <c r="D544" s="407" t="s">
        <v>1431</v>
      </c>
      <c r="E544" s="3" t="s">
        <v>2297</v>
      </c>
      <c r="F544" s="407" t="s">
        <v>4489</v>
      </c>
      <c r="G544" s="440" t="s">
        <v>4109</v>
      </c>
      <c r="H544" s="407" t="s">
        <v>4310</v>
      </c>
      <c r="I544" s="407" t="s">
        <v>3791</v>
      </c>
      <c r="J544" s="387" t="s">
        <v>4642</v>
      </c>
      <c r="K544" s="387">
        <v>2</v>
      </c>
      <c r="L544" s="387">
        <v>0</v>
      </c>
      <c r="M544" s="387">
        <f t="shared" si="32"/>
        <v>2</v>
      </c>
      <c r="N544" s="442">
        <f t="shared" si="33"/>
        <v>0</v>
      </c>
      <c r="O544" s="387" t="s">
        <v>1358</v>
      </c>
      <c r="P544" s="459">
        <v>0</v>
      </c>
      <c r="Q544" s="459"/>
      <c r="R544" s="456">
        <v>0</v>
      </c>
      <c r="S544" s="456">
        <v>39.878</v>
      </c>
      <c r="T544" s="410"/>
      <c r="U544" s="411">
        <v>0</v>
      </c>
      <c r="V544" s="411">
        <v>0</v>
      </c>
      <c r="W544" s="411">
        <v>0</v>
      </c>
      <c r="X544" s="411"/>
      <c r="Y544" s="411"/>
      <c r="Z544" s="412">
        <f t="shared" si="34"/>
        <v>0</v>
      </c>
      <c r="AA544" s="456">
        <f t="shared" si="35"/>
        <v>0</v>
      </c>
      <c r="AB544" s="456">
        <v>0</v>
      </c>
      <c r="AC544" s="2"/>
      <c r="AD544" s="4"/>
      <c r="AE544" s="5"/>
      <c r="AF544" s="428"/>
    </row>
    <row r="545" spans="1:32" x14ac:dyDescent="0.25">
      <c r="A545" s="1" t="s">
        <v>2989</v>
      </c>
      <c r="B545" s="3" t="s">
        <v>1368</v>
      </c>
      <c r="C545" s="3" t="s">
        <v>1247</v>
      </c>
      <c r="D545" s="407" t="s">
        <v>1397</v>
      </c>
      <c r="E545" s="3" t="s">
        <v>2298</v>
      </c>
      <c r="F545" s="407" t="s">
        <v>4493</v>
      </c>
      <c r="G545" s="440" t="s">
        <v>4109</v>
      </c>
      <c r="H545" s="407" t="s">
        <v>4314</v>
      </c>
      <c r="I545" s="407" t="s">
        <v>3795</v>
      </c>
      <c r="J545" s="387" t="s">
        <v>4647</v>
      </c>
      <c r="K545" s="387">
        <v>1</v>
      </c>
      <c r="L545" s="387">
        <v>0</v>
      </c>
      <c r="M545" s="387">
        <f t="shared" si="32"/>
        <v>1</v>
      </c>
      <c r="N545" s="442">
        <f t="shared" si="33"/>
        <v>0</v>
      </c>
      <c r="O545" s="387" t="s">
        <v>1358</v>
      </c>
      <c r="P545" s="459">
        <v>0</v>
      </c>
      <c r="Q545" s="459"/>
      <c r="R545" s="456">
        <v>0</v>
      </c>
      <c r="S545" s="456">
        <v>19.376000000000001</v>
      </c>
      <c r="T545" s="410"/>
      <c r="U545" s="411">
        <v>1</v>
      </c>
      <c r="V545" s="411">
        <v>1</v>
      </c>
      <c r="W545" s="411">
        <v>1</v>
      </c>
      <c r="X545" s="411"/>
      <c r="Y545" s="411"/>
      <c r="Z545" s="412">
        <f t="shared" si="34"/>
        <v>0</v>
      </c>
      <c r="AA545" s="456">
        <f t="shared" si="35"/>
        <v>0</v>
      </c>
      <c r="AB545" s="456">
        <v>0</v>
      </c>
      <c r="AC545" s="2"/>
      <c r="AD545" s="4"/>
      <c r="AE545" s="5"/>
      <c r="AF545" s="428"/>
    </row>
    <row r="546" spans="1:32" x14ac:dyDescent="0.25">
      <c r="A546" s="1" t="s">
        <v>2990</v>
      </c>
      <c r="B546" s="3" t="s">
        <v>1368</v>
      </c>
      <c r="C546" s="3" t="s">
        <v>1247</v>
      </c>
      <c r="D546" s="407" t="s">
        <v>1398</v>
      </c>
      <c r="E546" s="3" t="s">
        <v>2299</v>
      </c>
      <c r="F546" s="407" t="s">
        <v>4496</v>
      </c>
      <c r="G546" s="440" t="s">
        <v>4109</v>
      </c>
      <c r="H546" s="407" t="s">
        <v>4317</v>
      </c>
      <c r="I546" s="407" t="s">
        <v>3796</v>
      </c>
      <c r="J546" s="387" t="s">
        <v>4650</v>
      </c>
      <c r="K546" s="387">
        <v>1</v>
      </c>
      <c r="L546" s="387">
        <v>0</v>
      </c>
      <c r="M546" s="387">
        <f t="shared" si="32"/>
        <v>1</v>
      </c>
      <c r="N546" s="442">
        <f t="shared" si="33"/>
        <v>0</v>
      </c>
      <c r="O546" s="387" t="s">
        <v>1358</v>
      </c>
      <c r="P546" s="459">
        <v>0</v>
      </c>
      <c r="Q546" s="459"/>
      <c r="R546" s="456">
        <v>0</v>
      </c>
      <c r="S546" s="456">
        <v>19.376000000000001</v>
      </c>
      <c r="T546" s="410"/>
      <c r="U546" s="411">
        <v>1</v>
      </c>
      <c r="V546" s="411">
        <v>1</v>
      </c>
      <c r="W546" s="411">
        <v>1</v>
      </c>
      <c r="X546" s="411"/>
      <c r="Y546" s="411"/>
      <c r="Z546" s="412">
        <f t="shared" si="34"/>
        <v>0</v>
      </c>
      <c r="AA546" s="456">
        <f t="shared" si="35"/>
        <v>0</v>
      </c>
      <c r="AB546" s="456">
        <v>0</v>
      </c>
      <c r="AC546" s="2"/>
      <c r="AD546" s="4"/>
      <c r="AE546" s="5"/>
      <c r="AF546" s="428"/>
    </row>
    <row r="547" spans="1:32" x14ac:dyDescent="0.25">
      <c r="A547" s="1" t="s">
        <v>2991</v>
      </c>
      <c r="B547" s="3" t="s">
        <v>1368</v>
      </c>
      <c r="C547" s="3" t="s">
        <v>1247</v>
      </c>
      <c r="D547" s="407" t="s">
        <v>1425</v>
      </c>
      <c r="E547" s="3" t="s">
        <v>2300</v>
      </c>
      <c r="F547" s="407" t="s">
        <v>4479</v>
      </c>
      <c r="G547" s="440" t="s">
        <v>4109</v>
      </c>
      <c r="H547" s="407" t="s">
        <v>4300</v>
      </c>
      <c r="I547" s="407" t="s">
        <v>3781</v>
      </c>
      <c r="J547" s="387" t="s">
        <v>4643</v>
      </c>
      <c r="K547" s="387">
        <v>1</v>
      </c>
      <c r="L547" s="387">
        <v>0</v>
      </c>
      <c r="M547" s="387">
        <f t="shared" si="32"/>
        <v>1</v>
      </c>
      <c r="N547" s="442">
        <f t="shared" si="33"/>
        <v>0</v>
      </c>
      <c r="O547" s="387" t="s">
        <v>1358</v>
      </c>
      <c r="P547" s="459">
        <v>0</v>
      </c>
      <c r="Q547" s="459"/>
      <c r="R547" s="456">
        <v>0</v>
      </c>
      <c r="S547" s="456">
        <v>19.939</v>
      </c>
      <c r="T547" s="410"/>
      <c r="U547" s="411">
        <v>1</v>
      </c>
      <c r="V547" s="411">
        <v>1</v>
      </c>
      <c r="W547" s="411">
        <v>1</v>
      </c>
      <c r="X547" s="411"/>
      <c r="Y547" s="411"/>
      <c r="Z547" s="412">
        <f t="shared" si="34"/>
        <v>0</v>
      </c>
      <c r="AA547" s="456">
        <f t="shared" si="35"/>
        <v>0</v>
      </c>
      <c r="AB547" s="456">
        <v>0</v>
      </c>
      <c r="AC547" s="2"/>
      <c r="AD547" s="4"/>
      <c r="AE547" s="5"/>
      <c r="AF547" s="428"/>
    </row>
    <row r="548" spans="1:32" x14ac:dyDescent="0.25">
      <c r="A548" s="1" t="s">
        <v>2992</v>
      </c>
      <c r="B548" s="3" t="s">
        <v>1368</v>
      </c>
      <c r="C548" s="3" t="s">
        <v>1247</v>
      </c>
      <c r="D548" s="407" t="s">
        <v>1429</v>
      </c>
      <c r="E548" s="3" t="s">
        <v>2301</v>
      </c>
      <c r="F548" s="407" t="s">
        <v>4487</v>
      </c>
      <c r="G548" s="440" t="s">
        <v>4109</v>
      </c>
      <c r="H548" s="407" t="s">
        <v>4308</v>
      </c>
      <c r="I548" s="407" t="s">
        <v>3789</v>
      </c>
      <c r="J548" s="387" t="s">
        <v>4640</v>
      </c>
      <c r="K548" s="387">
        <v>2</v>
      </c>
      <c r="L548" s="387">
        <v>0</v>
      </c>
      <c r="M548" s="387">
        <f t="shared" si="32"/>
        <v>2</v>
      </c>
      <c r="N548" s="442">
        <f t="shared" si="33"/>
        <v>0</v>
      </c>
      <c r="O548" s="387" t="s">
        <v>1358</v>
      </c>
      <c r="P548" s="459">
        <v>0</v>
      </c>
      <c r="Q548" s="459"/>
      <c r="R548" s="456">
        <v>0</v>
      </c>
      <c r="S548" s="456">
        <v>39.878</v>
      </c>
      <c r="T548" s="410"/>
      <c r="U548" s="411">
        <v>0</v>
      </c>
      <c r="V548" s="411">
        <v>0</v>
      </c>
      <c r="W548" s="411">
        <v>0</v>
      </c>
      <c r="X548" s="411"/>
      <c r="Y548" s="411"/>
      <c r="Z548" s="412">
        <f t="shared" si="34"/>
        <v>0</v>
      </c>
      <c r="AA548" s="456">
        <f t="shared" si="35"/>
        <v>0</v>
      </c>
      <c r="AB548" s="456">
        <v>0</v>
      </c>
      <c r="AC548" s="2"/>
      <c r="AD548" s="4"/>
      <c r="AE548" s="5"/>
      <c r="AF548" s="428"/>
    </row>
    <row r="549" spans="1:32" x14ac:dyDescent="0.25">
      <c r="A549" s="1" t="s">
        <v>2993</v>
      </c>
      <c r="B549" s="3" t="s">
        <v>1368</v>
      </c>
      <c r="C549" s="3" t="s">
        <v>1247</v>
      </c>
      <c r="D549" s="407" t="s">
        <v>1397</v>
      </c>
      <c r="E549" s="3" t="s">
        <v>2302</v>
      </c>
      <c r="F549" s="407" t="s">
        <v>4493</v>
      </c>
      <c r="G549" s="440" t="s">
        <v>4109</v>
      </c>
      <c r="H549" s="407" t="s">
        <v>4314</v>
      </c>
      <c r="I549" s="407" t="s">
        <v>3795</v>
      </c>
      <c r="J549" s="387" t="s">
        <v>4647</v>
      </c>
      <c r="K549" s="387">
        <v>1</v>
      </c>
      <c r="L549" s="387">
        <v>0</v>
      </c>
      <c r="M549" s="387">
        <f t="shared" si="32"/>
        <v>1</v>
      </c>
      <c r="N549" s="442">
        <f t="shared" si="33"/>
        <v>0</v>
      </c>
      <c r="O549" s="387" t="s">
        <v>1358</v>
      </c>
      <c r="P549" s="459">
        <v>0</v>
      </c>
      <c r="Q549" s="459"/>
      <c r="R549" s="456">
        <v>0</v>
      </c>
      <c r="S549" s="456">
        <v>32.151000000000003</v>
      </c>
      <c r="T549" s="410"/>
      <c r="U549" s="411">
        <v>1</v>
      </c>
      <c r="V549" s="411">
        <v>1</v>
      </c>
      <c r="W549" s="411">
        <v>1</v>
      </c>
      <c r="X549" s="411"/>
      <c r="Y549" s="411"/>
      <c r="Z549" s="412">
        <f t="shared" si="34"/>
        <v>0</v>
      </c>
      <c r="AA549" s="456">
        <f t="shared" si="35"/>
        <v>0</v>
      </c>
      <c r="AB549" s="456">
        <v>0</v>
      </c>
      <c r="AC549" s="2"/>
      <c r="AD549" s="4"/>
      <c r="AE549" s="5"/>
      <c r="AF549" s="428"/>
    </row>
    <row r="550" spans="1:32" x14ac:dyDescent="0.25">
      <c r="A550" s="1" t="s">
        <v>2994</v>
      </c>
      <c r="B550" s="3" t="s">
        <v>1368</v>
      </c>
      <c r="C550" s="3" t="s">
        <v>1247</v>
      </c>
      <c r="D550" s="407" t="s">
        <v>1398</v>
      </c>
      <c r="E550" s="3" t="s">
        <v>2303</v>
      </c>
      <c r="F550" s="407" t="s">
        <v>4496</v>
      </c>
      <c r="G550" s="440" t="s">
        <v>4109</v>
      </c>
      <c r="H550" s="407" t="s">
        <v>4317</v>
      </c>
      <c r="I550" s="407" t="s">
        <v>3796</v>
      </c>
      <c r="J550" s="387" t="s">
        <v>4650</v>
      </c>
      <c r="K550" s="387">
        <v>1</v>
      </c>
      <c r="L550" s="387">
        <v>0</v>
      </c>
      <c r="M550" s="387">
        <f t="shared" si="32"/>
        <v>1</v>
      </c>
      <c r="N550" s="442">
        <f t="shared" si="33"/>
        <v>0</v>
      </c>
      <c r="O550" s="387" t="s">
        <v>1358</v>
      </c>
      <c r="P550" s="459">
        <v>0</v>
      </c>
      <c r="Q550" s="459"/>
      <c r="R550" s="456">
        <v>0</v>
      </c>
      <c r="S550" s="456">
        <v>42.24</v>
      </c>
      <c r="T550" s="410"/>
      <c r="U550" s="411">
        <v>1</v>
      </c>
      <c r="V550" s="411">
        <v>1</v>
      </c>
      <c r="W550" s="411">
        <v>1</v>
      </c>
      <c r="X550" s="411"/>
      <c r="Y550" s="411"/>
      <c r="Z550" s="412">
        <f t="shared" si="34"/>
        <v>0</v>
      </c>
      <c r="AA550" s="456">
        <f t="shared" si="35"/>
        <v>0</v>
      </c>
      <c r="AB550" s="456">
        <v>0</v>
      </c>
      <c r="AC550" s="2"/>
      <c r="AD550" s="4"/>
      <c r="AE550" s="5"/>
      <c r="AF550" s="428"/>
    </row>
    <row r="551" spans="1:32" x14ac:dyDescent="0.25">
      <c r="A551" s="1" t="s">
        <v>2995</v>
      </c>
      <c r="B551" s="3" t="s">
        <v>1368</v>
      </c>
      <c r="C551" s="3" t="s">
        <v>1247</v>
      </c>
      <c r="D551" s="407" t="s">
        <v>3306</v>
      </c>
      <c r="E551" s="3" t="s">
        <v>2304</v>
      </c>
      <c r="F551" s="407" t="s">
        <v>4484</v>
      </c>
      <c r="G551" s="440" t="s">
        <v>4109</v>
      </c>
      <c r="H551" s="407" t="s">
        <v>4305</v>
      </c>
      <c r="I551" s="407" t="s">
        <v>3786</v>
      </c>
      <c r="J551" s="387" t="s">
        <v>4636</v>
      </c>
      <c r="K551" s="387">
        <v>1</v>
      </c>
      <c r="L551" s="387">
        <v>0</v>
      </c>
      <c r="M551" s="387">
        <f t="shared" si="32"/>
        <v>1</v>
      </c>
      <c r="N551" s="442">
        <f t="shared" si="33"/>
        <v>0</v>
      </c>
      <c r="O551" s="387" t="s">
        <v>1358</v>
      </c>
      <c r="P551" s="459">
        <v>0</v>
      </c>
      <c r="Q551" s="459"/>
      <c r="R551" s="456">
        <v>0</v>
      </c>
      <c r="S551" s="456">
        <v>46.124000000000002</v>
      </c>
      <c r="T551" s="410"/>
      <c r="U551" s="411">
        <v>0</v>
      </c>
      <c r="V551" s="411">
        <v>0</v>
      </c>
      <c r="W551" s="411">
        <v>0</v>
      </c>
      <c r="X551" s="411"/>
      <c r="Y551" s="411"/>
      <c r="Z551" s="412">
        <f t="shared" si="34"/>
        <v>0</v>
      </c>
      <c r="AA551" s="456">
        <f t="shared" si="35"/>
        <v>0</v>
      </c>
      <c r="AB551" s="456">
        <v>0</v>
      </c>
      <c r="AC551" s="2"/>
      <c r="AD551" s="4"/>
      <c r="AE551" s="5"/>
      <c r="AF551" s="428"/>
    </row>
    <row r="552" spans="1:32" x14ac:dyDescent="0.25">
      <c r="A552" s="1" t="s">
        <v>2996</v>
      </c>
      <c r="B552" s="3" t="s">
        <v>1368</v>
      </c>
      <c r="C552" s="3" t="s">
        <v>1247</v>
      </c>
      <c r="D552" s="407" t="s">
        <v>1425</v>
      </c>
      <c r="E552" s="3" t="s">
        <v>2305</v>
      </c>
      <c r="F552" s="407" t="s">
        <v>4479</v>
      </c>
      <c r="G552" s="440" t="s">
        <v>4109</v>
      </c>
      <c r="H552" s="407" t="s">
        <v>4300</v>
      </c>
      <c r="I552" s="407" t="s">
        <v>3781</v>
      </c>
      <c r="J552" s="387" t="s">
        <v>4643</v>
      </c>
      <c r="K552" s="387">
        <v>1</v>
      </c>
      <c r="L552" s="387">
        <v>0</v>
      </c>
      <c r="M552" s="387">
        <f t="shared" si="32"/>
        <v>1</v>
      </c>
      <c r="N552" s="442">
        <f t="shared" si="33"/>
        <v>0</v>
      </c>
      <c r="O552" s="387" t="s">
        <v>1358</v>
      </c>
      <c r="P552" s="459">
        <v>0</v>
      </c>
      <c r="Q552" s="459"/>
      <c r="R552" s="456">
        <v>0</v>
      </c>
      <c r="S552" s="456">
        <v>33.084000000000003</v>
      </c>
      <c r="T552" s="410"/>
      <c r="U552" s="411">
        <v>1</v>
      </c>
      <c r="V552" s="411">
        <v>1</v>
      </c>
      <c r="W552" s="411">
        <v>1</v>
      </c>
      <c r="X552" s="411"/>
      <c r="Y552" s="411"/>
      <c r="Z552" s="412">
        <f t="shared" si="34"/>
        <v>0</v>
      </c>
      <c r="AA552" s="456">
        <f t="shared" si="35"/>
        <v>0</v>
      </c>
      <c r="AB552" s="456">
        <v>0</v>
      </c>
      <c r="AC552" s="2"/>
      <c r="AD552" s="4"/>
      <c r="AE552" s="5"/>
      <c r="AF552" s="428"/>
    </row>
    <row r="553" spans="1:32" x14ac:dyDescent="0.25">
      <c r="A553" s="1" t="s">
        <v>2997</v>
      </c>
      <c r="B553" s="3" t="s">
        <v>1368</v>
      </c>
      <c r="C553" s="3" t="s">
        <v>1247</v>
      </c>
      <c r="D553" s="407" t="s">
        <v>1426</v>
      </c>
      <c r="E553" s="3" t="s">
        <v>2306</v>
      </c>
      <c r="F553" s="407" t="s">
        <v>4480</v>
      </c>
      <c r="G553" s="440" t="s">
        <v>4109</v>
      </c>
      <c r="H553" s="407" t="s">
        <v>4301</v>
      </c>
      <c r="I553" s="407" t="s">
        <v>3782</v>
      </c>
      <c r="J553" s="387" t="s">
        <v>4637</v>
      </c>
      <c r="K553" s="387">
        <v>1</v>
      </c>
      <c r="L553" s="387">
        <v>0</v>
      </c>
      <c r="M553" s="387">
        <f t="shared" si="32"/>
        <v>1</v>
      </c>
      <c r="N553" s="442">
        <f t="shared" si="33"/>
        <v>0</v>
      </c>
      <c r="O553" s="387" t="s">
        <v>1358</v>
      </c>
      <c r="P553" s="459">
        <v>0</v>
      </c>
      <c r="Q553" s="459"/>
      <c r="R553" s="456">
        <v>0</v>
      </c>
      <c r="S553" s="456">
        <v>26.664000000000001</v>
      </c>
      <c r="T553" s="410"/>
      <c r="U553" s="411">
        <v>0</v>
      </c>
      <c r="V553" s="411">
        <v>0</v>
      </c>
      <c r="W553" s="411">
        <v>0</v>
      </c>
      <c r="X553" s="411"/>
      <c r="Y553" s="411"/>
      <c r="Z553" s="412">
        <f t="shared" si="34"/>
        <v>0</v>
      </c>
      <c r="AA553" s="456">
        <f t="shared" si="35"/>
        <v>0</v>
      </c>
      <c r="AB553" s="456">
        <v>0</v>
      </c>
      <c r="AC553" s="2"/>
      <c r="AD553" s="4"/>
      <c r="AE553" s="5"/>
      <c r="AF553" s="428"/>
    </row>
    <row r="554" spans="1:32" x14ac:dyDescent="0.25">
      <c r="A554" s="1" t="s">
        <v>2998</v>
      </c>
      <c r="B554" s="3" t="s">
        <v>1368</v>
      </c>
      <c r="C554" s="3" t="s">
        <v>1247</v>
      </c>
      <c r="D554" s="407" t="s">
        <v>1427</v>
      </c>
      <c r="E554" s="3" t="s">
        <v>2307</v>
      </c>
      <c r="F554" s="407" t="s">
        <v>4485</v>
      </c>
      <c r="G554" s="440" t="s">
        <v>4109</v>
      </c>
      <c r="H554" s="407" t="s">
        <v>4306</v>
      </c>
      <c r="I554" s="407" t="s">
        <v>3787</v>
      </c>
      <c r="J554" s="387" t="s">
        <v>4638</v>
      </c>
      <c r="K554" s="387">
        <v>1</v>
      </c>
      <c r="L554" s="387">
        <v>0</v>
      </c>
      <c r="M554" s="387">
        <f t="shared" si="32"/>
        <v>1</v>
      </c>
      <c r="N554" s="442">
        <f t="shared" si="33"/>
        <v>0</v>
      </c>
      <c r="O554" s="387" t="s">
        <v>1358</v>
      </c>
      <c r="P554" s="459">
        <v>0</v>
      </c>
      <c r="Q554" s="459"/>
      <c r="R554" s="456">
        <v>0</v>
      </c>
      <c r="S554" s="456">
        <v>26.664000000000001</v>
      </c>
      <c r="T554" s="410"/>
      <c r="U554" s="411">
        <v>0</v>
      </c>
      <c r="V554" s="411">
        <v>0</v>
      </c>
      <c r="W554" s="411">
        <v>0</v>
      </c>
      <c r="X554" s="411"/>
      <c r="Y554" s="411"/>
      <c r="Z554" s="412">
        <f t="shared" si="34"/>
        <v>0</v>
      </c>
      <c r="AA554" s="456">
        <f t="shared" si="35"/>
        <v>0</v>
      </c>
      <c r="AB554" s="456">
        <v>0</v>
      </c>
      <c r="AC554" s="2"/>
      <c r="AD554" s="4"/>
      <c r="AE554" s="5"/>
      <c r="AF554" s="428"/>
    </row>
    <row r="555" spans="1:32" x14ac:dyDescent="0.25">
      <c r="A555" s="1" t="s">
        <v>2999</v>
      </c>
      <c r="B555" s="3" t="s">
        <v>1368</v>
      </c>
      <c r="C555" s="3" t="s">
        <v>1247</v>
      </c>
      <c r="D555" s="407" t="s">
        <v>1428</v>
      </c>
      <c r="E555" s="3" t="s">
        <v>2308</v>
      </c>
      <c r="F555" s="407" t="s">
        <v>4486</v>
      </c>
      <c r="G555" s="440" t="s">
        <v>4109</v>
      </c>
      <c r="H555" s="407" t="s">
        <v>4307</v>
      </c>
      <c r="I555" s="407" t="s">
        <v>3788</v>
      </c>
      <c r="J555" s="387" t="s">
        <v>4639</v>
      </c>
      <c r="K555" s="387">
        <v>1</v>
      </c>
      <c r="L555" s="387">
        <v>0</v>
      </c>
      <c r="M555" s="387">
        <f t="shared" si="32"/>
        <v>1</v>
      </c>
      <c r="N555" s="442">
        <f t="shared" si="33"/>
        <v>0</v>
      </c>
      <c r="O555" s="387" t="s">
        <v>1358</v>
      </c>
      <c r="P555" s="459">
        <v>0</v>
      </c>
      <c r="Q555" s="459"/>
      <c r="R555" s="456">
        <v>0</v>
      </c>
      <c r="S555" s="456">
        <v>26.664000000000001</v>
      </c>
      <c r="T555" s="410"/>
      <c r="U555" s="411">
        <v>0</v>
      </c>
      <c r="V555" s="411">
        <v>0</v>
      </c>
      <c r="W555" s="411">
        <v>0</v>
      </c>
      <c r="X555" s="411"/>
      <c r="Y555" s="411"/>
      <c r="Z555" s="412">
        <f t="shared" si="34"/>
        <v>0</v>
      </c>
      <c r="AA555" s="456">
        <f t="shared" si="35"/>
        <v>0</v>
      </c>
      <c r="AB555" s="456">
        <v>0</v>
      </c>
      <c r="AC555" s="2"/>
      <c r="AD555" s="4"/>
      <c r="AE555" s="5"/>
      <c r="AF555" s="428"/>
    </row>
    <row r="556" spans="1:32" x14ac:dyDescent="0.25">
      <c r="A556" s="1" t="s">
        <v>3000</v>
      </c>
      <c r="B556" s="3" t="s">
        <v>1368</v>
      </c>
      <c r="C556" s="3" t="s">
        <v>1247</v>
      </c>
      <c r="D556" s="407" t="s">
        <v>1429</v>
      </c>
      <c r="E556" s="3" t="s">
        <v>2309</v>
      </c>
      <c r="F556" s="407" t="s">
        <v>4487</v>
      </c>
      <c r="G556" s="440" t="s">
        <v>4109</v>
      </c>
      <c r="H556" s="407" t="s">
        <v>4308</v>
      </c>
      <c r="I556" s="407" t="s">
        <v>3789</v>
      </c>
      <c r="J556" s="387" t="s">
        <v>4640</v>
      </c>
      <c r="K556" s="387">
        <v>1</v>
      </c>
      <c r="L556" s="387">
        <v>0</v>
      </c>
      <c r="M556" s="387">
        <f t="shared" si="32"/>
        <v>1</v>
      </c>
      <c r="N556" s="442">
        <f t="shared" si="33"/>
        <v>0</v>
      </c>
      <c r="O556" s="387" t="s">
        <v>1358</v>
      </c>
      <c r="P556" s="459">
        <v>0</v>
      </c>
      <c r="Q556" s="459"/>
      <c r="R556" s="456">
        <v>0</v>
      </c>
      <c r="S556" s="456">
        <v>26.664000000000001</v>
      </c>
      <c r="T556" s="410"/>
      <c r="U556" s="411">
        <v>0</v>
      </c>
      <c r="V556" s="411">
        <v>0</v>
      </c>
      <c r="W556" s="411">
        <v>0</v>
      </c>
      <c r="X556" s="411"/>
      <c r="Y556" s="411"/>
      <c r="Z556" s="412">
        <f t="shared" si="34"/>
        <v>0</v>
      </c>
      <c r="AA556" s="456">
        <f t="shared" si="35"/>
        <v>0</v>
      </c>
      <c r="AB556" s="456">
        <v>0</v>
      </c>
      <c r="AC556" s="2"/>
      <c r="AD556" s="4"/>
      <c r="AE556" s="5"/>
      <c r="AF556" s="428"/>
    </row>
    <row r="557" spans="1:32" x14ac:dyDescent="0.25">
      <c r="A557" s="1" t="s">
        <v>3001</v>
      </c>
      <c r="B557" s="3" t="s">
        <v>1368</v>
      </c>
      <c r="C557" s="3" t="s">
        <v>1247</v>
      </c>
      <c r="D557" s="407" t="s">
        <v>1430</v>
      </c>
      <c r="E557" s="3" t="s">
        <v>2310</v>
      </c>
      <c r="F557" s="407" t="s">
        <v>4488</v>
      </c>
      <c r="G557" s="440" t="s">
        <v>4109</v>
      </c>
      <c r="H557" s="407" t="s">
        <v>4309</v>
      </c>
      <c r="I557" s="407" t="s">
        <v>3790</v>
      </c>
      <c r="J557" s="387" t="s">
        <v>4641</v>
      </c>
      <c r="K557" s="387">
        <v>1</v>
      </c>
      <c r="L557" s="387">
        <v>0</v>
      </c>
      <c r="M557" s="387">
        <f t="shared" si="32"/>
        <v>1</v>
      </c>
      <c r="N557" s="442">
        <f t="shared" si="33"/>
        <v>0</v>
      </c>
      <c r="O557" s="387" t="s">
        <v>1358</v>
      </c>
      <c r="P557" s="459">
        <v>0</v>
      </c>
      <c r="Q557" s="459"/>
      <c r="R557" s="456">
        <v>0</v>
      </c>
      <c r="S557" s="456">
        <v>26.664000000000001</v>
      </c>
      <c r="T557" s="410"/>
      <c r="U557" s="411">
        <v>0</v>
      </c>
      <c r="V557" s="411">
        <v>0</v>
      </c>
      <c r="W557" s="411">
        <v>0</v>
      </c>
      <c r="X557" s="411"/>
      <c r="Y557" s="411"/>
      <c r="Z557" s="412">
        <f t="shared" si="34"/>
        <v>0</v>
      </c>
      <c r="AA557" s="456">
        <f t="shared" si="35"/>
        <v>0</v>
      </c>
      <c r="AB557" s="456">
        <v>0</v>
      </c>
      <c r="AC557" s="2"/>
      <c r="AD557" s="4"/>
      <c r="AE557" s="5"/>
      <c r="AF557" s="428"/>
    </row>
    <row r="558" spans="1:32" x14ac:dyDescent="0.25">
      <c r="A558" s="1" t="s">
        <v>3002</v>
      </c>
      <c r="B558" s="3" t="s">
        <v>1368</v>
      </c>
      <c r="C558" s="3" t="s">
        <v>1247</v>
      </c>
      <c r="D558" s="407" t="s">
        <v>1431</v>
      </c>
      <c r="E558" s="3" t="s">
        <v>2311</v>
      </c>
      <c r="F558" s="407" t="s">
        <v>4489</v>
      </c>
      <c r="G558" s="440" t="s">
        <v>4109</v>
      </c>
      <c r="H558" s="407" t="s">
        <v>4310</v>
      </c>
      <c r="I558" s="407" t="s">
        <v>3791</v>
      </c>
      <c r="J558" s="387" t="s">
        <v>4642</v>
      </c>
      <c r="K558" s="387">
        <v>1</v>
      </c>
      <c r="L558" s="387">
        <v>0</v>
      </c>
      <c r="M558" s="387">
        <f t="shared" si="32"/>
        <v>1</v>
      </c>
      <c r="N558" s="442">
        <f t="shared" si="33"/>
        <v>0</v>
      </c>
      <c r="O558" s="387" t="s">
        <v>1358</v>
      </c>
      <c r="P558" s="459">
        <v>0</v>
      </c>
      <c r="Q558" s="459"/>
      <c r="R558" s="456">
        <v>0</v>
      </c>
      <c r="S558" s="456">
        <v>26.664000000000001</v>
      </c>
      <c r="T558" s="410"/>
      <c r="U558" s="411">
        <v>0</v>
      </c>
      <c r="V558" s="411">
        <v>0</v>
      </c>
      <c r="W558" s="411">
        <v>0</v>
      </c>
      <c r="X558" s="411"/>
      <c r="Y558" s="411"/>
      <c r="Z558" s="412">
        <f t="shared" si="34"/>
        <v>0</v>
      </c>
      <c r="AA558" s="456">
        <f t="shared" si="35"/>
        <v>0</v>
      </c>
      <c r="AB558" s="456">
        <v>0</v>
      </c>
      <c r="AC558" s="2"/>
      <c r="AD558" s="4"/>
      <c r="AE558" s="5"/>
      <c r="AF558" s="428"/>
    </row>
    <row r="559" spans="1:32" x14ac:dyDescent="0.25">
      <c r="A559" s="1" t="s">
        <v>3003</v>
      </c>
      <c r="B559" s="3" t="s">
        <v>1368</v>
      </c>
      <c r="C559" s="3" t="s">
        <v>1247</v>
      </c>
      <c r="D559" s="407" t="s">
        <v>1433</v>
      </c>
      <c r="E559" s="3" t="s">
        <v>2312</v>
      </c>
      <c r="F559" s="407" t="s">
        <v>4490</v>
      </c>
      <c r="G559" s="440" t="s">
        <v>4109</v>
      </c>
      <c r="H559" s="407" t="s">
        <v>4311</v>
      </c>
      <c r="I559" s="407" t="s">
        <v>3792</v>
      </c>
      <c r="J559" s="387" t="s">
        <v>4644</v>
      </c>
      <c r="K559" s="387">
        <v>3</v>
      </c>
      <c r="L559" s="387">
        <v>0</v>
      </c>
      <c r="M559" s="387">
        <f t="shared" si="32"/>
        <v>3</v>
      </c>
      <c r="N559" s="442">
        <f t="shared" si="33"/>
        <v>0</v>
      </c>
      <c r="O559" s="387" t="s">
        <v>1358</v>
      </c>
      <c r="P559" s="459">
        <v>0</v>
      </c>
      <c r="Q559" s="459"/>
      <c r="R559" s="456">
        <v>0</v>
      </c>
      <c r="S559" s="456">
        <v>59.817</v>
      </c>
      <c r="T559" s="410"/>
      <c r="U559" s="411">
        <v>0</v>
      </c>
      <c r="V559" s="411">
        <v>0</v>
      </c>
      <c r="W559" s="411">
        <v>0</v>
      </c>
      <c r="X559" s="411"/>
      <c r="Y559" s="411"/>
      <c r="Z559" s="412">
        <f t="shared" si="34"/>
        <v>0</v>
      </c>
      <c r="AA559" s="456">
        <f t="shared" si="35"/>
        <v>0</v>
      </c>
      <c r="AB559" s="456">
        <v>0</v>
      </c>
      <c r="AC559" s="2"/>
      <c r="AD559" s="4"/>
      <c r="AE559" s="5"/>
      <c r="AF559" s="428"/>
    </row>
    <row r="560" spans="1:32" x14ac:dyDescent="0.25">
      <c r="A560" s="1" t="s">
        <v>3004</v>
      </c>
      <c r="B560" s="3" t="s">
        <v>1368</v>
      </c>
      <c r="C560" s="3" t="s">
        <v>1247</v>
      </c>
      <c r="D560" s="407" t="s">
        <v>1432</v>
      </c>
      <c r="E560" s="3" t="s">
        <v>2313</v>
      </c>
      <c r="F560" s="407" t="s">
        <v>4483</v>
      </c>
      <c r="G560" s="440" t="s">
        <v>4109</v>
      </c>
      <c r="H560" s="407" t="s">
        <v>4304</v>
      </c>
      <c r="I560" s="407" t="s">
        <v>3785</v>
      </c>
      <c r="J560" s="387" t="s">
        <v>4635</v>
      </c>
      <c r="K560" s="387">
        <v>1</v>
      </c>
      <c r="L560" s="387">
        <v>0</v>
      </c>
      <c r="M560" s="387">
        <f t="shared" si="32"/>
        <v>1</v>
      </c>
      <c r="N560" s="442">
        <f t="shared" si="33"/>
        <v>0</v>
      </c>
      <c r="O560" s="387" t="s">
        <v>1358</v>
      </c>
      <c r="P560" s="459">
        <v>0</v>
      </c>
      <c r="Q560" s="459"/>
      <c r="R560" s="456">
        <v>0</v>
      </c>
      <c r="S560" s="456">
        <v>26.664000000000001</v>
      </c>
      <c r="T560" s="410"/>
      <c r="U560" s="411">
        <v>0</v>
      </c>
      <c r="V560" s="411">
        <v>0</v>
      </c>
      <c r="W560" s="411">
        <v>0</v>
      </c>
      <c r="X560" s="411"/>
      <c r="Y560" s="411"/>
      <c r="Z560" s="412">
        <f t="shared" si="34"/>
        <v>0</v>
      </c>
      <c r="AA560" s="456">
        <f t="shared" si="35"/>
        <v>0</v>
      </c>
      <c r="AB560" s="456">
        <v>0</v>
      </c>
      <c r="AC560" s="2"/>
      <c r="AD560" s="4"/>
      <c r="AE560" s="5"/>
      <c r="AF560" s="428"/>
    </row>
    <row r="561" spans="1:32" x14ac:dyDescent="0.25">
      <c r="A561" s="1" t="s">
        <v>3005</v>
      </c>
      <c r="B561" s="3" t="s">
        <v>1368</v>
      </c>
      <c r="C561" s="3" t="s">
        <v>1247</v>
      </c>
      <c r="D561" s="407" t="s">
        <v>3306</v>
      </c>
      <c r="E561" s="3" t="s">
        <v>2314</v>
      </c>
      <c r="F561" s="407" t="s">
        <v>4484</v>
      </c>
      <c r="G561" s="440" t="s">
        <v>4109</v>
      </c>
      <c r="H561" s="407" t="s">
        <v>4305</v>
      </c>
      <c r="I561" s="407" t="s">
        <v>3786</v>
      </c>
      <c r="J561" s="387" t="s">
        <v>4636</v>
      </c>
      <c r="K561" s="387">
        <v>2</v>
      </c>
      <c r="L561" s="387">
        <v>0</v>
      </c>
      <c r="M561" s="387">
        <f t="shared" si="32"/>
        <v>2</v>
      </c>
      <c r="N561" s="442">
        <f t="shared" si="33"/>
        <v>0</v>
      </c>
      <c r="O561" s="387" t="s">
        <v>1358</v>
      </c>
      <c r="P561" s="459">
        <v>0</v>
      </c>
      <c r="Q561" s="459"/>
      <c r="R561" s="456">
        <v>0</v>
      </c>
      <c r="S561" s="456">
        <v>41.002000000000002</v>
      </c>
      <c r="T561" s="410"/>
      <c r="U561" s="411">
        <v>0</v>
      </c>
      <c r="V561" s="411">
        <v>0</v>
      </c>
      <c r="W561" s="411">
        <v>0</v>
      </c>
      <c r="X561" s="411"/>
      <c r="Y561" s="411"/>
      <c r="Z561" s="412">
        <f t="shared" si="34"/>
        <v>0</v>
      </c>
      <c r="AA561" s="456">
        <f t="shared" si="35"/>
        <v>0</v>
      </c>
      <c r="AB561" s="456">
        <v>0</v>
      </c>
      <c r="AC561" s="2"/>
      <c r="AD561" s="4"/>
      <c r="AE561" s="5"/>
      <c r="AF561" s="428"/>
    </row>
    <row r="562" spans="1:32" x14ac:dyDescent="0.25">
      <c r="A562" s="1" t="s">
        <v>3006</v>
      </c>
      <c r="B562" s="3" t="s">
        <v>1368</v>
      </c>
      <c r="C562" s="3" t="s">
        <v>1247</v>
      </c>
      <c r="D562" s="407" t="s">
        <v>1425</v>
      </c>
      <c r="E562" s="3" t="s">
        <v>2315</v>
      </c>
      <c r="F562" s="407" t="s">
        <v>4479</v>
      </c>
      <c r="G562" s="440" t="s">
        <v>4109</v>
      </c>
      <c r="H562" s="407" t="s">
        <v>4300</v>
      </c>
      <c r="I562" s="407" t="s">
        <v>3781</v>
      </c>
      <c r="J562" s="387" t="s">
        <v>4643</v>
      </c>
      <c r="K562" s="387">
        <v>1</v>
      </c>
      <c r="L562" s="387">
        <v>0</v>
      </c>
      <c r="M562" s="387">
        <f t="shared" si="32"/>
        <v>1</v>
      </c>
      <c r="N562" s="442">
        <f t="shared" si="33"/>
        <v>0</v>
      </c>
      <c r="O562" s="387" t="s">
        <v>1358</v>
      </c>
      <c r="P562" s="459">
        <v>0</v>
      </c>
      <c r="Q562" s="459"/>
      <c r="R562" s="456">
        <v>0</v>
      </c>
      <c r="S562" s="456">
        <v>26.664000000000001</v>
      </c>
      <c r="T562" s="410"/>
      <c r="U562" s="411">
        <v>1</v>
      </c>
      <c r="V562" s="411">
        <v>1</v>
      </c>
      <c r="W562" s="411">
        <v>1</v>
      </c>
      <c r="X562" s="411"/>
      <c r="Y562" s="411"/>
      <c r="Z562" s="412">
        <f t="shared" si="34"/>
        <v>0</v>
      </c>
      <c r="AA562" s="456">
        <f t="shared" si="35"/>
        <v>0</v>
      </c>
      <c r="AB562" s="456">
        <v>0</v>
      </c>
      <c r="AC562" s="2"/>
      <c r="AD562" s="4"/>
      <c r="AE562" s="5"/>
      <c r="AF562" s="428"/>
    </row>
    <row r="563" spans="1:32" x14ac:dyDescent="0.25">
      <c r="A563" s="1" t="s">
        <v>3007</v>
      </c>
      <c r="B563" s="3" t="s">
        <v>1368</v>
      </c>
      <c r="C563" s="3" t="s">
        <v>1247</v>
      </c>
      <c r="D563" s="407" t="s">
        <v>1397</v>
      </c>
      <c r="E563" s="3" t="s">
        <v>2316</v>
      </c>
      <c r="F563" s="407" t="s">
        <v>4493</v>
      </c>
      <c r="G563" s="440" t="s">
        <v>4109</v>
      </c>
      <c r="H563" s="407" t="s">
        <v>4314</v>
      </c>
      <c r="I563" s="407" t="s">
        <v>3795</v>
      </c>
      <c r="J563" s="387" t="s">
        <v>4647</v>
      </c>
      <c r="K563" s="387">
        <v>1</v>
      </c>
      <c r="L563" s="387">
        <v>0</v>
      </c>
      <c r="M563" s="387">
        <f t="shared" si="32"/>
        <v>1</v>
      </c>
      <c r="N563" s="442">
        <f t="shared" si="33"/>
        <v>0</v>
      </c>
      <c r="O563" s="387" t="s">
        <v>1358</v>
      </c>
      <c r="P563" s="459">
        <v>0</v>
      </c>
      <c r="Q563" s="459"/>
      <c r="R563" s="456">
        <v>0</v>
      </c>
      <c r="S563" s="456">
        <v>25.911999999999999</v>
      </c>
      <c r="T563" s="410"/>
      <c r="U563" s="411">
        <v>1</v>
      </c>
      <c r="V563" s="411">
        <v>1</v>
      </c>
      <c r="W563" s="411">
        <v>1</v>
      </c>
      <c r="X563" s="411"/>
      <c r="Y563" s="411"/>
      <c r="Z563" s="412">
        <f t="shared" si="34"/>
        <v>0</v>
      </c>
      <c r="AA563" s="456">
        <f t="shared" si="35"/>
        <v>0</v>
      </c>
      <c r="AB563" s="456">
        <v>0</v>
      </c>
      <c r="AC563" s="2"/>
      <c r="AD563" s="4"/>
      <c r="AE563" s="5"/>
      <c r="AF563" s="428"/>
    </row>
    <row r="564" spans="1:32" x14ac:dyDescent="0.25">
      <c r="A564" s="1" t="s">
        <v>3008</v>
      </c>
      <c r="B564" s="3" t="s">
        <v>1368</v>
      </c>
      <c r="C564" s="3" t="s">
        <v>1247</v>
      </c>
      <c r="D564" s="407" t="s">
        <v>1398</v>
      </c>
      <c r="E564" s="3" t="s">
        <v>2317</v>
      </c>
      <c r="F564" s="407" t="s">
        <v>4496</v>
      </c>
      <c r="G564" s="440" t="s">
        <v>4109</v>
      </c>
      <c r="H564" s="407" t="s">
        <v>4317</v>
      </c>
      <c r="I564" s="407" t="s">
        <v>3796</v>
      </c>
      <c r="J564" s="387" t="s">
        <v>4650</v>
      </c>
      <c r="K564" s="387">
        <v>1</v>
      </c>
      <c r="L564" s="387">
        <v>0</v>
      </c>
      <c r="M564" s="387">
        <f t="shared" si="32"/>
        <v>1</v>
      </c>
      <c r="N564" s="442">
        <f t="shared" si="33"/>
        <v>0</v>
      </c>
      <c r="O564" s="387" t="s">
        <v>1358</v>
      </c>
      <c r="P564" s="459">
        <v>0</v>
      </c>
      <c r="Q564" s="459"/>
      <c r="R564" s="456">
        <v>0</v>
      </c>
      <c r="S564" s="456">
        <v>25.07</v>
      </c>
      <c r="T564" s="410"/>
      <c r="U564" s="411">
        <v>0</v>
      </c>
      <c r="V564" s="411">
        <v>0</v>
      </c>
      <c r="W564" s="411">
        <v>0</v>
      </c>
      <c r="X564" s="411"/>
      <c r="Y564" s="411"/>
      <c r="Z564" s="412">
        <f t="shared" si="34"/>
        <v>0</v>
      </c>
      <c r="AA564" s="456">
        <f t="shared" si="35"/>
        <v>0</v>
      </c>
      <c r="AB564" s="456">
        <v>0</v>
      </c>
      <c r="AC564" s="2"/>
      <c r="AD564" s="4"/>
      <c r="AE564" s="5"/>
      <c r="AF564" s="428"/>
    </row>
    <row r="565" spans="1:32" x14ac:dyDescent="0.25">
      <c r="A565" s="1" t="s">
        <v>3009</v>
      </c>
      <c r="B565" s="3" t="s">
        <v>1368</v>
      </c>
      <c r="C565" s="3" t="s">
        <v>1247</v>
      </c>
      <c r="D565" s="407" t="s">
        <v>1399</v>
      </c>
      <c r="E565" s="3" t="s">
        <v>2318</v>
      </c>
      <c r="F565" s="407" t="s">
        <v>4499</v>
      </c>
      <c r="G565" s="440" t="s">
        <v>4109</v>
      </c>
      <c r="H565" s="407" t="s">
        <v>4320</v>
      </c>
      <c r="I565" s="407" t="s">
        <v>3758</v>
      </c>
      <c r="J565" s="387" t="s">
        <v>4653</v>
      </c>
      <c r="K565" s="387">
        <v>3</v>
      </c>
      <c r="L565" s="387">
        <v>0</v>
      </c>
      <c r="M565" s="387">
        <f t="shared" si="32"/>
        <v>3</v>
      </c>
      <c r="N565" s="442">
        <f t="shared" si="33"/>
        <v>0</v>
      </c>
      <c r="O565" s="387" t="s">
        <v>1358</v>
      </c>
      <c r="P565" s="459">
        <v>0</v>
      </c>
      <c r="Q565" s="459"/>
      <c r="R565" s="456">
        <v>0</v>
      </c>
      <c r="S565" s="456">
        <v>56.259</v>
      </c>
      <c r="T565" s="410"/>
      <c r="U565" s="411">
        <v>1</v>
      </c>
      <c r="V565" s="411">
        <v>1</v>
      </c>
      <c r="W565" s="411">
        <v>1</v>
      </c>
      <c r="X565" s="411"/>
      <c r="Y565" s="411"/>
      <c r="Z565" s="412">
        <f t="shared" si="34"/>
        <v>0</v>
      </c>
      <c r="AA565" s="456">
        <f t="shared" si="35"/>
        <v>0</v>
      </c>
      <c r="AB565" s="456">
        <v>0</v>
      </c>
      <c r="AC565" s="2"/>
      <c r="AD565" s="4"/>
      <c r="AE565" s="5"/>
      <c r="AF565" s="428"/>
    </row>
    <row r="566" spans="1:32" x14ac:dyDescent="0.25">
      <c r="A566" s="1" t="s">
        <v>3010</v>
      </c>
      <c r="B566" s="3" t="s">
        <v>1368</v>
      </c>
      <c r="C566" s="3" t="s">
        <v>1247</v>
      </c>
      <c r="D566" s="407" t="s">
        <v>1396</v>
      </c>
      <c r="E566" s="3" t="s">
        <v>2319</v>
      </c>
      <c r="F566" s="407" t="s">
        <v>4498</v>
      </c>
      <c r="G566" s="440" t="s">
        <v>4109</v>
      </c>
      <c r="H566" s="407" t="s">
        <v>4319</v>
      </c>
      <c r="I566" s="407" t="s">
        <v>3752</v>
      </c>
      <c r="J566" s="387" t="s">
        <v>4652</v>
      </c>
      <c r="K566" s="387">
        <v>3</v>
      </c>
      <c r="L566" s="387">
        <v>0</v>
      </c>
      <c r="M566" s="387">
        <f t="shared" si="32"/>
        <v>3</v>
      </c>
      <c r="N566" s="442">
        <f t="shared" si="33"/>
        <v>0</v>
      </c>
      <c r="O566" s="387" t="s">
        <v>1358</v>
      </c>
      <c r="P566" s="459">
        <v>0</v>
      </c>
      <c r="Q566" s="459"/>
      <c r="R566" s="456">
        <v>0</v>
      </c>
      <c r="S566" s="456">
        <v>56.259</v>
      </c>
      <c r="T566" s="410"/>
      <c r="U566" s="411">
        <v>1</v>
      </c>
      <c r="V566" s="411">
        <v>1</v>
      </c>
      <c r="W566" s="411">
        <v>1</v>
      </c>
      <c r="X566" s="411"/>
      <c r="Y566" s="411"/>
      <c r="Z566" s="412">
        <f t="shared" si="34"/>
        <v>0</v>
      </c>
      <c r="AA566" s="456">
        <f t="shared" si="35"/>
        <v>0</v>
      </c>
      <c r="AB566" s="456">
        <v>0</v>
      </c>
      <c r="AC566" s="2"/>
      <c r="AD566" s="4"/>
      <c r="AE566" s="5"/>
      <c r="AF566" s="428"/>
    </row>
    <row r="567" spans="1:32" x14ac:dyDescent="0.25">
      <c r="A567" s="1" t="s">
        <v>3011</v>
      </c>
      <c r="B567" s="3" t="s">
        <v>1368</v>
      </c>
      <c r="C567" s="3" t="s">
        <v>1247</v>
      </c>
      <c r="D567" s="407" t="s">
        <v>1381</v>
      </c>
      <c r="E567" s="3" t="s">
        <v>2320</v>
      </c>
      <c r="F567" s="407" t="s">
        <v>4497</v>
      </c>
      <c r="G567" s="440" t="s">
        <v>4109</v>
      </c>
      <c r="H567" s="407" t="s">
        <v>4318</v>
      </c>
      <c r="I567" s="407" t="s">
        <v>3751</v>
      </c>
      <c r="J567" s="387" t="s">
        <v>4631</v>
      </c>
      <c r="K567" s="387">
        <v>3</v>
      </c>
      <c r="L567" s="387">
        <v>0</v>
      </c>
      <c r="M567" s="387">
        <f t="shared" si="32"/>
        <v>3</v>
      </c>
      <c r="N567" s="442">
        <f t="shared" si="33"/>
        <v>0</v>
      </c>
      <c r="O567" s="387" t="s">
        <v>1358</v>
      </c>
      <c r="P567" s="459">
        <v>0</v>
      </c>
      <c r="Q567" s="459"/>
      <c r="R567" s="456">
        <v>0</v>
      </c>
      <c r="S567" s="456">
        <v>56.259</v>
      </c>
      <c r="T567" s="410"/>
      <c r="U567" s="411">
        <v>1</v>
      </c>
      <c r="V567" s="411">
        <v>1</v>
      </c>
      <c r="W567" s="411">
        <v>1</v>
      </c>
      <c r="X567" s="411"/>
      <c r="Y567" s="411"/>
      <c r="Z567" s="412">
        <f t="shared" si="34"/>
        <v>0</v>
      </c>
      <c r="AA567" s="456">
        <f t="shared" si="35"/>
        <v>0</v>
      </c>
      <c r="AB567" s="456">
        <v>0</v>
      </c>
      <c r="AC567" s="2"/>
      <c r="AD567" s="4"/>
      <c r="AE567" s="5"/>
      <c r="AF567" s="428"/>
    </row>
    <row r="568" spans="1:32" x14ac:dyDescent="0.25">
      <c r="A568" s="1" t="s">
        <v>3012</v>
      </c>
      <c r="B568" s="3" t="s">
        <v>1368</v>
      </c>
      <c r="C568" s="3" t="s">
        <v>1247</v>
      </c>
      <c r="D568" s="407" t="s">
        <v>1379</v>
      </c>
      <c r="E568" s="3" t="s">
        <v>2321</v>
      </c>
      <c r="F568" s="407" t="s">
        <v>4502</v>
      </c>
      <c r="G568" s="440" t="s">
        <v>4109</v>
      </c>
      <c r="H568" s="407" t="s">
        <v>4323</v>
      </c>
      <c r="I568" s="407" t="s">
        <v>3750</v>
      </c>
      <c r="J568" s="387" t="s">
        <v>4632</v>
      </c>
      <c r="K568" s="387">
        <v>4</v>
      </c>
      <c r="L568" s="387">
        <v>0</v>
      </c>
      <c r="M568" s="387">
        <f t="shared" si="32"/>
        <v>4</v>
      </c>
      <c r="N568" s="442">
        <f t="shared" si="33"/>
        <v>0</v>
      </c>
      <c r="O568" s="387" t="s">
        <v>1358</v>
      </c>
      <c r="P568" s="459">
        <v>0</v>
      </c>
      <c r="Q568" s="459"/>
      <c r="R568" s="456">
        <v>0</v>
      </c>
      <c r="S568" s="456">
        <v>75.012</v>
      </c>
      <c r="T568" s="410"/>
      <c r="U568" s="411">
        <v>1</v>
      </c>
      <c r="V568" s="411">
        <v>1</v>
      </c>
      <c r="W568" s="411">
        <v>1</v>
      </c>
      <c r="X568" s="411"/>
      <c r="Y568" s="411"/>
      <c r="Z568" s="412">
        <f t="shared" si="34"/>
        <v>0</v>
      </c>
      <c r="AA568" s="456">
        <f t="shared" si="35"/>
        <v>0</v>
      </c>
      <c r="AB568" s="456">
        <v>0</v>
      </c>
      <c r="AC568" s="2"/>
      <c r="AD568" s="4"/>
      <c r="AE568" s="5"/>
      <c r="AF568" s="428"/>
    </row>
    <row r="569" spans="1:32" x14ac:dyDescent="0.25">
      <c r="A569" s="1" t="s">
        <v>3013</v>
      </c>
      <c r="B569" s="3" t="s">
        <v>1368</v>
      </c>
      <c r="C569" s="3" t="s">
        <v>1247</v>
      </c>
      <c r="D569" s="407" t="s">
        <v>1377</v>
      </c>
      <c r="E569" s="3" t="s">
        <v>2322</v>
      </c>
      <c r="F569" s="407" t="s">
        <v>4494</v>
      </c>
      <c r="G569" s="440" t="s">
        <v>4109</v>
      </c>
      <c r="H569" s="407" t="s">
        <v>4315</v>
      </c>
      <c r="I569" s="407" t="s">
        <v>3749</v>
      </c>
      <c r="J569" s="387" t="s">
        <v>4648</v>
      </c>
      <c r="K569" s="387">
        <v>1</v>
      </c>
      <c r="L569" s="387">
        <v>0</v>
      </c>
      <c r="M569" s="387">
        <f t="shared" si="32"/>
        <v>1</v>
      </c>
      <c r="N569" s="442">
        <f t="shared" si="33"/>
        <v>0</v>
      </c>
      <c r="O569" s="387" t="s">
        <v>1358</v>
      </c>
      <c r="P569" s="459">
        <v>0</v>
      </c>
      <c r="Q569" s="459"/>
      <c r="R569" s="456">
        <v>0</v>
      </c>
      <c r="S569" s="456">
        <v>18.753</v>
      </c>
      <c r="T569" s="410"/>
      <c r="U569" s="411">
        <v>1</v>
      </c>
      <c r="V569" s="411">
        <v>1</v>
      </c>
      <c r="W569" s="411">
        <v>1</v>
      </c>
      <c r="X569" s="411"/>
      <c r="Y569" s="411"/>
      <c r="Z569" s="412">
        <f t="shared" si="34"/>
        <v>0</v>
      </c>
      <c r="AA569" s="456">
        <f t="shared" si="35"/>
        <v>0</v>
      </c>
      <c r="AB569" s="456">
        <v>0</v>
      </c>
      <c r="AC569" s="2"/>
      <c r="AD569" s="4"/>
      <c r="AE569" s="5"/>
      <c r="AF569" s="428"/>
    </row>
    <row r="570" spans="1:32" x14ac:dyDescent="0.25">
      <c r="A570" s="1" t="s">
        <v>3014</v>
      </c>
      <c r="B570" s="3" t="s">
        <v>1368</v>
      </c>
      <c r="C570" s="3" t="s">
        <v>1247</v>
      </c>
      <c r="D570" s="407" t="s">
        <v>1374</v>
      </c>
      <c r="E570" s="3" t="s">
        <v>2323</v>
      </c>
      <c r="F570" s="407" t="s">
        <v>4495</v>
      </c>
      <c r="G570" s="440" t="s">
        <v>4109</v>
      </c>
      <c r="H570" s="407" t="s">
        <v>4316</v>
      </c>
      <c r="I570" s="407" t="s">
        <v>3757</v>
      </c>
      <c r="J570" s="387" t="s">
        <v>4649</v>
      </c>
      <c r="K570" s="387">
        <v>2</v>
      </c>
      <c r="L570" s="387">
        <v>0</v>
      </c>
      <c r="M570" s="387">
        <f t="shared" si="32"/>
        <v>2</v>
      </c>
      <c r="N570" s="442">
        <f t="shared" si="33"/>
        <v>0</v>
      </c>
      <c r="O570" s="387" t="s">
        <v>1358</v>
      </c>
      <c r="P570" s="459">
        <v>0</v>
      </c>
      <c r="Q570" s="459"/>
      <c r="R570" s="456">
        <v>0</v>
      </c>
      <c r="S570" s="456">
        <v>38</v>
      </c>
      <c r="T570" s="410"/>
      <c r="U570" s="411">
        <v>1</v>
      </c>
      <c r="V570" s="411">
        <v>1</v>
      </c>
      <c r="W570" s="411">
        <v>1</v>
      </c>
      <c r="X570" s="411"/>
      <c r="Y570" s="411"/>
      <c r="Z570" s="412">
        <f t="shared" si="34"/>
        <v>0</v>
      </c>
      <c r="AA570" s="456">
        <f t="shared" si="35"/>
        <v>0</v>
      </c>
      <c r="AB570" s="456">
        <v>0</v>
      </c>
      <c r="AC570" s="2"/>
      <c r="AD570" s="4"/>
      <c r="AE570" s="5"/>
      <c r="AF570" s="428"/>
    </row>
    <row r="571" spans="1:32" x14ac:dyDescent="0.25">
      <c r="A571" s="1" t="s">
        <v>3015</v>
      </c>
      <c r="B571" s="3" t="s">
        <v>1368</v>
      </c>
      <c r="C571" s="3" t="s">
        <v>1247</v>
      </c>
      <c r="D571" s="407" t="s">
        <v>1377</v>
      </c>
      <c r="E571" s="3" t="s">
        <v>2324</v>
      </c>
      <c r="F571" s="407" t="s">
        <v>4494</v>
      </c>
      <c r="G571" s="440" t="s">
        <v>4109</v>
      </c>
      <c r="H571" s="407" t="s">
        <v>4315</v>
      </c>
      <c r="I571" s="407" t="s">
        <v>3749</v>
      </c>
      <c r="J571" s="387" t="s">
        <v>4648</v>
      </c>
      <c r="K571" s="387">
        <v>1</v>
      </c>
      <c r="L571" s="387">
        <v>0</v>
      </c>
      <c r="M571" s="387">
        <f t="shared" si="32"/>
        <v>1</v>
      </c>
      <c r="N571" s="442">
        <f t="shared" si="33"/>
        <v>0</v>
      </c>
      <c r="O571" s="387" t="s">
        <v>1358</v>
      </c>
      <c r="P571" s="459">
        <v>0</v>
      </c>
      <c r="Q571" s="459"/>
      <c r="R571" s="456">
        <v>0</v>
      </c>
      <c r="S571" s="456">
        <v>19.376000000000001</v>
      </c>
      <c r="T571" s="410"/>
      <c r="U571" s="411">
        <v>1</v>
      </c>
      <c r="V571" s="411">
        <v>1</v>
      </c>
      <c r="W571" s="411">
        <v>1</v>
      </c>
      <c r="X571" s="411"/>
      <c r="Y571" s="411"/>
      <c r="Z571" s="412">
        <f t="shared" si="34"/>
        <v>0</v>
      </c>
      <c r="AA571" s="456">
        <f t="shared" si="35"/>
        <v>0</v>
      </c>
      <c r="AB571" s="456">
        <v>0</v>
      </c>
      <c r="AC571" s="2"/>
      <c r="AD571" s="4"/>
      <c r="AE571" s="5"/>
      <c r="AF571" s="428"/>
    </row>
    <row r="572" spans="1:32" x14ac:dyDescent="0.25">
      <c r="A572" s="1" t="s">
        <v>3016</v>
      </c>
      <c r="B572" s="3" t="s">
        <v>1368</v>
      </c>
      <c r="C572" s="3" t="s">
        <v>1247</v>
      </c>
      <c r="D572" s="407" t="s">
        <v>1374</v>
      </c>
      <c r="E572" s="3" t="s">
        <v>2325</v>
      </c>
      <c r="F572" s="407" t="s">
        <v>4495</v>
      </c>
      <c r="G572" s="440" t="s">
        <v>4109</v>
      </c>
      <c r="H572" s="407" t="s">
        <v>4316</v>
      </c>
      <c r="I572" s="407" t="s">
        <v>3757</v>
      </c>
      <c r="J572" s="387" t="s">
        <v>4665</v>
      </c>
      <c r="K572" s="387">
        <v>2</v>
      </c>
      <c r="L572" s="387">
        <v>0</v>
      </c>
      <c r="M572" s="387">
        <f t="shared" si="32"/>
        <v>2</v>
      </c>
      <c r="N572" s="442">
        <f t="shared" si="33"/>
        <v>0</v>
      </c>
      <c r="O572" s="387" t="s">
        <v>1358</v>
      </c>
      <c r="P572" s="459">
        <v>0</v>
      </c>
      <c r="Q572" s="459"/>
      <c r="R572" s="456">
        <v>0</v>
      </c>
      <c r="S572" s="456">
        <v>38.752000000000002</v>
      </c>
      <c r="T572" s="410"/>
      <c r="U572" s="411">
        <v>1</v>
      </c>
      <c r="V572" s="411">
        <v>1</v>
      </c>
      <c r="W572" s="411">
        <v>1</v>
      </c>
      <c r="X572" s="411"/>
      <c r="Y572" s="411"/>
      <c r="Z572" s="412">
        <f t="shared" si="34"/>
        <v>0</v>
      </c>
      <c r="AA572" s="456">
        <f t="shared" si="35"/>
        <v>0</v>
      </c>
      <c r="AB572" s="456">
        <v>0</v>
      </c>
      <c r="AC572" s="2"/>
      <c r="AD572" s="4"/>
      <c r="AE572" s="5"/>
      <c r="AF572" s="428"/>
    </row>
    <row r="573" spans="1:32" x14ac:dyDescent="0.25">
      <c r="A573" s="1" t="s">
        <v>3017</v>
      </c>
      <c r="B573" s="3" t="s">
        <v>1368</v>
      </c>
      <c r="C573" s="3" t="s">
        <v>1247</v>
      </c>
      <c r="D573" s="407" t="s">
        <v>3294</v>
      </c>
      <c r="E573" s="3" t="s">
        <v>2326</v>
      </c>
      <c r="F573" s="407" t="s">
        <v>4500</v>
      </c>
      <c r="G573" s="440" t="s">
        <v>4109</v>
      </c>
      <c r="H573" s="407" t="s">
        <v>4321</v>
      </c>
      <c r="I573" s="407" t="s">
        <v>3755</v>
      </c>
      <c r="J573" s="387" t="s">
        <v>4654</v>
      </c>
      <c r="K573" s="387">
        <v>1</v>
      </c>
      <c r="L573" s="387">
        <v>0</v>
      </c>
      <c r="M573" s="387">
        <f t="shared" si="32"/>
        <v>1</v>
      </c>
      <c r="N573" s="442">
        <f t="shared" si="33"/>
        <v>0</v>
      </c>
      <c r="O573" s="387" t="s">
        <v>1358</v>
      </c>
      <c r="P573" s="459">
        <v>0</v>
      </c>
      <c r="Q573" s="459"/>
      <c r="R573" s="456">
        <v>0</v>
      </c>
      <c r="S573" s="456">
        <v>19.471</v>
      </c>
      <c r="T573" s="410"/>
      <c r="U573" s="411">
        <v>1</v>
      </c>
      <c r="V573" s="411">
        <v>1</v>
      </c>
      <c r="W573" s="411">
        <v>1</v>
      </c>
      <c r="X573" s="411"/>
      <c r="Y573" s="411"/>
      <c r="Z573" s="412">
        <f t="shared" si="34"/>
        <v>0</v>
      </c>
      <c r="AA573" s="456">
        <f t="shared" si="35"/>
        <v>0</v>
      </c>
      <c r="AB573" s="456">
        <v>0</v>
      </c>
      <c r="AC573" s="2"/>
      <c r="AD573" s="4"/>
      <c r="AE573" s="5"/>
      <c r="AF573" s="428"/>
    </row>
    <row r="574" spans="1:32" x14ac:dyDescent="0.25">
      <c r="A574" s="1" t="s">
        <v>3018</v>
      </c>
      <c r="B574" s="3" t="s">
        <v>1368</v>
      </c>
      <c r="C574" s="3" t="s">
        <v>1247</v>
      </c>
      <c r="D574" s="407" t="s">
        <v>1374</v>
      </c>
      <c r="E574" s="3" t="s">
        <v>2327</v>
      </c>
      <c r="F574" s="407" t="s">
        <v>4495</v>
      </c>
      <c r="G574" s="440" t="s">
        <v>4109</v>
      </c>
      <c r="H574" s="407" t="s">
        <v>4316</v>
      </c>
      <c r="I574" s="407" t="s">
        <v>3757</v>
      </c>
      <c r="J574" s="387" t="s">
        <v>4665</v>
      </c>
      <c r="K574" s="387">
        <v>2</v>
      </c>
      <c r="L574" s="387">
        <v>0</v>
      </c>
      <c r="M574" s="387">
        <f t="shared" si="32"/>
        <v>2</v>
      </c>
      <c r="N574" s="442">
        <f t="shared" si="33"/>
        <v>0</v>
      </c>
      <c r="O574" s="387" t="s">
        <v>1358</v>
      </c>
      <c r="P574" s="459">
        <v>0</v>
      </c>
      <c r="Q574" s="459"/>
      <c r="R574" s="456">
        <v>0</v>
      </c>
      <c r="S574" s="456">
        <v>38.82</v>
      </c>
      <c r="T574" s="410"/>
      <c r="U574" s="411">
        <v>1</v>
      </c>
      <c r="V574" s="411">
        <v>1</v>
      </c>
      <c r="W574" s="411">
        <v>1</v>
      </c>
      <c r="X574" s="411"/>
      <c r="Y574" s="411"/>
      <c r="Z574" s="412">
        <f t="shared" si="34"/>
        <v>0</v>
      </c>
      <c r="AA574" s="456">
        <f t="shared" si="35"/>
        <v>0</v>
      </c>
      <c r="AB574" s="456">
        <v>0</v>
      </c>
      <c r="AC574" s="2"/>
      <c r="AD574" s="4"/>
      <c r="AE574" s="5"/>
      <c r="AF574" s="428"/>
    </row>
    <row r="575" spans="1:32" ht="12.75" customHeight="1" x14ac:dyDescent="0.25">
      <c r="A575" s="1" t="s">
        <v>3019</v>
      </c>
      <c r="B575" s="3" t="s">
        <v>1368</v>
      </c>
      <c r="C575" s="3" t="s">
        <v>1247</v>
      </c>
      <c r="D575" s="407" t="s">
        <v>1377</v>
      </c>
      <c r="E575" s="3" t="s">
        <v>2328</v>
      </c>
      <c r="F575" s="407" t="s">
        <v>4494</v>
      </c>
      <c r="G575" s="440" t="s">
        <v>4109</v>
      </c>
      <c r="H575" s="407" t="s">
        <v>4315</v>
      </c>
      <c r="I575" s="407" t="s">
        <v>3749</v>
      </c>
      <c r="J575" s="387" t="s">
        <v>4648</v>
      </c>
      <c r="K575" s="387">
        <v>1</v>
      </c>
      <c r="L575" s="387">
        <v>0</v>
      </c>
      <c r="M575" s="387">
        <f t="shared" si="32"/>
        <v>1</v>
      </c>
      <c r="N575" s="442">
        <f t="shared" si="33"/>
        <v>0</v>
      </c>
      <c r="O575" s="387" t="s">
        <v>1358</v>
      </c>
      <c r="P575" s="459">
        <v>0</v>
      </c>
      <c r="Q575" s="459"/>
      <c r="R575" s="456">
        <v>0</v>
      </c>
      <c r="S575" s="456">
        <v>19.408000000000001</v>
      </c>
      <c r="T575" s="410"/>
      <c r="U575" s="411">
        <v>1</v>
      </c>
      <c r="V575" s="411">
        <v>1</v>
      </c>
      <c r="W575" s="411">
        <v>1</v>
      </c>
      <c r="X575" s="411"/>
      <c r="Y575" s="411"/>
      <c r="Z575" s="412">
        <f t="shared" si="34"/>
        <v>0</v>
      </c>
      <c r="AA575" s="456">
        <f t="shared" si="35"/>
        <v>0</v>
      </c>
      <c r="AB575" s="456">
        <v>0</v>
      </c>
      <c r="AC575" s="2"/>
      <c r="AD575" s="4"/>
      <c r="AE575" s="5"/>
      <c r="AF575" s="428"/>
    </row>
    <row r="576" spans="1:32" x14ac:dyDescent="0.25">
      <c r="A576" s="1" t="s">
        <v>3020</v>
      </c>
      <c r="B576" s="3" t="s">
        <v>1368</v>
      </c>
      <c r="C576" s="3" t="s">
        <v>1247</v>
      </c>
      <c r="D576" s="407" t="s">
        <v>3294</v>
      </c>
      <c r="E576" s="3" t="s">
        <v>2329</v>
      </c>
      <c r="F576" s="407" t="s">
        <v>4500</v>
      </c>
      <c r="G576" s="440" t="s">
        <v>4109</v>
      </c>
      <c r="H576" s="407" t="s">
        <v>4321</v>
      </c>
      <c r="I576" s="407" t="s">
        <v>3755</v>
      </c>
      <c r="J576" s="387" t="s">
        <v>4654</v>
      </c>
      <c r="K576" s="387">
        <v>1</v>
      </c>
      <c r="L576" s="387">
        <v>0</v>
      </c>
      <c r="M576" s="387">
        <f t="shared" si="32"/>
        <v>1</v>
      </c>
      <c r="N576" s="442">
        <f t="shared" si="33"/>
        <v>0</v>
      </c>
      <c r="O576" s="387" t="s">
        <v>1358</v>
      </c>
      <c r="P576" s="459">
        <v>0</v>
      </c>
      <c r="Q576" s="459"/>
      <c r="R576" s="456">
        <v>0</v>
      </c>
      <c r="S576" s="456">
        <v>19.471</v>
      </c>
      <c r="T576" s="410"/>
      <c r="U576" s="411">
        <v>1</v>
      </c>
      <c r="V576" s="411">
        <v>1</v>
      </c>
      <c r="W576" s="411">
        <v>1</v>
      </c>
      <c r="X576" s="411"/>
      <c r="Y576" s="411"/>
      <c r="Z576" s="412">
        <f t="shared" si="34"/>
        <v>0</v>
      </c>
      <c r="AA576" s="456">
        <f t="shared" si="35"/>
        <v>0</v>
      </c>
      <c r="AB576" s="456">
        <v>0</v>
      </c>
      <c r="AC576" s="2"/>
      <c r="AD576" s="4"/>
      <c r="AE576" s="5"/>
      <c r="AF576" s="428"/>
    </row>
    <row r="577" spans="1:32" x14ac:dyDescent="0.25">
      <c r="A577" s="1" t="s">
        <v>3021</v>
      </c>
      <c r="B577" s="3" t="s">
        <v>1368</v>
      </c>
      <c r="C577" s="3" t="s">
        <v>1247</v>
      </c>
      <c r="D577" s="407" t="s">
        <v>1374</v>
      </c>
      <c r="E577" s="3" t="s">
        <v>2330</v>
      </c>
      <c r="F577" s="407" t="s">
        <v>4495</v>
      </c>
      <c r="G577" s="440" t="s">
        <v>4109</v>
      </c>
      <c r="H577" s="407" t="s">
        <v>4316</v>
      </c>
      <c r="I577" s="407" t="s">
        <v>3757</v>
      </c>
      <c r="J577" s="387" t="s">
        <v>4649</v>
      </c>
      <c r="K577" s="387">
        <v>1</v>
      </c>
      <c r="L577" s="387">
        <v>0</v>
      </c>
      <c r="M577" s="387">
        <f t="shared" si="32"/>
        <v>1</v>
      </c>
      <c r="N577" s="442">
        <f t="shared" si="33"/>
        <v>0</v>
      </c>
      <c r="O577" s="387" t="s">
        <v>1358</v>
      </c>
      <c r="P577" s="459">
        <v>0</v>
      </c>
      <c r="Q577" s="459"/>
      <c r="R577" s="456">
        <v>0</v>
      </c>
      <c r="S577" s="456">
        <v>19.408000000000001</v>
      </c>
      <c r="T577" s="410"/>
      <c r="U577" s="411">
        <v>1</v>
      </c>
      <c r="V577" s="411">
        <v>1</v>
      </c>
      <c r="W577" s="411">
        <v>1</v>
      </c>
      <c r="X577" s="411"/>
      <c r="Y577" s="411"/>
      <c r="Z577" s="412">
        <f t="shared" si="34"/>
        <v>0</v>
      </c>
      <c r="AA577" s="456">
        <f t="shared" si="35"/>
        <v>0</v>
      </c>
      <c r="AB577" s="456">
        <v>0</v>
      </c>
      <c r="AC577" s="2"/>
      <c r="AD577" s="4"/>
      <c r="AE577" s="5"/>
      <c r="AF577" s="428"/>
    </row>
    <row r="578" spans="1:32" x14ac:dyDescent="0.25">
      <c r="A578" s="1" t="s">
        <v>3022</v>
      </c>
      <c r="B578" s="3" t="s">
        <v>1368</v>
      </c>
      <c r="C578" s="3" t="s">
        <v>1247</v>
      </c>
      <c r="D578" s="407" t="s">
        <v>1377</v>
      </c>
      <c r="E578" s="3" t="s">
        <v>2331</v>
      </c>
      <c r="F578" s="407" t="s">
        <v>4494</v>
      </c>
      <c r="G578" s="440" t="s">
        <v>4109</v>
      </c>
      <c r="H578" s="407" t="s">
        <v>4315</v>
      </c>
      <c r="I578" s="407" t="s">
        <v>3749</v>
      </c>
      <c r="J578" s="387" t="s">
        <v>4648</v>
      </c>
      <c r="K578" s="387">
        <v>1</v>
      </c>
      <c r="L578" s="387">
        <v>0</v>
      </c>
      <c r="M578" s="387">
        <f t="shared" si="32"/>
        <v>1</v>
      </c>
      <c r="N578" s="442">
        <f t="shared" si="33"/>
        <v>0</v>
      </c>
      <c r="O578" s="387" t="s">
        <v>1358</v>
      </c>
      <c r="P578" s="459">
        <v>0</v>
      </c>
      <c r="Q578" s="459"/>
      <c r="R578" s="456">
        <v>0</v>
      </c>
      <c r="S578" s="456">
        <v>19.408000000000001</v>
      </c>
      <c r="T578" s="410"/>
      <c r="U578" s="411">
        <v>1</v>
      </c>
      <c r="V578" s="411">
        <v>1</v>
      </c>
      <c r="W578" s="411">
        <v>1</v>
      </c>
      <c r="X578" s="411"/>
      <c r="Y578" s="411"/>
      <c r="Z578" s="412">
        <f t="shared" si="34"/>
        <v>0</v>
      </c>
      <c r="AA578" s="456">
        <f t="shared" si="35"/>
        <v>0</v>
      </c>
      <c r="AB578" s="456">
        <v>0</v>
      </c>
      <c r="AC578" s="2"/>
      <c r="AD578" s="4"/>
      <c r="AE578" s="5"/>
      <c r="AF578" s="428"/>
    </row>
    <row r="579" spans="1:32" x14ac:dyDescent="0.25">
      <c r="A579" s="1" t="s">
        <v>3023</v>
      </c>
      <c r="B579" s="3" t="s">
        <v>1368</v>
      </c>
      <c r="C579" s="3" t="s">
        <v>1247</v>
      </c>
      <c r="D579" s="407" t="s">
        <v>1379</v>
      </c>
      <c r="E579" s="3" t="s">
        <v>2332</v>
      </c>
      <c r="F579" s="407" t="s">
        <v>4502</v>
      </c>
      <c r="G579" s="440" t="s">
        <v>4109</v>
      </c>
      <c r="H579" s="407" t="s">
        <v>4323</v>
      </c>
      <c r="I579" s="407" t="s">
        <v>3750</v>
      </c>
      <c r="J579" s="387" t="s">
        <v>4632</v>
      </c>
      <c r="K579" s="387">
        <v>2</v>
      </c>
      <c r="L579" s="387">
        <v>0</v>
      </c>
      <c r="M579" s="387">
        <f t="shared" si="32"/>
        <v>2</v>
      </c>
      <c r="N579" s="442">
        <f t="shared" si="33"/>
        <v>0</v>
      </c>
      <c r="O579" s="387" t="s">
        <v>1358</v>
      </c>
      <c r="P579" s="459">
        <v>0</v>
      </c>
      <c r="Q579" s="459"/>
      <c r="R579" s="456">
        <v>0</v>
      </c>
      <c r="S579" s="456">
        <v>38.816000000000003</v>
      </c>
      <c r="T579" s="410"/>
      <c r="U579" s="411">
        <v>1</v>
      </c>
      <c r="V579" s="411">
        <v>1</v>
      </c>
      <c r="W579" s="411">
        <v>1</v>
      </c>
      <c r="X579" s="411"/>
      <c r="Y579" s="411"/>
      <c r="Z579" s="412">
        <f t="shared" si="34"/>
        <v>0</v>
      </c>
      <c r="AA579" s="456">
        <f t="shared" si="35"/>
        <v>0</v>
      </c>
      <c r="AB579" s="456">
        <v>0</v>
      </c>
      <c r="AC579" s="2"/>
      <c r="AD579" s="4"/>
      <c r="AE579" s="5"/>
      <c r="AF579" s="428"/>
    </row>
    <row r="580" spans="1:32" x14ac:dyDescent="0.25">
      <c r="A580" s="1" t="s">
        <v>3024</v>
      </c>
      <c r="B580" s="3" t="s">
        <v>1368</v>
      </c>
      <c r="C580" s="3" t="s">
        <v>1247</v>
      </c>
      <c r="D580" s="407" t="s">
        <v>1381</v>
      </c>
      <c r="E580" s="3" t="s">
        <v>2333</v>
      </c>
      <c r="F580" s="407" t="s">
        <v>4497</v>
      </c>
      <c r="G580" s="440" t="s">
        <v>4109</v>
      </c>
      <c r="H580" s="407" t="s">
        <v>4318</v>
      </c>
      <c r="I580" s="407" t="s">
        <v>3751</v>
      </c>
      <c r="J580" s="387" t="s">
        <v>4631</v>
      </c>
      <c r="K580" s="387">
        <v>2</v>
      </c>
      <c r="L580" s="387">
        <v>0</v>
      </c>
      <c r="M580" s="387">
        <f t="shared" si="32"/>
        <v>2</v>
      </c>
      <c r="N580" s="442">
        <f t="shared" si="33"/>
        <v>0</v>
      </c>
      <c r="O580" s="387" t="s">
        <v>1358</v>
      </c>
      <c r="P580" s="459">
        <v>0</v>
      </c>
      <c r="Q580" s="459"/>
      <c r="R580" s="456">
        <v>0</v>
      </c>
      <c r="S580" s="456">
        <v>38.816000000000003</v>
      </c>
      <c r="T580" s="410"/>
      <c r="U580" s="411">
        <v>1</v>
      </c>
      <c r="V580" s="411">
        <v>1</v>
      </c>
      <c r="W580" s="411">
        <v>1</v>
      </c>
      <c r="X580" s="411"/>
      <c r="Y580" s="411"/>
      <c r="Z580" s="412">
        <f t="shared" si="34"/>
        <v>0</v>
      </c>
      <c r="AA580" s="456">
        <f t="shared" si="35"/>
        <v>0</v>
      </c>
      <c r="AB580" s="456">
        <v>0</v>
      </c>
      <c r="AC580" s="2"/>
      <c r="AD580" s="4"/>
      <c r="AE580" s="5"/>
      <c r="AF580" s="428"/>
    </row>
    <row r="581" spans="1:32" x14ac:dyDescent="0.25">
      <c r="A581" s="1" t="s">
        <v>3025</v>
      </c>
      <c r="B581" s="3" t="s">
        <v>1368</v>
      </c>
      <c r="C581" s="3" t="s">
        <v>1247</v>
      </c>
      <c r="D581" s="407" t="s">
        <v>1396</v>
      </c>
      <c r="E581" s="3" t="s">
        <v>2334</v>
      </c>
      <c r="F581" s="407" t="s">
        <v>4498</v>
      </c>
      <c r="G581" s="440" t="s">
        <v>4109</v>
      </c>
      <c r="H581" s="407" t="s">
        <v>4319</v>
      </c>
      <c r="I581" s="407" t="s">
        <v>3752</v>
      </c>
      <c r="J581" s="387" t="s">
        <v>4652</v>
      </c>
      <c r="K581" s="387">
        <v>2</v>
      </c>
      <c r="L581" s="387">
        <v>0</v>
      </c>
      <c r="M581" s="387">
        <f t="shared" si="32"/>
        <v>2</v>
      </c>
      <c r="N581" s="442">
        <f t="shared" si="33"/>
        <v>0</v>
      </c>
      <c r="O581" s="387" t="s">
        <v>1358</v>
      </c>
      <c r="P581" s="459">
        <v>0</v>
      </c>
      <c r="Q581" s="459"/>
      <c r="R581" s="456">
        <v>0</v>
      </c>
      <c r="S581" s="456">
        <v>38.816000000000003</v>
      </c>
      <c r="T581" s="410"/>
      <c r="U581" s="411">
        <v>1</v>
      </c>
      <c r="V581" s="411">
        <v>1</v>
      </c>
      <c r="W581" s="411">
        <v>1</v>
      </c>
      <c r="X581" s="411"/>
      <c r="Y581" s="411"/>
      <c r="Z581" s="412">
        <f t="shared" si="34"/>
        <v>0</v>
      </c>
      <c r="AA581" s="456">
        <f t="shared" si="35"/>
        <v>0</v>
      </c>
      <c r="AB581" s="456">
        <v>0</v>
      </c>
      <c r="AC581" s="2"/>
      <c r="AD581" s="4"/>
      <c r="AE581" s="5"/>
      <c r="AF581" s="428"/>
    </row>
    <row r="582" spans="1:32" x14ac:dyDescent="0.25">
      <c r="A582" s="1" t="s">
        <v>3026</v>
      </c>
      <c r="B582" s="3" t="s">
        <v>1368</v>
      </c>
      <c r="C582" s="3" t="s">
        <v>1247</v>
      </c>
      <c r="D582" s="407" t="s">
        <v>1399</v>
      </c>
      <c r="E582" s="3" t="s">
        <v>2335</v>
      </c>
      <c r="F582" s="407" t="s">
        <v>4499</v>
      </c>
      <c r="G582" s="440" t="s">
        <v>4109</v>
      </c>
      <c r="H582" s="407" t="s">
        <v>4320</v>
      </c>
      <c r="I582" s="407" t="s">
        <v>3758</v>
      </c>
      <c r="J582" s="387" t="s">
        <v>4653</v>
      </c>
      <c r="K582" s="387">
        <v>2</v>
      </c>
      <c r="L582" s="387">
        <v>0</v>
      </c>
      <c r="M582" s="387">
        <f t="shared" si="32"/>
        <v>2</v>
      </c>
      <c r="N582" s="442">
        <f t="shared" si="33"/>
        <v>0</v>
      </c>
      <c r="O582" s="387" t="s">
        <v>1358</v>
      </c>
      <c r="P582" s="459">
        <v>0</v>
      </c>
      <c r="Q582" s="459"/>
      <c r="R582" s="456">
        <v>0</v>
      </c>
      <c r="S582" s="456">
        <v>38.816000000000003</v>
      </c>
      <c r="T582" s="410"/>
      <c r="U582" s="411">
        <v>1</v>
      </c>
      <c r="V582" s="411">
        <v>1</v>
      </c>
      <c r="W582" s="411">
        <v>1</v>
      </c>
      <c r="X582" s="411"/>
      <c r="Y582" s="411"/>
      <c r="Z582" s="412">
        <f t="shared" si="34"/>
        <v>0</v>
      </c>
      <c r="AA582" s="456">
        <f t="shared" si="35"/>
        <v>0</v>
      </c>
      <c r="AB582" s="456">
        <v>0</v>
      </c>
      <c r="AC582" s="2"/>
      <c r="AD582" s="4"/>
      <c r="AE582" s="5"/>
      <c r="AF582" s="428"/>
    </row>
    <row r="583" spans="1:32" x14ac:dyDescent="0.25">
      <c r="A583" s="571" t="s">
        <v>5219</v>
      </c>
      <c r="B583" s="3" t="s">
        <v>1368</v>
      </c>
      <c r="C583" s="3" t="s">
        <v>1247</v>
      </c>
      <c r="D583" s="407" t="s">
        <v>1396</v>
      </c>
      <c r="E583" s="3" t="s">
        <v>5210</v>
      </c>
      <c r="F583" s="407" t="s">
        <v>4499</v>
      </c>
      <c r="G583" s="440" t="s">
        <v>4109</v>
      </c>
      <c r="H583" s="407" t="s">
        <v>4320</v>
      </c>
      <c r="I583" s="407" t="s">
        <v>3758</v>
      </c>
      <c r="J583" s="387" t="s">
        <v>4653</v>
      </c>
      <c r="K583" s="387">
        <v>1</v>
      </c>
      <c r="L583" s="387">
        <v>0</v>
      </c>
      <c r="M583" s="387">
        <f t="shared" si="32"/>
        <v>1</v>
      </c>
      <c r="N583" s="442"/>
      <c r="O583" s="387" t="s">
        <v>1358</v>
      </c>
      <c r="P583" s="459">
        <v>0</v>
      </c>
      <c r="Q583" s="459"/>
      <c r="R583" s="456">
        <v>0</v>
      </c>
      <c r="S583" s="456">
        <v>19</v>
      </c>
      <c r="T583" s="410"/>
      <c r="U583" s="411">
        <v>1</v>
      </c>
      <c r="V583" s="411">
        <v>1</v>
      </c>
      <c r="W583" s="411">
        <v>1</v>
      </c>
      <c r="X583" s="411"/>
      <c r="Y583" s="411"/>
      <c r="Z583" s="412">
        <f t="shared" si="34"/>
        <v>0</v>
      </c>
      <c r="AA583" s="456">
        <f t="shared" si="35"/>
        <v>0</v>
      </c>
      <c r="AB583" s="456"/>
      <c r="AC583" s="2"/>
      <c r="AD583" s="4"/>
      <c r="AE583" s="5"/>
      <c r="AF583" s="428"/>
    </row>
    <row r="584" spans="1:32" x14ac:dyDescent="0.25">
      <c r="A584" s="1" t="s">
        <v>3027</v>
      </c>
      <c r="B584" s="3" t="s">
        <v>1368</v>
      </c>
      <c r="C584" s="3" t="s">
        <v>1247</v>
      </c>
      <c r="D584" s="407" t="s">
        <v>3291</v>
      </c>
      <c r="E584" s="3" t="s">
        <v>2336</v>
      </c>
      <c r="F584" s="407" t="s">
        <v>4476</v>
      </c>
      <c r="G584" s="440" t="s">
        <v>4109</v>
      </c>
      <c r="H584" s="407" t="s">
        <v>4297</v>
      </c>
      <c r="I584" s="407" t="s">
        <v>3753</v>
      </c>
      <c r="J584" s="387" t="s">
        <v>4651</v>
      </c>
      <c r="K584" s="387">
        <v>1</v>
      </c>
      <c r="L584" s="387">
        <v>0</v>
      </c>
      <c r="M584" s="387">
        <f t="shared" si="32"/>
        <v>1</v>
      </c>
      <c r="N584" s="442">
        <f t="shared" si="33"/>
        <v>0</v>
      </c>
      <c r="O584" s="387" t="s">
        <v>1358</v>
      </c>
      <c r="P584" s="459">
        <v>0</v>
      </c>
      <c r="Q584" s="459"/>
      <c r="R584" s="456">
        <v>0</v>
      </c>
      <c r="S584" s="456">
        <v>118.822</v>
      </c>
      <c r="T584" s="410"/>
      <c r="U584" s="411">
        <v>1</v>
      </c>
      <c r="V584" s="411">
        <v>1</v>
      </c>
      <c r="W584" s="411">
        <v>1</v>
      </c>
      <c r="X584" s="411"/>
      <c r="Y584" s="411"/>
      <c r="Z584" s="412">
        <f t="shared" si="34"/>
        <v>0</v>
      </c>
      <c r="AA584" s="456">
        <f t="shared" si="35"/>
        <v>0</v>
      </c>
      <c r="AB584" s="456">
        <v>0</v>
      </c>
      <c r="AC584" s="2"/>
      <c r="AD584" s="4"/>
      <c r="AE584" s="5"/>
      <c r="AF584" s="428"/>
    </row>
    <row r="585" spans="1:32" x14ac:dyDescent="0.25">
      <c r="A585" s="1" t="s">
        <v>3028</v>
      </c>
      <c r="B585" s="3" t="s">
        <v>1368</v>
      </c>
      <c r="C585" s="3" t="s">
        <v>1247</v>
      </c>
      <c r="D585" s="407" t="s">
        <v>3293</v>
      </c>
      <c r="E585" s="3" t="s">
        <v>2337</v>
      </c>
      <c r="F585" s="407" t="s">
        <v>4503</v>
      </c>
      <c r="G585" s="440" t="s">
        <v>4109</v>
      </c>
      <c r="H585" s="407" t="s">
        <v>4324</v>
      </c>
      <c r="I585" s="407" t="s">
        <v>3798</v>
      </c>
      <c r="J585" s="387" t="s">
        <v>4658</v>
      </c>
      <c r="K585" s="387">
        <v>1</v>
      </c>
      <c r="L585" s="387">
        <v>0</v>
      </c>
      <c r="M585" s="387">
        <f t="shared" si="32"/>
        <v>1</v>
      </c>
      <c r="N585" s="442">
        <f t="shared" si="33"/>
        <v>0</v>
      </c>
      <c r="O585" s="387" t="s">
        <v>1358</v>
      </c>
      <c r="P585" s="459">
        <v>0</v>
      </c>
      <c r="Q585" s="459"/>
      <c r="R585" s="456">
        <v>0</v>
      </c>
      <c r="S585" s="456">
        <v>75.204999999999998</v>
      </c>
      <c r="T585" s="410"/>
      <c r="U585" s="411">
        <v>1</v>
      </c>
      <c r="V585" s="411">
        <v>1</v>
      </c>
      <c r="W585" s="411">
        <v>1</v>
      </c>
      <c r="X585" s="411"/>
      <c r="Y585" s="411"/>
      <c r="Z585" s="412">
        <f t="shared" si="34"/>
        <v>0</v>
      </c>
      <c r="AA585" s="456">
        <f t="shared" si="35"/>
        <v>0</v>
      </c>
      <c r="AB585" s="456">
        <v>0</v>
      </c>
      <c r="AC585" s="2"/>
      <c r="AD585" s="4"/>
      <c r="AE585" s="5"/>
      <c r="AF585" s="428"/>
    </row>
    <row r="586" spans="1:32" x14ac:dyDescent="0.25">
      <c r="A586" s="1" t="s">
        <v>3029</v>
      </c>
      <c r="B586" s="3" t="s">
        <v>1368</v>
      </c>
      <c r="C586" s="3" t="s">
        <v>1247</v>
      </c>
      <c r="D586" s="407" t="s">
        <v>1398</v>
      </c>
      <c r="E586" s="3" t="s">
        <v>2338</v>
      </c>
      <c r="F586" s="407" t="s">
        <v>4496</v>
      </c>
      <c r="G586" s="440" t="s">
        <v>4109</v>
      </c>
      <c r="H586" s="407" t="s">
        <v>4317</v>
      </c>
      <c r="I586" s="407" t="s">
        <v>3796</v>
      </c>
      <c r="J586" s="387" t="s">
        <v>4650</v>
      </c>
      <c r="K586" s="387">
        <v>1</v>
      </c>
      <c r="L586" s="387">
        <v>0</v>
      </c>
      <c r="M586" s="387">
        <f t="shared" si="32"/>
        <v>1</v>
      </c>
      <c r="N586" s="442">
        <f t="shared" si="33"/>
        <v>0</v>
      </c>
      <c r="O586" s="387" t="s">
        <v>1358</v>
      </c>
      <c r="P586" s="459">
        <v>0</v>
      </c>
      <c r="Q586" s="459"/>
      <c r="R586" s="456">
        <v>0</v>
      </c>
      <c r="S586" s="456">
        <v>77.316000000000003</v>
      </c>
      <c r="T586" s="410"/>
      <c r="U586" s="411">
        <v>1</v>
      </c>
      <c r="V586" s="411">
        <v>1</v>
      </c>
      <c r="W586" s="411">
        <v>1</v>
      </c>
      <c r="X586" s="411"/>
      <c r="Y586" s="411"/>
      <c r="Z586" s="412">
        <f t="shared" si="34"/>
        <v>0</v>
      </c>
      <c r="AA586" s="456">
        <f t="shared" si="35"/>
        <v>0</v>
      </c>
      <c r="AB586" s="456">
        <v>0</v>
      </c>
      <c r="AC586" s="2"/>
      <c r="AD586" s="4"/>
      <c r="AE586" s="5"/>
      <c r="AF586" s="428"/>
    </row>
    <row r="587" spans="1:32" x14ac:dyDescent="0.25">
      <c r="A587" s="1" t="s">
        <v>3030</v>
      </c>
      <c r="B587" s="3" t="s">
        <v>1368</v>
      </c>
      <c r="C587" s="3" t="s">
        <v>1247</v>
      </c>
      <c r="D587" s="407" t="s">
        <v>1377</v>
      </c>
      <c r="E587" s="3" t="s">
        <v>2339</v>
      </c>
      <c r="F587" s="407" t="s">
        <v>4494</v>
      </c>
      <c r="G587" s="440" t="s">
        <v>4109</v>
      </c>
      <c r="H587" s="407" t="s">
        <v>4315</v>
      </c>
      <c r="I587" s="407" t="s">
        <v>3749</v>
      </c>
      <c r="J587" s="387" t="s">
        <v>4648</v>
      </c>
      <c r="K587" s="387">
        <v>1</v>
      </c>
      <c r="L587" s="387">
        <v>0</v>
      </c>
      <c r="M587" s="387">
        <f t="shared" si="32"/>
        <v>1</v>
      </c>
      <c r="N587" s="442">
        <f t="shared" si="33"/>
        <v>0</v>
      </c>
      <c r="O587" s="387" t="s">
        <v>1358</v>
      </c>
      <c r="P587" s="459">
        <v>0</v>
      </c>
      <c r="Q587" s="459"/>
      <c r="R587" s="456">
        <v>0</v>
      </c>
      <c r="S587" s="456">
        <v>121.925</v>
      </c>
      <c r="T587" s="410"/>
      <c r="U587" s="411">
        <v>1</v>
      </c>
      <c r="V587" s="411">
        <v>1</v>
      </c>
      <c r="W587" s="411">
        <v>1</v>
      </c>
      <c r="X587" s="411"/>
      <c r="Y587" s="411"/>
      <c r="Z587" s="412">
        <f t="shared" si="34"/>
        <v>0</v>
      </c>
      <c r="AA587" s="456">
        <f t="shared" si="35"/>
        <v>0</v>
      </c>
      <c r="AB587" s="456">
        <v>0</v>
      </c>
      <c r="AC587" s="2"/>
      <c r="AD587" s="4"/>
      <c r="AE587" s="5"/>
      <c r="AF587" s="428"/>
    </row>
    <row r="588" spans="1:32" x14ac:dyDescent="0.25">
      <c r="A588" s="1" t="s">
        <v>3031</v>
      </c>
      <c r="B588" s="3" t="s">
        <v>1368</v>
      </c>
      <c r="C588" s="3" t="s">
        <v>1247</v>
      </c>
      <c r="D588" s="407" t="s">
        <v>1379</v>
      </c>
      <c r="E588" s="3" t="s">
        <v>2340</v>
      </c>
      <c r="F588" s="407" t="s">
        <v>4502</v>
      </c>
      <c r="G588" s="440" t="s">
        <v>4109</v>
      </c>
      <c r="H588" s="407" t="s">
        <v>4323</v>
      </c>
      <c r="I588" s="407" t="s">
        <v>3750</v>
      </c>
      <c r="J588" s="387" t="s">
        <v>4666</v>
      </c>
      <c r="K588" s="387">
        <v>1</v>
      </c>
      <c r="L588" s="387">
        <v>0</v>
      </c>
      <c r="M588" s="387">
        <f t="shared" si="32"/>
        <v>1</v>
      </c>
      <c r="N588" s="442">
        <f t="shared" si="33"/>
        <v>0</v>
      </c>
      <c r="O588" s="387" t="s">
        <v>1358</v>
      </c>
      <c r="P588" s="459">
        <v>0</v>
      </c>
      <c r="Q588" s="459"/>
      <c r="R588" s="456">
        <v>0</v>
      </c>
      <c r="S588" s="456">
        <v>243.851</v>
      </c>
      <c r="T588" s="410"/>
      <c r="U588" s="411">
        <v>1</v>
      </c>
      <c r="V588" s="411">
        <v>1</v>
      </c>
      <c r="W588" s="411">
        <v>1</v>
      </c>
      <c r="X588" s="411"/>
      <c r="Y588" s="411"/>
      <c r="Z588" s="412">
        <f t="shared" si="34"/>
        <v>0</v>
      </c>
      <c r="AA588" s="456">
        <f t="shared" si="35"/>
        <v>0</v>
      </c>
      <c r="AB588" s="456">
        <v>0</v>
      </c>
      <c r="AC588" s="2"/>
      <c r="AD588" s="4"/>
      <c r="AE588" s="5"/>
      <c r="AF588" s="428"/>
    </row>
    <row r="589" spans="1:32" x14ac:dyDescent="0.25">
      <c r="A589" s="1" t="s">
        <v>3032</v>
      </c>
      <c r="B589" s="3" t="s">
        <v>1368</v>
      </c>
      <c r="C589" s="3" t="s">
        <v>1247</v>
      </c>
      <c r="D589" s="407" t="s">
        <v>1381</v>
      </c>
      <c r="E589" s="3" t="s">
        <v>2341</v>
      </c>
      <c r="F589" s="407" t="s">
        <v>4497</v>
      </c>
      <c r="G589" s="440" t="s">
        <v>4109</v>
      </c>
      <c r="H589" s="407" t="s">
        <v>4318</v>
      </c>
      <c r="I589" s="407" t="s">
        <v>3751</v>
      </c>
      <c r="J589" s="387" t="s">
        <v>4631</v>
      </c>
      <c r="K589" s="387">
        <v>1</v>
      </c>
      <c r="L589" s="387">
        <v>0</v>
      </c>
      <c r="M589" s="387">
        <f t="shared" si="32"/>
        <v>1</v>
      </c>
      <c r="N589" s="442">
        <f t="shared" si="33"/>
        <v>0</v>
      </c>
      <c r="O589" s="387" t="s">
        <v>1358</v>
      </c>
      <c r="P589" s="459">
        <v>0</v>
      </c>
      <c r="Q589" s="459"/>
      <c r="R589" s="456">
        <v>0</v>
      </c>
      <c r="S589" s="456">
        <v>121.718</v>
      </c>
      <c r="T589" s="410"/>
      <c r="U589" s="411">
        <v>1</v>
      </c>
      <c r="V589" s="411">
        <v>1</v>
      </c>
      <c r="W589" s="411">
        <v>1</v>
      </c>
      <c r="X589" s="411"/>
      <c r="Y589" s="411"/>
      <c r="Z589" s="412">
        <f t="shared" si="34"/>
        <v>0</v>
      </c>
      <c r="AA589" s="456">
        <f t="shared" si="35"/>
        <v>0</v>
      </c>
      <c r="AB589" s="456">
        <v>0</v>
      </c>
      <c r="AC589" s="2"/>
      <c r="AD589" s="4"/>
      <c r="AE589" s="5"/>
      <c r="AF589" s="428"/>
    </row>
    <row r="590" spans="1:32" x14ac:dyDescent="0.25">
      <c r="A590" s="1" t="s">
        <v>3033</v>
      </c>
      <c r="B590" s="3" t="s">
        <v>1368</v>
      </c>
      <c r="C590" s="3" t="s">
        <v>1247</v>
      </c>
      <c r="D590" s="407" t="s">
        <v>1374</v>
      </c>
      <c r="E590" s="3" t="s">
        <v>2342</v>
      </c>
      <c r="F590" s="407" t="s">
        <v>4495</v>
      </c>
      <c r="G590" s="440" t="s">
        <v>4109</v>
      </c>
      <c r="H590" s="407" t="s">
        <v>4316</v>
      </c>
      <c r="I590" s="407" t="s">
        <v>3757</v>
      </c>
      <c r="J590" s="387" t="s">
        <v>4649</v>
      </c>
      <c r="K590" s="387">
        <v>1</v>
      </c>
      <c r="L590" s="387">
        <v>0</v>
      </c>
      <c r="M590" s="387">
        <f t="shared" ref="M590:M653" si="36">K590+L590</f>
        <v>1</v>
      </c>
      <c r="N590" s="442">
        <f t="shared" ref="N590:N653" si="37">K590*Z590</f>
        <v>0</v>
      </c>
      <c r="O590" s="387" t="s">
        <v>1358</v>
      </c>
      <c r="P590" s="459">
        <v>0</v>
      </c>
      <c r="Q590" s="459"/>
      <c r="R590" s="456">
        <v>0</v>
      </c>
      <c r="S590" s="456">
        <v>77.316000000000003</v>
      </c>
      <c r="T590" s="410"/>
      <c r="U590" s="411">
        <v>1</v>
      </c>
      <c r="V590" s="411">
        <v>1</v>
      </c>
      <c r="W590" s="411">
        <v>1</v>
      </c>
      <c r="X590" s="411"/>
      <c r="Y590" s="411"/>
      <c r="Z590" s="412">
        <f t="shared" ref="Z590:Z653" si="38">AA590/S590</f>
        <v>0</v>
      </c>
      <c r="AA590" s="456">
        <f t="shared" ref="AA590:AA653" si="39">(U590*U$368*S590)+(V590*V$368*S590)+(W590*W$368*S590)</f>
        <v>0</v>
      </c>
      <c r="AB590" s="456">
        <v>0</v>
      </c>
      <c r="AC590" s="2"/>
      <c r="AD590" s="4"/>
      <c r="AE590" s="5"/>
      <c r="AF590" s="428"/>
    </row>
    <row r="591" spans="1:32" x14ac:dyDescent="0.25">
      <c r="A591" s="1" t="s">
        <v>3034</v>
      </c>
      <c r="B591" s="3" t="s">
        <v>1368</v>
      </c>
      <c r="C591" s="3" t="s">
        <v>1247</v>
      </c>
      <c r="D591" s="407" t="s">
        <v>1432</v>
      </c>
      <c r="E591" s="3" t="s">
        <v>2343</v>
      </c>
      <c r="F591" s="407" t="s">
        <v>4483</v>
      </c>
      <c r="G591" s="440" t="s">
        <v>4109</v>
      </c>
      <c r="H591" s="407" t="s">
        <v>4304</v>
      </c>
      <c r="I591" s="407" t="s">
        <v>3785</v>
      </c>
      <c r="J591" s="387" t="s">
        <v>4635</v>
      </c>
      <c r="K591" s="387">
        <v>1</v>
      </c>
      <c r="L591" s="387">
        <v>0</v>
      </c>
      <c r="M591" s="387">
        <f t="shared" si="36"/>
        <v>1</v>
      </c>
      <c r="N591" s="442">
        <f t="shared" si="37"/>
        <v>0</v>
      </c>
      <c r="O591" s="387" t="s">
        <v>1358</v>
      </c>
      <c r="P591" s="459">
        <v>0</v>
      </c>
      <c r="Q591" s="459"/>
      <c r="R591" s="456">
        <v>0</v>
      </c>
      <c r="S591" s="456">
        <v>75.204999999999998</v>
      </c>
      <c r="T591" s="410"/>
      <c r="U591" s="411">
        <v>0</v>
      </c>
      <c r="V591" s="411">
        <v>0</v>
      </c>
      <c r="W591" s="411">
        <v>0</v>
      </c>
      <c r="X591" s="411"/>
      <c r="Y591" s="411"/>
      <c r="Z591" s="412">
        <f t="shared" si="38"/>
        <v>0</v>
      </c>
      <c r="AA591" s="456">
        <f t="shared" si="39"/>
        <v>0</v>
      </c>
      <c r="AB591" s="456">
        <v>0</v>
      </c>
      <c r="AC591" s="2"/>
      <c r="AD591" s="4"/>
      <c r="AE591" s="5"/>
      <c r="AF591" s="428"/>
    </row>
    <row r="592" spans="1:32" x14ac:dyDescent="0.25">
      <c r="A592" s="1" t="s">
        <v>3035</v>
      </c>
      <c r="B592" s="3" t="s">
        <v>1368</v>
      </c>
      <c r="C592" s="3" t="s">
        <v>1247</v>
      </c>
      <c r="D592" s="407" t="s">
        <v>1433</v>
      </c>
      <c r="E592" s="3" t="s">
        <v>2344</v>
      </c>
      <c r="F592" s="407" t="s">
        <v>4490</v>
      </c>
      <c r="G592" s="440" t="s">
        <v>4109</v>
      </c>
      <c r="H592" s="407" t="s">
        <v>4311</v>
      </c>
      <c r="I592" s="407" t="s">
        <v>3792</v>
      </c>
      <c r="J592" s="387" t="s">
        <v>4644</v>
      </c>
      <c r="K592" s="387">
        <v>1</v>
      </c>
      <c r="L592" s="387">
        <v>0</v>
      </c>
      <c r="M592" s="387">
        <f t="shared" si="36"/>
        <v>1</v>
      </c>
      <c r="N592" s="442">
        <f t="shared" si="37"/>
        <v>0</v>
      </c>
      <c r="O592" s="387" t="s">
        <v>1358</v>
      </c>
      <c r="P592" s="459">
        <v>0</v>
      </c>
      <c r="Q592" s="459"/>
      <c r="R592" s="456">
        <v>0</v>
      </c>
      <c r="S592" s="456">
        <v>13.833</v>
      </c>
      <c r="T592" s="410"/>
      <c r="U592" s="411">
        <v>0</v>
      </c>
      <c r="V592" s="411">
        <v>0</v>
      </c>
      <c r="W592" s="411">
        <v>0</v>
      </c>
      <c r="X592" s="411"/>
      <c r="Y592" s="411"/>
      <c r="Z592" s="412">
        <f t="shared" si="38"/>
        <v>0</v>
      </c>
      <c r="AA592" s="456">
        <f t="shared" si="39"/>
        <v>0</v>
      </c>
      <c r="AB592" s="456">
        <v>0</v>
      </c>
      <c r="AC592" s="2"/>
      <c r="AD592" s="4"/>
      <c r="AE592" s="5"/>
      <c r="AF592" s="428"/>
    </row>
    <row r="593" spans="1:32" x14ac:dyDescent="0.25">
      <c r="A593" s="1" t="s">
        <v>3036</v>
      </c>
      <c r="B593" s="3" t="s">
        <v>1368</v>
      </c>
      <c r="C593" s="3" t="s">
        <v>1247</v>
      </c>
      <c r="D593" s="407" t="s">
        <v>1430</v>
      </c>
      <c r="E593" s="3" t="s">
        <v>2345</v>
      </c>
      <c r="F593" s="407" t="s">
        <v>4488</v>
      </c>
      <c r="G593" s="440" t="s">
        <v>4109</v>
      </c>
      <c r="H593" s="407" t="s">
        <v>4309</v>
      </c>
      <c r="I593" s="407" t="s">
        <v>3790</v>
      </c>
      <c r="J593" s="387" t="s">
        <v>4641</v>
      </c>
      <c r="K593" s="387">
        <v>1</v>
      </c>
      <c r="L593" s="387">
        <v>0</v>
      </c>
      <c r="M593" s="387">
        <f t="shared" si="36"/>
        <v>1</v>
      </c>
      <c r="N593" s="442">
        <f t="shared" si="37"/>
        <v>0</v>
      </c>
      <c r="O593" s="387" t="s">
        <v>1358</v>
      </c>
      <c r="P593" s="459">
        <v>0</v>
      </c>
      <c r="Q593" s="459"/>
      <c r="R593" s="456">
        <v>0</v>
      </c>
      <c r="S593" s="456">
        <v>90.286000000000001</v>
      </c>
      <c r="T593" s="410"/>
      <c r="U593" s="411">
        <v>0</v>
      </c>
      <c r="V593" s="411">
        <v>0</v>
      </c>
      <c r="W593" s="411">
        <v>0</v>
      </c>
      <c r="X593" s="411"/>
      <c r="Y593" s="411"/>
      <c r="Z593" s="412">
        <f t="shared" si="38"/>
        <v>0</v>
      </c>
      <c r="AA593" s="456">
        <f t="shared" si="39"/>
        <v>0</v>
      </c>
      <c r="AB593" s="456">
        <v>0</v>
      </c>
      <c r="AC593" s="2"/>
      <c r="AD593" s="4"/>
      <c r="AE593" s="5"/>
      <c r="AF593" s="428"/>
    </row>
    <row r="594" spans="1:32" x14ac:dyDescent="0.25">
      <c r="A594" s="1" t="s">
        <v>3037</v>
      </c>
      <c r="B594" s="3" t="s">
        <v>1368</v>
      </c>
      <c r="C594" s="3" t="s">
        <v>1247</v>
      </c>
      <c r="D594" s="407" t="s">
        <v>1431</v>
      </c>
      <c r="E594" s="3" t="s">
        <v>2346</v>
      </c>
      <c r="F594" s="407" t="s">
        <v>4489</v>
      </c>
      <c r="G594" s="440" t="s">
        <v>4109</v>
      </c>
      <c r="H594" s="407" t="s">
        <v>4310</v>
      </c>
      <c r="I594" s="407" t="s">
        <v>3791</v>
      </c>
      <c r="J594" s="387" t="s">
        <v>4642</v>
      </c>
      <c r="K594" s="387">
        <v>1</v>
      </c>
      <c r="L594" s="387">
        <v>0</v>
      </c>
      <c r="M594" s="387">
        <f t="shared" si="36"/>
        <v>1</v>
      </c>
      <c r="N594" s="442">
        <f t="shared" si="37"/>
        <v>0</v>
      </c>
      <c r="O594" s="387" t="s">
        <v>1358</v>
      </c>
      <c r="P594" s="459">
        <v>0</v>
      </c>
      <c r="Q594" s="459"/>
      <c r="R594" s="456">
        <v>0</v>
      </c>
      <c r="S594" s="456">
        <v>75.204999999999998</v>
      </c>
      <c r="T594" s="410"/>
      <c r="U594" s="411">
        <v>0</v>
      </c>
      <c r="V594" s="411">
        <v>0</v>
      </c>
      <c r="W594" s="411">
        <v>0</v>
      </c>
      <c r="X594" s="411"/>
      <c r="Y594" s="411"/>
      <c r="Z594" s="412">
        <f t="shared" si="38"/>
        <v>0</v>
      </c>
      <c r="AA594" s="456">
        <f t="shared" si="39"/>
        <v>0</v>
      </c>
      <c r="AB594" s="456">
        <v>0</v>
      </c>
      <c r="AC594" s="2"/>
      <c r="AD594" s="4"/>
      <c r="AE594" s="5"/>
      <c r="AF594" s="428"/>
    </row>
    <row r="595" spans="1:32" x14ac:dyDescent="0.25">
      <c r="A595" s="1" t="s">
        <v>3038</v>
      </c>
      <c r="B595" s="3" t="s">
        <v>1368</v>
      </c>
      <c r="C595" s="3" t="s">
        <v>1247</v>
      </c>
      <c r="D595" s="407" t="s">
        <v>1396</v>
      </c>
      <c r="E595" s="3" t="s">
        <v>2347</v>
      </c>
      <c r="F595" s="407" t="s">
        <v>4498</v>
      </c>
      <c r="G595" s="440" t="s">
        <v>4109</v>
      </c>
      <c r="H595" s="407" t="s">
        <v>4319</v>
      </c>
      <c r="I595" s="407" t="s">
        <v>3752</v>
      </c>
      <c r="J595" s="387" t="s">
        <v>4652</v>
      </c>
      <c r="K595" s="387">
        <v>1</v>
      </c>
      <c r="L595" s="387">
        <v>0</v>
      </c>
      <c r="M595" s="387">
        <f t="shared" si="36"/>
        <v>1</v>
      </c>
      <c r="N595" s="442">
        <f t="shared" si="37"/>
        <v>0</v>
      </c>
      <c r="O595" s="387" t="s">
        <v>1358</v>
      </c>
      <c r="P595" s="459">
        <v>0</v>
      </c>
      <c r="Q595" s="459"/>
      <c r="R595" s="456">
        <v>0</v>
      </c>
      <c r="S595" s="456">
        <v>13.44</v>
      </c>
      <c r="T595" s="410"/>
      <c r="U595" s="411">
        <v>1</v>
      </c>
      <c r="V595" s="411">
        <v>1</v>
      </c>
      <c r="W595" s="411">
        <v>1</v>
      </c>
      <c r="X595" s="411"/>
      <c r="Y595" s="411"/>
      <c r="Z595" s="412">
        <f t="shared" si="38"/>
        <v>0</v>
      </c>
      <c r="AA595" s="456">
        <f t="shared" si="39"/>
        <v>0</v>
      </c>
      <c r="AB595" s="456">
        <v>0</v>
      </c>
      <c r="AC595" s="2"/>
      <c r="AD595" s="4"/>
      <c r="AE595" s="5"/>
      <c r="AF595" s="428"/>
    </row>
    <row r="596" spans="1:32" x14ac:dyDescent="0.25">
      <c r="A596" s="1" t="s">
        <v>3039</v>
      </c>
      <c r="B596" s="3" t="s">
        <v>1368</v>
      </c>
      <c r="C596" s="3" t="s">
        <v>1247</v>
      </c>
      <c r="D596" s="407" t="s">
        <v>1399</v>
      </c>
      <c r="E596" s="3" t="s">
        <v>2348</v>
      </c>
      <c r="F596" s="407" t="s">
        <v>4499</v>
      </c>
      <c r="G596" s="440" t="s">
        <v>4109</v>
      </c>
      <c r="H596" s="407" t="s">
        <v>4320</v>
      </c>
      <c r="I596" s="407" t="s">
        <v>3758</v>
      </c>
      <c r="J596" s="387" t="s">
        <v>4653</v>
      </c>
      <c r="K596" s="387">
        <v>1</v>
      </c>
      <c r="L596" s="387">
        <v>0</v>
      </c>
      <c r="M596" s="387">
        <f t="shared" si="36"/>
        <v>1</v>
      </c>
      <c r="N596" s="442">
        <f t="shared" si="37"/>
        <v>0</v>
      </c>
      <c r="O596" s="387" t="s">
        <v>1358</v>
      </c>
      <c r="P596" s="459">
        <v>0</v>
      </c>
      <c r="Q596" s="459"/>
      <c r="R596" s="456">
        <v>0</v>
      </c>
      <c r="S596" s="456">
        <v>13.44</v>
      </c>
      <c r="T596" s="410"/>
      <c r="U596" s="411">
        <v>1</v>
      </c>
      <c r="V596" s="411">
        <v>1</v>
      </c>
      <c r="W596" s="411">
        <v>1</v>
      </c>
      <c r="X596" s="411"/>
      <c r="Y596" s="411"/>
      <c r="Z596" s="412">
        <f t="shared" si="38"/>
        <v>0</v>
      </c>
      <c r="AA596" s="456">
        <f t="shared" si="39"/>
        <v>0</v>
      </c>
      <c r="AB596" s="456">
        <v>0</v>
      </c>
      <c r="AC596" s="2"/>
      <c r="AD596" s="4"/>
      <c r="AE596" s="5"/>
      <c r="AF596" s="428"/>
    </row>
    <row r="597" spans="1:32" x14ac:dyDescent="0.25">
      <c r="A597" s="1" t="s">
        <v>3040</v>
      </c>
      <c r="B597" s="3" t="s">
        <v>1368</v>
      </c>
      <c r="C597" s="3" t="s">
        <v>1247</v>
      </c>
      <c r="D597" s="407" t="s">
        <v>3291</v>
      </c>
      <c r="E597" s="3" t="s">
        <v>2349</v>
      </c>
      <c r="F597" s="407" t="s">
        <v>4476</v>
      </c>
      <c r="G597" s="440" t="s">
        <v>4109</v>
      </c>
      <c r="H597" s="407" t="s">
        <v>4297</v>
      </c>
      <c r="I597" s="407" t="s">
        <v>3753</v>
      </c>
      <c r="J597" s="387" t="s">
        <v>4651</v>
      </c>
      <c r="K597" s="387">
        <v>1</v>
      </c>
      <c r="L597" s="387">
        <v>0</v>
      </c>
      <c r="M597" s="387">
        <f t="shared" si="36"/>
        <v>1</v>
      </c>
      <c r="N597" s="442">
        <f t="shared" si="37"/>
        <v>0</v>
      </c>
      <c r="O597" s="387" t="s">
        <v>1358</v>
      </c>
      <c r="P597" s="459">
        <v>0</v>
      </c>
      <c r="Q597" s="459"/>
      <c r="R597" s="456">
        <v>0</v>
      </c>
      <c r="S597" s="456">
        <v>118.822</v>
      </c>
      <c r="T597" s="410"/>
      <c r="U597" s="411">
        <v>1</v>
      </c>
      <c r="V597" s="411">
        <v>1</v>
      </c>
      <c r="W597" s="411">
        <v>1</v>
      </c>
      <c r="X597" s="411"/>
      <c r="Y597" s="411"/>
      <c r="Z597" s="412">
        <f t="shared" si="38"/>
        <v>0</v>
      </c>
      <c r="AA597" s="456">
        <f t="shared" si="39"/>
        <v>0</v>
      </c>
      <c r="AB597" s="456">
        <v>0</v>
      </c>
      <c r="AC597" s="2"/>
      <c r="AD597" s="4"/>
      <c r="AE597" s="5"/>
      <c r="AF597" s="428"/>
    </row>
    <row r="598" spans="1:32" x14ac:dyDescent="0.25">
      <c r="A598" s="1" t="s">
        <v>3041</v>
      </c>
      <c r="B598" s="3" t="s">
        <v>1368</v>
      </c>
      <c r="C598" s="3" t="s">
        <v>1247</v>
      </c>
      <c r="D598" s="407" t="s">
        <v>3293</v>
      </c>
      <c r="E598" s="3" t="s">
        <v>2350</v>
      </c>
      <c r="F598" s="407" t="s">
        <v>4503</v>
      </c>
      <c r="G598" s="440" t="s">
        <v>4109</v>
      </c>
      <c r="H598" s="407" t="s">
        <v>4324</v>
      </c>
      <c r="I598" s="407" t="s">
        <v>3798</v>
      </c>
      <c r="J598" s="387" t="s">
        <v>4658</v>
      </c>
      <c r="K598" s="387">
        <v>1</v>
      </c>
      <c r="L598" s="387">
        <v>0</v>
      </c>
      <c r="M598" s="387">
        <f t="shared" si="36"/>
        <v>1</v>
      </c>
      <c r="N598" s="442">
        <f t="shared" si="37"/>
        <v>0</v>
      </c>
      <c r="O598" s="387" t="s">
        <v>1358</v>
      </c>
      <c r="P598" s="459">
        <v>0</v>
      </c>
      <c r="Q598" s="459"/>
      <c r="R598" s="456">
        <v>0</v>
      </c>
      <c r="S598" s="456">
        <v>75.204999999999998</v>
      </c>
      <c r="T598" s="410"/>
      <c r="U598" s="411">
        <v>1</v>
      </c>
      <c r="V598" s="411">
        <v>1</v>
      </c>
      <c r="W598" s="411">
        <v>1</v>
      </c>
      <c r="X598" s="411"/>
      <c r="Y598" s="411"/>
      <c r="Z598" s="412">
        <f t="shared" si="38"/>
        <v>0</v>
      </c>
      <c r="AA598" s="456">
        <f t="shared" si="39"/>
        <v>0</v>
      </c>
      <c r="AB598" s="456">
        <v>0</v>
      </c>
      <c r="AC598" s="2"/>
      <c r="AD598" s="4"/>
      <c r="AE598" s="5"/>
      <c r="AF598" s="428"/>
    </row>
    <row r="599" spans="1:32" x14ac:dyDescent="0.25">
      <c r="A599" s="1" t="s">
        <v>3042</v>
      </c>
      <c r="B599" s="3" t="s">
        <v>1368</v>
      </c>
      <c r="C599" s="3" t="s">
        <v>1247</v>
      </c>
      <c r="D599" s="407" t="s">
        <v>1398</v>
      </c>
      <c r="E599" s="3" t="s">
        <v>2351</v>
      </c>
      <c r="F599" s="407" t="s">
        <v>4496</v>
      </c>
      <c r="G599" s="440" t="s">
        <v>4109</v>
      </c>
      <c r="H599" s="407" t="s">
        <v>4317</v>
      </c>
      <c r="I599" s="407" t="s">
        <v>3796</v>
      </c>
      <c r="J599" s="387" t="s">
        <v>4771</v>
      </c>
      <c r="K599" s="387">
        <v>1</v>
      </c>
      <c r="L599" s="387">
        <v>0</v>
      </c>
      <c r="M599" s="387">
        <f t="shared" si="36"/>
        <v>1</v>
      </c>
      <c r="N599" s="442">
        <f t="shared" si="37"/>
        <v>0</v>
      </c>
      <c r="O599" s="387" t="s">
        <v>1358</v>
      </c>
      <c r="P599" s="459">
        <v>0</v>
      </c>
      <c r="Q599" s="459"/>
      <c r="R599" s="456">
        <v>0</v>
      </c>
      <c r="S599" s="456">
        <v>77.316000000000003</v>
      </c>
      <c r="T599" s="410"/>
      <c r="U599" s="411">
        <v>1</v>
      </c>
      <c r="V599" s="411">
        <v>1</v>
      </c>
      <c r="W599" s="411">
        <v>1</v>
      </c>
      <c r="X599" s="411"/>
      <c r="Y599" s="411"/>
      <c r="Z599" s="412">
        <f t="shared" si="38"/>
        <v>0</v>
      </c>
      <c r="AA599" s="456">
        <f t="shared" si="39"/>
        <v>0</v>
      </c>
      <c r="AB599" s="456">
        <v>0</v>
      </c>
      <c r="AC599" s="2"/>
      <c r="AD599" s="4"/>
      <c r="AE599" s="5"/>
      <c r="AF599" s="428"/>
    </row>
    <row r="600" spans="1:32" x14ac:dyDescent="0.25">
      <c r="A600" s="1" t="s">
        <v>3043</v>
      </c>
      <c r="B600" s="3" t="s">
        <v>1368</v>
      </c>
      <c r="C600" s="3" t="s">
        <v>1247</v>
      </c>
      <c r="D600" s="407" t="s">
        <v>1374</v>
      </c>
      <c r="E600" s="3" t="s">
        <v>2352</v>
      </c>
      <c r="F600" s="407" t="s">
        <v>4495</v>
      </c>
      <c r="G600" s="440" t="s">
        <v>4109</v>
      </c>
      <c r="H600" s="407" t="s">
        <v>4316</v>
      </c>
      <c r="I600" s="407" t="s">
        <v>3757</v>
      </c>
      <c r="J600" s="387" t="s">
        <v>4649</v>
      </c>
      <c r="K600" s="387">
        <v>2</v>
      </c>
      <c r="L600" s="387">
        <v>0</v>
      </c>
      <c r="M600" s="387">
        <f t="shared" si="36"/>
        <v>2</v>
      </c>
      <c r="N600" s="442">
        <f t="shared" si="37"/>
        <v>0</v>
      </c>
      <c r="O600" s="387" t="s">
        <v>1358</v>
      </c>
      <c r="P600" s="459">
        <v>0</v>
      </c>
      <c r="Q600" s="459"/>
      <c r="R600" s="456">
        <v>0</v>
      </c>
      <c r="S600" s="456">
        <v>77</v>
      </c>
      <c r="T600" s="410"/>
      <c r="U600" s="411">
        <v>1</v>
      </c>
      <c r="V600" s="411">
        <v>1</v>
      </c>
      <c r="W600" s="411">
        <v>1</v>
      </c>
      <c r="X600" s="411"/>
      <c r="Y600" s="411"/>
      <c r="Z600" s="412">
        <f t="shared" si="38"/>
        <v>0</v>
      </c>
      <c r="AA600" s="456">
        <f>(U600*U$368*S600)+(V600*V$368*S600)+(W600*W$368*S600)</f>
        <v>0</v>
      </c>
      <c r="AB600" s="456">
        <v>0</v>
      </c>
      <c r="AC600" s="2"/>
      <c r="AD600" s="4"/>
      <c r="AE600" s="5"/>
      <c r="AF600" s="428"/>
    </row>
    <row r="601" spans="1:32" x14ac:dyDescent="0.25">
      <c r="A601" s="1" t="s">
        <v>3044</v>
      </c>
      <c r="B601" s="3" t="s">
        <v>1368</v>
      </c>
      <c r="C601" s="3" t="s">
        <v>1247</v>
      </c>
      <c r="D601" s="407" t="s">
        <v>1377</v>
      </c>
      <c r="E601" s="3" t="s">
        <v>2353</v>
      </c>
      <c r="F601" s="407" t="s">
        <v>4494</v>
      </c>
      <c r="G601" s="440" t="s">
        <v>4109</v>
      </c>
      <c r="H601" s="407" t="s">
        <v>4315</v>
      </c>
      <c r="I601" s="407" t="s">
        <v>3749</v>
      </c>
      <c r="J601" s="387" t="s">
        <v>4648</v>
      </c>
      <c r="K601" s="387">
        <v>1</v>
      </c>
      <c r="L601" s="387">
        <v>0</v>
      </c>
      <c r="M601" s="387">
        <f t="shared" si="36"/>
        <v>1</v>
      </c>
      <c r="N601" s="442">
        <f t="shared" si="37"/>
        <v>0</v>
      </c>
      <c r="O601" s="387" t="s">
        <v>1358</v>
      </c>
      <c r="P601" s="459">
        <v>0</v>
      </c>
      <c r="Q601" s="459"/>
      <c r="R601" s="456">
        <v>0</v>
      </c>
      <c r="S601" s="456">
        <v>121.925</v>
      </c>
      <c r="T601" s="410"/>
      <c r="U601" s="411">
        <v>1</v>
      </c>
      <c r="V601" s="411">
        <v>1</v>
      </c>
      <c r="W601" s="411">
        <v>1</v>
      </c>
      <c r="X601" s="411"/>
      <c r="Y601" s="411"/>
      <c r="Z601" s="412">
        <f t="shared" si="38"/>
        <v>0</v>
      </c>
      <c r="AA601" s="456">
        <f t="shared" si="39"/>
        <v>0</v>
      </c>
      <c r="AB601" s="456">
        <v>0</v>
      </c>
      <c r="AC601" s="2"/>
      <c r="AD601" s="4"/>
      <c r="AE601" s="5"/>
      <c r="AF601" s="428"/>
    </row>
    <row r="602" spans="1:32" x14ac:dyDescent="0.25">
      <c r="A602" s="1" t="s">
        <v>3045</v>
      </c>
      <c r="B602" s="3" t="s">
        <v>1368</v>
      </c>
      <c r="C602" s="3" t="s">
        <v>1247</v>
      </c>
      <c r="D602" s="407" t="s">
        <v>1379</v>
      </c>
      <c r="E602" s="3" t="s">
        <v>2354</v>
      </c>
      <c r="F602" s="407" t="s">
        <v>4502</v>
      </c>
      <c r="G602" s="440" t="s">
        <v>4109</v>
      </c>
      <c r="H602" s="407" t="s">
        <v>4323</v>
      </c>
      <c r="I602" s="407" t="s">
        <v>3750</v>
      </c>
      <c r="J602" s="387" t="s">
        <v>4632</v>
      </c>
      <c r="K602" s="387">
        <v>1</v>
      </c>
      <c r="L602" s="387">
        <v>0</v>
      </c>
      <c r="M602" s="387">
        <f t="shared" si="36"/>
        <v>1</v>
      </c>
      <c r="N602" s="442">
        <f t="shared" si="37"/>
        <v>0</v>
      </c>
      <c r="O602" s="387" t="s">
        <v>1358</v>
      </c>
      <c r="P602" s="459">
        <v>0</v>
      </c>
      <c r="Q602" s="459"/>
      <c r="R602" s="456">
        <v>0</v>
      </c>
      <c r="S602" s="456">
        <v>121.925</v>
      </c>
      <c r="T602" s="410"/>
      <c r="U602" s="411">
        <v>1</v>
      </c>
      <c r="V602" s="411">
        <v>1</v>
      </c>
      <c r="W602" s="411">
        <v>1</v>
      </c>
      <c r="X602" s="411"/>
      <c r="Y602" s="411"/>
      <c r="Z602" s="412">
        <f t="shared" si="38"/>
        <v>0</v>
      </c>
      <c r="AA602" s="456">
        <f t="shared" si="39"/>
        <v>0</v>
      </c>
      <c r="AB602" s="456">
        <v>0</v>
      </c>
      <c r="AC602" s="2"/>
      <c r="AD602" s="4"/>
      <c r="AE602" s="5"/>
      <c r="AF602" s="428"/>
    </row>
    <row r="603" spans="1:32" x14ac:dyDescent="0.25">
      <c r="A603" s="1" t="s">
        <v>3046</v>
      </c>
      <c r="B603" s="3" t="s">
        <v>1368</v>
      </c>
      <c r="C603" s="3" t="s">
        <v>1247</v>
      </c>
      <c r="D603" s="407" t="s">
        <v>1381</v>
      </c>
      <c r="E603" s="3" t="s">
        <v>2355</v>
      </c>
      <c r="F603" s="407" t="s">
        <v>4497</v>
      </c>
      <c r="G603" s="440" t="s">
        <v>4109</v>
      </c>
      <c r="H603" s="407" t="s">
        <v>4318</v>
      </c>
      <c r="I603" s="407" t="s">
        <v>3751</v>
      </c>
      <c r="J603" s="387" t="s">
        <v>4631</v>
      </c>
      <c r="K603" s="387">
        <v>1</v>
      </c>
      <c r="L603" s="387">
        <v>0</v>
      </c>
      <c r="M603" s="387">
        <f t="shared" si="36"/>
        <v>1</v>
      </c>
      <c r="N603" s="442">
        <f t="shared" si="37"/>
        <v>0</v>
      </c>
      <c r="O603" s="387" t="s">
        <v>1358</v>
      </c>
      <c r="P603" s="459">
        <v>0</v>
      </c>
      <c r="Q603" s="459"/>
      <c r="R603" s="456">
        <v>0</v>
      </c>
      <c r="S603" s="456">
        <v>121.718</v>
      </c>
      <c r="T603" s="410"/>
      <c r="U603" s="411">
        <v>1</v>
      </c>
      <c r="V603" s="411">
        <v>1</v>
      </c>
      <c r="W603" s="411">
        <v>1</v>
      </c>
      <c r="X603" s="411"/>
      <c r="Y603" s="411"/>
      <c r="Z603" s="412">
        <f t="shared" si="38"/>
        <v>0</v>
      </c>
      <c r="AA603" s="456">
        <f t="shared" si="39"/>
        <v>0</v>
      </c>
      <c r="AB603" s="456">
        <v>0</v>
      </c>
      <c r="AC603" s="2"/>
      <c r="AD603" s="4"/>
      <c r="AE603" s="5"/>
      <c r="AF603" s="428"/>
    </row>
    <row r="604" spans="1:32" x14ac:dyDescent="0.25">
      <c r="A604" s="1" t="s">
        <v>3047</v>
      </c>
      <c r="B604" s="3" t="s">
        <v>1368</v>
      </c>
      <c r="C604" s="3" t="s">
        <v>1247</v>
      </c>
      <c r="D604" s="407" t="s">
        <v>1396</v>
      </c>
      <c r="E604" s="3" t="s">
        <v>2356</v>
      </c>
      <c r="F604" s="407" t="s">
        <v>4498</v>
      </c>
      <c r="G604" s="440" t="s">
        <v>4109</v>
      </c>
      <c r="H604" s="407" t="s">
        <v>4319</v>
      </c>
      <c r="I604" s="407" t="s">
        <v>3752</v>
      </c>
      <c r="J604" s="387" t="s">
        <v>4652</v>
      </c>
      <c r="K604" s="387">
        <v>1</v>
      </c>
      <c r="L604" s="387">
        <v>0</v>
      </c>
      <c r="M604" s="387">
        <f t="shared" si="36"/>
        <v>1</v>
      </c>
      <c r="N604" s="442">
        <f t="shared" si="37"/>
        <v>0</v>
      </c>
      <c r="O604" s="387" t="s">
        <v>1358</v>
      </c>
      <c r="P604" s="459">
        <v>0</v>
      </c>
      <c r="Q604" s="459"/>
      <c r="R604" s="456">
        <v>0</v>
      </c>
      <c r="S604" s="456">
        <v>13.44</v>
      </c>
      <c r="T604" s="410"/>
      <c r="U604" s="411">
        <v>1</v>
      </c>
      <c r="V604" s="411">
        <v>1</v>
      </c>
      <c r="W604" s="411">
        <v>1</v>
      </c>
      <c r="X604" s="411"/>
      <c r="Y604" s="411"/>
      <c r="Z604" s="412">
        <f t="shared" si="38"/>
        <v>0</v>
      </c>
      <c r="AA604" s="456">
        <f t="shared" si="39"/>
        <v>0</v>
      </c>
      <c r="AB604" s="456">
        <v>0</v>
      </c>
      <c r="AC604" s="2"/>
      <c r="AD604" s="4"/>
      <c r="AE604" s="5"/>
      <c r="AF604" s="428"/>
    </row>
    <row r="605" spans="1:32" x14ac:dyDescent="0.25">
      <c r="A605" s="1" t="s">
        <v>3048</v>
      </c>
      <c r="B605" s="3" t="s">
        <v>1368</v>
      </c>
      <c r="C605" s="3" t="s">
        <v>1247</v>
      </c>
      <c r="D605" s="407" t="s">
        <v>1399</v>
      </c>
      <c r="E605" s="3" t="s">
        <v>2357</v>
      </c>
      <c r="F605" s="407" t="s">
        <v>4499</v>
      </c>
      <c r="G605" s="440" t="s">
        <v>4109</v>
      </c>
      <c r="H605" s="407" t="s">
        <v>4320</v>
      </c>
      <c r="I605" s="407" t="s">
        <v>3758</v>
      </c>
      <c r="J605" s="387" t="s">
        <v>4653</v>
      </c>
      <c r="K605" s="387">
        <v>1</v>
      </c>
      <c r="L605" s="387">
        <v>0</v>
      </c>
      <c r="M605" s="387">
        <f t="shared" si="36"/>
        <v>1</v>
      </c>
      <c r="N605" s="442">
        <f t="shared" si="37"/>
        <v>0</v>
      </c>
      <c r="O605" s="387" t="s">
        <v>1358</v>
      </c>
      <c r="P605" s="459">
        <v>0</v>
      </c>
      <c r="Q605" s="459"/>
      <c r="R605" s="456">
        <v>0</v>
      </c>
      <c r="S605" s="456">
        <v>13.44</v>
      </c>
      <c r="T605" s="410"/>
      <c r="U605" s="411">
        <v>1</v>
      </c>
      <c r="V605" s="411">
        <v>1</v>
      </c>
      <c r="W605" s="411">
        <v>1</v>
      </c>
      <c r="X605" s="411"/>
      <c r="Y605" s="411"/>
      <c r="Z605" s="412">
        <f t="shared" si="38"/>
        <v>0</v>
      </c>
      <c r="AA605" s="456">
        <f t="shared" si="39"/>
        <v>0</v>
      </c>
      <c r="AB605" s="456">
        <v>0</v>
      </c>
      <c r="AC605" s="2"/>
      <c r="AD605" s="4"/>
      <c r="AE605" s="5"/>
      <c r="AF605" s="428"/>
    </row>
    <row r="606" spans="1:32" x14ac:dyDescent="0.25">
      <c r="A606" s="1" t="s">
        <v>3049</v>
      </c>
      <c r="B606" s="3" t="s">
        <v>1368</v>
      </c>
      <c r="C606" s="3" t="s">
        <v>1247</v>
      </c>
      <c r="D606" s="407" t="s">
        <v>3306</v>
      </c>
      <c r="E606" s="3" t="s">
        <v>2358</v>
      </c>
      <c r="F606" s="407" t="s">
        <v>4484</v>
      </c>
      <c r="G606" s="440" t="s">
        <v>4109</v>
      </c>
      <c r="H606" s="407" t="s">
        <v>4305</v>
      </c>
      <c r="I606" s="407" t="s">
        <v>3786</v>
      </c>
      <c r="J606" s="387" t="s">
        <v>4636</v>
      </c>
      <c r="K606" s="387">
        <v>1</v>
      </c>
      <c r="L606" s="387">
        <v>0</v>
      </c>
      <c r="M606" s="387">
        <f t="shared" si="36"/>
        <v>1</v>
      </c>
      <c r="N606" s="442">
        <f t="shared" si="37"/>
        <v>0</v>
      </c>
      <c r="O606" s="387" t="s">
        <v>1358</v>
      </c>
      <c r="P606" s="459">
        <v>0</v>
      </c>
      <c r="Q606" s="459"/>
      <c r="R606" s="456">
        <v>0</v>
      </c>
      <c r="S606" s="456">
        <v>46.26</v>
      </c>
      <c r="T606" s="410"/>
      <c r="U606" s="411">
        <v>0</v>
      </c>
      <c r="V606" s="411">
        <v>0</v>
      </c>
      <c r="W606" s="411">
        <v>0</v>
      </c>
      <c r="X606" s="411"/>
      <c r="Y606" s="411"/>
      <c r="Z606" s="412">
        <f t="shared" si="38"/>
        <v>0</v>
      </c>
      <c r="AA606" s="456">
        <f t="shared" si="39"/>
        <v>0</v>
      </c>
      <c r="AB606" s="456">
        <v>0</v>
      </c>
      <c r="AC606" s="2"/>
      <c r="AD606" s="4"/>
      <c r="AE606" s="5"/>
      <c r="AF606" s="428"/>
    </row>
    <row r="607" spans="1:32" x14ac:dyDescent="0.25">
      <c r="A607" s="1" t="s">
        <v>3050</v>
      </c>
      <c r="B607" s="3" t="s">
        <v>1368</v>
      </c>
      <c r="C607" s="3" t="s">
        <v>1247</v>
      </c>
      <c r="D607" s="407" t="s">
        <v>1432</v>
      </c>
      <c r="E607" s="3" t="s">
        <v>2359</v>
      </c>
      <c r="F607" s="407" t="s">
        <v>4483</v>
      </c>
      <c r="G607" s="440" t="s">
        <v>4109</v>
      </c>
      <c r="H607" s="407" t="s">
        <v>4304</v>
      </c>
      <c r="I607" s="407" t="s">
        <v>3785</v>
      </c>
      <c r="J607" s="387" t="s">
        <v>4635</v>
      </c>
      <c r="K607" s="387">
        <v>1</v>
      </c>
      <c r="L607" s="387">
        <v>0</v>
      </c>
      <c r="M607" s="387">
        <f t="shared" si="36"/>
        <v>1</v>
      </c>
      <c r="N607" s="442">
        <f t="shared" si="37"/>
        <v>0</v>
      </c>
      <c r="O607" s="387" t="s">
        <v>1358</v>
      </c>
      <c r="P607" s="459">
        <v>0</v>
      </c>
      <c r="Q607" s="459"/>
      <c r="R607" s="456">
        <v>0</v>
      </c>
      <c r="S607" s="456">
        <v>75.204999999999998</v>
      </c>
      <c r="T607" s="410"/>
      <c r="U607" s="411">
        <v>0</v>
      </c>
      <c r="V607" s="411">
        <v>0</v>
      </c>
      <c r="W607" s="411">
        <v>0</v>
      </c>
      <c r="X607" s="411"/>
      <c r="Y607" s="411"/>
      <c r="Z607" s="412">
        <f t="shared" si="38"/>
        <v>0</v>
      </c>
      <c r="AA607" s="456">
        <f t="shared" si="39"/>
        <v>0</v>
      </c>
      <c r="AB607" s="456">
        <v>0</v>
      </c>
      <c r="AC607" s="2"/>
      <c r="AD607" s="4"/>
      <c r="AE607" s="5"/>
      <c r="AF607" s="428"/>
    </row>
    <row r="608" spans="1:32" x14ac:dyDescent="0.25">
      <c r="A608" s="1" t="s">
        <v>3051</v>
      </c>
      <c r="B608" s="3" t="s">
        <v>1368</v>
      </c>
      <c r="C608" s="3" t="s">
        <v>1247</v>
      </c>
      <c r="D608" s="407" t="s">
        <v>1433</v>
      </c>
      <c r="E608" s="3" t="s">
        <v>2360</v>
      </c>
      <c r="F608" s="407" t="s">
        <v>4490</v>
      </c>
      <c r="G608" s="440" t="s">
        <v>4109</v>
      </c>
      <c r="H608" s="407" t="s">
        <v>4311</v>
      </c>
      <c r="I608" s="407" t="s">
        <v>3792</v>
      </c>
      <c r="J608" s="387" t="s">
        <v>4644</v>
      </c>
      <c r="K608" s="387">
        <v>1</v>
      </c>
      <c r="L608" s="387">
        <v>0</v>
      </c>
      <c r="M608" s="387">
        <f t="shared" si="36"/>
        <v>1</v>
      </c>
      <c r="N608" s="442">
        <f t="shared" si="37"/>
        <v>0</v>
      </c>
      <c r="O608" s="387" t="s">
        <v>1358</v>
      </c>
      <c r="P608" s="459">
        <v>0</v>
      </c>
      <c r="Q608" s="459"/>
      <c r="R608" s="456">
        <v>0</v>
      </c>
      <c r="S608" s="456">
        <v>13.833</v>
      </c>
      <c r="T608" s="410"/>
      <c r="U608" s="411">
        <v>0</v>
      </c>
      <c r="V608" s="411">
        <v>0</v>
      </c>
      <c r="W608" s="411">
        <v>0</v>
      </c>
      <c r="X608" s="411"/>
      <c r="Y608" s="411"/>
      <c r="Z608" s="412">
        <f t="shared" si="38"/>
        <v>0</v>
      </c>
      <c r="AA608" s="456">
        <f t="shared" si="39"/>
        <v>0</v>
      </c>
      <c r="AB608" s="456">
        <v>0</v>
      </c>
      <c r="AC608" s="2"/>
      <c r="AD608" s="4"/>
      <c r="AE608" s="5"/>
      <c r="AF608" s="428"/>
    </row>
    <row r="609" spans="1:32" x14ac:dyDescent="0.25">
      <c r="A609" s="1" t="s">
        <v>3052</v>
      </c>
      <c r="B609" s="3" t="s">
        <v>1368</v>
      </c>
      <c r="C609" s="3" t="s">
        <v>1247</v>
      </c>
      <c r="D609" s="407" t="s">
        <v>1430</v>
      </c>
      <c r="E609" s="3" t="s">
        <v>2361</v>
      </c>
      <c r="F609" s="407" t="s">
        <v>4488</v>
      </c>
      <c r="G609" s="440" t="s">
        <v>4109</v>
      </c>
      <c r="H609" s="407" t="s">
        <v>4309</v>
      </c>
      <c r="I609" s="407" t="s">
        <v>3790</v>
      </c>
      <c r="J609" s="387" t="s">
        <v>4641</v>
      </c>
      <c r="K609" s="387">
        <v>1</v>
      </c>
      <c r="L609" s="387">
        <v>0</v>
      </c>
      <c r="M609" s="387">
        <f t="shared" si="36"/>
        <v>1</v>
      </c>
      <c r="N609" s="442">
        <f t="shared" si="37"/>
        <v>0</v>
      </c>
      <c r="O609" s="387" t="s">
        <v>1358</v>
      </c>
      <c r="P609" s="459">
        <v>0</v>
      </c>
      <c r="Q609" s="459"/>
      <c r="R609" s="456">
        <v>0</v>
      </c>
      <c r="S609" s="456">
        <v>90.286000000000001</v>
      </c>
      <c r="T609" s="410"/>
      <c r="U609" s="411">
        <v>0</v>
      </c>
      <c r="V609" s="411">
        <v>0</v>
      </c>
      <c r="W609" s="411">
        <v>0</v>
      </c>
      <c r="X609" s="411"/>
      <c r="Y609" s="411"/>
      <c r="Z609" s="412">
        <f t="shared" si="38"/>
        <v>0</v>
      </c>
      <c r="AA609" s="456">
        <f t="shared" si="39"/>
        <v>0</v>
      </c>
      <c r="AB609" s="456">
        <v>0</v>
      </c>
      <c r="AC609" s="2"/>
      <c r="AD609" s="4"/>
      <c r="AE609" s="5"/>
      <c r="AF609" s="428"/>
    </row>
    <row r="610" spans="1:32" x14ac:dyDescent="0.25">
      <c r="A610" s="1" t="s">
        <v>3053</v>
      </c>
      <c r="B610" s="3" t="s">
        <v>1368</v>
      </c>
      <c r="C610" s="3" t="s">
        <v>1247</v>
      </c>
      <c r="D610" s="407" t="s">
        <v>1431</v>
      </c>
      <c r="E610" s="3" t="s">
        <v>2362</v>
      </c>
      <c r="F610" s="407" t="s">
        <v>4489</v>
      </c>
      <c r="G610" s="440" t="s">
        <v>4109</v>
      </c>
      <c r="H610" s="407" t="s">
        <v>4310</v>
      </c>
      <c r="I610" s="407" t="s">
        <v>3791</v>
      </c>
      <c r="J610" s="387" t="s">
        <v>4642</v>
      </c>
      <c r="K610" s="387">
        <v>1</v>
      </c>
      <c r="L610" s="387">
        <v>0</v>
      </c>
      <c r="M610" s="387">
        <f t="shared" si="36"/>
        <v>1</v>
      </c>
      <c r="N610" s="442">
        <f t="shared" si="37"/>
        <v>0</v>
      </c>
      <c r="O610" s="387" t="s">
        <v>1358</v>
      </c>
      <c r="P610" s="459">
        <v>0</v>
      </c>
      <c r="Q610" s="459"/>
      <c r="R610" s="456">
        <v>0</v>
      </c>
      <c r="S610" s="456">
        <v>75.204999999999998</v>
      </c>
      <c r="T610" s="410"/>
      <c r="U610" s="411">
        <v>0</v>
      </c>
      <c r="V610" s="411">
        <v>0</v>
      </c>
      <c r="W610" s="411">
        <v>0</v>
      </c>
      <c r="X610" s="411"/>
      <c r="Y610" s="411"/>
      <c r="Z610" s="412">
        <f t="shared" si="38"/>
        <v>0</v>
      </c>
      <c r="AA610" s="456">
        <f t="shared" si="39"/>
        <v>0</v>
      </c>
      <c r="AB610" s="456">
        <v>0</v>
      </c>
      <c r="AC610" s="2"/>
      <c r="AD610" s="4"/>
      <c r="AE610" s="5"/>
      <c r="AF610" s="428"/>
    </row>
    <row r="611" spans="1:32" x14ac:dyDescent="0.25">
      <c r="A611" s="1" t="s">
        <v>3054</v>
      </c>
      <c r="B611" s="3" t="s">
        <v>1368</v>
      </c>
      <c r="C611" s="3" t="s">
        <v>1247</v>
      </c>
      <c r="D611" s="407" t="s">
        <v>3546</v>
      </c>
      <c r="E611" s="3" t="s">
        <v>2363</v>
      </c>
      <c r="F611" s="407" t="s">
        <v>4482</v>
      </c>
      <c r="G611" s="440" t="s">
        <v>4109</v>
      </c>
      <c r="H611" s="407" t="s">
        <v>4303</v>
      </c>
      <c r="I611" s="407" t="s">
        <v>3784</v>
      </c>
      <c r="J611" s="387" t="s">
        <v>4660</v>
      </c>
      <c r="K611" s="387">
        <v>1</v>
      </c>
      <c r="L611" s="387">
        <v>0</v>
      </c>
      <c r="M611" s="387">
        <f t="shared" si="36"/>
        <v>1</v>
      </c>
      <c r="N611" s="442">
        <f t="shared" si="37"/>
        <v>0</v>
      </c>
      <c r="O611" s="387" t="s">
        <v>1358</v>
      </c>
      <c r="P611" s="459">
        <v>0</v>
      </c>
      <c r="Q611" s="459"/>
      <c r="R611" s="456">
        <v>0</v>
      </c>
      <c r="S611" s="456">
        <v>2.1480000000000001</v>
      </c>
      <c r="T611" s="410"/>
      <c r="U611" s="411">
        <v>0</v>
      </c>
      <c r="V611" s="411">
        <v>0</v>
      </c>
      <c r="W611" s="411">
        <v>0</v>
      </c>
      <c r="X611" s="411"/>
      <c r="Y611" s="411"/>
      <c r="Z611" s="412">
        <f t="shared" si="38"/>
        <v>0</v>
      </c>
      <c r="AA611" s="456">
        <f t="shared" si="39"/>
        <v>0</v>
      </c>
      <c r="AB611" s="456">
        <v>0</v>
      </c>
      <c r="AC611" s="2"/>
      <c r="AD611" s="4"/>
      <c r="AE611" s="5"/>
      <c r="AF611" s="428"/>
    </row>
    <row r="612" spans="1:32" x14ac:dyDescent="0.25">
      <c r="A612" s="1" t="s">
        <v>3055</v>
      </c>
      <c r="B612" s="3" t="s">
        <v>1368</v>
      </c>
      <c r="C612" s="3" t="s">
        <v>1247</v>
      </c>
      <c r="D612" s="407" t="s">
        <v>3547</v>
      </c>
      <c r="E612" s="3" t="s">
        <v>2364</v>
      </c>
      <c r="F612" s="407" t="s">
        <v>4501</v>
      </c>
      <c r="G612" s="440" t="s">
        <v>4109</v>
      </c>
      <c r="H612" s="407" t="s">
        <v>4322</v>
      </c>
      <c r="I612" s="407" t="s">
        <v>3797</v>
      </c>
      <c r="J612" s="387" t="s">
        <v>4655</v>
      </c>
      <c r="K612" s="387">
        <v>1</v>
      </c>
      <c r="L612" s="387">
        <v>0</v>
      </c>
      <c r="M612" s="387">
        <f t="shared" si="36"/>
        <v>1</v>
      </c>
      <c r="N612" s="442">
        <f t="shared" si="37"/>
        <v>0</v>
      </c>
      <c r="O612" s="387" t="s">
        <v>1358</v>
      </c>
      <c r="P612" s="459">
        <v>0</v>
      </c>
      <c r="Q612" s="459"/>
      <c r="R612" s="456">
        <v>0</v>
      </c>
      <c r="S612" s="456">
        <v>2.1480000000000001</v>
      </c>
      <c r="T612" s="410"/>
      <c r="U612" s="411">
        <v>0</v>
      </c>
      <c r="V612" s="411">
        <v>0</v>
      </c>
      <c r="W612" s="411">
        <v>0</v>
      </c>
      <c r="X612" s="411"/>
      <c r="Y612" s="411"/>
      <c r="Z612" s="412">
        <f t="shared" si="38"/>
        <v>0</v>
      </c>
      <c r="AA612" s="456">
        <f t="shared" si="39"/>
        <v>0</v>
      </c>
      <c r="AB612" s="456">
        <v>0</v>
      </c>
      <c r="AC612" s="2"/>
      <c r="AD612" s="4"/>
      <c r="AE612" s="5"/>
      <c r="AF612" s="428"/>
    </row>
    <row r="613" spans="1:32" x14ac:dyDescent="0.25">
      <c r="A613" s="1" t="s">
        <v>3056</v>
      </c>
      <c r="B613" s="3" t="s">
        <v>1368</v>
      </c>
      <c r="C613" s="3" t="s">
        <v>1247</v>
      </c>
      <c r="D613" s="407" t="s">
        <v>1433</v>
      </c>
      <c r="E613" s="3" t="s">
        <v>2365</v>
      </c>
      <c r="F613" s="407" t="s">
        <v>4490</v>
      </c>
      <c r="G613" s="440" t="s">
        <v>4109</v>
      </c>
      <c r="H613" s="407" t="s">
        <v>4311</v>
      </c>
      <c r="I613" s="407" t="s">
        <v>3792</v>
      </c>
      <c r="J613" s="387" t="s">
        <v>4644</v>
      </c>
      <c r="K613" s="387">
        <v>2</v>
      </c>
      <c r="L613" s="387">
        <v>0</v>
      </c>
      <c r="M613" s="387">
        <f t="shared" si="36"/>
        <v>2</v>
      </c>
      <c r="N613" s="442">
        <f t="shared" si="37"/>
        <v>0</v>
      </c>
      <c r="O613" s="387" t="s">
        <v>1358</v>
      </c>
      <c r="P613" s="459">
        <v>0</v>
      </c>
      <c r="Q613" s="459"/>
      <c r="R613" s="456">
        <v>0</v>
      </c>
      <c r="S613" s="456">
        <v>39.878</v>
      </c>
      <c r="T613" s="410"/>
      <c r="U613" s="411">
        <v>0</v>
      </c>
      <c r="V613" s="411">
        <v>0</v>
      </c>
      <c r="W613" s="411">
        <v>0</v>
      </c>
      <c r="X613" s="411"/>
      <c r="Y613" s="411"/>
      <c r="Z613" s="412">
        <f t="shared" si="38"/>
        <v>0</v>
      </c>
      <c r="AA613" s="456">
        <f t="shared" si="39"/>
        <v>0</v>
      </c>
      <c r="AB613" s="456">
        <v>0</v>
      </c>
      <c r="AC613" s="2"/>
      <c r="AD613" s="4"/>
      <c r="AE613" s="5"/>
      <c r="AF613" s="428"/>
    </row>
    <row r="614" spans="1:32" x14ac:dyDescent="0.25">
      <c r="A614" s="1" t="s">
        <v>3057</v>
      </c>
      <c r="B614" s="3" t="s">
        <v>1368</v>
      </c>
      <c r="C614" s="3" t="s">
        <v>1247</v>
      </c>
      <c r="D614" s="407" t="s">
        <v>3306</v>
      </c>
      <c r="E614" s="3" t="s">
        <v>2366</v>
      </c>
      <c r="F614" s="407" t="s">
        <v>4484</v>
      </c>
      <c r="G614" s="440" t="s">
        <v>4109</v>
      </c>
      <c r="H614" s="407" t="s">
        <v>4305</v>
      </c>
      <c r="I614" s="407" t="s">
        <v>3786</v>
      </c>
      <c r="J614" s="387" t="s">
        <v>4636</v>
      </c>
      <c r="K614" s="387">
        <v>1</v>
      </c>
      <c r="L614" s="387">
        <v>0</v>
      </c>
      <c r="M614" s="387">
        <f t="shared" si="36"/>
        <v>1</v>
      </c>
      <c r="N614" s="442">
        <f t="shared" si="37"/>
        <v>0</v>
      </c>
      <c r="O614" s="387" t="s">
        <v>1358</v>
      </c>
      <c r="P614" s="459">
        <v>0</v>
      </c>
      <c r="Q614" s="459"/>
      <c r="R614" s="456">
        <v>0</v>
      </c>
      <c r="S614" s="456">
        <v>19.376000000000001</v>
      </c>
      <c r="T614" s="410"/>
      <c r="U614" s="411">
        <v>0</v>
      </c>
      <c r="V614" s="411">
        <v>0</v>
      </c>
      <c r="W614" s="411">
        <v>0</v>
      </c>
      <c r="X614" s="411"/>
      <c r="Y614" s="411"/>
      <c r="Z614" s="412">
        <f t="shared" si="38"/>
        <v>0</v>
      </c>
      <c r="AA614" s="456">
        <f t="shared" si="39"/>
        <v>0</v>
      </c>
      <c r="AB614" s="456">
        <v>0</v>
      </c>
      <c r="AC614" s="2"/>
      <c r="AD614" s="4"/>
      <c r="AE614" s="5"/>
      <c r="AF614" s="428"/>
    </row>
    <row r="615" spans="1:32" x14ac:dyDescent="0.25">
      <c r="A615" s="1" t="s">
        <v>3058</v>
      </c>
      <c r="B615" s="3" t="s">
        <v>1368</v>
      </c>
      <c r="C615" s="3" t="s">
        <v>1247</v>
      </c>
      <c r="D615" s="407" t="s">
        <v>1397</v>
      </c>
      <c r="E615" s="3" t="s">
        <v>2367</v>
      </c>
      <c r="F615" s="407" t="s">
        <v>4493</v>
      </c>
      <c r="G615" s="440" t="s">
        <v>4109</v>
      </c>
      <c r="H615" s="407" t="s">
        <v>4314</v>
      </c>
      <c r="I615" s="407" t="s">
        <v>3795</v>
      </c>
      <c r="J615" s="387" t="s">
        <v>4647</v>
      </c>
      <c r="K615" s="387">
        <v>1</v>
      </c>
      <c r="L615" s="387">
        <v>0</v>
      </c>
      <c r="M615" s="387">
        <f t="shared" si="36"/>
        <v>1</v>
      </c>
      <c r="N615" s="442">
        <f t="shared" si="37"/>
        <v>0</v>
      </c>
      <c r="O615" s="387" t="s">
        <v>1358</v>
      </c>
      <c r="P615" s="459">
        <v>0</v>
      </c>
      <c r="Q615" s="459"/>
      <c r="R615" s="456">
        <v>0</v>
      </c>
      <c r="S615" s="456">
        <v>2.149</v>
      </c>
      <c r="T615" s="410"/>
      <c r="U615" s="411">
        <v>0</v>
      </c>
      <c r="V615" s="411">
        <v>0</v>
      </c>
      <c r="W615" s="411">
        <v>0</v>
      </c>
      <c r="X615" s="411"/>
      <c r="Y615" s="411"/>
      <c r="Z615" s="412">
        <f t="shared" si="38"/>
        <v>0</v>
      </c>
      <c r="AA615" s="456">
        <f t="shared" si="39"/>
        <v>0</v>
      </c>
      <c r="AB615" s="456">
        <v>0</v>
      </c>
      <c r="AC615" s="2"/>
      <c r="AD615" s="4"/>
      <c r="AE615" s="5"/>
      <c r="AF615" s="428"/>
    </row>
    <row r="616" spans="1:32" x14ac:dyDescent="0.25">
      <c r="A616" s="1" t="s">
        <v>3059</v>
      </c>
      <c r="B616" s="3" t="s">
        <v>1368</v>
      </c>
      <c r="C616" s="3" t="s">
        <v>1247</v>
      </c>
      <c r="D616" s="407" t="s">
        <v>1398</v>
      </c>
      <c r="E616" s="3" t="s">
        <v>2368</v>
      </c>
      <c r="F616" s="407" t="s">
        <v>4496</v>
      </c>
      <c r="G616" s="440" t="s">
        <v>4109</v>
      </c>
      <c r="H616" s="407" t="s">
        <v>4317</v>
      </c>
      <c r="I616" s="407" t="s">
        <v>3796</v>
      </c>
      <c r="J616" s="387" t="s">
        <v>4650</v>
      </c>
      <c r="K616" s="387">
        <v>1</v>
      </c>
      <c r="L616" s="387">
        <v>0</v>
      </c>
      <c r="M616" s="387">
        <f t="shared" si="36"/>
        <v>1</v>
      </c>
      <c r="N616" s="442">
        <f t="shared" si="37"/>
        <v>0</v>
      </c>
      <c r="O616" s="387" t="s">
        <v>1358</v>
      </c>
      <c r="P616" s="459">
        <v>0</v>
      </c>
      <c r="Q616" s="459"/>
      <c r="R616" s="456">
        <v>0</v>
      </c>
      <c r="S616" s="456">
        <v>2.0619999999999998</v>
      </c>
      <c r="T616" s="410"/>
      <c r="U616" s="411">
        <v>1</v>
      </c>
      <c r="V616" s="411">
        <v>1</v>
      </c>
      <c r="W616" s="411">
        <v>1</v>
      </c>
      <c r="X616" s="411"/>
      <c r="Y616" s="411"/>
      <c r="Z616" s="412">
        <f t="shared" si="38"/>
        <v>0</v>
      </c>
      <c r="AA616" s="456">
        <f t="shared" si="39"/>
        <v>0</v>
      </c>
      <c r="AB616" s="456">
        <v>0</v>
      </c>
      <c r="AC616" s="2"/>
      <c r="AD616" s="4"/>
      <c r="AE616" s="5"/>
      <c r="AF616" s="428"/>
    </row>
    <row r="617" spans="1:32" x14ac:dyDescent="0.25">
      <c r="A617" s="1" t="s">
        <v>3060</v>
      </c>
      <c r="B617" s="3" t="s">
        <v>1368</v>
      </c>
      <c r="C617" s="3" t="s">
        <v>1247</v>
      </c>
      <c r="D617" s="407" t="s">
        <v>1374</v>
      </c>
      <c r="E617" s="3" t="s">
        <v>2369</v>
      </c>
      <c r="F617" s="407" t="s">
        <v>4495</v>
      </c>
      <c r="G617" s="440" t="s">
        <v>4109</v>
      </c>
      <c r="H617" s="407" t="s">
        <v>4316</v>
      </c>
      <c r="I617" s="407" t="s">
        <v>3757</v>
      </c>
      <c r="J617" s="387" t="s">
        <v>4649</v>
      </c>
      <c r="K617" s="387">
        <v>1</v>
      </c>
      <c r="L617" s="387">
        <v>0</v>
      </c>
      <c r="M617" s="387">
        <f t="shared" si="36"/>
        <v>1</v>
      </c>
      <c r="N617" s="442">
        <f t="shared" si="37"/>
        <v>0</v>
      </c>
      <c r="O617" s="387" t="s">
        <v>1358</v>
      </c>
      <c r="P617" s="459">
        <v>0</v>
      </c>
      <c r="Q617" s="459"/>
      <c r="R617" s="456">
        <v>0</v>
      </c>
      <c r="S617" s="456">
        <v>2.0619999999999998</v>
      </c>
      <c r="T617" s="410"/>
      <c r="U617" s="411">
        <v>0</v>
      </c>
      <c r="V617" s="411">
        <v>0</v>
      </c>
      <c r="W617" s="411">
        <v>0</v>
      </c>
      <c r="X617" s="411"/>
      <c r="Y617" s="411"/>
      <c r="Z617" s="412">
        <f t="shared" si="38"/>
        <v>0</v>
      </c>
      <c r="AA617" s="456">
        <f t="shared" si="39"/>
        <v>0</v>
      </c>
      <c r="AB617" s="456">
        <v>0</v>
      </c>
      <c r="AC617" s="2"/>
      <c r="AD617" s="4"/>
      <c r="AE617" s="5"/>
      <c r="AF617" s="428"/>
    </row>
    <row r="618" spans="1:32" x14ac:dyDescent="0.25">
      <c r="A618" s="1" t="s">
        <v>3061</v>
      </c>
      <c r="B618" s="3" t="s">
        <v>1368</v>
      </c>
      <c r="C618" s="3" t="s">
        <v>1247</v>
      </c>
      <c r="D618" s="407" t="s">
        <v>1377</v>
      </c>
      <c r="E618" s="3" t="s">
        <v>2370</v>
      </c>
      <c r="F618" s="407" t="s">
        <v>4494</v>
      </c>
      <c r="G618" s="440" t="s">
        <v>4109</v>
      </c>
      <c r="H618" s="407" t="s">
        <v>4315</v>
      </c>
      <c r="I618" s="407" t="s">
        <v>3749</v>
      </c>
      <c r="J618" s="387" t="s">
        <v>4648</v>
      </c>
      <c r="K618" s="387">
        <v>1</v>
      </c>
      <c r="L618" s="387">
        <v>0</v>
      </c>
      <c r="M618" s="387">
        <f t="shared" si="36"/>
        <v>1</v>
      </c>
      <c r="N618" s="442">
        <f t="shared" si="37"/>
        <v>0</v>
      </c>
      <c r="O618" s="387" t="s">
        <v>1358</v>
      </c>
      <c r="P618" s="459">
        <v>0</v>
      </c>
      <c r="Q618" s="459"/>
      <c r="R618" s="456">
        <v>0</v>
      </c>
      <c r="S618" s="456">
        <v>2.0619999999999998</v>
      </c>
      <c r="T618" s="410"/>
      <c r="U618" s="411">
        <v>0</v>
      </c>
      <c r="V618" s="411">
        <v>0</v>
      </c>
      <c r="W618" s="411">
        <v>0</v>
      </c>
      <c r="X618" s="411"/>
      <c r="Y618" s="411"/>
      <c r="Z618" s="412">
        <f t="shared" si="38"/>
        <v>0</v>
      </c>
      <c r="AA618" s="456">
        <f t="shared" si="39"/>
        <v>0</v>
      </c>
      <c r="AB618" s="456">
        <v>0</v>
      </c>
      <c r="AC618" s="2"/>
      <c r="AD618" s="4"/>
      <c r="AE618" s="5"/>
      <c r="AF618" s="428"/>
    </row>
    <row r="619" spans="1:32" x14ac:dyDescent="0.25">
      <c r="A619" s="1" t="s">
        <v>3062</v>
      </c>
      <c r="B619" s="3" t="s">
        <v>1368</v>
      </c>
      <c r="C619" s="3" t="s">
        <v>1247</v>
      </c>
      <c r="D619" s="407" t="s">
        <v>1379</v>
      </c>
      <c r="E619" s="3" t="s">
        <v>2371</v>
      </c>
      <c r="F619" s="407" t="s">
        <v>4502</v>
      </c>
      <c r="G619" s="440" t="s">
        <v>4109</v>
      </c>
      <c r="H619" s="407" t="s">
        <v>4323</v>
      </c>
      <c r="I619" s="407" t="s">
        <v>3750</v>
      </c>
      <c r="J619" s="387" t="s">
        <v>4632</v>
      </c>
      <c r="K619" s="387">
        <v>1</v>
      </c>
      <c r="L619" s="387">
        <v>0</v>
      </c>
      <c r="M619" s="387">
        <f t="shared" si="36"/>
        <v>1</v>
      </c>
      <c r="N619" s="442">
        <f t="shared" si="37"/>
        <v>0</v>
      </c>
      <c r="O619" s="387" t="s">
        <v>1358</v>
      </c>
      <c r="P619" s="459">
        <v>0</v>
      </c>
      <c r="Q619" s="459"/>
      <c r="R619" s="456">
        <v>0</v>
      </c>
      <c r="S619" s="456">
        <v>2.0619999999999998</v>
      </c>
      <c r="T619" s="410"/>
      <c r="U619" s="411">
        <v>0</v>
      </c>
      <c r="V619" s="411">
        <v>0</v>
      </c>
      <c r="W619" s="411">
        <v>0</v>
      </c>
      <c r="X619" s="411"/>
      <c r="Y619" s="411"/>
      <c r="Z619" s="412">
        <f t="shared" si="38"/>
        <v>0</v>
      </c>
      <c r="AA619" s="456">
        <f t="shared" si="39"/>
        <v>0</v>
      </c>
      <c r="AB619" s="456">
        <v>0</v>
      </c>
      <c r="AC619" s="2"/>
      <c r="AD619" s="4"/>
      <c r="AE619" s="5"/>
      <c r="AF619" s="428"/>
    </row>
    <row r="620" spans="1:32" x14ac:dyDescent="0.25">
      <c r="A620" s="1" t="s">
        <v>3063</v>
      </c>
      <c r="B620" s="3" t="s">
        <v>1368</v>
      </c>
      <c r="C620" s="3" t="s">
        <v>1247</v>
      </c>
      <c r="D620" s="407" t="s">
        <v>1381</v>
      </c>
      <c r="E620" s="3" t="s">
        <v>2372</v>
      </c>
      <c r="F620" s="407" t="s">
        <v>4497</v>
      </c>
      <c r="G620" s="440" t="s">
        <v>4109</v>
      </c>
      <c r="H620" s="407" t="s">
        <v>4318</v>
      </c>
      <c r="I620" s="407" t="s">
        <v>3751</v>
      </c>
      <c r="J620" s="387" t="s">
        <v>4631</v>
      </c>
      <c r="K620" s="387">
        <v>1</v>
      </c>
      <c r="L620" s="387">
        <v>0</v>
      </c>
      <c r="M620" s="387">
        <f t="shared" si="36"/>
        <v>1</v>
      </c>
      <c r="N620" s="442">
        <f t="shared" si="37"/>
        <v>0</v>
      </c>
      <c r="O620" s="387" t="s">
        <v>1358</v>
      </c>
      <c r="P620" s="459">
        <v>0</v>
      </c>
      <c r="Q620" s="459"/>
      <c r="R620" s="456">
        <v>0</v>
      </c>
      <c r="S620" s="456">
        <v>2.0619999999999998</v>
      </c>
      <c r="T620" s="410"/>
      <c r="U620" s="411">
        <v>0</v>
      </c>
      <c r="V620" s="411">
        <v>0</v>
      </c>
      <c r="W620" s="411">
        <v>0</v>
      </c>
      <c r="X620" s="411"/>
      <c r="Y620" s="411"/>
      <c r="Z620" s="412">
        <f t="shared" si="38"/>
        <v>0</v>
      </c>
      <c r="AA620" s="456">
        <f t="shared" si="39"/>
        <v>0</v>
      </c>
      <c r="AB620" s="456">
        <v>0</v>
      </c>
      <c r="AC620" s="2"/>
      <c r="AD620" s="4"/>
      <c r="AE620" s="5"/>
      <c r="AF620" s="428"/>
    </row>
    <row r="621" spans="1:32" x14ac:dyDescent="0.25">
      <c r="A621" s="1" t="s">
        <v>3064</v>
      </c>
      <c r="B621" s="3" t="s">
        <v>1368</v>
      </c>
      <c r="C621" s="3" t="s">
        <v>1247</v>
      </c>
      <c r="D621" s="407" t="s">
        <v>1396</v>
      </c>
      <c r="E621" s="3" t="s">
        <v>2373</v>
      </c>
      <c r="F621" s="407" t="s">
        <v>4498</v>
      </c>
      <c r="G621" s="440" t="s">
        <v>4109</v>
      </c>
      <c r="H621" s="407" t="s">
        <v>4319</v>
      </c>
      <c r="I621" s="407" t="s">
        <v>3752</v>
      </c>
      <c r="J621" s="387" t="s">
        <v>4652</v>
      </c>
      <c r="K621" s="387">
        <v>1</v>
      </c>
      <c r="L621" s="387">
        <v>0</v>
      </c>
      <c r="M621" s="387">
        <f t="shared" si="36"/>
        <v>1</v>
      </c>
      <c r="N621" s="442">
        <f t="shared" si="37"/>
        <v>0</v>
      </c>
      <c r="O621" s="387" t="s">
        <v>1358</v>
      </c>
      <c r="P621" s="459">
        <v>0</v>
      </c>
      <c r="Q621" s="459"/>
      <c r="R621" s="456">
        <v>0</v>
      </c>
      <c r="S621" s="456">
        <v>2.0619999999999998</v>
      </c>
      <c r="T621" s="410"/>
      <c r="U621" s="411">
        <v>1</v>
      </c>
      <c r="V621" s="411">
        <v>1</v>
      </c>
      <c r="W621" s="411">
        <v>1</v>
      </c>
      <c r="X621" s="411"/>
      <c r="Y621" s="411"/>
      <c r="Z621" s="412">
        <f t="shared" si="38"/>
        <v>0</v>
      </c>
      <c r="AA621" s="456">
        <f t="shared" si="39"/>
        <v>0</v>
      </c>
      <c r="AB621" s="456">
        <v>0</v>
      </c>
      <c r="AC621" s="2"/>
      <c r="AD621" s="4"/>
      <c r="AE621" s="5"/>
      <c r="AF621" s="428"/>
    </row>
    <row r="622" spans="1:32" x14ac:dyDescent="0.25">
      <c r="A622" s="1" t="s">
        <v>3065</v>
      </c>
      <c r="B622" s="3" t="s">
        <v>1368</v>
      </c>
      <c r="C622" s="3" t="s">
        <v>1247</v>
      </c>
      <c r="D622" s="407" t="s">
        <v>1399</v>
      </c>
      <c r="E622" s="3" t="s">
        <v>5236</v>
      </c>
      <c r="F622" s="407" t="s">
        <v>4499</v>
      </c>
      <c r="G622" s="440" t="s">
        <v>4109</v>
      </c>
      <c r="H622" s="407" t="s">
        <v>4320</v>
      </c>
      <c r="I622" s="407" t="s">
        <v>3758</v>
      </c>
      <c r="J622" s="387" t="s">
        <v>4653</v>
      </c>
      <c r="K622" s="387">
        <v>1</v>
      </c>
      <c r="L622" s="387">
        <v>0</v>
      </c>
      <c r="M622" s="387">
        <f t="shared" si="36"/>
        <v>1</v>
      </c>
      <c r="N622" s="442">
        <f t="shared" si="37"/>
        <v>0</v>
      </c>
      <c r="O622" s="387" t="s">
        <v>1358</v>
      </c>
      <c r="P622" s="459">
        <v>0</v>
      </c>
      <c r="Q622" s="459"/>
      <c r="R622" s="456">
        <v>0</v>
      </c>
      <c r="S622" s="456">
        <v>2.0619999999999998</v>
      </c>
      <c r="T622" s="410"/>
      <c r="U622" s="411">
        <v>1</v>
      </c>
      <c r="V622" s="411">
        <v>1</v>
      </c>
      <c r="W622" s="411">
        <v>1</v>
      </c>
      <c r="X622" s="411"/>
      <c r="Y622" s="411"/>
      <c r="Z622" s="412">
        <f t="shared" si="38"/>
        <v>0</v>
      </c>
      <c r="AA622" s="456">
        <f t="shared" si="39"/>
        <v>0</v>
      </c>
      <c r="AB622" s="456">
        <v>0</v>
      </c>
      <c r="AC622" s="2"/>
      <c r="AD622" s="4"/>
      <c r="AE622" s="5"/>
      <c r="AF622" s="428"/>
    </row>
    <row r="623" spans="1:32" x14ac:dyDescent="0.25">
      <c r="A623" s="1" t="s">
        <v>3066</v>
      </c>
      <c r="B623" s="3" t="s">
        <v>1368</v>
      </c>
      <c r="C623" s="3" t="s">
        <v>1247</v>
      </c>
      <c r="D623" s="407" t="s">
        <v>1400</v>
      </c>
      <c r="E623" s="3" t="s">
        <v>2374</v>
      </c>
      <c r="F623" s="407" t="s">
        <v>4477</v>
      </c>
      <c r="G623" s="440" t="s">
        <v>4109</v>
      </c>
      <c r="H623" s="407" t="s">
        <v>4298</v>
      </c>
      <c r="I623" s="407" t="s">
        <v>3779</v>
      </c>
      <c r="J623" s="387" t="s">
        <v>4656</v>
      </c>
      <c r="K623" s="387">
        <v>1</v>
      </c>
      <c r="L623" s="387">
        <v>0</v>
      </c>
      <c r="M623" s="387">
        <f t="shared" si="36"/>
        <v>1</v>
      </c>
      <c r="N623" s="442">
        <f t="shared" si="37"/>
        <v>0</v>
      </c>
      <c r="O623" s="387" t="s">
        <v>1358</v>
      </c>
      <c r="P623" s="459">
        <v>0</v>
      </c>
      <c r="Q623" s="459"/>
      <c r="R623" s="456">
        <v>0</v>
      </c>
      <c r="S623" s="456">
        <v>2.0619999999999998</v>
      </c>
      <c r="T623" s="410"/>
      <c r="U623" s="411">
        <v>0</v>
      </c>
      <c r="V623" s="411">
        <v>0</v>
      </c>
      <c r="W623" s="411">
        <v>0</v>
      </c>
      <c r="X623" s="411"/>
      <c r="Y623" s="411"/>
      <c r="Z623" s="412">
        <f t="shared" si="38"/>
        <v>0</v>
      </c>
      <c r="AA623" s="456">
        <f t="shared" si="39"/>
        <v>0</v>
      </c>
      <c r="AB623" s="456">
        <v>0</v>
      </c>
      <c r="AC623" s="2"/>
      <c r="AD623" s="4"/>
      <c r="AE623" s="5"/>
      <c r="AF623" s="428"/>
    </row>
    <row r="624" spans="1:32" x14ac:dyDescent="0.25">
      <c r="A624" s="1" t="s">
        <v>3067</v>
      </c>
      <c r="B624" s="3" t="s">
        <v>1368</v>
      </c>
      <c r="C624" s="3" t="s">
        <v>1247</v>
      </c>
      <c r="D624" s="407" t="s">
        <v>1401</v>
      </c>
      <c r="E624" s="3" t="s">
        <v>2375</v>
      </c>
      <c r="F624" s="407" t="s">
        <v>4478</v>
      </c>
      <c r="G624" s="440" t="s">
        <v>4109</v>
      </c>
      <c r="H624" s="407" t="s">
        <v>4299</v>
      </c>
      <c r="I624" s="407" t="s">
        <v>3780</v>
      </c>
      <c r="J624" s="387" t="s">
        <v>4657</v>
      </c>
      <c r="K624" s="387">
        <v>1</v>
      </c>
      <c r="L624" s="387">
        <v>0</v>
      </c>
      <c r="M624" s="387">
        <f t="shared" si="36"/>
        <v>1</v>
      </c>
      <c r="N624" s="442">
        <f t="shared" si="37"/>
        <v>0</v>
      </c>
      <c r="O624" s="387" t="s">
        <v>1358</v>
      </c>
      <c r="P624" s="459">
        <v>0</v>
      </c>
      <c r="Q624" s="459"/>
      <c r="R624" s="456">
        <v>0</v>
      </c>
      <c r="S624" s="456">
        <v>2.0609999999999999</v>
      </c>
      <c r="T624" s="410"/>
      <c r="U624" s="411">
        <v>0</v>
      </c>
      <c r="V624" s="411">
        <v>0</v>
      </c>
      <c r="W624" s="411">
        <v>0</v>
      </c>
      <c r="X624" s="411"/>
      <c r="Y624" s="411"/>
      <c r="Z624" s="412">
        <f t="shared" si="38"/>
        <v>0</v>
      </c>
      <c r="AA624" s="456">
        <f t="shared" si="39"/>
        <v>0</v>
      </c>
      <c r="AB624" s="456">
        <v>0</v>
      </c>
      <c r="AC624" s="2"/>
      <c r="AD624" s="4"/>
      <c r="AE624" s="5"/>
      <c r="AF624" s="428"/>
    </row>
    <row r="625" spans="1:32" x14ac:dyDescent="0.25">
      <c r="A625" s="1" t="s">
        <v>3068</v>
      </c>
      <c r="B625" s="3" t="s">
        <v>1368</v>
      </c>
      <c r="C625" s="3" t="s">
        <v>1247</v>
      </c>
      <c r="D625" s="407" t="s">
        <v>1402</v>
      </c>
      <c r="E625" s="3" t="s">
        <v>2376</v>
      </c>
      <c r="F625" s="407" t="s">
        <v>4481</v>
      </c>
      <c r="G625" s="440" t="s">
        <v>4109</v>
      </c>
      <c r="H625" s="407" t="s">
        <v>4302</v>
      </c>
      <c r="I625" s="407" t="s">
        <v>3783</v>
      </c>
      <c r="J625" s="387" t="s">
        <v>4659</v>
      </c>
      <c r="K625" s="387">
        <v>1</v>
      </c>
      <c r="L625" s="387">
        <v>0</v>
      </c>
      <c r="M625" s="387">
        <f t="shared" si="36"/>
        <v>1</v>
      </c>
      <c r="N625" s="442">
        <f t="shared" si="37"/>
        <v>0</v>
      </c>
      <c r="O625" s="387" t="s">
        <v>1358</v>
      </c>
      <c r="P625" s="459">
        <v>0</v>
      </c>
      <c r="Q625" s="459"/>
      <c r="R625" s="456">
        <v>0</v>
      </c>
      <c r="S625" s="456">
        <v>2.1480000000000001</v>
      </c>
      <c r="T625" s="410"/>
      <c r="U625" s="411">
        <v>0</v>
      </c>
      <c r="V625" s="411">
        <v>0</v>
      </c>
      <c r="W625" s="411">
        <v>0</v>
      </c>
      <c r="X625" s="411"/>
      <c r="Y625" s="411"/>
      <c r="Z625" s="412">
        <f t="shared" si="38"/>
        <v>0</v>
      </c>
      <c r="AA625" s="456">
        <f t="shared" si="39"/>
        <v>0</v>
      </c>
      <c r="AB625" s="456">
        <v>0</v>
      </c>
      <c r="AC625" s="2"/>
      <c r="AD625" s="4"/>
      <c r="AE625" s="5"/>
      <c r="AF625" s="428"/>
    </row>
    <row r="626" spans="1:32" x14ac:dyDescent="0.25">
      <c r="A626" s="1" t="s">
        <v>3069</v>
      </c>
      <c r="B626" s="3" t="s">
        <v>1368</v>
      </c>
      <c r="C626" s="3" t="s">
        <v>1247</v>
      </c>
      <c r="D626" s="407" t="s">
        <v>1395</v>
      </c>
      <c r="E626" s="3" t="s">
        <v>5252</v>
      </c>
      <c r="F626" s="407" t="s">
        <v>4479</v>
      </c>
      <c r="G626" s="440" t="s">
        <v>4109</v>
      </c>
      <c r="H626" s="407" t="s">
        <v>4300</v>
      </c>
      <c r="I626" s="407" t="s">
        <v>3781</v>
      </c>
      <c r="J626" s="387" t="s">
        <v>4643</v>
      </c>
      <c r="K626" s="387">
        <v>1</v>
      </c>
      <c r="L626" s="387">
        <v>0</v>
      </c>
      <c r="M626" s="387">
        <f t="shared" si="36"/>
        <v>1</v>
      </c>
      <c r="N626" s="442">
        <f t="shared" si="37"/>
        <v>0</v>
      </c>
      <c r="O626" s="387" t="s">
        <v>1358</v>
      </c>
      <c r="P626" s="459">
        <v>0</v>
      </c>
      <c r="Q626" s="459"/>
      <c r="R626" s="456">
        <v>0</v>
      </c>
      <c r="S626" s="456">
        <v>2.21</v>
      </c>
      <c r="T626" s="410"/>
      <c r="U626" s="411">
        <v>1</v>
      </c>
      <c r="V626" s="411">
        <v>1</v>
      </c>
      <c r="W626" s="411">
        <v>1</v>
      </c>
      <c r="X626" s="411"/>
      <c r="Y626" s="411"/>
      <c r="Z626" s="412">
        <f t="shared" si="38"/>
        <v>0</v>
      </c>
      <c r="AA626" s="456">
        <f t="shared" si="39"/>
        <v>0</v>
      </c>
      <c r="AB626" s="456">
        <v>0</v>
      </c>
      <c r="AC626" s="2"/>
      <c r="AD626" s="4"/>
      <c r="AE626" s="5"/>
      <c r="AF626" s="428"/>
    </row>
    <row r="627" spans="1:32" x14ac:dyDescent="0.25">
      <c r="A627" s="1" t="s">
        <v>3070</v>
      </c>
      <c r="B627" s="3" t="s">
        <v>1368</v>
      </c>
      <c r="C627" s="3" t="s">
        <v>1247</v>
      </c>
      <c r="D627" s="407" t="s">
        <v>1426</v>
      </c>
      <c r="E627" s="3" t="s">
        <v>2377</v>
      </c>
      <c r="F627" s="407" t="s">
        <v>4480</v>
      </c>
      <c r="G627" s="440" t="s">
        <v>4109</v>
      </c>
      <c r="H627" s="407" t="s">
        <v>4301</v>
      </c>
      <c r="I627" s="407" t="s">
        <v>3782</v>
      </c>
      <c r="J627" s="387" t="s">
        <v>4637</v>
      </c>
      <c r="K627" s="387">
        <v>1</v>
      </c>
      <c r="L627" s="387">
        <v>0</v>
      </c>
      <c r="M627" s="387">
        <f t="shared" si="36"/>
        <v>1</v>
      </c>
      <c r="N627" s="442">
        <f t="shared" si="37"/>
        <v>0</v>
      </c>
      <c r="O627" s="387" t="s">
        <v>1358</v>
      </c>
      <c r="P627" s="459">
        <v>0</v>
      </c>
      <c r="Q627" s="459"/>
      <c r="R627" s="456">
        <v>0</v>
      </c>
      <c r="S627" s="456">
        <v>2.21</v>
      </c>
      <c r="T627" s="410"/>
      <c r="U627" s="411">
        <v>0</v>
      </c>
      <c r="V627" s="411">
        <v>0</v>
      </c>
      <c r="W627" s="411">
        <v>0</v>
      </c>
      <c r="X627" s="411"/>
      <c r="Y627" s="411"/>
      <c r="Z627" s="412">
        <f t="shared" si="38"/>
        <v>0</v>
      </c>
      <c r="AA627" s="456">
        <f t="shared" si="39"/>
        <v>0</v>
      </c>
      <c r="AB627" s="456">
        <v>0</v>
      </c>
      <c r="AC627" s="2"/>
      <c r="AD627" s="4"/>
      <c r="AE627" s="5"/>
      <c r="AF627" s="428"/>
    </row>
    <row r="628" spans="1:32" x14ac:dyDescent="0.25">
      <c r="A628" s="1" t="s">
        <v>3071</v>
      </c>
      <c r="B628" s="3" t="s">
        <v>1368</v>
      </c>
      <c r="C628" s="3" t="s">
        <v>1247</v>
      </c>
      <c r="D628" s="407" t="s">
        <v>1432</v>
      </c>
      <c r="E628" s="3" t="s">
        <v>2378</v>
      </c>
      <c r="F628" s="407" t="s">
        <v>4483</v>
      </c>
      <c r="G628" s="440" t="s">
        <v>4109</v>
      </c>
      <c r="H628" s="407" t="s">
        <v>4304</v>
      </c>
      <c r="I628" s="407" t="s">
        <v>3785</v>
      </c>
      <c r="J628" s="387" t="s">
        <v>4635</v>
      </c>
      <c r="K628" s="387">
        <v>1</v>
      </c>
      <c r="L628" s="387">
        <v>0</v>
      </c>
      <c r="M628" s="387">
        <f t="shared" si="36"/>
        <v>1</v>
      </c>
      <c r="N628" s="442">
        <f t="shared" si="37"/>
        <v>0</v>
      </c>
      <c r="O628" s="387" t="s">
        <v>1358</v>
      </c>
      <c r="P628" s="459">
        <v>0</v>
      </c>
      <c r="Q628" s="459"/>
      <c r="R628" s="456">
        <v>0</v>
      </c>
      <c r="S628" s="456">
        <v>2.0859999999999999</v>
      </c>
      <c r="T628" s="410"/>
      <c r="U628" s="411">
        <v>0</v>
      </c>
      <c r="V628" s="411">
        <v>0</v>
      </c>
      <c r="W628" s="411">
        <v>0</v>
      </c>
      <c r="X628" s="411"/>
      <c r="Y628" s="411"/>
      <c r="Z628" s="412">
        <f t="shared" si="38"/>
        <v>0</v>
      </c>
      <c r="AA628" s="456">
        <f t="shared" si="39"/>
        <v>0</v>
      </c>
      <c r="AB628" s="456">
        <v>0</v>
      </c>
      <c r="AC628" s="2"/>
      <c r="AD628" s="4"/>
      <c r="AE628" s="5"/>
      <c r="AF628" s="428"/>
    </row>
    <row r="629" spans="1:32" x14ac:dyDescent="0.25">
      <c r="A629" s="1" t="s">
        <v>3072</v>
      </c>
      <c r="B629" s="3" t="s">
        <v>1368</v>
      </c>
      <c r="C629" s="3" t="s">
        <v>1247</v>
      </c>
      <c r="D629" s="407" t="s">
        <v>1433</v>
      </c>
      <c r="E629" s="3" t="s">
        <v>2379</v>
      </c>
      <c r="F629" s="407" t="s">
        <v>4490</v>
      </c>
      <c r="G629" s="440" t="s">
        <v>4109</v>
      </c>
      <c r="H629" s="407" t="s">
        <v>4311</v>
      </c>
      <c r="I629" s="407" t="s">
        <v>3792</v>
      </c>
      <c r="J629" s="387" t="s">
        <v>4644</v>
      </c>
      <c r="K629" s="387">
        <v>1</v>
      </c>
      <c r="L629" s="387">
        <v>0</v>
      </c>
      <c r="M629" s="387">
        <f t="shared" si="36"/>
        <v>1</v>
      </c>
      <c r="N629" s="442">
        <f t="shared" si="37"/>
        <v>0</v>
      </c>
      <c r="O629" s="387" t="s">
        <v>1358</v>
      </c>
      <c r="P629" s="459">
        <v>0</v>
      </c>
      <c r="Q629" s="459"/>
      <c r="R629" s="456">
        <v>0</v>
      </c>
      <c r="S629" s="456">
        <v>2.0859999999999999</v>
      </c>
      <c r="T629" s="410"/>
      <c r="U629" s="411">
        <v>0</v>
      </c>
      <c r="V629" s="411">
        <v>0</v>
      </c>
      <c r="W629" s="411">
        <v>0</v>
      </c>
      <c r="X629" s="411"/>
      <c r="Y629" s="411"/>
      <c r="Z629" s="412">
        <f t="shared" si="38"/>
        <v>0</v>
      </c>
      <c r="AA629" s="456">
        <f t="shared" si="39"/>
        <v>0</v>
      </c>
      <c r="AB629" s="456">
        <v>0</v>
      </c>
      <c r="AC629" s="2"/>
      <c r="AD629" s="4"/>
      <c r="AE629" s="5"/>
      <c r="AF629" s="428"/>
    </row>
    <row r="630" spans="1:32" x14ac:dyDescent="0.25">
      <c r="A630" s="1" t="s">
        <v>3073</v>
      </c>
      <c r="B630" s="3" t="s">
        <v>1368</v>
      </c>
      <c r="C630" s="3" t="s">
        <v>1247</v>
      </c>
      <c r="D630" s="407" t="s">
        <v>1428</v>
      </c>
      <c r="E630" s="3" t="s">
        <v>2380</v>
      </c>
      <c r="F630" s="407" t="s">
        <v>4486</v>
      </c>
      <c r="G630" s="440" t="s">
        <v>4109</v>
      </c>
      <c r="H630" s="407" t="s">
        <v>4307</v>
      </c>
      <c r="I630" s="407" t="s">
        <v>3788</v>
      </c>
      <c r="J630" s="387" t="s">
        <v>4639</v>
      </c>
      <c r="K630" s="387">
        <v>1</v>
      </c>
      <c r="L630" s="387">
        <v>0</v>
      </c>
      <c r="M630" s="387">
        <f t="shared" si="36"/>
        <v>1</v>
      </c>
      <c r="N630" s="442">
        <f t="shared" si="37"/>
        <v>0</v>
      </c>
      <c r="O630" s="387" t="s">
        <v>1358</v>
      </c>
      <c r="P630" s="459">
        <v>0</v>
      </c>
      <c r="Q630" s="459"/>
      <c r="R630" s="456">
        <v>0</v>
      </c>
      <c r="S630" s="456">
        <v>2.0859999999999999</v>
      </c>
      <c r="T630" s="410"/>
      <c r="U630" s="411">
        <v>0</v>
      </c>
      <c r="V630" s="411">
        <v>0</v>
      </c>
      <c r="W630" s="411">
        <v>0</v>
      </c>
      <c r="X630" s="411"/>
      <c r="Y630" s="411"/>
      <c r="Z630" s="412">
        <f t="shared" si="38"/>
        <v>0</v>
      </c>
      <c r="AA630" s="456">
        <f t="shared" si="39"/>
        <v>0</v>
      </c>
      <c r="AB630" s="456">
        <v>0</v>
      </c>
      <c r="AC630" s="2"/>
      <c r="AD630" s="4"/>
      <c r="AE630" s="5"/>
      <c r="AF630" s="428"/>
    </row>
    <row r="631" spans="1:32" x14ac:dyDescent="0.25">
      <c r="A631" s="1" t="s">
        <v>3074</v>
      </c>
      <c r="B631" s="3" t="s">
        <v>1368</v>
      </c>
      <c r="C631" s="3" t="s">
        <v>1247</v>
      </c>
      <c r="D631" s="407" t="s">
        <v>1429</v>
      </c>
      <c r="E631" s="3" t="s">
        <v>2381</v>
      </c>
      <c r="F631" s="407" t="s">
        <v>4487</v>
      </c>
      <c r="G631" s="440" t="s">
        <v>4109</v>
      </c>
      <c r="H631" s="407" t="s">
        <v>4308</v>
      </c>
      <c r="I631" s="407" t="s">
        <v>3789</v>
      </c>
      <c r="J631" s="387" t="s">
        <v>4640</v>
      </c>
      <c r="K631" s="387">
        <v>1</v>
      </c>
      <c r="L631" s="387">
        <v>0</v>
      </c>
      <c r="M631" s="387">
        <f t="shared" si="36"/>
        <v>1</v>
      </c>
      <c r="N631" s="442">
        <f t="shared" si="37"/>
        <v>0</v>
      </c>
      <c r="O631" s="387" t="s">
        <v>1358</v>
      </c>
      <c r="P631" s="459">
        <v>0</v>
      </c>
      <c r="Q631" s="459"/>
      <c r="R631" s="456">
        <v>0</v>
      </c>
      <c r="S631" s="456">
        <v>2.0859999999999999</v>
      </c>
      <c r="T631" s="410"/>
      <c r="U631" s="411">
        <v>0</v>
      </c>
      <c r="V631" s="411">
        <v>0</v>
      </c>
      <c r="W631" s="411">
        <v>0</v>
      </c>
      <c r="X631" s="411"/>
      <c r="Y631" s="411"/>
      <c r="Z631" s="412">
        <f t="shared" si="38"/>
        <v>0</v>
      </c>
      <c r="AA631" s="456">
        <f t="shared" si="39"/>
        <v>0</v>
      </c>
      <c r="AB631" s="456">
        <v>0</v>
      </c>
      <c r="AC631" s="2"/>
      <c r="AD631" s="4"/>
      <c r="AE631" s="5"/>
      <c r="AF631" s="428"/>
    </row>
    <row r="632" spans="1:32" x14ac:dyDescent="0.25">
      <c r="A632" s="1" t="s">
        <v>3075</v>
      </c>
      <c r="B632" s="3" t="s">
        <v>1368</v>
      </c>
      <c r="C632" s="3" t="s">
        <v>1247</v>
      </c>
      <c r="D632" s="407" t="s">
        <v>1430</v>
      </c>
      <c r="E632" s="3" t="s">
        <v>2382</v>
      </c>
      <c r="F632" s="407" t="s">
        <v>4488</v>
      </c>
      <c r="G632" s="440" t="s">
        <v>4109</v>
      </c>
      <c r="H632" s="407" t="s">
        <v>4309</v>
      </c>
      <c r="I632" s="407" t="s">
        <v>3790</v>
      </c>
      <c r="J632" s="387" t="s">
        <v>4641</v>
      </c>
      <c r="K632" s="387">
        <v>1</v>
      </c>
      <c r="L632" s="387">
        <v>0</v>
      </c>
      <c r="M632" s="387">
        <f t="shared" si="36"/>
        <v>1</v>
      </c>
      <c r="N632" s="442">
        <f t="shared" si="37"/>
        <v>0</v>
      </c>
      <c r="O632" s="387" t="s">
        <v>1358</v>
      </c>
      <c r="P632" s="459">
        <v>0</v>
      </c>
      <c r="Q632" s="459"/>
      <c r="R632" s="456">
        <v>0</v>
      </c>
      <c r="S632" s="456">
        <v>2.0859999999999999</v>
      </c>
      <c r="T632" s="410"/>
      <c r="U632" s="411">
        <v>0</v>
      </c>
      <c r="V632" s="411">
        <v>0</v>
      </c>
      <c r="W632" s="411">
        <v>0</v>
      </c>
      <c r="X632" s="411"/>
      <c r="Y632" s="411"/>
      <c r="Z632" s="412">
        <f t="shared" si="38"/>
        <v>0</v>
      </c>
      <c r="AA632" s="456">
        <f t="shared" si="39"/>
        <v>0</v>
      </c>
      <c r="AB632" s="456">
        <v>0</v>
      </c>
      <c r="AC632" s="2"/>
      <c r="AD632" s="4"/>
      <c r="AE632" s="5"/>
      <c r="AF632" s="428"/>
    </row>
    <row r="633" spans="1:32" x14ac:dyDescent="0.25">
      <c r="A633" s="1" t="s">
        <v>3076</v>
      </c>
      <c r="B633" s="3" t="s">
        <v>1368</v>
      </c>
      <c r="C633" s="3" t="s">
        <v>1247</v>
      </c>
      <c r="D633" s="407" t="s">
        <v>1431</v>
      </c>
      <c r="E633" s="3" t="s">
        <v>2383</v>
      </c>
      <c r="F633" s="407" t="s">
        <v>4489</v>
      </c>
      <c r="G633" s="440" t="s">
        <v>4109</v>
      </c>
      <c r="H633" s="407" t="s">
        <v>4310</v>
      </c>
      <c r="I633" s="407" t="s">
        <v>3791</v>
      </c>
      <c r="J633" s="387" t="s">
        <v>4642</v>
      </c>
      <c r="K633" s="387">
        <v>1</v>
      </c>
      <c r="L633" s="387">
        <v>0</v>
      </c>
      <c r="M633" s="387">
        <f t="shared" si="36"/>
        <v>1</v>
      </c>
      <c r="N633" s="442">
        <f t="shared" si="37"/>
        <v>0</v>
      </c>
      <c r="O633" s="387" t="s">
        <v>1358</v>
      </c>
      <c r="P633" s="459">
        <v>0</v>
      </c>
      <c r="Q633" s="459"/>
      <c r="R633" s="456">
        <v>0</v>
      </c>
      <c r="S633" s="456">
        <v>2.0859999999999999</v>
      </c>
      <c r="T633" s="410"/>
      <c r="U633" s="411">
        <v>0</v>
      </c>
      <c r="V633" s="411">
        <v>0</v>
      </c>
      <c r="W633" s="411">
        <v>0</v>
      </c>
      <c r="X633" s="411"/>
      <c r="Y633" s="411"/>
      <c r="Z633" s="412">
        <f t="shared" si="38"/>
        <v>0</v>
      </c>
      <c r="AA633" s="456">
        <f t="shared" si="39"/>
        <v>0</v>
      </c>
      <c r="AB633" s="456">
        <v>0</v>
      </c>
      <c r="AC633" s="2"/>
      <c r="AD633" s="4"/>
      <c r="AE633" s="5"/>
      <c r="AF633" s="428"/>
    </row>
    <row r="634" spans="1:32" x14ac:dyDescent="0.25">
      <c r="A634" s="1" t="s">
        <v>3077</v>
      </c>
      <c r="B634" s="3" t="s">
        <v>1368</v>
      </c>
      <c r="C634" s="3" t="s">
        <v>1247</v>
      </c>
      <c r="D634" s="407" t="s">
        <v>1432</v>
      </c>
      <c r="E634" s="3" t="s">
        <v>2384</v>
      </c>
      <c r="F634" s="407" t="s">
        <v>4483</v>
      </c>
      <c r="G634" s="440" t="s">
        <v>4109</v>
      </c>
      <c r="H634" s="407" t="s">
        <v>4304</v>
      </c>
      <c r="I634" s="407" t="s">
        <v>3785</v>
      </c>
      <c r="J634" s="387" t="s">
        <v>4635</v>
      </c>
      <c r="K634" s="387">
        <v>1</v>
      </c>
      <c r="L634" s="387">
        <v>0</v>
      </c>
      <c r="M634" s="387">
        <f t="shared" si="36"/>
        <v>1</v>
      </c>
      <c r="N634" s="442">
        <f t="shared" si="37"/>
        <v>0</v>
      </c>
      <c r="O634" s="387" t="s">
        <v>1358</v>
      </c>
      <c r="P634" s="459">
        <v>0</v>
      </c>
      <c r="Q634" s="459"/>
      <c r="R634" s="456">
        <v>0</v>
      </c>
      <c r="S634" s="456">
        <v>2.08</v>
      </c>
      <c r="T634" s="410"/>
      <c r="U634" s="411">
        <v>0</v>
      </c>
      <c r="V634" s="411">
        <v>0</v>
      </c>
      <c r="W634" s="411">
        <v>0</v>
      </c>
      <c r="X634" s="411"/>
      <c r="Y634" s="411"/>
      <c r="Z634" s="412">
        <f t="shared" si="38"/>
        <v>0</v>
      </c>
      <c r="AA634" s="456">
        <f t="shared" si="39"/>
        <v>0</v>
      </c>
      <c r="AB634" s="456">
        <v>0</v>
      </c>
      <c r="AC634" s="2"/>
      <c r="AD634" s="4"/>
      <c r="AE634" s="5"/>
      <c r="AF634" s="428"/>
    </row>
    <row r="635" spans="1:32" x14ac:dyDescent="0.25">
      <c r="A635" s="1" t="s">
        <v>3078</v>
      </c>
      <c r="B635" s="3" t="s">
        <v>1368</v>
      </c>
      <c r="C635" s="3" t="s">
        <v>1247</v>
      </c>
      <c r="D635" s="407" t="s">
        <v>3293</v>
      </c>
      <c r="E635" s="3" t="s">
        <v>2385</v>
      </c>
      <c r="F635" s="407" t="s">
        <v>4503</v>
      </c>
      <c r="G635" s="440" t="s">
        <v>4109</v>
      </c>
      <c r="H635" s="407" t="s">
        <v>4324</v>
      </c>
      <c r="I635" s="407" t="s">
        <v>3798</v>
      </c>
      <c r="J635" s="387" t="s">
        <v>4658</v>
      </c>
      <c r="K635" s="387">
        <v>1</v>
      </c>
      <c r="L635" s="387">
        <v>0</v>
      </c>
      <c r="M635" s="387">
        <f t="shared" si="36"/>
        <v>1</v>
      </c>
      <c r="N635" s="442">
        <f t="shared" si="37"/>
        <v>0</v>
      </c>
      <c r="O635" s="387" t="s">
        <v>1358</v>
      </c>
      <c r="P635" s="459">
        <v>0</v>
      </c>
      <c r="Q635" s="459"/>
      <c r="R635" s="456">
        <v>0</v>
      </c>
      <c r="S635" s="456">
        <v>2.1219999999999999</v>
      </c>
      <c r="T635" s="410"/>
      <c r="U635" s="411">
        <v>1</v>
      </c>
      <c r="V635" s="411">
        <v>1</v>
      </c>
      <c r="W635" s="411">
        <v>1</v>
      </c>
      <c r="X635" s="411"/>
      <c r="Y635" s="411"/>
      <c r="Z635" s="412">
        <f t="shared" si="38"/>
        <v>0</v>
      </c>
      <c r="AA635" s="456">
        <f t="shared" si="39"/>
        <v>0</v>
      </c>
      <c r="AB635" s="456">
        <v>0</v>
      </c>
      <c r="AC635" s="2"/>
      <c r="AD635" s="4"/>
      <c r="AE635" s="5"/>
      <c r="AF635" s="428"/>
    </row>
    <row r="636" spans="1:32" x14ac:dyDescent="0.25">
      <c r="A636" s="1" t="s">
        <v>3079</v>
      </c>
      <c r="B636" s="3" t="s">
        <v>1368</v>
      </c>
      <c r="C636" s="3" t="s">
        <v>1247</v>
      </c>
      <c r="D636" s="407" t="s">
        <v>3546</v>
      </c>
      <c r="E636" s="3" t="s">
        <v>2386</v>
      </c>
      <c r="F636" s="407" t="s">
        <v>4482</v>
      </c>
      <c r="G636" s="440" t="s">
        <v>4109</v>
      </c>
      <c r="H636" s="407" t="s">
        <v>4303</v>
      </c>
      <c r="I636" s="407" t="s">
        <v>3784</v>
      </c>
      <c r="J636" s="387" t="s">
        <v>4660</v>
      </c>
      <c r="K636" s="387">
        <v>1</v>
      </c>
      <c r="L636" s="387">
        <v>0</v>
      </c>
      <c r="M636" s="387">
        <f t="shared" si="36"/>
        <v>1</v>
      </c>
      <c r="N636" s="442">
        <f t="shared" si="37"/>
        <v>0</v>
      </c>
      <c r="O636" s="387" t="s">
        <v>1358</v>
      </c>
      <c r="P636" s="459">
        <v>0</v>
      </c>
      <c r="Q636" s="459"/>
      <c r="R636" s="456">
        <v>0</v>
      </c>
      <c r="S636" s="456">
        <v>2.1480000000000001</v>
      </c>
      <c r="T636" s="410"/>
      <c r="U636" s="411">
        <v>0</v>
      </c>
      <c r="V636" s="411">
        <v>0</v>
      </c>
      <c r="W636" s="411">
        <v>0</v>
      </c>
      <c r="X636" s="411"/>
      <c r="Y636" s="411"/>
      <c r="Z636" s="412">
        <f t="shared" si="38"/>
        <v>0</v>
      </c>
      <c r="AA636" s="456">
        <f t="shared" si="39"/>
        <v>0</v>
      </c>
      <c r="AB636" s="456">
        <v>0</v>
      </c>
      <c r="AC636" s="2"/>
      <c r="AD636" s="4"/>
      <c r="AE636" s="5"/>
      <c r="AF636" s="428"/>
    </row>
    <row r="637" spans="1:32" x14ac:dyDescent="0.25">
      <c r="A637" s="1" t="s">
        <v>3080</v>
      </c>
      <c r="B637" s="3" t="s">
        <v>1368</v>
      </c>
      <c r="C637" s="3" t="s">
        <v>1247</v>
      </c>
      <c r="D637" s="407" t="s">
        <v>3547</v>
      </c>
      <c r="E637" s="3" t="s">
        <v>2387</v>
      </c>
      <c r="F637" s="407" t="s">
        <v>4501</v>
      </c>
      <c r="G637" s="440" t="s">
        <v>4109</v>
      </c>
      <c r="H637" s="407" t="s">
        <v>4322</v>
      </c>
      <c r="I637" s="407" t="s">
        <v>3797</v>
      </c>
      <c r="J637" s="387" t="s">
        <v>4655</v>
      </c>
      <c r="K637" s="387">
        <v>1</v>
      </c>
      <c r="L637" s="387">
        <v>0</v>
      </c>
      <c r="M637" s="387">
        <f t="shared" si="36"/>
        <v>1</v>
      </c>
      <c r="N637" s="442">
        <f t="shared" si="37"/>
        <v>0</v>
      </c>
      <c r="O637" s="387" t="s">
        <v>1358</v>
      </c>
      <c r="P637" s="459">
        <v>0</v>
      </c>
      <c r="Q637" s="459"/>
      <c r="R637" s="456">
        <v>0</v>
      </c>
      <c r="S637" s="456">
        <v>2.1480000000000001</v>
      </c>
      <c r="T637" s="410"/>
      <c r="U637" s="411">
        <v>0</v>
      </c>
      <c r="V637" s="411">
        <v>0</v>
      </c>
      <c r="W637" s="411">
        <v>0</v>
      </c>
      <c r="X637" s="411"/>
      <c r="Y637" s="411"/>
      <c r="Z637" s="412">
        <f t="shared" si="38"/>
        <v>0</v>
      </c>
      <c r="AA637" s="456">
        <f t="shared" si="39"/>
        <v>0</v>
      </c>
      <c r="AB637" s="456">
        <v>0</v>
      </c>
      <c r="AC637" s="2"/>
      <c r="AD637" s="4"/>
      <c r="AE637" s="5"/>
      <c r="AF637" s="428"/>
    </row>
    <row r="638" spans="1:32" x14ac:dyDescent="0.25">
      <c r="A638" s="1" t="s">
        <v>3081</v>
      </c>
      <c r="B638" s="3" t="s">
        <v>1368</v>
      </c>
      <c r="C638" s="3" t="s">
        <v>1247</v>
      </c>
      <c r="D638" s="407" t="s">
        <v>1426</v>
      </c>
      <c r="E638" s="3" t="s">
        <v>2388</v>
      </c>
      <c r="F638" s="407" t="s">
        <v>4480</v>
      </c>
      <c r="G638" s="440" t="s">
        <v>4109</v>
      </c>
      <c r="H638" s="407" t="s">
        <v>4301</v>
      </c>
      <c r="I638" s="407" t="s">
        <v>3782</v>
      </c>
      <c r="J638" s="387" t="s">
        <v>4637</v>
      </c>
      <c r="K638" s="387">
        <v>1</v>
      </c>
      <c r="L638" s="387">
        <v>0</v>
      </c>
      <c r="M638" s="387">
        <f t="shared" si="36"/>
        <v>1</v>
      </c>
      <c r="N638" s="442">
        <f t="shared" si="37"/>
        <v>0</v>
      </c>
      <c r="O638" s="387" t="s">
        <v>1358</v>
      </c>
      <c r="P638" s="459">
        <v>0</v>
      </c>
      <c r="Q638" s="459"/>
      <c r="R638" s="456">
        <v>0</v>
      </c>
      <c r="S638" s="456">
        <v>2.085</v>
      </c>
      <c r="T638" s="410"/>
      <c r="U638" s="411">
        <v>1</v>
      </c>
      <c r="V638" s="411">
        <v>1</v>
      </c>
      <c r="W638" s="411">
        <v>1</v>
      </c>
      <c r="X638" s="411"/>
      <c r="Y638" s="411"/>
      <c r="Z638" s="412">
        <f t="shared" si="38"/>
        <v>0</v>
      </c>
      <c r="AA638" s="456">
        <f t="shared" si="39"/>
        <v>0</v>
      </c>
      <c r="AB638" s="456">
        <v>0</v>
      </c>
      <c r="AC638" s="2"/>
      <c r="AD638" s="4"/>
      <c r="AE638" s="5"/>
      <c r="AF638" s="428"/>
    </row>
    <row r="639" spans="1:32" x14ac:dyDescent="0.25">
      <c r="A639" s="1" t="s">
        <v>3082</v>
      </c>
      <c r="B639" s="3" t="s">
        <v>1368</v>
      </c>
      <c r="C639" s="3" t="s">
        <v>1247</v>
      </c>
      <c r="D639" s="407" t="s">
        <v>1397</v>
      </c>
      <c r="E639" s="3" t="s">
        <v>2389</v>
      </c>
      <c r="F639" s="407" t="s">
        <v>4493</v>
      </c>
      <c r="G639" s="440" t="s">
        <v>4109</v>
      </c>
      <c r="H639" s="407" t="s">
        <v>4314</v>
      </c>
      <c r="I639" s="407" t="s">
        <v>3795</v>
      </c>
      <c r="J639" s="387" t="s">
        <v>4647</v>
      </c>
      <c r="K639" s="387">
        <v>1</v>
      </c>
      <c r="L639" s="387">
        <v>0</v>
      </c>
      <c r="M639" s="387">
        <f t="shared" si="36"/>
        <v>1</v>
      </c>
      <c r="N639" s="442">
        <f t="shared" si="37"/>
        <v>0</v>
      </c>
      <c r="O639" s="387" t="s">
        <v>1358</v>
      </c>
      <c r="P639" s="459">
        <v>0</v>
      </c>
      <c r="Q639" s="459"/>
      <c r="R639" s="456">
        <v>0</v>
      </c>
      <c r="S639" s="456">
        <v>2.0790000000000002</v>
      </c>
      <c r="T639" s="410"/>
      <c r="U639" s="411">
        <v>0</v>
      </c>
      <c r="V639" s="411">
        <v>0</v>
      </c>
      <c r="W639" s="411">
        <v>0</v>
      </c>
      <c r="X639" s="411"/>
      <c r="Y639" s="411"/>
      <c r="Z639" s="412">
        <f t="shared" si="38"/>
        <v>0</v>
      </c>
      <c r="AA639" s="456">
        <f t="shared" si="39"/>
        <v>0</v>
      </c>
      <c r="AB639" s="456">
        <v>0</v>
      </c>
      <c r="AC639" s="2"/>
      <c r="AD639" s="4"/>
      <c r="AE639" s="5"/>
      <c r="AF639" s="428"/>
    </row>
    <row r="640" spans="1:32" x14ac:dyDescent="0.25">
      <c r="A640" s="1" t="s">
        <v>3083</v>
      </c>
      <c r="B640" s="3" t="s">
        <v>1368</v>
      </c>
      <c r="C640" s="3" t="s">
        <v>1247</v>
      </c>
      <c r="D640" s="407" t="s">
        <v>1398</v>
      </c>
      <c r="E640" s="3" t="s">
        <v>2390</v>
      </c>
      <c r="F640" s="407" t="s">
        <v>4496</v>
      </c>
      <c r="G640" s="440" t="s">
        <v>4109</v>
      </c>
      <c r="H640" s="407" t="s">
        <v>4317</v>
      </c>
      <c r="I640" s="407" t="s">
        <v>3796</v>
      </c>
      <c r="J640" s="387" t="s">
        <v>4650</v>
      </c>
      <c r="K640" s="387">
        <v>1</v>
      </c>
      <c r="L640" s="387">
        <v>0</v>
      </c>
      <c r="M640" s="387">
        <f t="shared" si="36"/>
        <v>1</v>
      </c>
      <c r="N640" s="442">
        <f t="shared" si="37"/>
        <v>0</v>
      </c>
      <c r="O640" s="387" t="s">
        <v>1358</v>
      </c>
      <c r="P640" s="459">
        <v>0</v>
      </c>
      <c r="Q640" s="459"/>
      <c r="R640" s="456">
        <v>0</v>
      </c>
      <c r="S640" s="456">
        <v>1.994</v>
      </c>
      <c r="T640" s="410"/>
      <c r="U640" s="411">
        <v>1</v>
      </c>
      <c r="V640" s="411">
        <v>1</v>
      </c>
      <c r="W640" s="411">
        <v>1</v>
      </c>
      <c r="X640" s="411"/>
      <c r="Y640" s="411"/>
      <c r="Z640" s="412">
        <f t="shared" si="38"/>
        <v>0</v>
      </c>
      <c r="AA640" s="456">
        <f t="shared" si="39"/>
        <v>0</v>
      </c>
      <c r="AB640" s="456">
        <v>0</v>
      </c>
      <c r="AC640" s="2"/>
      <c r="AD640" s="4"/>
      <c r="AE640" s="5"/>
      <c r="AF640" s="428"/>
    </row>
    <row r="641" spans="1:32" x14ac:dyDescent="0.25">
      <c r="A641" s="1" t="s">
        <v>3084</v>
      </c>
      <c r="B641" s="3" t="s">
        <v>1368</v>
      </c>
      <c r="C641" s="3" t="s">
        <v>1247</v>
      </c>
      <c r="D641" s="407" t="s">
        <v>1374</v>
      </c>
      <c r="E641" s="3" t="s">
        <v>2391</v>
      </c>
      <c r="F641" s="407" t="s">
        <v>4495</v>
      </c>
      <c r="G641" s="440" t="s">
        <v>4109</v>
      </c>
      <c r="H641" s="407" t="s">
        <v>4316</v>
      </c>
      <c r="I641" s="407" t="s">
        <v>3757</v>
      </c>
      <c r="J641" s="387" t="s">
        <v>4649</v>
      </c>
      <c r="K641" s="387">
        <v>1</v>
      </c>
      <c r="L641" s="387">
        <v>0</v>
      </c>
      <c r="M641" s="387">
        <f t="shared" si="36"/>
        <v>1</v>
      </c>
      <c r="N641" s="442">
        <f t="shared" si="37"/>
        <v>0</v>
      </c>
      <c r="O641" s="387" t="s">
        <v>1358</v>
      </c>
      <c r="P641" s="459">
        <v>0</v>
      </c>
      <c r="Q641" s="459"/>
      <c r="R641" s="456">
        <v>0</v>
      </c>
      <c r="S641" s="456">
        <v>1.994</v>
      </c>
      <c r="T641" s="410"/>
      <c r="U641" s="411">
        <v>0</v>
      </c>
      <c r="V641" s="411">
        <v>0</v>
      </c>
      <c r="W641" s="411">
        <v>0</v>
      </c>
      <c r="X641" s="411"/>
      <c r="Y641" s="411"/>
      <c r="Z641" s="412">
        <f t="shared" si="38"/>
        <v>0</v>
      </c>
      <c r="AA641" s="456">
        <f t="shared" si="39"/>
        <v>0</v>
      </c>
      <c r="AB641" s="456">
        <v>0</v>
      </c>
      <c r="AC641" s="2"/>
      <c r="AD641" s="4"/>
      <c r="AE641" s="5"/>
      <c r="AF641" s="428"/>
    </row>
    <row r="642" spans="1:32" x14ac:dyDescent="0.25">
      <c r="A642" s="1" t="s">
        <v>3085</v>
      </c>
      <c r="B642" s="3" t="s">
        <v>1368</v>
      </c>
      <c r="C642" s="3" t="s">
        <v>1247</v>
      </c>
      <c r="D642" s="407" t="s">
        <v>1377</v>
      </c>
      <c r="E642" s="3" t="s">
        <v>2392</v>
      </c>
      <c r="F642" s="407" t="s">
        <v>4494</v>
      </c>
      <c r="G642" s="440" t="s">
        <v>4109</v>
      </c>
      <c r="H642" s="407" t="s">
        <v>4315</v>
      </c>
      <c r="I642" s="407" t="s">
        <v>3749</v>
      </c>
      <c r="J642" s="387" t="s">
        <v>4648</v>
      </c>
      <c r="K642" s="387">
        <v>1</v>
      </c>
      <c r="L642" s="387">
        <v>0</v>
      </c>
      <c r="M642" s="387">
        <f t="shared" si="36"/>
        <v>1</v>
      </c>
      <c r="N642" s="442">
        <f t="shared" si="37"/>
        <v>0</v>
      </c>
      <c r="O642" s="387" t="s">
        <v>1358</v>
      </c>
      <c r="P642" s="459">
        <v>0</v>
      </c>
      <c r="Q642" s="459"/>
      <c r="R642" s="456">
        <v>0</v>
      </c>
      <c r="S642" s="456">
        <v>1.994</v>
      </c>
      <c r="T642" s="410"/>
      <c r="U642" s="411">
        <v>0</v>
      </c>
      <c r="V642" s="411">
        <v>0</v>
      </c>
      <c r="W642" s="411">
        <v>0</v>
      </c>
      <c r="X642" s="411"/>
      <c r="Y642" s="411"/>
      <c r="Z642" s="412">
        <f t="shared" si="38"/>
        <v>0</v>
      </c>
      <c r="AA642" s="456">
        <f t="shared" si="39"/>
        <v>0</v>
      </c>
      <c r="AB642" s="456">
        <v>0</v>
      </c>
      <c r="AC642" s="2"/>
      <c r="AD642" s="4"/>
      <c r="AE642" s="5"/>
      <c r="AF642" s="428"/>
    </row>
    <row r="643" spans="1:32" x14ac:dyDescent="0.25">
      <c r="A643" s="1" t="s">
        <v>3086</v>
      </c>
      <c r="B643" s="3" t="s">
        <v>1368</v>
      </c>
      <c r="C643" s="3" t="s">
        <v>1247</v>
      </c>
      <c r="D643" s="407" t="s">
        <v>1379</v>
      </c>
      <c r="E643" s="3" t="s">
        <v>2393</v>
      </c>
      <c r="F643" s="407" t="s">
        <v>4502</v>
      </c>
      <c r="G643" s="440" t="s">
        <v>4109</v>
      </c>
      <c r="H643" s="407" t="s">
        <v>4323</v>
      </c>
      <c r="I643" s="407" t="s">
        <v>3750</v>
      </c>
      <c r="J643" s="387" t="s">
        <v>4632</v>
      </c>
      <c r="K643" s="387">
        <v>1</v>
      </c>
      <c r="L643" s="387">
        <v>0</v>
      </c>
      <c r="M643" s="387">
        <f t="shared" si="36"/>
        <v>1</v>
      </c>
      <c r="N643" s="442">
        <f t="shared" si="37"/>
        <v>0</v>
      </c>
      <c r="O643" s="387" t="s">
        <v>1358</v>
      </c>
      <c r="P643" s="459">
        <v>0</v>
      </c>
      <c r="Q643" s="459"/>
      <c r="R643" s="456">
        <v>0</v>
      </c>
      <c r="S643" s="456">
        <v>1.994</v>
      </c>
      <c r="T643" s="410"/>
      <c r="U643" s="411">
        <v>1</v>
      </c>
      <c r="V643" s="411">
        <v>1</v>
      </c>
      <c r="W643" s="411">
        <v>1</v>
      </c>
      <c r="X643" s="411"/>
      <c r="Y643" s="411"/>
      <c r="Z643" s="412">
        <f t="shared" si="38"/>
        <v>0</v>
      </c>
      <c r="AA643" s="456">
        <f t="shared" si="39"/>
        <v>0</v>
      </c>
      <c r="AB643" s="456">
        <v>0</v>
      </c>
      <c r="AC643" s="2"/>
      <c r="AD643" s="4"/>
      <c r="AE643" s="5"/>
      <c r="AF643" s="428"/>
    </row>
    <row r="644" spans="1:32" x14ac:dyDescent="0.25">
      <c r="A644" s="1" t="s">
        <v>3087</v>
      </c>
      <c r="B644" s="3" t="s">
        <v>1368</v>
      </c>
      <c r="C644" s="3" t="s">
        <v>1247</v>
      </c>
      <c r="D644" s="407" t="s">
        <v>1381</v>
      </c>
      <c r="E644" s="3" t="s">
        <v>2394</v>
      </c>
      <c r="F644" s="407" t="s">
        <v>4497</v>
      </c>
      <c r="G644" s="440" t="s">
        <v>4109</v>
      </c>
      <c r="H644" s="407" t="s">
        <v>4318</v>
      </c>
      <c r="I644" s="407" t="s">
        <v>3751</v>
      </c>
      <c r="J644" s="387" t="s">
        <v>4631</v>
      </c>
      <c r="K644" s="387">
        <v>1</v>
      </c>
      <c r="L644" s="387">
        <v>0</v>
      </c>
      <c r="M644" s="387">
        <f t="shared" si="36"/>
        <v>1</v>
      </c>
      <c r="N644" s="442">
        <f t="shared" si="37"/>
        <v>0</v>
      </c>
      <c r="O644" s="387" t="s">
        <v>1358</v>
      </c>
      <c r="P644" s="459">
        <v>0</v>
      </c>
      <c r="Q644" s="459"/>
      <c r="R644" s="456">
        <v>0</v>
      </c>
      <c r="S644" s="456">
        <v>2.1219999999999999</v>
      </c>
      <c r="T644" s="410"/>
      <c r="U644" s="411">
        <v>1</v>
      </c>
      <c r="V644" s="411">
        <v>1</v>
      </c>
      <c r="W644" s="411">
        <v>1</v>
      </c>
      <c r="X644" s="411"/>
      <c r="Y644" s="411"/>
      <c r="Z644" s="412">
        <f t="shared" si="38"/>
        <v>0</v>
      </c>
      <c r="AA644" s="456">
        <f t="shared" si="39"/>
        <v>0</v>
      </c>
      <c r="AB644" s="456">
        <v>0</v>
      </c>
      <c r="AC644" s="2"/>
      <c r="AD644" s="4"/>
      <c r="AE644" s="5"/>
      <c r="AF644" s="428"/>
    </row>
    <row r="645" spans="1:32" x14ac:dyDescent="0.25">
      <c r="A645" s="1" t="s">
        <v>3088</v>
      </c>
      <c r="B645" s="3" t="s">
        <v>1368</v>
      </c>
      <c r="C645" s="3" t="s">
        <v>1247</v>
      </c>
      <c r="D645" s="407" t="s">
        <v>1396</v>
      </c>
      <c r="E645" s="3" t="s">
        <v>2395</v>
      </c>
      <c r="F645" s="407" t="s">
        <v>4498</v>
      </c>
      <c r="G645" s="440" t="s">
        <v>4109</v>
      </c>
      <c r="H645" s="407" t="s">
        <v>4319</v>
      </c>
      <c r="I645" s="407" t="s">
        <v>3752</v>
      </c>
      <c r="J645" s="387" t="s">
        <v>4652</v>
      </c>
      <c r="K645" s="387">
        <v>1</v>
      </c>
      <c r="L645" s="387">
        <v>0</v>
      </c>
      <c r="M645" s="387">
        <f t="shared" si="36"/>
        <v>1</v>
      </c>
      <c r="N645" s="442">
        <f t="shared" si="37"/>
        <v>0</v>
      </c>
      <c r="O645" s="387" t="s">
        <v>1358</v>
      </c>
      <c r="P645" s="459">
        <v>0</v>
      </c>
      <c r="Q645" s="459"/>
      <c r="R645" s="456">
        <v>0</v>
      </c>
      <c r="S645" s="456">
        <v>1.994</v>
      </c>
      <c r="T645" s="410"/>
      <c r="U645" s="411">
        <v>1</v>
      </c>
      <c r="V645" s="411">
        <v>1</v>
      </c>
      <c r="W645" s="411">
        <v>1</v>
      </c>
      <c r="X645" s="411"/>
      <c r="Y645" s="411"/>
      <c r="Z645" s="412">
        <f t="shared" si="38"/>
        <v>0</v>
      </c>
      <c r="AA645" s="456">
        <f t="shared" si="39"/>
        <v>0</v>
      </c>
      <c r="AB645" s="456">
        <v>0</v>
      </c>
      <c r="AC645" s="2"/>
      <c r="AD645" s="4"/>
      <c r="AE645" s="5"/>
      <c r="AF645" s="428"/>
    </row>
    <row r="646" spans="1:32" x14ac:dyDescent="0.25">
      <c r="A646" s="1" t="s">
        <v>3089</v>
      </c>
      <c r="B646" s="3" t="s">
        <v>1368</v>
      </c>
      <c r="C646" s="3" t="s">
        <v>1247</v>
      </c>
      <c r="D646" s="407" t="s">
        <v>1399</v>
      </c>
      <c r="E646" s="3" t="s">
        <v>2396</v>
      </c>
      <c r="F646" s="407" t="s">
        <v>4499</v>
      </c>
      <c r="G646" s="440" t="s">
        <v>4109</v>
      </c>
      <c r="H646" s="407" t="s">
        <v>4320</v>
      </c>
      <c r="I646" s="407" t="s">
        <v>3758</v>
      </c>
      <c r="J646" s="387" t="s">
        <v>4653</v>
      </c>
      <c r="K646" s="387">
        <v>1</v>
      </c>
      <c r="L646" s="387">
        <v>0</v>
      </c>
      <c r="M646" s="387">
        <f t="shared" si="36"/>
        <v>1</v>
      </c>
      <c r="N646" s="442">
        <f t="shared" si="37"/>
        <v>0</v>
      </c>
      <c r="O646" s="387" t="s">
        <v>1358</v>
      </c>
      <c r="P646" s="459">
        <v>0</v>
      </c>
      <c r="Q646" s="459"/>
      <c r="R646" s="456">
        <v>0</v>
      </c>
      <c r="S646" s="456">
        <v>1.994</v>
      </c>
      <c r="T646" s="410"/>
      <c r="U646" s="411">
        <v>1</v>
      </c>
      <c r="V646" s="411">
        <v>1</v>
      </c>
      <c r="W646" s="411">
        <v>1</v>
      </c>
      <c r="X646" s="411"/>
      <c r="Y646" s="411"/>
      <c r="Z646" s="412">
        <f t="shared" si="38"/>
        <v>0</v>
      </c>
      <c r="AA646" s="456">
        <f t="shared" si="39"/>
        <v>0</v>
      </c>
      <c r="AB646" s="456">
        <v>0</v>
      </c>
      <c r="AC646" s="2"/>
      <c r="AD646" s="4"/>
      <c r="AE646" s="5"/>
      <c r="AF646" s="428"/>
    </row>
    <row r="647" spans="1:32" x14ac:dyDescent="0.25">
      <c r="A647" s="1" t="s">
        <v>3090</v>
      </c>
      <c r="B647" s="3" t="s">
        <v>1368</v>
      </c>
      <c r="C647" s="3" t="s">
        <v>1247</v>
      </c>
      <c r="D647" s="407" t="s">
        <v>1400</v>
      </c>
      <c r="E647" s="3" t="s">
        <v>2397</v>
      </c>
      <c r="F647" s="407" t="s">
        <v>4477</v>
      </c>
      <c r="G647" s="440" t="s">
        <v>4109</v>
      </c>
      <c r="H647" s="407" t="s">
        <v>4298</v>
      </c>
      <c r="I647" s="407" t="s">
        <v>3779</v>
      </c>
      <c r="J647" s="387" t="s">
        <v>4656</v>
      </c>
      <c r="K647" s="387">
        <v>1</v>
      </c>
      <c r="L647" s="387">
        <v>0</v>
      </c>
      <c r="M647" s="387">
        <f t="shared" si="36"/>
        <v>1</v>
      </c>
      <c r="N647" s="442">
        <f t="shared" si="37"/>
        <v>0</v>
      </c>
      <c r="O647" s="387" t="s">
        <v>1358</v>
      </c>
      <c r="P647" s="459">
        <v>0</v>
      </c>
      <c r="Q647" s="459"/>
      <c r="R647" s="456">
        <v>0</v>
      </c>
      <c r="S647" s="456">
        <v>1.994</v>
      </c>
      <c r="T647" s="410"/>
      <c r="U647" s="411">
        <v>0</v>
      </c>
      <c r="V647" s="411">
        <v>0</v>
      </c>
      <c r="W647" s="411">
        <v>0</v>
      </c>
      <c r="X647" s="411"/>
      <c r="Y647" s="411"/>
      <c r="Z647" s="412">
        <f t="shared" si="38"/>
        <v>0</v>
      </c>
      <c r="AA647" s="456">
        <f t="shared" si="39"/>
        <v>0</v>
      </c>
      <c r="AB647" s="456">
        <v>0</v>
      </c>
      <c r="AC647" s="2"/>
      <c r="AD647" s="4"/>
      <c r="AE647" s="5"/>
      <c r="AF647" s="428"/>
    </row>
    <row r="648" spans="1:32" x14ac:dyDescent="0.25">
      <c r="A648" s="1" t="s">
        <v>3091</v>
      </c>
      <c r="B648" s="3" t="s">
        <v>1368</v>
      </c>
      <c r="C648" s="3" t="s">
        <v>1247</v>
      </c>
      <c r="D648" s="407" t="s">
        <v>1401</v>
      </c>
      <c r="E648" s="3" t="s">
        <v>2398</v>
      </c>
      <c r="F648" s="407" t="s">
        <v>4478</v>
      </c>
      <c r="G648" s="440" t="s">
        <v>4109</v>
      </c>
      <c r="H648" s="407" t="s">
        <v>4299</v>
      </c>
      <c r="I648" s="407" t="s">
        <v>3780</v>
      </c>
      <c r="J648" s="387" t="s">
        <v>4657</v>
      </c>
      <c r="K648" s="387">
        <v>1</v>
      </c>
      <c r="L648" s="387">
        <v>0</v>
      </c>
      <c r="M648" s="387">
        <f t="shared" si="36"/>
        <v>1</v>
      </c>
      <c r="N648" s="442">
        <f t="shared" si="37"/>
        <v>0</v>
      </c>
      <c r="O648" s="387" t="s">
        <v>1358</v>
      </c>
      <c r="P648" s="459">
        <v>0</v>
      </c>
      <c r="Q648" s="459"/>
      <c r="R648" s="456">
        <v>0</v>
      </c>
      <c r="S648" s="456">
        <v>1.994</v>
      </c>
      <c r="T648" s="410"/>
      <c r="U648" s="411">
        <v>0</v>
      </c>
      <c r="V648" s="411">
        <v>0</v>
      </c>
      <c r="W648" s="411">
        <v>0</v>
      </c>
      <c r="X648" s="411"/>
      <c r="Y648" s="411"/>
      <c r="Z648" s="412">
        <f t="shared" si="38"/>
        <v>0</v>
      </c>
      <c r="AA648" s="456">
        <f t="shared" si="39"/>
        <v>0</v>
      </c>
      <c r="AB648" s="456">
        <v>0</v>
      </c>
      <c r="AC648" s="2"/>
      <c r="AD648" s="4"/>
      <c r="AE648" s="5"/>
      <c r="AF648" s="428"/>
    </row>
    <row r="649" spans="1:32" x14ac:dyDescent="0.25">
      <c r="A649" s="1" t="s">
        <v>3092</v>
      </c>
      <c r="B649" s="3" t="s">
        <v>1368</v>
      </c>
      <c r="C649" s="3" t="s">
        <v>1247</v>
      </c>
      <c r="D649" s="407" t="s">
        <v>1402</v>
      </c>
      <c r="E649" s="3" t="s">
        <v>2399</v>
      </c>
      <c r="F649" s="407" t="s">
        <v>4481</v>
      </c>
      <c r="G649" s="440" t="s">
        <v>4109</v>
      </c>
      <c r="H649" s="407" t="s">
        <v>4302</v>
      </c>
      <c r="I649" s="407" t="s">
        <v>3783</v>
      </c>
      <c r="J649" s="387" t="s">
        <v>4659</v>
      </c>
      <c r="K649" s="387">
        <v>1</v>
      </c>
      <c r="L649" s="387">
        <v>0</v>
      </c>
      <c r="M649" s="387">
        <f t="shared" si="36"/>
        <v>1</v>
      </c>
      <c r="N649" s="442">
        <f t="shared" si="37"/>
        <v>0</v>
      </c>
      <c r="O649" s="387" t="s">
        <v>1358</v>
      </c>
      <c r="P649" s="459">
        <v>0</v>
      </c>
      <c r="Q649" s="459"/>
      <c r="R649" s="456">
        <v>0</v>
      </c>
      <c r="S649" s="456">
        <v>2.0619999999999998</v>
      </c>
      <c r="T649" s="410"/>
      <c r="U649" s="411">
        <v>0</v>
      </c>
      <c r="V649" s="411">
        <v>0</v>
      </c>
      <c r="W649" s="411">
        <v>0</v>
      </c>
      <c r="X649" s="411"/>
      <c r="Y649" s="411"/>
      <c r="Z649" s="412">
        <f t="shared" si="38"/>
        <v>0</v>
      </c>
      <c r="AA649" s="456">
        <f t="shared" si="39"/>
        <v>0</v>
      </c>
      <c r="AB649" s="456">
        <v>0</v>
      </c>
      <c r="AC649" s="2"/>
      <c r="AD649" s="4"/>
      <c r="AE649" s="5"/>
      <c r="AF649" s="428"/>
    </row>
    <row r="650" spans="1:32" x14ac:dyDescent="0.25">
      <c r="A650" s="1" t="s">
        <v>3093</v>
      </c>
      <c r="B650" s="3" t="s">
        <v>1368</v>
      </c>
      <c r="C650" s="3" t="s">
        <v>1247</v>
      </c>
      <c r="D650" s="407" t="s">
        <v>3291</v>
      </c>
      <c r="E650" s="3" t="s">
        <v>2400</v>
      </c>
      <c r="F650" s="407" t="s">
        <v>4476</v>
      </c>
      <c r="G650" s="440" t="s">
        <v>4109</v>
      </c>
      <c r="H650" s="407" t="s">
        <v>4297</v>
      </c>
      <c r="I650" s="407" t="s">
        <v>3753</v>
      </c>
      <c r="J650" s="387" t="s">
        <v>4651</v>
      </c>
      <c r="K650" s="387">
        <v>1</v>
      </c>
      <c r="L650" s="387">
        <v>0</v>
      </c>
      <c r="M650" s="387">
        <f t="shared" si="36"/>
        <v>1</v>
      </c>
      <c r="N650" s="442">
        <f t="shared" si="37"/>
        <v>0</v>
      </c>
      <c r="O650" s="387" t="s">
        <v>1358</v>
      </c>
      <c r="P650" s="459">
        <v>0</v>
      </c>
      <c r="Q650" s="459"/>
      <c r="R650" s="456">
        <v>0</v>
      </c>
      <c r="S650" s="456">
        <v>2.1219999999999999</v>
      </c>
      <c r="T650" s="410"/>
      <c r="U650" s="411">
        <v>1</v>
      </c>
      <c r="V650" s="411">
        <v>1</v>
      </c>
      <c r="W650" s="411">
        <v>1</v>
      </c>
      <c r="X650" s="411"/>
      <c r="Y650" s="411"/>
      <c r="Z650" s="412">
        <f t="shared" si="38"/>
        <v>0</v>
      </c>
      <c r="AA650" s="456">
        <f t="shared" si="39"/>
        <v>0</v>
      </c>
      <c r="AB650" s="456">
        <v>0</v>
      </c>
      <c r="AC650" s="2"/>
      <c r="AD650" s="4"/>
      <c r="AE650" s="5"/>
      <c r="AF650" s="428"/>
    </row>
    <row r="651" spans="1:32" x14ac:dyDescent="0.25">
      <c r="A651" s="1" t="s">
        <v>3094</v>
      </c>
      <c r="B651" s="3" t="s">
        <v>1368</v>
      </c>
      <c r="C651" s="3" t="s">
        <v>1247</v>
      </c>
      <c r="D651" s="407" t="s">
        <v>3306</v>
      </c>
      <c r="E651" s="3" t="s">
        <v>2401</v>
      </c>
      <c r="F651" s="407" t="s">
        <v>4484</v>
      </c>
      <c r="G651" s="440" t="s">
        <v>4109</v>
      </c>
      <c r="H651" s="407" t="s">
        <v>4305</v>
      </c>
      <c r="I651" s="407" t="s">
        <v>3786</v>
      </c>
      <c r="J651" s="387" t="s">
        <v>4636</v>
      </c>
      <c r="K651" s="387">
        <v>1</v>
      </c>
      <c r="L651" s="387">
        <v>0</v>
      </c>
      <c r="M651" s="387">
        <f t="shared" si="36"/>
        <v>1</v>
      </c>
      <c r="N651" s="442">
        <f t="shared" si="37"/>
        <v>0</v>
      </c>
      <c r="O651" s="387" t="s">
        <v>1358</v>
      </c>
      <c r="P651" s="459">
        <v>0</v>
      </c>
      <c r="Q651" s="459"/>
      <c r="R651" s="456">
        <v>0</v>
      </c>
      <c r="S651" s="456">
        <v>2.2730000000000001</v>
      </c>
      <c r="T651" s="410"/>
      <c r="U651" s="411">
        <v>0</v>
      </c>
      <c r="V651" s="411">
        <v>0</v>
      </c>
      <c r="W651" s="411">
        <v>0</v>
      </c>
      <c r="X651" s="411"/>
      <c r="Y651" s="411"/>
      <c r="Z651" s="412">
        <f t="shared" si="38"/>
        <v>0</v>
      </c>
      <c r="AA651" s="456">
        <f t="shared" si="39"/>
        <v>0</v>
      </c>
      <c r="AB651" s="456">
        <v>0</v>
      </c>
      <c r="AC651" s="2"/>
      <c r="AD651" s="4"/>
      <c r="AE651" s="5"/>
      <c r="AF651" s="428"/>
    </row>
    <row r="652" spans="1:32" x14ac:dyDescent="0.25">
      <c r="A652" s="1" t="s">
        <v>3095</v>
      </c>
      <c r="B652" s="3" t="s">
        <v>1368</v>
      </c>
      <c r="C652" s="3" t="s">
        <v>1247</v>
      </c>
      <c r="D652" s="407" t="s">
        <v>1432</v>
      </c>
      <c r="E652" s="3" t="s">
        <v>2402</v>
      </c>
      <c r="F652" s="407" t="s">
        <v>4483</v>
      </c>
      <c r="G652" s="440" t="s">
        <v>4109</v>
      </c>
      <c r="H652" s="407" t="s">
        <v>4304</v>
      </c>
      <c r="I652" s="407" t="s">
        <v>3785</v>
      </c>
      <c r="J652" s="387" t="s">
        <v>4635</v>
      </c>
      <c r="K652" s="387">
        <v>1</v>
      </c>
      <c r="L652" s="387">
        <v>0</v>
      </c>
      <c r="M652" s="387">
        <f t="shared" si="36"/>
        <v>1</v>
      </c>
      <c r="N652" s="442">
        <f t="shared" si="37"/>
        <v>0</v>
      </c>
      <c r="O652" s="387" t="s">
        <v>1358</v>
      </c>
      <c r="P652" s="459">
        <v>0</v>
      </c>
      <c r="Q652" s="459"/>
      <c r="R652" s="456">
        <v>0</v>
      </c>
      <c r="S652" s="456">
        <v>4.2050000000000001</v>
      </c>
      <c r="T652" s="410"/>
      <c r="U652" s="411">
        <v>0</v>
      </c>
      <c r="V652" s="411">
        <v>0</v>
      </c>
      <c r="W652" s="411">
        <v>0</v>
      </c>
      <c r="X652" s="411"/>
      <c r="Y652" s="411"/>
      <c r="Z652" s="412">
        <f t="shared" si="38"/>
        <v>0</v>
      </c>
      <c r="AA652" s="456">
        <f t="shared" si="39"/>
        <v>0</v>
      </c>
      <c r="AB652" s="456">
        <v>0</v>
      </c>
      <c r="AC652" s="2"/>
      <c r="AD652" s="4"/>
      <c r="AE652" s="5"/>
      <c r="AF652" s="428"/>
    </row>
    <row r="653" spans="1:32" x14ac:dyDescent="0.25">
      <c r="A653" s="1" t="s">
        <v>3096</v>
      </c>
      <c r="B653" s="3" t="s">
        <v>1368</v>
      </c>
      <c r="C653" s="3" t="s">
        <v>1247</v>
      </c>
      <c r="D653" s="407" t="s">
        <v>1433</v>
      </c>
      <c r="E653" s="3" t="s">
        <v>2403</v>
      </c>
      <c r="F653" s="407" t="s">
        <v>4490</v>
      </c>
      <c r="G653" s="440" t="s">
        <v>4109</v>
      </c>
      <c r="H653" s="407" t="s">
        <v>4311</v>
      </c>
      <c r="I653" s="407" t="s">
        <v>3792</v>
      </c>
      <c r="J653" s="387" t="s">
        <v>4644</v>
      </c>
      <c r="K653" s="387">
        <v>1</v>
      </c>
      <c r="L653" s="387">
        <v>0</v>
      </c>
      <c r="M653" s="387">
        <f t="shared" si="36"/>
        <v>1</v>
      </c>
      <c r="N653" s="442">
        <f t="shared" si="37"/>
        <v>0</v>
      </c>
      <c r="O653" s="387" t="s">
        <v>1358</v>
      </c>
      <c r="P653" s="459">
        <v>0</v>
      </c>
      <c r="Q653" s="459"/>
      <c r="R653" s="456">
        <v>0</v>
      </c>
      <c r="S653" s="456">
        <v>4.2050000000000001</v>
      </c>
      <c r="T653" s="410"/>
      <c r="U653" s="411">
        <v>0</v>
      </c>
      <c r="V653" s="411">
        <v>0</v>
      </c>
      <c r="W653" s="411">
        <v>0</v>
      </c>
      <c r="X653" s="411"/>
      <c r="Y653" s="411"/>
      <c r="Z653" s="412">
        <f t="shared" si="38"/>
        <v>0</v>
      </c>
      <c r="AA653" s="456">
        <f t="shared" si="39"/>
        <v>0</v>
      </c>
      <c r="AB653" s="456">
        <v>0</v>
      </c>
      <c r="AC653" s="2"/>
      <c r="AD653" s="4"/>
      <c r="AE653" s="5"/>
      <c r="AF653" s="428"/>
    </row>
    <row r="654" spans="1:32" x14ac:dyDescent="0.25">
      <c r="A654" s="1" t="s">
        <v>3097</v>
      </c>
      <c r="B654" s="3" t="s">
        <v>1368</v>
      </c>
      <c r="C654" s="3" t="s">
        <v>1247</v>
      </c>
      <c r="D654" s="407" t="s">
        <v>1426</v>
      </c>
      <c r="E654" s="3" t="s">
        <v>2404</v>
      </c>
      <c r="F654" s="407" t="s">
        <v>4480</v>
      </c>
      <c r="G654" s="440" t="s">
        <v>4109</v>
      </c>
      <c r="H654" s="407" t="s">
        <v>4301</v>
      </c>
      <c r="I654" s="407" t="s">
        <v>3782</v>
      </c>
      <c r="J654" s="387" t="s">
        <v>4637</v>
      </c>
      <c r="K654" s="387">
        <v>1</v>
      </c>
      <c r="L654" s="387">
        <v>0</v>
      </c>
      <c r="M654" s="387">
        <f t="shared" ref="M654:M717" si="40">K654+L654</f>
        <v>1</v>
      </c>
      <c r="N654" s="442">
        <f t="shared" ref="N654:N717" si="41">K654*Z654</f>
        <v>0</v>
      </c>
      <c r="O654" s="387" t="s">
        <v>1358</v>
      </c>
      <c r="P654" s="459">
        <v>0</v>
      </c>
      <c r="Q654" s="459"/>
      <c r="R654" s="456">
        <v>0</v>
      </c>
      <c r="S654" s="456">
        <v>4.2050000000000001</v>
      </c>
      <c r="T654" s="410"/>
      <c r="U654" s="411">
        <v>0</v>
      </c>
      <c r="V654" s="411">
        <v>0</v>
      </c>
      <c r="W654" s="411">
        <v>0</v>
      </c>
      <c r="X654" s="411"/>
      <c r="Y654" s="411"/>
      <c r="Z654" s="412">
        <f t="shared" ref="Z654:Z713" si="42">AA654/S654</f>
        <v>0</v>
      </c>
      <c r="AA654" s="456">
        <f t="shared" ref="AA654:AA704" si="43">(U654*U$368*S654)+(V654*V$368*S654)+(W654*W$368*S654)</f>
        <v>0</v>
      </c>
      <c r="AB654" s="456">
        <v>0</v>
      </c>
      <c r="AC654" s="2"/>
      <c r="AD654" s="4"/>
      <c r="AE654" s="5"/>
      <c r="AF654" s="428"/>
    </row>
    <row r="655" spans="1:32" x14ac:dyDescent="0.25">
      <c r="A655" s="1" t="s">
        <v>3098</v>
      </c>
      <c r="B655" s="3" t="s">
        <v>1368</v>
      </c>
      <c r="C655" s="3" t="s">
        <v>1247</v>
      </c>
      <c r="D655" s="407" t="s">
        <v>1427</v>
      </c>
      <c r="E655" s="3" t="s">
        <v>2405</v>
      </c>
      <c r="F655" s="407" t="s">
        <v>4485</v>
      </c>
      <c r="G655" s="440" t="s">
        <v>4109</v>
      </c>
      <c r="H655" s="407" t="s">
        <v>4306</v>
      </c>
      <c r="I655" s="407" t="s">
        <v>3787</v>
      </c>
      <c r="J655" s="387" t="s">
        <v>4638</v>
      </c>
      <c r="K655" s="387">
        <v>1</v>
      </c>
      <c r="L655" s="387">
        <v>0</v>
      </c>
      <c r="M655" s="387">
        <f t="shared" si="40"/>
        <v>1</v>
      </c>
      <c r="N655" s="442">
        <f t="shared" si="41"/>
        <v>0</v>
      </c>
      <c r="O655" s="387" t="s">
        <v>1358</v>
      </c>
      <c r="P655" s="459">
        <v>0</v>
      </c>
      <c r="Q655" s="459"/>
      <c r="R655" s="456">
        <v>0</v>
      </c>
      <c r="S655" s="456">
        <v>4.2050000000000001</v>
      </c>
      <c r="T655" s="410"/>
      <c r="U655" s="411">
        <v>0</v>
      </c>
      <c r="V655" s="411">
        <v>0</v>
      </c>
      <c r="W655" s="411">
        <v>0</v>
      </c>
      <c r="X655" s="411"/>
      <c r="Y655" s="411"/>
      <c r="Z655" s="412">
        <f t="shared" si="42"/>
        <v>0</v>
      </c>
      <c r="AA655" s="456">
        <f t="shared" si="43"/>
        <v>0</v>
      </c>
      <c r="AB655" s="456">
        <v>0</v>
      </c>
      <c r="AC655" s="2"/>
      <c r="AD655" s="4"/>
      <c r="AE655" s="5"/>
      <c r="AF655" s="428"/>
    </row>
    <row r="656" spans="1:32" x14ac:dyDescent="0.25">
      <c r="A656" s="1" t="s">
        <v>3099</v>
      </c>
      <c r="B656" s="3" t="s">
        <v>1368</v>
      </c>
      <c r="C656" s="3" t="s">
        <v>1247</v>
      </c>
      <c r="D656" s="407" t="s">
        <v>1428</v>
      </c>
      <c r="E656" s="3" t="s">
        <v>2406</v>
      </c>
      <c r="F656" s="407" t="s">
        <v>4486</v>
      </c>
      <c r="G656" s="440" t="s">
        <v>4109</v>
      </c>
      <c r="H656" s="407" t="s">
        <v>4307</v>
      </c>
      <c r="I656" s="407" t="s">
        <v>3788</v>
      </c>
      <c r="J656" s="387" t="s">
        <v>4639</v>
      </c>
      <c r="K656" s="387">
        <v>1</v>
      </c>
      <c r="L656" s="387">
        <v>0</v>
      </c>
      <c r="M656" s="387">
        <f t="shared" si="40"/>
        <v>1</v>
      </c>
      <c r="N656" s="442">
        <f t="shared" si="41"/>
        <v>0</v>
      </c>
      <c r="O656" s="387" t="s">
        <v>1358</v>
      </c>
      <c r="P656" s="459">
        <v>0</v>
      </c>
      <c r="Q656" s="459"/>
      <c r="R656" s="456">
        <v>0</v>
      </c>
      <c r="S656" s="456">
        <v>4.2050000000000001</v>
      </c>
      <c r="T656" s="410"/>
      <c r="U656" s="411">
        <v>0</v>
      </c>
      <c r="V656" s="411">
        <v>0</v>
      </c>
      <c r="W656" s="411">
        <v>0</v>
      </c>
      <c r="X656" s="411"/>
      <c r="Y656" s="411"/>
      <c r="Z656" s="412">
        <f t="shared" si="42"/>
        <v>0</v>
      </c>
      <c r="AA656" s="456">
        <f t="shared" si="43"/>
        <v>0</v>
      </c>
      <c r="AB656" s="456">
        <v>0</v>
      </c>
      <c r="AC656" s="2"/>
      <c r="AD656" s="4"/>
      <c r="AE656" s="5"/>
      <c r="AF656" s="428"/>
    </row>
    <row r="657" spans="1:32" x14ac:dyDescent="0.25">
      <c r="A657" s="1" t="s">
        <v>3100</v>
      </c>
      <c r="B657" s="3" t="s">
        <v>1368</v>
      </c>
      <c r="C657" s="3" t="s">
        <v>1247</v>
      </c>
      <c r="D657" s="407" t="s">
        <v>1429</v>
      </c>
      <c r="E657" s="3" t="s">
        <v>2407</v>
      </c>
      <c r="F657" s="407" t="s">
        <v>4487</v>
      </c>
      <c r="G657" s="440" t="s">
        <v>4109</v>
      </c>
      <c r="H657" s="407" t="s">
        <v>4308</v>
      </c>
      <c r="I657" s="407" t="s">
        <v>3789</v>
      </c>
      <c r="J657" s="387" t="s">
        <v>4640</v>
      </c>
      <c r="K657" s="387">
        <v>1</v>
      </c>
      <c r="L657" s="387">
        <v>0</v>
      </c>
      <c r="M657" s="387">
        <f t="shared" si="40"/>
        <v>1</v>
      </c>
      <c r="N657" s="442">
        <f t="shared" si="41"/>
        <v>0</v>
      </c>
      <c r="O657" s="387" t="s">
        <v>1358</v>
      </c>
      <c r="P657" s="459">
        <v>0</v>
      </c>
      <c r="Q657" s="459"/>
      <c r="R657" s="456">
        <v>0</v>
      </c>
      <c r="S657" s="456">
        <v>4.2050000000000001</v>
      </c>
      <c r="T657" s="410"/>
      <c r="U657" s="411">
        <v>0</v>
      </c>
      <c r="V657" s="411">
        <v>0</v>
      </c>
      <c r="W657" s="411">
        <v>0</v>
      </c>
      <c r="X657" s="411"/>
      <c r="Y657" s="411"/>
      <c r="Z657" s="412">
        <f t="shared" si="42"/>
        <v>0</v>
      </c>
      <c r="AA657" s="456">
        <f t="shared" si="43"/>
        <v>0</v>
      </c>
      <c r="AB657" s="456">
        <v>0</v>
      </c>
      <c r="AC657" s="2"/>
      <c r="AD657" s="4"/>
      <c r="AE657" s="5"/>
      <c r="AF657" s="428"/>
    </row>
    <row r="658" spans="1:32" x14ac:dyDescent="0.25">
      <c r="A658" s="1" t="s">
        <v>3101</v>
      </c>
      <c r="B658" s="3" t="s">
        <v>1368</v>
      </c>
      <c r="C658" s="3" t="s">
        <v>1247</v>
      </c>
      <c r="D658" s="407" t="s">
        <v>1430</v>
      </c>
      <c r="E658" s="3" t="s">
        <v>2408</v>
      </c>
      <c r="F658" s="407" t="s">
        <v>4488</v>
      </c>
      <c r="G658" s="440" t="s">
        <v>4109</v>
      </c>
      <c r="H658" s="407" t="s">
        <v>4309</v>
      </c>
      <c r="I658" s="407" t="s">
        <v>3790</v>
      </c>
      <c r="J658" s="387" t="s">
        <v>4641</v>
      </c>
      <c r="K658" s="387">
        <v>1</v>
      </c>
      <c r="L658" s="387">
        <v>0</v>
      </c>
      <c r="M658" s="387">
        <f t="shared" si="40"/>
        <v>1</v>
      </c>
      <c r="N658" s="442">
        <f t="shared" si="41"/>
        <v>0</v>
      </c>
      <c r="O658" s="387" t="s">
        <v>1358</v>
      </c>
      <c r="P658" s="459">
        <v>0</v>
      </c>
      <c r="Q658" s="459"/>
      <c r="R658" s="456">
        <v>0</v>
      </c>
      <c r="S658" s="456">
        <v>4.2050000000000001</v>
      </c>
      <c r="T658" s="410"/>
      <c r="U658" s="411">
        <v>0</v>
      </c>
      <c r="V658" s="411">
        <v>0</v>
      </c>
      <c r="W658" s="411">
        <v>0</v>
      </c>
      <c r="X658" s="411"/>
      <c r="Y658" s="411"/>
      <c r="Z658" s="412">
        <f t="shared" si="42"/>
        <v>0</v>
      </c>
      <c r="AA658" s="456">
        <f t="shared" si="43"/>
        <v>0</v>
      </c>
      <c r="AB658" s="456">
        <v>0</v>
      </c>
      <c r="AC658" s="2"/>
      <c r="AD658" s="4"/>
      <c r="AE658" s="5"/>
      <c r="AF658" s="428"/>
    </row>
    <row r="659" spans="1:32" x14ac:dyDescent="0.25">
      <c r="A659" s="1" t="s">
        <v>3102</v>
      </c>
      <c r="B659" s="3" t="s">
        <v>1368</v>
      </c>
      <c r="C659" s="3" t="s">
        <v>1247</v>
      </c>
      <c r="D659" s="407" t="s">
        <v>1431</v>
      </c>
      <c r="E659" s="3" t="s">
        <v>2409</v>
      </c>
      <c r="F659" s="407" t="s">
        <v>4489</v>
      </c>
      <c r="G659" s="440" t="s">
        <v>4109</v>
      </c>
      <c r="H659" s="407" t="s">
        <v>4310</v>
      </c>
      <c r="I659" s="407" t="s">
        <v>3791</v>
      </c>
      <c r="J659" s="387" t="s">
        <v>4642</v>
      </c>
      <c r="K659" s="387">
        <v>1</v>
      </c>
      <c r="L659" s="387">
        <v>0</v>
      </c>
      <c r="M659" s="387">
        <f t="shared" si="40"/>
        <v>1</v>
      </c>
      <c r="N659" s="442">
        <f t="shared" si="41"/>
        <v>0</v>
      </c>
      <c r="O659" s="387" t="s">
        <v>1358</v>
      </c>
      <c r="P659" s="459">
        <v>0</v>
      </c>
      <c r="Q659" s="459"/>
      <c r="R659" s="456">
        <v>0</v>
      </c>
      <c r="S659" s="456">
        <v>4.2050000000000001</v>
      </c>
      <c r="T659" s="410"/>
      <c r="U659" s="411">
        <v>0</v>
      </c>
      <c r="V659" s="411">
        <v>0</v>
      </c>
      <c r="W659" s="411">
        <v>0</v>
      </c>
      <c r="X659" s="411"/>
      <c r="Y659" s="411"/>
      <c r="Z659" s="412">
        <f t="shared" si="42"/>
        <v>0</v>
      </c>
      <c r="AA659" s="456">
        <f t="shared" si="43"/>
        <v>0</v>
      </c>
      <c r="AB659" s="456">
        <v>0</v>
      </c>
      <c r="AC659" s="2"/>
      <c r="AD659" s="4"/>
      <c r="AE659" s="5"/>
      <c r="AF659" s="428"/>
    </row>
    <row r="660" spans="1:32" x14ac:dyDescent="0.25">
      <c r="A660" s="1" t="s">
        <v>3103</v>
      </c>
      <c r="B660" s="3" t="s">
        <v>1368</v>
      </c>
      <c r="C660" s="3" t="s">
        <v>1247</v>
      </c>
      <c r="D660" s="407" t="s">
        <v>3236</v>
      </c>
      <c r="E660" s="3" t="s">
        <v>2410</v>
      </c>
      <c r="F660" s="407" t="s">
        <v>4491</v>
      </c>
      <c r="G660" s="440" t="s">
        <v>4109</v>
      </c>
      <c r="H660" s="407" t="s">
        <v>4312</v>
      </c>
      <c r="I660" s="407" t="s">
        <v>3793</v>
      </c>
      <c r="J660" s="387" t="s">
        <v>4645</v>
      </c>
      <c r="K660" s="387">
        <v>1</v>
      </c>
      <c r="L660" s="387">
        <v>0</v>
      </c>
      <c r="M660" s="387">
        <f t="shared" si="40"/>
        <v>1</v>
      </c>
      <c r="N660" s="442">
        <f t="shared" si="41"/>
        <v>0</v>
      </c>
      <c r="O660" s="387" t="s">
        <v>1358</v>
      </c>
      <c r="P660" s="459">
        <v>0</v>
      </c>
      <c r="Q660" s="459"/>
      <c r="R660" s="456">
        <v>0</v>
      </c>
      <c r="S660" s="456">
        <v>4.4489999999999998</v>
      </c>
      <c r="T660" s="410"/>
      <c r="U660" s="411">
        <v>0</v>
      </c>
      <c r="V660" s="411">
        <v>0</v>
      </c>
      <c r="W660" s="411">
        <v>0</v>
      </c>
      <c r="X660" s="411"/>
      <c r="Y660" s="411"/>
      <c r="Z660" s="412">
        <f t="shared" si="42"/>
        <v>0</v>
      </c>
      <c r="AA660" s="456">
        <f t="shared" si="43"/>
        <v>0</v>
      </c>
      <c r="AB660" s="456">
        <v>0</v>
      </c>
      <c r="AC660" s="2"/>
      <c r="AD660" s="4"/>
      <c r="AE660" s="5"/>
      <c r="AF660" s="428"/>
    </row>
    <row r="661" spans="1:32" x14ac:dyDescent="0.25">
      <c r="A661" s="1" t="s">
        <v>3104</v>
      </c>
      <c r="B661" s="3" t="s">
        <v>1368</v>
      </c>
      <c r="C661" s="3" t="s">
        <v>1247</v>
      </c>
      <c r="D661" s="407" t="s">
        <v>3234</v>
      </c>
      <c r="E661" s="3" t="s">
        <v>2411</v>
      </c>
      <c r="F661" s="407" t="s">
        <v>4492</v>
      </c>
      <c r="G661" s="440" t="s">
        <v>4109</v>
      </c>
      <c r="H661" s="407" t="s">
        <v>4313</v>
      </c>
      <c r="I661" s="407" t="s">
        <v>3794</v>
      </c>
      <c r="J661" s="387" t="s">
        <v>4646</v>
      </c>
      <c r="K661" s="387">
        <v>1</v>
      </c>
      <c r="L661" s="387">
        <v>0</v>
      </c>
      <c r="M661" s="387">
        <f t="shared" si="40"/>
        <v>1</v>
      </c>
      <c r="N661" s="442">
        <f t="shared" si="41"/>
        <v>0</v>
      </c>
      <c r="O661" s="387" t="s">
        <v>1358</v>
      </c>
      <c r="P661" s="459">
        <v>0</v>
      </c>
      <c r="Q661" s="459"/>
      <c r="R661" s="456">
        <v>0</v>
      </c>
      <c r="S661" s="456">
        <v>4.2050000000000001</v>
      </c>
      <c r="T661" s="410"/>
      <c r="U661" s="411">
        <v>0</v>
      </c>
      <c r="V661" s="411">
        <v>0</v>
      </c>
      <c r="W661" s="411">
        <v>0</v>
      </c>
      <c r="X661" s="411"/>
      <c r="Y661" s="411"/>
      <c r="Z661" s="412">
        <f t="shared" si="42"/>
        <v>0</v>
      </c>
      <c r="AA661" s="456">
        <f t="shared" si="43"/>
        <v>0</v>
      </c>
      <c r="AB661" s="456">
        <v>0</v>
      </c>
      <c r="AC661" s="2"/>
      <c r="AD661" s="4"/>
      <c r="AE661" s="5"/>
      <c r="AF661" s="428"/>
    </row>
    <row r="662" spans="1:32" x14ac:dyDescent="0.25">
      <c r="A662" s="1" t="s">
        <v>3105</v>
      </c>
      <c r="B662" s="3" t="s">
        <v>1368</v>
      </c>
      <c r="C662" s="3" t="s">
        <v>1247</v>
      </c>
      <c r="D662" s="407" t="s">
        <v>3291</v>
      </c>
      <c r="E662" s="3" t="s">
        <v>2412</v>
      </c>
      <c r="F662" s="407" t="s">
        <v>4476</v>
      </c>
      <c r="G662" s="440" t="s">
        <v>4109</v>
      </c>
      <c r="H662" s="407" t="s">
        <v>4297</v>
      </c>
      <c r="I662" s="407" t="s">
        <v>3753</v>
      </c>
      <c r="J662" s="387" t="s">
        <v>4651</v>
      </c>
      <c r="K662" s="387">
        <v>1</v>
      </c>
      <c r="L662" s="387">
        <v>0</v>
      </c>
      <c r="M662" s="387">
        <f t="shared" si="40"/>
        <v>1</v>
      </c>
      <c r="N662" s="442">
        <f t="shared" si="41"/>
        <v>0</v>
      </c>
      <c r="O662" s="387" t="s">
        <v>1358</v>
      </c>
      <c r="P662" s="459">
        <v>0</v>
      </c>
      <c r="Q662" s="459"/>
      <c r="R662" s="456">
        <v>0</v>
      </c>
      <c r="S662" s="456">
        <v>4.4560000000000004</v>
      </c>
      <c r="T662" s="410"/>
      <c r="U662" s="411">
        <v>1</v>
      </c>
      <c r="V662" s="411">
        <v>1</v>
      </c>
      <c r="W662" s="411">
        <v>1</v>
      </c>
      <c r="X662" s="411"/>
      <c r="Y662" s="411"/>
      <c r="Z662" s="412">
        <f t="shared" si="42"/>
        <v>0</v>
      </c>
      <c r="AA662" s="456">
        <f t="shared" si="43"/>
        <v>0</v>
      </c>
      <c r="AB662" s="456">
        <v>0</v>
      </c>
      <c r="AC662" s="2"/>
      <c r="AD662" s="4"/>
      <c r="AE662" s="5"/>
      <c r="AF662" s="428"/>
    </row>
    <row r="663" spans="1:32" x14ac:dyDescent="0.25">
      <c r="A663" s="1" t="s">
        <v>3106</v>
      </c>
      <c r="B663" s="3" t="s">
        <v>1368</v>
      </c>
      <c r="C663" s="3" t="s">
        <v>1247</v>
      </c>
      <c r="D663" s="407" t="s">
        <v>1377</v>
      </c>
      <c r="E663" s="3" t="s">
        <v>2413</v>
      </c>
      <c r="F663" s="407" t="s">
        <v>4494</v>
      </c>
      <c r="G663" s="440" t="s">
        <v>4109</v>
      </c>
      <c r="H663" s="407" t="s">
        <v>4315</v>
      </c>
      <c r="I663" s="407" t="s">
        <v>3749</v>
      </c>
      <c r="J663" s="387" t="s">
        <v>4648</v>
      </c>
      <c r="K663" s="387">
        <v>1</v>
      </c>
      <c r="L663" s="387">
        <v>0</v>
      </c>
      <c r="M663" s="387">
        <f t="shared" si="40"/>
        <v>1</v>
      </c>
      <c r="N663" s="442">
        <f t="shared" si="41"/>
        <v>0</v>
      </c>
      <c r="O663" s="387" t="s">
        <v>1358</v>
      </c>
      <c r="P663" s="459">
        <v>0</v>
      </c>
      <c r="Q663" s="459"/>
      <c r="R663" s="456">
        <v>0</v>
      </c>
      <c r="S663" s="456">
        <v>4.33</v>
      </c>
      <c r="T663" s="410"/>
      <c r="U663" s="411">
        <v>0</v>
      </c>
      <c r="V663" s="411">
        <v>0</v>
      </c>
      <c r="W663" s="411">
        <v>0</v>
      </c>
      <c r="X663" s="411"/>
      <c r="Y663" s="411"/>
      <c r="Z663" s="412">
        <f t="shared" si="42"/>
        <v>0</v>
      </c>
      <c r="AA663" s="456">
        <f t="shared" si="43"/>
        <v>0</v>
      </c>
      <c r="AB663" s="456">
        <v>0</v>
      </c>
      <c r="AC663" s="2"/>
      <c r="AD663" s="4"/>
      <c r="AE663" s="5"/>
      <c r="AF663" s="428"/>
    </row>
    <row r="664" spans="1:32" x14ac:dyDescent="0.25">
      <c r="A664" s="1" t="s">
        <v>3107</v>
      </c>
      <c r="B664" s="3" t="s">
        <v>1368</v>
      </c>
      <c r="C664" s="3" t="s">
        <v>1247</v>
      </c>
      <c r="D664" s="407" t="s">
        <v>1379</v>
      </c>
      <c r="E664" s="3" t="s">
        <v>2414</v>
      </c>
      <c r="F664" s="407" t="s">
        <v>4502</v>
      </c>
      <c r="G664" s="440" t="s">
        <v>4109</v>
      </c>
      <c r="H664" s="407" t="s">
        <v>4323</v>
      </c>
      <c r="I664" s="407" t="s">
        <v>3750</v>
      </c>
      <c r="J664" s="387" t="s">
        <v>4632</v>
      </c>
      <c r="K664" s="387">
        <v>2</v>
      </c>
      <c r="L664" s="387">
        <v>0</v>
      </c>
      <c r="M664" s="387">
        <f t="shared" si="40"/>
        <v>2</v>
      </c>
      <c r="N664" s="442">
        <f t="shared" si="41"/>
        <v>0</v>
      </c>
      <c r="O664" s="387" t="s">
        <v>1358</v>
      </c>
      <c r="P664" s="459">
        <v>0</v>
      </c>
      <c r="Q664" s="459"/>
      <c r="R664" s="456">
        <v>0</v>
      </c>
      <c r="S664" s="456">
        <v>8.66</v>
      </c>
      <c r="T664" s="410"/>
      <c r="U664" s="411">
        <v>1</v>
      </c>
      <c r="V664" s="411">
        <v>1</v>
      </c>
      <c r="W664" s="411">
        <v>1</v>
      </c>
      <c r="X664" s="411"/>
      <c r="Y664" s="411"/>
      <c r="Z664" s="412">
        <f t="shared" si="42"/>
        <v>0</v>
      </c>
      <c r="AA664" s="456">
        <f t="shared" si="43"/>
        <v>0</v>
      </c>
      <c r="AB664" s="456">
        <v>0</v>
      </c>
      <c r="AC664" s="2"/>
      <c r="AD664" s="4"/>
      <c r="AE664" s="5"/>
      <c r="AF664" s="428"/>
    </row>
    <row r="665" spans="1:32" x14ac:dyDescent="0.25">
      <c r="A665" s="1" t="s">
        <v>3108</v>
      </c>
      <c r="B665" s="3" t="s">
        <v>1368</v>
      </c>
      <c r="C665" s="3" t="s">
        <v>1247</v>
      </c>
      <c r="D665" s="407" t="s">
        <v>1381</v>
      </c>
      <c r="E665" s="3" t="s">
        <v>2415</v>
      </c>
      <c r="F665" s="407" t="s">
        <v>4497</v>
      </c>
      <c r="G665" s="440" t="s">
        <v>4109</v>
      </c>
      <c r="H665" s="407" t="s">
        <v>4318</v>
      </c>
      <c r="I665" s="407" t="s">
        <v>3751</v>
      </c>
      <c r="J665" s="387" t="s">
        <v>4631</v>
      </c>
      <c r="K665" s="387">
        <v>2</v>
      </c>
      <c r="L665" s="387">
        <v>0</v>
      </c>
      <c r="M665" s="387">
        <f t="shared" si="40"/>
        <v>2</v>
      </c>
      <c r="N665" s="442">
        <f t="shared" si="41"/>
        <v>0</v>
      </c>
      <c r="O665" s="387" t="s">
        <v>1358</v>
      </c>
      <c r="P665" s="459">
        <v>0</v>
      </c>
      <c r="Q665" s="459"/>
      <c r="R665" s="456">
        <v>0</v>
      </c>
      <c r="S665" s="456">
        <v>8.66</v>
      </c>
      <c r="T665" s="410"/>
      <c r="U665" s="411">
        <v>1</v>
      </c>
      <c r="V665" s="411">
        <v>1</v>
      </c>
      <c r="W665" s="411">
        <v>1</v>
      </c>
      <c r="X665" s="411"/>
      <c r="Y665" s="411"/>
      <c r="Z665" s="412">
        <f t="shared" si="42"/>
        <v>0</v>
      </c>
      <c r="AA665" s="456">
        <f t="shared" si="43"/>
        <v>0</v>
      </c>
      <c r="AB665" s="456">
        <v>0</v>
      </c>
      <c r="AC665" s="2"/>
      <c r="AD665" s="4"/>
      <c r="AE665" s="5"/>
      <c r="AF665" s="428"/>
    </row>
    <row r="666" spans="1:32" x14ac:dyDescent="0.25">
      <c r="A666" s="1" t="s">
        <v>3109</v>
      </c>
      <c r="B666" s="3" t="s">
        <v>1368</v>
      </c>
      <c r="C666" s="3" t="s">
        <v>1247</v>
      </c>
      <c r="D666" s="407" t="s">
        <v>3294</v>
      </c>
      <c r="E666" s="3" t="s">
        <v>2416</v>
      </c>
      <c r="F666" s="407" t="s">
        <v>4500</v>
      </c>
      <c r="G666" s="440" t="s">
        <v>4109</v>
      </c>
      <c r="H666" s="407" t="s">
        <v>4321</v>
      </c>
      <c r="I666" s="407" t="s">
        <v>3755</v>
      </c>
      <c r="J666" s="387" t="s">
        <v>4654</v>
      </c>
      <c r="K666" s="387">
        <v>1</v>
      </c>
      <c r="L666" s="387">
        <v>0</v>
      </c>
      <c r="M666" s="387">
        <f t="shared" si="40"/>
        <v>1</v>
      </c>
      <c r="N666" s="442">
        <f t="shared" si="41"/>
        <v>0</v>
      </c>
      <c r="O666" s="387" t="s">
        <v>1358</v>
      </c>
      <c r="P666" s="459">
        <v>0</v>
      </c>
      <c r="Q666" s="459"/>
      <c r="R666" s="456">
        <v>0</v>
      </c>
      <c r="S666" s="456">
        <v>4.2050000000000001</v>
      </c>
      <c r="T666" s="410"/>
      <c r="U666" s="411">
        <v>1</v>
      </c>
      <c r="V666" s="411">
        <v>1</v>
      </c>
      <c r="W666" s="411">
        <v>1</v>
      </c>
      <c r="X666" s="411"/>
      <c r="Y666" s="411"/>
      <c r="Z666" s="412">
        <f t="shared" si="42"/>
        <v>0</v>
      </c>
      <c r="AA666" s="456">
        <f t="shared" si="43"/>
        <v>0</v>
      </c>
      <c r="AB666" s="456">
        <v>0</v>
      </c>
      <c r="AC666" s="2"/>
      <c r="AD666" s="4"/>
      <c r="AE666" s="5"/>
      <c r="AF666" s="428"/>
    </row>
    <row r="667" spans="1:32" x14ac:dyDescent="0.25">
      <c r="A667" s="1" t="s">
        <v>3110</v>
      </c>
      <c r="B667" s="3" t="s">
        <v>1368</v>
      </c>
      <c r="C667" s="3" t="s">
        <v>1247</v>
      </c>
      <c r="D667" s="407" t="s">
        <v>1425</v>
      </c>
      <c r="E667" s="3" t="s">
        <v>2417</v>
      </c>
      <c r="F667" s="407" t="s">
        <v>4479</v>
      </c>
      <c r="G667" s="440" t="s">
        <v>4109</v>
      </c>
      <c r="H667" s="407" t="s">
        <v>4300</v>
      </c>
      <c r="I667" s="407" t="s">
        <v>3781</v>
      </c>
      <c r="J667" s="387" t="s">
        <v>4643</v>
      </c>
      <c r="K667" s="387">
        <v>1</v>
      </c>
      <c r="L667" s="387">
        <v>0</v>
      </c>
      <c r="M667" s="387">
        <f t="shared" si="40"/>
        <v>1</v>
      </c>
      <c r="N667" s="442">
        <f t="shared" si="41"/>
        <v>0</v>
      </c>
      <c r="O667" s="387" t="s">
        <v>1358</v>
      </c>
      <c r="P667" s="459">
        <v>0</v>
      </c>
      <c r="Q667" s="459"/>
      <c r="R667" s="456">
        <v>0</v>
      </c>
      <c r="S667" s="456">
        <v>4.4550000000000001</v>
      </c>
      <c r="T667" s="410"/>
      <c r="U667" s="411">
        <v>1</v>
      </c>
      <c r="V667" s="411">
        <v>1</v>
      </c>
      <c r="W667" s="411">
        <v>1</v>
      </c>
      <c r="X667" s="411"/>
      <c r="Y667" s="411"/>
      <c r="Z667" s="412">
        <f t="shared" si="42"/>
        <v>0</v>
      </c>
      <c r="AA667" s="456">
        <f t="shared" si="43"/>
        <v>0</v>
      </c>
      <c r="AB667" s="456">
        <v>0</v>
      </c>
      <c r="AC667" s="2"/>
      <c r="AD667" s="4"/>
      <c r="AE667" s="5"/>
      <c r="AF667" s="428"/>
    </row>
    <row r="668" spans="1:32" x14ac:dyDescent="0.25">
      <c r="A668" s="1" t="s">
        <v>3111</v>
      </c>
      <c r="B668" s="3" t="s">
        <v>1368</v>
      </c>
      <c r="C668" s="3" t="s">
        <v>1247</v>
      </c>
      <c r="D668" s="407" t="s">
        <v>3294</v>
      </c>
      <c r="E668" s="3" t="s">
        <v>2418</v>
      </c>
      <c r="F668" s="407" t="s">
        <v>4500</v>
      </c>
      <c r="G668" s="440" t="s">
        <v>4109</v>
      </c>
      <c r="H668" s="407" t="s">
        <v>4321</v>
      </c>
      <c r="I668" s="407" t="s">
        <v>3755</v>
      </c>
      <c r="J668" s="387" t="s">
        <v>4654</v>
      </c>
      <c r="K668" s="387">
        <v>1</v>
      </c>
      <c r="L668" s="387">
        <v>0</v>
      </c>
      <c r="M668" s="387">
        <f t="shared" si="40"/>
        <v>1</v>
      </c>
      <c r="N668" s="442">
        <f t="shared" si="41"/>
        <v>0</v>
      </c>
      <c r="O668" s="387" t="s">
        <v>1358</v>
      </c>
      <c r="P668" s="459">
        <v>0</v>
      </c>
      <c r="Q668" s="459"/>
      <c r="R668" s="456">
        <v>0</v>
      </c>
      <c r="S668" s="456">
        <v>4.2050000000000001</v>
      </c>
      <c r="T668" s="410"/>
      <c r="U668" s="411">
        <v>1</v>
      </c>
      <c r="V668" s="411">
        <v>1</v>
      </c>
      <c r="W668" s="411">
        <v>1</v>
      </c>
      <c r="X668" s="411"/>
      <c r="Y668" s="411"/>
      <c r="Z668" s="412">
        <f t="shared" si="42"/>
        <v>0</v>
      </c>
      <c r="AA668" s="456">
        <f t="shared" si="43"/>
        <v>0</v>
      </c>
      <c r="AB668" s="456">
        <v>0</v>
      </c>
      <c r="AC668" s="2"/>
      <c r="AD668" s="4"/>
      <c r="AE668" s="5"/>
      <c r="AF668" s="428"/>
    </row>
    <row r="669" spans="1:32" x14ac:dyDescent="0.25">
      <c r="A669" s="1" t="s">
        <v>3112</v>
      </c>
      <c r="B669" s="3" t="s">
        <v>1368</v>
      </c>
      <c r="C669" s="3" t="s">
        <v>1247</v>
      </c>
      <c r="D669" s="407" t="s">
        <v>1398</v>
      </c>
      <c r="E669" s="3" t="s">
        <v>2419</v>
      </c>
      <c r="F669" s="407" t="s">
        <v>4496</v>
      </c>
      <c r="G669" s="440" t="s">
        <v>4109</v>
      </c>
      <c r="H669" s="407" t="s">
        <v>4317</v>
      </c>
      <c r="I669" s="407" t="s">
        <v>3796</v>
      </c>
      <c r="J669" s="387" t="s">
        <v>4650</v>
      </c>
      <c r="K669" s="387">
        <v>1</v>
      </c>
      <c r="L669" s="387">
        <v>0</v>
      </c>
      <c r="M669" s="387">
        <f t="shared" si="40"/>
        <v>1</v>
      </c>
      <c r="N669" s="442">
        <f t="shared" si="41"/>
        <v>0</v>
      </c>
      <c r="O669" s="387" t="s">
        <v>1358</v>
      </c>
      <c r="P669" s="459">
        <v>0</v>
      </c>
      <c r="Q669" s="459"/>
      <c r="R669" s="456">
        <v>0</v>
      </c>
      <c r="S669" s="456">
        <v>4.33</v>
      </c>
      <c r="T669" s="410"/>
      <c r="U669" s="411">
        <v>1</v>
      </c>
      <c r="V669" s="411">
        <v>1</v>
      </c>
      <c r="W669" s="411">
        <v>1</v>
      </c>
      <c r="X669" s="411"/>
      <c r="Y669" s="411"/>
      <c r="Z669" s="412">
        <f t="shared" si="42"/>
        <v>0</v>
      </c>
      <c r="AA669" s="456">
        <f t="shared" si="43"/>
        <v>0</v>
      </c>
      <c r="AB669" s="456">
        <v>0</v>
      </c>
      <c r="AC669" s="2"/>
      <c r="AD669" s="4"/>
      <c r="AE669" s="5"/>
      <c r="AF669" s="428"/>
    </row>
    <row r="670" spans="1:32" x14ac:dyDescent="0.25">
      <c r="A670" s="1" t="s">
        <v>3113</v>
      </c>
      <c r="B670" s="3" t="s">
        <v>1368</v>
      </c>
      <c r="C670" s="3" t="s">
        <v>1247</v>
      </c>
      <c r="D670" s="407" t="s">
        <v>1374</v>
      </c>
      <c r="E670" s="3" t="s">
        <v>2420</v>
      </c>
      <c r="F670" s="407" t="s">
        <v>4495</v>
      </c>
      <c r="G670" s="440" t="s">
        <v>4109</v>
      </c>
      <c r="H670" s="407" t="s">
        <v>4316</v>
      </c>
      <c r="I670" s="407" t="s">
        <v>3757</v>
      </c>
      <c r="J670" s="387" t="s">
        <v>4649</v>
      </c>
      <c r="K670" s="387">
        <v>1</v>
      </c>
      <c r="L670" s="387">
        <v>0</v>
      </c>
      <c r="M670" s="387">
        <f t="shared" si="40"/>
        <v>1</v>
      </c>
      <c r="N670" s="442">
        <f t="shared" si="41"/>
        <v>0</v>
      </c>
      <c r="O670" s="387" t="s">
        <v>1358</v>
      </c>
      <c r="P670" s="459">
        <v>0</v>
      </c>
      <c r="Q670" s="459"/>
      <c r="R670" s="456">
        <v>0</v>
      </c>
      <c r="S670" s="456">
        <v>4.33</v>
      </c>
      <c r="T670" s="410"/>
      <c r="U670" s="411">
        <v>1</v>
      </c>
      <c r="V670" s="411">
        <v>1</v>
      </c>
      <c r="W670" s="411">
        <v>1</v>
      </c>
      <c r="X670" s="411"/>
      <c r="Y670" s="411"/>
      <c r="Z670" s="412">
        <f t="shared" si="42"/>
        <v>0</v>
      </c>
      <c r="AA670" s="456">
        <f t="shared" si="43"/>
        <v>0</v>
      </c>
      <c r="AB670" s="456">
        <v>0</v>
      </c>
      <c r="AC670" s="2"/>
      <c r="AD670" s="4"/>
      <c r="AE670" s="5"/>
      <c r="AF670" s="428"/>
    </row>
    <row r="671" spans="1:32" x14ac:dyDescent="0.25">
      <c r="A671" s="1" t="s">
        <v>3114</v>
      </c>
      <c r="B671" s="3" t="s">
        <v>1368</v>
      </c>
      <c r="C671" s="3" t="s">
        <v>1247</v>
      </c>
      <c r="D671" s="407" t="s">
        <v>1377</v>
      </c>
      <c r="E671" s="3" t="s">
        <v>2421</v>
      </c>
      <c r="F671" s="407" t="s">
        <v>4494</v>
      </c>
      <c r="G671" s="440" t="s">
        <v>4109</v>
      </c>
      <c r="H671" s="407" t="s">
        <v>4315</v>
      </c>
      <c r="I671" s="407" t="s">
        <v>3749</v>
      </c>
      <c r="J671" s="387" t="s">
        <v>4648</v>
      </c>
      <c r="K671" s="387">
        <v>1</v>
      </c>
      <c r="L671" s="387">
        <v>0</v>
      </c>
      <c r="M671" s="387">
        <f t="shared" si="40"/>
        <v>1</v>
      </c>
      <c r="N671" s="442">
        <f t="shared" si="41"/>
        <v>0</v>
      </c>
      <c r="O671" s="387" t="s">
        <v>1358</v>
      </c>
      <c r="P671" s="459">
        <v>0</v>
      </c>
      <c r="Q671" s="459"/>
      <c r="R671" s="456">
        <v>0</v>
      </c>
      <c r="S671" s="456">
        <v>4.33</v>
      </c>
      <c r="T671" s="410"/>
      <c r="U671" s="411">
        <v>0</v>
      </c>
      <c r="V671" s="411">
        <v>0</v>
      </c>
      <c r="W671" s="411">
        <v>0</v>
      </c>
      <c r="X671" s="411"/>
      <c r="Y671" s="411"/>
      <c r="Z671" s="412">
        <f t="shared" si="42"/>
        <v>0</v>
      </c>
      <c r="AA671" s="456">
        <f t="shared" si="43"/>
        <v>0</v>
      </c>
      <c r="AB671" s="456">
        <v>0</v>
      </c>
      <c r="AC671" s="2"/>
      <c r="AD671" s="4"/>
      <c r="AE671" s="5"/>
      <c r="AF671" s="428"/>
    </row>
    <row r="672" spans="1:32" x14ac:dyDescent="0.25">
      <c r="A672" s="1" t="s">
        <v>3115</v>
      </c>
      <c r="B672" s="3" t="s">
        <v>1368</v>
      </c>
      <c r="C672" s="3" t="s">
        <v>1247</v>
      </c>
      <c r="D672" s="407" t="s">
        <v>1396</v>
      </c>
      <c r="E672" s="3" t="s">
        <v>2422</v>
      </c>
      <c r="F672" s="407" t="s">
        <v>4498</v>
      </c>
      <c r="G672" s="440" t="s">
        <v>4109</v>
      </c>
      <c r="H672" s="407" t="s">
        <v>4319</v>
      </c>
      <c r="I672" s="407" t="s">
        <v>3752</v>
      </c>
      <c r="J672" s="387" t="s">
        <v>4652</v>
      </c>
      <c r="K672" s="387">
        <v>2</v>
      </c>
      <c r="L672" s="387">
        <v>0</v>
      </c>
      <c r="M672" s="387">
        <f t="shared" si="40"/>
        <v>2</v>
      </c>
      <c r="N672" s="442">
        <f t="shared" si="41"/>
        <v>0</v>
      </c>
      <c r="O672" s="387" t="s">
        <v>1358</v>
      </c>
      <c r="P672" s="459">
        <v>0</v>
      </c>
      <c r="Q672" s="459"/>
      <c r="R672" s="456">
        <v>0</v>
      </c>
      <c r="S672" s="456">
        <v>8.66</v>
      </c>
      <c r="T672" s="410"/>
      <c r="U672" s="411">
        <v>1</v>
      </c>
      <c r="V672" s="411">
        <v>1</v>
      </c>
      <c r="W672" s="411">
        <v>1</v>
      </c>
      <c r="X672" s="411"/>
      <c r="Y672" s="411"/>
      <c r="Z672" s="412">
        <f t="shared" si="42"/>
        <v>0</v>
      </c>
      <c r="AA672" s="456">
        <f t="shared" si="43"/>
        <v>0</v>
      </c>
      <c r="AB672" s="456">
        <v>0</v>
      </c>
      <c r="AC672" s="2"/>
      <c r="AD672" s="4"/>
      <c r="AE672" s="5"/>
      <c r="AF672" s="428"/>
    </row>
    <row r="673" spans="1:32" x14ac:dyDescent="0.25">
      <c r="A673" s="1" t="s">
        <v>3116</v>
      </c>
      <c r="B673" s="3" t="s">
        <v>1368</v>
      </c>
      <c r="C673" s="3" t="s">
        <v>1247</v>
      </c>
      <c r="D673" s="407" t="s">
        <v>1432</v>
      </c>
      <c r="E673" s="3" t="s">
        <v>2423</v>
      </c>
      <c r="F673" s="407" t="s">
        <v>4483</v>
      </c>
      <c r="G673" s="440" t="s">
        <v>4109</v>
      </c>
      <c r="H673" s="407" t="s">
        <v>4304</v>
      </c>
      <c r="I673" s="407" t="s">
        <v>3785</v>
      </c>
      <c r="J673" s="387" t="s">
        <v>4635</v>
      </c>
      <c r="K673" s="387">
        <v>1</v>
      </c>
      <c r="L673" s="387">
        <v>0</v>
      </c>
      <c r="M673" s="387">
        <f t="shared" si="40"/>
        <v>1</v>
      </c>
      <c r="N673" s="442">
        <f t="shared" si="41"/>
        <v>0</v>
      </c>
      <c r="O673" s="387" t="s">
        <v>1358</v>
      </c>
      <c r="P673" s="459">
        <v>0</v>
      </c>
      <c r="Q673" s="459"/>
      <c r="R673" s="456">
        <v>0</v>
      </c>
      <c r="S673" s="456">
        <v>2.0019999999999998</v>
      </c>
      <c r="T673" s="410"/>
      <c r="U673" s="411">
        <v>0</v>
      </c>
      <c r="V673" s="411">
        <v>0</v>
      </c>
      <c r="W673" s="411">
        <v>0</v>
      </c>
      <c r="X673" s="411"/>
      <c r="Y673" s="411"/>
      <c r="Z673" s="412">
        <f t="shared" si="42"/>
        <v>0</v>
      </c>
      <c r="AA673" s="456">
        <f t="shared" si="43"/>
        <v>0</v>
      </c>
      <c r="AB673" s="456">
        <v>0</v>
      </c>
      <c r="AC673" s="2"/>
      <c r="AD673" s="4"/>
      <c r="AE673" s="5"/>
      <c r="AF673" s="428"/>
    </row>
    <row r="674" spans="1:32" x14ac:dyDescent="0.25">
      <c r="A674" s="1" t="s">
        <v>3117</v>
      </c>
      <c r="B674" s="3" t="s">
        <v>1368</v>
      </c>
      <c r="C674" s="3" t="s">
        <v>1247</v>
      </c>
      <c r="D674" s="407" t="s">
        <v>1431</v>
      </c>
      <c r="E674" s="3" t="s">
        <v>2424</v>
      </c>
      <c r="F674" s="407" t="s">
        <v>4489</v>
      </c>
      <c r="G674" s="440" t="s">
        <v>4109</v>
      </c>
      <c r="H674" s="407" t="s">
        <v>4310</v>
      </c>
      <c r="I674" s="407" t="s">
        <v>3791</v>
      </c>
      <c r="J674" s="387" t="s">
        <v>4642</v>
      </c>
      <c r="K674" s="387">
        <v>1</v>
      </c>
      <c r="L674" s="387">
        <v>0</v>
      </c>
      <c r="M674" s="387">
        <f t="shared" si="40"/>
        <v>1</v>
      </c>
      <c r="N674" s="442">
        <f t="shared" si="41"/>
        <v>0</v>
      </c>
      <c r="O674" s="387" t="s">
        <v>1358</v>
      </c>
      <c r="P674" s="459">
        <v>0</v>
      </c>
      <c r="Q674" s="459"/>
      <c r="R674" s="456">
        <v>0</v>
      </c>
      <c r="S674" s="456">
        <v>2.0019999999999998</v>
      </c>
      <c r="T674" s="410"/>
      <c r="U674" s="411">
        <v>0</v>
      </c>
      <c r="V674" s="411">
        <v>0</v>
      </c>
      <c r="W674" s="411">
        <v>0</v>
      </c>
      <c r="X674" s="411"/>
      <c r="Y674" s="411"/>
      <c r="Z674" s="412">
        <f t="shared" si="42"/>
        <v>0</v>
      </c>
      <c r="AA674" s="456">
        <f t="shared" si="43"/>
        <v>0</v>
      </c>
      <c r="AB674" s="456">
        <v>0</v>
      </c>
      <c r="AC674" s="2"/>
      <c r="AD674" s="4"/>
      <c r="AE674" s="5"/>
      <c r="AF674" s="428"/>
    </row>
    <row r="675" spans="1:32" x14ac:dyDescent="0.25">
      <c r="A675" s="1" t="s">
        <v>3118</v>
      </c>
      <c r="B675" s="3" t="s">
        <v>1368</v>
      </c>
      <c r="C675" s="3" t="s">
        <v>1247</v>
      </c>
      <c r="D675" s="407" t="s">
        <v>1433</v>
      </c>
      <c r="E675" s="3" t="s">
        <v>2425</v>
      </c>
      <c r="F675" s="407" t="s">
        <v>4490</v>
      </c>
      <c r="G675" s="440" t="s">
        <v>4109</v>
      </c>
      <c r="H675" s="407" t="s">
        <v>4311</v>
      </c>
      <c r="I675" s="407" t="s">
        <v>3792</v>
      </c>
      <c r="J675" s="387" t="s">
        <v>4644</v>
      </c>
      <c r="K675" s="387">
        <v>1</v>
      </c>
      <c r="L675" s="387">
        <v>0</v>
      </c>
      <c r="M675" s="387">
        <f t="shared" si="40"/>
        <v>1</v>
      </c>
      <c r="N675" s="442">
        <f t="shared" si="41"/>
        <v>0</v>
      </c>
      <c r="O675" s="387" t="s">
        <v>1358</v>
      </c>
      <c r="P675" s="459">
        <v>0</v>
      </c>
      <c r="Q675" s="459"/>
      <c r="R675" s="456">
        <v>0</v>
      </c>
      <c r="S675" s="456">
        <v>2.0019999999999998</v>
      </c>
      <c r="T675" s="410"/>
      <c r="U675" s="411">
        <v>0</v>
      </c>
      <c r="V675" s="411">
        <v>0</v>
      </c>
      <c r="W675" s="411">
        <v>0</v>
      </c>
      <c r="X675" s="411"/>
      <c r="Y675" s="411"/>
      <c r="Z675" s="412">
        <f t="shared" si="42"/>
        <v>0</v>
      </c>
      <c r="AA675" s="456">
        <f t="shared" si="43"/>
        <v>0</v>
      </c>
      <c r="AB675" s="456">
        <v>0</v>
      </c>
      <c r="AC675" s="2"/>
      <c r="AD675" s="4"/>
      <c r="AE675" s="5"/>
      <c r="AF675" s="428"/>
    </row>
    <row r="676" spans="1:32" x14ac:dyDescent="0.25">
      <c r="A676" s="1" t="s">
        <v>3119</v>
      </c>
      <c r="B676" s="3" t="s">
        <v>1368</v>
      </c>
      <c r="C676" s="3" t="s">
        <v>1247</v>
      </c>
      <c r="D676" s="407" t="s">
        <v>1433</v>
      </c>
      <c r="E676" s="3" t="s">
        <v>2426</v>
      </c>
      <c r="F676" s="407" t="s">
        <v>4490</v>
      </c>
      <c r="G676" s="440" t="s">
        <v>4109</v>
      </c>
      <c r="H676" s="407" t="s">
        <v>4311</v>
      </c>
      <c r="I676" s="407" t="s">
        <v>3792</v>
      </c>
      <c r="J676" s="387" t="s">
        <v>4644</v>
      </c>
      <c r="K676" s="387">
        <v>1</v>
      </c>
      <c r="L676" s="387">
        <v>0</v>
      </c>
      <c r="M676" s="387">
        <f t="shared" si="40"/>
        <v>1</v>
      </c>
      <c r="N676" s="442">
        <f t="shared" si="41"/>
        <v>0</v>
      </c>
      <c r="O676" s="387" t="s">
        <v>1358</v>
      </c>
      <c r="P676" s="459">
        <v>0</v>
      </c>
      <c r="Q676" s="459"/>
      <c r="R676" s="456">
        <v>0</v>
      </c>
      <c r="S676" s="456">
        <v>4.2050000000000001</v>
      </c>
      <c r="T676" s="410"/>
      <c r="U676" s="411">
        <v>0</v>
      </c>
      <c r="V676" s="411">
        <v>0</v>
      </c>
      <c r="W676" s="411">
        <v>0</v>
      </c>
      <c r="X676" s="411"/>
      <c r="Y676" s="411"/>
      <c r="Z676" s="412">
        <f t="shared" si="42"/>
        <v>0</v>
      </c>
      <c r="AA676" s="456">
        <f t="shared" si="43"/>
        <v>0</v>
      </c>
      <c r="AB676" s="456">
        <v>0</v>
      </c>
      <c r="AC676" s="2"/>
      <c r="AD676" s="4"/>
      <c r="AE676" s="5"/>
      <c r="AF676" s="428"/>
    </row>
    <row r="677" spans="1:32" x14ac:dyDescent="0.25">
      <c r="A677" s="1" t="s">
        <v>3120</v>
      </c>
      <c r="B677" s="3" t="s">
        <v>1368</v>
      </c>
      <c r="C677" s="3" t="s">
        <v>1247</v>
      </c>
      <c r="D677" s="407" t="s">
        <v>1432</v>
      </c>
      <c r="E677" s="3" t="s">
        <v>2427</v>
      </c>
      <c r="F677" s="407" t="s">
        <v>4483</v>
      </c>
      <c r="G677" s="440" t="s">
        <v>4109</v>
      </c>
      <c r="H677" s="407" t="s">
        <v>4304</v>
      </c>
      <c r="I677" s="407" t="s">
        <v>3785</v>
      </c>
      <c r="J677" s="387" t="s">
        <v>4635</v>
      </c>
      <c r="K677" s="387">
        <v>1</v>
      </c>
      <c r="L677" s="387">
        <v>0</v>
      </c>
      <c r="M677" s="387">
        <f t="shared" si="40"/>
        <v>1</v>
      </c>
      <c r="N677" s="442">
        <f t="shared" si="41"/>
        <v>0</v>
      </c>
      <c r="O677" s="387" t="s">
        <v>1358</v>
      </c>
      <c r="P677" s="459">
        <v>0</v>
      </c>
      <c r="Q677" s="459"/>
      <c r="R677" s="456">
        <v>0</v>
      </c>
      <c r="S677" s="456">
        <v>4.2050000000000001</v>
      </c>
      <c r="T677" s="410"/>
      <c r="U677" s="411">
        <v>0</v>
      </c>
      <c r="V677" s="411">
        <v>0</v>
      </c>
      <c r="W677" s="411">
        <v>0</v>
      </c>
      <c r="X677" s="411"/>
      <c r="Y677" s="411"/>
      <c r="Z677" s="412">
        <f t="shared" si="42"/>
        <v>0</v>
      </c>
      <c r="AA677" s="456">
        <f t="shared" si="43"/>
        <v>0</v>
      </c>
      <c r="AB677" s="456">
        <v>0</v>
      </c>
      <c r="AC677" s="2"/>
      <c r="AD677" s="4"/>
      <c r="AE677" s="5"/>
      <c r="AF677" s="428"/>
    </row>
    <row r="678" spans="1:32" x14ac:dyDescent="0.25">
      <c r="A678" s="1" t="s">
        <v>3121</v>
      </c>
      <c r="B678" s="3" t="s">
        <v>1368</v>
      </c>
      <c r="C678" s="3" t="s">
        <v>1247</v>
      </c>
      <c r="D678" s="407" t="s">
        <v>3306</v>
      </c>
      <c r="E678" s="3" t="s">
        <v>2428</v>
      </c>
      <c r="F678" s="407" t="s">
        <v>4484</v>
      </c>
      <c r="G678" s="440" t="s">
        <v>4109</v>
      </c>
      <c r="H678" s="407" t="s">
        <v>4305</v>
      </c>
      <c r="I678" s="407" t="s">
        <v>3786</v>
      </c>
      <c r="J678" s="387" t="s">
        <v>4636</v>
      </c>
      <c r="K678" s="387">
        <v>2</v>
      </c>
      <c r="L678" s="387">
        <v>0</v>
      </c>
      <c r="M678" s="387">
        <f t="shared" si="40"/>
        <v>2</v>
      </c>
      <c r="N678" s="442">
        <f t="shared" si="41"/>
        <v>0</v>
      </c>
      <c r="O678" s="387" t="s">
        <v>1358</v>
      </c>
      <c r="P678" s="459">
        <v>0</v>
      </c>
      <c r="Q678" s="459"/>
      <c r="R678" s="456">
        <v>0</v>
      </c>
      <c r="S678" s="456">
        <v>8.66</v>
      </c>
      <c r="T678" s="410"/>
      <c r="U678" s="411">
        <v>0</v>
      </c>
      <c r="V678" s="411">
        <v>0</v>
      </c>
      <c r="W678" s="411">
        <v>0</v>
      </c>
      <c r="X678" s="411"/>
      <c r="Y678" s="411"/>
      <c r="Z678" s="412">
        <f t="shared" si="42"/>
        <v>0</v>
      </c>
      <c r="AA678" s="456">
        <f t="shared" si="43"/>
        <v>0</v>
      </c>
      <c r="AB678" s="456">
        <v>0</v>
      </c>
      <c r="AC678" s="2"/>
      <c r="AD678" s="4"/>
      <c r="AE678" s="5"/>
      <c r="AF678" s="428"/>
    </row>
    <row r="679" spans="1:32" x14ac:dyDescent="0.25">
      <c r="A679" s="1" t="s">
        <v>3122</v>
      </c>
      <c r="B679" s="3" t="s">
        <v>1368</v>
      </c>
      <c r="C679" s="3" t="s">
        <v>1247</v>
      </c>
      <c r="D679" s="407" t="s">
        <v>1430</v>
      </c>
      <c r="E679" s="3" t="s">
        <v>2429</v>
      </c>
      <c r="F679" s="407" t="s">
        <v>4488</v>
      </c>
      <c r="G679" s="440" t="s">
        <v>4109</v>
      </c>
      <c r="H679" s="407" t="s">
        <v>4309</v>
      </c>
      <c r="I679" s="407" t="s">
        <v>3790</v>
      </c>
      <c r="J679" s="387" t="s">
        <v>4641</v>
      </c>
      <c r="K679" s="387">
        <v>1</v>
      </c>
      <c r="L679" s="387">
        <v>0</v>
      </c>
      <c r="M679" s="387">
        <f t="shared" si="40"/>
        <v>1</v>
      </c>
      <c r="N679" s="442">
        <f t="shared" si="41"/>
        <v>0</v>
      </c>
      <c r="O679" s="387" t="s">
        <v>1358</v>
      </c>
      <c r="P679" s="459">
        <v>0</v>
      </c>
      <c r="Q679" s="459"/>
      <c r="R679" s="456">
        <v>0</v>
      </c>
      <c r="S679" s="456">
        <v>4.2050000000000001</v>
      </c>
      <c r="T679" s="410"/>
      <c r="U679" s="411">
        <v>0</v>
      </c>
      <c r="V679" s="411">
        <v>0</v>
      </c>
      <c r="W679" s="411">
        <v>0</v>
      </c>
      <c r="X679" s="411"/>
      <c r="Y679" s="411"/>
      <c r="Z679" s="412">
        <f t="shared" si="42"/>
        <v>0</v>
      </c>
      <c r="AA679" s="456">
        <f t="shared" si="43"/>
        <v>0</v>
      </c>
      <c r="AB679" s="456">
        <v>0</v>
      </c>
      <c r="AC679" s="2"/>
      <c r="AD679" s="4"/>
      <c r="AE679" s="5"/>
      <c r="AF679" s="428"/>
    </row>
    <row r="680" spans="1:32" x14ac:dyDescent="0.25">
      <c r="A680" s="1" t="s">
        <v>3123</v>
      </c>
      <c r="B680" s="3" t="s">
        <v>1368</v>
      </c>
      <c r="C680" s="3" t="s">
        <v>1247</v>
      </c>
      <c r="D680" s="407" t="s">
        <v>1431</v>
      </c>
      <c r="E680" s="3" t="s">
        <v>2430</v>
      </c>
      <c r="F680" s="407" t="s">
        <v>4489</v>
      </c>
      <c r="G680" s="440" t="s">
        <v>4109</v>
      </c>
      <c r="H680" s="407" t="s">
        <v>4310</v>
      </c>
      <c r="I680" s="407" t="s">
        <v>3791</v>
      </c>
      <c r="J680" s="387" t="s">
        <v>4642</v>
      </c>
      <c r="K680" s="387">
        <v>1</v>
      </c>
      <c r="L680" s="387">
        <v>0</v>
      </c>
      <c r="M680" s="387">
        <f t="shared" si="40"/>
        <v>1</v>
      </c>
      <c r="N680" s="442">
        <f t="shared" si="41"/>
        <v>0</v>
      </c>
      <c r="O680" s="387" t="s">
        <v>1358</v>
      </c>
      <c r="P680" s="459">
        <v>0</v>
      </c>
      <c r="Q680" s="459"/>
      <c r="R680" s="456">
        <v>0</v>
      </c>
      <c r="S680" s="456">
        <v>4.2050000000000001</v>
      </c>
      <c r="T680" s="410"/>
      <c r="U680" s="411">
        <v>0</v>
      </c>
      <c r="V680" s="411">
        <v>0</v>
      </c>
      <c r="W680" s="411">
        <v>0</v>
      </c>
      <c r="X680" s="411"/>
      <c r="Y680" s="411"/>
      <c r="Z680" s="412">
        <f t="shared" si="42"/>
        <v>0</v>
      </c>
      <c r="AA680" s="456">
        <f t="shared" si="43"/>
        <v>0</v>
      </c>
      <c r="AB680" s="456">
        <v>0</v>
      </c>
      <c r="AC680" s="2"/>
      <c r="AD680" s="4"/>
      <c r="AE680" s="5"/>
      <c r="AF680" s="428"/>
    </row>
    <row r="681" spans="1:32" x14ac:dyDescent="0.25">
      <c r="A681" s="1" t="s">
        <v>3124</v>
      </c>
      <c r="B681" s="3" t="s">
        <v>1368</v>
      </c>
      <c r="C681" s="3" t="s">
        <v>1247</v>
      </c>
      <c r="D681" s="407" t="s">
        <v>1429</v>
      </c>
      <c r="E681" s="3" t="s">
        <v>2431</v>
      </c>
      <c r="F681" s="407" t="s">
        <v>4487</v>
      </c>
      <c r="G681" s="440" t="s">
        <v>4109</v>
      </c>
      <c r="H681" s="407" t="s">
        <v>4308</v>
      </c>
      <c r="I681" s="407" t="s">
        <v>3789</v>
      </c>
      <c r="J681" s="387" t="s">
        <v>4640</v>
      </c>
      <c r="K681" s="387">
        <v>1</v>
      </c>
      <c r="L681" s="387">
        <v>0</v>
      </c>
      <c r="M681" s="387">
        <f t="shared" si="40"/>
        <v>1</v>
      </c>
      <c r="N681" s="442">
        <f t="shared" si="41"/>
        <v>0</v>
      </c>
      <c r="O681" s="387" t="s">
        <v>1358</v>
      </c>
      <c r="P681" s="459">
        <v>0</v>
      </c>
      <c r="Q681" s="459"/>
      <c r="R681" s="456">
        <v>0</v>
      </c>
      <c r="S681" s="456">
        <v>4.33</v>
      </c>
      <c r="T681" s="410"/>
      <c r="U681" s="411">
        <v>0</v>
      </c>
      <c r="V681" s="411">
        <v>0</v>
      </c>
      <c r="W681" s="411">
        <v>0</v>
      </c>
      <c r="X681" s="411"/>
      <c r="Y681" s="411"/>
      <c r="Z681" s="412">
        <f t="shared" si="42"/>
        <v>0</v>
      </c>
      <c r="AA681" s="456">
        <f t="shared" si="43"/>
        <v>0</v>
      </c>
      <c r="AB681" s="456">
        <v>0</v>
      </c>
      <c r="AC681" s="2"/>
      <c r="AD681" s="4"/>
      <c r="AE681" s="5"/>
      <c r="AF681" s="428"/>
    </row>
    <row r="682" spans="1:32" x14ac:dyDescent="0.25">
      <c r="A682" s="1" t="s">
        <v>3125</v>
      </c>
      <c r="B682" s="3" t="s">
        <v>1368</v>
      </c>
      <c r="C682" s="3" t="s">
        <v>1247</v>
      </c>
      <c r="D682" s="407" t="s">
        <v>1426</v>
      </c>
      <c r="E682" s="3" t="s">
        <v>2432</v>
      </c>
      <c r="F682" s="407" t="s">
        <v>4480</v>
      </c>
      <c r="G682" s="440" t="s">
        <v>4109</v>
      </c>
      <c r="H682" s="407" t="s">
        <v>4301</v>
      </c>
      <c r="I682" s="407" t="s">
        <v>3782</v>
      </c>
      <c r="J682" s="387" t="s">
        <v>4637</v>
      </c>
      <c r="K682" s="387">
        <v>1</v>
      </c>
      <c r="L682" s="387">
        <v>0</v>
      </c>
      <c r="M682" s="387">
        <f t="shared" si="40"/>
        <v>1</v>
      </c>
      <c r="N682" s="442">
        <f t="shared" si="41"/>
        <v>0</v>
      </c>
      <c r="O682" s="387" t="s">
        <v>1358</v>
      </c>
      <c r="P682" s="459">
        <v>0</v>
      </c>
      <c r="Q682" s="459"/>
      <c r="R682" s="456">
        <v>0</v>
      </c>
      <c r="S682" s="456">
        <v>4.2050000000000001</v>
      </c>
      <c r="T682" s="410"/>
      <c r="U682" s="411">
        <v>1</v>
      </c>
      <c r="V682" s="411">
        <v>1</v>
      </c>
      <c r="W682" s="411">
        <v>1</v>
      </c>
      <c r="X682" s="411"/>
      <c r="Y682" s="411"/>
      <c r="Z682" s="412">
        <f t="shared" si="42"/>
        <v>0</v>
      </c>
      <c r="AA682" s="456">
        <f t="shared" si="43"/>
        <v>0</v>
      </c>
      <c r="AB682" s="456">
        <v>0</v>
      </c>
      <c r="AC682" s="2"/>
      <c r="AD682" s="4"/>
      <c r="AE682" s="5"/>
      <c r="AF682" s="428"/>
    </row>
    <row r="683" spans="1:32" x14ac:dyDescent="0.25">
      <c r="A683" s="1" t="s">
        <v>3126</v>
      </c>
      <c r="B683" s="3" t="s">
        <v>1368</v>
      </c>
      <c r="C683" s="3" t="s">
        <v>1247</v>
      </c>
      <c r="D683" s="407" t="s">
        <v>1427</v>
      </c>
      <c r="E683" s="3" t="s">
        <v>2433</v>
      </c>
      <c r="F683" s="407" t="s">
        <v>4485</v>
      </c>
      <c r="G683" s="440" t="s">
        <v>4109</v>
      </c>
      <c r="H683" s="407" t="s">
        <v>4306</v>
      </c>
      <c r="I683" s="407" t="s">
        <v>3787</v>
      </c>
      <c r="J683" s="387" t="s">
        <v>4638</v>
      </c>
      <c r="K683" s="387">
        <v>1</v>
      </c>
      <c r="L683" s="387">
        <v>0</v>
      </c>
      <c r="M683" s="387">
        <f t="shared" si="40"/>
        <v>1</v>
      </c>
      <c r="N683" s="442">
        <f t="shared" si="41"/>
        <v>0</v>
      </c>
      <c r="O683" s="387" t="s">
        <v>1358</v>
      </c>
      <c r="P683" s="459">
        <v>0</v>
      </c>
      <c r="Q683" s="459"/>
      <c r="R683" s="456">
        <v>0</v>
      </c>
      <c r="S683" s="456">
        <v>4.2050000000000001</v>
      </c>
      <c r="T683" s="410"/>
      <c r="U683" s="411">
        <v>0</v>
      </c>
      <c r="V683" s="411">
        <v>0</v>
      </c>
      <c r="W683" s="411">
        <v>0</v>
      </c>
      <c r="X683" s="411"/>
      <c r="Y683" s="411"/>
      <c r="Z683" s="412">
        <f t="shared" si="42"/>
        <v>0</v>
      </c>
      <c r="AA683" s="456">
        <f t="shared" si="43"/>
        <v>0</v>
      </c>
      <c r="AB683" s="456">
        <v>0</v>
      </c>
      <c r="AC683" s="2"/>
      <c r="AD683" s="4"/>
      <c r="AE683" s="5"/>
      <c r="AF683" s="428"/>
    </row>
    <row r="684" spans="1:32" x14ac:dyDescent="0.25">
      <c r="A684" s="1" t="s">
        <v>3127</v>
      </c>
      <c r="B684" s="3" t="s">
        <v>1368</v>
      </c>
      <c r="C684" s="3" t="s">
        <v>1247</v>
      </c>
      <c r="D684" s="407" t="s">
        <v>1428</v>
      </c>
      <c r="E684" s="3" t="s">
        <v>2434</v>
      </c>
      <c r="F684" s="407" t="s">
        <v>4486</v>
      </c>
      <c r="G684" s="440" t="s">
        <v>4109</v>
      </c>
      <c r="H684" s="407" t="s">
        <v>4307</v>
      </c>
      <c r="I684" s="407" t="s">
        <v>3788</v>
      </c>
      <c r="J684" s="387" t="s">
        <v>4639</v>
      </c>
      <c r="K684" s="387">
        <v>1</v>
      </c>
      <c r="L684" s="387">
        <v>0</v>
      </c>
      <c r="M684" s="387">
        <f t="shared" si="40"/>
        <v>1</v>
      </c>
      <c r="N684" s="442">
        <f t="shared" si="41"/>
        <v>0</v>
      </c>
      <c r="O684" s="387" t="s">
        <v>1358</v>
      </c>
      <c r="P684" s="459">
        <v>0</v>
      </c>
      <c r="Q684" s="459"/>
      <c r="R684" s="456">
        <v>0</v>
      </c>
      <c r="S684" s="456">
        <v>4.2050000000000001</v>
      </c>
      <c r="T684" s="410"/>
      <c r="U684" s="411">
        <v>0</v>
      </c>
      <c r="V684" s="411">
        <v>0</v>
      </c>
      <c r="W684" s="411">
        <v>0</v>
      </c>
      <c r="X684" s="411"/>
      <c r="Y684" s="411"/>
      <c r="Z684" s="412">
        <f t="shared" si="42"/>
        <v>0</v>
      </c>
      <c r="AA684" s="456">
        <f t="shared" si="43"/>
        <v>0</v>
      </c>
      <c r="AB684" s="456">
        <v>0</v>
      </c>
      <c r="AC684" s="2"/>
      <c r="AD684" s="4"/>
      <c r="AE684" s="5"/>
      <c r="AF684" s="428"/>
    </row>
    <row r="685" spans="1:32" x14ac:dyDescent="0.25">
      <c r="A685" s="1" t="s">
        <v>3128</v>
      </c>
      <c r="B685" s="3" t="s">
        <v>1368</v>
      </c>
      <c r="C685" s="3" t="s">
        <v>1247</v>
      </c>
      <c r="D685" s="407" t="s">
        <v>3294</v>
      </c>
      <c r="E685" s="3" t="s">
        <v>2435</v>
      </c>
      <c r="F685" s="407" t="s">
        <v>4500</v>
      </c>
      <c r="G685" s="440" t="s">
        <v>4109</v>
      </c>
      <c r="H685" s="407" t="s">
        <v>4321</v>
      </c>
      <c r="I685" s="407" t="s">
        <v>3755</v>
      </c>
      <c r="J685" s="387" t="s">
        <v>4654</v>
      </c>
      <c r="K685" s="387">
        <v>1</v>
      </c>
      <c r="L685" s="387">
        <v>0</v>
      </c>
      <c r="M685" s="387">
        <f t="shared" si="40"/>
        <v>1</v>
      </c>
      <c r="N685" s="442">
        <f t="shared" si="41"/>
        <v>0</v>
      </c>
      <c r="O685" s="387" t="s">
        <v>1358</v>
      </c>
      <c r="P685" s="459">
        <v>0</v>
      </c>
      <c r="Q685" s="459"/>
      <c r="R685" s="456">
        <v>0</v>
      </c>
      <c r="S685" s="456">
        <v>25.16</v>
      </c>
      <c r="T685" s="410"/>
      <c r="U685" s="411">
        <v>1</v>
      </c>
      <c r="V685" s="411">
        <v>1</v>
      </c>
      <c r="W685" s="411">
        <v>1</v>
      </c>
      <c r="X685" s="411"/>
      <c r="Y685" s="411"/>
      <c r="Z685" s="412">
        <f t="shared" si="42"/>
        <v>0</v>
      </c>
      <c r="AA685" s="456">
        <f t="shared" si="43"/>
        <v>0</v>
      </c>
      <c r="AB685" s="456">
        <v>0</v>
      </c>
      <c r="AC685" s="2"/>
      <c r="AD685" s="4"/>
      <c r="AE685" s="5"/>
      <c r="AF685" s="428"/>
    </row>
    <row r="686" spans="1:32" x14ac:dyDescent="0.25">
      <c r="A686" s="1" t="s">
        <v>3129</v>
      </c>
      <c r="B686" s="3" t="s">
        <v>1368</v>
      </c>
      <c r="C686" s="3" t="s">
        <v>1247</v>
      </c>
      <c r="D686" s="407" t="s">
        <v>1374</v>
      </c>
      <c r="E686" s="3" t="s">
        <v>2436</v>
      </c>
      <c r="F686" s="407" t="s">
        <v>4495</v>
      </c>
      <c r="G686" s="440" t="s">
        <v>4109</v>
      </c>
      <c r="H686" s="407" t="s">
        <v>4316</v>
      </c>
      <c r="I686" s="407" t="s">
        <v>3757</v>
      </c>
      <c r="J686" s="387" t="s">
        <v>4665</v>
      </c>
      <c r="K686" s="387">
        <v>2</v>
      </c>
      <c r="L686" s="387">
        <v>0</v>
      </c>
      <c r="M686" s="387">
        <f t="shared" si="40"/>
        <v>2</v>
      </c>
      <c r="N686" s="442">
        <f t="shared" si="41"/>
        <v>0</v>
      </c>
      <c r="O686" s="387" t="s">
        <v>1358</v>
      </c>
      <c r="P686" s="459">
        <v>0</v>
      </c>
      <c r="Q686" s="459"/>
      <c r="R686" s="456">
        <v>0</v>
      </c>
      <c r="S686" s="456">
        <v>50.14</v>
      </c>
      <c r="T686" s="410"/>
      <c r="U686" s="411">
        <v>1</v>
      </c>
      <c r="V686" s="411">
        <v>1</v>
      </c>
      <c r="W686" s="411">
        <v>1</v>
      </c>
      <c r="X686" s="411"/>
      <c r="Y686" s="411"/>
      <c r="Z686" s="412">
        <f t="shared" si="42"/>
        <v>0</v>
      </c>
      <c r="AA686" s="456">
        <f t="shared" si="43"/>
        <v>0</v>
      </c>
      <c r="AB686" s="456">
        <v>0</v>
      </c>
      <c r="AC686" s="2"/>
      <c r="AD686" s="4"/>
      <c r="AE686" s="5"/>
      <c r="AF686" s="428"/>
    </row>
    <row r="687" spans="1:32" x14ac:dyDescent="0.25">
      <c r="A687" s="1" t="s">
        <v>3130</v>
      </c>
      <c r="B687" s="3" t="s">
        <v>1368</v>
      </c>
      <c r="C687" s="3" t="s">
        <v>1247</v>
      </c>
      <c r="D687" s="407" t="s">
        <v>1377</v>
      </c>
      <c r="E687" s="3" t="s">
        <v>2437</v>
      </c>
      <c r="F687" s="407" t="s">
        <v>4494</v>
      </c>
      <c r="G687" s="440" t="s">
        <v>4109</v>
      </c>
      <c r="H687" s="407" t="s">
        <v>4315</v>
      </c>
      <c r="I687" s="407" t="s">
        <v>3749</v>
      </c>
      <c r="J687" s="387" t="s">
        <v>4648</v>
      </c>
      <c r="K687" s="387">
        <v>1</v>
      </c>
      <c r="L687" s="387">
        <v>0</v>
      </c>
      <c r="M687" s="387">
        <f t="shared" si="40"/>
        <v>1</v>
      </c>
      <c r="N687" s="442">
        <f t="shared" si="41"/>
        <v>0</v>
      </c>
      <c r="O687" s="387" t="s">
        <v>1358</v>
      </c>
      <c r="P687" s="459">
        <v>0</v>
      </c>
      <c r="Q687" s="459"/>
      <c r="R687" s="456">
        <v>0</v>
      </c>
      <c r="S687" s="456">
        <v>25.07</v>
      </c>
      <c r="T687" s="410"/>
      <c r="U687" s="411">
        <v>1</v>
      </c>
      <c r="V687" s="411">
        <v>1</v>
      </c>
      <c r="W687" s="411">
        <v>1</v>
      </c>
      <c r="X687" s="411"/>
      <c r="Y687" s="411"/>
      <c r="Z687" s="412">
        <f t="shared" si="42"/>
        <v>0</v>
      </c>
      <c r="AA687" s="456">
        <f t="shared" si="43"/>
        <v>0</v>
      </c>
      <c r="AB687" s="456">
        <v>0</v>
      </c>
      <c r="AC687" s="2"/>
      <c r="AD687" s="4"/>
      <c r="AE687" s="5"/>
      <c r="AF687" s="428"/>
    </row>
    <row r="688" spans="1:32" x14ac:dyDescent="0.25">
      <c r="A688" s="1" t="s">
        <v>3131</v>
      </c>
      <c r="B688" s="3" t="s">
        <v>1368</v>
      </c>
      <c r="C688" s="3" t="s">
        <v>1247</v>
      </c>
      <c r="D688" s="407" t="s">
        <v>1379</v>
      </c>
      <c r="E688" s="3" t="s">
        <v>2438</v>
      </c>
      <c r="F688" s="407" t="s">
        <v>4502</v>
      </c>
      <c r="G688" s="440" t="s">
        <v>4109</v>
      </c>
      <c r="H688" s="407" t="s">
        <v>4323</v>
      </c>
      <c r="I688" s="407" t="s">
        <v>3750</v>
      </c>
      <c r="J688" s="387" t="s">
        <v>4632</v>
      </c>
      <c r="K688" s="387">
        <v>1</v>
      </c>
      <c r="L688" s="387">
        <v>0</v>
      </c>
      <c r="M688" s="387">
        <f t="shared" si="40"/>
        <v>1</v>
      </c>
      <c r="N688" s="442">
        <f t="shared" si="41"/>
        <v>0</v>
      </c>
      <c r="O688" s="387" t="s">
        <v>1358</v>
      </c>
      <c r="P688" s="459">
        <v>0</v>
      </c>
      <c r="Q688" s="459"/>
      <c r="R688" s="456">
        <v>0</v>
      </c>
      <c r="S688" s="456">
        <v>25.07</v>
      </c>
      <c r="T688" s="410"/>
      <c r="U688" s="411">
        <v>1</v>
      </c>
      <c r="V688" s="411">
        <v>1</v>
      </c>
      <c r="W688" s="411">
        <v>1</v>
      </c>
      <c r="X688" s="411"/>
      <c r="Y688" s="411"/>
      <c r="Z688" s="412">
        <f t="shared" si="42"/>
        <v>0</v>
      </c>
      <c r="AA688" s="456">
        <f t="shared" si="43"/>
        <v>0</v>
      </c>
      <c r="AB688" s="456">
        <v>0</v>
      </c>
      <c r="AC688" s="2"/>
      <c r="AD688" s="4"/>
      <c r="AE688" s="5"/>
      <c r="AF688" s="428"/>
    </row>
    <row r="689" spans="1:32" x14ac:dyDescent="0.25">
      <c r="A689" s="1" t="s">
        <v>3132</v>
      </c>
      <c r="B689" s="3" t="s">
        <v>1368</v>
      </c>
      <c r="C689" s="3" t="s">
        <v>1247</v>
      </c>
      <c r="D689" s="407" t="s">
        <v>1381</v>
      </c>
      <c r="E689" s="3" t="s">
        <v>2439</v>
      </c>
      <c r="F689" s="407" t="s">
        <v>4497</v>
      </c>
      <c r="G689" s="440" t="s">
        <v>4109</v>
      </c>
      <c r="H689" s="407" t="s">
        <v>4318</v>
      </c>
      <c r="I689" s="407" t="s">
        <v>3751</v>
      </c>
      <c r="J689" s="387" t="s">
        <v>4631</v>
      </c>
      <c r="K689" s="387">
        <v>1</v>
      </c>
      <c r="L689" s="387">
        <v>0</v>
      </c>
      <c r="M689" s="387">
        <f t="shared" si="40"/>
        <v>1</v>
      </c>
      <c r="N689" s="442">
        <f t="shared" si="41"/>
        <v>0</v>
      </c>
      <c r="O689" s="387" t="s">
        <v>1358</v>
      </c>
      <c r="P689" s="459">
        <v>0</v>
      </c>
      <c r="Q689" s="459"/>
      <c r="R689" s="456">
        <v>0</v>
      </c>
      <c r="S689" s="456">
        <v>25.07</v>
      </c>
      <c r="T689" s="410"/>
      <c r="U689" s="411">
        <v>1</v>
      </c>
      <c r="V689" s="411">
        <v>1</v>
      </c>
      <c r="W689" s="411">
        <v>1</v>
      </c>
      <c r="X689" s="411"/>
      <c r="Y689" s="411"/>
      <c r="Z689" s="412">
        <f t="shared" si="42"/>
        <v>0</v>
      </c>
      <c r="AA689" s="456">
        <f t="shared" si="43"/>
        <v>0</v>
      </c>
      <c r="AB689" s="456">
        <v>0</v>
      </c>
      <c r="AC689" s="2"/>
      <c r="AD689" s="4"/>
      <c r="AE689" s="5"/>
      <c r="AF689" s="428"/>
    </row>
    <row r="690" spans="1:32" x14ac:dyDescent="0.25">
      <c r="A690" s="1" t="s">
        <v>3133</v>
      </c>
      <c r="B690" s="3" t="s">
        <v>1368</v>
      </c>
      <c r="C690" s="3" t="s">
        <v>1247</v>
      </c>
      <c r="D690" s="407" t="s">
        <v>1396</v>
      </c>
      <c r="E690" s="3" t="s">
        <v>2440</v>
      </c>
      <c r="F690" s="407" t="s">
        <v>4498</v>
      </c>
      <c r="G690" s="440" t="s">
        <v>4109</v>
      </c>
      <c r="H690" s="407" t="s">
        <v>4319</v>
      </c>
      <c r="I690" s="407" t="s">
        <v>3752</v>
      </c>
      <c r="J690" s="387" t="s">
        <v>4652</v>
      </c>
      <c r="K690" s="387">
        <v>1</v>
      </c>
      <c r="L690" s="387">
        <v>0</v>
      </c>
      <c r="M690" s="387">
        <f t="shared" si="40"/>
        <v>1</v>
      </c>
      <c r="N690" s="442">
        <f t="shared" si="41"/>
        <v>0</v>
      </c>
      <c r="O690" s="387" t="s">
        <v>1358</v>
      </c>
      <c r="P690" s="459">
        <v>0</v>
      </c>
      <c r="Q690" s="459"/>
      <c r="R690" s="456">
        <v>0</v>
      </c>
      <c r="S690" s="456">
        <v>25.07</v>
      </c>
      <c r="T690" s="410"/>
      <c r="U690" s="411">
        <v>1</v>
      </c>
      <c r="V690" s="411">
        <v>1</v>
      </c>
      <c r="W690" s="411">
        <v>1</v>
      </c>
      <c r="X690" s="411"/>
      <c r="Y690" s="411"/>
      <c r="Z690" s="412">
        <f t="shared" si="42"/>
        <v>0</v>
      </c>
      <c r="AA690" s="456">
        <f t="shared" si="43"/>
        <v>0</v>
      </c>
      <c r="AB690" s="456">
        <v>0</v>
      </c>
      <c r="AC690" s="2"/>
      <c r="AD690" s="4"/>
      <c r="AE690" s="5"/>
      <c r="AF690" s="428"/>
    </row>
    <row r="691" spans="1:32" x14ac:dyDescent="0.25">
      <c r="A691" s="1" t="s">
        <v>3134</v>
      </c>
      <c r="B691" s="3" t="s">
        <v>1368</v>
      </c>
      <c r="C691" s="3" t="s">
        <v>1247</v>
      </c>
      <c r="D691" s="407" t="s">
        <v>1399</v>
      </c>
      <c r="E691" s="3" t="s">
        <v>2441</v>
      </c>
      <c r="F691" s="407" t="s">
        <v>4499</v>
      </c>
      <c r="G691" s="440" t="s">
        <v>4109</v>
      </c>
      <c r="H691" s="407" t="s">
        <v>4320</v>
      </c>
      <c r="I691" s="407" t="s">
        <v>3758</v>
      </c>
      <c r="J691" s="387" t="s">
        <v>4653</v>
      </c>
      <c r="K691" s="387">
        <v>1</v>
      </c>
      <c r="L691" s="387">
        <v>0</v>
      </c>
      <c r="M691" s="387">
        <f t="shared" si="40"/>
        <v>1</v>
      </c>
      <c r="N691" s="442">
        <f t="shared" si="41"/>
        <v>0</v>
      </c>
      <c r="O691" s="387" t="s">
        <v>1358</v>
      </c>
      <c r="P691" s="459">
        <v>0</v>
      </c>
      <c r="Q691" s="459"/>
      <c r="R691" s="456">
        <v>0</v>
      </c>
      <c r="S691" s="456">
        <v>31.167000000000002</v>
      </c>
      <c r="T691" s="410"/>
      <c r="U691" s="411">
        <v>1</v>
      </c>
      <c r="V691" s="411">
        <v>1</v>
      </c>
      <c r="W691" s="411">
        <v>1</v>
      </c>
      <c r="X691" s="411"/>
      <c r="Y691" s="411"/>
      <c r="Z691" s="412">
        <f t="shared" si="42"/>
        <v>0</v>
      </c>
      <c r="AA691" s="456">
        <f t="shared" si="43"/>
        <v>0</v>
      </c>
      <c r="AB691" s="456">
        <v>0</v>
      </c>
      <c r="AC691" s="2"/>
      <c r="AD691" s="4"/>
      <c r="AE691" s="5"/>
      <c r="AF691" s="428"/>
    </row>
    <row r="692" spans="1:32" x14ac:dyDescent="0.25">
      <c r="A692" s="1" t="s">
        <v>3135</v>
      </c>
      <c r="B692" s="3" t="s">
        <v>1368</v>
      </c>
      <c r="C692" s="3" t="s">
        <v>1247</v>
      </c>
      <c r="D692" s="407" t="s">
        <v>3547</v>
      </c>
      <c r="E692" s="3" t="s">
        <v>2442</v>
      </c>
      <c r="F692" s="407" t="s">
        <v>4501</v>
      </c>
      <c r="G692" s="440" t="s">
        <v>4109</v>
      </c>
      <c r="H692" s="407" t="s">
        <v>4322</v>
      </c>
      <c r="I692" s="407" t="s">
        <v>3797</v>
      </c>
      <c r="J692" s="387" t="s">
        <v>4655</v>
      </c>
      <c r="K692" s="387">
        <v>1</v>
      </c>
      <c r="L692" s="387">
        <v>0</v>
      </c>
      <c r="M692" s="387">
        <f t="shared" si="40"/>
        <v>1</v>
      </c>
      <c r="N692" s="442">
        <f t="shared" si="41"/>
        <v>0</v>
      </c>
      <c r="O692" s="387" t="s">
        <v>1358</v>
      </c>
      <c r="P692" s="459">
        <v>0</v>
      </c>
      <c r="Q692" s="459"/>
      <c r="R692" s="456">
        <v>0</v>
      </c>
      <c r="S692" s="456">
        <v>26.664000000000001</v>
      </c>
      <c r="T692" s="410"/>
      <c r="U692" s="411">
        <v>0</v>
      </c>
      <c r="V692" s="411">
        <v>0</v>
      </c>
      <c r="W692" s="411">
        <v>0</v>
      </c>
      <c r="X692" s="411"/>
      <c r="Y692" s="411"/>
      <c r="Z692" s="412">
        <f t="shared" si="42"/>
        <v>0</v>
      </c>
      <c r="AA692" s="456">
        <f t="shared" si="43"/>
        <v>0</v>
      </c>
      <c r="AB692" s="456">
        <v>0</v>
      </c>
      <c r="AC692" s="2"/>
      <c r="AD692" s="4"/>
      <c r="AE692" s="5"/>
      <c r="AF692" s="428"/>
    </row>
    <row r="693" spans="1:32" x14ac:dyDescent="0.25">
      <c r="A693" s="1" t="s">
        <v>3136</v>
      </c>
      <c r="B693" s="3" t="s">
        <v>1368</v>
      </c>
      <c r="C693" s="3" t="s">
        <v>1247</v>
      </c>
      <c r="D693" s="407" t="s">
        <v>3546</v>
      </c>
      <c r="E693" s="3" t="s">
        <v>2443</v>
      </c>
      <c r="F693" s="407" t="s">
        <v>4482</v>
      </c>
      <c r="G693" s="440" t="s">
        <v>4109</v>
      </c>
      <c r="H693" s="407" t="s">
        <v>4303</v>
      </c>
      <c r="I693" s="407" t="s">
        <v>3784</v>
      </c>
      <c r="J693" s="387" t="s">
        <v>4660</v>
      </c>
      <c r="K693" s="387">
        <v>1</v>
      </c>
      <c r="L693" s="387">
        <v>0</v>
      </c>
      <c r="M693" s="387">
        <f t="shared" si="40"/>
        <v>1</v>
      </c>
      <c r="N693" s="442">
        <f t="shared" si="41"/>
        <v>0</v>
      </c>
      <c r="O693" s="387" t="s">
        <v>1358</v>
      </c>
      <c r="P693" s="459">
        <v>0</v>
      </c>
      <c r="Q693" s="459"/>
      <c r="R693" s="456">
        <v>0</v>
      </c>
      <c r="S693" s="456">
        <v>26.664000000000001</v>
      </c>
      <c r="T693" s="410"/>
      <c r="U693" s="411">
        <v>0</v>
      </c>
      <c r="V693" s="411">
        <v>0</v>
      </c>
      <c r="W693" s="411">
        <v>0</v>
      </c>
      <c r="X693" s="411"/>
      <c r="Y693" s="411"/>
      <c r="Z693" s="412">
        <f t="shared" si="42"/>
        <v>0</v>
      </c>
      <c r="AA693" s="456">
        <f t="shared" si="43"/>
        <v>0</v>
      </c>
      <c r="AB693" s="456">
        <v>0</v>
      </c>
      <c r="AC693" s="2"/>
      <c r="AD693" s="4"/>
      <c r="AE693" s="5"/>
      <c r="AF693" s="428"/>
    </row>
    <row r="694" spans="1:32" x14ac:dyDescent="0.25">
      <c r="A694" s="1" t="s">
        <v>3137</v>
      </c>
      <c r="B694" s="3" t="s">
        <v>1368</v>
      </c>
      <c r="C694" s="3" t="s">
        <v>1247</v>
      </c>
      <c r="D694" s="407" t="s">
        <v>1402</v>
      </c>
      <c r="E694" s="3" t="s">
        <v>2444</v>
      </c>
      <c r="F694" s="407" t="s">
        <v>4481</v>
      </c>
      <c r="G694" s="440" t="s">
        <v>4109</v>
      </c>
      <c r="H694" s="407" t="s">
        <v>4302</v>
      </c>
      <c r="I694" s="407" t="s">
        <v>3783</v>
      </c>
      <c r="J694" s="387" t="s">
        <v>4659</v>
      </c>
      <c r="K694" s="387">
        <v>1</v>
      </c>
      <c r="L694" s="387">
        <v>0</v>
      </c>
      <c r="M694" s="387">
        <f t="shared" si="40"/>
        <v>1</v>
      </c>
      <c r="N694" s="442">
        <f t="shared" si="41"/>
        <v>0</v>
      </c>
      <c r="O694" s="387" t="s">
        <v>1358</v>
      </c>
      <c r="P694" s="459">
        <v>0</v>
      </c>
      <c r="Q694" s="459"/>
      <c r="R694" s="456">
        <v>0</v>
      </c>
      <c r="S694" s="456">
        <v>27.417000000000002</v>
      </c>
      <c r="T694" s="410"/>
      <c r="U694" s="411">
        <v>0</v>
      </c>
      <c r="V694" s="411">
        <v>0</v>
      </c>
      <c r="W694" s="411">
        <v>0</v>
      </c>
      <c r="X694" s="411"/>
      <c r="Y694" s="411"/>
      <c r="Z694" s="412">
        <f t="shared" si="42"/>
        <v>0</v>
      </c>
      <c r="AA694" s="456">
        <f t="shared" si="43"/>
        <v>0</v>
      </c>
      <c r="AB694" s="456">
        <v>0</v>
      </c>
      <c r="AC694" s="2"/>
      <c r="AD694" s="4"/>
      <c r="AE694" s="5"/>
      <c r="AF694" s="428"/>
    </row>
    <row r="695" spans="1:32" x14ac:dyDescent="0.25">
      <c r="A695" s="1" t="s">
        <v>3138</v>
      </c>
      <c r="B695" s="3" t="s">
        <v>1368</v>
      </c>
      <c r="C695" s="3" t="s">
        <v>1247</v>
      </c>
      <c r="D695" s="407" t="s">
        <v>1401</v>
      </c>
      <c r="E695" s="3" t="s">
        <v>2445</v>
      </c>
      <c r="F695" s="407" t="s">
        <v>4478</v>
      </c>
      <c r="G695" s="440" t="s">
        <v>4109</v>
      </c>
      <c r="H695" s="407" t="s">
        <v>4299</v>
      </c>
      <c r="I695" s="407" t="s">
        <v>3780</v>
      </c>
      <c r="J695" s="387" t="s">
        <v>4657</v>
      </c>
      <c r="K695" s="387">
        <v>1</v>
      </c>
      <c r="L695" s="387">
        <v>0</v>
      </c>
      <c r="M695" s="387">
        <f t="shared" si="40"/>
        <v>1</v>
      </c>
      <c r="N695" s="442">
        <f t="shared" si="41"/>
        <v>0</v>
      </c>
      <c r="O695" s="387" t="s">
        <v>1358</v>
      </c>
      <c r="P695" s="459">
        <v>0</v>
      </c>
      <c r="Q695" s="459"/>
      <c r="R695" s="456">
        <v>0</v>
      </c>
      <c r="S695" s="456">
        <v>27.417000000000002</v>
      </c>
      <c r="T695" s="410"/>
      <c r="U695" s="411">
        <v>0</v>
      </c>
      <c r="V695" s="411">
        <v>0</v>
      </c>
      <c r="W695" s="411">
        <v>0</v>
      </c>
      <c r="X695" s="411"/>
      <c r="Y695" s="411"/>
      <c r="Z695" s="412">
        <f t="shared" si="42"/>
        <v>0</v>
      </c>
      <c r="AA695" s="456">
        <f t="shared" si="43"/>
        <v>0</v>
      </c>
      <c r="AB695" s="456">
        <v>0</v>
      </c>
      <c r="AC695" s="2"/>
      <c r="AD695" s="4"/>
      <c r="AE695" s="5"/>
      <c r="AF695" s="428"/>
    </row>
    <row r="696" spans="1:32" x14ac:dyDescent="0.25">
      <c r="A696" s="1" t="s">
        <v>3139</v>
      </c>
      <c r="B696" s="3" t="s">
        <v>1368</v>
      </c>
      <c r="C696" s="3" t="s">
        <v>1247</v>
      </c>
      <c r="D696" s="407" t="s">
        <v>1400</v>
      </c>
      <c r="E696" s="3" t="s">
        <v>2446</v>
      </c>
      <c r="F696" s="407" t="s">
        <v>4477</v>
      </c>
      <c r="G696" s="440" t="s">
        <v>4109</v>
      </c>
      <c r="H696" s="407" t="s">
        <v>4298</v>
      </c>
      <c r="I696" s="407" t="s">
        <v>3779</v>
      </c>
      <c r="J696" s="387" t="s">
        <v>4656</v>
      </c>
      <c r="K696" s="387">
        <v>1</v>
      </c>
      <c r="L696" s="387">
        <v>0</v>
      </c>
      <c r="M696" s="387">
        <f t="shared" si="40"/>
        <v>1</v>
      </c>
      <c r="N696" s="442">
        <f t="shared" si="41"/>
        <v>0</v>
      </c>
      <c r="O696" s="387" t="s">
        <v>1358</v>
      </c>
      <c r="P696" s="459">
        <v>0</v>
      </c>
      <c r="Q696" s="459"/>
      <c r="R696" s="456">
        <v>0</v>
      </c>
      <c r="S696" s="456">
        <v>27.417000000000002</v>
      </c>
      <c r="T696" s="410"/>
      <c r="U696" s="411">
        <v>1</v>
      </c>
      <c r="V696" s="411">
        <v>1</v>
      </c>
      <c r="W696" s="411">
        <v>1</v>
      </c>
      <c r="X696" s="411"/>
      <c r="Y696" s="411"/>
      <c r="Z696" s="412">
        <f t="shared" si="42"/>
        <v>0</v>
      </c>
      <c r="AA696" s="456">
        <f t="shared" si="43"/>
        <v>0</v>
      </c>
      <c r="AB696" s="456">
        <v>0</v>
      </c>
      <c r="AC696" s="2"/>
      <c r="AD696" s="4"/>
      <c r="AE696" s="5"/>
      <c r="AF696" s="428"/>
    </row>
    <row r="697" spans="1:32" x14ac:dyDescent="0.25">
      <c r="A697" s="1" t="s">
        <v>3140</v>
      </c>
      <c r="B697" s="3" t="s">
        <v>1368</v>
      </c>
      <c r="C697" s="3" t="s">
        <v>1247</v>
      </c>
      <c r="D697" s="407" t="s">
        <v>1399</v>
      </c>
      <c r="E697" s="3" t="s">
        <v>2447</v>
      </c>
      <c r="F697" s="407" t="s">
        <v>4499</v>
      </c>
      <c r="G697" s="440" t="s">
        <v>4109</v>
      </c>
      <c r="H697" s="407" t="s">
        <v>4320</v>
      </c>
      <c r="I697" s="407" t="s">
        <v>3758</v>
      </c>
      <c r="J697" s="387" t="s">
        <v>4653</v>
      </c>
      <c r="K697" s="387">
        <v>1</v>
      </c>
      <c r="L697" s="387">
        <v>0</v>
      </c>
      <c r="M697" s="387">
        <f t="shared" si="40"/>
        <v>1</v>
      </c>
      <c r="N697" s="442">
        <f t="shared" si="41"/>
        <v>0</v>
      </c>
      <c r="O697" s="387" t="s">
        <v>1358</v>
      </c>
      <c r="P697" s="459">
        <v>0</v>
      </c>
      <c r="Q697" s="459"/>
      <c r="R697" s="456">
        <v>0</v>
      </c>
      <c r="S697" s="456">
        <v>27.417000000000002</v>
      </c>
      <c r="T697" s="410"/>
      <c r="U697" s="411">
        <v>1</v>
      </c>
      <c r="V697" s="411">
        <v>1</v>
      </c>
      <c r="W697" s="411">
        <v>1</v>
      </c>
      <c r="X697" s="411"/>
      <c r="Y697" s="411"/>
      <c r="Z697" s="412">
        <f t="shared" si="42"/>
        <v>0</v>
      </c>
      <c r="AA697" s="456">
        <f t="shared" si="43"/>
        <v>0</v>
      </c>
      <c r="AB697" s="456">
        <v>0</v>
      </c>
      <c r="AC697" s="2"/>
      <c r="AD697" s="4"/>
      <c r="AE697" s="5"/>
      <c r="AF697" s="428"/>
    </row>
    <row r="698" spans="1:32" x14ac:dyDescent="0.25">
      <c r="A698" s="1" t="s">
        <v>3141</v>
      </c>
      <c r="B698" s="3" t="s">
        <v>1368</v>
      </c>
      <c r="C698" s="3" t="s">
        <v>1247</v>
      </c>
      <c r="D698" s="407" t="s">
        <v>1396</v>
      </c>
      <c r="E698" s="3" t="s">
        <v>2448</v>
      </c>
      <c r="F698" s="407" t="s">
        <v>4498</v>
      </c>
      <c r="G698" s="440" t="s">
        <v>4109</v>
      </c>
      <c r="H698" s="407" t="s">
        <v>4319</v>
      </c>
      <c r="I698" s="407" t="s">
        <v>3752</v>
      </c>
      <c r="J698" s="387" t="s">
        <v>4652</v>
      </c>
      <c r="K698" s="387">
        <v>1</v>
      </c>
      <c r="L698" s="387">
        <v>0</v>
      </c>
      <c r="M698" s="387">
        <f t="shared" si="40"/>
        <v>1</v>
      </c>
      <c r="N698" s="442">
        <f t="shared" si="41"/>
        <v>0</v>
      </c>
      <c r="O698" s="387" t="s">
        <v>1358</v>
      </c>
      <c r="P698" s="459">
        <v>0</v>
      </c>
      <c r="Q698" s="459"/>
      <c r="R698" s="456">
        <v>0</v>
      </c>
      <c r="S698" s="456">
        <v>27.417000000000002</v>
      </c>
      <c r="T698" s="410"/>
      <c r="U698" s="411">
        <v>1</v>
      </c>
      <c r="V698" s="411">
        <v>1</v>
      </c>
      <c r="W698" s="411">
        <v>1</v>
      </c>
      <c r="X698" s="411"/>
      <c r="Y698" s="411"/>
      <c r="Z698" s="412">
        <f t="shared" si="42"/>
        <v>0</v>
      </c>
      <c r="AA698" s="456">
        <f t="shared" si="43"/>
        <v>0</v>
      </c>
      <c r="AB698" s="456">
        <v>0</v>
      </c>
      <c r="AC698" s="2"/>
      <c r="AD698" s="4"/>
      <c r="AE698" s="5"/>
      <c r="AF698" s="428"/>
    </row>
    <row r="699" spans="1:32" x14ac:dyDescent="0.25">
      <c r="A699" s="1" t="s">
        <v>3142</v>
      </c>
      <c r="B699" s="3" t="s">
        <v>1368</v>
      </c>
      <c r="C699" s="3" t="s">
        <v>1247</v>
      </c>
      <c r="D699" s="407" t="s">
        <v>1381</v>
      </c>
      <c r="E699" s="3" t="s">
        <v>2449</v>
      </c>
      <c r="F699" s="407" t="s">
        <v>4497</v>
      </c>
      <c r="G699" s="440" t="s">
        <v>4109</v>
      </c>
      <c r="H699" s="407" t="s">
        <v>4318</v>
      </c>
      <c r="I699" s="407" t="s">
        <v>3751</v>
      </c>
      <c r="J699" s="387" t="s">
        <v>4631</v>
      </c>
      <c r="K699" s="387">
        <v>1</v>
      </c>
      <c r="L699" s="387">
        <v>0</v>
      </c>
      <c r="M699" s="387">
        <f t="shared" si="40"/>
        <v>1</v>
      </c>
      <c r="N699" s="442">
        <f t="shared" si="41"/>
        <v>0</v>
      </c>
      <c r="O699" s="387" t="s">
        <v>1358</v>
      </c>
      <c r="P699" s="459">
        <v>0</v>
      </c>
      <c r="Q699" s="459"/>
      <c r="R699" s="456">
        <v>0</v>
      </c>
      <c r="S699" s="456">
        <v>27.417000000000002</v>
      </c>
      <c r="T699" s="410"/>
      <c r="U699" s="411">
        <v>1</v>
      </c>
      <c r="V699" s="411">
        <v>1</v>
      </c>
      <c r="W699" s="411">
        <v>1</v>
      </c>
      <c r="X699" s="411"/>
      <c r="Y699" s="411"/>
      <c r="Z699" s="412">
        <f t="shared" si="42"/>
        <v>0</v>
      </c>
      <c r="AA699" s="456">
        <f t="shared" si="43"/>
        <v>0</v>
      </c>
      <c r="AB699" s="456">
        <v>0</v>
      </c>
      <c r="AC699" s="2"/>
      <c r="AD699" s="4"/>
      <c r="AE699" s="5"/>
      <c r="AF699" s="428"/>
    </row>
    <row r="700" spans="1:32" x14ac:dyDescent="0.25">
      <c r="A700" s="1" t="s">
        <v>3143</v>
      </c>
      <c r="B700" s="3" t="s">
        <v>1368</v>
      </c>
      <c r="C700" s="3" t="s">
        <v>1247</v>
      </c>
      <c r="D700" s="407" t="s">
        <v>1379</v>
      </c>
      <c r="E700" s="3" t="s">
        <v>2450</v>
      </c>
      <c r="F700" s="407" t="s">
        <v>4502</v>
      </c>
      <c r="G700" s="440" t="s">
        <v>4109</v>
      </c>
      <c r="H700" s="407" t="s">
        <v>4323</v>
      </c>
      <c r="I700" s="407" t="s">
        <v>3750</v>
      </c>
      <c r="J700" s="387" t="s">
        <v>4632</v>
      </c>
      <c r="K700" s="387">
        <v>1</v>
      </c>
      <c r="L700" s="387">
        <v>0</v>
      </c>
      <c r="M700" s="387">
        <f t="shared" si="40"/>
        <v>1</v>
      </c>
      <c r="N700" s="442">
        <f t="shared" si="41"/>
        <v>0</v>
      </c>
      <c r="O700" s="387" t="s">
        <v>1358</v>
      </c>
      <c r="P700" s="459">
        <v>0</v>
      </c>
      <c r="Q700" s="459"/>
      <c r="R700" s="456">
        <v>0</v>
      </c>
      <c r="S700" s="456">
        <v>27.417000000000002</v>
      </c>
      <c r="T700" s="410"/>
      <c r="U700" s="411">
        <v>1</v>
      </c>
      <c r="V700" s="411">
        <v>1</v>
      </c>
      <c r="W700" s="411">
        <v>1</v>
      </c>
      <c r="X700" s="411"/>
      <c r="Y700" s="411"/>
      <c r="Z700" s="412">
        <f t="shared" si="42"/>
        <v>0</v>
      </c>
      <c r="AA700" s="456">
        <f t="shared" si="43"/>
        <v>0</v>
      </c>
      <c r="AB700" s="456">
        <v>0</v>
      </c>
      <c r="AC700" s="2"/>
      <c r="AD700" s="4"/>
      <c r="AE700" s="5"/>
      <c r="AF700" s="428"/>
    </row>
    <row r="701" spans="1:32" x14ac:dyDescent="0.25">
      <c r="A701" s="1" t="s">
        <v>3144</v>
      </c>
      <c r="B701" s="3" t="s">
        <v>1368</v>
      </c>
      <c r="C701" s="3" t="s">
        <v>1247</v>
      </c>
      <c r="D701" s="407" t="s">
        <v>1377</v>
      </c>
      <c r="E701" s="3" t="s">
        <v>2451</v>
      </c>
      <c r="F701" s="407" t="s">
        <v>4494</v>
      </c>
      <c r="G701" s="440" t="s">
        <v>4109</v>
      </c>
      <c r="H701" s="407" t="s">
        <v>4315</v>
      </c>
      <c r="I701" s="407" t="s">
        <v>3749</v>
      </c>
      <c r="J701" s="387" t="s">
        <v>4648</v>
      </c>
      <c r="K701" s="387">
        <v>1</v>
      </c>
      <c r="L701" s="387">
        <v>0</v>
      </c>
      <c r="M701" s="387">
        <f t="shared" si="40"/>
        <v>1</v>
      </c>
      <c r="N701" s="442">
        <f t="shared" si="41"/>
        <v>0</v>
      </c>
      <c r="O701" s="387" t="s">
        <v>1358</v>
      </c>
      <c r="P701" s="459">
        <v>0</v>
      </c>
      <c r="Q701" s="459"/>
      <c r="R701" s="456">
        <v>0</v>
      </c>
      <c r="S701" s="456">
        <v>27.417000000000002</v>
      </c>
      <c r="T701" s="410"/>
      <c r="U701" s="411">
        <v>1</v>
      </c>
      <c r="V701" s="411">
        <v>1</v>
      </c>
      <c r="W701" s="411">
        <v>1</v>
      </c>
      <c r="X701" s="411"/>
      <c r="Y701" s="411"/>
      <c r="Z701" s="412">
        <f t="shared" si="42"/>
        <v>0</v>
      </c>
      <c r="AA701" s="456">
        <f t="shared" si="43"/>
        <v>0</v>
      </c>
      <c r="AB701" s="456">
        <v>0</v>
      </c>
      <c r="AC701" s="2"/>
      <c r="AD701" s="4"/>
      <c r="AE701" s="5"/>
      <c r="AF701" s="428"/>
    </row>
    <row r="702" spans="1:32" x14ac:dyDescent="0.25">
      <c r="A702" s="1" t="s">
        <v>3145</v>
      </c>
      <c r="B702" s="3" t="s">
        <v>1368</v>
      </c>
      <c r="C702" s="3" t="s">
        <v>1247</v>
      </c>
      <c r="D702" s="407" t="s">
        <v>1374</v>
      </c>
      <c r="E702" s="3" t="s">
        <v>2452</v>
      </c>
      <c r="F702" s="407" t="s">
        <v>4495</v>
      </c>
      <c r="G702" s="440" t="s">
        <v>4109</v>
      </c>
      <c r="H702" s="407" t="s">
        <v>4316</v>
      </c>
      <c r="I702" s="407" t="s">
        <v>3757</v>
      </c>
      <c r="J702" s="387" t="s">
        <v>4649</v>
      </c>
      <c r="K702" s="387">
        <v>1</v>
      </c>
      <c r="L702" s="387">
        <v>0</v>
      </c>
      <c r="M702" s="387">
        <f t="shared" si="40"/>
        <v>1</v>
      </c>
      <c r="N702" s="442">
        <f t="shared" si="41"/>
        <v>0</v>
      </c>
      <c r="O702" s="387" t="s">
        <v>1358</v>
      </c>
      <c r="P702" s="459">
        <v>0</v>
      </c>
      <c r="Q702" s="459"/>
      <c r="R702" s="456">
        <v>0</v>
      </c>
      <c r="S702" s="456">
        <v>27.417000000000002</v>
      </c>
      <c r="T702" s="410"/>
      <c r="U702" s="411">
        <v>1</v>
      </c>
      <c r="V702" s="411">
        <v>1</v>
      </c>
      <c r="W702" s="411">
        <v>1</v>
      </c>
      <c r="X702" s="411"/>
      <c r="Y702" s="411"/>
      <c r="Z702" s="412">
        <f t="shared" si="42"/>
        <v>0</v>
      </c>
      <c r="AA702" s="456">
        <f t="shared" si="43"/>
        <v>0</v>
      </c>
      <c r="AB702" s="456">
        <v>0</v>
      </c>
      <c r="AC702" s="2"/>
      <c r="AD702" s="4"/>
      <c r="AE702" s="5"/>
      <c r="AF702" s="428"/>
    </row>
    <row r="703" spans="1:32" x14ac:dyDescent="0.25">
      <c r="A703" s="1" t="s">
        <v>3146</v>
      </c>
      <c r="B703" s="3" t="s">
        <v>1368</v>
      </c>
      <c r="C703" s="3" t="s">
        <v>1247</v>
      </c>
      <c r="D703" s="407" t="s">
        <v>1433</v>
      </c>
      <c r="E703" s="3" t="s">
        <v>2453</v>
      </c>
      <c r="F703" s="407" t="s">
        <v>4490</v>
      </c>
      <c r="G703" s="440" t="s">
        <v>4109</v>
      </c>
      <c r="H703" s="407" t="s">
        <v>4311</v>
      </c>
      <c r="I703" s="407" t="s">
        <v>3792</v>
      </c>
      <c r="J703" s="387" t="s">
        <v>4644</v>
      </c>
      <c r="K703" s="387">
        <v>1</v>
      </c>
      <c r="L703" s="387">
        <v>0</v>
      </c>
      <c r="M703" s="387">
        <f t="shared" si="40"/>
        <v>1</v>
      </c>
      <c r="N703" s="442">
        <f t="shared" si="41"/>
        <v>0</v>
      </c>
      <c r="O703" s="387" t="s">
        <v>1358</v>
      </c>
      <c r="P703" s="459">
        <v>0</v>
      </c>
      <c r="Q703" s="459"/>
      <c r="R703" s="456">
        <v>0</v>
      </c>
      <c r="S703" s="456">
        <v>19.939</v>
      </c>
      <c r="T703" s="410"/>
      <c r="U703" s="411">
        <v>0</v>
      </c>
      <c r="V703" s="411">
        <v>0</v>
      </c>
      <c r="W703" s="411">
        <v>0</v>
      </c>
      <c r="X703" s="411"/>
      <c r="Y703" s="411"/>
      <c r="Z703" s="412">
        <f t="shared" si="42"/>
        <v>0</v>
      </c>
      <c r="AA703" s="456">
        <f t="shared" si="43"/>
        <v>0</v>
      </c>
      <c r="AB703" s="456">
        <v>0</v>
      </c>
      <c r="AC703" s="2"/>
      <c r="AD703" s="4"/>
      <c r="AE703" s="5"/>
      <c r="AF703" s="428"/>
    </row>
    <row r="704" spans="1:32" x14ac:dyDescent="0.25">
      <c r="A704" s="567" t="s">
        <v>4821</v>
      </c>
      <c r="B704" s="3" t="s">
        <v>1368</v>
      </c>
      <c r="C704" s="3" t="s">
        <v>1247</v>
      </c>
      <c r="D704" s="407" t="s">
        <v>1374</v>
      </c>
      <c r="E704" s="407" t="s">
        <v>4768</v>
      </c>
      <c r="F704" s="407"/>
      <c r="G704" s="440"/>
      <c r="H704" s="407"/>
      <c r="I704" s="407"/>
      <c r="J704" s="387" t="s">
        <v>4648</v>
      </c>
      <c r="K704" s="387">
        <v>1</v>
      </c>
      <c r="L704" s="387">
        <v>0</v>
      </c>
      <c r="M704" s="387">
        <f t="shared" si="40"/>
        <v>1</v>
      </c>
      <c r="N704" s="442">
        <f t="shared" si="41"/>
        <v>0</v>
      </c>
      <c r="O704" s="387" t="s">
        <v>1358</v>
      </c>
      <c r="P704" s="459">
        <v>0</v>
      </c>
      <c r="Q704" s="459"/>
      <c r="R704" s="456">
        <v>0</v>
      </c>
      <c r="S704" s="456">
        <v>120</v>
      </c>
      <c r="T704" s="410"/>
      <c r="U704" s="411">
        <v>1</v>
      </c>
      <c r="V704" s="411">
        <v>1</v>
      </c>
      <c r="W704" s="411">
        <v>1</v>
      </c>
      <c r="X704" s="411"/>
      <c r="Y704" s="411"/>
      <c r="Z704" s="412">
        <f t="shared" si="42"/>
        <v>0</v>
      </c>
      <c r="AA704" s="456">
        <f t="shared" si="43"/>
        <v>0</v>
      </c>
      <c r="AB704" s="456">
        <v>1</v>
      </c>
      <c r="AC704" s="2"/>
      <c r="AD704" s="4"/>
      <c r="AE704" s="5"/>
      <c r="AF704" s="428"/>
    </row>
    <row r="705" spans="1:32" x14ac:dyDescent="0.25">
      <c r="A705" s="1" t="s">
        <v>4822</v>
      </c>
      <c r="B705" s="3" t="s">
        <v>1368</v>
      </c>
      <c r="C705" s="3" t="s">
        <v>1247</v>
      </c>
      <c r="D705" s="407" t="s">
        <v>4770</v>
      </c>
      <c r="E705" s="407" t="s">
        <v>4769</v>
      </c>
      <c r="F705" s="407"/>
      <c r="G705" s="440"/>
      <c r="H705" s="407"/>
      <c r="I705" s="407"/>
      <c r="J705" s="387" t="s">
        <v>4665</v>
      </c>
      <c r="K705" s="387">
        <v>2</v>
      </c>
      <c r="L705" s="387">
        <v>0</v>
      </c>
      <c r="M705" s="387">
        <f t="shared" si="40"/>
        <v>2</v>
      </c>
      <c r="N705" s="442">
        <f t="shared" si="41"/>
        <v>0</v>
      </c>
      <c r="O705" s="387" t="s">
        <v>1358</v>
      </c>
      <c r="P705" s="459">
        <v>0</v>
      </c>
      <c r="Q705" s="459"/>
      <c r="R705" s="456">
        <v>0</v>
      </c>
      <c r="S705" s="456">
        <v>44</v>
      </c>
      <c r="T705" s="410"/>
      <c r="U705" s="411">
        <v>1</v>
      </c>
      <c r="V705" s="411">
        <v>1</v>
      </c>
      <c r="W705" s="411">
        <v>1</v>
      </c>
      <c r="X705" s="411"/>
      <c r="Y705" s="411"/>
      <c r="Z705" s="412">
        <f t="shared" si="42"/>
        <v>0</v>
      </c>
      <c r="AA705" s="456">
        <f>(U705*U$368*S705)+(V705*V$368*S705)+(W705*W$368*S705)</f>
        <v>0</v>
      </c>
      <c r="AB705" s="456">
        <v>2</v>
      </c>
      <c r="AC705" s="2"/>
      <c r="AD705" s="4"/>
      <c r="AE705" s="5"/>
      <c r="AF705" s="428"/>
    </row>
    <row r="706" spans="1:32" x14ac:dyDescent="0.25">
      <c r="A706" s="1" t="s">
        <v>4969</v>
      </c>
      <c r="B706" s="3" t="s">
        <v>1368</v>
      </c>
      <c r="C706" s="3" t="s">
        <v>1247</v>
      </c>
      <c r="D706" s="407" t="s">
        <v>3292</v>
      </c>
      <c r="E706" s="407" t="s">
        <v>4937</v>
      </c>
      <c r="F706" s="407"/>
      <c r="G706" s="440"/>
      <c r="H706" s="407"/>
      <c r="I706" s="407"/>
      <c r="J706" s="387" t="s">
        <v>4936</v>
      </c>
      <c r="K706" s="387">
        <v>1</v>
      </c>
      <c r="L706" s="387">
        <v>0</v>
      </c>
      <c r="M706" s="387">
        <f t="shared" si="40"/>
        <v>1</v>
      </c>
      <c r="N706" s="442">
        <f t="shared" si="41"/>
        <v>0</v>
      </c>
      <c r="O706" s="387" t="s">
        <v>1358</v>
      </c>
      <c r="P706" s="459">
        <v>0</v>
      </c>
      <c r="Q706" s="459"/>
      <c r="R706" s="456">
        <v>0</v>
      </c>
      <c r="S706" s="456">
        <v>21.62</v>
      </c>
      <c r="T706" s="410"/>
      <c r="U706" s="411">
        <v>1</v>
      </c>
      <c r="V706" s="411">
        <v>1</v>
      </c>
      <c r="W706" s="411">
        <v>1</v>
      </c>
      <c r="X706" s="411"/>
      <c r="Y706" s="411"/>
      <c r="Z706" s="412">
        <f t="shared" si="42"/>
        <v>0</v>
      </c>
      <c r="AA706" s="456">
        <f t="shared" ref="AA706:AA730" si="44">(U706*U$368*S706)+(V706*V$368*S706)+(W706*W$368*S706)</f>
        <v>0</v>
      </c>
      <c r="AB706" s="456">
        <v>0</v>
      </c>
      <c r="AC706" s="2"/>
      <c r="AD706" s="4"/>
      <c r="AE706" s="5"/>
      <c r="AF706" s="428"/>
    </row>
    <row r="707" spans="1:32" x14ac:dyDescent="0.25">
      <c r="A707" s="1" t="s">
        <v>4970</v>
      </c>
      <c r="B707" s="3" t="s">
        <v>1368</v>
      </c>
      <c r="C707" s="3" t="s">
        <v>1247</v>
      </c>
      <c r="D707" s="407" t="s">
        <v>3292</v>
      </c>
      <c r="E707" s="407" t="s">
        <v>4938</v>
      </c>
      <c r="F707" s="407"/>
      <c r="G707" s="440"/>
      <c r="H707" s="407"/>
      <c r="I707" s="407"/>
      <c r="J707" s="387" t="s">
        <v>4936</v>
      </c>
      <c r="K707" s="387">
        <v>1</v>
      </c>
      <c r="L707" s="387">
        <v>0</v>
      </c>
      <c r="M707" s="387">
        <f t="shared" si="40"/>
        <v>1</v>
      </c>
      <c r="N707" s="442">
        <f t="shared" si="41"/>
        <v>0</v>
      </c>
      <c r="O707" s="387" t="s">
        <v>1358</v>
      </c>
      <c r="P707" s="459">
        <v>0</v>
      </c>
      <c r="Q707" s="459"/>
      <c r="R707" s="456">
        <v>0</v>
      </c>
      <c r="S707" s="456">
        <v>77.3</v>
      </c>
      <c r="T707" s="410"/>
      <c r="U707" s="411">
        <v>1</v>
      </c>
      <c r="V707" s="411">
        <v>1</v>
      </c>
      <c r="W707" s="411">
        <v>1</v>
      </c>
      <c r="X707" s="411"/>
      <c r="Y707" s="411"/>
      <c r="Z707" s="412">
        <f t="shared" si="42"/>
        <v>0</v>
      </c>
      <c r="AA707" s="456">
        <f t="shared" si="44"/>
        <v>0</v>
      </c>
      <c r="AB707" s="456">
        <v>0</v>
      </c>
      <c r="AC707" s="2"/>
      <c r="AD707" s="4"/>
      <c r="AE707" s="5"/>
      <c r="AF707" s="428"/>
    </row>
    <row r="708" spans="1:32" x14ac:dyDescent="0.25">
      <c r="A708" s="1" t="s">
        <v>4971</v>
      </c>
      <c r="B708" s="3" t="s">
        <v>1368</v>
      </c>
      <c r="C708" s="3" t="s">
        <v>1247</v>
      </c>
      <c r="D708" s="407" t="s">
        <v>3292</v>
      </c>
      <c r="E708" s="407" t="s">
        <v>4939</v>
      </c>
      <c r="F708" s="407"/>
      <c r="G708" s="440"/>
      <c r="H708" s="407"/>
      <c r="I708" s="407"/>
      <c r="J708" s="387" t="s">
        <v>4936</v>
      </c>
      <c r="K708" s="387">
        <v>1</v>
      </c>
      <c r="L708" s="387">
        <v>0</v>
      </c>
      <c r="M708" s="387">
        <f t="shared" si="40"/>
        <v>1</v>
      </c>
      <c r="N708" s="442">
        <f t="shared" si="41"/>
        <v>0</v>
      </c>
      <c r="O708" s="387" t="s">
        <v>1358</v>
      </c>
      <c r="P708" s="459">
        <v>0</v>
      </c>
      <c r="Q708" s="459"/>
      <c r="R708" s="456">
        <v>0</v>
      </c>
      <c r="S708" s="456">
        <v>77.3</v>
      </c>
      <c r="T708" s="410"/>
      <c r="U708" s="411">
        <v>1</v>
      </c>
      <c r="V708" s="411">
        <v>1</v>
      </c>
      <c r="W708" s="411">
        <v>1</v>
      </c>
      <c r="X708" s="411"/>
      <c r="Y708" s="411"/>
      <c r="Z708" s="412">
        <f t="shared" si="42"/>
        <v>0</v>
      </c>
      <c r="AA708" s="456">
        <f t="shared" si="44"/>
        <v>0</v>
      </c>
      <c r="AB708" s="456">
        <v>0</v>
      </c>
      <c r="AC708" s="2"/>
      <c r="AD708" s="4"/>
      <c r="AE708" s="5"/>
      <c r="AF708" s="428"/>
    </row>
    <row r="709" spans="1:32" x14ac:dyDescent="0.25">
      <c r="A709" s="1" t="s">
        <v>4972</v>
      </c>
      <c r="B709" s="3" t="s">
        <v>1368</v>
      </c>
      <c r="C709" s="3" t="s">
        <v>1247</v>
      </c>
      <c r="D709" s="407" t="s">
        <v>3292</v>
      </c>
      <c r="E709" s="407" t="s">
        <v>4940</v>
      </c>
      <c r="F709" s="407"/>
      <c r="G709" s="440"/>
      <c r="H709" s="407"/>
      <c r="I709" s="407"/>
      <c r="J709" s="387" t="s">
        <v>4936</v>
      </c>
      <c r="K709" s="387">
        <v>1</v>
      </c>
      <c r="L709" s="387">
        <v>0</v>
      </c>
      <c r="M709" s="387">
        <f t="shared" si="40"/>
        <v>1</v>
      </c>
      <c r="N709" s="442">
        <f t="shared" si="41"/>
        <v>0</v>
      </c>
      <c r="O709" s="387" t="s">
        <v>1358</v>
      </c>
      <c r="P709" s="459">
        <v>0</v>
      </c>
      <c r="Q709" s="459"/>
      <c r="R709" s="456">
        <v>0</v>
      </c>
      <c r="S709" s="456">
        <v>13.41</v>
      </c>
      <c r="T709" s="410"/>
      <c r="U709" s="411">
        <v>1</v>
      </c>
      <c r="V709" s="411">
        <v>1</v>
      </c>
      <c r="W709" s="411">
        <v>1</v>
      </c>
      <c r="X709" s="411"/>
      <c r="Y709" s="411"/>
      <c r="Z709" s="412">
        <f t="shared" si="42"/>
        <v>0</v>
      </c>
      <c r="AA709" s="456">
        <f t="shared" si="44"/>
        <v>0</v>
      </c>
      <c r="AB709" s="456">
        <v>0</v>
      </c>
      <c r="AC709" s="2"/>
      <c r="AD709" s="4"/>
      <c r="AE709" s="5"/>
      <c r="AF709" s="428"/>
    </row>
    <row r="710" spans="1:32" x14ac:dyDescent="0.25">
      <c r="A710" s="1"/>
      <c r="B710" s="3" t="s">
        <v>1368</v>
      </c>
      <c r="C710" s="3" t="s">
        <v>1247</v>
      </c>
      <c r="D710" s="407" t="s">
        <v>3291</v>
      </c>
      <c r="E710" s="407" t="s">
        <v>3771</v>
      </c>
      <c r="F710" s="407"/>
      <c r="G710" s="440"/>
      <c r="H710" s="407"/>
      <c r="I710" s="407"/>
      <c r="J710" s="387" t="s">
        <v>4936</v>
      </c>
      <c r="K710" s="387">
        <v>1</v>
      </c>
      <c r="L710" s="387">
        <v>0</v>
      </c>
      <c r="M710" s="387">
        <f t="shared" si="40"/>
        <v>1</v>
      </c>
      <c r="N710" s="442">
        <f t="shared" si="41"/>
        <v>0</v>
      </c>
      <c r="O710" s="387" t="s">
        <v>1358</v>
      </c>
      <c r="P710" s="459">
        <v>0</v>
      </c>
      <c r="Q710" s="459"/>
      <c r="R710" s="456">
        <v>0</v>
      </c>
      <c r="S710" s="456">
        <v>15.609</v>
      </c>
      <c r="T710" s="410"/>
      <c r="U710" s="411">
        <v>1</v>
      </c>
      <c r="V710" s="411">
        <v>1</v>
      </c>
      <c r="W710" s="411">
        <v>1</v>
      </c>
      <c r="X710" s="411"/>
      <c r="Y710" s="411"/>
      <c r="Z710" s="412">
        <f t="shared" si="42"/>
        <v>0</v>
      </c>
      <c r="AA710" s="456">
        <f t="shared" si="44"/>
        <v>0</v>
      </c>
      <c r="AB710" s="456"/>
      <c r="AC710" s="2"/>
      <c r="AD710" s="4"/>
      <c r="AE710" s="5"/>
      <c r="AF710" s="428"/>
    </row>
    <row r="711" spans="1:32" x14ac:dyDescent="0.25">
      <c r="A711" s="1" t="s">
        <v>5146</v>
      </c>
      <c r="B711" s="3" t="s">
        <v>1368</v>
      </c>
      <c r="C711" s="3" t="s">
        <v>1247</v>
      </c>
      <c r="D711" s="407" t="s">
        <v>3292</v>
      </c>
      <c r="E711" s="407" t="s">
        <v>5140</v>
      </c>
      <c r="F711" s="407"/>
      <c r="G711" s="440"/>
      <c r="H711" s="407"/>
      <c r="I711" s="407"/>
      <c r="J711" s="387" t="s">
        <v>4936</v>
      </c>
      <c r="K711" s="387">
        <v>1</v>
      </c>
      <c r="L711" s="387">
        <v>0</v>
      </c>
      <c r="M711" s="387">
        <f t="shared" si="40"/>
        <v>1</v>
      </c>
      <c r="N711" s="442">
        <f t="shared" si="41"/>
        <v>0</v>
      </c>
      <c r="O711" s="387" t="s">
        <v>1358</v>
      </c>
      <c r="P711" s="459">
        <v>0</v>
      </c>
      <c r="Q711" s="459"/>
      <c r="R711" s="456">
        <v>0</v>
      </c>
      <c r="S711" s="456">
        <v>118.82</v>
      </c>
      <c r="T711" s="410"/>
      <c r="U711" s="411">
        <v>1</v>
      </c>
      <c r="V711" s="411">
        <v>1</v>
      </c>
      <c r="W711" s="411">
        <v>1</v>
      </c>
      <c r="X711" s="411"/>
      <c r="Y711" s="411"/>
      <c r="Z711" s="412">
        <f t="shared" si="42"/>
        <v>0</v>
      </c>
      <c r="AA711" s="456">
        <f t="shared" si="44"/>
        <v>0</v>
      </c>
      <c r="AB711" s="456"/>
      <c r="AC711" s="2"/>
      <c r="AD711" s="4"/>
      <c r="AE711" s="5"/>
      <c r="AF711" s="428"/>
    </row>
    <row r="712" spans="1:32" x14ac:dyDescent="0.25">
      <c r="A712" s="571" t="s">
        <v>5220</v>
      </c>
      <c r="B712" s="3" t="s">
        <v>1368</v>
      </c>
      <c r="C712" s="3" t="s">
        <v>1247</v>
      </c>
      <c r="D712" s="407" t="s">
        <v>3292</v>
      </c>
      <c r="E712" s="407" t="s">
        <v>5160</v>
      </c>
      <c r="F712" s="407"/>
      <c r="G712" s="440"/>
      <c r="H712" s="407"/>
      <c r="I712" s="407"/>
      <c r="J712" s="387" t="s">
        <v>4936</v>
      </c>
      <c r="K712" s="387">
        <v>1</v>
      </c>
      <c r="L712" s="387">
        <v>0</v>
      </c>
      <c r="M712" s="387">
        <f t="shared" si="40"/>
        <v>1</v>
      </c>
      <c r="N712" s="442">
        <f t="shared" si="41"/>
        <v>0</v>
      </c>
      <c r="O712" s="387" t="s">
        <v>1358</v>
      </c>
      <c r="P712" s="459">
        <v>0</v>
      </c>
      <c r="Q712" s="459"/>
      <c r="R712" s="456">
        <v>0</v>
      </c>
      <c r="S712" s="456">
        <v>118.82</v>
      </c>
      <c r="T712" s="410"/>
      <c r="U712" s="411">
        <v>1</v>
      </c>
      <c r="V712" s="411">
        <v>1</v>
      </c>
      <c r="W712" s="411">
        <v>1</v>
      </c>
      <c r="X712" s="411"/>
      <c r="Y712" s="411"/>
      <c r="Z712" s="412">
        <f t="shared" si="42"/>
        <v>0</v>
      </c>
      <c r="AA712" s="456">
        <f t="shared" si="44"/>
        <v>0</v>
      </c>
      <c r="AB712" s="456"/>
      <c r="AC712" s="2"/>
      <c r="AD712" s="4"/>
      <c r="AE712" s="5"/>
      <c r="AF712" s="428"/>
    </row>
    <row r="713" spans="1:32" x14ac:dyDescent="0.25">
      <c r="A713" s="1" t="s">
        <v>4703</v>
      </c>
      <c r="B713" s="3" t="s">
        <v>1368</v>
      </c>
      <c r="C713" s="3" t="s">
        <v>1247</v>
      </c>
      <c r="D713" s="407" t="s">
        <v>3759</v>
      </c>
      <c r="E713" s="407"/>
      <c r="F713" s="407" t="s">
        <v>4504</v>
      </c>
      <c r="G713" s="440" t="s">
        <v>4109</v>
      </c>
      <c r="H713" s="407" t="s">
        <v>4325</v>
      </c>
      <c r="I713" s="407" t="s">
        <v>3748</v>
      </c>
      <c r="J713" s="387" t="s">
        <v>3171</v>
      </c>
      <c r="K713" s="387">
        <v>557.71500000000003</v>
      </c>
      <c r="L713" s="387">
        <v>0</v>
      </c>
      <c r="M713" s="387">
        <f t="shared" si="40"/>
        <v>557.71500000000003</v>
      </c>
      <c r="N713" s="442">
        <f t="shared" si="41"/>
        <v>0</v>
      </c>
      <c r="O713" s="387" t="s">
        <v>1361</v>
      </c>
      <c r="P713" s="456">
        <v>1698.6</v>
      </c>
      <c r="Q713" s="459"/>
      <c r="R713" s="456">
        <v>0</v>
      </c>
      <c r="S713" s="456">
        <v>1698.6</v>
      </c>
      <c r="T713" s="410"/>
      <c r="U713" s="411">
        <v>0.13</v>
      </c>
      <c r="V713" s="411">
        <v>0.13</v>
      </c>
      <c r="W713" s="411">
        <v>0.13</v>
      </c>
      <c r="X713" s="411"/>
      <c r="Y713" s="411"/>
      <c r="Z713" s="412">
        <f t="shared" si="42"/>
        <v>0</v>
      </c>
      <c r="AA713" s="456">
        <f t="shared" si="44"/>
        <v>0</v>
      </c>
      <c r="AB713" s="456">
        <v>0</v>
      </c>
      <c r="AC713" s="2"/>
      <c r="AD713" s="4"/>
      <c r="AE713" s="5"/>
      <c r="AF713" s="428"/>
    </row>
    <row r="714" spans="1:32" x14ac:dyDescent="0.25">
      <c r="A714" s="430" t="s">
        <v>5123</v>
      </c>
      <c r="B714" s="3" t="s">
        <v>1368</v>
      </c>
      <c r="C714" s="3" t="s">
        <v>1247</v>
      </c>
      <c r="D714" s="407" t="s">
        <v>5100</v>
      </c>
      <c r="E714" s="407"/>
      <c r="F714" s="407"/>
      <c r="G714" s="440"/>
      <c r="H714" s="407"/>
      <c r="I714" s="407"/>
      <c r="J714" s="387" t="s">
        <v>5037</v>
      </c>
      <c r="K714" s="387">
        <v>68.923000000000002</v>
      </c>
      <c r="L714" s="387">
        <v>0</v>
      </c>
      <c r="M714" s="387">
        <f>K714+L714</f>
        <v>68.923000000000002</v>
      </c>
      <c r="N714" s="442">
        <f>K714*Z714</f>
        <v>0</v>
      </c>
      <c r="O714" s="387" t="s">
        <v>1361</v>
      </c>
      <c r="P714" s="459">
        <v>1101.7</v>
      </c>
      <c r="Q714" s="459"/>
      <c r="R714" s="456">
        <v>0</v>
      </c>
      <c r="S714" s="459">
        <v>1101.7</v>
      </c>
      <c r="T714" s="410"/>
      <c r="U714" s="411">
        <v>1</v>
      </c>
      <c r="V714" s="411">
        <v>0.63</v>
      </c>
      <c r="W714" s="411">
        <v>0.6</v>
      </c>
      <c r="X714" s="411"/>
      <c r="Y714" s="411"/>
      <c r="Z714" s="412">
        <f>AA714/S714</f>
        <v>0</v>
      </c>
      <c r="AA714" s="456">
        <f>(U714*U$368*S714)+(V714*V$368*S714)+(W714*W$368*S714)</f>
        <v>0</v>
      </c>
      <c r="AB714" s="456">
        <v>0</v>
      </c>
      <c r="AC714" s="2"/>
      <c r="AD714" s="4"/>
      <c r="AE714" s="5"/>
      <c r="AF714" s="428"/>
    </row>
    <row r="715" spans="1:32" x14ac:dyDescent="0.25">
      <c r="A715" s="430" t="s">
        <v>4955</v>
      </c>
      <c r="B715" s="3" t="s">
        <v>1368</v>
      </c>
      <c r="C715" s="3" t="s">
        <v>1247</v>
      </c>
      <c r="D715" s="407" t="s">
        <v>4956</v>
      </c>
      <c r="E715" s="407"/>
      <c r="F715" s="407"/>
      <c r="G715" s="440"/>
      <c r="H715" s="407"/>
      <c r="I715" s="407"/>
      <c r="J715" s="387" t="s">
        <v>4885</v>
      </c>
      <c r="K715" s="387">
        <v>438.25399999999991</v>
      </c>
      <c r="L715" s="387">
        <v>0</v>
      </c>
      <c r="M715" s="387">
        <v>0</v>
      </c>
      <c r="N715" s="442">
        <f>K715*Z715</f>
        <v>0</v>
      </c>
      <c r="O715" s="387" t="s">
        <v>1361</v>
      </c>
      <c r="P715" s="459">
        <v>1552</v>
      </c>
      <c r="Q715" s="459"/>
      <c r="R715" s="456">
        <v>0</v>
      </c>
      <c r="S715" s="459">
        <v>1552</v>
      </c>
      <c r="T715" s="410"/>
      <c r="U715" s="411">
        <v>1</v>
      </c>
      <c r="V715" s="411">
        <v>0.5</v>
      </c>
      <c r="W715" s="411">
        <v>0.45</v>
      </c>
      <c r="X715" s="411"/>
      <c r="Y715" s="411"/>
      <c r="Z715" s="412">
        <f t="shared" ref="Z715" si="45">AA715/S715</f>
        <v>0</v>
      </c>
      <c r="AA715" s="456">
        <f>(U715*U$368*S715)+(V715*V$368*S715)+(W715*W$368*S715)</f>
        <v>0</v>
      </c>
      <c r="AB715" s="456">
        <v>1</v>
      </c>
      <c r="AC715" s="2"/>
      <c r="AD715" s="4"/>
      <c r="AE715" s="5"/>
      <c r="AF715" s="428"/>
    </row>
    <row r="716" spans="1:32" x14ac:dyDescent="0.25">
      <c r="A716" s="1" t="s">
        <v>4712</v>
      </c>
      <c r="B716" s="3" t="s">
        <v>1368</v>
      </c>
      <c r="C716" s="3" t="s">
        <v>1247</v>
      </c>
      <c r="D716" s="407" t="s">
        <v>3768</v>
      </c>
      <c r="E716" s="407"/>
      <c r="F716" s="407" t="s">
        <v>4513</v>
      </c>
      <c r="G716" s="440" t="s">
        <v>4109</v>
      </c>
      <c r="H716" s="407" t="s">
        <v>4334</v>
      </c>
      <c r="I716" s="407" t="s">
        <v>3757</v>
      </c>
      <c r="J716" s="387" t="s">
        <v>3180</v>
      </c>
      <c r="K716" s="387">
        <v>874.01</v>
      </c>
      <c r="L716" s="387">
        <v>0</v>
      </c>
      <c r="M716" s="387">
        <f>K716+L716</f>
        <v>874.01</v>
      </c>
      <c r="N716" s="442">
        <f>K716*Z716</f>
        <v>0</v>
      </c>
      <c r="O716" s="387" t="s">
        <v>1361</v>
      </c>
      <c r="P716" s="459">
        <v>1119.1879999999994</v>
      </c>
      <c r="Q716" s="459"/>
      <c r="R716" s="456">
        <v>0</v>
      </c>
      <c r="S716" s="459">
        <v>1119.1879999999994</v>
      </c>
      <c r="T716" s="410"/>
      <c r="U716" s="411">
        <v>1</v>
      </c>
      <c r="V716" s="411">
        <v>0.15</v>
      </c>
      <c r="W716" s="411">
        <v>0.1</v>
      </c>
      <c r="X716" s="411"/>
      <c r="Y716" s="411"/>
      <c r="Z716" s="412">
        <f>AA716/S716</f>
        <v>0</v>
      </c>
      <c r="AA716" s="456">
        <f>(U716*U$368*S716)+(V716*V$368*S716)+(W716*W$368*S716)</f>
        <v>0</v>
      </c>
      <c r="AB716" s="456">
        <v>0</v>
      </c>
      <c r="AC716" s="2"/>
      <c r="AD716" s="4"/>
      <c r="AE716" s="5"/>
      <c r="AF716" s="428"/>
    </row>
    <row r="717" spans="1:32" x14ac:dyDescent="0.25">
      <c r="A717" s="1" t="s">
        <v>4704</v>
      </c>
      <c r="B717" s="3" t="s">
        <v>1368</v>
      </c>
      <c r="C717" s="3" t="s">
        <v>1247</v>
      </c>
      <c r="D717" s="407" t="s">
        <v>3760</v>
      </c>
      <c r="E717" s="407"/>
      <c r="F717" s="407" t="s">
        <v>4505</v>
      </c>
      <c r="G717" s="440" t="s">
        <v>4109</v>
      </c>
      <c r="H717" s="407" t="s">
        <v>4326</v>
      </c>
      <c r="I717" s="407" t="s">
        <v>3749</v>
      </c>
      <c r="J717" s="387" t="s">
        <v>3172</v>
      </c>
      <c r="K717" s="387">
        <v>638.73</v>
      </c>
      <c r="L717" s="387">
        <v>0</v>
      </c>
      <c r="M717" s="387">
        <f t="shared" si="40"/>
        <v>638.73</v>
      </c>
      <c r="N717" s="442">
        <f t="shared" si="41"/>
        <v>0</v>
      </c>
      <c r="O717" s="387" t="s">
        <v>1361</v>
      </c>
      <c r="P717" s="459">
        <v>2191.1069999999982</v>
      </c>
      <c r="Q717" s="459"/>
      <c r="R717" s="456">
        <v>0</v>
      </c>
      <c r="S717" s="459">
        <v>2191.1069999999982</v>
      </c>
      <c r="T717" s="410"/>
      <c r="U717" s="411">
        <v>1</v>
      </c>
      <c r="V717" s="411">
        <v>0.63</v>
      </c>
      <c r="W717" s="411">
        <v>0.6</v>
      </c>
      <c r="X717" s="411"/>
      <c r="Y717" s="411"/>
      <c r="Z717" s="412">
        <f t="shared" ref="Z717:Z780" si="46">AA717/S717</f>
        <v>0</v>
      </c>
      <c r="AA717" s="456">
        <f t="shared" si="44"/>
        <v>0</v>
      </c>
      <c r="AB717" s="456">
        <v>0</v>
      </c>
      <c r="AC717" s="2"/>
      <c r="AD717" s="4"/>
      <c r="AE717" s="5"/>
      <c r="AF717" s="428"/>
    </row>
    <row r="718" spans="1:32" x14ac:dyDescent="0.25">
      <c r="A718" s="1" t="s">
        <v>4705</v>
      </c>
      <c r="B718" s="3" t="s">
        <v>1368</v>
      </c>
      <c r="C718" s="3" t="s">
        <v>1247</v>
      </c>
      <c r="D718" s="407" t="s">
        <v>3761</v>
      </c>
      <c r="E718" s="407"/>
      <c r="F718" s="407" t="s">
        <v>4506</v>
      </c>
      <c r="G718" s="440" t="s">
        <v>4109</v>
      </c>
      <c r="H718" s="407" t="s">
        <v>4327</v>
      </c>
      <c r="I718" s="407" t="s">
        <v>3750</v>
      </c>
      <c r="J718" s="387" t="s">
        <v>3173</v>
      </c>
      <c r="K718" s="387">
        <v>882.92199999999991</v>
      </c>
      <c r="L718" s="387">
        <v>0</v>
      </c>
      <c r="M718" s="387">
        <f t="shared" ref="M718:M781" si="47">K718+L718</f>
        <v>882.92199999999991</v>
      </c>
      <c r="N718" s="442">
        <f t="shared" ref="N718:N781" si="48">K718*Z718</f>
        <v>0</v>
      </c>
      <c r="O718" s="387" t="s">
        <v>1361</v>
      </c>
      <c r="P718" s="459">
        <v>3348.9789999999966</v>
      </c>
      <c r="Q718" s="459"/>
      <c r="R718" s="456">
        <v>0</v>
      </c>
      <c r="S718" s="459">
        <v>3348.9789999999966</v>
      </c>
      <c r="T718" s="410"/>
      <c r="U718" s="411">
        <v>1</v>
      </c>
      <c r="V718" s="411">
        <v>0.7</v>
      </c>
      <c r="W718" s="411">
        <v>0.7</v>
      </c>
      <c r="X718" s="411"/>
      <c r="Y718" s="411"/>
      <c r="Z718" s="412">
        <f t="shared" si="46"/>
        <v>0</v>
      </c>
      <c r="AA718" s="456">
        <f t="shared" si="44"/>
        <v>0</v>
      </c>
      <c r="AB718" s="456">
        <v>0</v>
      </c>
      <c r="AC718" s="2"/>
      <c r="AD718" s="4"/>
      <c r="AE718" s="5"/>
      <c r="AF718" s="428"/>
    </row>
    <row r="719" spans="1:32" x14ac:dyDescent="0.25">
      <c r="A719" s="1" t="s">
        <v>4706</v>
      </c>
      <c r="B719" s="3" t="s">
        <v>1368</v>
      </c>
      <c r="C719" s="3" t="s">
        <v>1247</v>
      </c>
      <c r="D719" s="407" t="s">
        <v>3762</v>
      </c>
      <c r="E719" s="407"/>
      <c r="F719" s="407" t="s">
        <v>4507</v>
      </c>
      <c r="G719" s="440" t="s">
        <v>4109</v>
      </c>
      <c r="H719" s="407" t="s">
        <v>4328</v>
      </c>
      <c r="I719" s="407" t="s">
        <v>3751</v>
      </c>
      <c r="J719" s="387" t="s">
        <v>3174</v>
      </c>
      <c r="K719" s="387">
        <v>502.35999999999996</v>
      </c>
      <c r="L719" s="387">
        <v>0</v>
      </c>
      <c r="M719" s="387">
        <f t="shared" si="47"/>
        <v>502.35999999999996</v>
      </c>
      <c r="N719" s="442">
        <f t="shared" si="48"/>
        <v>0</v>
      </c>
      <c r="O719" s="387" t="s">
        <v>1361</v>
      </c>
      <c r="P719" s="459">
        <v>1035.6220000000001</v>
      </c>
      <c r="Q719" s="459"/>
      <c r="R719" s="456">
        <v>0</v>
      </c>
      <c r="S719" s="459">
        <v>1035.6220000000001</v>
      </c>
      <c r="T719" s="410"/>
      <c r="U719" s="411">
        <v>1</v>
      </c>
      <c r="V719" s="411">
        <v>0.7</v>
      </c>
      <c r="W719" s="411">
        <v>0.7</v>
      </c>
      <c r="X719" s="411"/>
      <c r="Y719" s="411"/>
      <c r="Z719" s="412">
        <f t="shared" si="46"/>
        <v>0</v>
      </c>
      <c r="AA719" s="456">
        <f t="shared" si="44"/>
        <v>0</v>
      </c>
      <c r="AB719" s="456">
        <v>0</v>
      </c>
      <c r="AC719" s="2"/>
      <c r="AD719" s="4"/>
      <c r="AE719" s="5"/>
      <c r="AF719" s="428"/>
    </row>
    <row r="720" spans="1:32" x14ac:dyDescent="0.25">
      <c r="A720" s="1" t="s">
        <v>4707</v>
      </c>
      <c r="B720" s="3" t="s">
        <v>1368</v>
      </c>
      <c r="C720" s="3" t="s">
        <v>1247</v>
      </c>
      <c r="D720" s="407" t="s">
        <v>3763</v>
      </c>
      <c r="E720" s="407"/>
      <c r="F720" s="407" t="s">
        <v>4508</v>
      </c>
      <c r="G720" s="440" t="s">
        <v>4109</v>
      </c>
      <c r="H720" s="407" t="s">
        <v>4329</v>
      </c>
      <c r="I720" s="407" t="s">
        <v>3752</v>
      </c>
      <c r="J720" s="387" t="s">
        <v>3175</v>
      </c>
      <c r="K720" s="387">
        <v>797.26999999999907</v>
      </c>
      <c r="L720" s="387">
        <v>0</v>
      </c>
      <c r="M720" s="387">
        <f t="shared" si="47"/>
        <v>797.26999999999907</v>
      </c>
      <c r="N720" s="442">
        <f t="shared" si="48"/>
        <v>0</v>
      </c>
      <c r="O720" s="387" t="s">
        <v>1361</v>
      </c>
      <c r="P720" s="459">
        <v>1902.8</v>
      </c>
      <c r="Q720" s="459"/>
      <c r="R720" s="456">
        <v>0</v>
      </c>
      <c r="S720" s="459">
        <v>1902.8</v>
      </c>
      <c r="T720" s="410"/>
      <c r="U720" s="411">
        <v>1</v>
      </c>
      <c r="V720" s="411">
        <v>0.6</v>
      </c>
      <c r="W720" s="411">
        <v>0.6</v>
      </c>
      <c r="X720" s="411"/>
      <c r="Y720" s="411"/>
      <c r="Z720" s="412">
        <f t="shared" si="46"/>
        <v>0</v>
      </c>
      <c r="AA720" s="456">
        <f t="shared" si="44"/>
        <v>0</v>
      </c>
      <c r="AB720" s="456">
        <v>0</v>
      </c>
      <c r="AC720" s="2"/>
      <c r="AD720" s="4"/>
      <c r="AE720" s="5"/>
      <c r="AF720" s="428"/>
    </row>
    <row r="721" spans="1:32" x14ac:dyDescent="0.25">
      <c r="A721" s="1" t="s">
        <v>4713</v>
      </c>
      <c r="B721" s="3" t="s">
        <v>1368</v>
      </c>
      <c r="C721" s="3" t="s">
        <v>1247</v>
      </c>
      <c r="D721" s="407" t="s">
        <v>3769</v>
      </c>
      <c r="E721" s="407"/>
      <c r="F721" s="407" t="s">
        <v>4514</v>
      </c>
      <c r="G721" s="440" t="s">
        <v>4109</v>
      </c>
      <c r="H721" s="407" t="s">
        <v>4335</v>
      </c>
      <c r="I721" s="407" t="s">
        <v>3758</v>
      </c>
      <c r="J721" s="387" t="s">
        <v>3181</v>
      </c>
      <c r="K721" s="387">
        <v>726.55000000000007</v>
      </c>
      <c r="L721" s="387">
        <v>0</v>
      </c>
      <c r="M721" s="387">
        <f>K721+L721</f>
        <v>726.55000000000007</v>
      </c>
      <c r="N721" s="442">
        <f>K721*Z721</f>
        <v>0</v>
      </c>
      <c r="O721" s="387" t="s">
        <v>1361</v>
      </c>
      <c r="P721" s="459">
        <v>2615</v>
      </c>
      <c r="Q721" s="459"/>
      <c r="R721" s="456">
        <v>0</v>
      </c>
      <c r="S721" s="459">
        <v>2615</v>
      </c>
      <c r="T721" s="410"/>
      <c r="U721" s="411">
        <v>0.45</v>
      </c>
      <c r="V721" s="411">
        <v>0</v>
      </c>
      <c r="W721" s="411">
        <v>0</v>
      </c>
      <c r="X721" s="411"/>
      <c r="Y721" s="411"/>
      <c r="Z721" s="412">
        <f>AA721/S721</f>
        <v>0</v>
      </c>
      <c r="AA721" s="456">
        <f>(U721*U$368*S721)+(V721*V$368*S721)+(W721*W$368*S721)</f>
        <v>0</v>
      </c>
      <c r="AB721" s="456">
        <v>0</v>
      </c>
      <c r="AC721" s="2"/>
      <c r="AD721" s="4"/>
      <c r="AE721" s="5"/>
      <c r="AF721" s="428"/>
    </row>
    <row r="722" spans="1:32" x14ac:dyDescent="0.25">
      <c r="A722" s="1"/>
      <c r="B722" s="3"/>
      <c r="C722" s="3"/>
      <c r="D722" s="407"/>
      <c r="E722" s="407"/>
      <c r="F722" s="407"/>
      <c r="G722" s="440"/>
      <c r="H722" s="407"/>
      <c r="I722" s="407"/>
      <c r="J722" s="387" t="s">
        <v>5419</v>
      </c>
      <c r="K722" s="387">
        <v>1140.7910000000002</v>
      </c>
      <c r="L722" s="387">
        <v>0</v>
      </c>
      <c r="M722" s="387">
        <f>K722+L722</f>
        <v>1140.7910000000002</v>
      </c>
      <c r="N722" s="442"/>
      <c r="O722" s="387" t="s">
        <v>1361</v>
      </c>
      <c r="P722" s="459">
        <v>5801.3389999999918</v>
      </c>
      <c r="Q722" s="459"/>
      <c r="R722" s="456"/>
      <c r="S722" s="459"/>
      <c r="T722" s="410"/>
      <c r="U722" s="411"/>
      <c r="V722" s="411"/>
      <c r="W722" s="411"/>
      <c r="X722" s="411"/>
      <c r="Y722" s="411"/>
      <c r="Z722" s="412"/>
      <c r="AA722" s="456"/>
      <c r="AB722" s="456"/>
      <c r="AC722" s="2"/>
      <c r="AD722" s="4"/>
      <c r="AE722" s="5"/>
      <c r="AF722" s="428"/>
    </row>
    <row r="723" spans="1:32" x14ac:dyDescent="0.25">
      <c r="A723" s="1"/>
      <c r="B723" s="3"/>
      <c r="C723" s="3"/>
      <c r="D723" s="407"/>
      <c r="E723" s="407"/>
      <c r="F723" s="407"/>
      <c r="G723" s="440"/>
      <c r="H723" s="407"/>
      <c r="I723" s="407"/>
      <c r="J723" s="387" t="s">
        <v>5420</v>
      </c>
      <c r="K723" s="387">
        <v>481.99400000000003</v>
      </c>
      <c r="L723" s="387">
        <v>0</v>
      </c>
      <c r="M723" s="387">
        <f>K723+L723</f>
        <v>481.99400000000003</v>
      </c>
      <c r="N723" s="442"/>
      <c r="O723" s="387" t="s">
        <v>1361</v>
      </c>
      <c r="P723" s="459">
        <v>3597.9439999999959</v>
      </c>
      <c r="Q723" s="459"/>
      <c r="R723" s="456"/>
      <c r="S723" s="459"/>
      <c r="T723" s="410"/>
      <c r="U723" s="411"/>
      <c r="V723" s="411"/>
      <c r="W723" s="411"/>
      <c r="X723" s="411"/>
      <c r="Y723" s="411"/>
      <c r="Z723" s="412"/>
      <c r="AA723" s="456"/>
      <c r="AB723" s="456"/>
      <c r="AC723" s="2"/>
      <c r="AD723" s="4"/>
      <c r="AE723" s="5"/>
      <c r="AF723" s="428"/>
    </row>
    <row r="724" spans="1:32" x14ac:dyDescent="0.25">
      <c r="A724" s="1"/>
      <c r="B724" s="3"/>
      <c r="C724" s="3"/>
      <c r="D724" s="407"/>
      <c r="E724" s="407"/>
      <c r="F724" s="407"/>
      <c r="G724" s="440"/>
      <c r="H724" s="407"/>
      <c r="I724" s="407"/>
      <c r="J724" s="387" t="s">
        <v>5421</v>
      </c>
      <c r="K724" s="387">
        <v>429.05999999999995</v>
      </c>
      <c r="L724" s="387">
        <v>0</v>
      </c>
      <c r="M724" s="387">
        <f>K724+L724</f>
        <v>429.05999999999995</v>
      </c>
      <c r="N724" s="442"/>
      <c r="O724" s="387" t="s">
        <v>1361</v>
      </c>
      <c r="P724" s="459">
        <v>2361.244999999994</v>
      </c>
      <c r="Q724" s="459"/>
      <c r="R724" s="456"/>
      <c r="S724" s="459"/>
      <c r="T724" s="410"/>
      <c r="U724" s="411"/>
      <c r="V724" s="411"/>
      <c r="W724" s="411"/>
      <c r="X724" s="411"/>
      <c r="Y724" s="411"/>
      <c r="Z724" s="412"/>
      <c r="AA724" s="456"/>
      <c r="AB724" s="456"/>
      <c r="AC724" s="2"/>
      <c r="AD724" s="4"/>
      <c r="AE724" s="5"/>
      <c r="AF724" s="428"/>
    </row>
    <row r="725" spans="1:32" x14ac:dyDescent="0.25">
      <c r="A725" s="1" t="s">
        <v>4708</v>
      </c>
      <c r="B725" s="3" t="s">
        <v>1368</v>
      </c>
      <c r="C725" s="3" t="s">
        <v>1247</v>
      </c>
      <c r="D725" s="407" t="s">
        <v>3764</v>
      </c>
      <c r="E725" s="407"/>
      <c r="F725" s="407" t="s">
        <v>4509</v>
      </c>
      <c r="G725" s="440" t="s">
        <v>4109</v>
      </c>
      <c r="H725" s="407" t="s">
        <v>4330</v>
      </c>
      <c r="I725" s="407" t="s">
        <v>3753</v>
      </c>
      <c r="J725" s="387" t="s">
        <v>3176</v>
      </c>
      <c r="K725" s="387">
        <v>176</v>
      </c>
      <c r="L725" s="387">
        <v>0</v>
      </c>
      <c r="M725" s="387">
        <f t="shared" si="47"/>
        <v>176</v>
      </c>
      <c r="N725" s="442">
        <f t="shared" si="48"/>
        <v>0</v>
      </c>
      <c r="O725" s="387" t="s">
        <v>1361</v>
      </c>
      <c r="P725" s="459">
        <v>1292</v>
      </c>
      <c r="Q725" s="459"/>
      <c r="R725" s="456">
        <v>0</v>
      </c>
      <c r="S725" s="459">
        <v>1292</v>
      </c>
      <c r="T725" s="410"/>
      <c r="U725" s="411">
        <v>1</v>
      </c>
      <c r="V725" s="411">
        <v>0.5</v>
      </c>
      <c r="W725" s="411">
        <v>0.5</v>
      </c>
      <c r="X725" s="411"/>
      <c r="Y725" s="411"/>
      <c r="Z725" s="412">
        <f t="shared" si="46"/>
        <v>0</v>
      </c>
      <c r="AA725" s="456">
        <f t="shared" si="44"/>
        <v>0</v>
      </c>
      <c r="AB725" s="456">
        <v>0</v>
      </c>
      <c r="AC725" s="2"/>
      <c r="AD725" s="4"/>
      <c r="AE725" s="5"/>
      <c r="AF725" s="428"/>
    </row>
    <row r="726" spans="1:32" x14ac:dyDescent="0.25">
      <c r="A726" s="1" t="s">
        <v>4709</v>
      </c>
      <c r="B726" s="3" t="s">
        <v>1368</v>
      </c>
      <c r="C726" s="3" t="s">
        <v>1247</v>
      </c>
      <c r="D726" s="407" t="s">
        <v>3765</v>
      </c>
      <c r="E726" s="407"/>
      <c r="F726" s="407" t="s">
        <v>4510</v>
      </c>
      <c r="G726" s="440" t="s">
        <v>4109</v>
      </c>
      <c r="H726" s="407" t="s">
        <v>4331</v>
      </c>
      <c r="I726" s="407" t="s">
        <v>3754</v>
      </c>
      <c r="J726" s="387" t="s">
        <v>3177</v>
      </c>
      <c r="K726" s="387">
        <v>39</v>
      </c>
      <c r="L726" s="387">
        <v>0</v>
      </c>
      <c r="M726" s="387">
        <f t="shared" si="47"/>
        <v>39</v>
      </c>
      <c r="N726" s="442">
        <f t="shared" si="48"/>
        <v>0</v>
      </c>
      <c r="O726" s="387" t="s">
        <v>1361</v>
      </c>
      <c r="P726" s="459">
        <v>529</v>
      </c>
      <c r="Q726" s="459"/>
      <c r="R726" s="456">
        <v>0</v>
      </c>
      <c r="S726" s="459">
        <v>529</v>
      </c>
      <c r="T726" s="410"/>
      <c r="U726" s="411">
        <v>1</v>
      </c>
      <c r="V726" s="411">
        <v>0.3</v>
      </c>
      <c r="W726" s="411">
        <v>0.3</v>
      </c>
      <c r="X726" s="411"/>
      <c r="Y726" s="411"/>
      <c r="Z726" s="412">
        <f t="shared" si="46"/>
        <v>0</v>
      </c>
      <c r="AA726" s="456">
        <f t="shared" si="44"/>
        <v>0</v>
      </c>
      <c r="AB726" s="456">
        <v>0</v>
      </c>
      <c r="AC726" s="2"/>
      <c r="AD726" s="4"/>
      <c r="AE726" s="5"/>
      <c r="AF726" s="428"/>
    </row>
    <row r="727" spans="1:32" x14ac:dyDescent="0.25">
      <c r="A727" s="1" t="s">
        <v>4710</v>
      </c>
      <c r="B727" s="3" t="s">
        <v>1368</v>
      </c>
      <c r="C727" s="3" t="s">
        <v>1247</v>
      </c>
      <c r="D727" s="407" t="s">
        <v>3766</v>
      </c>
      <c r="E727" s="407"/>
      <c r="F727" s="407" t="s">
        <v>4511</v>
      </c>
      <c r="G727" s="440" t="s">
        <v>4109</v>
      </c>
      <c r="H727" s="407" t="s">
        <v>4332</v>
      </c>
      <c r="I727" s="407" t="s">
        <v>3755</v>
      </c>
      <c r="J727" s="387" t="s">
        <v>3178</v>
      </c>
      <c r="K727" s="387">
        <v>15</v>
      </c>
      <c r="L727" s="387">
        <v>0</v>
      </c>
      <c r="M727" s="387">
        <f t="shared" si="47"/>
        <v>15</v>
      </c>
      <c r="N727" s="442">
        <f t="shared" si="48"/>
        <v>0</v>
      </c>
      <c r="O727" s="387" t="s">
        <v>1358</v>
      </c>
      <c r="P727" s="459">
        <v>334</v>
      </c>
      <c r="Q727" s="459"/>
      <c r="R727" s="456">
        <v>0</v>
      </c>
      <c r="S727" s="459">
        <v>334</v>
      </c>
      <c r="T727" s="410"/>
      <c r="U727" s="411">
        <v>1</v>
      </c>
      <c r="V727" s="411">
        <v>1</v>
      </c>
      <c r="W727" s="411">
        <v>1</v>
      </c>
      <c r="X727" s="411"/>
      <c r="Y727" s="411"/>
      <c r="Z727" s="412">
        <f t="shared" si="46"/>
        <v>0</v>
      </c>
      <c r="AA727" s="456">
        <f t="shared" si="44"/>
        <v>0</v>
      </c>
      <c r="AB727" s="456">
        <v>0</v>
      </c>
      <c r="AC727" s="2"/>
      <c r="AD727" s="4"/>
      <c r="AE727" s="5"/>
      <c r="AF727" s="428"/>
    </row>
    <row r="728" spans="1:32" x14ac:dyDescent="0.25">
      <c r="A728" s="1" t="s">
        <v>4711</v>
      </c>
      <c r="B728" s="3" t="s">
        <v>1368</v>
      </c>
      <c r="C728" s="3" t="s">
        <v>1247</v>
      </c>
      <c r="D728" s="407" t="s">
        <v>3767</v>
      </c>
      <c r="E728" s="407"/>
      <c r="F728" s="407" t="s">
        <v>4512</v>
      </c>
      <c r="G728" s="440" t="s">
        <v>4109</v>
      </c>
      <c r="H728" s="407" t="s">
        <v>4333</v>
      </c>
      <c r="I728" s="407" t="s">
        <v>3756</v>
      </c>
      <c r="J728" s="387" t="s">
        <v>3179</v>
      </c>
      <c r="K728" s="387">
        <v>3</v>
      </c>
      <c r="L728" s="387">
        <v>0</v>
      </c>
      <c r="M728" s="387">
        <f t="shared" si="47"/>
        <v>3</v>
      </c>
      <c r="N728" s="442">
        <v>3</v>
      </c>
      <c r="O728" s="387" t="s">
        <v>1358</v>
      </c>
      <c r="P728" s="459">
        <v>52.31</v>
      </c>
      <c r="Q728" s="459"/>
      <c r="R728" s="456">
        <v>0</v>
      </c>
      <c r="S728" s="459">
        <v>52</v>
      </c>
      <c r="T728" s="410"/>
      <c r="U728" s="411">
        <v>0</v>
      </c>
      <c r="V728" s="411">
        <v>0</v>
      </c>
      <c r="W728" s="411">
        <v>0</v>
      </c>
      <c r="X728" s="411"/>
      <c r="Y728" s="411"/>
      <c r="Z728" s="412">
        <f t="shared" si="46"/>
        <v>0</v>
      </c>
      <c r="AA728" s="456">
        <f t="shared" si="44"/>
        <v>0</v>
      </c>
      <c r="AB728" s="456">
        <v>0</v>
      </c>
      <c r="AC728" s="2"/>
      <c r="AD728" s="4"/>
      <c r="AE728" s="5"/>
      <c r="AF728" s="428"/>
    </row>
    <row r="729" spans="1:32" x14ac:dyDescent="0.25">
      <c r="A729" s="1" t="s">
        <v>4823</v>
      </c>
      <c r="B729" s="3" t="s">
        <v>1368</v>
      </c>
      <c r="C729" s="3" t="s">
        <v>1247</v>
      </c>
      <c r="D729" s="407" t="s">
        <v>3219</v>
      </c>
      <c r="E729" s="407"/>
      <c r="F729" s="407"/>
      <c r="G729" s="440"/>
      <c r="H729" s="407"/>
      <c r="I729" s="407"/>
      <c r="J729" s="387" t="s">
        <v>4765</v>
      </c>
      <c r="K729" s="387">
        <v>2</v>
      </c>
      <c r="L729" s="387">
        <v>0</v>
      </c>
      <c r="M729" s="387">
        <f t="shared" si="47"/>
        <v>2</v>
      </c>
      <c r="N729" s="442">
        <f t="shared" si="48"/>
        <v>0</v>
      </c>
      <c r="O729" s="387" t="s">
        <v>1358</v>
      </c>
      <c r="P729" s="459">
        <v>127.392</v>
      </c>
      <c r="Q729" s="459"/>
      <c r="R729" s="456">
        <v>0</v>
      </c>
      <c r="S729" s="459">
        <v>127.392</v>
      </c>
      <c r="T729" s="410"/>
      <c r="U729" s="411">
        <v>1</v>
      </c>
      <c r="V729" s="411">
        <v>1</v>
      </c>
      <c r="W729" s="411">
        <v>1</v>
      </c>
      <c r="X729" s="411"/>
      <c r="Y729" s="411"/>
      <c r="Z729" s="412">
        <f t="shared" si="46"/>
        <v>0</v>
      </c>
      <c r="AA729" s="456">
        <f t="shared" si="44"/>
        <v>0</v>
      </c>
      <c r="AB729" s="456">
        <v>0</v>
      </c>
      <c r="AC729" s="2"/>
      <c r="AD729" s="4"/>
      <c r="AE729" s="5"/>
      <c r="AF729" s="428"/>
    </row>
    <row r="730" spans="1:32" x14ac:dyDescent="0.25">
      <c r="A730" s="1" t="s">
        <v>4824</v>
      </c>
      <c r="B730" s="3" t="s">
        <v>1368</v>
      </c>
      <c r="C730" s="3" t="s">
        <v>1247</v>
      </c>
      <c r="D730" s="407" t="s">
        <v>3221</v>
      </c>
      <c r="E730" s="407"/>
      <c r="F730" s="407"/>
      <c r="G730" s="440"/>
      <c r="H730" s="407"/>
      <c r="I730" s="407"/>
      <c r="J730" s="387" t="s">
        <v>4766</v>
      </c>
      <c r="K730" s="387">
        <v>2</v>
      </c>
      <c r="L730" s="387">
        <v>0</v>
      </c>
      <c r="M730" s="387">
        <f t="shared" si="47"/>
        <v>2</v>
      </c>
      <c r="N730" s="442">
        <f t="shared" si="48"/>
        <v>0</v>
      </c>
      <c r="O730" s="387" t="s">
        <v>1358</v>
      </c>
      <c r="P730" s="459">
        <v>127.392</v>
      </c>
      <c r="Q730" s="459"/>
      <c r="R730" s="456">
        <v>0</v>
      </c>
      <c r="S730" s="459">
        <v>127.392</v>
      </c>
      <c r="T730" s="410"/>
      <c r="U730" s="411">
        <v>1</v>
      </c>
      <c r="V730" s="411">
        <v>1</v>
      </c>
      <c r="W730" s="411">
        <v>1</v>
      </c>
      <c r="X730" s="411"/>
      <c r="Y730" s="411"/>
      <c r="Z730" s="412">
        <f t="shared" si="46"/>
        <v>0</v>
      </c>
      <c r="AA730" s="456">
        <f t="shared" si="44"/>
        <v>0</v>
      </c>
      <c r="AB730" s="456">
        <v>0</v>
      </c>
      <c r="AC730" s="2"/>
      <c r="AD730" s="4"/>
      <c r="AE730" s="5"/>
      <c r="AF730" s="428"/>
    </row>
    <row r="731" spans="1:32" x14ac:dyDescent="0.25">
      <c r="A731" s="1" t="s">
        <v>4714</v>
      </c>
      <c r="B731" s="3" t="s">
        <v>1368</v>
      </c>
      <c r="C731" s="3" t="s">
        <v>1247</v>
      </c>
      <c r="D731" s="407" t="s">
        <v>3219</v>
      </c>
      <c r="E731" s="407" t="s">
        <v>4669</v>
      </c>
      <c r="F731" s="407"/>
      <c r="G731" s="407"/>
      <c r="H731" s="407"/>
      <c r="I731" s="407"/>
      <c r="J731" s="3" t="s">
        <v>4702</v>
      </c>
      <c r="K731" s="387">
        <v>1</v>
      </c>
      <c r="L731" s="387">
        <v>0</v>
      </c>
      <c r="M731" s="387">
        <f t="shared" si="47"/>
        <v>1</v>
      </c>
      <c r="N731" s="442">
        <f t="shared" si="48"/>
        <v>0</v>
      </c>
      <c r="O731" s="387" t="s">
        <v>1358</v>
      </c>
      <c r="P731" s="459">
        <v>32</v>
      </c>
      <c r="Q731" s="459"/>
      <c r="R731" s="456">
        <v>0</v>
      </c>
      <c r="S731" s="459">
        <v>32</v>
      </c>
      <c r="T731" s="410"/>
      <c r="U731" s="411">
        <v>0</v>
      </c>
      <c r="V731" s="411">
        <v>0</v>
      </c>
      <c r="W731" s="411">
        <v>0</v>
      </c>
      <c r="X731" s="411"/>
      <c r="Y731" s="411"/>
      <c r="Z731" s="412">
        <f t="shared" si="46"/>
        <v>0</v>
      </c>
      <c r="AA731" s="456">
        <f>(U731*U$368*S731)+(V731*V$368*S731)+(W731*W$368*S731)</f>
        <v>0</v>
      </c>
      <c r="AB731" s="456">
        <v>0</v>
      </c>
      <c r="AC731" s="2"/>
      <c r="AD731" s="4"/>
      <c r="AE731" s="5"/>
    </row>
    <row r="732" spans="1:32" x14ac:dyDescent="0.25">
      <c r="A732" s="1" t="s">
        <v>4715</v>
      </c>
      <c r="B732" s="3" t="s">
        <v>1368</v>
      </c>
      <c r="C732" s="3" t="s">
        <v>1247</v>
      </c>
      <c r="D732" s="407" t="s">
        <v>3219</v>
      </c>
      <c r="E732" s="407" t="s">
        <v>4670</v>
      </c>
      <c r="F732" s="415"/>
      <c r="G732" s="415"/>
      <c r="H732" s="415"/>
      <c r="I732" s="415"/>
      <c r="J732" s="3" t="s">
        <v>4702</v>
      </c>
      <c r="K732" s="387">
        <v>1</v>
      </c>
      <c r="L732" s="387">
        <v>0</v>
      </c>
      <c r="M732" s="387">
        <f t="shared" si="47"/>
        <v>1</v>
      </c>
      <c r="N732" s="442">
        <f t="shared" si="48"/>
        <v>0</v>
      </c>
      <c r="O732" s="387" t="s">
        <v>1358</v>
      </c>
      <c r="P732" s="459">
        <v>95.543999999999997</v>
      </c>
      <c r="Q732" s="459"/>
      <c r="R732" s="456">
        <v>0</v>
      </c>
      <c r="S732" s="459">
        <v>95.543999999999997</v>
      </c>
      <c r="T732" s="555"/>
      <c r="U732" s="411">
        <v>0</v>
      </c>
      <c r="V732" s="411">
        <v>0</v>
      </c>
      <c r="W732" s="411">
        <v>0</v>
      </c>
      <c r="X732" s="411"/>
      <c r="Y732" s="411"/>
      <c r="Z732" s="412">
        <f t="shared" si="46"/>
        <v>0</v>
      </c>
      <c r="AA732" s="456">
        <f t="shared" ref="AA732:AA795" si="49">(U732*U$368*S732)+(V732*V$368*S732)+(W732*W$368*S732)</f>
        <v>0</v>
      </c>
      <c r="AB732" s="456">
        <v>0</v>
      </c>
      <c r="AC732" s="2"/>
      <c r="AD732" s="4"/>
      <c r="AE732" s="5"/>
    </row>
    <row r="733" spans="1:32" x14ac:dyDescent="0.25">
      <c r="A733" s="1" t="s">
        <v>4716</v>
      </c>
      <c r="B733" s="3" t="s">
        <v>1368</v>
      </c>
      <c r="C733" s="3" t="s">
        <v>1247</v>
      </c>
      <c r="D733" s="407" t="s">
        <v>3219</v>
      </c>
      <c r="E733" s="407" t="s">
        <v>4671</v>
      </c>
      <c r="F733" s="415"/>
      <c r="G733" s="415"/>
      <c r="H733" s="415"/>
      <c r="I733" s="415"/>
      <c r="J733" s="3" t="s">
        <v>4702</v>
      </c>
      <c r="K733" s="387">
        <v>1</v>
      </c>
      <c r="L733" s="387">
        <v>0</v>
      </c>
      <c r="M733" s="387">
        <f t="shared" si="47"/>
        <v>1</v>
      </c>
      <c r="N733" s="442">
        <f t="shared" si="48"/>
        <v>0</v>
      </c>
      <c r="O733" s="387" t="s">
        <v>1358</v>
      </c>
      <c r="P733" s="459">
        <v>95.543999999999997</v>
      </c>
      <c r="Q733" s="459"/>
      <c r="R733" s="456">
        <v>0</v>
      </c>
      <c r="S733" s="459">
        <v>95.543999999999997</v>
      </c>
      <c r="T733" s="555"/>
      <c r="U733" s="411">
        <v>0</v>
      </c>
      <c r="V733" s="411">
        <v>0</v>
      </c>
      <c r="W733" s="411">
        <v>0</v>
      </c>
      <c r="X733" s="411"/>
      <c r="Y733" s="411"/>
      <c r="Z733" s="412">
        <f t="shared" si="46"/>
        <v>0</v>
      </c>
      <c r="AA733" s="456">
        <f t="shared" si="49"/>
        <v>0</v>
      </c>
      <c r="AB733" s="456">
        <v>0</v>
      </c>
      <c r="AC733" s="2"/>
      <c r="AD733" s="4"/>
      <c r="AE733" s="5"/>
    </row>
    <row r="734" spans="1:32" x14ac:dyDescent="0.25">
      <c r="A734" s="1" t="s">
        <v>4717</v>
      </c>
      <c r="B734" s="3" t="s">
        <v>1368</v>
      </c>
      <c r="C734" s="3" t="s">
        <v>1247</v>
      </c>
      <c r="D734" s="407" t="s">
        <v>3219</v>
      </c>
      <c r="E734" s="407" t="s">
        <v>4668</v>
      </c>
      <c r="F734" s="407"/>
      <c r="G734" s="407"/>
      <c r="H734" s="407"/>
      <c r="I734" s="407"/>
      <c r="J734" s="3" t="s">
        <v>4667</v>
      </c>
      <c r="K734" s="387">
        <v>1</v>
      </c>
      <c r="L734" s="387">
        <v>0</v>
      </c>
      <c r="M734" s="387">
        <f t="shared" si="47"/>
        <v>1</v>
      </c>
      <c r="N734" s="442">
        <f t="shared" si="48"/>
        <v>0</v>
      </c>
      <c r="O734" s="387" t="s">
        <v>1358</v>
      </c>
      <c r="P734" s="459">
        <v>23.885999999999999</v>
      </c>
      <c r="Q734" s="459"/>
      <c r="R734" s="456">
        <v>0</v>
      </c>
      <c r="S734" s="459">
        <v>23.885999999999999</v>
      </c>
      <c r="T734" s="410"/>
      <c r="U734" s="411">
        <v>1</v>
      </c>
      <c r="V734" s="411">
        <v>1</v>
      </c>
      <c r="W734" s="411">
        <v>1</v>
      </c>
      <c r="X734" s="411"/>
      <c r="Y734" s="411"/>
      <c r="Z734" s="412">
        <f t="shared" si="46"/>
        <v>0</v>
      </c>
      <c r="AA734" s="456">
        <f t="shared" si="49"/>
        <v>0</v>
      </c>
      <c r="AB734" s="456">
        <v>0</v>
      </c>
      <c r="AC734" s="2"/>
      <c r="AD734" s="4"/>
      <c r="AE734" s="5"/>
    </row>
    <row r="735" spans="1:32" x14ac:dyDescent="0.25">
      <c r="A735" s="1" t="s">
        <v>4718</v>
      </c>
      <c r="B735" s="3" t="s">
        <v>1368</v>
      </c>
      <c r="C735" s="3" t="s">
        <v>1247</v>
      </c>
      <c r="D735" s="407" t="s">
        <v>3219</v>
      </c>
      <c r="E735" s="407" t="s">
        <v>4672</v>
      </c>
      <c r="F735" s="415"/>
      <c r="G735" s="415"/>
      <c r="H735" s="415"/>
      <c r="I735" s="415"/>
      <c r="J735" s="3" t="s">
        <v>4667</v>
      </c>
      <c r="K735" s="387">
        <v>1</v>
      </c>
      <c r="L735" s="387">
        <v>0</v>
      </c>
      <c r="M735" s="387">
        <f t="shared" si="47"/>
        <v>1</v>
      </c>
      <c r="N735" s="442">
        <f t="shared" si="48"/>
        <v>0</v>
      </c>
      <c r="O735" s="387" t="s">
        <v>1358</v>
      </c>
      <c r="P735" s="459">
        <v>23.885999999999999</v>
      </c>
      <c r="Q735" s="459"/>
      <c r="R735" s="456">
        <v>0</v>
      </c>
      <c r="S735" s="459">
        <v>23.885999999999999</v>
      </c>
      <c r="T735" s="555"/>
      <c r="U735" s="411">
        <v>1</v>
      </c>
      <c r="V735" s="411">
        <v>1</v>
      </c>
      <c r="W735" s="411">
        <v>1</v>
      </c>
      <c r="X735" s="411"/>
      <c r="Y735" s="411"/>
      <c r="Z735" s="412">
        <f t="shared" si="46"/>
        <v>0</v>
      </c>
      <c r="AA735" s="456">
        <f t="shared" si="49"/>
        <v>0</v>
      </c>
      <c r="AB735" s="456">
        <v>0</v>
      </c>
      <c r="AC735" s="2"/>
      <c r="AD735" s="4"/>
      <c r="AE735" s="5"/>
    </row>
    <row r="736" spans="1:32" x14ac:dyDescent="0.25">
      <c r="A736" s="1" t="s">
        <v>4719</v>
      </c>
      <c r="B736" s="3" t="s">
        <v>1368</v>
      </c>
      <c r="C736" s="3" t="s">
        <v>1247</v>
      </c>
      <c r="D736" s="407" t="s">
        <v>3219</v>
      </c>
      <c r="E736" s="407" t="s">
        <v>4673</v>
      </c>
      <c r="F736" s="415"/>
      <c r="G736" s="415"/>
      <c r="H736" s="415"/>
      <c r="I736" s="415"/>
      <c r="J736" s="3" t="s">
        <v>4667</v>
      </c>
      <c r="K736" s="387">
        <v>1</v>
      </c>
      <c r="L736" s="387">
        <v>0</v>
      </c>
      <c r="M736" s="387">
        <f t="shared" si="47"/>
        <v>1</v>
      </c>
      <c r="N736" s="442">
        <f t="shared" si="48"/>
        <v>0</v>
      </c>
      <c r="O736" s="387" t="s">
        <v>1358</v>
      </c>
      <c r="P736" s="459">
        <v>15.923999999999999</v>
      </c>
      <c r="Q736" s="459"/>
      <c r="R736" s="456">
        <v>0</v>
      </c>
      <c r="S736" s="459">
        <v>15.923999999999999</v>
      </c>
      <c r="T736" s="555"/>
      <c r="U736" s="411">
        <v>1</v>
      </c>
      <c r="V736" s="411">
        <v>1</v>
      </c>
      <c r="W736" s="411">
        <v>1</v>
      </c>
      <c r="X736" s="411"/>
      <c r="Y736" s="411"/>
      <c r="Z736" s="412">
        <f t="shared" si="46"/>
        <v>0</v>
      </c>
      <c r="AA736" s="456">
        <f t="shared" si="49"/>
        <v>0</v>
      </c>
      <c r="AB736" s="456">
        <v>0</v>
      </c>
      <c r="AC736" s="2"/>
      <c r="AD736" s="4"/>
      <c r="AE736" s="5"/>
    </row>
    <row r="737" spans="1:31" x14ac:dyDescent="0.25">
      <c r="A737" s="1" t="s">
        <v>4720</v>
      </c>
      <c r="B737" s="3" t="s">
        <v>1368</v>
      </c>
      <c r="C737" s="3" t="s">
        <v>1247</v>
      </c>
      <c r="D737" s="407" t="s">
        <v>3219</v>
      </c>
      <c r="E737" s="407" t="s">
        <v>4674</v>
      </c>
      <c r="F737" s="415"/>
      <c r="G737" s="415"/>
      <c r="H737" s="415"/>
      <c r="I737" s="415"/>
      <c r="J737" s="3" t="s">
        <v>4667</v>
      </c>
      <c r="K737" s="387">
        <v>1</v>
      </c>
      <c r="L737" s="387">
        <v>0</v>
      </c>
      <c r="M737" s="387">
        <f t="shared" si="47"/>
        <v>1</v>
      </c>
      <c r="N737" s="442">
        <f t="shared" si="48"/>
        <v>0</v>
      </c>
      <c r="O737" s="387" t="s">
        <v>1358</v>
      </c>
      <c r="P737" s="459">
        <v>15.923999999999999</v>
      </c>
      <c r="Q737" s="459"/>
      <c r="R737" s="456">
        <v>0</v>
      </c>
      <c r="S737" s="459">
        <v>15.923999999999999</v>
      </c>
      <c r="T737" s="555"/>
      <c r="U737" s="411">
        <v>1</v>
      </c>
      <c r="V737" s="411">
        <v>1</v>
      </c>
      <c r="W737" s="411">
        <v>1</v>
      </c>
      <c r="X737" s="411"/>
      <c r="Y737" s="411"/>
      <c r="Z737" s="412">
        <f t="shared" si="46"/>
        <v>0</v>
      </c>
      <c r="AA737" s="456">
        <f t="shared" si="49"/>
        <v>0</v>
      </c>
      <c r="AB737" s="456">
        <v>0</v>
      </c>
      <c r="AC737" s="2"/>
      <c r="AD737" s="4"/>
      <c r="AE737" s="5"/>
    </row>
    <row r="738" spans="1:31" x14ac:dyDescent="0.25">
      <c r="A738" s="1" t="s">
        <v>4721</v>
      </c>
      <c r="B738" s="3" t="s">
        <v>1368</v>
      </c>
      <c r="C738" s="3" t="s">
        <v>1247</v>
      </c>
      <c r="D738" s="407" t="s">
        <v>3219</v>
      </c>
      <c r="E738" s="407" t="s">
        <v>4675</v>
      </c>
      <c r="F738" s="415"/>
      <c r="G738" s="415"/>
      <c r="H738" s="415"/>
      <c r="I738" s="415"/>
      <c r="J738" s="3" t="s">
        <v>4667</v>
      </c>
      <c r="K738" s="387">
        <v>1</v>
      </c>
      <c r="L738" s="387">
        <v>0</v>
      </c>
      <c r="M738" s="387">
        <f t="shared" si="47"/>
        <v>1</v>
      </c>
      <c r="N738" s="442">
        <f t="shared" si="48"/>
        <v>0</v>
      </c>
      <c r="O738" s="387" t="s">
        <v>1358</v>
      </c>
      <c r="P738" s="459">
        <v>15.923999999999999</v>
      </c>
      <c r="Q738" s="459"/>
      <c r="R738" s="456">
        <v>0</v>
      </c>
      <c r="S738" s="459">
        <v>15.923999999999999</v>
      </c>
      <c r="T738" s="555"/>
      <c r="U738" s="411">
        <v>1</v>
      </c>
      <c r="V738" s="411">
        <v>1</v>
      </c>
      <c r="W738" s="411">
        <v>1</v>
      </c>
      <c r="X738" s="411"/>
      <c r="Y738" s="411"/>
      <c r="Z738" s="412">
        <f t="shared" si="46"/>
        <v>0</v>
      </c>
      <c r="AA738" s="456">
        <f t="shared" si="49"/>
        <v>0</v>
      </c>
      <c r="AB738" s="456">
        <v>0</v>
      </c>
      <c r="AC738" s="2"/>
      <c r="AD738" s="4"/>
      <c r="AE738" s="5"/>
    </row>
    <row r="739" spans="1:31" x14ac:dyDescent="0.25">
      <c r="A739" s="1" t="s">
        <v>4722</v>
      </c>
      <c r="B739" s="3" t="s">
        <v>1368</v>
      </c>
      <c r="C739" s="3" t="s">
        <v>1247</v>
      </c>
      <c r="D739" s="407" t="s">
        <v>3219</v>
      </c>
      <c r="E739" s="407" t="s">
        <v>4676</v>
      </c>
      <c r="F739" s="415"/>
      <c r="G739" s="415"/>
      <c r="H739" s="415"/>
      <c r="I739" s="415"/>
      <c r="J739" s="3" t="s">
        <v>4667</v>
      </c>
      <c r="K739" s="387">
        <v>1</v>
      </c>
      <c r="L739" s="387">
        <v>0</v>
      </c>
      <c r="M739" s="387">
        <f t="shared" si="47"/>
        <v>1</v>
      </c>
      <c r="N739" s="442">
        <f t="shared" si="48"/>
        <v>0</v>
      </c>
      <c r="O739" s="387" t="s">
        <v>1358</v>
      </c>
      <c r="P739" s="459">
        <v>63.695999999999998</v>
      </c>
      <c r="Q739" s="459"/>
      <c r="R739" s="456">
        <v>0</v>
      </c>
      <c r="S739" s="459">
        <v>63.695999999999998</v>
      </c>
      <c r="T739" s="555"/>
      <c r="U739" s="411">
        <v>1</v>
      </c>
      <c r="V739" s="411">
        <v>1</v>
      </c>
      <c r="W739" s="411">
        <v>1</v>
      </c>
      <c r="X739" s="411"/>
      <c r="Y739" s="411"/>
      <c r="Z739" s="412">
        <f t="shared" si="46"/>
        <v>0</v>
      </c>
      <c r="AA739" s="456">
        <f t="shared" si="49"/>
        <v>0</v>
      </c>
      <c r="AB739" s="456">
        <v>0</v>
      </c>
      <c r="AC739" s="2"/>
      <c r="AD739" s="4"/>
      <c r="AE739" s="5"/>
    </row>
    <row r="740" spans="1:31" x14ac:dyDescent="0.25">
      <c r="A740" s="1" t="s">
        <v>4723</v>
      </c>
      <c r="B740" s="3" t="s">
        <v>1368</v>
      </c>
      <c r="C740" s="3" t="s">
        <v>1247</v>
      </c>
      <c r="D740" s="407" t="s">
        <v>3220</v>
      </c>
      <c r="E740" s="407" t="s">
        <v>4678</v>
      </c>
      <c r="F740" s="415"/>
      <c r="G740" s="415"/>
      <c r="H740" s="415"/>
      <c r="I740" s="415"/>
      <c r="J740" s="3" t="s">
        <v>4667</v>
      </c>
      <c r="K740" s="387">
        <v>1</v>
      </c>
      <c r="L740" s="387">
        <v>0</v>
      </c>
      <c r="M740" s="387">
        <f t="shared" si="47"/>
        <v>1</v>
      </c>
      <c r="N740" s="442">
        <f t="shared" si="48"/>
        <v>0</v>
      </c>
      <c r="O740" s="387" t="s">
        <v>1358</v>
      </c>
      <c r="P740" s="459">
        <v>31.847999999999999</v>
      </c>
      <c r="Q740" s="459"/>
      <c r="R740" s="456">
        <v>0</v>
      </c>
      <c r="S740" s="459">
        <v>31.847999999999999</v>
      </c>
      <c r="T740" s="555"/>
      <c r="U740" s="411">
        <v>1</v>
      </c>
      <c r="V740" s="411">
        <v>1</v>
      </c>
      <c r="W740" s="411">
        <v>1</v>
      </c>
      <c r="X740" s="411"/>
      <c r="Y740" s="411"/>
      <c r="Z740" s="412">
        <f t="shared" si="46"/>
        <v>0</v>
      </c>
      <c r="AA740" s="456">
        <f t="shared" si="49"/>
        <v>0</v>
      </c>
      <c r="AB740" s="456">
        <v>0</v>
      </c>
      <c r="AC740" s="2"/>
      <c r="AD740" s="4"/>
      <c r="AE740" s="5"/>
    </row>
    <row r="741" spans="1:31" x14ac:dyDescent="0.25">
      <c r="A741" s="1" t="s">
        <v>4724</v>
      </c>
      <c r="B741" s="3" t="s">
        <v>1368</v>
      </c>
      <c r="C741" s="3" t="s">
        <v>1247</v>
      </c>
      <c r="D741" s="407" t="s">
        <v>3220</v>
      </c>
      <c r="E741" s="407" t="s">
        <v>4679</v>
      </c>
      <c r="F741" s="415"/>
      <c r="G741" s="415"/>
      <c r="H741" s="415"/>
      <c r="I741" s="415"/>
      <c r="J741" s="3" t="s">
        <v>4667</v>
      </c>
      <c r="K741" s="387">
        <v>1</v>
      </c>
      <c r="L741" s="387">
        <v>0</v>
      </c>
      <c r="M741" s="387">
        <f t="shared" si="47"/>
        <v>1</v>
      </c>
      <c r="N741" s="442">
        <f t="shared" si="48"/>
        <v>0</v>
      </c>
      <c r="O741" s="387" t="s">
        <v>1358</v>
      </c>
      <c r="P741" s="459">
        <v>95.543999999999997</v>
      </c>
      <c r="Q741" s="459"/>
      <c r="R741" s="456">
        <v>0</v>
      </c>
      <c r="S741" s="459">
        <v>95.543999999999997</v>
      </c>
      <c r="T741" s="555"/>
      <c r="U741" s="411">
        <v>1</v>
      </c>
      <c r="V741" s="411">
        <v>1</v>
      </c>
      <c r="W741" s="411">
        <v>1</v>
      </c>
      <c r="X741" s="411"/>
      <c r="Y741" s="411"/>
      <c r="Z741" s="412">
        <f t="shared" si="46"/>
        <v>0</v>
      </c>
      <c r="AA741" s="456">
        <f t="shared" si="49"/>
        <v>0</v>
      </c>
      <c r="AB741" s="456">
        <v>0</v>
      </c>
      <c r="AC741" s="2"/>
      <c r="AD741" s="4"/>
      <c r="AE741" s="5"/>
    </row>
    <row r="742" spans="1:31" x14ac:dyDescent="0.25">
      <c r="A742" s="1" t="s">
        <v>4725</v>
      </c>
      <c r="B742" s="3" t="s">
        <v>1368</v>
      </c>
      <c r="C742" s="3" t="s">
        <v>1247</v>
      </c>
      <c r="D742" s="407" t="s">
        <v>3220</v>
      </c>
      <c r="E742" s="407" t="s">
        <v>4680</v>
      </c>
      <c r="F742" s="415"/>
      <c r="G742" s="415"/>
      <c r="H742" s="415"/>
      <c r="I742" s="415"/>
      <c r="J742" s="3" t="s">
        <v>4667</v>
      </c>
      <c r="K742" s="387">
        <v>1</v>
      </c>
      <c r="L742" s="387">
        <v>0</v>
      </c>
      <c r="M742" s="387">
        <f t="shared" si="47"/>
        <v>1</v>
      </c>
      <c r="N742" s="442">
        <f t="shared" si="48"/>
        <v>0</v>
      </c>
      <c r="O742" s="387" t="s">
        <v>1358</v>
      </c>
      <c r="P742" s="459">
        <v>95.554000000000002</v>
      </c>
      <c r="Q742" s="459"/>
      <c r="R742" s="456">
        <v>0</v>
      </c>
      <c r="S742" s="459">
        <v>95.554000000000002</v>
      </c>
      <c r="T742" s="555"/>
      <c r="U742" s="411">
        <v>1</v>
      </c>
      <c r="V742" s="411">
        <v>1</v>
      </c>
      <c r="W742" s="411">
        <v>1</v>
      </c>
      <c r="X742" s="411"/>
      <c r="Y742" s="411"/>
      <c r="Z742" s="412">
        <f t="shared" si="46"/>
        <v>0</v>
      </c>
      <c r="AA742" s="456">
        <f t="shared" si="49"/>
        <v>0</v>
      </c>
      <c r="AB742" s="456">
        <v>0</v>
      </c>
      <c r="AC742" s="2"/>
      <c r="AD742" s="4"/>
      <c r="AE742" s="5"/>
    </row>
    <row r="743" spans="1:31" x14ac:dyDescent="0.25">
      <c r="A743" s="1" t="s">
        <v>4726</v>
      </c>
      <c r="B743" s="3" t="s">
        <v>1368</v>
      </c>
      <c r="C743" s="3" t="s">
        <v>1247</v>
      </c>
      <c r="D743" s="407" t="s">
        <v>3220</v>
      </c>
      <c r="E743" s="407" t="s">
        <v>4681</v>
      </c>
      <c r="F743" s="415"/>
      <c r="G743" s="415"/>
      <c r="H743" s="415"/>
      <c r="I743" s="415"/>
      <c r="J743" s="3" t="s">
        <v>4677</v>
      </c>
      <c r="K743" s="387">
        <v>1</v>
      </c>
      <c r="L743" s="387">
        <v>0</v>
      </c>
      <c r="M743" s="387">
        <f t="shared" si="47"/>
        <v>1</v>
      </c>
      <c r="N743" s="442">
        <f t="shared" si="48"/>
        <v>0</v>
      </c>
      <c r="O743" s="387" t="s">
        <v>1358</v>
      </c>
      <c r="P743" s="459">
        <v>15.923999999999999</v>
      </c>
      <c r="Q743" s="459"/>
      <c r="R743" s="456">
        <v>0</v>
      </c>
      <c r="S743" s="459">
        <v>15.923999999999999</v>
      </c>
      <c r="T743" s="555"/>
      <c r="U743" s="411">
        <v>1</v>
      </c>
      <c r="V743" s="411">
        <v>1</v>
      </c>
      <c r="W743" s="411">
        <v>1</v>
      </c>
      <c r="X743" s="411"/>
      <c r="Y743" s="411"/>
      <c r="Z743" s="412">
        <f t="shared" si="46"/>
        <v>0</v>
      </c>
      <c r="AA743" s="456">
        <f t="shared" si="49"/>
        <v>0</v>
      </c>
      <c r="AB743" s="456">
        <v>0</v>
      </c>
      <c r="AC743" s="2"/>
      <c r="AD743" s="4"/>
      <c r="AE743" s="5"/>
    </row>
    <row r="744" spans="1:31" x14ac:dyDescent="0.25">
      <c r="A744" s="1" t="s">
        <v>4727</v>
      </c>
      <c r="B744" s="3" t="s">
        <v>1368</v>
      </c>
      <c r="C744" s="3" t="s">
        <v>1247</v>
      </c>
      <c r="D744" s="407" t="s">
        <v>3220</v>
      </c>
      <c r="E744" s="407" t="s">
        <v>4682</v>
      </c>
      <c r="F744" s="415"/>
      <c r="G744" s="415"/>
      <c r="H744" s="415"/>
      <c r="I744" s="415"/>
      <c r="J744" s="3" t="s">
        <v>4677</v>
      </c>
      <c r="K744" s="387">
        <v>1</v>
      </c>
      <c r="L744" s="387">
        <v>0</v>
      </c>
      <c r="M744" s="387">
        <f t="shared" si="47"/>
        <v>1</v>
      </c>
      <c r="N744" s="442">
        <f t="shared" si="48"/>
        <v>0</v>
      </c>
      <c r="O744" s="387" t="s">
        <v>1358</v>
      </c>
      <c r="P744" s="459">
        <v>15.923999999999999</v>
      </c>
      <c r="Q744" s="459"/>
      <c r="R744" s="456">
        <v>0</v>
      </c>
      <c r="S744" s="459">
        <v>15.923999999999999</v>
      </c>
      <c r="T744" s="555"/>
      <c r="U744" s="411">
        <v>1</v>
      </c>
      <c r="V744" s="411">
        <v>1</v>
      </c>
      <c r="W744" s="411">
        <v>1</v>
      </c>
      <c r="X744" s="411"/>
      <c r="Y744" s="411"/>
      <c r="Z744" s="412">
        <f t="shared" si="46"/>
        <v>0</v>
      </c>
      <c r="AA744" s="456">
        <f t="shared" si="49"/>
        <v>0</v>
      </c>
      <c r="AB744" s="456">
        <v>0</v>
      </c>
      <c r="AC744" s="2"/>
      <c r="AD744" s="4"/>
      <c r="AE744" s="5"/>
    </row>
    <row r="745" spans="1:31" x14ac:dyDescent="0.25">
      <c r="A745" s="1" t="s">
        <v>4728</v>
      </c>
      <c r="B745" s="3" t="s">
        <v>1368</v>
      </c>
      <c r="C745" s="3" t="s">
        <v>1247</v>
      </c>
      <c r="D745" s="407" t="s">
        <v>3220</v>
      </c>
      <c r="E745" s="407" t="s">
        <v>4683</v>
      </c>
      <c r="F745" s="415"/>
      <c r="G745" s="415"/>
      <c r="H745" s="415"/>
      <c r="I745" s="415"/>
      <c r="J745" s="3" t="s">
        <v>4677</v>
      </c>
      <c r="K745" s="387">
        <v>1</v>
      </c>
      <c r="L745" s="387">
        <v>0</v>
      </c>
      <c r="M745" s="387">
        <f t="shared" si="47"/>
        <v>1</v>
      </c>
      <c r="N745" s="442">
        <f t="shared" si="48"/>
        <v>0</v>
      </c>
      <c r="O745" s="387" t="s">
        <v>1358</v>
      </c>
      <c r="P745" s="459">
        <v>23.885999999999999</v>
      </c>
      <c r="Q745" s="459"/>
      <c r="R745" s="456">
        <v>0</v>
      </c>
      <c r="S745" s="459">
        <v>23.885999999999999</v>
      </c>
      <c r="T745" s="555"/>
      <c r="U745" s="411">
        <v>1</v>
      </c>
      <c r="V745" s="411">
        <v>1</v>
      </c>
      <c r="W745" s="411">
        <v>1</v>
      </c>
      <c r="X745" s="411"/>
      <c r="Y745" s="411"/>
      <c r="Z745" s="412">
        <f t="shared" si="46"/>
        <v>0</v>
      </c>
      <c r="AA745" s="456">
        <f t="shared" si="49"/>
        <v>0</v>
      </c>
      <c r="AB745" s="456">
        <v>0</v>
      </c>
      <c r="AC745" s="2"/>
      <c r="AD745" s="4"/>
      <c r="AE745" s="5"/>
    </row>
    <row r="746" spans="1:31" x14ac:dyDescent="0.25">
      <c r="A746" s="1" t="s">
        <v>4729</v>
      </c>
      <c r="B746" s="3" t="s">
        <v>1368</v>
      </c>
      <c r="C746" s="3" t="s">
        <v>1247</v>
      </c>
      <c r="D746" s="407" t="s">
        <v>3220</v>
      </c>
      <c r="E746" s="407" t="s">
        <v>4684</v>
      </c>
      <c r="F746" s="415"/>
      <c r="G746" s="415"/>
      <c r="H746" s="415"/>
      <c r="I746" s="415"/>
      <c r="J746" s="3" t="s">
        <v>4677</v>
      </c>
      <c r="K746" s="387">
        <v>1</v>
      </c>
      <c r="L746" s="387">
        <v>0</v>
      </c>
      <c r="M746" s="387">
        <f t="shared" si="47"/>
        <v>1</v>
      </c>
      <c r="N746" s="442">
        <f t="shared" si="48"/>
        <v>0</v>
      </c>
      <c r="O746" s="387" t="s">
        <v>1358</v>
      </c>
      <c r="P746" s="459">
        <v>23.885999999999999</v>
      </c>
      <c r="Q746" s="459"/>
      <c r="R746" s="456">
        <v>0</v>
      </c>
      <c r="S746" s="459">
        <v>23.885999999999999</v>
      </c>
      <c r="T746" s="555"/>
      <c r="U746" s="411">
        <v>1</v>
      </c>
      <c r="V746" s="411">
        <v>1</v>
      </c>
      <c r="W746" s="411">
        <v>1</v>
      </c>
      <c r="X746" s="411"/>
      <c r="Y746" s="411"/>
      <c r="Z746" s="412">
        <f t="shared" si="46"/>
        <v>0</v>
      </c>
      <c r="AA746" s="456">
        <f t="shared" si="49"/>
        <v>0</v>
      </c>
      <c r="AB746" s="456">
        <v>0</v>
      </c>
      <c r="AC746" s="2"/>
      <c r="AD746" s="4"/>
      <c r="AE746" s="5"/>
    </row>
    <row r="747" spans="1:31" x14ac:dyDescent="0.25">
      <c r="A747" s="1" t="s">
        <v>4730</v>
      </c>
      <c r="B747" s="3" t="s">
        <v>1368</v>
      </c>
      <c r="C747" s="3" t="s">
        <v>1247</v>
      </c>
      <c r="D747" s="407" t="s">
        <v>3220</v>
      </c>
      <c r="E747" s="407" t="s">
        <v>4685</v>
      </c>
      <c r="F747" s="415"/>
      <c r="G747" s="415"/>
      <c r="H747" s="415"/>
      <c r="I747" s="415"/>
      <c r="J747" s="3" t="s">
        <v>4677</v>
      </c>
      <c r="K747" s="387">
        <v>1</v>
      </c>
      <c r="L747" s="387">
        <v>0</v>
      </c>
      <c r="M747" s="387">
        <f t="shared" si="47"/>
        <v>1</v>
      </c>
      <c r="N747" s="442">
        <f t="shared" si="48"/>
        <v>0</v>
      </c>
      <c r="O747" s="387" t="s">
        <v>1358</v>
      </c>
      <c r="P747" s="459">
        <v>15.923999999999999</v>
      </c>
      <c r="Q747" s="459"/>
      <c r="R747" s="456">
        <v>0</v>
      </c>
      <c r="S747" s="459">
        <v>15.923999999999999</v>
      </c>
      <c r="T747" s="555"/>
      <c r="U747" s="411">
        <v>1</v>
      </c>
      <c r="V747" s="411">
        <v>1</v>
      </c>
      <c r="W747" s="411">
        <v>1</v>
      </c>
      <c r="X747" s="411"/>
      <c r="Y747" s="411"/>
      <c r="Z747" s="412">
        <f t="shared" si="46"/>
        <v>0</v>
      </c>
      <c r="AA747" s="456">
        <f t="shared" si="49"/>
        <v>0</v>
      </c>
      <c r="AB747" s="456">
        <v>0</v>
      </c>
      <c r="AC747" s="2"/>
      <c r="AD747" s="4"/>
      <c r="AE747" s="5"/>
    </row>
    <row r="748" spans="1:31" x14ac:dyDescent="0.25">
      <c r="A748" s="1" t="s">
        <v>4731</v>
      </c>
      <c r="B748" s="3" t="s">
        <v>1368</v>
      </c>
      <c r="C748" s="3" t="s">
        <v>1247</v>
      </c>
      <c r="D748" s="407" t="s">
        <v>3220</v>
      </c>
      <c r="E748" s="407" t="s">
        <v>4686</v>
      </c>
      <c r="F748" s="415"/>
      <c r="G748" s="415"/>
      <c r="H748" s="415"/>
      <c r="I748" s="415"/>
      <c r="J748" s="3" t="s">
        <v>4677</v>
      </c>
      <c r="K748" s="387">
        <v>1</v>
      </c>
      <c r="L748" s="387">
        <v>0</v>
      </c>
      <c r="M748" s="387">
        <f t="shared" si="47"/>
        <v>1</v>
      </c>
      <c r="N748" s="442">
        <f t="shared" si="48"/>
        <v>0</v>
      </c>
      <c r="O748" s="387" t="s">
        <v>1358</v>
      </c>
      <c r="P748" s="459">
        <v>63.695999999999998</v>
      </c>
      <c r="Q748" s="459"/>
      <c r="R748" s="456">
        <v>0</v>
      </c>
      <c r="S748" s="459">
        <v>63.695999999999998</v>
      </c>
      <c r="T748" s="555"/>
      <c r="U748" s="411">
        <v>1</v>
      </c>
      <c r="V748" s="411">
        <v>1</v>
      </c>
      <c r="W748" s="411">
        <v>1</v>
      </c>
      <c r="X748" s="411"/>
      <c r="Y748" s="411"/>
      <c r="Z748" s="412">
        <f t="shared" si="46"/>
        <v>0</v>
      </c>
      <c r="AA748" s="456">
        <f t="shared" si="49"/>
        <v>0</v>
      </c>
      <c r="AB748" s="456">
        <v>0</v>
      </c>
      <c r="AC748" s="2"/>
      <c r="AD748" s="4"/>
      <c r="AE748" s="5"/>
    </row>
    <row r="749" spans="1:31" x14ac:dyDescent="0.25">
      <c r="A749" s="1" t="s">
        <v>4732</v>
      </c>
      <c r="B749" s="3" t="s">
        <v>1368</v>
      </c>
      <c r="C749" s="3" t="s">
        <v>1247</v>
      </c>
      <c r="D749" s="407" t="s">
        <v>3221</v>
      </c>
      <c r="E749" s="407" t="s">
        <v>4688</v>
      </c>
      <c r="F749" s="415"/>
      <c r="G749" s="415"/>
      <c r="H749" s="415"/>
      <c r="I749" s="415"/>
      <c r="J749" s="3" t="s">
        <v>4677</v>
      </c>
      <c r="K749" s="387">
        <v>1</v>
      </c>
      <c r="L749" s="387">
        <v>0</v>
      </c>
      <c r="M749" s="387">
        <f t="shared" si="47"/>
        <v>1</v>
      </c>
      <c r="N749" s="442">
        <f t="shared" si="48"/>
        <v>0</v>
      </c>
      <c r="O749" s="387" t="s">
        <v>1358</v>
      </c>
      <c r="P749" s="459">
        <v>31.847999999999999</v>
      </c>
      <c r="Q749" s="459"/>
      <c r="R749" s="456">
        <v>0</v>
      </c>
      <c r="S749" s="459">
        <v>31.847999999999999</v>
      </c>
      <c r="T749" s="555"/>
      <c r="U749" s="411">
        <v>1</v>
      </c>
      <c r="V749" s="411">
        <v>1</v>
      </c>
      <c r="W749" s="411">
        <v>1</v>
      </c>
      <c r="X749" s="411"/>
      <c r="Y749" s="411"/>
      <c r="Z749" s="412">
        <f t="shared" si="46"/>
        <v>0</v>
      </c>
      <c r="AA749" s="456">
        <f t="shared" si="49"/>
        <v>0</v>
      </c>
      <c r="AB749" s="456">
        <v>0</v>
      </c>
      <c r="AC749" s="2"/>
      <c r="AD749" s="4"/>
      <c r="AE749" s="5"/>
    </row>
    <row r="750" spans="1:31" x14ac:dyDescent="0.25">
      <c r="A750" s="1" t="s">
        <v>4733</v>
      </c>
      <c r="B750" s="3" t="s">
        <v>1368</v>
      </c>
      <c r="C750" s="3" t="s">
        <v>1247</v>
      </c>
      <c r="D750" s="407" t="s">
        <v>3221</v>
      </c>
      <c r="E750" s="407" t="s">
        <v>4689</v>
      </c>
      <c r="F750" s="415"/>
      <c r="G750" s="415"/>
      <c r="H750" s="415"/>
      <c r="I750" s="415"/>
      <c r="J750" s="3" t="s">
        <v>4677</v>
      </c>
      <c r="K750" s="387">
        <v>1</v>
      </c>
      <c r="L750" s="387">
        <v>0</v>
      </c>
      <c r="M750" s="387">
        <f t="shared" si="47"/>
        <v>1</v>
      </c>
      <c r="N750" s="442">
        <f t="shared" si="48"/>
        <v>0</v>
      </c>
      <c r="O750" s="387" t="s">
        <v>1358</v>
      </c>
      <c r="P750" s="459">
        <v>95.543999999999997</v>
      </c>
      <c r="Q750" s="459"/>
      <c r="R750" s="456">
        <v>0</v>
      </c>
      <c r="S750" s="459">
        <v>95.543999999999997</v>
      </c>
      <c r="T750" s="555"/>
      <c r="U750" s="411">
        <v>1</v>
      </c>
      <c r="V750" s="411">
        <v>1</v>
      </c>
      <c r="W750" s="411">
        <v>1</v>
      </c>
      <c r="X750" s="411"/>
      <c r="Y750" s="411"/>
      <c r="Z750" s="412">
        <f t="shared" si="46"/>
        <v>0</v>
      </c>
      <c r="AA750" s="456">
        <f t="shared" si="49"/>
        <v>0</v>
      </c>
      <c r="AB750" s="456">
        <v>0</v>
      </c>
      <c r="AC750" s="2"/>
      <c r="AD750" s="4"/>
      <c r="AE750" s="5"/>
    </row>
    <row r="751" spans="1:31" x14ac:dyDescent="0.25">
      <c r="A751" s="1" t="s">
        <v>4734</v>
      </c>
      <c r="B751" s="3" t="s">
        <v>1368</v>
      </c>
      <c r="C751" s="3" t="s">
        <v>1247</v>
      </c>
      <c r="D751" s="407" t="s">
        <v>3221</v>
      </c>
      <c r="E751" s="407" t="s">
        <v>4690</v>
      </c>
      <c r="F751" s="415"/>
      <c r="G751" s="415"/>
      <c r="H751" s="415"/>
      <c r="I751" s="415"/>
      <c r="J751" s="3" t="s">
        <v>4677</v>
      </c>
      <c r="K751" s="387">
        <v>1</v>
      </c>
      <c r="L751" s="387">
        <v>0</v>
      </c>
      <c r="M751" s="387">
        <f t="shared" si="47"/>
        <v>1</v>
      </c>
      <c r="N751" s="442">
        <f t="shared" si="48"/>
        <v>0</v>
      </c>
      <c r="O751" s="387" t="s">
        <v>1358</v>
      </c>
      <c r="P751" s="459">
        <v>95.543999999999997</v>
      </c>
      <c r="Q751" s="459"/>
      <c r="R751" s="456">
        <v>0</v>
      </c>
      <c r="S751" s="459">
        <v>95.543999999999997</v>
      </c>
      <c r="T751" s="555"/>
      <c r="U751" s="411">
        <v>1</v>
      </c>
      <c r="V751" s="411">
        <v>1</v>
      </c>
      <c r="W751" s="411">
        <v>1</v>
      </c>
      <c r="X751" s="411"/>
      <c r="Y751" s="411"/>
      <c r="Z751" s="412">
        <f t="shared" si="46"/>
        <v>0</v>
      </c>
      <c r="AA751" s="456">
        <f t="shared" si="49"/>
        <v>0</v>
      </c>
      <c r="AB751" s="456">
        <v>0</v>
      </c>
      <c r="AC751" s="2"/>
      <c r="AD751" s="4"/>
      <c r="AE751" s="5"/>
    </row>
    <row r="752" spans="1:31" x14ac:dyDescent="0.25">
      <c r="A752" s="1" t="s">
        <v>4735</v>
      </c>
      <c r="B752" s="3" t="s">
        <v>1368</v>
      </c>
      <c r="C752" s="3" t="s">
        <v>1247</v>
      </c>
      <c r="D752" s="407" t="s">
        <v>3221</v>
      </c>
      <c r="E752" s="407" t="s">
        <v>4691</v>
      </c>
      <c r="F752" s="415"/>
      <c r="G752" s="415"/>
      <c r="H752" s="415"/>
      <c r="I752" s="415"/>
      <c r="J752" s="3" t="s">
        <v>4687</v>
      </c>
      <c r="K752" s="387">
        <v>1</v>
      </c>
      <c r="L752" s="387">
        <v>0</v>
      </c>
      <c r="M752" s="387">
        <f t="shared" si="47"/>
        <v>1</v>
      </c>
      <c r="N752" s="442">
        <f t="shared" si="48"/>
        <v>0</v>
      </c>
      <c r="O752" s="387" t="s">
        <v>1358</v>
      </c>
      <c r="P752" s="459">
        <v>23.885999999999999</v>
      </c>
      <c r="Q752" s="459"/>
      <c r="R752" s="456">
        <v>0</v>
      </c>
      <c r="S752" s="459">
        <v>23.885999999999999</v>
      </c>
      <c r="T752" s="555"/>
      <c r="U752" s="411">
        <v>1</v>
      </c>
      <c r="V752" s="411">
        <v>1</v>
      </c>
      <c r="W752" s="411">
        <v>1</v>
      </c>
      <c r="X752" s="411"/>
      <c r="Y752" s="411"/>
      <c r="Z752" s="412">
        <f t="shared" si="46"/>
        <v>0</v>
      </c>
      <c r="AA752" s="456">
        <f t="shared" si="49"/>
        <v>0</v>
      </c>
      <c r="AB752" s="456">
        <v>0</v>
      </c>
      <c r="AC752" s="2"/>
      <c r="AD752" s="4"/>
      <c r="AE752" s="5"/>
    </row>
    <row r="753" spans="1:31" x14ac:dyDescent="0.25">
      <c r="A753" s="1" t="s">
        <v>4736</v>
      </c>
      <c r="B753" s="3" t="s">
        <v>1368</v>
      </c>
      <c r="C753" s="3" t="s">
        <v>1247</v>
      </c>
      <c r="D753" s="407" t="s">
        <v>3221</v>
      </c>
      <c r="E753" s="407" t="s">
        <v>4692</v>
      </c>
      <c r="F753" s="415"/>
      <c r="G753" s="415"/>
      <c r="H753" s="415"/>
      <c r="I753" s="415"/>
      <c r="J753" s="3" t="s">
        <v>4687</v>
      </c>
      <c r="K753" s="387">
        <v>1</v>
      </c>
      <c r="L753" s="387">
        <v>0</v>
      </c>
      <c r="M753" s="387">
        <f t="shared" si="47"/>
        <v>1</v>
      </c>
      <c r="N753" s="442">
        <f t="shared" si="48"/>
        <v>0</v>
      </c>
      <c r="O753" s="387" t="s">
        <v>1358</v>
      </c>
      <c r="P753" s="459">
        <v>15.923999999999999</v>
      </c>
      <c r="Q753" s="459"/>
      <c r="R753" s="456">
        <v>0</v>
      </c>
      <c r="S753" s="459">
        <v>15.923999999999999</v>
      </c>
      <c r="T753" s="555"/>
      <c r="U753" s="411">
        <v>1</v>
      </c>
      <c r="V753" s="411">
        <v>1</v>
      </c>
      <c r="W753" s="411">
        <v>1</v>
      </c>
      <c r="X753" s="411"/>
      <c r="Y753" s="411"/>
      <c r="Z753" s="412">
        <f t="shared" si="46"/>
        <v>0</v>
      </c>
      <c r="AA753" s="456">
        <f t="shared" si="49"/>
        <v>0</v>
      </c>
      <c r="AB753" s="456">
        <v>0</v>
      </c>
      <c r="AC753" s="2"/>
      <c r="AD753" s="4"/>
      <c r="AE753" s="5"/>
    </row>
    <row r="754" spans="1:31" x14ac:dyDescent="0.25">
      <c r="A754" s="1" t="s">
        <v>4737</v>
      </c>
      <c r="B754" s="3" t="s">
        <v>1368</v>
      </c>
      <c r="C754" s="3" t="s">
        <v>1247</v>
      </c>
      <c r="D754" s="407" t="s">
        <v>3221</v>
      </c>
      <c r="E754" s="407" t="s">
        <v>4693</v>
      </c>
      <c r="F754" s="415"/>
      <c r="G754" s="415"/>
      <c r="H754" s="415"/>
      <c r="I754" s="415"/>
      <c r="J754" s="3" t="s">
        <v>4687</v>
      </c>
      <c r="K754" s="387">
        <v>1</v>
      </c>
      <c r="L754" s="387">
        <v>0</v>
      </c>
      <c r="M754" s="387">
        <f t="shared" si="47"/>
        <v>1</v>
      </c>
      <c r="N754" s="442">
        <f t="shared" si="48"/>
        <v>0</v>
      </c>
      <c r="O754" s="387" t="s">
        <v>1358</v>
      </c>
      <c r="P754" s="459">
        <v>15.923999999999999</v>
      </c>
      <c r="Q754" s="459"/>
      <c r="R754" s="456">
        <v>0</v>
      </c>
      <c r="S754" s="459">
        <v>15.923999999999999</v>
      </c>
      <c r="T754" s="555"/>
      <c r="U754" s="411">
        <v>1</v>
      </c>
      <c r="V754" s="411">
        <v>1</v>
      </c>
      <c r="W754" s="411">
        <v>1</v>
      </c>
      <c r="X754" s="411"/>
      <c r="Y754" s="411"/>
      <c r="Z754" s="412">
        <f t="shared" si="46"/>
        <v>0</v>
      </c>
      <c r="AA754" s="456">
        <f t="shared" si="49"/>
        <v>0</v>
      </c>
      <c r="AB754" s="456">
        <v>0</v>
      </c>
      <c r="AC754" s="2"/>
      <c r="AD754" s="4"/>
      <c r="AE754" s="5"/>
    </row>
    <row r="755" spans="1:31" x14ac:dyDescent="0.25">
      <c r="A755" s="1" t="s">
        <v>4738</v>
      </c>
      <c r="B755" s="3" t="s">
        <v>1368</v>
      </c>
      <c r="C755" s="3" t="s">
        <v>1247</v>
      </c>
      <c r="D755" s="407" t="s">
        <v>3221</v>
      </c>
      <c r="E755" s="407" t="s">
        <v>4694</v>
      </c>
      <c r="F755" s="415"/>
      <c r="G755" s="415"/>
      <c r="H755" s="415"/>
      <c r="I755" s="415"/>
      <c r="J755" s="3" t="s">
        <v>4687</v>
      </c>
      <c r="K755" s="387">
        <v>1</v>
      </c>
      <c r="L755" s="387">
        <v>0</v>
      </c>
      <c r="M755" s="387">
        <f t="shared" si="47"/>
        <v>1</v>
      </c>
      <c r="N755" s="442">
        <f t="shared" si="48"/>
        <v>0</v>
      </c>
      <c r="O755" s="387" t="s">
        <v>1358</v>
      </c>
      <c r="P755" s="459">
        <v>15.923999999999999</v>
      </c>
      <c r="Q755" s="459"/>
      <c r="R755" s="456">
        <v>0</v>
      </c>
      <c r="S755" s="459">
        <v>15.923999999999999</v>
      </c>
      <c r="T755" s="555"/>
      <c r="U755" s="411">
        <v>1</v>
      </c>
      <c r="V755" s="411">
        <v>1</v>
      </c>
      <c r="W755" s="411">
        <v>1</v>
      </c>
      <c r="X755" s="411"/>
      <c r="Y755" s="411"/>
      <c r="Z755" s="412">
        <f t="shared" si="46"/>
        <v>0</v>
      </c>
      <c r="AA755" s="456">
        <f t="shared" si="49"/>
        <v>0</v>
      </c>
      <c r="AB755" s="456">
        <v>0</v>
      </c>
      <c r="AC755" s="2"/>
      <c r="AD755" s="4"/>
      <c r="AE755" s="5"/>
    </row>
    <row r="756" spans="1:31" x14ac:dyDescent="0.25">
      <c r="A756" s="1" t="s">
        <v>4739</v>
      </c>
      <c r="B756" s="3" t="s">
        <v>1368</v>
      </c>
      <c r="C756" s="3" t="s">
        <v>1247</v>
      </c>
      <c r="D756" s="407" t="s">
        <v>3221</v>
      </c>
      <c r="E756" s="407" t="s">
        <v>4695</v>
      </c>
      <c r="F756" s="415"/>
      <c r="G756" s="415"/>
      <c r="H756" s="415"/>
      <c r="I756" s="415"/>
      <c r="J756" s="3" t="s">
        <v>4687</v>
      </c>
      <c r="K756" s="387">
        <v>1</v>
      </c>
      <c r="L756" s="387">
        <v>0</v>
      </c>
      <c r="M756" s="387">
        <f t="shared" si="47"/>
        <v>1</v>
      </c>
      <c r="N756" s="442">
        <f t="shared" si="48"/>
        <v>0</v>
      </c>
      <c r="O756" s="387" t="s">
        <v>1358</v>
      </c>
      <c r="P756" s="459">
        <v>23.885999999999999</v>
      </c>
      <c r="Q756" s="459"/>
      <c r="R756" s="456">
        <v>0</v>
      </c>
      <c r="S756" s="459">
        <v>23.885999999999999</v>
      </c>
      <c r="T756" s="555"/>
      <c r="U756" s="411">
        <v>1</v>
      </c>
      <c r="V756" s="411">
        <v>1</v>
      </c>
      <c r="W756" s="411">
        <v>1</v>
      </c>
      <c r="X756" s="411"/>
      <c r="Y756" s="411"/>
      <c r="Z756" s="412">
        <f t="shared" si="46"/>
        <v>0</v>
      </c>
      <c r="AA756" s="456">
        <f t="shared" si="49"/>
        <v>0</v>
      </c>
      <c r="AB756" s="456">
        <v>0</v>
      </c>
      <c r="AC756" s="2"/>
      <c r="AD756" s="4"/>
      <c r="AE756" s="5"/>
    </row>
    <row r="757" spans="1:31" x14ac:dyDescent="0.25">
      <c r="A757" s="1" t="s">
        <v>4740</v>
      </c>
      <c r="B757" s="3" t="s">
        <v>1368</v>
      </c>
      <c r="C757" s="3" t="s">
        <v>1247</v>
      </c>
      <c r="D757" s="407" t="s">
        <v>3221</v>
      </c>
      <c r="E757" s="407" t="s">
        <v>4696</v>
      </c>
      <c r="F757" s="415"/>
      <c r="G757" s="415"/>
      <c r="H757" s="415"/>
      <c r="I757" s="415"/>
      <c r="J757" s="3" t="s">
        <v>4687</v>
      </c>
      <c r="K757" s="387">
        <v>1</v>
      </c>
      <c r="L757" s="387">
        <v>0</v>
      </c>
      <c r="M757" s="387">
        <f t="shared" si="47"/>
        <v>1</v>
      </c>
      <c r="N757" s="442">
        <f t="shared" si="48"/>
        <v>0</v>
      </c>
      <c r="O757" s="387" t="s">
        <v>1358</v>
      </c>
      <c r="P757" s="459">
        <v>63.695999999999998</v>
      </c>
      <c r="Q757" s="459"/>
      <c r="R757" s="456">
        <v>0</v>
      </c>
      <c r="S757" s="459">
        <v>63.695999999999998</v>
      </c>
      <c r="T757" s="555"/>
      <c r="U757" s="411">
        <v>1</v>
      </c>
      <c r="V757" s="411">
        <v>1</v>
      </c>
      <c r="W757" s="411">
        <v>1</v>
      </c>
      <c r="X757" s="411"/>
      <c r="Y757" s="411"/>
      <c r="Z757" s="412">
        <f t="shared" si="46"/>
        <v>0</v>
      </c>
      <c r="AA757" s="456">
        <f t="shared" si="49"/>
        <v>0</v>
      </c>
      <c r="AB757" s="456">
        <v>0</v>
      </c>
      <c r="AC757" s="2"/>
      <c r="AD757" s="4"/>
      <c r="AE757" s="5"/>
    </row>
    <row r="758" spans="1:31" x14ac:dyDescent="0.25">
      <c r="A758" s="1" t="s">
        <v>4741</v>
      </c>
      <c r="B758" s="3" t="s">
        <v>1368</v>
      </c>
      <c r="C758" s="3" t="s">
        <v>1247</v>
      </c>
      <c r="D758" s="407" t="s">
        <v>3222</v>
      </c>
      <c r="E758" s="407" t="s">
        <v>4697</v>
      </c>
      <c r="F758" s="415"/>
      <c r="G758" s="415"/>
      <c r="H758" s="415"/>
      <c r="I758" s="415"/>
      <c r="J758" s="3" t="s">
        <v>4687</v>
      </c>
      <c r="K758" s="387">
        <v>1</v>
      </c>
      <c r="L758" s="387">
        <v>0</v>
      </c>
      <c r="M758" s="387">
        <f t="shared" si="47"/>
        <v>1</v>
      </c>
      <c r="N758" s="442">
        <f t="shared" si="48"/>
        <v>0</v>
      </c>
      <c r="O758" s="387" t="s">
        <v>1358</v>
      </c>
      <c r="P758" s="459">
        <v>95.543999999999997</v>
      </c>
      <c r="Q758" s="459"/>
      <c r="R758" s="456">
        <v>0</v>
      </c>
      <c r="S758" s="459">
        <v>95.543999999999997</v>
      </c>
      <c r="T758" s="555"/>
      <c r="U758" s="411">
        <v>1</v>
      </c>
      <c r="V758" s="411">
        <v>1</v>
      </c>
      <c r="W758" s="411">
        <v>1</v>
      </c>
      <c r="X758" s="411"/>
      <c r="Y758" s="411"/>
      <c r="Z758" s="412">
        <f t="shared" si="46"/>
        <v>0</v>
      </c>
      <c r="AA758" s="456">
        <f t="shared" si="49"/>
        <v>0</v>
      </c>
      <c r="AB758" s="456">
        <v>0</v>
      </c>
      <c r="AC758" s="2"/>
      <c r="AD758" s="4"/>
      <c r="AE758" s="5"/>
    </row>
    <row r="759" spans="1:31" x14ac:dyDescent="0.25">
      <c r="A759" s="1" t="s">
        <v>4742</v>
      </c>
      <c r="B759" s="3" t="s">
        <v>1368</v>
      </c>
      <c r="C759" s="3" t="s">
        <v>1247</v>
      </c>
      <c r="D759" s="407" t="s">
        <v>3222</v>
      </c>
      <c r="E759" s="407" t="s">
        <v>4698</v>
      </c>
      <c r="F759" s="415"/>
      <c r="G759" s="415"/>
      <c r="H759" s="415"/>
      <c r="I759" s="415"/>
      <c r="J759" s="3" t="s">
        <v>4701</v>
      </c>
      <c r="K759" s="387">
        <v>1</v>
      </c>
      <c r="L759" s="387">
        <v>0</v>
      </c>
      <c r="M759" s="387">
        <f t="shared" si="47"/>
        <v>1</v>
      </c>
      <c r="N759" s="442">
        <f t="shared" si="48"/>
        <v>0</v>
      </c>
      <c r="O759" s="387" t="s">
        <v>1358</v>
      </c>
      <c r="P759" s="459">
        <v>23.885999999999999</v>
      </c>
      <c r="Q759" s="459"/>
      <c r="R759" s="456">
        <v>0</v>
      </c>
      <c r="S759" s="459">
        <v>23.885999999999999</v>
      </c>
      <c r="T759" s="555"/>
      <c r="U759" s="411">
        <v>1</v>
      </c>
      <c r="V759" s="411">
        <v>1</v>
      </c>
      <c r="W759" s="411">
        <v>1</v>
      </c>
      <c r="X759" s="411"/>
      <c r="Y759" s="411"/>
      <c r="Z759" s="412">
        <f t="shared" si="46"/>
        <v>0</v>
      </c>
      <c r="AA759" s="456">
        <f t="shared" si="49"/>
        <v>0</v>
      </c>
      <c r="AB759" s="456">
        <v>0</v>
      </c>
      <c r="AC759" s="2"/>
      <c r="AD759" s="4"/>
      <c r="AE759" s="5"/>
    </row>
    <row r="760" spans="1:31" x14ac:dyDescent="0.25">
      <c r="A760" s="1" t="s">
        <v>4743</v>
      </c>
      <c r="B760" s="3" t="s">
        <v>1368</v>
      </c>
      <c r="C760" s="3" t="s">
        <v>1247</v>
      </c>
      <c r="D760" s="407" t="s">
        <v>3222</v>
      </c>
      <c r="E760" s="407" t="s">
        <v>4699</v>
      </c>
      <c r="F760" s="415"/>
      <c r="G760" s="415"/>
      <c r="H760" s="415"/>
      <c r="I760" s="415"/>
      <c r="J760" s="3" t="s">
        <v>4701</v>
      </c>
      <c r="K760" s="387">
        <v>1</v>
      </c>
      <c r="L760" s="387">
        <v>0</v>
      </c>
      <c r="M760" s="387">
        <f t="shared" si="47"/>
        <v>1</v>
      </c>
      <c r="N760" s="442">
        <f t="shared" si="48"/>
        <v>0</v>
      </c>
      <c r="O760" s="387" t="s">
        <v>1358</v>
      </c>
      <c r="P760" s="459">
        <v>15.923999999999999</v>
      </c>
      <c r="Q760" s="459"/>
      <c r="R760" s="456">
        <v>0</v>
      </c>
      <c r="S760" s="459">
        <v>15.923999999999999</v>
      </c>
      <c r="T760" s="555"/>
      <c r="U760" s="411">
        <v>1</v>
      </c>
      <c r="V760" s="411">
        <v>1</v>
      </c>
      <c r="W760" s="411">
        <v>1</v>
      </c>
      <c r="X760" s="411"/>
      <c r="Y760" s="411"/>
      <c r="Z760" s="412">
        <f t="shared" si="46"/>
        <v>0</v>
      </c>
      <c r="AA760" s="456">
        <f t="shared" si="49"/>
        <v>0</v>
      </c>
      <c r="AB760" s="456">
        <v>0</v>
      </c>
      <c r="AC760" s="2"/>
      <c r="AD760" s="4"/>
      <c r="AE760" s="5"/>
    </row>
    <row r="761" spans="1:31" x14ac:dyDescent="0.25">
      <c r="A761" s="1" t="s">
        <v>4744</v>
      </c>
      <c r="B761" s="3" t="s">
        <v>1368</v>
      </c>
      <c r="C761" s="3" t="s">
        <v>1247</v>
      </c>
      <c r="D761" s="407" t="s">
        <v>3222</v>
      </c>
      <c r="E761" s="407" t="s">
        <v>4700</v>
      </c>
      <c r="F761" s="415"/>
      <c r="G761" s="415"/>
      <c r="H761" s="415"/>
      <c r="I761" s="415"/>
      <c r="J761" s="3" t="s">
        <v>4701</v>
      </c>
      <c r="K761" s="387">
        <v>1</v>
      </c>
      <c r="L761" s="387">
        <v>0</v>
      </c>
      <c r="M761" s="387">
        <f t="shared" si="47"/>
        <v>1</v>
      </c>
      <c r="N761" s="442">
        <f t="shared" si="48"/>
        <v>0</v>
      </c>
      <c r="O761" s="387" t="s">
        <v>1358</v>
      </c>
      <c r="P761" s="459">
        <v>63.695999999999998</v>
      </c>
      <c r="Q761" s="459"/>
      <c r="R761" s="456">
        <v>0</v>
      </c>
      <c r="S761" s="459">
        <v>63.695999999999998</v>
      </c>
      <c r="T761" s="555"/>
      <c r="U761" s="411">
        <v>1</v>
      </c>
      <c r="V761" s="411">
        <v>1</v>
      </c>
      <c r="W761" s="411">
        <v>1</v>
      </c>
      <c r="X761" s="411"/>
      <c r="Y761" s="411"/>
      <c r="Z761" s="412">
        <f t="shared" si="46"/>
        <v>0</v>
      </c>
      <c r="AA761" s="456">
        <f t="shared" si="49"/>
        <v>0</v>
      </c>
      <c r="AB761" s="456">
        <v>0</v>
      </c>
      <c r="AC761" s="2"/>
      <c r="AD761" s="4"/>
      <c r="AE761" s="5"/>
    </row>
    <row r="762" spans="1:31" x14ac:dyDescent="0.25">
      <c r="A762" s="1" t="s">
        <v>4825</v>
      </c>
      <c r="B762" s="3" t="s">
        <v>1368</v>
      </c>
      <c r="C762" s="3" t="s">
        <v>1247</v>
      </c>
      <c r="D762" s="407" t="s">
        <v>3221</v>
      </c>
      <c r="E762" s="407" t="s">
        <v>4755</v>
      </c>
      <c r="F762" s="415" t="s">
        <v>4755</v>
      </c>
      <c r="G762" s="415"/>
      <c r="H762" s="415"/>
      <c r="I762" s="415"/>
      <c r="J762" s="3" t="s">
        <v>4756</v>
      </c>
      <c r="K762" s="387">
        <v>1</v>
      </c>
      <c r="L762" s="387">
        <v>0</v>
      </c>
      <c r="M762" s="387">
        <f t="shared" si="47"/>
        <v>1</v>
      </c>
      <c r="N762" s="442">
        <f t="shared" si="48"/>
        <v>0</v>
      </c>
      <c r="O762" s="387" t="s">
        <v>1358</v>
      </c>
      <c r="P762" s="459">
        <v>31.847999999999999</v>
      </c>
      <c r="Q762" s="459"/>
      <c r="R762" s="456">
        <v>0</v>
      </c>
      <c r="S762" s="459">
        <v>31.847999999999999</v>
      </c>
      <c r="T762" s="555"/>
      <c r="U762" s="411">
        <v>1</v>
      </c>
      <c r="V762" s="411">
        <v>1</v>
      </c>
      <c r="W762" s="411">
        <v>1</v>
      </c>
      <c r="X762" s="411"/>
      <c r="Y762" s="411"/>
      <c r="Z762" s="412">
        <f t="shared" si="46"/>
        <v>0</v>
      </c>
      <c r="AA762" s="456">
        <f t="shared" si="49"/>
        <v>0</v>
      </c>
      <c r="AB762" s="456">
        <v>0</v>
      </c>
      <c r="AC762" s="2"/>
      <c r="AD762" s="4"/>
      <c r="AE762" s="5"/>
    </row>
    <row r="763" spans="1:31" x14ac:dyDescent="0.25">
      <c r="A763" s="1" t="s">
        <v>4826</v>
      </c>
      <c r="B763" s="3" t="s">
        <v>1368</v>
      </c>
      <c r="C763" s="3" t="s">
        <v>1247</v>
      </c>
      <c r="D763" s="407" t="s">
        <v>3221</v>
      </c>
      <c r="E763" s="407" t="s">
        <v>4757</v>
      </c>
      <c r="F763" s="415"/>
      <c r="G763" s="415"/>
      <c r="H763" s="415"/>
      <c r="I763" s="415"/>
      <c r="J763" s="3" t="s">
        <v>4756</v>
      </c>
      <c r="K763" s="387">
        <v>1</v>
      </c>
      <c r="L763" s="387">
        <v>0</v>
      </c>
      <c r="M763" s="387">
        <f t="shared" si="47"/>
        <v>1</v>
      </c>
      <c r="N763" s="442">
        <f t="shared" si="48"/>
        <v>0</v>
      </c>
      <c r="O763" s="387" t="s">
        <v>1358</v>
      </c>
      <c r="P763" s="459">
        <v>95.543999999999997</v>
      </c>
      <c r="Q763" s="459"/>
      <c r="R763" s="456">
        <v>0</v>
      </c>
      <c r="S763" s="459">
        <v>95.543999999999997</v>
      </c>
      <c r="T763" s="555"/>
      <c r="U763" s="411">
        <v>1</v>
      </c>
      <c r="V763" s="411">
        <v>1</v>
      </c>
      <c r="W763" s="411">
        <v>1</v>
      </c>
      <c r="X763" s="411"/>
      <c r="Y763" s="411"/>
      <c r="Z763" s="412">
        <f t="shared" si="46"/>
        <v>0</v>
      </c>
      <c r="AA763" s="456">
        <f t="shared" si="49"/>
        <v>0</v>
      </c>
      <c r="AB763" s="456">
        <v>0</v>
      </c>
      <c r="AC763" s="2"/>
      <c r="AD763" s="4"/>
      <c r="AE763" s="5"/>
    </row>
    <row r="764" spans="1:31" x14ac:dyDescent="0.25">
      <c r="A764" s="1" t="s">
        <v>4827</v>
      </c>
      <c r="B764" s="3" t="s">
        <v>1368</v>
      </c>
      <c r="C764" s="3" t="s">
        <v>1247</v>
      </c>
      <c r="D764" s="407" t="s">
        <v>3222</v>
      </c>
      <c r="E764" s="407" t="s">
        <v>4758</v>
      </c>
      <c r="F764" s="415"/>
      <c r="G764" s="415"/>
      <c r="H764" s="415"/>
      <c r="I764" s="415"/>
      <c r="J764" s="3" t="s">
        <v>4764</v>
      </c>
      <c r="K764" s="387">
        <v>1</v>
      </c>
      <c r="L764" s="387">
        <v>0</v>
      </c>
      <c r="M764" s="387">
        <f t="shared" si="47"/>
        <v>1</v>
      </c>
      <c r="N764" s="442">
        <f t="shared" si="48"/>
        <v>0</v>
      </c>
      <c r="O764" s="387" t="s">
        <v>1358</v>
      </c>
      <c r="P764" s="459">
        <v>15.923999999999999</v>
      </c>
      <c r="Q764" s="459"/>
      <c r="R764" s="456">
        <v>0</v>
      </c>
      <c r="S764" s="459">
        <v>15.923999999999999</v>
      </c>
      <c r="T764" s="555"/>
      <c r="U764" s="411">
        <v>1</v>
      </c>
      <c r="V764" s="411">
        <v>1</v>
      </c>
      <c r="W764" s="411">
        <v>1</v>
      </c>
      <c r="X764" s="411"/>
      <c r="Y764" s="411"/>
      <c r="Z764" s="412">
        <f t="shared" si="46"/>
        <v>0</v>
      </c>
      <c r="AA764" s="456">
        <f t="shared" si="49"/>
        <v>0</v>
      </c>
      <c r="AB764" s="456">
        <v>0</v>
      </c>
      <c r="AC764" s="2"/>
      <c r="AD764" s="4"/>
      <c r="AE764" s="5"/>
    </row>
    <row r="765" spans="1:31" x14ac:dyDescent="0.25">
      <c r="A765" s="1" t="s">
        <v>4828</v>
      </c>
      <c r="B765" s="3" t="s">
        <v>1368</v>
      </c>
      <c r="C765" s="3" t="s">
        <v>1247</v>
      </c>
      <c r="D765" s="407" t="s">
        <v>3222</v>
      </c>
      <c r="E765" s="407" t="s">
        <v>4759</v>
      </c>
      <c r="F765" s="415"/>
      <c r="G765" s="415"/>
      <c r="H765" s="415"/>
      <c r="I765" s="415"/>
      <c r="J765" s="3" t="s">
        <v>4764</v>
      </c>
      <c r="K765" s="387">
        <v>1</v>
      </c>
      <c r="L765" s="387">
        <v>0</v>
      </c>
      <c r="M765" s="387">
        <f t="shared" si="47"/>
        <v>1</v>
      </c>
      <c r="N765" s="442">
        <f t="shared" si="48"/>
        <v>0</v>
      </c>
      <c r="O765" s="387" t="s">
        <v>1358</v>
      </c>
      <c r="P765" s="459">
        <v>15.923999999999999</v>
      </c>
      <c r="Q765" s="459"/>
      <c r="R765" s="456">
        <v>0</v>
      </c>
      <c r="S765" s="459">
        <v>15.923999999999999</v>
      </c>
      <c r="T765" s="555"/>
      <c r="U765" s="411">
        <v>1</v>
      </c>
      <c r="V765" s="411">
        <v>1</v>
      </c>
      <c r="W765" s="411">
        <v>1</v>
      </c>
      <c r="X765" s="411"/>
      <c r="Y765" s="411"/>
      <c r="Z765" s="412">
        <f t="shared" si="46"/>
        <v>0</v>
      </c>
      <c r="AA765" s="456">
        <f t="shared" si="49"/>
        <v>0</v>
      </c>
      <c r="AB765" s="456">
        <v>0</v>
      </c>
      <c r="AC765" s="2"/>
      <c r="AD765" s="4"/>
      <c r="AE765" s="5"/>
    </row>
    <row r="766" spans="1:31" x14ac:dyDescent="0.25">
      <c r="A766" s="1" t="s">
        <v>4829</v>
      </c>
      <c r="B766" s="3" t="s">
        <v>1368</v>
      </c>
      <c r="C766" s="3" t="s">
        <v>1247</v>
      </c>
      <c r="D766" s="407" t="s">
        <v>3222</v>
      </c>
      <c r="E766" s="407" t="s">
        <v>4760</v>
      </c>
      <c r="F766" s="415"/>
      <c r="G766" s="415"/>
      <c r="H766" s="415"/>
      <c r="I766" s="415"/>
      <c r="J766" s="3" t="s">
        <v>4764</v>
      </c>
      <c r="K766" s="387">
        <v>1</v>
      </c>
      <c r="L766" s="387">
        <v>0</v>
      </c>
      <c r="M766" s="387">
        <f t="shared" si="47"/>
        <v>1</v>
      </c>
      <c r="N766" s="442">
        <f t="shared" si="48"/>
        <v>0</v>
      </c>
      <c r="O766" s="387" t="s">
        <v>1358</v>
      </c>
      <c r="P766" s="459">
        <v>23.885999999999999</v>
      </c>
      <c r="Q766" s="459"/>
      <c r="R766" s="456">
        <v>0</v>
      </c>
      <c r="S766" s="459">
        <v>23.885999999999999</v>
      </c>
      <c r="T766" s="555"/>
      <c r="U766" s="411">
        <v>1</v>
      </c>
      <c r="V766" s="411">
        <v>1</v>
      </c>
      <c r="W766" s="411">
        <v>1</v>
      </c>
      <c r="X766" s="411"/>
      <c r="Y766" s="411"/>
      <c r="Z766" s="412">
        <f t="shared" si="46"/>
        <v>0</v>
      </c>
      <c r="AA766" s="456">
        <f t="shared" si="49"/>
        <v>0</v>
      </c>
      <c r="AB766" s="456">
        <v>0</v>
      </c>
      <c r="AC766" s="2"/>
      <c r="AD766" s="4"/>
      <c r="AE766" s="5"/>
    </row>
    <row r="767" spans="1:31" x14ac:dyDescent="0.25">
      <c r="A767" s="1" t="s">
        <v>4830</v>
      </c>
      <c r="B767" s="3" t="s">
        <v>1368</v>
      </c>
      <c r="C767" s="3" t="s">
        <v>1247</v>
      </c>
      <c r="D767" s="407" t="s">
        <v>3222</v>
      </c>
      <c r="E767" s="407" t="s">
        <v>4761</v>
      </c>
      <c r="F767" s="415"/>
      <c r="G767" s="415"/>
      <c r="H767" s="415"/>
      <c r="I767" s="415"/>
      <c r="J767" s="3" t="s">
        <v>4764</v>
      </c>
      <c r="K767" s="387">
        <v>1</v>
      </c>
      <c r="L767" s="387">
        <v>0</v>
      </c>
      <c r="M767" s="387">
        <f t="shared" si="47"/>
        <v>1</v>
      </c>
      <c r="N767" s="442">
        <f t="shared" si="48"/>
        <v>0</v>
      </c>
      <c r="O767" s="387" t="s">
        <v>1358</v>
      </c>
      <c r="P767" s="459">
        <v>31.847999999999999</v>
      </c>
      <c r="Q767" s="459"/>
      <c r="R767" s="456">
        <v>0</v>
      </c>
      <c r="S767" s="459">
        <v>31.847999999999999</v>
      </c>
      <c r="T767" s="555"/>
      <c r="U767" s="411">
        <v>1</v>
      </c>
      <c r="V767" s="411">
        <v>1</v>
      </c>
      <c r="W767" s="411">
        <v>1</v>
      </c>
      <c r="X767" s="411"/>
      <c r="Y767" s="411"/>
      <c r="Z767" s="412">
        <f t="shared" si="46"/>
        <v>0</v>
      </c>
      <c r="AA767" s="456">
        <f t="shared" si="49"/>
        <v>0</v>
      </c>
      <c r="AB767" s="456">
        <v>0</v>
      </c>
      <c r="AC767" s="2"/>
      <c r="AD767" s="4"/>
      <c r="AE767" s="5"/>
    </row>
    <row r="768" spans="1:31" x14ac:dyDescent="0.25">
      <c r="A768" s="1" t="s">
        <v>4831</v>
      </c>
      <c r="B768" s="3" t="s">
        <v>1368</v>
      </c>
      <c r="C768" s="3" t="s">
        <v>1247</v>
      </c>
      <c r="D768" s="407" t="s">
        <v>3222</v>
      </c>
      <c r="E768" s="407" t="s">
        <v>4762</v>
      </c>
      <c r="F768" s="415"/>
      <c r="G768" s="415"/>
      <c r="H768" s="415"/>
      <c r="I768" s="415"/>
      <c r="J768" s="3" t="s">
        <v>4764</v>
      </c>
      <c r="K768" s="387">
        <v>1</v>
      </c>
      <c r="L768" s="387">
        <v>0</v>
      </c>
      <c r="M768" s="387">
        <f t="shared" si="47"/>
        <v>1</v>
      </c>
      <c r="N768" s="442">
        <f t="shared" si="48"/>
        <v>0</v>
      </c>
      <c r="O768" s="387" t="s">
        <v>1358</v>
      </c>
      <c r="P768" s="459">
        <v>95.543999999999997</v>
      </c>
      <c r="Q768" s="459"/>
      <c r="R768" s="456">
        <v>0</v>
      </c>
      <c r="S768" s="459">
        <v>95.543999999999997</v>
      </c>
      <c r="T768" s="555"/>
      <c r="U768" s="411">
        <v>1</v>
      </c>
      <c r="V768" s="411">
        <v>1</v>
      </c>
      <c r="W768" s="411">
        <v>1</v>
      </c>
      <c r="X768" s="411"/>
      <c r="Y768" s="411"/>
      <c r="Z768" s="412">
        <f t="shared" si="46"/>
        <v>0</v>
      </c>
      <c r="AA768" s="456">
        <f t="shared" si="49"/>
        <v>0</v>
      </c>
      <c r="AB768" s="456">
        <v>0</v>
      </c>
      <c r="AC768" s="2"/>
      <c r="AD768" s="4"/>
      <c r="AE768" s="5"/>
    </row>
    <row r="769" spans="1:31" x14ac:dyDescent="0.25">
      <c r="A769" s="1" t="s">
        <v>4832</v>
      </c>
      <c r="B769" s="3" t="s">
        <v>1368</v>
      </c>
      <c r="C769" s="3" t="s">
        <v>1247</v>
      </c>
      <c r="D769" s="407" t="s">
        <v>3226</v>
      </c>
      <c r="E769" s="407" t="s">
        <v>4763</v>
      </c>
      <c r="F769" s="415"/>
      <c r="G769" s="415"/>
      <c r="H769" s="415"/>
      <c r="I769" s="415"/>
      <c r="J769" s="3" t="s">
        <v>4764</v>
      </c>
      <c r="K769" s="387">
        <v>1</v>
      </c>
      <c r="L769" s="387">
        <v>0</v>
      </c>
      <c r="M769" s="387">
        <f t="shared" si="47"/>
        <v>1</v>
      </c>
      <c r="N769" s="442">
        <f t="shared" si="48"/>
        <v>0</v>
      </c>
      <c r="O769" s="387" t="s">
        <v>1358</v>
      </c>
      <c r="P769" s="459">
        <v>95.543999999999997</v>
      </c>
      <c r="R769" s="456">
        <v>0</v>
      </c>
      <c r="S769" s="459">
        <v>95.543999999999997</v>
      </c>
      <c r="T769" s="555"/>
      <c r="U769" s="411">
        <v>1</v>
      </c>
      <c r="V769" s="411">
        <v>1</v>
      </c>
      <c r="W769" s="411">
        <v>1</v>
      </c>
      <c r="X769" s="411"/>
      <c r="Y769" s="411"/>
      <c r="Z769" s="412">
        <f t="shared" si="46"/>
        <v>0</v>
      </c>
      <c r="AA769" s="456">
        <f t="shared" si="49"/>
        <v>0</v>
      </c>
      <c r="AB769" s="456">
        <v>0</v>
      </c>
      <c r="AC769" s="2"/>
      <c r="AD769" s="4"/>
      <c r="AE769" s="5"/>
    </row>
    <row r="770" spans="1:31" x14ac:dyDescent="0.25">
      <c r="A770" s="1" t="s">
        <v>5147</v>
      </c>
      <c r="B770" s="3" t="s">
        <v>1368</v>
      </c>
      <c r="C770" s="3" t="s">
        <v>1247</v>
      </c>
      <c r="D770" s="407" t="s">
        <v>3224</v>
      </c>
      <c r="E770" s="407" t="s">
        <v>5110</v>
      </c>
      <c r="F770" s="415"/>
      <c r="G770" s="415"/>
      <c r="H770" s="415"/>
      <c r="I770" s="415"/>
      <c r="J770" s="3" t="s">
        <v>5104</v>
      </c>
      <c r="K770" s="387">
        <v>1</v>
      </c>
      <c r="L770" s="387">
        <v>0</v>
      </c>
      <c r="M770" s="387">
        <f t="shared" si="47"/>
        <v>1</v>
      </c>
      <c r="N770" s="442">
        <f t="shared" si="48"/>
        <v>0</v>
      </c>
      <c r="O770" s="387" t="s">
        <v>1358</v>
      </c>
      <c r="P770" s="459">
        <v>63.695999999999998</v>
      </c>
      <c r="R770" s="456">
        <v>0</v>
      </c>
      <c r="S770" s="459">
        <v>63.695999999999998</v>
      </c>
      <c r="T770" s="555"/>
      <c r="U770" s="411">
        <v>1</v>
      </c>
      <c r="V770" s="411">
        <v>1</v>
      </c>
      <c r="W770" s="411">
        <v>1</v>
      </c>
      <c r="X770" s="411"/>
      <c r="Y770" s="411"/>
      <c r="Z770" s="412">
        <f t="shared" si="46"/>
        <v>0</v>
      </c>
      <c r="AA770" s="456">
        <f t="shared" si="49"/>
        <v>0</v>
      </c>
      <c r="AB770" s="456"/>
      <c r="AC770" s="2"/>
      <c r="AD770" s="4"/>
      <c r="AE770" s="5"/>
    </row>
    <row r="771" spans="1:31" x14ac:dyDescent="0.25">
      <c r="A771" s="1" t="s">
        <v>5148</v>
      </c>
      <c r="B771" s="3" t="s">
        <v>1368</v>
      </c>
      <c r="C771" s="3" t="s">
        <v>1247</v>
      </c>
      <c r="D771" s="407" t="s">
        <v>3224</v>
      </c>
      <c r="E771" s="407" t="s">
        <v>5109</v>
      </c>
      <c r="F771" s="415"/>
      <c r="G771" s="415"/>
      <c r="H771" s="415"/>
      <c r="I771" s="415"/>
      <c r="J771" s="3" t="s">
        <v>5104</v>
      </c>
      <c r="K771" s="387">
        <v>1</v>
      </c>
      <c r="L771" s="387">
        <v>0</v>
      </c>
      <c r="M771" s="387">
        <f t="shared" si="47"/>
        <v>1</v>
      </c>
      <c r="N771" s="442">
        <f t="shared" si="48"/>
        <v>0</v>
      </c>
      <c r="O771" s="387" t="s">
        <v>1358</v>
      </c>
      <c r="P771" s="459">
        <v>15.923999999999999</v>
      </c>
      <c r="R771" s="456">
        <v>0</v>
      </c>
      <c r="S771" s="459">
        <v>15.923999999999999</v>
      </c>
      <c r="T771" s="555"/>
      <c r="U771" s="411">
        <v>1</v>
      </c>
      <c r="V771" s="411">
        <v>1</v>
      </c>
      <c r="W771" s="411">
        <v>1</v>
      </c>
      <c r="X771" s="411"/>
      <c r="Y771" s="411"/>
      <c r="Z771" s="412">
        <f t="shared" si="46"/>
        <v>0</v>
      </c>
      <c r="AA771" s="456">
        <f t="shared" si="49"/>
        <v>0</v>
      </c>
      <c r="AB771" s="456"/>
      <c r="AC771" s="2"/>
      <c r="AD771" s="4"/>
      <c r="AE771" s="5"/>
    </row>
    <row r="772" spans="1:31" x14ac:dyDescent="0.25">
      <c r="A772" s="1" t="s">
        <v>5149</v>
      </c>
      <c r="B772" s="3" t="s">
        <v>1368</v>
      </c>
      <c r="C772" s="3" t="s">
        <v>1247</v>
      </c>
      <c r="D772" s="407" t="s">
        <v>3224</v>
      </c>
      <c r="E772" s="407" t="s">
        <v>5108</v>
      </c>
      <c r="F772" s="415"/>
      <c r="G772" s="415"/>
      <c r="H772" s="415"/>
      <c r="I772" s="415"/>
      <c r="J772" s="3" t="s">
        <v>5104</v>
      </c>
      <c r="K772" s="387">
        <v>1</v>
      </c>
      <c r="L772" s="387">
        <v>0</v>
      </c>
      <c r="M772" s="387">
        <f t="shared" si="47"/>
        <v>1</v>
      </c>
      <c r="N772" s="442">
        <f t="shared" si="48"/>
        <v>0</v>
      </c>
      <c r="O772" s="387" t="s">
        <v>1358</v>
      </c>
      <c r="P772" s="459">
        <v>23.885999999999999</v>
      </c>
      <c r="R772" s="456">
        <v>0</v>
      </c>
      <c r="S772" s="459">
        <v>23.885999999999999</v>
      </c>
      <c r="T772" s="555"/>
      <c r="U772" s="411">
        <v>1</v>
      </c>
      <c r="V772" s="411">
        <v>1</v>
      </c>
      <c r="W772" s="411">
        <v>1</v>
      </c>
      <c r="X772" s="411"/>
      <c r="Y772" s="411"/>
      <c r="Z772" s="412">
        <f t="shared" si="46"/>
        <v>0</v>
      </c>
      <c r="AA772" s="456">
        <f t="shared" si="49"/>
        <v>0</v>
      </c>
      <c r="AB772" s="456"/>
      <c r="AC772" s="2"/>
      <c r="AD772" s="4"/>
      <c r="AE772" s="5"/>
    </row>
    <row r="773" spans="1:31" x14ac:dyDescent="0.25">
      <c r="A773" s="1" t="s">
        <v>5150</v>
      </c>
      <c r="B773" s="3" t="s">
        <v>1368</v>
      </c>
      <c r="C773" s="3" t="s">
        <v>1247</v>
      </c>
      <c r="D773" s="407" t="s">
        <v>3224</v>
      </c>
      <c r="E773" s="407" t="s">
        <v>5107</v>
      </c>
      <c r="F773" s="415"/>
      <c r="G773" s="415"/>
      <c r="H773" s="415"/>
      <c r="I773" s="415"/>
      <c r="J773" s="3" t="s">
        <v>5104</v>
      </c>
      <c r="K773" s="387">
        <v>1</v>
      </c>
      <c r="L773" s="387">
        <v>0</v>
      </c>
      <c r="M773" s="387">
        <f t="shared" si="47"/>
        <v>1</v>
      </c>
      <c r="N773" s="442">
        <f t="shared" si="48"/>
        <v>0</v>
      </c>
      <c r="O773" s="387" t="s">
        <v>1358</v>
      </c>
      <c r="P773" s="459">
        <v>15.923999999999999</v>
      </c>
      <c r="R773" s="456">
        <v>0</v>
      </c>
      <c r="S773" s="459">
        <v>15.923999999999999</v>
      </c>
      <c r="T773" s="555"/>
      <c r="U773" s="411">
        <v>1</v>
      </c>
      <c r="V773" s="411">
        <v>1</v>
      </c>
      <c r="W773" s="411">
        <v>1</v>
      </c>
      <c r="X773" s="411"/>
      <c r="Y773" s="411"/>
      <c r="Z773" s="412">
        <f t="shared" si="46"/>
        <v>0</v>
      </c>
      <c r="AA773" s="456">
        <f t="shared" si="49"/>
        <v>0</v>
      </c>
      <c r="AB773" s="456"/>
      <c r="AC773" s="2"/>
      <c r="AD773" s="4"/>
      <c r="AE773" s="5"/>
    </row>
    <row r="774" spans="1:31" x14ac:dyDescent="0.25">
      <c r="A774" s="1" t="s">
        <v>5151</v>
      </c>
      <c r="B774" s="3" t="s">
        <v>1368</v>
      </c>
      <c r="C774" s="3" t="s">
        <v>1247</v>
      </c>
      <c r="D774" s="407" t="s">
        <v>3224</v>
      </c>
      <c r="E774" s="407" t="s">
        <v>5106</v>
      </c>
      <c r="F774" s="415"/>
      <c r="G774" s="415"/>
      <c r="H774" s="415"/>
      <c r="I774" s="415"/>
      <c r="J774" s="3" t="s">
        <v>5104</v>
      </c>
      <c r="K774" s="387">
        <v>1</v>
      </c>
      <c r="L774" s="387">
        <v>0</v>
      </c>
      <c r="M774" s="387">
        <f t="shared" si="47"/>
        <v>1</v>
      </c>
      <c r="N774" s="442">
        <f t="shared" si="48"/>
        <v>0</v>
      </c>
      <c r="O774" s="387" t="s">
        <v>1358</v>
      </c>
      <c r="P774" s="459">
        <v>15.923999999999999</v>
      </c>
      <c r="R774" s="456">
        <v>0</v>
      </c>
      <c r="S774" s="459">
        <v>15.923999999999999</v>
      </c>
      <c r="T774" s="555"/>
      <c r="U774" s="411">
        <v>1</v>
      </c>
      <c r="V774" s="411">
        <v>1</v>
      </c>
      <c r="W774" s="411">
        <v>1</v>
      </c>
      <c r="X774" s="411"/>
      <c r="Y774" s="411"/>
      <c r="Z774" s="412">
        <f t="shared" si="46"/>
        <v>0</v>
      </c>
      <c r="AA774" s="456">
        <f t="shared" si="49"/>
        <v>0</v>
      </c>
      <c r="AB774" s="456"/>
      <c r="AC774" s="2"/>
      <c r="AD774" s="4"/>
      <c r="AE774" s="5"/>
    </row>
    <row r="775" spans="1:31" x14ac:dyDescent="0.25">
      <c r="A775" s="1" t="s">
        <v>5152</v>
      </c>
      <c r="B775" s="3" t="s">
        <v>1368</v>
      </c>
      <c r="C775" s="3" t="s">
        <v>1247</v>
      </c>
      <c r="D775" s="407" t="s">
        <v>3224</v>
      </c>
      <c r="E775" s="407" t="s">
        <v>5105</v>
      </c>
      <c r="F775" s="415"/>
      <c r="G775" s="415"/>
      <c r="H775" s="415"/>
      <c r="I775" s="415"/>
      <c r="J775" s="3" t="s">
        <v>5104</v>
      </c>
      <c r="K775" s="387">
        <v>1</v>
      </c>
      <c r="L775" s="387">
        <v>0</v>
      </c>
      <c r="M775" s="387">
        <f t="shared" si="47"/>
        <v>1</v>
      </c>
      <c r="N775" s="442">
        <f t="shared" si="48"/>
        <v>0</v>
      </c>
      <c r="O775" s="387" t="s">
        <v>1358</v>
      </c>
      <c r="P775" s="459">
        <v>95.543999999999997</v>
      </c>
      <c r="R775" s="456">
        <v>0</v>
      </c>
      <c r="S775" s="459">
        <v>95.543999999999997</v>
      </c>
      <c r="T775" s="555"/>
      <c r="U775" s="411">
        <v>1</v>
      </c>
      <c r="V775" s="411">
        <v>1</v>
      </c>
      <c r="W775" s="411">
        <v>1</v>
      </c>
      <c r="X775" s="411"/>
      <c r="Y775" s="411"/>
      <c r="Z775" s="412">
        <f t="shared" si="46"/>
        <v>0</v>
      </c>
      <c r="AA775" s="456">
        <f t="shared" si="49"/>
        <v>0</v>
      </c>
      <c r="AB775" s="456"/>
      <c r="AC775" s="2"/>
      <c r="AD775" s="4"/>
      <c r="AE775" s="5"/>
    </row>
    <row r="776" spans="1:31" x14ac:dyDescent="0.25">
      <c r="A776" s="1"/>
      <c r="B776" s="3" t="s">
        <v>1368</v>
      </c>
      <c r="C776" s="3" t="s">
        <v>1247</v>
      </c>
      <c r="D776" s="407" t="s">
        <v>3224</v>
      </c>
      <c r="E776" s="407" t="s">
        <v>5105</v>
      </c>
      <c r="F776" s="415"/>
      <c r="G776" s="415"/>
      <c r="H776" s="415"/>
      <c r="I776" s="415"/>
      <c r="J776" s="3" t="s">
        <v>5144</v>
      </c>
      <c r="K776" s="387">
        <v>1</v>
      </c>
      <c r="L776" s="387">
        <v>1</v>
      </c>
      <c r="M776" s="387">
        <f t="shared" si="47"/>
        <v>2</v>
      </c>
      <c r="N776" s="442">
        <f t="shared" si="48"/>
        <v>0</v>
      </c>
      <c r="O776" s="387" t="s">
        <v>1358</v>
      </c>
      <c r="P776" s="459">
        <v>47.771999999999998</v>
      </c>
      <c r="R776" s="456"/>
      <c r="S776" s="459">
        <v>47.771999999999998</v>
      </c>
      <c r="T776" s="555"/>
      <c r="U776" s="411">
        <v>1</v>
      </c>
      <c r="V776" s="411">
        <v>1</v>
      </c>
      <c r="W776" s="411">
        <v>1</v>
      </c>
      <c r="X776" s="411"/>
      <c r="Y776" s="411"/>
      <c r="Z776" s="412">
        <f t="shared" si="46"/>
        <v>0</v>
      </c>
      <c r="AA776" s="456">
        <f t="shared" si="49"/>
        <v>0</v>
      </c>
      <c r="AB776" s="456"/>
      <c r="AC776" s="2"/>
      <c r="AD776" s="4"/>
      <c r="AE776" s="5"/>
    </row>
    <row r="777" spans="1:31" x14ac:dyDescent="0.25">
      <c r="A777" s="1"/>
      <c r="B777" s="3" t="s">
        <v>1368</v>
      </c>
      <c r="C777" s="3" t="s">
        <v>1247</v>
      </c>
      <c r="D777" s="407" t="s">
        <v>3224</v>
      </c>
      <c r="E777" s="407" t="s">
        <v>5240</v>
      </c>
      <c r="F777" s="415"/>
      <c r="G777" s="415"/>
      <c r="H777" s="415"/>
      <c r="I777" s="415"/>
      <c r="J777" s="3" t="s">
        <v>5144</v>
      </c>
      <c r="K777" s="387">
        <v>1</v>
      </c>
      <c r="L777" s="387">
        <v>1</v>
      </c>
      <c r="M777" s="387">
        <f t="shared" si="47"/>
        <v>2</v>
      </c>
      <c r="N777" s="442">
        <f t="shared" si="48"/>
        <v>0</v>
      </c>
      <c r="O777" s="387" t="s">
        <v>1358</v>
      </c>
      <c r="P777" s="459">
        <v>63.695999999999998</v>
      </c>
      <c r="R777" s="456"/>
      <c r="S777" s="459">
        <v>63.695999999999998</v>
      </c>
      <c r="T777" s="555"/>
      <c r="U777" s="411">
        <v>1</v>
      </c>
      <c r="V777" s="411">
        <v>1</v>
      </c>
      <c r="W777" s="411">
        <v>1</v>
      </c>
      <c r="X777" s="411"/>
      <c r="Y777" s="411"/>
      <c r="Z777" s="412">
        <f t="shared" si="46"/>
        <v>0</v>
      </c>
      <c r="AA777" s="456">
        <f t="shared" si="49"/>
        <v>0</v>
      </c>
      <c r="AB777" s="456"/>
      <c r="AC777" s="2"/>
      <c r="AD777" s="4"/>
      <c r="AE777" s="5"/>
    </row>
    <row r="778" spans="1:31" x14ac:dyDescent="0.25">
      <c r="A778" s="1"/>
      <c r="B778" s="3" t="s">
        <v>1368</v>
      </c>
      <c r="C778" s="3" t="s">
        <v>1247</v>
      </c>
      <c r="D778" s="407" t="s">
        <v>3224</v>
      </c>
      <c r="E778" s="407" t="s">
        <v>5102</v>
      </c>
      <c r="F778" s="415"/>
      <c r="G778" s="415"/>
      <c r="H778" s="415"/>
      <c r="I778" s="415"/>
      <c r="J778" s="3" t="s">
        <v>5144</v>
      </c>
      <c r="K778" s="387">
        <v>1</v>
      </c>
      <c r="L778" s="387">
        <v>1</v>
      </c>
      <c r="M778" s="387">
        <f t="shared" si="47"/>
        <v>2</v>
      </c>
      <c r="N778" s="442">
        <f t="shared" si="48"/>
        <v>0</v>
      </c>
      <c r="O778" s="387" t="s">
        <v>1358</v>
      </c>
      <c r="P778" s="459">
        <v>191.08799999999999</v>
      </c>
      <c r="R778" s="456"/>
      <c r="S778" s="459">
        <v>191.08799999999999</v>
      </c>
      <c r="T778" s="555"/>
      <c r="U778" s="411">
        <v>1</v>
      </c>
      <c r="V778" s="411">
        <v>1</v>
      </c>
      <c r="W778" s="411">
        <v>1</v>
      </c>
      <c r="X778" s="411"/>
      <c r="Y778" s="411"/>
      <c r="Z778" s="412">
        <f t="shared" si="46"/>
        <v>0</v>
      </c>
      <c r="AA778" s="456">
        <f t="shared" si="49"/>
        <v>0</v>
      </c>
      <c r="AB778" s="456"/>
      <c r="AC778" s="2"/>
      <c r="AD778" s="4"/>
      <c r="AE778" s="5"/>
    </row>
    <row r="779" spans="1:31" x14ac:dyDescent="0.25">
      <c r="A779" s="1"/>
      <c r="B779" s="3" t="s">
        <v>1368</v>
      </c>
      <c r="C779" s="3" t="s">
        <v>1247</v>
      </c>
      <c r="D779" s="407" t="s">
        <v>3224</v>
      </c>
      <c r="E779" s="407" t="s">
        <v>5103</v>
      </c>
      <c r="F779" s="415"/>
      <c r="G779" s="415"/>
      <c r="H779" s="415"/>
      <c r="I779" s="415"/>
      <c r="J779" s="3" t="s">
        <v>5144</v>
      </c>
      <c r="K779" s="387">
        <v>1</v>
      </c>
      <c r="L779" s="387">
        <v>1</v>
      </c>
      <c r="M779" s="387">
        <f t="shared" si="47"/>
        <v>2</v>
      </c>
      <c r="N779" s="442">
        <f t="shared" si="48"/>
        <v>0</v>
      </c>
      <c r="O779" s="387" t="s">
        <v>1358</v>
      </c>
      <c r="P779" s="459">
        <v>191.08799999999999</v>
      </c>
      <c r="R779" s="456"/>
      <c r="S779" s="459">
        <v>191.08799999999999</v>
      </c>
      <c r="T779" s="555"/>
      <c r="U779" s="411">
        <v>1</v>
      </c>
      <c r="V779" s="411">
        <v>1</v>
      </c>
      <c r="W779" s="411">
        <v>1</v>
      </c>
      <c r="X779" s="411"/>
      <c r="Y779" s="411"/>
      <c r="Z779" s="412">
        <f t="shared" si="46"/>
        <v>0</v>
      </c>
      <c r="AA779" s="456">
        <f t="shared" si="49"/>
        <v>0</v>
      </c>
      <c r="AB779" s="456"/>
      <c r="AC779" s="2"/>
      <c r="AD779" s="4"/>
      <c r="AE779" s="5"/>
    </row>
    <row r="780" spans="1:31" x14ac:dyDescent="0.25">
      <c r="A780" s="1"/>
      <c r="B780" s="3" t="s">
        <v>1368</v>
      </c>
      <c r="C780" s="3" t="s">
        <v>1247</v>
      </c>
      <c r="D780" s="407" t="s">
        <v>3224</v>
      </c>
      <c r="E780" s="407" t="s">
        <v>5106</v>
      </c>
      <c r="F780" s="415"/>
      <c r="G780" s="415"/>
      <c r="H780" s="415"/>
      <c r="I780" s="415"/>
      <c r="J780" s="3" t="s">
        <v>5144</v>
      </c>
      <c r="K780" s="387">
        <v>1</v>
      </c>
      <c r="L780" s="387">
        <v>1</v>
      </c>
      <c r="M780" s="387">
        <f t="shared" si="47"/>
        <v>2</v>
      </c>
      <c r="N780" s="442">
        <f t="shared" si="48"/>
        <v>0</v>
      </c>
      <c r="O780" s="387" t="s">
        <v>1358</v>
      </c>
      <c r="P780" s="459">
        <v>31.847999999999999</v>
      </c>
      <c r="R780" s="456"/>
      <c r="S780" s="459">
        <v>31.847999999999999</v>
      </c>
      <c r="T780" s="555"/>
      <c r="U780" s="411">
        <v>1</v>
      </c>
      <c r="V780" s="411">
        <v>1</v>
      </c>
      <c r="W780" s="411">
        <v>1</v>
      </c>
      <c r="X780" s="411"/>
      <c r="Y780" s="411"/>
      <c r="Z780" s="412">
        <f t="shared" si="46"/>
        <v>0</v>
      </c>
      <c r="AA780" s="456">
        <f t="shared" si="49"/>
        <v>0</v>
      </c>
      <c r="AB780" s="456"/>
      <c r="AC780" s="2"/>
      <c r="AD780" s="4"/>
      <c r="AE780" s="5"/>
    </row>
    <row r="781" spans="1:31" x14ac:dyDescent="0.25">
      <c r="A781" s="1"/>
      <c r="B781" s="3" t="s">
        <v>1368</v>
      </c>
      <c r="C781" s="3" t="s">
        <v>1247</v>
      </c>
      <c r="D781" s="407" t="s">
        <v>3224</v>
      </c>
      <c r="E781" s="407" t="s">
        <v>5239</v>
      </c>
      <c r="F781" s="415"/>
      <c r="G781" s="415"/>
      <c r="H781" s="415"/>
      <c r="I781" s="415"/>
      <c r="J781" s="3" t="s">
        <v>5144</v>
      </c>
      <c r="K781" s="387">
        <v>1</v>
      </c>
      <c r="L781" s="387">
        <v>1</v>
      </c>
      <c r="M781" s="387">
        <f t="shared" si="47"/>
        <v>2</v>
      </c>
      <c r="N781" s="442">
        <f t="shared" si="48"/>
        <v>0</v>
      </c>
      <c r="O781" s="387" t="s">
        <v>1358</v>
      </c>
      <c r="P781" s="459">
        <v>31.847999999999999</v>
      </c>
      <c r="R781" s="456"/>
      <c r="S781" s="459">
        <v>31.847999999999999</v>
      </c>
      <c r="T781" s="555"/>
      <c r="U781" s="411">
        <v>1</v>
      </c>
      <c r="V781" s="411">
        <v>1</v>
      </c>
      <c r="W781" s="411">
        <v>1</v>
      </c>
      <c r="X781" s="411"/>
      <c r="Y781" s="411"/>
      <c r="Z781" s="412">
        <f t="shared" ref="Z781:Z844" si="50">AA781/S781</f>
        <v>0</v>
      </c>
      <c r="AA781" s="456">
        <f t="shared" si="49"/>
        <v>0</v>
      </c>
      <c r="AB781" s="456"/>
      <c r="AC781" s="2"/>
      <c r="AD781" s="4"/>
      <c r="AE781" s="5"/>
    </row>
    <row r="782" spans="1:31" x14ac:dyDescent="0.25">
      <c r="A782" s="571" t="s">
        <v>5221</v>
      </c>
      <c r="B782" s="3" t="s">
        <v>1368</v>
      </c>
      <c r="C782" s="3" t="s">
        <v>1247</v>
      </c>
      <c r="D782" s="407" t="s">
        <v>3224</v>
      </c>
      <c r="E782" s="407" t="s">
        <v>5109</v>
      </c>
      <c r="F782" s="415"/>
      <c r="G782" s="415"/>
      <c r="H782" s="415"/>
      <c r="I782" s="415"/>
      <c r="J782" s="3" t="s">
        <v>5144</v>
      </c>
      <c r="K782" s="387">
        <v>1</v>
      </c>
      <c r="L782" s="387">
        <v>1</v>
      </c>
      <c r="M782" s="387">
        <f t="shared" ref="M782:M838" si="51">K782+L782</f>
        <v>2</v>
      </c>
      <c r="N782" s="442">
        <f>K782*Z782</f>
        <v>0</v>
      </c>
      <c r="O782" s="387" t="s">
        <v>1358</v>
      </c>
      <c r="P782" s="459">
        <v>31.48</v>
      </c>
      <c r="R782" s="456">
        <v>0</v>
      </c>
      <c r="S782" s="459">
        <v>31.48</v>
      </c>
      <c r="T782" s="555"/>
      <c r="U782" s="411">
        <v>1</v>
      </c>
      <c r="V782" s="411">
        <v>1</v>
      </c>
      <c r="W782" s="411">
        <v>1</v>
      </c>
      <c r="X782" s="411"/>
      <c r="Y782" s="411"/>
      <c r="Z782" s="412">
        <f t="shared" si="50"/>
        <v>0</v>
      </c>
      <c r="AA782" s="456">
        <f t="shared" si="49"/>
        <v>0</v>
      </c>
      <c r="AB782" s="456"/>
      <c r="AC782" s="2"/>
      <c r="AD782" s="4"/>
      <c r="AE782" s="5"/>
    </row>
    <row r="783" spans="1:31" x14ac:dyDescent="0.25">
      <c r="A783" s="571" t="s">
        <v>5222</v>
      </c>
      <c r="B783" s="3" t="s">
        <v>1368</v>
      </c>
      <c r="C783" s="3" t="s">
        <v>1247</v>
      </c>
      <c r="D783" s="407" t="s">
        <v>3224</v>
      </c>
      <c r="E783" s="407" t="s">
        <v>5108</v>
      </c>
      <c r="F783" s="415"/>
      <c r="G783" s="415"/>
      <c r="H783" s="415"/>
      <c r="I783" s="415"/>
      <c r="J783" s="3" t="s">
        <v>5144</v>
      </c>
      <c r="K783" s="387">
        <v>1</v>
      </c>
      <c r="L783" s="387">
        <v>1</v>
      </c>
      <c r="M783" s="387">
        <f t="shared" si="51"/>
        <v>2</v>
      </c>
      <c r="N783" s="442">
        <f t="shared" ref="N783:N791" si="52">K783*Z783</f>
        <v>0</v>
      </c>
      <c r="O783" s="387" t="s">
        <v>1358</v>
      </c>
      <c r="P783" s="459">
        <v>47.72</v>
      </c>
      <c r="R783" s="456">
        <v>0</v>
      </c>
      <c r="S783" s="459">
        <v>47.72</v>
      </c>
      <c r="T783" s="555"/>
      <c r="U783" s="411">
        <v>1</v>
      </c>
      <c r="V783" s="411">
        <v>1</v>
      </c>
      <c r="W783" s="411">
        <v>1</v>
      </c>
      <c r="X783" s="411"/>
      <c r="Y783" s="411"/>
      <c r="Z783" s="412">
        <f t="shared" si="50"/>
        <v>0</v>
      </c>
      <c r="AA783" s="456">
        <f t="shared" si="49"/>
        <v>0</v>
      </c>
      <c r="AB783" s="456"/>
      <c r="AC783" s="2"/>
      <c r="AD783" s="4"/>
      <c r="AE783" s="5"/>
    </row>
    <row r="784" spans="1:31" x14ac:dyDescent="0.25">
      <c r="A784" s="571" t="s">
        <v>5223</v>
      </c>
      <c r="B784" s="3" t="s">
        <v>1368</v>
      </c>
      <c r="C784" s="3" t="s">
        <v>1247</v>
      </c>
      <c r="D784" s="407" t="s">
        <v>3224</v>
      </c>
      <c r="E784" s="407" t="s">
        <v>5110</v>
      </c>
      <c r="F784" s="415"/>
      <c r="G784" s="415"/>
      <c r="H784" s="415"/>
      <c r="I784" s="415"/>
      <c r="J784" s="3" t="s">
        <v>5144</v>
      </c>
      <c r="K784" s="387">
        <v>1</v>
      </c>
      <c r="L784" s="387">
        <v>1</v>
      </c>
      <c r="M784" s="387">
        <f t="shared" si="51"/>
        <v>2</v>
      </c>
      <c r="N784" s="442">
        <f>K784*Z784</f>
        <v>0</v>
      </c>
      <c r="O784" s="387" t="s">
        <v>1358</v>
      </c>
      <c r="P784" s="459">
        <v>0</v>
      </c>
      <c r="Q784" s="459"/>
      <c r="R784" s="456">
        <v>0</v>
      </c>
      <c r="S784" s="459">
        <v>127.392</v>
      </c>
      <c r="T784" s="555"/>
      <c r="U784" s="411">
        <v>1</v>
      </c>
      <c r="V784" s="411">
        <v>1</v>
      </c>
      <c r="W784" s="411">
        <v>1</v>
      </c>
      <c r="X784" s="411"/>
      <c r="Y784" s="411"/>
      <c r="Z784" s="412">
        <f t="shared" si="50"/>
        <v>0</v>
      </c>
      <c r="AA784" s="456">
        <f t="shared" si="49"/>
        <v>0</v>
      </c>
      <c r="AB784" s="456"/>
      <c r="AC784" s="2"/>
      <c r="AD784" s="4"/>
      <c r="AE784" s="5"/>
    </row>
    <row r="785" spans="1:31" x14ac:dyDescent="0.25">
      <c r="A785" s="571" t="s">
        <v>5224</v>
      </c>
      <c r="B785" s="3" t="s">
        <v>1368</v>
      </c>
      <c r="C785" s="3" t="s">
        <v>1247</v>
      </c>
      <c r="D785" s="407" t="s">
        <v>3226</v>
      </c>
      <c r="E785" s="407" t="s">
        <v>5025</v>
      </c>
      <c r="F785" s="415"/>
      <c r="G785" s="415"/>
      <c r="H785" s="415"/>
      <c r="I785" s="415"/>
      <c r="J785" s="3" t="s">
        <v>5024</v>
      </c>
      <c r="K785" s="387">
        <v>1</v>
      </c>
      <c r="L785" s="387">
        <v>0</v>
      </c>
      <c r="M785" s="387">
        <f t="shared" si="51"/>
        <v>1</v>
      </c>
      <c r="N785" s="442">
        <f t="shared" ref="N785:N856" si="53">K785*Z785</f>
        <v>0</v>
      </c>
      <c r="O785" s="387" t="s">
        <v>1358</v>
      </c>
      <c r="P785" s="459">
        <v>23.885999999999999</v>
      </c>
      <c r="Q785" s="459"/>
      <c r="R785" s="456">
        <v>0</v>
      </c>
      <c r="S785" s="459">
        <v>23.885999999999999</v>
      </c>
      <c r="T785" s="555"/>
      <c r="U785" s="411">
        <v>1</v>
      </c>
      <c r="V785" s="411">
        <v>1</v>
      </c>
      <c r="W785" s="411">
        <v>1</v>
      </c>
      <c r="X785" s="411">
        <v>0</v>
      </c>
      <c r="Y785" s="411">
        <v>0</v>
      </c>
      <c r="Z785" s="412">
        <f t="shared" si="50"/>
        <v>0</v>
      </c>
      <c r="AA785" s="456">
        <f t="shared" si="49"/>
        <v>0</v>
      </c>
      <c r="AB785" s="456">
        <v>0</v>
      </c>
      <c r="AC785" s="2"/>
      <c r="AD785" s="4"/>
      <c r="AE785" s="5"/>
    </row>
    <row r="786" spans="1:31" x14ac:dyDescent="0.25">
      <c r="A786" s="571" t="s">
        <v>5225</v>
      </c>
      <c r="B786" s="3" t="s">
        <v>1368</v>
      </c>
      <c r="C786" s="3" t="s">
        <v>1247</v>
      </c>
      <c r="D786" s="407" t="s">
        <v>3226</v>
      </c>
      <c r="E786" s="407" t="s">
        <v>5026</v>
      </c>
      <c r="F786" s="415"/>
      <c r="G786" s="415"/>
      <c r="H786" s="415"/>
      <c r="I786" s="415"/>
      <c r="J786" s="3" t="s">
        <v>5024</v>
      </c>
      <c r="K786" s="387">
        <v>1</v>
      </c>
      <c r="L786" s="387">
        <v>0</v>
      </c>
      <c r="M786" s="387">
        <f t="shared" si="51"/>
        <v>1</v>
      </c>
      <c r="N786" s="442">
        <f t="shared" si="53"/>
        <v>0</v>
      </c>
      <c r="O786" s="387" t="s">
        <v>1358</v>
      </c>
      <c r="P786" s="459">
        <v>23.885999999999999</v>
      </c>
      <c r="Q786" s="459"/>
      <c r="R786" s="456">
        <v>0</v>
      </c>
      <c r="S786" s="459">
        <v>23.885999999999999</v>
      </c>
      <c r="T786" s="555"/>
      <c r="U786" s="411">
        <v>1</v>
      </c>
      <c r="V786" s="411">
        <v>1</v>
      </c>
      <c r="W786" s="411">
        <v>1</v>
      </c>
      <c r="X786" s="411">
        <v>0</v>
      </c>
      <c r="Y786" s="411">
        <v>0</v>
      </c>
      <c r="Z786" s="412">
        <f t="shared" si="50"/>
        <v>0</v>
      </c>
      <c r="AA786" s="456">
        <f t="shared" si="49"/>
        <v>0</v>
      </c>
      <c r="AB786" s="456">
        <v>0</v>
      </c>
      <c r="AC786" s="2"/>
      <c r="AD786" s="4"/>
      <c r="AE786" s="5"/>
    </row>
    <row r="787" spans="1:31" x14ac:dyDescent="0.25">
      <c r="A787" s="571" t="s">
        <v>5226</v>
      </c>
      <c r="B787" s="3" t="s">
        <v>1368</v>
      </c>
      <c r="C787" s="3" t="s">
        <v>1247</v>
      </c>
      <c r="D787" s="407" t="s">
        <v>3226</v>
      </c>
      <c r="E787" s="407" t="s">
        <v>5027</v>
      </c>
      <c r="F787" s="415"/>
      <c r="G787" s="415"/>
      <c r="H787" s="415"/>
      <c r="I787" s="415"/>
      <c r="J787" s="3" t="s">
        <v>5024</v>
      </c>
      <c r="K787" s="387">
        <v>1</v>
      </c>
      <c r="L787" s="387">
        <v>0</v>
      </c>
      <c r="M787" s="387">
        <f t="shared" si="51"/>
        <v>1</v>
      </c>
      <c r="N787" s="442">
        <f t="shared" si="53"/>
        <v>0</v>
      </c>
      <c r="O787" s="387" t="s">
        <v>1358</v>
      </c>
      <c r="P787" s="459">
        <v>31.847999999999999</v>
      </c>
      <c r="Q787" s="459"/>
      <c r="R787" s="456">
        <v>0</v>
      </c>
      <c r="S787" s="459">
        <v>31.847999999999999</v>
      </c>
      <c r="T787" s="555"/>
      <c r="U787" s="411">
        <v>1</v>
      </c>
      <c r="V787" s="411">
        <v>1</v>
      </c>
      <c r="W787" s="411">
        <v>1</v>
      </c>
      <c r="X787" s="411">
        <v>0</v>
      </c>
      <c r="Y787" s="411">
        <v>0</v>
      </c>
      <c r="Z787" s="412">
        <f t="shared" si="50"/>
        <v>0</v>
      </c>
      <c r="AA787" s="456">
        <f t="shared" si="49"/>
        <v>0</v>
      </c>
      <c r="AB787" s="456">
        <v>0</v>
      </c>
      <c r="AC787" s="2"/>
      <c r="AD787" s="4"/>
      <c r="AE787" s="5"/>
    </row>
    <row r="788" spans="1:31" x14ac:dyDescent="0.25">
      <c r="A788" s="571" t="s">
        <v>5227</v>
      </c>
      <c r="B788" s="3" t="s">
        <v>1368</v>
      </c>
      <c r="C788" s="3" t="s">
        <v>1247</v>
      </c>
      <c r="D788" s="407" t="s">
        <v>3226</v>
      </c>
      <c r="E788" s="407" t="s">
        <v>5028</v>
      </c>
      <c r="F788" s="415"/>
      <c r="G788" s="415"/>
      <c r="H788" s="415"/>
      <c r="I788" s="415"/>
      <c r="J788" s="3" t="s">
        <v>5024</v>
      </c>
      <c r="K788" s="387">
        <v>1</v>
      </c>
      <c r="L788" s="387">
        <v>0</v>
      </c>
      <c r="M788" s="387">
        <f t="shared" si="51"/>
        <v>1</v>
      </c>
      <c r="N788" s="442">
        <f t="shared" si="53"/>
        <v>0</v>
      </c>
      <c r="O788" s="387" t="s">
        <v>1358</v>
      </c>
      <c r="P788" s="459">
        <v>63.695999999999998</v>
      </c>
      <c r="Q788" s="459"/>
      <c r="R788" s="456">
        <v>0</v>
      </c>
      <c r="S788" s="459">
        <v>63.695999999999998</v>
      </c>
      <c r="T788" s="555"/>
      <c r="U788" s="411">
        <v>1</v>
      </c>
      <c r="V788" s="411">
        <v>1</v>
      </c>
      <c r="W788" s="411">
        <v>1</v>
      </c>
      <c r="X788" s="411">
        <v>0</v>
      </c>
      <c r="Y788" s="411">
        <v>0</v>
      </c>
      <c r="Z788" s="412">
        <f t="shared" si="50"/>
        <v>0</v>
      </c>
      <c r="AA788" s="456">
        <f t="shared" si="49"/>
        <v>0</v>
      </c>
      <c r="AB788" s="456">
        <v>0</v>
      </c>
      <c r="AC788" s="2"/>
      <c r="AD788" s="4"/>
      <c r="AE788" s="5"/>
    </row>
    <row r="789" spans="1:31" x14ac:dyDescent="0.25">
      <c r="A789" s="571" t="s">
        <v>5228</v>
      </c>
      <c r="B789" s="3" t="s">
        <v>1368</v>
      </c>
      <c r="C789" s="3" t="s">
        <v>1247</v>
      </c>
      <c r="D789" s="407" t="s">
        <v>3226</v>
      </c>
      <c r="E789" s="407" t="s">
        <v>5029</v>
      </c>
      <c r="F789" s="415"/>
      <c r="G789" s="415"/>
      <c r="H789" s="415"/>
      <c r="I789" s="415"/>
      <c r="J789" s="3" t="s">
        <v>5024</v>
      </c>
      <c r="K789" s="387">
        <v>1</v>
      </c>
      <c r="L789" s="387">
        <v>0</v>
      </c>
      <c r="M789" s="387">
        <f t="shared" si="51"/>
        <v>1</v>
      </c>
      <c r="N789" s="442">
        <f t="shared" si="53"/>
        <v>0</v>
      </c>
      <c r="O789" s="387" t="s">
        <v>1358</v>
      </c>
      <c r="P789" s="459">
        <v>95.543999999999997</v>
      </c>
      <c r="Q789" s="459"/>
      <c r="R789" s="456">
        <v>0</v>
      </c>
      <c r="S789" s="459">
        <v>95.543999999999997</v>
      </c>
      <c r="T789" s="555"/>
      <c r="U789" s="411">
        <v>1</v>
      </c>
      <c r="V789" s="411">
        <v>1</v>
      </c>
      <c r="W789" s="411">
        <v>1</v>
      </c>
      <c r="X789" s="411">
        <v>0</v>
      </c>
      <c r="Y789" s="411">
        <v>0</v>
      </c>
      <c r="Z789" s="412">
        <f t="shared" si="50"/>
        <v>0</v>
      </c>
      <c r="AA789" s="456">
        <f t="shared" si="49"/>
        <v>0</v>
      </c>
      <c r="AB789" s="456">
        <v>0</v>
      </c>
      <c r="AC789" s="2"/>
      <c r="AD789" s="4"/>
      <c r="AE789" s="5"/>
    </row>
    <row r="790" spans="1:31" x14ac:dyDescent="0.25">
      <c r="A790" s="571" t="s">
        <v>5229</v>
      </c>
      <c r="B790" s="3" t="s">
        <v>1368</v>
      </c>
      <c r="C790" s="3" t="s">
        <v>1247</v>
      </c>
      <c r="D790" s="407" t="s">
        <v>3226</v>
      </c>
      <c r="E790" s="407" t="s">
        <v>5030</v>
      </c>
      <c r="F790" s="415"/>
      <c r="G790" s="415"/>
      <c r="H790" s="415"/>
      <c r="I790" s="415"/>
      <c r="J790" s="3" t="s">
        <v>5024</v>
      </c>
      <c r="K790" s="387">
        <v>1</v>
      </c>
      <c r="L790" s="387">
        <v>0</v>
      </c>
      <c r="M790" s="387">
        <f t="shared" si="51"/>
        <v>1</v>
      </c>
      <c r="N790" s="442">
        <f t="shared" si="53"/>
        <v>0</v>
      </c>
      <c r="O790" s="387" t="s">
        <v>1358</v>
      </c>
      <c r="P790" s="459">
        <v>95.543999999999997</v>
      </c>
      <c r="Q790" s="459"/>
      <c r="R790" s="456">
        <v>0</v>
      </c>
      <c r="S790" s="459">
        <v>95.543999999999997</v>
      </c>
      <c r="T790" s="555"/>
      <c r="U790" s="411">
        <v>1</v>
      </c>
      <c r="V790" s="411">
        <v>1</v>
      </c>
      <c r="W790" s="411">
        <v>1</v>
      </c>
      <c r="X790" s="411">
        <v>0</v>
      </c>
      <c r="Y790" s="411">
        <v>0</v>
      </c>
      <c r="Z790" s="412">
        <f t="shared" si="50"/>
        <v>0</v>
      </c>
      <c r="AA790" s="456">
        <f t="shared" si="49"/>
        <v>0</v>
      </c>
      <c r="AB790" s="456">
        <v>0</v>
      </c>
      <c r="AC790" s="2"/>
      <c r="AD790" s="4"/>
      <c r="AE790" s="5"/>
    </row>
    <row r="791" spans="1:31" x14ac:dyDescent="0.25">
      <c r="A791" s="571" t="s">
        <v>5230</v>
      </c>
      <c r="B791" s="3" t="s">
        <v>1368</v>
      </c>
      <c r="C791" s="3" t="s">
        <v>1247</v>
      </c>
      <c r="D791" s="407" t="s">
        <v>3226</v>
      </c>
      <c r="E791" s="407" t="s">
        <v>5031</v>
      </c>
      <c r="F791" s="415"/>
      <c r="G791" s="415"/>
      <c r="H791" s="415"/>
      <c r="I791" s="415"/>
      <c r="J791" s="3" t="s">
        <v>5024</v>
      </c>
      <c r="K791" s="387">
        <v>1</v>
      </c>
      <c r="L791" s="387">
        <v>0</v>
      </c>
      <c r="M791" s="387">
        <f t="shared" si="51"/>
        <v>1</v>
      </c>
      <c r="N791" s="442">
        <f t="shared" si="53"/>
        <v>0</v>
      </c>
      <c r="O791" s="387" t="s">
        <v>1358</v>
      </c>
      <c r="P791" s="459">
        <v>15.923999999999999</v>
      </c>
      <c r="Q791" s="459"/>
      <c r="R791" s="456">
        <v>0</v>
      </c>
      <c r="S791" s="459">
        <v>15.923999999999999</v>
      </c>
      <c r="T791" s="555"/>
      <c r="U791" s="411">
        <v>1</v>
      </c>
      <c r="V791" s="411">
        <v>1</v>
      </c>
      <c r="W791" s="411">
        <v>1</v>
      </c>
      <c r="X791" s="411">
        <v>0</v>
      </c>
      <c r="Y791" s="411">
        <v>0</v>
      </c>
      <c r="Z791" s="412">
        <f t="shared" si="50"/>
        <v>0</v>
      </c>
      <c r="AA791" s="456">
        <f t="shared" si="49"/>
        <v>0</v>
      </c>
      <c r="AB791" s="456">
        <v>0</v>
      </c>
      <c r="AC791" s="2"/>
      <c r="AD791" s="4"/>
      <c r="AE791" s="5"/>
    </row>
    <row r="792" spans="1:31" x14ac:dyDescent="0.25">
      <c r="A792" s="571" t="s">
        <v>5231</v>
      </c>
      <c r="B792" s="3" t="s">
        <v>1368</v>
      </c>
      <c r="C792" s="3" t="s">
        <v>1247</v>
      </c>
      <c r="D792" s="407" t="s">
        <v>3226</v>
      </c>
      <c r="E792" s="407" t="s">
        <v>5032</v>
      </c>
      <c r="F792" s="415"/>
      <c r="G792" s="415"/>
      <c r="H792" s="415"/>
      <c r="I792" s="415"/>
      <c r="J792" s="3" t="s">
        <v>5024</v>
      </c>
      <c r="K792" s="387">
        <v>1</v>
      </c>
      <c r="L792" s="387">
        <v>0</v>
      </c>
      <c r="M792" s="387">
        <f t="shared" si="51"/>
        <v>1</v>
      </c>
      <c r="N792" s="442">
        <f t="shared" si="53"/>
        <v>0</v>
      </c>
      <c r="O792" s="387" t="s">
        <v>1358</v>
      </c>
      <c r="P792" s="459">
        <v>15.923999999999999</v>
      </c>
      <c r="Q792" s="459"/>
      <c r="R792" s="456">
        <v>0</v>
      </c>
      <c r="S792" s="459">
        <v>15.923999999999999</v>
      </c>
      <c r="T792" s="555"/>
      <c r="U792" s="411">
        <v>1</v>
      </c>
      <c r="V792" s="411">
        <v>1</v>
      </c>
      <c r="W792" s="411">
        <v>1</v>
      </c>
      <c r="X792" s="411">
        <v>0</v>
      </c>
      <c r="Y792" s="411">
        <v>0</v>
      </c>
      <c r="Z792" s="412">
        <f t="shared" si="50"/>
        <v>0</v>
      </c>
      <c r="AA792" s="456">
        <f t="shared" si="49"/>
        <v>0</v>
      </c>
      <c r="AB792" s="456">
        <v>0</v>
      </c>
      <c r="AC792" s="2"/>
      <c r="AD792" s="4"/>
      <c r="AE792" s="5"/>
    </row>
    <row r="793" spans="1:31" x14ac:dyDescent="0.25">
      <c r="A793" s="1" t="s">
        <v>5153</v>
      </c>
      <c r="B793" s="3" t="s">
        <v>1368</v>
      </c>
      <c r="C793" s="3" t="s">
        <v>1247</v>
      </c>
      <c r="D793" s="407" t="s">
        <v>3224</v>
      </c>
      <c r="E793" s="407" t="s">
        <v>5102</v>
      </c>
      <c r="F793" s="415"/>
      <c r="G793" s="415"/>
      <c r="H793" s="415"/>
      <c r="I793" s="415"/>
      <c r="J793" s="3" t="s">
        <v>5104</v>
      </c>
      <c r="K793" s="387">
        <v>1</v>
      </c>
      <c r="L793" s="387">
        <v>0</v>
      </c>
      <c r="M793" s="387">
        <f t="shared" si="51"/>
        <v>1</v>
      </c>
      <c r="N793" s="442">
        <f t="shared" si="53"/>
        <v>0</v>
      </c>
      <c r="O793" s="387" t="s">
        <v>1358</v>
      </c>
      <c r="P793" s="459">
        <v>95.5</v>
      </c>
      <c r="Q793" s="459"/>
      <c r="R793" s="456">
        <v>0</v>
      </c>
      <c r="S793" s="459">
        <v>95.54</v>
      </c>
      <c r="T793" s="555"/>
      <c r="U793" s="411">
        <v>1</v>
      </c>
      <c r="V793" s="411">
        <v>1</v>
      </c>
      <c r="W793" s="411">
        <v>1</v>
      </c>
      <c r="X793" s="411">
        <v>0</v>
      </c>
      <c r="Y793" s="411">
        <v>0</v>
      </c>
      <c r="Z793" s="412">
        <f t="shared" si="50"/>
        <v>0</v>
      </c>
      <c r="AA793" s="456">
        <f t="shared" si="49"/>
        <v>0</v>
      </c>
      <c r="AB793" s="456">
        <v>0</v>
      </c>
      <c r="AC793" s="2"/>
      <c r="AD793" s="4"/>
      <c r="AE793" s="5"/>
    </row>
    <row r="794" spans="1:31" x14ac:dyDescent="0.25">
      <c r="A794" s="1" t="s">
        <v>5154</v>
      </c>
      <c r="B794" s="3" t="s">
        <v>1368</v>
      </c>
      <c r="C794" s="3" t="s">
        <v>1247</v>
      </c>
      <c r="D794" s="407" t="s">
        <v>3224</v>
      </c>
      <c r="E794" s="407" t="s">
        <v>5103</v>
      </c>
      <c r="F794" s="415"/>
      <c r="G794" s="415"/>
      <c r="H794" s="415"/>
      <c r="I794" s="415"/>
      <c r="J794" s="3" t="s">
        <v>5104</v>
      </c>
      <c r="K794" s="387">
        <v>1</v>
      </c>
      <c r="L794" s="387">
        <v>0</v>
      </c>
      <c r="M794" s="387">
        <f t="shared" si="51"/>
        <v>1</v>
      </c>
      <c r="N794" s="442">
        <f t="shared" si="53"/>
        <v>0</v>
      </c>
      <c r="O794" s="387" t="s">
        <v>1358</v>
      </c>
      <c r="P794" s="459">
        <v>95.5</v>
      </c>
      <c r="Q794" s="459"/>
      <c r="R794" s="456">
        <v>0</v>
      </c>
      <c r="S794" s="459">
        <v>95.54</v>
      </c>
      <c r="T794" s="555"/>
      <c r="U794" s="411">
        <v>1</v>
      </c>
      <c r="V794" s="411">
        <v>1</v>
      </c>
      <c r="W794" s="411">
        <v>1</v>
      </c>
      <c r="X794" s="411"/>
      <c r="Y794" s="411"/>
      <c r="Z794" s="412">
        <f t="shared" si="50"/>
        <v>0</v>
      </c>
      <c r="AA794" s="456">
        <f t="shared" si="49"/>
        <v>0</v>
      </c>
      <c r="AB794" s="456"/>
      <c r="AC794" s="2"/>
      <c r="AD794" s="4"/>
      <c r="AE794" s="5"/>
    </row>
    <row r="795" spans="1:31" x14ac:dyDescent="0.25">
      <c r="A795" s="1" t="s">
        <v>4833</v>
      </c>
      <c r="B795" s="3" t="s">
        <v>1368</v>
      </c>
      <c r="C795" s="3" t="s">
        <v>1247</v>
      </c>
      <c r="D795" s="407" t="s">
        <v>3230</v>
      </c>
      <c r="E795" s="407" t="s">
        <v>4796</v>
      </c>
      <c r="F795" s="415"/>
      <c r="G795" s="415"/>
      <c r="H795" s="415"/>
      <c r="I795" s="415"/>
      <c r="J795" s="3" t="s">
        <v>4748</v>
      </c>
      <c r="K795" s="387">
        <v>1</v>
      </c>
      <c r="L795" s="387">
        <v>0</v>
      </c>
      <c r="M795" s="387">
        <f t="shared" si="51"/>
        <v>1</v>
      </c>
      <c r="N795" s="442">
        <f t="shared" si="53"/>
        <v>0</v>
      </c>
      <c r="O795" s="387" t="s">
        <v>1358</v>
      </c>
      <c r="P795" s="459">
        <v>31.847999999999999</v>
      </c>
      <c r="Q795" s="459"/>
      <c r="R795" s="456">
        <v>0</v>
      </c>
      <c r="S795" s="459">
        <v>31.847999999999999</v>
      </c>
      <c r="T795" s="555"/>
      <c r="U795" s="411">
        <v>1</v>
      </c>
      <c r="V795" s="411">
        <v>1</v>
      </c>
      <c r="W795" s="411">
        <v>1</v>
      </c>
      <c r="X795" s="411"/>
      <c r="Y795" s="411"/>
      <c r="Z795" s="412">
        <f t="shared" si="50"/>
        <v>0</v>
      </c>
      <c r="AA795" s="456">
        <f t="shared" si="49"/>
        <v>0</v>
      </c>
      <c r="AB795" s="456">
        <v>0</v>
      </c>
      <c r="AC795" s="2"/>
      <c r="AD795" s="4"/>
      <c r="AE795" s="5"/>
    </row>
    <row r="796" spans="1:31" x14ac:dyDescent="0.25">
      <c r="A796" s="1" t="s">
        <v>4834</v>
      </c>
      <c r="B796" s="3" t="s">
        <v>1368</v>
      </c>
      <c r="C796" s="3" t="s">
        <v>1247</v>
      </c>
      <c r="D796" s="407" t="s">
        <v>3231</v>
      </c>
      <c r="E796" s="407" t="s">
        <v>4749</v>
      </c>
      <c r="F796" s="415"/>
      <c r="G796" s="415"/>
      <c r="H796" s="415"/>
      <c r="I796" s="415"/>
      <c r="J796" s="3" t="s">
        <v>4752</v>
      </c>
      <c r="K796" s="387">
        <v>1</v>
      </c>
      <c r="L796" s="387">
        <v>0</v>
      </c>
      <c r="M796" s="387">
        <f t="shared" si="51"/>
        <v>1</v>
      </c>
      <c r="N796" s="442">
        <f t="shared" si="53"/>
        <v>0</v>
      </c>
      <c r="O796" s="387" t="s">
        <v>1358</v>
      </c>
      <c r="P796" s="459">
        <v>15.923999999999999</v>
      </c>
      <c r="Q796" s="459"/>
      <c r="R796" s="456">
        <v>0</v>
      </c>
      <c r="S796" s="459">
        <v>15.923999999999999</v>
      </c>
      <c r="T796" s="555"/>
      <c r="U796" s="411">
        <v>1</v>
      </c>
      <c r="V796" s="411">
        <v>1</v>
      </c>
      <c r="W796" s="411">
        <v>1</v>
      </c>
      <c r="X796" s="411"/>
      <c r="Y796" s="411"/>
      <c r="Z796" s="412">
        <f t="shared" si="50"/>
        <v>0</v>
      </c>
      <c r="AA796" s="456">
        <f t="shared" ref="AA796:AA894" si="54">(U796*U$368*S796)+(V796*V$368*S796)+(W796*W$368*S796)</f>
        <v>0</v>
      </c>
      <c r="AB796" s="456">
        <v>0</v>
      </c>
      <c r="AC796" s="469"/>
      <c r="AD796" s="470"/>
      <c r="AE796" s="5"/>
    </row>
    <row r="797" spans="1:31" x14ac:dyDescent="0.25">
      <c r="A797" s="1" t="s">
        <v>4835</v>
      </c>
      <c r="B797" s="3" t="s">
        <v>1368</v>
      </c>
      <c r="C797" s="3" t="s">
        <v>1247</v>
      </c>
      <c r="D797" s="407" t="s">
        <v>3231</v>
      </c>
      <c r="E797" s="407" t="s">
        <v>4750</v>
      </c>
      <c r="F797" s="415"/>
      <c r="G797" s="415"/>
      <c r="H797" s="415"/>
      <c r="I797" s="415"/>
      <c r="J797" s="3" t="s">
        <v>4752</v>
      </c>
      <c r="K797" s="387">
        <v>1</v>
      </c>
      <c r="L797" s="387">
        <v>0</v>
      </c>
      <c r="M797" s="387">
        <f t="shared" si="51"/>
        <v>1</v>
      </c>
      <c r="N797" s="442">
        <f t="shared" si="53"/>
        <v>0</v>
      </c>
      <c r="O797" s="387" t="s">
        <v>1358</v>
      </c>
      <c r="P797" s="459">
        <v>31.847999999999999</v>
      </c>
      <c r="Q797" s="459"/>
      <c r="R797" s="456">
        <v>0</v>
      </c>
      <c r="S797" s="459">
        <v>31.847999999999999</v>
      </c>
      <c r="T797" s="555"/>
      <c r="U797" s="411">
        <v>1</v>
      </c>
      <c r="V797" s="411">
        <v>1</v>
      </c>
      <c r="W797" s="411">
        <v>1</v>
      </c>
      <c r="X797" s="411"/>
      <c r="Y797" s="411"/>
      <c r="Z797" s="412">
        <f t="shared" si="50"/>
        <v>0</v>
      </c>
      <c r="AA797" s="456">
        <f t="shared" si="54"/>
        <v>0</v>
      </c>
      <c r="AB797" s="456">
        <v>0</v>
      </c>
      <c r="AC797" s="469"/>
      <c r="AD797" s="470"/>
      <c r="AE797" s="5"/>
    </row>
    <row r="798" spans="1:31" x14ac:dyDescent="0.25">
      <c r="A798" s="1" t="s">
        <v>4836</v>
      </c>
      <c r="B798" s="3" t="s">
        <v>1368</v>
      </c>
      <c r="C798" s="3" t="s">
        <v>1247</v>
      </c>
      <c r="D798" s="407" t="s">
        <v>3231</v>
      </c>
      <c r="E798" s="407" t="s">
        <v>4751</v>
      </c>
      <c r="F798" s="415"/>
      <c r="G798" s="415"/>
      <c r="H798" s="415"/>
      <c r="I798" s="415"/>
      <c r="J798" s="3" t="s">
        <v>4752</v>
      </c>
      <c r="K798" s="387">
        <v>1</v>
      </c>
      <c r="L798" s="387">
        <v>0</v>
      </c>
      <c r="M798" s="387">
        <f t="shared" si="51"/>
        <v>1</v>
      </c>
      <c r="N798" s="442">
        <f t="shared" si="53"/>
        <v>0</v>
      </c>
      <c r="O798" s="387" t="s">
        <v>1358</v>
      </c>
      <c r="P798" s="459">
        <v>95.543999999999997</v>
      </c>
      <c r="Q798" s="459"/>
      <c r="R798" s="456">
        <v>0</v>
      </c>
      <c r="S798" s="459">
        <v>95.543999999999997</v>
      </c>
      <c r="T798" s="555"/>
      <c r="U798" s="411">
        <v>1</v>
      </c>
      <c r="V798" s="411">
        <v>1</v>
      </c>
      <c r="W798" s="411">
        <v>1</v>
      </c>
      <c r="X798" s="411"/>
      <c r="Y798" s="411"/>
      <c r="Z798" s="412">
        <f t="shared" si="50"/>
        <v>0</v>
      </c>
      <c r="AA798" s="456">
        <f t="shared" si="54"/>
        <v>0</v>
      </c>
      <c r="AB798" s="456">
        <v>0</v>
      </c>
      <c r="AC798" s="469"/>
      <c r="AD798" s="470"/>
      <c r="AE798" s="5"/>
    </row>
    <row r="799" spans="1:31" x14ac:dyDescent="0.25">
      <c r="A799" s="1" t="s">
        <v>4837</v>
      </c>
      <c r="B799" s="3" t="s">
        <v>1368</v>
      </c>
      <c r="C799" s="3" t="s">
        <v>1247</v>
      </c>
      <c r="D799" s="407" t="s">
        <v>3250</v>
      </c>
      <c r="E799" s="407" t="s">
        <v>4774</v>
      </c>
      <c r="F799" s="415"/>
      <c r="G799" s="415"/>
      <c r="H799" s="415"/>
      <c r="I799" s="415"/>
      <c r="J799" s="3" t="s">
        <v>4773</v>
      </c>
      <c r="K799" s="387">
        <v>1</v>
      </c>
      <c r="L799" s="387">
        <v>0</v>
      </c>
      <c r="M799" s="387">
        <f t="shared" si="51"/>
        <v>1</v>
      </c>
      <c r="N799" s="442">
        <f t="shared" si="53"/>
        <v>0</v>
      </c>
      <c r="O799" s="387" t="s">
        <v>1358</v>
      </c>
      <c r="P799" s="459">
        <v>15.923999999999999</v>
      </c>
      <c r="Q799" s="459"/>
      <c r="R799" s="456">
        <v>0</v>
      </c>
      <c r="S799" s="459">
        <v>15.923999999999999</v>
      </c>
      <c r="T799" s="555"/>
      <c r="U799" s="411">
        <v>1</v>
      </c>
      <c r="V799" s="411">
        <v>1</v>
      </c>
      <c r="W799" s="411">
        <v>1</v>
      </c>
      <c r="X799" s="411"/>
      <c r="Y799" s="411"/>
      <c r="Z799" s="412">
        <f t="shared" si="50"/>
        <v>0</v>
      </c>
      <c r="AA799" s="456">
        <f t="shared" si="54"/>
        <v>0</v>
      </c>
      <c r="AB799" s="456">
        <v>0</v>
      </c>
      <c r="AC799" s="469"/>
      <c r="AD799" s="470"/>
      <c r="AE799" s="5"/>
    </row>
    <row r="800" spans="1:31" x14ac:dyDescent="0.25">
      <c r="A800" s="1" t="s">
        <v>4838</v>
      </c>
      <c r="B800" s="3" t="s">
        <v>1368</v>
      </c>
      <c r="C800" s="3" t="s">
        <v>1247</v>
      </c>
      <c r="D800" s="407" t="s">
        <v>3250</v>
      </c>
      <c r="E800" s="407" t="s">
        <v>4772</v>
      </c>
      <c r="F800" s="415"/>
      <c r="G800" s="415"/>
      <c r="H800" s="415"/>
      <c r="I800" s="415"/>
      <c r="J800" s="3" t="s">
        <v>4797</v>
      </c>
      <c r="K800" s="387">
        <v>1</v>
      </c>
      <c r="L800" s="387">
        <v>0</v>
      </c>
      <c r="M800" s="387">
        <f t="shared" si="51"/>
        <v>1</v>
      </c>
      <c r="N800" s="442">
        <f t="shared" si="53"/>
        <v>0</v>
      </c>
      <c r="O800" s="387" t="s">
        <v>1358</v>
      </c>
      <c r="P800" s="459">
        <v>31.84</v>
      </c>
      <c r="Q800" s="459"/>
      <c r="R800" s="456">
        <v>0</v>
      </c>
      <c r="S800" s="459">
        <v>31.84</v>
      </c>
      <c r="T800" s="555"/>
      <c r="U800" s="411">
        <v>1</v>
      </c>
      <c r="V800" s="411">
        <v>1</v>
      </c>
      <c r="W800" s="411">
        <v>1</v>
      </c>
      <c r="X800" s="411"/>
      <c r="Y800" s="411"/>
      <c r="Z800" s="412">
        <f t="shared" si="50"/>
        <v>0</v>
      </c>
      <c r="AA800" s="456">
        <f t="shared" si="54"/>
        <v>0</v>
      </c>
      <c r="AB800" s="456">
        <v>0</v>
      </c>
      <c r="AC800" s="469"/>
      <c r="AD800" s="470"/>
      <c r="AE800" s="5"/>
    </row>
    <row r="801" spans="1:31" x14ac:dyDescent="0.25">
      <c r="A801" s="1" t="s">
        <v>4839</v>
      </c>
      <c r="B801" s="3" t="s">
        <v>1368</v>
      </c>
      <c r="C801" s="3" t="s">
        <v>1247</v>
      </c>
      <c r="D801" s="407" t="s">
        <v>3232</v>
      </c>
      <c r="E801" s="407" t="s">
        <v>4775</v>
      </c>
      <c r="F801" s="415"/>
      <c r="G801" s="415"/>
      <c r="H801" s="415"/>
      <c r="I801" s="415"/>
      <c r="J801" s="3" t="s">
        <v>4776</v>
      </c>
      <c r="K801" s="387">
        <v>1</v>
      </c>
      <c r="L801" s="387">
        <v>0</v>
      </c>
      <c r="M801" s="387">
        <f t="shared" si="51"/>
        <v>1</v>
      </c>
      <c r="N801" s="442">
        <f t="shared" si="53"/>
        <v>0</v>
      </c>
      <c r="O801" s="387" t="s">
        <v>1358</v>
      </c>
      <c r="P801" s="459">
        <v>31.84</v>
      </c>
      <c r="Q801" s="459"/>
      <c r="R801" s="456">
        <v>0</v>
      </c>
      <c r="S801" s="459">
        <v>31.84</v>
      </c>
      <c r="T801" s="555"/>
      <c r="U801" s="411">
        <v>1</v>
      </c>
      <c r="V801" s="411">
        <v>1</v>
      </c>
      <c r="W801" s="411">
        <v>1</v>
      </c>
      <c r="X801" s="411"/>
      <c r="Y801" s="411"/>
      <c r="Z801" s="412">
        <f t="shared" si="50"/>
        <v>0</v>
      </c>
      <c r="AA801" s="456">
        <f t="shared" si="54"/>
        <v>0</v>
      </c>
      <c r="AB801" s="456">
        <v>0</v>
      </c>
      <c r="AC801" s="469"/>
      <c r="AD801" s="470"/>
      <c r="AE801" s="5"/>
    </row>
    <row r="802" spans="1:31" x14ac:dyDescent="0.25">
      <c r="A802" s="1" t="s">
        <v>4840</v>
      </c>
      <c r="B802" s="3" t="s">
        <v>1368</v>
      </c>
      <c r="C802" s="3" t="s">
        <v>1247</v>
      </c>
      <c r="D802" s="407" t="s">
        <v>3232</v>
      </c>
      <c r="E802" s="407" t="s">
        <v>4777</v>
      </c>
      <c r="F802" s="415"/>
      <c r="G802" s="415"/>
      <c r="H802" s="415"/>
      <c r="I802" s="415"/>
      <c r="J802" s="3" t="s">
        <v>4776</v>
      </c>
      <c r="K802" s="387">
        <v>1</v>
      </c>
      <c r="L802" s="387">
        <v>0</v>
      </c>
      <c r="M802" s="387">
        <f t="shared" si="51"/>
        <v>1</v>
      </c>
      <c r="N802" s="442">
        <f t="shared" si="53"/>
        <v>0</v>
      </c>
      <c r="O802" s="387" t="s">
        <v>1358</v>
      </c>
      <c r="P802" s="459">
        <v>95.54</v>
      </c>
      <c r="Q802" s="459"/>
      <c r="R802" s="456">
        <v>0</v>
      </c>
      <c r="S802" s="459">
        <v>95.54</v>
      </c>
      <c r="T802" s="555"/>
      <c r="U802" s="411">
        <v>1</v>
      </c>
      <c r="V802" s="411">
        <v>1</v>
      </c>
      <c r="W802" s="411">
        <v>1</v>
      </c>
      <c r="X802" s="411"/>
      <c r="Y802" s="411"/>
      <c r="Z802" s="412">
        <f t="shared" si="50"/>
        <v>0</v>
      </c>
      <c r="AA802" s="456">
        <f t="shared" si="54"/>
        <v>0</v>
      </c>
      <c r="AB802" s="456">
        <v>0</v>
      </c>
      <c r="AC802" s="469"/>
      <c r="AD802" s="470"/>
      <c r="AE802" s="5"/>
    </row>
    <row r="803" spans="1:31" x14ac:dyDescent="0.25">
      <c r="A803" s="1" t="s">
        <v>4841</v>
      </c>
      <c r="B803" s="3" t="s">
        <v>1368</v>
      </c>
      <c r="C803" s="3" t="s">
        <v>1247</v>
      </c>
      <c r="D803" s="407" t="s">
        <v>3250</v>
      </c>
      <c r="E803" s="407" t="s">
        <v>4778</v>
      </c>
      <c r="F803" s="415"/>
      <c r="G803" s="415"/>
      <c r="H803" s="415"/>
      <c r="I803" s="415"/>
      <c r="J803" s="3" t="s">
        <v>4773</v>
      </c>
      <c r="K803" s="387">
        <v>1</v>
      </c>
      <c r="L803" s="387">
        <v>0</v>
      </c>
      <c r="M803" s="387">
        <f t="shared" si="51"/>
        <v>1</v>
      </c>
      <c r="N803" s="442">
        <f t="shared" si="53"/>
        <v>0</v>
      </c>
      <c r="O803" s="387" t="s">
        <v>1358</v>
      </c>
      <c r="P803" s="459">
        <v>15.923999999999999</v>
      </c>
      <c r="Q803" s="459"/>
      <c r="R803" s="456">
        <v>0</v>
      </c>
      <c r="S803" s="459">
        <v>15.923999999999999</v>
      </c>
      <c r="T803" s="555"/>
      <c r="U803" s="411">
        <v>1</v>
      </c>
      <c r="V803" s="411">
        <v>1</v>
      </c>
      <c r="W803" s="411">
        <v>1</v>
      </c>
      <c r="X803" s="411"/>
      <c r="Y803" s="411"/>
      <c r="Z803" s="412">
        <f t="shared" si="50"/>
        <v>0</v>
      </c>
      <c r="AA803" s="456">
        <f t="shared" si="54"/>
        <v>0</v>
      </c>
      <c r="AB803" s="456">
        <v>0</v>
      </c>
      <c r="AC803" s="469"/>
      <c r="AD803" s="470"/>
      <c r="AE803" s="5"/>
    </row>
    <row r="804" spans="1:31" x14ac:dyDescent="0.25">
      <c r="A804" s="1" t="s">
        <v>4842</v>
      </c>
      <c r="B804" s="3" t="s">
        <v>1368</v>
      </c>
      <c r="C804" s="3" t="s">
        <v>1247</v>
      </c>
      <c r="D804" s="407" t="s">
        <v>3250</v>
      </c>
      <c r="E804" s="407" t="s">
        <v>4779</v>
      </c>
      <c r="F804" s="415"/>
      <c r="G804" s="415"/>
      <c r="H804" s="415"/>
      <c r="I804" s="415"/>
      <c r="J804" s="3" t="s">
        <v>4773</v>
      </c>
      <c r="K804" s="387">
        <v>1</v>
      </c>
      <c r="L804" s="387">
        <v>0</v>
      </c>
      <c r="M804" s="387">
        <f t="shared" si="51"/>
        <v>1</v>
      </c>
      <c r="N804" s="442">
        <f t="shared" si="53"/>
        <v>0</v>
      </c>
      <c r="O804" s="387" t="s">
        <v>1358</v>
      </c>
      <c r="P804" s="459">
        <v>15.923999999999999</v>
      </c>
      <c r="Q804" s="459"/>
      <c r="R804" s="456">
        <v>0</v>
      </c>
      <c r="S804" s="459">
        <v>15.923999999999999</v>
      </c>
      <c r="T804" s="555"/>
      <c r="U804" s="411">
        <v>1</v>
      </c>
      <c r="V804" s="411">
        <v>1</v>
      </c>
      <c r="W804" s="411">
        <v>1</v>
      </c>
      <c r="X804" s="411"/>
      <c r="Y804" s="411"/>
      <c r="Z804" s="412">
        <f t="shared" si="50"/>
        <v>0</v>
      </c>
      <c r="AA804" s="456">
        <f t="shared" si="54"/>
        <v>0</v>
      </c>
      <c r="AB804" s="456">
        <v>0</v>
      </c>
      <c r="AC804" s="469"/>
      <c r="AD804" s="470"/>
      <c r="AE804" s="5"/>
    </row>
    <row r="805" spans="1:31" x14ac:dyDescent="0.25">
      <c r="A805" s="1" t="s">
        <v>4843</v>
      </c>
      <c r="B805" s="3" t="s">
        <v>1368</v>
      </c>
      <c r="C805" s="3" t="s">
        <v>1247</v>
      </c>
      <c r="D805" s="407" t="s">
        <v>3232</v>
      </c>
      <c r="E805" s="407" t="s">
        <v>4780</v>
      </c>
      <c r="F805" s="415"/>
      <c r="G805" s="415"/>
      <c r="H805" s="415"/>
      <c r="I805" s="415"/>
      <c r="J805" s="3" t="s">
        <v>4776</v>
      </c>
      <c r="K805" s="387">
        <v>1</v>
      </c>
      <c r="L805" s="387">
        <v>0</v>
      </c>
      <c r="M805" s="387">
        <f t="shared" si="51"/>
        <v>1</v>
      </c>
      <c r="N805" s="442">
        <f t="shared" si="53"/>
        <v>0</v>
      </c>
      <c r="O805" s="387" t="s">
        <v>1358</v>
      </c>
      <c r="P805" s="459">
        <v>15.923999999999999</v>
      </c>
      <c r="Q805" s="459"/>
      <c r="R805" s="456">
        <v>0</v>
      </c>
      <c r="S805" s="459">
        <v>15.923999999999999</v>
      </c>
      <c r="T805" s="555"/>
      <c r="U805" s="411">
        <v>1</v>
      </c>
      <c r="V805" s="411">
        <v>1</v>
      </c>
      <c r="W805" s="411">
        <v>1</v>
      </c>
      <c r="X805" s="411"/>
      <c r="Y805" s="411"/>
      <c r="Z805" s="412">
        <f t="shared" si="50"/>
        <v>0</v>
      </c>
      <c r="AA805" s="456">
        <f t="shared" si="54"/>
        <v>0</v>
      </c>
      <c r="AB805" s="456">
        <v>0</v>
      </c>
      <c r="AC805" s="469"/>
      <c r="AD805" s="470"/>
      <c r="AE805" s="5"/>
    </row>
    <row r="806" spans="1:31" x14ac:dyDescent="0.25">
      <c r="A806" s="1" t="s">
        <v>4844</v>
      </c>
      <c r="B806" s="3" t="s">
        <v>1368</v>
      </c>
      <c r="C806" s="3" t="s">
        <v>1247</v>
      </c>
      <c r="D806" s="407" t="s">
        <v>3231</v>
      </c>
      <c r="E806" s="407" t="s">
        <v>4798</v>
      </c>
      <c r="F806" s="415"/>
      <c r="G806" s="415"/>
      <c r="H806" s="415"/>
      <c r="I806" s="415"/>
      <c r="J806" s="3" t="s">
        <v>4752</v>
      </c>
      <c r="K806" s="387">
        <v>1</v>
      </c>
      <c r="L806" s="387">
        <v>0</v>
      </c>
      <c r="M806" s="387">
        <f t="shared" si="51"/>
        <v>1</v>
      </c>
      <c r="N806" s="442">
        <f t="shared" si="53"/>
        <v>0</v>
      </c>
      <c r="O806" s="387" t="s">
        <v>1358</v>
      </c>
      <c r="P806" s="459">
        <v>23.885999999999999</v>
      </c>
      <c r="Q806" s="459"/>
      <c r="R806" s="456">
        <v>0</v>
      </c>
      <c r="S806" s="459">
        <v>23.885999999999999</v>
      </c>
      <c r="T806" s="555"/>
      <c r="U806" s="411">
        <v>1</v>
      </c>
      <c r="V806" s="411">
        <v>1</v>
      </c>
      <c r="W806" s="411">
        <v>1</v>
      </c>
      <c r="X806" s="411"/>
      <c r="Y806" s="411"/>
      <c r="Z806" s="412">
        <f t="shared" si="50"/>
        <v>0</v>
      </c>
      <c r="AA806" s="456">
        <f t="shared" si="54"/>
        <v>0</v>
      </c>
      <c r="AB806" s="456">
        <v>0</v>
      </c>
      <c r="AC806" s="469"/>
      <c r="AD806" s="470"/>
      <c r="AE806" s="5"/>
    </row>
    <row r="807" spans="1:31" x14ac:dyDescent="0.25">
      <c r="A807" s="1" t="s">
        <v>4845</v>
      </c>
      <c r="B807" s="3" t="s">
        <v>1368</v>
      </c>
      <c r="C807" s="3" t="s">
        <v>1247</v>
      </c>
      <c r="D807" s="407" t="s">
        <v>3231</v>
      </c>
      <c r="E807" s="407" t="s">
        <v>4799</v>
      </c>
      <c r="F807" s="415"/>
      <c r="G807" s="415"/>
      <c r="H807" s="415"/>
      <c r="I807" s="415"/>
      <c r="J807" s="3" t="s">
        <v>4752</v>
      </c>
      <c r="K807" s="387">
        <v>1</v>
      </c>
      <c r="L807" s="387">
        <v>0</v>
      </c>
      <c r="M807" s="387">
        <f t="shared" si="51"/>
        <v>1</v>
      </c>
      <c r="N807" s="442">
        <f t="shared" si="53"/>
        <v>0</v>
      </c>
      <c r="O807" s="387" t="s">
        <v>1358</v>
      </c>
      <c r="P807" s="459">
        <v>23.885999999999999</v>
      </c>
      <c r="Q807" s="459"/>
      <c r="R807" s="456">
        <v>0</v>
      </c>
      <c r="S807" s="459">
        <v>23.885999999999999</v>
      </c>
      <c r="T807" s="555"/>
      <c r="U807" s="411">
        <v>1</v>
      </c>
      <c r="V807" s="411">
        <v>1</v>
      </c>
      <c r="W807" s="411">
        <v>1</v>
      </c>
      <c r="X807" s="411"/>
      <c r="Y807" s="411"/>
      <c r="Z807" s="412">
        <f t="shared" si="50"/>
        <v>0</v>
      </c>
      <c r="AA807" s="456">
        <f t="shared" si="54"/>
        <v>0</v>
      </c>
      <c r="AB807" s="456">
        <v>0</v>
      </c>
      <c r="AC807" s="469"/>
      <c r="AD807" s="470"/>
      <c r="AE807" s="5"/>
    </row>
    <row r="808" spans="1:31" x14ac:dyDescent="0.25">
      <c r="A808" s="1" t="s">
        <v>4846</v>
      </c>
      <c r="B808" s="3" t="s">
        <v>1368</v>
      </c>
      <c r="C808" s="3" t="s">
        <v>1247</v>
      </c>
      <c r="D808" s="407" t="s">
        <v>3231</v>
      </c>
      <c r="E808" s="407" t="s">
        <v>4800</v>
      </c>
      <c r="F808" s="415"/>
      <c r="G808" s="415"/>
      <c r="H808" s="415"/>
      <c r="I808" s="415"/>
      <c r="J808" s="3" t="s">
        <v>4752</v>
      </c>
      <c r="K808" s="387">
        <v>1</v>
      </c>
      <c r="L808" s="387">
        <v>0</v>
      </c>
      <c r="M808" s="387">
        <f t="shared" si="51"/>
        <v>1</v>
      </c>
      <c r="N808" s="442">
        <f t="shared" si="53"/>
        <v>0</v>
      </c>
      <c r="O808" s="387" t="s">
        <v>1358</v>
      </c>
      <c r="P808" s="459">
        <v>95.543999999999997</v>
      </c>
      <c r="Q808" s="459"/>
      <c r="R808" s="456">
        <v>0</v>
      </c>
      <c r="S808" s="459">
        <v>95.543999999999997</v>
      </c>
      <c r="T808" s="555"/>
      <c r="U808" s="411">
        <v>1</v>
      </c>
      <c r="V808" s="411">
        <v>1</v>
      </c>
      <c r="W808" s="411">
        <v>1</v>
      </c>
      <c r="X808" s="411"/>
      <c r="Y808" s="411"/>
      <c r="Z808" s="412">
        <f t="shared" si="50"/>
        <v>0</v>
      </c>
      <c r="AA808" s="456">
        <f t="shared" si="54"/>
        <v>0</v>
      </c>
      <c r="AB808" s="456">
        <v>0</v>
      </c>
      <c r="AC808" s="469"/>
      <c r="AD808" s="470"/>
      <c r="AE808" s="5"/>
    </row>
    <row r="809" spans="1:31" x14ac:dyDescent="0.25">
      <c r="A809" s="1" t="s">
        <v>4847</v>
      </c>
      <c r="B809" s="3" t="s">
        <v>1368</v>
      </c>
      <c r="C809" s="3" t="s">
        <v>1247</v>
      </c>
      <c r="D809" s="407" t="s">
        <v>3231</v>
      </c>
      <c r="E809" s="407" t="s">
        <v>4801</v>
      </c>
      <c r="F809" s="415"/>
      <c r="G809" s="415"/>
      <c r="H809" s="415"/>
      <c r="I809" s="415"/>
      <c r="J809" s="3" t="s">
        <v>4752</v>
      </c>
      <c r="K809" s="387">
        <v>1</v>
      </c>
      <c r="L809" s="387">
        <v>0</v>
      </c>
      <c r="M809" s="387">
        <f t="shared" si="51"/>
        <v>1</v>
      </c>
      <c r="N809" s="442">
        <f t="shared" si="53"/>
        <v>0</v>
      </c>
      <c r="O809" s="387" t="s">
        <v>1358</v>
      </c>
      <c r="P809" s="459">
        <v>15.923999999999999</v>
      </c>
      <c r="Q809" s="459"/>
      <c r="R809" s="456">
        <v>0</v>
      </c>
      <c r="S809" s="459">
        <v>15.923999999999999</v>
      </c>
      <c r="T809" s="555"/>
      <c r="U809" s="411">
        <v>1</v>
      </c>
      <c r="V809" s="411">
        <v>1</v>
      </c>
      <c r="W809" s="411">
        <v>1</v>
      </c>
      <c r="X809" s="411"/>
      <c r="Y809" s="411"/>
      <c r="Z809" s="412">
        <f t="shared" si="50"/>
        <v>0</v>
      </c>
      <c r="AA809" s="456">
        <f t="shared" si="54"/>
        <v>0</v>
      </c>
      <c r="AB809" s="456">
        <v>0</v>
      </c>
      <c r="AC809" s="469"/>
      <c r="AD809" s="470"/>
      <c r="AE809" s="5"/>
    </row>
    <row r="810" spans="1:31" x14ac:dyDescent="0.25">
      <c r="A810" s="1" t="s">
        <v>4848</v>
      </c>
      <c r="B810" s="3" t="s">
        <v>1368</v>
      </c>
      <c r="C810" s="3" t="s">
        <v>1247</v>
      </c>
      <c r="D810" s="407" t="s">
        <v>3231</v>
      </c>
      <c r="E810" s="407" t="s">
        <v>4802</v>
      </c>
      <c r="F810" s="415"/>
      <c r="G810" s="415"/>
      <c r="H810" s="415"/>
      <c r="I810" s="415"/>
      <c r="J810" s="3" t="s">
        <v>4752</v>
      </c>
      <c r="K810" s="387">
        <v>1</v>
      </c>
      <c r="L810" s="387">
        <v>0</v>
      </c>
      <c r="M810" s="387">
        <f t="shared" si="51"/>
        <v>1</v>
      </c>
      <c r="N810" s="442">
        <f t="shared" si="53"/>
        <v>0</v>
      </c>
      <c r="O810" s="387" t="s">
        <v>1358</v>
      </c>
      <c r="P810" s="459">
        <v>15.923999999999999</v>
      </c>
      <c r="Q810" s="459"/>
      <c r="R810" s="456">
        <v>0</v>
      </c>
      <c r="S810" s="459">
        <v>15.923999999999999</v>
      </c>
      <c r="T810" s="555"/>
      <c r="U810" s="411">
        <v>1</v>
      </c>
      <c r="V810" s="411">
        <v>1</v>
      </c>
      <c r="W810" s="411">
        <v>1</v>
      </c>
      <c r="X810" s="411"/>
      <c r="Y810" s="411"/>
      <c r="Z810" s="412">
        <f t="shared" si="50"/>
        <v>0</v>
      </c>
      <c r="AA810" s="456">
        <f t="shared" si="54"/>
        <v>0</v>
      </c>
      <c r="AB810" s="456">
        <v>0</v>
      </c>
      <c r="AC810" s="469"/>
      <c r="AD810" s="470"/>
      <c r="AE810" s="5"/>
    </row>
    <row r="811" spans="1:31" x14ac:dyDescent="0.25">
      <c r="A811" s="1" t="s">
        <v>4849</v>
      </c>
      <c r="B811" s="3" t="s">
        <v>1368</v>
      </c>
      <c r="C811" s="3" t="s">
        <v>1247</v>
      </c>
      <c r="D811" s="407" t="s">
        <v>3231</v>
      </c>
      <c r="E811" s="407" t="s">
        <v>4803</v>
      </c>
      <c r="F811" s="415"/>
      <c r="G811" s="415"/>
      <c r="H811" s="415"/>
      <c r="I811" s="415"/>
      <c r="J811" s="3" t="s">
        <v>4752</v>
      </c>
      <c r="K811" s="387">
        <v>1</v>
      </c>
      <c r="L811" s="387">
        <v>0</v>
      </c>
      <c r="M811" s="387">
        <f t="shared" si="51"/>
        <v>1</v>
      </c>
      <c r="N811" s="442">
        <f t="shared" si="53"/>
        <v>0</v>
      </c>
      <c r="O811" s="387" t="s">
        <v>1358</v>
      </c>
      <c r="P811" s="459">
        <v>47.771999999999998</v>
      </c>
      <c r="Q811" s="459"/>
      <c r="R811" s="456">
        <v>0</v>
      </c>
      <c r="S811" s="459">
        <v>47.771999999999998</v>
      </c>
      <c r="T811" s="555"/>
      <c r="U811" s="411">
        <v>1</v>
      </c>
      <c r="V811" s="411">
        <v>1</v>
      </c>
      <c r="W811" s="411">
        <v>1</v>
      </c>
      <c r="X811" s="411"/>
      <c r="Y811" s="411"/>
      <c r="Z811" s="412">
        <f t="shared" si="50"/>
        <v>0</v>
      </c>
      <c r="AA811" s="456">
        <f t="shared" si="54"/>
        <v>0</v>
      </c>
      <c r="AB811" s="456">
        <v>0</v>
      </c>
      <c r="AC811" s="469"/>
      <c r="AD811" s="470"/>
      <c r="AE811" s="5"/>
    </row>
    <row r="812" spans="1:31" x14ac:dyDescent="0.25">
      <c r="A812" s="1" t="s">
        <v>4850</v>
      </c>
      <c r="B812" s="3" t="s">
        <v>1368</v>
      </c>
      <c r="C812" s="3" t="s">
        <v>1247</v>
      </c>
      <c r="D812" s="407" t="s">
        <v>3232</v>
      </c>
      <c r="E812" s="407" t="s">
        <v>4804</v>
      </c>
      <c r="F812" s="415"/>
      <c r="G812" s="415"/>
      <c r="H812" s="415"/>
      <c r="I812" s="415"/>
      <c r="J812" s="3" t="s">
        <v>4805</v>
      </c>
      <c r="K812" s="387">
        <v>2</v>
      </c>
      <c r="L812" s="387">
        <v>0</v>
      </c>
      <c r="M812" s="387">
        <f t="shared" si="51"/>
        <v>2</v>
      </c>
      <c r="N812" s="442">
        <f t="shared" si="53"/>
        <v>0</v>
      </c>
      <c r="O812" s="387" t="s">
        <v>1358</v>
      </c>
      <c r="P812" s="459">
        <v>47.771999999999998</v>
      </c>
      <c r="Q812" s="459"/>
      <c r="R812" s="456">
        <v>0</v>
      </c>
      <c r="S812" s="459">
        <v>47.771999999999998</v>
      </c>
      <c r="T812" s="555"/>
      <c r="U812" s="411">
        <v>1</v>
      </c>
      <c r="V812" s="411">
        <v>1</v>
      </c>
      <c r="W812" s="411">
        <v>1</v>
      </c>
      <c r="X812" s="411"/>
      <c r="Y812" s="411"/>
      <c r="Z812" s="412">
        <f t="shared" si="50"/>
        <v>0</v>
      </c>
      <c r="AA812" s="456">
        <f t="shared" si="54"/>
        <v>0</v>
      </c>
      <c r="AB812" s="456">
        <v>0</v>
      </c>
      <c r="AC812" s="469"/>
      <c r="AD812" s="470"/>
      <c r="AE812" s="5"/>
    </row>
    <row r="813" spans="1:31" x14ac:dyDescent="0.25">
      <c r="A813" s="1" t="s">
        <v>4851</v>
      </c>
      <c r="B813" s="3" t="s">
        <v>1368</v>
      </c>
      <c r="C813" s="3" t="s">
        <v>1247</v>
      </c>
      <c r="D813" s="407" t="s">
        <v>3232</v>
      </c>
      <c r="E813" s="407" t="s">
        <v>4806</v>
      </c>
      <c r="F813" s="415"/>
      <c r="G813" s="415"/>
      <c r="H813" s="415"/>
      <c r="I813" s="415"/>
      <c r="J813" s="3" t="s">
        <v>4776</v>
      </c>
      <c r="K813" s="387">
        <v>1</v>
      </c>
      <c r="L813" s="387">
        <v>0</v>
      </c>
      <c r="M813" s="387">
        <f t="shared" si="51"/>
        <v>1</v>
      </c>
      <c r="N813" s="442">
        <f t="shared" si="53"/>
        <v>0</v>
      </c>
      <c r="O813" s="387" t="s">
        <v>1358</v>
      </c>
      <c r="P813" s="459">
        <v>23.885999999999999</v>
      </c>
      <c r="Q813" s="459"/>
      <c r="R813" s="456">
        <v>0</v>
      </c>
      <c r="S813" s="459">
        <v>23.885999999999999</v>
      </c>
      <c r="T813" s="555"/>
      <c r="U813" s="411">
        <v>1</v>
      </c>
      <c r="V813" s="411">
        <v>1</v>
      </c>
      <c r="W813" s="411">
        <v>1</v>
      </c>
      <c r="X813" s="411"/>
      <c r="Y813" s="411"/>
      <c r="Z813" s="412">
        <f t="shared" si="50"/>
        <v>0</v>
      </c>
      <c r="AA813" s="456">
        <f t="shared" si="54"/>
        <v>0</v>
      </c>
      <c r="AB813" s="456">
        <v>0</v>
      </c>
      <c r="AC813" s="469"/>
      <c r="AD813" s="470"/>
      <c r="AE813" s="5"/>
    </row>
    <row r="814" spans="1:31" x14ac:dyDescent="0.25">
      <c r="A814" s="1" t="s">
        <v>4852</v>
      </c>
      <c r="B814" s="3" t="s">
        <v>1368</v>
      </c>
      <c r="C814" s="3" t="s">
        <v>1247</v>
      </c>
      <c r="D814" s="407" t="s">
        <v>3232</v>
      </c>
      <c r="E814" s="407" t="s">
        <v>4807</v>
      </c>
      <c r="F814" s="415"/>
      <c r="G814" s="415"/>
      <c r="H814" s="415"/>
      <c r="I814" s="415"/>
      <c r="J814" s="3" t="s">
        <v>4776</v>
      </c>
      <c r="K814" s="387">
        <v>1</v>
      </c>
      <c r="L814" s="387">
        <v>0</v>
      </c>
      <c r="M814" s="387">
        <f t="shared" si="51"/>
        <v>1</v>
      </c>
      <c r="N814" s="442">
        <f t="shared" si="53"/>
        <v>0</v>
      </c>
      <c r="O814" s="387" t="s">
        <v>1358</v>
      </c>
      <c r="P814" s="459">
        <v>95.543999999999997</v>
      </c>
      <c r="Q814" s="459"/>
      <c r="R814" s="456">
        <v>0</v>
      </c>
      <c r="S814" s="459">
        <v>95.543999999999997</v>
      </c>
      <c r="T814" s="555"/>
      <c r="U814" s="411">
        <v>1</v>
      </c>
      <c r="V814" s="411">
        <v>1</v>
      </c>
      <c r="W814" s="411">
        <v>1</v>
      </c>
      <c r="X814" s="411"/>
      <c r="Y814" s="411"/>
      <c r="Z814" s="412">
        <f t="shared" si="50"/>
        <v>0</v>
      </c>
      <c r="AA814" s="456">
        <f t="shared" si="54"/>
        <v>0</v>
      </c>
      <c r="AB814" s="456">
        <v>0</v>
      </c>
      <c r="AC814" s="469"/>
      <c r="AD814" s="470"/>
      <c r="AE814" s="5"/>
    </row>
    <row r="815" spans="1:31" x14ac:dyDescent="0.25">
      <c r="A815" s="1" t="s">
        <v>4853</v>
      </c>
      <c r="B815" s="3" t="s">
        <v>1368</v>
      </c>
      <c r="C815" s="3" t="s">
        <v>1247</v>
      </c>
      <c r="D815" s="407" t="s">
        <v>3232</v>
      </c>
      <c r="E815" s="407" t="s">
        <v>4808</v>
      </c>
      <c r="F815" s="415"/>
      <c r="G815" s="415"/>
      <c r="H815" s="415"/>
      <c r="I815" s="415"/>
      <c r="J815" s="3" t="s">
        <v>4776</v>
      </c>
      <c r="K815" s="387">
        <v>1</v>
      </c>
      <c r="L815" s="387">
        <v>0</v>
      </c>
      <c r="M815" s="387">
        <f t="shared" si="51"/>
        <v>1</v>
      </c>
      <c r="N815" s="442">
        <f t="shared" si="53"/>
        <v>0</v>
      </c>
      <c r="O815" s="387" t="s">
        <v>1358</v>
      </c>
      <c r="P815" s="459">
        <v>15.923999999999999</v>
      </c>
      <c r="Q815" s="459"/>
      <c r="R815" s="456">
        <v>0</v>
      </c>
      <c r="S815" s="459">
        <v>15.923999999999999</v>
      </c>
      <c r="T815" s="555"/>
      <c r="U815" s="411">
        <v>1</v>
      </c>
      <c r="V815" s="411">
        <v>1</v>
      </c>
      <c r="W815" s="411">
        <v>1</v>
      </c>
      <c r="X815" s="411"/>
      <c r="Y815" s="411"/>
      <c r="Z815" s="412">
        <f t="shared" si="50"/>
        <v>0</v>
      </c>
      <c r="AA815" s="456">
        <f t="shared" si="54"/>
        <v>0</v>
      </c>
      <c r="AB815" s="456">
        <v>0</v>
      </c>
      <c r="AC815" s="469"/>
      <c r="AD815" s="470"/>
      <c r="AE815" s="5"/>
    </row>
    <row r="816" spans="1:31" x14ac:dyDescent="0.25">
      <c r="A816" s="1" t="s">
        <v>4854</v>
      </c>
      <c r="B816" s="3" t="s">
        <v>1368</v>
      </c>
      <c r="C816" s="3" t="s">
        <v>1247</v>
      </c>
      <c r="D816" s="407" t="s">
        <v>3232</v>
      </c>
      <c r="E816" s="407" t="s">
        <v>4809</v>
      </c>
      <c r="F816" s="415"/>
      <c r="G816" s="415"/>
      <c r="H816" s="415"/>
      <c r="I816" s="415"/>
      <c r="J816" s="3" t="s">
        <v>4776</v>
      </c>
      <c r="K816" s="387">
        <v>1</v>
      </c>
      <c r="L816" s="387">
        <v>0</v>
      </c>
      <c r="M816" s="387">
        <f t="shared" si="51"/>
        <v>1</v>
      </c>
      <c r="N816" s="442">
        <f t="shared" si="53"/>
        <v>0</v>
      </c>
      <c r="O816" s="387" t="s">
        <v>1358</v>
      </c>
      <c r="P816" s="459">
        <v>15.923999999999999</v>
      </c>
      <c r="Q816" s="459"/>
      <c r="R816" s="456">
        <v>0</v>
      </c>
      <c r="S816" s="459">
        <v>15.923999999999999</v>
      </c>
      <c r="T816" s="555"/>
      <c r="U816" s="411">
        <v>1</v>
      </c>
      <c r="V816" s="411">
        <v>1</v>
      </c>
      <c r="W816" s="411">
        <v>1</v>
      </c>
      <c r="X816" s="411"/>
      <c r="Y816" s="411"/>
      <c r="Z816" s="412">
        <f t="shared" si="50"/>
        <v>0</v>
      </c>
      <c r="AA816" s="456">
        <f t="shared" si="54"/>
        <v>0</v>
      </c>
      <c r="AB816" s="456">
        <v>0</v>
      </c>
      <c r="AC816" s="469"/>
      <c r="AD816" s="470"/>
      <c r="AE816" s="5"/>
    </row>
    <row r="817" spans="1:31" x14ac:dyDescent="0.25">
      <c r="A817" s="1" t="s">
        <v>4855</v>
      </c>
      <c r="B817" s="3" t="s">
        <v>1368</v>
      </c>
      <c r="C817" s="3" t="s">
        <v>1247</v>
      </c>
      <c r="D817" s="407" t="s">
        <v>3232</v>
      </c>
      <c r="E817" s="407" t="s">
        <v>4810</v>
      </c>
      <c r="F817" s="415"/>
      <c r="G817" s="415"/>
      <c r="H817" s="415"/>
      <c r="I817" s="415"/>
      <c r="J817" s="3" t="s">
        <v>4776</v>
      </c>
      <c r="K817" s="387">
        <v>1</v>
      </c>
      <c r="L817" s="387">
        <v>0</v>
      </c>
      <c r="M817" s="387">
        <f t="shared" si="51"/>
        <v>1</v>
      </c>
      <c r="N817" s="442">
        <f t="shared" si="53"/>
        <v>0</v>
      </c>
      <c r="O817" s="387" t="s">
        <v>1358</v>
      </c>
      <c r="P817" s="459">
        <v>47.771999999999998</v>
      </c>
      <c r="Q817" s="459"/>
      <c r="R817" s="456">
        <v>0</v>
      </c>
      <c r="S817" s="459">
        <v>47.771999999999998</v>
      </c>
      <c r="T817" s="555"/>
      <c r="U817" s="411">
        <v>1</v>
      </c>
      <c r="V817" s="411">
        <v>1</v>
      </c>
      <c r="W817" s="411">
        <v>1</v>
      </c>
      <c r="X817" s="411"/>
      <c r="Y817" s="411"/>
      <c r="Z817" s="412">
        <f t="shared" si="50"/>
        <v>0</v>
      </c>
      <c r="AA817" s="456">
        <f t="shared" si="54"/>
        <v>0</v>
      </c>
      <c r="AB817" s="456">
        <v>0</v>
      </c>
      <c r="AC817" s="469"/>
      <c r="AD817" s="470"/>
      <c r="AE817" s="5"/>
    </row>
    <row r="818" spans="1:31" x14ac:dyDescent="0.25">
      <c r="A818" s="1"/>
      <c r="B818" s="3" t="s">
        <v>1368</v>
      </c>
      <c r="C818" s="3" t="s">
        <v>1247</v>
      </c>
      <c r="D818" s="407" t="s">
        <v>3232</v>
      </c>
      <c r="E818" s="407" t="s">
        <v>4806</v>
      </c>
      <c r="F818" s="415"/>
      <c r="G818" s="415"/>
      <c r="H818" s="415"/>
      <c r="I818" s="415"/>
      <c r="J818" s="3" t="s">
        <v>5251</v>
      </c>
      <c r="K818" s="387">
        <v>1</v>
      </c>
      <c r="L818" s="387">
        <v>0</v>
      </c>
      <c r="M818" s="387">
        <f t="shared" si="51"/>
        <v>1</v>
      </c>
      <c r="N818" s="442">
        <f t="shared" si="53"/>
        <v>0</v>
      </c>
      <c r="O818" s="387" t="s">
        <v>1358</v>
      </c>
      <c r="P818" s="459">
        <v>23.885999999999999</v>
      </c>
      <c r="Q818" s="459"/>
      <c r="R818" s="456"/>
      <c r="S818" s="459">
        <v>23.885999999999999</v>
      </c>
      <c r="T818" s="555"/>
      <c r="U818" s="411">
        <v>1</v>
      </c>
      <c r="V818" s="411">
        <v>1</v>
      </c>
      <c r="W818" s="411">
        <v>1</v>
      </c>
      <c r="X818" s="411"/>
      <c r="Y818" s="411"/>
      <c r="Z818" s="412">
        <f t="shared" si="50"/>
        <v>0</v>
      </c>
      <c r="AA818" s="456">
        <f t="shared" si="54"/>
        <v>0</v>
      </c>
      <c r="AB818" s="456"/>
      <c r="AC818" s="469"/>
      <c r="AD818" s="470"/>
      <c r="AE818" s="5"/>
    </row>
    <row r="819" spans="1:31" x14ac:dyDescent="0.25">
      <c r="A819" s="1"/>
      <c r="B819" s="3" t="s">
        <v>1368</v>
      </c>
      <c r="C819" s="3" t="s">
        <v>1247</v>
      </c>
      <c r="D819" s="407" t="s">
        <v>3232</v>
      </c>
      <c r="E819" s="407" t="s">
        <v>4804</v>
      </c>
      <c r="F819" s="415"/>
      <c r="G819" s="415"/>
      <c r="H819" s="415"/>
      <c r="I819" s="415"/>
      <c r="J819" s="3" t="s">
        <v>5251</v>
      </c>
      <c r="K819" s="387">
        <v>1</v>
      </c>
      <c r="L819" s="387">
        <v>0</v>
      </c>
      <c r="M819" s="387">
        <f t="shared" si="51"/>
        <v>1</v>
      </c>
      <c r="N819" s="442">
        <f t="shared" si="53"/>
        <v>0</v>
      </c>
      <c r="O819" s="387" t="s">
        <v>1358</v>
      </c>
      <c r="P819" s="459">
        <v>23.885999999999999</v>
      </c>
      <c r="Q819" s="459"/>
      <c r="R819" s="456"/>
      <c r="S819" s="459">
        <v>23.885999999999999</v>
      </c>
      <c r="T819" s="555"/>
      <c r="U819" s="411">
        <v>1</v>
      </c>
      <c r="V819" s="411">
        <v>1</v>
      </c>
      <c r="W819" s="411">
        <v>1</v>
      </c>
      <c r="X819" s="411"/>
      <c r="Y819" s="411"/>
      <c r="Z819" s="412">
        <f t="shared" si="50"/>
        <v>0</v>
      </c>
      <c r="AA819" s="456">
        <f t="shared" si="54"/>
        <v>0</v>
      </c>
      <c r="AB819" s="456"/>
      <c r="AC819" s="469"/>
      <c r="AD819" s="470"/>
      <c r="AE819" s="5"/>
    </row>
    <row r="820" spans="1:31" x14ac:dyDescent="0.25">
      <c r="A820" s="1"/>
      <c r="B820" s="3" t="s">
        <v>1368</v>
      </c>
      <c r="C820" s="3" t="s">
        <v>1247</v>
      </c>
      <c r="D820" s="407" t="s">
        <v>3232</v>
      </c>
      <c r="E820" s="407" t="s">
        <v>4775</v>
      </c>
      <c r="F820" s="415"/>
      <c r="G820" s="415"/>
      <c r="H820" s="415"/>
      <c r="I820" s="415"/>
      <c r="J820" s="3" t="s">
        <v>5251</v>
      </c>
      <c r="K820" s="387">
        <v>1</v>
      </c>
      <c r="L820" s="387">
        <v>0</v>
      </c>
      <c r="M820" s="387">
        <f t="shared" si="51"/>
        <v>1</v>
      </c>
      <c r="N820" s="442">
        <f t="shared" si="53"/>
        <v>0</v>
      </c>
      <c r="O820" s="387" t="s">
        <v>1358</v>
      </c>
      <c r="P820" s="459">
        <v>31.847999999999999</v>
      </c>
      <c r="Q820" s="459"/>
      <c r="R820" s="456"/>
      <c r="S820" s="459">
        <v>31.847999999999999</v>
      </c>
      <c r="T820" s="555"/>
      <c r="U820" s="411">
        <v>1</v>
      </c>
      <c r="V820" s="411">
        <v>1</v>
      </c>
      <c r="W820" s="411">
        <v>1</v>
      </c>
      <c r="X820" s="411"/>
      <c r="Y820" s="411"/>
      <c r="Z820" s="412">
        <f t="shared" si="50"/>
        <v>0</v>
      </c>
      <c r="AA820" s="456">
        <f t="shared" si="54"/>
        <v>0</v>
      </c>
      <c r="AB820" s="456"/>
      <c r="AC820" s="469"/>
      <c r="AD820" s="470"/>
      <c r="AE820" s="5"/>
    </row>
    <row r="821" spans="1:31" x14ac:dyDescent="0.25">
      <c r="A821" s="1"/>
      <c r="B821" s="3" t="s">
        <v>1368</v>
      </c>
      <c r="C821" s="3" t="s">
        <v>1247</v>
      </c>
      <c r="D821" s="407" t="s">
        <v>3232</v>
      </c>
      <c r="E821" s="407" t="s">
        <v>4810</v>
      </c>
      <c r="F821" s="415"/>
      <c r="G821" s="415"/>
      <c r="H821" s="415"/>
      <c r="I821" s="415"/>
      <c r="J821" s="3" t="s">
        <v>5251</v>
      </c>
      <c r="K821" s="387">
        <v>1</v>
      </c>
      <c r="L821" s="387">
        <v>0</v>
      </c>
      <c r="M821" s="387">
        <f t="shared" si="51"/>
        <v>1</v>
      </c>
      <c r="N821" s="442">
        <f t="shared" si="53"/>
        <v>0</v>
      </c>
      <c r="O821" s="387" t="s">
        <v>1358</v>
      </c>
      <c r="P821" s="459">
        <v>47.771999999999998</v>
      </c>
      <c r="Q821" s="459"/>
      <c r="R821" s="456"/>
      <c r="S821" s="459">
        <v>47.771999999999998</v>
      </c>
      <c r="T821" s="555"/>
      <c r="U821" s="411">
        <v>1</v>
      </c>
      <c r="V821" s="411">
        <v>1</v>
      </c>
      <c r="W821" s="411">
        <v>1</v>
      </c>
      <c r="X821" s="411"/>
      <c r="Y821" s="411"/>
      <c r="Z821" s="412">
        <f t="shared" si="50"/>
        <v>0</v>
      </c>
      <c r="AA821" s="456">
        <f t="shared" si="54"/>
        <v>0</v>
      </c>
      <c r="AB821" s="456"/>
      <c r="AC821" s="469"/>
      <c r="AD821" s="470"/>
      <c r="AE821" s="5"/>
    </row>
    <row r="822" spans="1:31" x14ac:dyDescent="0.25">
      <c r="A822" s="1"/>
      <c r="B822" s="3" t="s">
        <v>1368</v>
      </c>
      <c r="C822" s="3" t="s">
        <v>1247</v>
      </c>
      <c r="D822" s="407" t="s">
        <v>3232</v>
      </c>
      <c r="E822" s="407" t="s">
        <v>4780</v>
      </c>
      <c r="F822" s="415"/>
      <c r="G822" s="415"/>
      <c r="H822" s="415"/>
      <c r="I822" s="415"/>
      <c r="J822" s="3" t="s">
        <v>5251</v>
      </c>
      <c r="K822" s="387">
        <v>1</v>
      </c>
      <c r="L822" s="387">
        <v>0</v>
      </c>
      <c r="M822" s="387">
        <f t="shared" si="51"/>
        <v>1</v>
      </c>
      <c r="N822" s="442">
        <f t="shared" si="53"/>
        <v>0</v>
      </c>
      <c r="O822" s="387" t="s">
        <v>1358</v>
      </c>
      <c r="P822" s="459">
        <v>15.923999999999999</v>
      </c>
      <c r="Q822" s="459"/>
      <c r="R822" s="456"/>
      <c r="S822" s="459">
        <v>15.923999999999999</v>
      </c>
      <c r="T822" s="555"/>
      <c r="U822" s="411">
        <v>1</v>
      </c>
      <c r="V822" s="411">
        <v>1</v>
      </c>
      <c r="W822" s="411">
        <v>1</v>
      </c>
      <c r="X822" s="411"/>
      <c r="Y822" s="411"/>
      <c r="Z822" s="412">
        <f t="shared" si="50"/>
        <v>0</v>
      </c>
      <c r="AA822" s="456">
        <f t="shared" si="54"/>
        <v>0</v>
      </c>
      <c r="AB822" s="456"/>
      <c r="AC822" s="469"/>
      <c r="AD822" s="470"/>
      <c r="AE822" s="5"/>
    </row>
    <row r="823" spans="1:31" x14ac:dyDescent="0.25">
      <c r="A823" s="1"/>
      <c r="B823" s="3" t="s">
        <v>1368</v>
      </c>
      <c r="C823" s="3" t="s">
        <v>1247</v>
      </c>
      <c r="D823" s="407" t="s">
        <v>3232</v>
      </c>
      <c r="E823" s="407" t="s">
        <v>4809</v>
      </c>
      <c r="F823" s="415"/>
      <c r="G823" s="415"/>
      <c r="H823" s="415"/>
      <c r="I823" s="415"/>
      <c r="J823" s="3" t="s">
        <v>5251</v>
      </c>
      <c r="K823" s="387">
        <v>1</v>
      </c>
      <c r="L823" s="387">
        <v>0</v>
      </c>
      <c r="M823" s="387">
        <f t="shared" si="51"/>
        <v>1</v>
      </c>
      <c r="N823" s="442">
        <f t="shared" si="53"/>
        <v>0</v>
      </c>
      <c r="O823" s="387" t="s">
        <v>1358</v>
      </c>
      <c r="P823" s="459">
        <v>15.923999999999999</v>
      </c>
      <c r="Q823" s="459"/>
      <c r="R823" s="456"/>
      <c r="S823" s="459">
        <v>15.923999999999999</v>
      </c>
      <c r="T823" s="555"/>
      <c r="U823" s="411">
        <v>1</v>
      </c>
      <c r="V823" s="411">
        <v>1</v>
      </c>
      <c r="W823" s="411">
        <v>1</v>
      </c>
      <c r="X823" s="411"/>
      <c r="Y823" s="411"/>
      <c r="Z823" s="412">
        <f t="shared" si="50"/>
        <v>0</v>
      </c>
      <c r="AA823" s="456">
        <f t="shared" si="54"/>
        <v>0</v>
      </c>
      <c r="AB823" s="456"/>
      <c r="AC823" s="469"/>
      <c r="AD823" s="470"/>
      <c r="AE823" s="5"/>
    </row>
    <row r="824" spans="1:31" x14ac:dyDescent="0.25">
      <c r="A824" s="1"/>
      <c r="B824" s="3" t="s">
        <v>1368</v>
      </c>
      <c r="C824" s="3" t="s">
        <v>1247</v>
      </c>
      <c r="D824" s="407" t="s">
        <v>3232</v>
      </c>
      <c r="E824" s="407" t="s">
        <v>4808</v>
      </c>
      <c r="F824" s="415"/>
      <c r="G824" s="415"/>
      <c r="H824" s="415"/>
      <c r="I824" s="415"/>
      <c r="J824" s="3" t="s">
        <v>5251</v>
      </c>
      <c r="K824" s="387">
        <v>1</v>
      </c>
      <c r="L824" s="387">
        <v>0</v>
      </c>
      <c r="M824" s="387">
        <f t="shared" si="51"/>
        <v>1</v>
      </c>
      <c r="N824" s="442">
        <f t="shared" si="53"/>
        <v>0</v>
      </c>
      <c r="O824" s="387" t="s">
        <v>1358</v>
      </c>
      <c r="P824" s="459">
        <v>15.923999999999999</v>
      </c>
      <c r="Q824" s="459"/>
      <c r="R824" s="456"/>
      <c r="S824" s="459">
        <v>15.923999999999999</v>
      </c>
      <c r="T824" s="555"/>
      <c r="U824" s="411">
        <v>1</v>
      </c>
      <c r="V824" s="411">
        <v>1</v>
      </c>
      <c r="W824" s="411">
        <v>1</v>
      </c>
      <c r="X824" s="411"/>
      <c r="Y824" s="411"/>
      <c r="Z824" s="412">
        <f t="shared" si="50"/>
        <v>0</v>
      </c>
      <c r="AA824" s="456">
        <f t="shared" si="54"/>
        <v>0</v>
      </c>
      <c r="AB824" s="456"/>
      <c r="AC824" s="469"/>
      <c r="AD824" s="470"/>
      <c r="AE824" s="5"/>
    </row>
    <row r="825" spans="1:31" x14ac:dyDescent="0.25">
      <c r="A825" s="571" t="s">
        <v>5232</v>
      </c>
      <c r="B825" s="3" t="s">
        <v>1368</v>
      </c>
      <c r="C825" s="3" t="s">
        <v>1247</v>
      </c>
      <c r="D825" s="407" t="s">
        <v>3232</v>
      </c>
      <c r="E825" s="407" t="s">
        <v>4807</v>
      </c>
      <c r="F825" s="415"/>
      <c r="G825" s="415"/>
      <c r="H825" s="415"/>
      <c r="I825" s="415"/>
      <c r="J825" s="3" t="s">
        <v>5251</v>
      </c>
      <c r="K825" s="387">
        <v>1</v>
      </c>
      <c r="L825" s="387">
        <v>0</v>
      </c>
      <c r="M825" s="387">
        <f t="shared" si="51"/>
        <v>1</v>
      </c>
      <c r="N825" s="442">
        <f t="shared" si="53"/>
        <v>0</v>
      </c>
      <c r="O825" s="387" t="s">
        <v>1358</v>
      </c>
      <c r="P825" s="459">
        <v>95.54</v>
      </c>
      <c r="Q825" s="459"/>
      <c r="R825" s="456">
        <v>0</v>
      </c>
      <c r="S825" s="459">
        <v>95.54</v>
      </c>
      <c r="T825" s="555"/>
      <c r="U825" s="411">
        <v>1</v>
      </c>
      <c r="V825" s="411">
        <v>1</v>
      </c>
      <c r="W825" s="411">
        <v>1</v>
      </c>
      <c r="X825" s="411"/>
      <c r="Y825" s="411"/>
      <c r="Z825" s="412">
        <f t="shared" si="50"/>
        <v>0</v>
      </c>
      <c r="AA825" s="456">
        <f t="shared" si="54"/>
        <v>0</v>
      </c>
      <c r="AB825" s="456"/>
      <c r="AC825" s="469"/>
      <c r="AD825" s="470"/>
      <c r="AE825" s="5"/>
    </row>
    <row r="826" spans="1:31" x14ac:dyDescent="0.25">
      <c r="A826" s="571" t="s">
        <v>5233</v>
      </c>
      <c r="B826" s="3" t="s">
        <v>1368</v>
      </c>
      <c r="C826" s="3" t="s">
        <v>1247</v>
      </c>
      <c r="D826" s="407" t="s">
        <v>3232</v>
      </c>
      <c r="E826" s="407" t="s">
        <v>4777</v>
      </c>
      <c r="F826" s="415"/>
      <c r="G826" s="415"/>
      <c r="H826" s="415"/>
      <c r="I826" s="415"/>
      <c r="J826" s="3" t="s">
        <v>5251</v>
      </c>
      <c r="K826" s="387">
        <v>1</v>
      </c>
      <c r="L826" s="387">
        <v>0</v>
      </c>
      <c r="M826" s="387">
        <f t="shared" si="51"/>
        <v>1</v>
      </c>
      <c r="N826" s="442">
        <f t="shared" si="53"/>
        <v>0</v>
      </c>
      <c r="O826" s="387" t="s">
        <v>1358</v>
      </c>
      <c r="P826" s="459">
        <v>95.54</v>
      </c>
      <c r="Q826" s="459"/>
      <c r="R826" s="456">
        <v>0</v>
      </c>
      <c r="S826" s="459">
        <v>95.54</v>
      </c>
      <c r="T826" s="555"/>
      <c r="U826" s="411">
        <v>1</v>
      </c>
      <c r="V826" s="411">
        <v>1</v>
      </c>
      <c r="W826" s="411">
        <v>1</v>
      </c>
      <c r="X826" s="411"/>
      <c r="Y826" s="411"/>
      <c r="Z826" s="412">
        <f t="shared" si="50"/>
        <v>0</v>
      </c>
      <c r="AA826" s="456">
        <f t="shared" si="54"/>
        <v>0</v>
      </c>
      <c r="AB826" s="456"/>
      <c r="AC826" s="469"/>
      <c r="AD826" s="470"/>
      <c r="AE826" s="5"/>
    </row>
    <row r="827" spans="1:31" x14ac:dyDescent="0.25">
      <c r="A827" s="571" t="s">
        <v>5234</v>
      </c>
      <c r="B827" s="3" t="s">
        <v>1368</v>
      </c>
      <c r="C827" s="3" t="s">
        <v>1247</v>
      </c>
      <c r="D827" s="407" t="s">
        <v>3232</v>
      </c>
      <c r="E827" s="407" t="s">
        <v>5155</v>
      </c>
      <c r="F827" s="415"/>
      <c r="G827" s="415"/>
      <c r="H827" s="415"/>
      <c r="I827" s="415"/>
      <c r="J827" s="3" t="s">
        <v>5251</v>
      </c>
      <c r="K827" s="387">
        <v>1</v>
      </c>
      <c r="L827" s="387">
        <v>0</v>
      </c>
      <c r="M827" s="387">
        <f t="shared" si="51"/>
        <v>1</v>
      </c>
      <c r="N827" s="442">
        <f t="shared" si="53"/>
        <v>0</v>
      </c>
      <c r="O827" s="387" t="s">
        <v>1358</v>
      </c>
      <c r="P827" s="459">
        <v>0</v>
      </c>
      <c r="Q827" s="459"/>
      <c r="R827" s="456">
        <v>0</v>
      </c>
      <c r="S827" s="459">
        <v>31.847999999999999</v>
      </c>
      <c r="T827" s="555"/>
      <c r="U827" s="411">
        <v>1</v>
      </c>
      <c r="V827" s="411">
        <v>1</v>
      </c>
      <c r="W827" s="411">
        <v>1</v>
      </c>
      <c r="X827" s="411"/>
      <c r="Y827" s="411"/>
      <c r="Z827" s="412">
        <f t="shared" si="50"/>
        <v>0</v>
      </c>
      <c r="AA827" s="456">
        <f t="shared" si="54"/>
        <v>0</v>
      </c>
      <c r="AB827" s="456"/>
      <c r="AC827" s="469"/>
      <c r="AD827" s="470"/>
      <c r="AE827" s="5"/>
    </row>
    <row r="828" spans="1:31" x14ac:dyDescent="0.25">
      <c r="A828" s="1" t="s">
        <v>4856</v>
      </c>
      <c r="B828" s="3" t="s">
        <v>1368</v>
      </c>
      <c r="C828" s="3" t="s">
        <v>1247</v>
      </c>
      <c r="D828" s="407" t="s">
        <v>3250</v>
      </c>
      <c r="E828" s="407" t="s">
        <v>4811</v>
      </c>
      <c r="F828" s="415"/>
      <c r="G828" s="415"/>
      <c r="H828" s="415"/>
      <c r="I828" s="415"/>
      <c r="J828" s="3" t="s">
        <v>4812</v>
      </c>
      <c r="K828" s="387">
        <v>1</v>
      </c>
      <c r="L828" s="387">
        <v>0</v>
      </c>
      <c r="M828" s="387">
        <f t="shared" si="51"/>
        <v>1</v>
      </c>
      <c r="N828" s="442">
        <f t="shared" si="53"/>
        <v>0</v>
      </c>
      <c r="O828" s="387" t="s">
        <v>1358</v>
      </c>
      <c r="P828" s="459">
        <v>31.847999999999999</v>
      </c>
      <c r="Q828" s="459"/>
      <c r="R828" s="456">
        <v>0</v>
      </c>
      <c r="S828" s="459">
        <v>31.847999999999999</v>
      </c>
      <c r="T828" s="555"/>
      <c r="U828" s="411">
        <v>1</v>
      </c>
      <c r="V828" s="411">
        <v>1</v>
      </c>
      <c r="W828" s="411">
        <v>1</v>
      </c>
      <c r="X828" s="411"/>
      <c r="Y828" s="411"/>
      <c r="Z828" s="412">
        <f t="shared" si="50"/>
        <v>0</v>
      </c>
      <c r="AA828" s="456">
        <f t="shared" si="54"/>
        <v>0</v>
      </c>
      <c r="AB828" s="456">
        <v>0</v>
      </c>
      <c r="AC828" s="469"/>
      <c r="AD828" s="470"/>
      <c r="AE828" s="5"/>
    </row>
    <row r="829" spans="1:31" x14ac:dyDescent="0.25">
      <c r="A829" s="1" t="s">
        <v>4857</v>
      </c>
      <c r="B829" s="3" t="s">
        <v>1368</v>
      </c>
      <c r="C829" s="3" t="s">
        <v>1247</v>
      </c>
      <c r="D829" s="407" t="s">
        <v>3250</v>
      </c>
      <c r="E829" s="407" t="s">
        <v>4813</v>
      </c>
      <c r="F829" s="415"/>
      <c r="G829" s="415"/>
      <c r="H829" s="415"/>
      <c r="I829" s="415"/>
      <c r="J829" s="3" t="s">
        <v>4773</v>
      </c>
      <c r="K829" s="387">
        <v>1</v>
      </c>
      <c r="L829" s="387">
        <v>0</v>
      </c>
      <c r="M829" s="387">
        <f t="shared" si="51"/>
        <v>1</v>
      </c>
      <c r="N829" s="442">
        <f t="shared" si="53"/>
        <v>0</v>
      </c>
      <c r="O829" s="387" t="s">
        <v>1358</v>
      </c>
      <c r="P829" s="459">
        <v>15.923999999999999</v>
      </c>
      <c r="Q829" s="459"/>
      <c r="R829" s="456">
        <v>0</v>
      </c>
      <c r="S829" s="459">
        <v>15.923999999999999</v>
      </c>
      <c r="T829" s="555"/>
      <c r="U829" s="411">
        <v>1</v>
      </c>
      <c r="V829" s="411">
        <v>1</v>
      </c>
      <c r="W829" s="411">
        <v>1</v>
      </c>
      <c r="X829" s="411"/>
      <c r="Y829" s="411"/>
      <c r="Z829" s="412">
        <f t="shared" si="50"/>
        <v>0</v>
      </c>
      <c r="AA829" s="456">
        <f t="shared" si="54"/>
        <v>0</v>
      </c>
      <c r="AB829" s="456">
        <v>0</v>
      </c>
      <c r="AC829" s="469"/>
      <c r="AD829" s="470"/>
      <c r="AE829" s="5"/>
    </row>
    <row r="830" spans="1:31" x14ac:dyDescent="0.25">
      <c r="A830" s="1" t="s">
        <v>4858</v>
      </c>
      <c r="B830" s="3" t="s">
        <v>1368</v>
      </c>
      <c r="C830" s="3" t="s">
        <v>1247</v>
      </c>
      <c r="D830" s="407" t="s">
        <v>3250</v>
      </c>
      <c r="E830" s="407" t="s">
        <v>4814</v>
      </c>
      <c r="F830" s="415"/>
      <c r="G830" s="415"/>
      <c r="H830" s="415"/>
      <c r="I830" s="415"/>
      <c r="J830" s="3" t="s">
        <v>4773</v>
      </c>
      <c r="K830" s="387">
        <v>1</v>
      </c>
      <c r="L830" s="387">
        <v>0</v>
      </c>
      <c r="M830" s="387">
        <f t="shared" si="51"/>
        <v>1</v>
      </c>
      <c r="N830" s="442">
        <f t="shared" si="53"/>
        <v>0</v>
      </c>
      <c r="O830" s="387" t="s">
        <v>1358</v>
      </c>
      <c r="P830" s="459">
        <v>15.923999999999999</v>
      </c>
      <c r="Q830" s="459"/>
      <c r="R830" s="456">
        <v>0</v>
      </c>
      <c r="S830" s="459">
        <v>15.923999999999999</v>
      </c>
      <c r="T830" s="555"/>
      <c r="U830" s="411">
        <v>1</v>
      </c>
      <c r="V830" s="411">
        <v>1</v>
      </c>
      <c r="W830" s="411">
        <v>1</v>
      </c>
      <c r="X830" s="411"/>
      <c r="Y830" s="411"/>
      <c r="Z830" s="412">
        <f t="shared" si="50"/>
        <v>0</v>
      </c>
      <c r="AA830" s="456">
        <f t="shared" si="54"/>
        <v>0</v>
      </c>
      <c r="AB830" s="456">
        <v>0</v>
      </c>
      <c r="AC830" s="469"/>
      <c r="AD830" s="470"/>
      <c r="AE830" s="5"/>
    </row>
    <row r="831" spans="1:31" x14ac:dyDescent="0.25">
      <c r="A831" s="1" t="s">
        <v>4859</v>
      </c>
      <c r="B831" s="3" t="s">
        <v>1368</v>
      </c>
      <c r="C831" s="3" t="s">
        <v>1247</v>
      </c>
      <c r="D831" s="407" t="s">
        <v>3251</v>
      </c>
      <c r="E831" s="407" t="s">
        <v>4815</v>
      </c>
      <c r="F831" s="415"/>
      <c r="G831" s="415"/>
      <c r="H831" s="415"/>
      <c r="I831" s="415"/>
      <c r="J831" s="3" t="s">
        <v>4816</v>
      </c>
      <c r="K831" s="387">
        <v>1</v>
      </c>
      <c r="L831" s="387">
        <v>0</v>
      </c>
      <c r="M831" s="387">
        <f t="shared" si="51"/>
        <v>1</v>
      </c>
      <c r="N831" s="442">
        <f t="shared" si="53"/>
        <v>0</v>
      </c>
      <c r="O831" s="387" t="s">
        <v>1358</v>
      </c>
      <c r="P831" s="459">
        <v>23.885999999999999</v>
      </c>
      <c r="Q831" s="459"/>
      <c r="R831" s="456">
        <v>0</v>
      </c>
      <c r="S831" s="459">
        <v>23.885999999999999</v>
      </c>
      <c r="T831" s="555"/>
      <c r="U831" s="411">
        <v>1</v>
      </c>
      <c r="V831" s="411">
        <v>1</v>
      </c>
      <c r="W831" s="411">
        <v>1</v>
      </c>
      <c r="X831" s="411"/>
      <c r="Y831" s="411"/>
      <c r="Z831" s="412">
        <f t="shared" si="50"/>
        <v>0</v>
      </c>
      <c r="AA831" s="456">
        <f t="shared" si="54"/>
        <v>0</v>
      </c>
      <c r="AB831" s="456">
        <v>0</v>
      </c>
      <c r="AC831" s="469"/>
      <c r="AD831" s="470"/>
      <c r="AE831" s="5"/>
    </row>
    <row r="832" spans="1:31" x14ac:dyDescent="0.25">
      <c r="A832" s="1" t="s">
        <v>4860</v>
      </c>
      <c r="B832" s="3" t="s">
        <v>1368</v>
      </c>
      <c r="C832" s="3" t="s">
        <v>1247</v>
      </c>
      <c r="D832" s="407" t="s">
        <v>3251</v>
      </c>
      <c r="E832" s="407" t="s">
        <v>4817</v>
      </c>
      <c r="F832" s="415"/>
      <c r="G832" s="415"/>
      <c r="H832" s="415"/>
      <c r="I832" s="415"/>
      <c r="J832" s="3" t="s">
        <v>4816</v>
      </c>
      <c r="K832" s="387">
        <v>1</v>
      </c>
      <c r="L832" s="387">
        <v>0</v>
      </c>
      <c r="M832" s="387">
        <f t="shared" si="51"/>
        <v>1</v>
      </c>
      <c r="N832" s="442">
        <f t="shared" si="53"/>
        <v>0</v>
      </c>
      <c r="O832" s="387" t="s">
        <v>1358</v>
      </c>
      <c r="P832" s="459">
        <v>15.923999999999999</v>
      </c>
      <c r="Q832" s="459"/>
      <c r="R832" s="456">
        <v>0</v>
      </c>
      <c r="S832" s="459">
        <v>15.923999999999999</v>
      </c>
      <c r="T832" s="555"/>
      <c r="U832" s="411">
        <v>1</v>
      </c>
      <c r="V832" s="411">
        <v>1</v>
      </c>
      <c r="W832" s="411">
        <v>1</v>
      </c>
      <c r="X832" s="411"/>
      <c r="Y832" s="411"/>
      <c r="Z832" s="412">
        <f t="shared" si="50"/>
        <v>0</v>
      </c>
      <c r="AA832" s="456">
        <f t="shared" si="54"/>
        <v>0</v>
      </c>
      <c r="AB832" s="456">
        <v>0</v>
      </c>
      <c r="AC832" s="469"/>
      <c r="AD832" s="470"/>
      <c r="AE832" s="5"/>
    </row>
    <row r="833" spans="1:31" x14ac:dyDescent="0.25">
      <c r="A833" s="1" t="s">
        <v>4861</v>
      </c>
      <c r="B833" s="3" t="s">
        <v>1368</v>
      </c>
      <c r="C833" s="3" t="s">
        <v>1247</v>
      </c>
      <c r="D833" s="407" t="s">
        <v>3251</v>
      </c>
      <c r="E833" s="407" t="s">
        <v>4818</v>
      </c>
      <c r="F833" s="415"/>
      <c r="G833" s="415"/>
      <c r="H833" s="415"/>
      <c r="I833" s="415"/>
      <c r="J833" s="3" t="s">
        <v>4816</v>
      </c>
      <c r="K833" s="387">
        <v>1</v>
      </c>
      <c r="L833" s="387">
        <v>0</v>
      </c>
      <c r="M833" s="387">
        <f t="shared" si="51"/>
        <v>1</v>
      </c>
      <c r="N833" s="442">
        <f t="shared" si="53"/>
        <v>0</v>
      </c>
      <c r="O833" s="387" t="s">
        <v>1358</v>
      </c>
      <c r="P833" s="459">
        <v>15.923999999999999</v>
      </c>
      <c r="Q833" s="459"/>
      <c r="R833" s="456">
        <v>0</v>
      </c>
      <c r="S833" s="459">
        <v>15.923999999999999</v>
      </c>
      <c r="T833" s="555"/>
      <c r="U833" s="411">
        <v>1</v>
      </c>
      <c r="V833" s="411">
        <v>1</v>
      </c>
      <c r="W833" s="411">
        <v>1</v>
      </c>
      <c r="X833" s="411"/>
      <c r="Y833" s="411"/>
      <c r="Z833" s="412">
        <f t="shared" si="50"/>
        <v>0</v>
      </c>
      <c r="AA833" s="456">
        <f t="shared" si="54"/>
        <v>0</v>
      </c>
      <c r="AB833" s="456">
        <v>0</v>
      </c>
      <c r="AC833" s="469"/>
      <c r="AD833" s="470"/>
      <c r="AE833" s="5"/>
    </row>
    <row r="834" spans="1:31" x14ac:dyDescent="0.25">
      <c r="A834" s="1" t="s">
        <v>4946</v>
      </c>
      <c r="B834" s="3" t="s">
        <v>1368</v>
      </c>
      <c r="C834" s="3" t="s">
        <v>1247</v>
      </c>
      <c r="D834" s="407" t="s">
        <v>3239</v>
      </c>
      <c r="E834" s="407" t="s">
        <v>4873</v>
      </c>
      <c r="F834" s="415"/>
      <c r="G834" s="415"/>
      <c r="H834" s="415"/>
      <c r="I834" s="415"/>
      <c r="J834" s="3" t="s">
        <v>4874</v>
      </c>
      <c r="K834" s="387">
        <v>1</v>
      </c>
      <c r="L834" s="387">
        <v>0</v>
      </c>
      <c r="M834" s="387">
        <f t="shared" si="51"/>
        <v>1</v>
      </c>
      <c r="N834" s="442">
        <f t="shared" si="53"/>
        <v>0</v>
      </c>
      <c r="O834" s="387" t="s">
        <v>1358</v>
      </c>
      <c r="P834" s="459">
        <v>15.923999999999999</v>
      </c>
      <c r="Q834" s="459"/>
      <c r="R834" s="456">
        <v>0</v>
      </c>
      <c r="S834" s="459">
        <v>15.923999999999999</v>
      </c>
      <c r="U834" s="411">
        <v>1</v>
      </c>
      <c r="V834" s="411">
        <v>1</v>
      </c>
      <c r="W834" s="411">
        <v>1</v>
      </c>
      <c r="X834" s="411"/>
      <c r="Y834" s="411"/>
      <c r="Z834" s="412">
        <f t="shared" si="50"/>
        <v>0</v>
      </c>
      <c r="AA834" s="456">
        <f t="shared" si="54"/>
        <v>0</v>
      </c>
      <c r="AB834" s="456">
        <v>0</v>
      </c>
      <c r="AE834" s="5"/>
    </row>
    <row r="835" spans="1:31" x14ac:dyDescent="0.25">
      <c r="A835" s="1" t="s">
        <v>4947</v>
      </c>
      <c r="B835" s="3" t="s">
        <v>1368</v>
      </c>
      <c r="C835" s="3" t="s">
        <v>1247</v>
      </c>
      <c r="D835" s="407" t="s">
        <v>3239</v>
      </c>
      <c r="E835" s="407" t="s">
        <v>4875</v>
      </c>
      <c r="F835" s="415"/>
      <c r="G835" s="415"/>
      <c r="H835" s="415"/>
      <c r="I835" s="415"/>
      <c r="J835" s="3" t="s">
        <v>4874</v>
      </c>
      <c r="K835" s="387">
        <v>1</v>
      </c>
      <c r="L835" s="387">
        <v>0</v>
      </c>
      <c r="M835" s="387">
        <f t="shared" si="51"/>
        <v>1</v>
      </c>
      <c r="N835" s="442">
        <f t="shared" si="53"/>
        <v>0</v>
      </c>
      <c r="O835" s="387" t="s">
        <v>1358</v>
      </c>
      <c r="P835" s="459">
        <v>15.923999999999999</v>
      </c>
      <c r="Q835" s="459"/>
      <c r="R835" s="456">
        <v>0</v>
      </c>
      <c r="S835" s="459">
        <v>15.923999999999999</v>
      </c>
      <c r="U835" s="411">
        <v>1</v>
      </c>
      <c r="V835" s="411">
        <v>1</v>
      </c>
      <c r="W835" s="411">
        <v>1</v>
      </c>
      <c r="X835" s="411"/>
      <c r="Y835" s="411"/>
      <c r="Z835" s="412">
        <f t="shared" si="50"/>
        <v>0</v>
      </c>
      <c r="AA835" s="456">
        <f t="shared" si="54"/>
        <v>0</v>
      </c>
      <c r="AB835" s="456">
        <v>0</v>
      </c>
      <c r="AE835" s="5"/>
    </row>
    <row r="836" spans="1:31" x14ac:dyDescent="0.25">
      <c r="A836" s="1" t="s">
        <v>4948</v>
      </c>
      <c r="B836" s="3" t="s">
        <v>1368</v>
      </c>
      <c r="C836" s="3" t="s">
        <v>1247</v>
      </c>
      <c r="D836" s="407" t="s">
        <v>3239</v>
      </c>
      <c r="E836" s="407" t="s">
        <v>4876</v>
      </c>
      <c r="F836" s="415"/>
      <c r="G836" s="415"/>
      <c r="H836" s="415"/>
      <c r="I836" s="415"/>
      <c r="J836" s="3" t="s">
        <v>4874</v>
      </c>
      <c r="K836" s="387">
        <v>1</v>
      </c>
      <c r="L836" s="387">
        <v>0</v>
      </c>
      <c r="M836" s="387">
        <f t="shared" si="51"/>
        <v>1</v>
      </c>
      <c r="N836" s="442">
        <f t="shared" si="53"/>
        <v>0</v>
      </c>
      <c r="O836" s="387" t="s">
        <v>1358</v>
      </c>
      <c r="P836" s="459">
        <v>15.923999999999999</v>
      </c>
      <c r="Q836" s="459"/>
      <c r="R836" s="456">
        <v>0</v>
      </c>
      <c r="S836" s="459">
        <v>15.923999999999999</v>
      </c>
      <c r="T836" s="555"/>
      <c r="U836" s="411">
        <v>1</v>
      </c>
      <c r="V836" s="411">
        <v>1</v>
      </c>
      <c r="W836" s="411">
        <v>1</v>
      </c>
      <c r="X836" s="411"/>
      <c r="Y836" s="411"/>
      <c r="Z836" s="412">
        <f t="shared" si="50"/>
        <v>0</v>
      </c>
      <c r="AA836" s="456">
        <f t="shared" si="54"/>
        <v>0</v>
      </c>
      <c r="AB836" s="456">
        <v>0</v>
      </c>
      <c r="AC836" s="469"/>
      <c r="AD836" s="470"/>
      <c r="AE836" s="5"/>
    </row>
    <row r="837" spans="1:31" x14ac:dyDescent="0.25">
      <c r="A837" s="1" t="s">
        <v>4949</v>
      </c>
      <c r="B837" s="3" t="s">
        <v>1368</v>
      </c>
      <c r="C837" s="3" t="s">
        <v>1247</v>
      </c>
      <c r="D837" s="407" t="s">
        <v>3239</v>
      </c>
      <c r="E837" s="407" t="s">
        <v>4877</v>
      </c>
      <c r="F837" s="415"/>
      <c r="G837" s="415"/>
      <c r="H837" s="415"/>
      <c r="I837" s="415"/>
      <c r="J837" s="3" t="s">
        <v>4874</v>
      </c>
      <c r="K837" s="387">
        <v>1</v>
      </c>
      <c r="L837" s="387">
        <v>0</v>
      </c>
      <c r="M837" s="387">
        <f t="shared" si="51"/>
        <v>1</v>
      </c>
      <c r="N837" s="442">
        <f t="shared" si="53"/>
        <v>0</v>
      </c>
      <c r="O837" s="387" t="s">
        <v>1358</v>
      </c>
      <c r="P837" s="459">
        <v>15.923999999999999</v>
      </c>
      <c r="Q837" s="459"/>
      <c r="R837" s="456">
        <v>0</v>
      </c>
      <c r="S837" s="459">
        <v>15.923999999999999</v>
      </c>
      <c r="T837" s="555"/>
      <c r="U837" s="411">
        <v>1</v>
      </c>
      <c r="V837" s="411">
        <v>1</v>
      </c>
      <c r="W837" s="411">
        <v>1</v>
      </c>
      <c r="X837" s="411"/>
      <c r="Y837" s="411"/>
      <c r="Z837" s="412">
        <f t="shared" si="50"/>
        <v>0</v>
      </c>
      <c r="AA837" s="456">
        <f t="shared" si="54"/>
        <v>0</v>
      </c>
      <c r="AB837" s="456">
        <v>0</v>
      </c>
      <c r="AC837" s="469"/>
      <c r="AD837" s="470"/>
      <c r="AE837" s="5"/>
    </row>
    <row r="838" spans="1:31" x14ac:dyDescent="0.25">
      <c r="A838" s="1" t="s">
        <v>4950</v>
      </c>
      <c r="B838" s="3" t="s">
        <v>1368</v>
      </c>
      <c r="C838" s="3" t="s">
        <v>1247</v>
      </c>
      <c r="D838" s="407" t="s">
        <v>3239</v>
      </c>
      <c r="E838" s="407" t="s">
        <v>4878</v>
      </c>
      <c r="F838" s="415"/>
      <c r="G838" s="415"/>
      <c r="H838" s="415"/>
      <c r="I838" s="415"/>
      <c r="J838" s="3" t="s">
        <v>4874</v>
      </c>
      <c r="K838" s="387">
        <v>1</v>
      </c>
      <c r="L838" s="387">
        <v>0</v>
      </c>
      <c r="M838" s="387">
        <f t="shared" si="51"/>
        <v>1</v>
      </c>
      <c r="N838" s="442">
        <f t="shared" si="53"/>
        <v>0</v>
      </c>
      <c r="O838" s="387" t="s">
        <v>1358</v>
      </c>
      <c r="P838" s="459">
        <v>15.923999999999999</v>
      </c>
      <c r="Q838" s="459"/>
      <c r="R838" s="456">
        <v>0</v>
      </c>
      <c r="S838" s="459">
        <v>15.923999999999999</v>
      </c>
      <c r="T838" s="555"/>
      <c r="U838" s="411">
        <v>1</v>
      </c>
      <c r="V838" s="411">
        <v>1</v>
      </c>
      <c r="W838" s="411">
        <v>1</v>
      </c>
      <c r="X838" s="411"/>
      <c r="Y838" s="411"/>
      <c r="Z838" s="412">
        <f t="shared" si="50"/>
        <v>0</v>
      </c>
      <c r="AA838" s="456">
        <f t="shared" si="54"/>
        <v>0</v>
      </c>
      <c r="AB838" s="456">
        <v>0</v>
      </c>
      <c r="AC838" s="469"/>
      <c r="AD838" s="470"/>
      <c r="AE838" s="5"/>
    </row>
    <row r="839" spans="1:31" x14ac:dyDescent="0.25">
      <c r="A839" s="1" t="s">
        <v>4951</v>
      </c>
      <c r="B839" s="3" t="s">
        <v>1368</v>
      </c>
      <c r="C839" s="3" t="s">
        <v>1247</v>
      </c>
      <c r="D839" s="407" t="s">
        <v>3239</v>
      </c>
      <c r="E839" s="407" t="s">
        <v>4879</v>
      </c>
      <c r="F839" s="415"/>
      <c r="G839" s="415"/>
      <c r="H839" s="415"/>
      <c r="I839" s="415"/>
      <c r="J839" s="3" t="s">
        <v>4874</v>
      </c>
      <c r="K839" s="387">
        <v>1</v>
      </c>
      <c r="L839" s="387">
        <v>0</v>
      </c>
      <c r="M839" s="387">
        <v>1</v>
      </c>
      <c r="N839" s="442">
        <f t="shared" si="53"/>
        <v>0</v>
      </c>
      <c r="O839" s="387" t="s">
        <v>1358</v>
      </c>
      <c r="P839" s="459">
        <v>47.773000000000003</v>
      </c>
      <c r="Q839" s="459"/>
      <c r="R839" s="456">
        <v>0</v>
      </c>
      <c r="S839" s="459">
        <v>47.773000000000003</v>
      </c>
      <c r="T839" s="555"/>
      <c r="U839" s="411">
        <v>1</v>
      </c>
      <c r="V839" s="411">
        <v>1</v>
      </c>
      <c r="W839" s="411">
        <v>1</v>
      </c>
      <c r="X839" s="411"/>
      <c r="Y839" s="411"/>
      <c r="Z839" s="412">
        <f t="shared" si="50"/>
        <v>0</v>
      </c>
      <c r="AA839" s="456">
        <f t="shared" si="54"/>
        <v>0</v>
      </c>
      <c r="AB839" s="456">
        <v>0</v>
      </c>
      <c r="AC839" s="469"/>
      <c r="AD839" s="470"/>
      <c r="AE839" s="5"/>
    </row>
    <row r="840" spans="1:31" x14ac:dyDescent="0.25">
      <c r="A840" s="1" t="s">
        <v>4952</v>
      </c>
      <c r="B840" s="3" t="s">
        <v>1368</v>
      </c>
      <c r="C840" s="3" t="s">
        <v>1247</v>
      </c>
      <c r="D840" s="407" t="s">
        <v>3239</v>
      </c>
      <c r="E840" s="407" t="s">
        <v>4880</v>
      </c>
      <c r="F840" s="415"/>
      <c r="G840" s="415"/>
      <c r="H840" s="415"/>
      <c r="I840" s="415"/>
      <c r="J840" s="3" t="s">
        <v>4874</v>
      </c>
      <c r="K840" s="387">
        <v>1</v>
      </c>
      <c r="L840" s="387">
        <v>0</v>
      </c>
      <c r="M840" s="387">
        <v>1</v>
      </c>
      <c r="N840" s="442">
        <f t="shared" si="53"/>
        <v>0</v>
      </c>
      <c r="O840" s="387" t="s">
        <v>1358</v>
      </c>
      <c r="P840" s="459">
        <v>47.773000000000003</v>
      </c>
      <c r="Q840" s="459"/>
      <c r="R840" s="456">
        <v>0</v>
      </c>
      <c r="S840" s="459">
        <v>47.773000000000003</v>
      </c>
      <c r="T840" s="555"/>
      <c r="U840" s="411">
        <v>1</v>
      </c>
      <c r="V840" s="411">
        <v>1</v>
      </c>
      <c r="W840" s="411">
        <v>1</v>
      </c>
      <c r="X840" s="411"/>
      <c r="Y840" s="411"/>
      <c r="Z840" s="412">
        <f t="shared" si="50"/>
        <v>0</v>
      </c>
      <c r="AA840" s="456">
        <f t="shared" si="54"/>
        <v>0</v>
      </c>
      <c r="AB840" s="456">
        <v>0</v>
      </c>
      <c r="AC840" s="469"/>
      <c r="AD840" s="470"/>
      <c r="AE840" s="5"/>
    </row>
    <row r="841" spans="1:31" x14ac:dyDescent="0.25">
      <c r="A841" s="1" t="s">
        <v>4953</v>
      </c>
      <c r="B841" s="3" t="s">
        <v>1368</v>
      </c>
      <c r="C841" s="3" t="s">
        <v>1247</v>
      </c>
      <c r="D841" s="407" t="s">
        <v>3237</v>
      </c>
      <c r="E841" s="407" t="s">
        <v>4881</v>
      </c>
      <c r="F841" s="415"/>
      <c r="G841" s="415"/>
      <c r="H841" s="415"/>
      <c r="I841" s="415"/>
      <c r="J841" s="3" t="s">
        <v>4882</v>
      </c>
      <c r="K841" s="387">
        <v>1</v>
      </c>
      <c r="L841" s="387">
        <v>0</v>
      </c>
      <c r="M841" s="387">
        <v>1</v>
      </c>
      <c r="N841" s="442">
        <f t="shared" si="53"/>
        <v>0</v>
      </c>
      <c r="O841" s="387" t="s">
        <v>1358</v>
      </c>
      <c r="P841" s="459">
        <v>15.923999999999999</v>
      </c>
      <c r="Q841" s="459"/>
      <c r="R841" s="456">
        <v>0</v>
      </c>
      <c r="S841" s="459">
        <v>15.923999999999999</v>
      </c>
      <c r="T841" s="555"/>
      <c r="U841" s="411">
        <v>1</v>
      </c>
      <c r="V841" s="411">
        <v>1</v>
      </c>
      <c r="W841" s="411">
        <v>1</v>
      </c>
      <c r="X841" s="411"/>
      <c r="Y841" s="411"/>
      <c r="Z841" s="412">
        <f t="shared" si="50"/>
        <v>0</v>
      </c>
      <c r="AA841" s="456">
        <f t="shared" si="54"/>
        <v>0</v>
      </c>
      <c r="AB841" s="456">
        <v>0</v>
      </c>
      <c r="AC841" s="469"/>
      <c r="AD841" s="470"/>
      <c r="AE841" s="5"/>
    </row>
    <row r="842" spans="1:31" x14ac:dyDescent="0.25">
      <c r="A842" s="1" t="s">
        <v>4954</v>
      </c>
      <c r="B842" s="3" t="s">
        <v>1368</v>
      </c>
      <c r="C842" s="3" t="s">
        <v>1247</v>
      </c>
      <c r="D842" s="407" t="s">
        <v>3237</v>
      </c>
      <c r="E842" s="407" t="s">
        <v>4883</v>
      </c>
      <c r="F842" s="415"/>
      <c r="G842" s="415"/>
      <c r="H842" s="415"/>
      <c r="I842" s="415"/>
      <c r="J842" s="3" t="s">
        <v>4882</v>
      </c>
      <c r="K842" s="387">
        <v>1</v>
      </c>
      <c r="L842" s="387">
        <v>0</v>
      </c>
      <c r="M842" s="387">
        <v>1</v>
      </c>
      <c r="N842" s="442">
        <f t="shared" si="53"/>
        <v>0</v>
      </c>
      <c r="O842" s="387" t="s">
        <v>1358</v>
      </c>
      <c r="P842" s="459">
        <v>15.923999999999999</v>
      </c>
      <c r="Q842" s="459"/>
      <c r="R842" s="456">
        <v>0</v>
      </c>
      <c r="S842" s="459">
        <v>15.923999999999999</v>
      </c>
      <c r="T842" s="555"/>
      <c r="U842" s="411">
        <v>1</v>
      </c>
      <c r="V842" s="411">
        <v>1</v>
      </c>
      <c r="W842" s="411">
        <v>1</v>
      </c>
      <c r="X842" s="411"/>
      <c r="Y842" s="411"/>
      <c r="Z842" s="412">
        <f t="shared" si="50"/>
        <v>0</v>
      </c>
      <c r="AA842" s="456">
        <f t="shared" si="54"/>
        <v>0</v>
      </c>
      <c r="AB842" s="456">
        <v>0</v>
      </c>
      <c r="AC842" s="469"/>
      <c r="AD842" s="470"/>
      <c r="AE842" s="5"/>
    </row>
    <row r="843" spans="1:31" x14ac:dyDescent="0.25">
      <c r="A843" s="1" t="s">
        <v>4973</v>
      </c>
      <c r="B843" s="3" t="s">
        <v>1368</v>
      </c>
      <c r="C843" s="3" t="s">
        <v>1247</v>
      </c>
      <c r="D843" s="407" t="s">
        <v>3239</v>
      </c>
      <c r="E843" s="407" t="s">
        <v>4942</v>
      </c>
      <c r="F843" s="415"/>
      <c r="G843" s="415"/>
      <c r="H843" s="415"/>
      <c r="I843" s="415"/>
      <c r="J843" s="3" t="s">
        <v>4874</v>
      </c>
      <c r="K843" s="387">
        <v>1</v>
      </c>
      <c r="L843" s="387">
        <v>0</v>
      </c>
      <c r="M843" s="387">
        <v>1</v>
      </c>
      <c r="N843" s="442">
        <f t="shared" si="53"/>
        <v>0</v>
      </c>
      <c r="O843" s="387" t="s">
        <v>1358</v>
      </c>
      <c r="P843" s="459">
        <v>15.923999999999999</v>
      </c>
      <c r="Q843" s="459"/>
      <c r="R843" s="456">
        <v>0</v>
      </c>
      <c r="S843" s="459">
        <v>15.923999999999999</v>
      </c>
      <c r="T843" s="555"/>
      <c r="U843" s="411">
        <v>1</v>
      </c>
      <c r="V843" s="411">
        <v>1</v>
      </c>
      <c r="W843" s="411">
        <v>1</v>
      </c>
      <c r="X843" s="411"/>
      <c r="Y843" s="411"/>
      <c r="Z843" s="412">
        <f t="shared" si="50"/>
        <v>0</v>
      </c>
      <c r="AA843" s="456">
        <f t="shared" si="54"/>
        <v>0</v>
      </c>
      <c r="AB843" s="456">
        <v>0</v>
      </c>
      <c r="AC843" s="469"/>
      <c r="AD843" s="470"/>
      <c r="AE843" s="5"/>
    </row>
    <row r="844" spans="1:31" x14ac:dyDescent="0.25">
      <c r="A844" s="1" t="s">
        <v>4974</v>
      </c>
      <c r="B844" s="3" t="s">
        <v>1368</v>
      </c>
      <c r="C844" s="3" t="s">
        <v>1247</v>
      </c>
      <c r="D844" s="407" t="s">
        <v>3237</v>
      </c>
      <c r="E844" s="407" t="s">
        <v>4943</v>
      </c>
      <c r="F844" s="415"/>
      <c r="G844" s="415"/>
      <c r="H844" s="415"/>
      <c r="I844" s="415"/>
      <c r="J844" s="3" t="s">
        <v>4882</v>
      </c>
      <c r="K844" s="387">
        <v>1</v>
      </c>
      <c r="L844" s="387">
        <v>0</v>
      </c>
      <c r="M844" s="387">
        <v>1</v>
      </c>
      <c r="N844" s="442">
        <f t="shared" si="53"/>
        <v>0</v>
      </c>
      <c r="O844" s="387" t="s">
        <v>1358</v>
      </c>
      <c r="P844" s="459">
        <v>15.923999999999999</v>
      </c>
      <c r="Q844" s="459"/>
      <c r="R844" s="456">
        <v>0</v>
      </c>
      <c r="S844" s="459">
        <v>15.923999999999999</v>
      </c>
      <c r="T844" s="555"/>
      <c r="U844" s="411">
        <v>1</v>
      </c>
      <c r="V844" s="411">
        <v>1</v>
      </c>
      <c r="W844" s="411">
        <v>1</v>
      </c>
      <c r="X844" s="411"/>
      <c r="Y844" s="411"/>
      <c r="Z844" s="412">
        <f t="shared" si="50"/>
        <v>0</v>
      </c>
      <c r="AA844" s="456">
        <f t="shared" si="54"/>
        <v>0</v>
      </c>
      <c r="AB844" s="456">
        <v>0</v>
      </c>
      <c r="AC844" s="469"/>
      <c r="AD844" s="470"/>
      <c r="AE844" s="5"/>
    </row>
    <row r="845" spans="1:31" x14ac:dyDescent="0.25">
      <c r="A845" s="1" t="s">
        <v>4975</v>
      </c>
      <c r="B845" s="3" t="s">
        <v>1368</v>
      </c>
      <c r="C845" s="3" t="s">
        <v>1247</v>
      </c>
      <c r="D845" s="407" t="s">
        <v>3237</v>
      </c>
      <c r="E845" s="407" t="s">
        <v>4944</v>
      </c>
      <c r="F845" s="415"/>
      <c r="G845" s="415"/>
      <c r="H845" s="415"/>
      <c r="I845" s="415"/>
      <c r="J845" s="3" t="s">
        <v>4882</v>
      </c>
      <c r="K845" s="387">
        <v>1</v>
      </c>
      <c r="L845" s="387">
        <v>0</v>
      </c>
      <c r="M845" s="387">
        <v>1</v>
      </c>
      <c r="N845" s="442">
        <f t="shared" si="53"/>
        <v>0</v>
      </c>
      <c r="O845" s="387" t="s">
        <v>1358</v>
      </c>
      <c r="P845" s="459">
        <v>15.923999999999999</v>
      </c>
      <c r="Q845" s="459"/>
      <c r="R845" s="456">
        <v>0</v>
      </c>
      <c r="S845" s="459">
        <v>15.923999999999999</v>
      </c>
      <c r="T845" s="555"/>
      <c r="U845" s="411">
        <v>1</v>
      </c>
      <c r="V845" s="411">
        <v>1</v>
      </c>
      <c r="W845" s="411">
        <v>1</v>
      </c>
      <c r="X845" s="411"/>
      <c r="Y845" s="411"/>
      <c r="Z845" s="412">
        <f t="shared" ref="Z845:Z908" si="55">AA845/S845</f>
        <v>0</v>
      </c>
      <c r="AA845" s="456">
        <f t="shared" si="54"/>
        <v>0</v>
      </c>
      <c r="AB845" s="456">
        <v>0</v>
      </c>
      <c r="AC845" s="469"/>
      <c r="AD845" s="470"/>
      <c r="AE845" s="5"/>
    </row>
    <row r="846" spans="1:31" x14ac:dyDescent="0.25">
      <c r="A846" s="1" t="s">
        <v>4976</v>
      </c>
      <c r="B846" s="3" t="s">
        <v>1368</v>
      </c>
      <c r="C846" s="3" t="s">
        <v>1247</v>
      </c>
      <c r="D846" s="407" t="s">
        <v>3237</v>
      </c>
      <c r="E846" s="407" t="s">
        <v>4945</v>
      </c>
      <c r="F846" s="415"/>
      <c r="G846" s="415"/>
      <c r="H846" s="415"/>
      <c r="I846" s="415"/>
      <c r="J846" s="3" t="s">
        <v>4882</v>
      </c>
      <c r="K846" s="387">
        <v>1</v>
      </c>
      <c r="L846" s="387">
        <v>0</v>
      </c>
      <c r="M846" s="387">
        <v>1</v>
      </c>
      <c r="N846" s="442">
        <f t="shared" si="53"/>
        <v>0</v>
      </c>
      <c r="O846" s="387" t="s">
        <v>1358</v>
      </c>
      <c r="P846" s="459">
        <v>15.923999999999999</v>
      </c>
      <c r="Q846" s="459"/>
      <c r="R846" s="456">
        <v>0</v>
      </c>
      <c r="S846" s="459">
        <v>47.77</v>
      </c>
      <c r="T846" s="555"/>
      <c r="U846" s="411">
        <v>1</v>
      </c>
      <c r="V846" s="411">
        <v>1</v>
      </c>
      <c r="W846" s="411">
        <v>1</v>
      </c>
      <c r="X846" s="411"/>
      <c r="Y846" s="411"/>
      <c r="Z846" s="412">
        <f t="shared" si="55"/>
        <v>0</v>
      </c>
      <c r="AA846" s="456">
        <f t="shared" si="54"/>
        <v>0</v>
      </c>
      <c r="AB846" s="456">
        <v>0</v>
      </c>
      <c r="AC846" s="469"/>
      <c r="AD846" s="470"/>
      <c r="AE846" s="5"/>
    </row>
    <row r="847" spans="1:31" x14ac:dyDescent="0.25">
      <c r="A847" s="1"/>
      <c r="B847" s="3" t="s">
        <v>1368</v>
      </c>
      <c r="C847" s="3" t="s">
        <v>1247</v>
      </c>
      <c r="D847" s="407" t="s">
        <v>3230</v>
      </c>
      <c r="E847" s="407" t="s">
        <v>5241</v>
      </c>
      <c r="F847" s="415"/>
      <c r="G847" s="415"/>
      <c r="H847" s="415"/>
      <c r="I847" s="415"/>
      <c r="J847" s="3" t="s">
        <v>5250</v>
      </c>
      <c r="K847" s="387">
        <v>1</v>
      </c>
      <c r="L847" s="387">
        <v>0</v>
      </c>
      <c r="M847" s="387">
        <v>1</v>
      </c>
      <c r="N847" s="442">
        <f t="shared" si="53"/>
        <v>0</v>
      </c>
      <c r="O847" s="387" t="s">
        <v>1358</v>
      </c>
      <c r="P847" s="459">
        <v>23.885999999999999</v>
      </c>
      <c r="Q847" s="459"/>
      <c r="R847" s="456">
        <v>0</v>
      </c>
      <c r="S847" s="459">
        <v>23.885999999999999</v>
      </c>
      <c r="T847" s="555"/>
      <c r="U847" s="411"/>
      <c r="V847" s="411"/>
      <c r="W847" s="411"/>
      <c r="X847" s="411"/>
      <c r="Y847" s="411"/>
      <c r="Z847" s="412">
        <f t="shared" si="55"/>
        <v>0</v>
      </c>
      <c r="AA847" s="456">
        <f t="shared" si="54"/>
        <v>0</v>
      </c>
      <c r="AB847" s="456"/>
      <c r="AC847" s="469"/>
      <c r="AD847" s="470"/>
      <c r="AE847" s="5"/>
    </row>
    <row r="848" spans="1:31" x14ac:dyDescent="0.25">
      <c r="A848" s="1"/>
      <c r="B848" s="3" t="s">
        <v>1368</v>
      </c>
      <c r="C848" s="3" t="s">
        <v>1247</v>
      </c>
      <c r="D848" s="407" t="s">
        <v>3230</v>
      </c>
      <c r="E848" s="407" t="s">
        <v>5242</v>
      </c>
      <c r="F848" s="415"/>
      <c r="G848" s="415"/>
      <c r="H848" s="415"/>
      <c r="I848" s="415"/>
      <c r="J848" s="3" t="s">
        <v>5250</v>
      </c>
      <c r="K848" s="387">
        <v>1</v>
      </c>
      <c r="L848" s="387">
        <v>0</v>
      </c>
      <c r="M848" s="387">
        <v>1</v>
      </c>
      <c r="N848" s="442">
        <f t="shared" si="53"/>
        <v>0</v>
      </c>
      <c r="O848" s="387" t="s">
        <v>1358</v>
      </c>
      <c r="P848" s="459">
        <v>23.885999999999999</v>
      </c>
      <c r="Q848" s="459"/>
      <c r="R848" s="456">
        <v>0</v>
      </c>
      <c r="S848" s="459">
        <v>23.885999999999999</v>
      </c>
      <c r="T848" s="555"/>
      <c r="U848" s="411">
        <v>1</v>
      </c>
      <c r="V848" s="411">
        <v>1</v>
      </c>
      <c r="W848" s="411">
        <v>1</v>
      </c>
      <c r="X848" s="411"/>
      <c r="Y848" s="411"/>
      <c r="Z848" s="412">
        <f t="shared" si="55"/>
        <v>0</v>
      </c>
      <c r="AA848" s="456">
        <f t="shared" si="54"/>
        <v>0</v>
      </c>
      <c r="AB848" s="456"/>
      <c r="AC848" s="469"/>
      <c r="AD848" s="470"/>
      <c r="AE848" s="5"/>
    </row>
    <row r="849" spans="1:31" x14ac:dyDescent="0.25">
      <c r="A849" s="1"/>
      <c r="B849" s="3" t="s">
        <v>1368</v>
      </c>
      <c r="C849" s="3" t="s">
        <v>1247</v>
      </c>
      <c r="D849" s="407" t="s">
        <v>3230</v>
      </c>
      <c r="E849" s="407" t="s">
        <v>5243</v>
      </c>
      <c r="F849" s="415"/>
      <c r="G849" s="415"/>
      <c r="H849" s="415"/>
      <c r="I849" s="415"/>
      <c r="J849" s="3" t="s">
        <v>5250</v>
      </c>
      <c r="K849" s="387">
        <v>1</v>
      </c>
      <c r="L849" s="387">
        <v>0</v>
      </c>
      <c r="M849" s="387">
        <v>1</v>
      </c>
      <c r="N849" s="442">
        <f t="shared" si="53"/>
        <v>0</v>
      </c>
      <c r="O849" s="387" t="s">
        <v>1358</v>
      </c>
      <c r="P849" s="459">
        <v>31.847999999999999</v>
      </c>
      <c r="Q849" s="459"/>
      <c r="R849" s="456">
        <v>0</v>
      </c>
      <c r="S849" s="459">
        <v>31.847999999999999</v>
      </c>
      <c r="T849" s="555"/>
      <c r="U849" s="411"/>
      <c r="V849" s="411"/>
      <c r="W849" s="411"/>
      <c r="X849" s="411"/>
      <c r="Y849" s="411"/>
      <c r="Z849" s="412">
        <f t="shared" si="55"/>
        <v>0</v>
      </c>
      <c r="AA849" s="456">
        <f t="shared" si="54"/>
        <v>0</v>
      </c>
      <c r="AB849" s="456"/>
      <c r="AC849" s="469"/>
      <c r="AD849" s="470"/>
      <c r="AE849" s="5"/>
    </row>
    <row r="850" spans="1:31" x14ac:dyDescent="0.25">
      <c r="A850" s="1"/>
      <c r="B850" s="3" t="s">
        <v>1368</v>
      </c>
      <c r="C850" s="3" t="s">
        <v>1247</v>
      </c>
      <c r="D850" s="407" t="s">
        <v>3230</v>
      </c>
      <c r="E850" s="407" t="s">
        <v>5244</v>
      </c>
      <c r="F850" s="415"/>
      <c r="G850" s="415"/>
      <c r="H850" s="415"/>
      <c r="I850" s="415"/>
      <c r="J850" s="3" t="s">
        <v>5250</v>
      </c>
      <c r="K850" s="387">
        <v>1</v>
      </c>
      <c r="L850" s="387">
        <v>0</v>
      </c>
      <c r="M850" s="387">
        <v>1</v>
      </c>
      <c r="N850" s="442">
        <f t="shared" si="53"/>
        <v>0</v>
      </c>
      <c r="O850" s="387" t="s">
        <v>1358</v>
      </c>
      <c r="P850" s="459">
        <v>31.847999999999999</v>
      </c>
      <c r="Q850" s="459"/>
      <c r="R850" s="456">
        <v>0</v>
      </c>
      <c r="S850" s="459">
        <v>31.847999999999999</v>
      </c>
      <c r="T850" s="555"/>
      <c r="U850" s="411"/>
      <c r="V850" s="411"/>
      <c r="W850" s="411"/>
      <c r="X850" s="411"/>
      <c r="Y850" s="411"/>
      <c r="Z850" s="412">
        <f t="shared" si="55"/>
        <v>0</v>
      </c>
      <c r="AA850" s="456">
        <f t="shared" si="54"/>
        <v>0</v>
      </c>
      <c r="AB850" s="456"/>
      <c r="AC850" s="469"/>
      <c r="AD850" s="470"/>
      <c r="AE850" s="5"/>
    </row>
    <row r="851" spans="1:31" x14ac:dyDescent="0.25">
      <c r="A851" s="1"/>
      <c r="B851" s="3" t="s">
        <v>1368</v>
      </c>
      <c r="C851" s="3" t="s">
        <v>1247</v>
      </c>
      <c r="D851" s="407" t="s">
        <v>3230</v>
      </c>
      <c r="E851" s="407" t="s">
        <v>5245</v>
      </c>
      <c r="F851" s="415"/>
      <c r="G851" s="415"/>
      <c r="H851" s="415"/>
      <c r="I851" s="415"/>
      <c r="J851" s="3" t="s">
        <v>5250</v>
      </c>
      <c r="K851" s="387">
        <v>1</v>
      </c>
      <c r="L851" s="387">
        <v>0</v>
      </c>
      <c r="M851" s="387">
        <v>1</v>
      </c>
      <c r="N851" s="442">
        <f t="shared" si="53"/>
        <v>0</v>
      </c>
      <c r="O851" s="387" t="s">
        <v>1358</v>
      </c>
      <c r="P851" s="459">
        <v>95.543999999999997</v>
      </c>
      <c r="Q851" s="459"/>
      <c r="R851" s="456">
        <v>0</v>
      </c>
      <c r="S851" s="459">
        <v>95.543999999999997</v>
      </c>
      <c r="T851" s="555"/>
      <c r="U851" s="411">
        <v>1</v>
      </c>
      <c r="V851" s="411">
        <v>1</v>
      </c>
      <c r="W851" s="411">
        <v>1</v>
      </c>
      <c r="X851" s="411"/>
      <c r="Y851" s="411"/>
      <c r="Z851" s="412">
        <f t="shared" si="55"/>
        <v>0</v>
      </c>
      <c r="AA851" s="456">
        <f t="shared" si="54"/>
        <v>0</v>
      </c>
      <c r="AB851" s="456"/>
      <c r="AC851" s="469"/>
      <c r="AD851" s="470"/>
      <c r="AE851" s="5"/>
    </row>
    <row r="852" spans="1:31" x14ac:dyDescent="0.25">
      <c r="A852" s="1"/>
      <c r="B852" s="3" t="s">
        <v>1368</v>
      </c>
      <c r="C852" s="3" t="s">
        <v>1247</v>
      </c>
      <c r="D852" s="407" t="s">
        <v>3230</v>
      </c>
      <c r="E852" s="407" t="s">
        <v>5246</v>
      </c>
      <c r="F852" s="415"/>
      <c r="G852" s="415"/>
      <c r="H852" s="415"/>
      <c r="I852" s="415"/>
      <c r="J852" s="3" t="s">
        <v>5250</v>
      </c>
      <c r="K852" s="387">
        <v>1</v>
      </c>
      <c r="L852" s="387">
        <v>0</v>
      </c>
      <c r="M852" s="387">
        <v>1</v>
      </c>
      <c r="N852" s="442">
        <f t="shared" si="53"/>
        <v>0</v>
      </c>
      <c r="O852" s="387" t="s">
        <v>1358</v>
      </c>
      <c r="P852" s="459">
        <v>95.543999999999997</v>
      </c>
      <c r="Q852" s="459"/>
      <c r="R852" s="456">
        <v>0</v>
      </c>
      <c r="S852" s="459">
        <v>95.543999999999997</v>
      </c>
      <c r="T852" s="555"/>
      <c r="U852" s="411">
        <v>1</v>
      </c>
      <c r="V852" s="411">
        <v>1</v>
      </c>
      <c r="W852" s="411">
        <v>1</v>
      </c>
      <c r="X852" s="411"/>
      <c r="Y852" s="411"/>
      <c r="Z852" s="412">
        <f t="shared" si="55"/>
        <v>0</v>
      </c>
      <c r="AA852" s="456">
        <f t="shared" si="54"/>
        <v>0</v>
      </c>
      <c r="AB852" s="456"/>
      <c r="AC852" s="469"/>
      <c r="AD852" s="470"/>
      <c r="AE852" s="5"/>
    </row>
    <row r="853" spans="1:31" x14ac:dyDescent="0.25">
      <c r="A853" s="1"/>
      <c r="B853" s="3" t="s">
        <v>1368</v>
      </c>
      <c r="C853" s="3" t="s">
        <v>1247</v>
      </c>
      <c r="D853" s="407" t="s">
        <v>3236</v>
      </c>
      <c r="E853" s="407" t="s">
        <v>2410</v>
      </c>
      <c r="F853" s="415"/>
      <c r="G853" s="415"/>
      <c r="H853" s="415"/>
      <c r="I853" s="415"/>
      <c r="J853" s="3" t="s">
        <v>5250</v>
      </c>
      <c r="K853" s="387">
        <v>1</v>
      </c>
      <c r="L853" s="387">
        <v>0</v>
      </c>
      <c r="M853" s="387">
        <v>1</v>
      </c>
      <c r="N853" s="442">
        <f t="shared" si="53"/>
        <v>0</v>
      </c>
      <c r="O853" s="387" t="s">
        <v>1358</v>
      </c>
      <c r="P853" s="459">
        <v>47.771999999999998</v>
      </c>
      <c r="Q853" s="459"/>
      <c r="R853" s="456">
        <v>0</v>
      </c>
      <c r="S853" s="459">
        <v>47.771999999999998</v>
      </c>
      <c r="T853" s="555"/>
      <c r="U853" s="411"/>
      <c r="V853" s="411"/>
      <c r="W853" s="411"/>
      <c r="X853" s="411"/>
      <c r="Y853" s="411"/>
      <c r="Z853" s="412">
        <f t="shared" si="55"/>
        <v>0</v>
      </c>
      <c r="AA853" s="456">
        <f t="shared" si="54"/>
        <v>0</v>
      </c>
      <c r="AB853" s="456"/>
      <c r="AC853" s="469"/>
      <c r="AD853" s="470"/>
      <c r="AE853" s="5"/>
    </row>
    <row r="854" spans="1:31" x14ac:dyDescent="0.25">
      <c r="A854" s="1"/>
      <c r="B854" s="3" t="s">
        <v>1368</v>
      </c>
      <c r="C854" s="3" t="s">
        <v>1247</v>
      </c>
      <c r="D854" s="407" t="s">
        <v>3230</v>
      </c>
      <c r="E854" s="407" t="s">
        <v>5247</v>
      </c>
      <c r="F854" s="415"/>
      <c r="G854" s="415"/>
      <c r="H854" s="415"/>
      <c r="I854" s="415"/>
      <c r="J854" s="3" t="s">
        <v>5250</v>
      </c>
      <c r="K854" s="387">
        <v>1</v>
      </c>
      <c r="L854" s="387">
        <v>0</v>
      </c>
      <c r="M854" s="387">
        <v>1</v>
      </c>
      <c r="N854" s="442">
        <f t="shared" si="53"/>
        <v>0</v>
      </c>
      <c r="O854" s="387" t="s">
        <v>1358</v>
      </c>
      <c r="P854" s="459">
        <v>15.923999999999999</v>
      </c>
      <c r="Q854" s="459"/>
      <c r="R854" s="456">
        <v>0</v>
      </c>
      <c r="S854" s="459">
        <v>15.923999999999999</v>
      </c>
      <c r="T854" s="555"/>
      <c r="U854" s="411"/>
      <c r="V854" s="411"/>
      <c r="W854" s="411"/>
      <c r="X854" s="411"/>
      <c r="Y854" s="411"/>
      <c r="Z854" s="412">
        <f t="shared" si="55"/>
        <v>0</v>
      </c>
      <c r="AA854" s="456">
        <f t="shared" si="54"/>
        <v>0</v>
      </c>
      <c r="AB854" s="456"/>
      <c r="AC854" s="469"/>
      <c r="AD854" s="470"/>
      <c r="AE854" s="5"/>
    </row>
    <row r="855" spans="1:31" x14ac:dyDescent="0.25">
      <c r="A855" s="1"/>
      <c r="B855" s="3" t="s">
        <v>1368</v>
      </c>
      <c r="C855" s="3" t="s">
        <v>1247</v>
      </c>
      <c r="D855" s="407" t="s">
        <v>3230</v>
      </c>
      <c r="E855" s="407" t="s">
        <v>5248</v>
      </c>
      <c r="F855" s="415"/>
      <c r="G855" s="415"/>
      <c r="H855" s="415"/>
      <c r="I855" s="415"/>
      <c r="J855" s="3" t="s">
        <v>5250</v>
      </c>
      <c r="K855" s="387">
        <v>1</v>
      </c>
      <c r="L855" s="387">
        <v>0</v>
      </c>
      <c r="M855" s="387">
        <v>1</v>
      </c>
      <c r="N855" s="442">
        <f t="shared" si="53"/>
        <v>0</v>
      </c>
      <c r="O855" s="387" t="s">
        <v>1358</v>
      </c>
      <c r="P855" s="459">
        <v>15.923999999999999</v>
      </c>
      <c r="Q855" s="459"/>
      <c r="R855" s="456">
        <v>0</v>
      </c>
      <c r="S855" s="459">
        <v>15.923999999999999</v>
      </c>
      <c r="T855" s="555"/>
      <c r="U855" s="411"/>
      <c r="V855" s="411"/>
      <c r="W855" s="411"/>
      <c r="X855" s="411"/>
      <c r="Y855" s="411"/>
      <c r="Z855" s="412">
        <f t="shared" si="55"/>
        <v>0</v>
      </c>
      <c r="AA855" s="456">
        <f t="shared" si="54"/>
        <v>0</v>
      </c>
      <c r="AB855" s="456"/>
      <c r="AC855" s="469"/>
      <c r="AD855" s="470"/>
      <c r="AE855" s="5"/>
    </row>
    <row r="856" spans="1:31" x14ac:dyDescent="0.25">
      <c r="A856" s="1"/>
      <c r="B856" s="3" t="s">
        <v>1368</v>
      </c>
      <c r="C856" s="3" t="s">
        <v>1247</v>
      </c>
      <c r="D856" s="407" t="s">
        <v>3230</v>
      </c>
      <c r="E856" s="407" t="s">
        <v>5249</v>
      </c>
      <c r="F856" s="415"/>
      <c r="G856" s="415"/>
      <c r="H856" s="415"/>
      <c r="I856" s="415"/>
      <c r="J856" s="3" t="s">
        <v>5250</v>
      </c>
      <c r="K856" s="387">
        <v>1</v>
      </c>
      <c r="L856" s="387">
        <v>0</v>
      </c>
      <c r="M856" s="387">
        <v>1</v>
      </c>
      <c r="N856" s="442">
        <f t="shared" si="53"/>
        <v>0</v>
      </c>
      <c r="O856" s="387" t="s">
        <v>1358</v>
      </c>
      <c r="P856" s="459">
        <v>15.923999999999999</v>
      </c>
      <c r="Q856" s="459"/>
      <c r="R856" s="456">
        <v>0</v>
      </c>
      <c r="S856" s="459">
        <v>15.923999999999999</v>
      </c>
      <c r="T856" s="555"/>
      <c r="U856" s="411">
        <v>1</v>
      </c>
      <c r="V856" s="411">
        <v>1</v>
      </c>
      <c r="W856" s="411">
        <v>1</v>
      </c>
      <c r="X856" s="411"/>
      <c r="Y856" s="411"/>
      <c r="Z856" s="412">
        <f t="shared" si="55"/>
        <v>0</v>
      </c>
      <c r="AA856" s="456">
        <f t="shared" si="54"/>
        <v>0</v>
      </c>
      <c r="AB856" s="456"/>
      <c r="AC856" s="469"/>
      <c r="AD856" s="470"/>
      <c r="AE856" s="5"/>
    </row>
    <row r="857" spans="1:31" x14ac:dyDescent="0.25">
      <c r="A857" s="1" t="s">
        <v>4977</v>
      </c>
      <c r="B857" s="3" t="s">
        <v>1368</v>
      </c>
      <c r="C857" s="3" t="s">
        <v>1247</v>
      </c>
      <c r="D857" s="407" t="s">
        <v>4872</v>
      </c>
      <c r="E857" s="407" t="s">
        <v>4893</v>
      </c>
      <c r="F857" s="415"/>
      <c r="G857" s="415"/>
      <c r="H857" s="415"/>
      <c r="I857" s="415"/>
      <c r="J857" s="3" t="s">
        <v>4886</v>
      </c>
      <c r="K857" s="387">
        <v>2</v>
      </c>
      <c r="L857" s="387">
        <v>0</v>
      </c>
      <c r="M857" s="387">
        <v>2</v>
      </c>
      <c r="N857" s="442">
        <f>K857*Z857</f>
        <v>0</v>
      </c>
      <c r="O857" s="387" t="s">
        <v>1358</v>
      </c>
      <c r="P857" s="459">
        <v>7.4</v>
      </c>
      <c r="Q857" s="459"/>
      <c r="R857" s="456">
        <v>0</v>
      </c>
      <c r="S857" s="459">
        <v>7.4</v>
      </c>
      <c r="T857" s="555"/>
      <c r="U857" s="411">
        <v>1</v>
      </c>
      <c r="V857" s="411">
        <v>1</v>
      </c>
      <c r="W857" s="411">
        <v>1</v>
      </c>
      <c r="X857" s="411"/>
      <c r="Y857" s="411"/>
      <c r="Z857" s="412">
        <f t="shared" si="55"/>
        <v>0</v>
      </c>
      <c r="AA857" s="456">
        <f t="shared" si="54"/>
        <v>0</v>
      </c>
      <c r="AB857" s="456">
        <v>0</v>
      </c>
      <c r="AC857" s="469"/>
      <c r="AD857" s="470"/>
      <c r="AE857" s="5"/>
    </row>
    <row r="858" spans="1:31" x14ac:dyDescent="0.25">
      <c r="A858" s="1" t="s">
        <v>4978</v>
      </c>
      <c r="B858" s="3" t="s">
        <v>1368</v>
      </c>
      <c r="C858" s="3" t="s">
        <v>1247</v>
      </c>
      <c r="D858" s="407" t="s">
        <v>4872</v>
      </c>
      <c r="E858" s="407" t="s">
        <v>4894</v>
      </c>
      <c r="F858" s="415"/>
      <c r="G858" s="415"/>
      <c r="H858" s="415"/>
      <c r="I858" s="415"/>
      <c r="J858" s="3" t="s">
        <v>4886</v>
      </c>
      <c r="K858" s="387">
        <v>2</v>
      </c>
      <c r="L858" s="387">
        <v>0</v>
      </c>
      <c r="M858" s="387">
        <v>2</v>
      </c>
      <c r="N858" s="442">
        <f t="shared" ref="N858:N907" si="56">K858*Z858</f>
        <v>0</v>
      </c>
      <c r="O858" s="387" t="s">
        <v>1358</v>
      </c>
      <c r="P858" s="459">
        <v>7.4</v>
      </c>
      <c r="Q858" s="459"/>
      <c r="R858" s="456">
        <v>0</v>
      </c>
      <c r="S858" s="459">
        <v>7.4</v>
      </c>
      <c r="T858" s="555"/>
      <c r="U858" s="411">
        <v>1</v>
      </c>
      <c r="V858" s="411">
        <v>1</v>
      </c>
      <c r="W858" s="411">
        <v>1</v>
      </c>
      <c r="X858" s="411"/>
      <c r="Y858" s="411"/>
      <c r="Z858" s="412">
        <f t="shared" si="55"/>
        <v>0</v>
      </c>
      <c r="AA858" s="456">
        <f t="shared" si="54"/>
        <v>0</v>
      </c>
      <c r="AB858" s="456">
        <v>0</v>
      </c>
      <c r="AC858" s="469"/>
      <c r="AD858" s="470"/>
      <c r="AE858" s="5"/>
    </row>
    <row r="859" spans="1:31" x14ac:dyDescent="0.25">
      <c r="A859" s="1" t="s">
        <v>4980</v>
      </c>
      <c r="B859" s="3" t="s">
        <v>1368</v>
      </c>
      <c r="C859" s="3" t="s">
        <v>1247</v>
      </c>
      <c r="D859" s="407" t="s">
        <v>4872</v>
      </c>
      <c r="E859" s="407" t="s">
        <v>4895</v>
      </c>
      <c r="F859" s="415"/>
      <c r="G859" s="415"/>
      <c r="H859" s="415"/>
      <c r="I859" s="415"/>
      <c r="J859" s="3" t="s">
        <v>4886</v>
      </c>
      <c r="K859" s="387">
        <v>2</v>
      </c>
      <c r="L859" s="387">
        <v>0</v>
      </c>
      <c r="M859" s="387">
        <v>2</v>
      </c>
      <c r="N859" s="442">
        <f t="shared" si="56"/>
        <v>0</v>
      </c>
      <c r="O859" s="387" t="s">
        <v>1358</v>
      </c>
      <c r="P859" s="459">
        <v>7.4</v>
      </c>
      <c r="Q859" s="459"/>
      <c r="R859" s="456">
        <v>0</v>
      </c>
      <c r="S859" s="459">
        <v>7.4</v>
      </c>
      <c r="T859" s="555"/>
      <c r="U859" s="411">
        <v>1</v>
      </c>
      <c r="V859" s="411">
        <v>1</v>
      </c>
      <c r="W859" s="411">
        <v>1</v>
      </c>
      <c r="X859" s="411"/>
      <c r="Y859" s="411"/>
      <c r="Z859" s="412">
        <f t="shared" si="55"/>
        <v>0</v>
      </c>
      <c r="AA859" s="456">
        <f t="shared" si="54"/>
        <v>0</v>
      </c>
      <c r="AB859" s="456">
        <v>0</v>
      </c>
      <c r="AC859" s="469"/>
      <c r="AD859" s="470"/>
      <c r="AE859" s="5"/>
    </row>
    <row r="860" spans="1:31" x14ac:dyDescent="0.25">
      <c r="A860" s="1" t="s">
        <v>4981</v>
      </c>
      <c r="B860" s="3" t="s">
        <v>1368</v>
      </c>
      <c r="C860" s="3" t="s">
        <v>1247</v>
      </c>
      <c r="D860" s="407" t="s">
        <v>4872</v>
      </c>
      <c r="E860" s="407" t="s">
        <v>4896</v>
      </c>
      <c r="F860" s="415"/>
      <c r="G860" s="415"/>
      <c r="H860" s="415"/>
      <c r="I860" s="415"/>
      <c r="J860" s="3" t="s">
        <v>4886</v>
      </c>
      <c r="K860" s="387">
        <v>2</v>
      </c>
      <c r="L860" s="387">
        <v>0</v>
      </c>
      <c r="M860" s="387">
        <v>2</v>
      </c>
      <c r="N860" s="442">
        <f t="shared" si="56"/>
        <v>0</v>
      </c>
      <c r="O860" s="387" t="s">
        <v>1358</v>
      </c>
      <c r="P860" s="459">
        <v>7.4</v>
      </c>
      <c r="Q860" s="459"/>
      <c r="R860" s="456">
        <v>0</v>
      </c>
      <c r="S860" s="459">
        <v>7.4</v>
      </c>
      <c r="T860" s="555"/>
      <c r="U860" s="411">
        <v>1</v>
      </c>
      <c r="V860" s="411">
        <v>1</v>
      </c>
      <c r="W860" s="411">
        <v>1</v>
      </c>
      <c r="X860" s="411"/>
      <c r="Y860" s="411"/>
      <c r="Z860" s="412">
        <f t="shared" si="55"/>
        <v>0</v>
      </c>
      <c r="AA860" s="456">
        <f t="shared" si="54"/>
        <v>0</v>
      </c>
      <c r="AB860" s="456">
        <v>0</v>
      </c>
      <c r="AC860" s="469"/>
      <c r="AD860" s="470"/>
      <c r="AE860" s="5"/>
    </row>
    <row r="861" spans="1:31" x14ac:dyDescent="0.25">
      <c r="A861" s="430" t="s">
        <v>5124</v>
      </c>
      <c r="B861" s="3" t="s">
        <v>1368</v>
      </c>
      <c r="C861" s="3" t="s">
        <v>1247</v>
      </c>
      <c r="D861" s="407" t="s">
        <v>4872</v>
      </c>
      <c r="E861" s="407" t="s">
        <v>4897</v>
      </c>
      <c r="F861" s="415"/>
      <c r="G861" s="415"/>
      <c r="H861" s="415"/>
      <c r="I861" s="415"/>
      <c r="J861" s="3" t="s">
        <v>4886</v>
      </c>
      <c r="K861" s="387">
        <v>2</v>
      </c>
      <c r="L861" s="387">
        <v>0</v>
      </c>
      <c r="M861" s="387">
        <v>2</v>
      </c>
      <c r="N861" s="442">
        <f t="shared" si="56"/>
        <v>0</v>
      </c>
      <c r="O861" s="387" t="s">
        <v>1358</v>
      </c>
      <c r="P861" s="459">
        <v>7.3</v>
      </c>
      <c r="Q861" s="459"/>
      <c r="R861" s="456">
        <v>0</v>
      </c>
      <c r="S861" s="459">
        <v>7.3</v>
      </c>
      <c r="T861" s="555"/>
      <c r="U861" s="411">
        <v>1</v>
      </c>
      <c r="V861" s="411">
        <v>1</v>
      </c>
      <c r="W861" s="411">
        <v>1</v>
      </c>
      <c r="X861" s="411"/>
      <c r="Y861" s="411"/>
      <c r="Z861" s="412">
        <f t="shared" si="55"/>
        <v>0</v>
      </c>
      <c r="AA861" s="456">
        <f t="shared" si="54"/>
        <v>0</v>
      </c>
      <c r="AB861" s="456">
        <v>0</v>
      </c>
      <c r="AC861" s="469"/>
      <c r="AD861" s="470"/>
      <c r="AE861" s="5"/>
    </row>
    <row r="862" spans="1:31" x14ac:dyDescent="0.25">
      <c r="A862" s="430" t="s">
        <v>5125</v>
      </c>
      <c r="B862" s="3" t="s">
        <v>1368</v>
      </c>
      <c r="C862" s="3" t="s">
        <v>1247</v>
      </c>
      <c r="D862" s="407" t="s">
        <v>4872</v>
      </c>
      <c r="E862" s="407" t="s">
        <v>4898</v>
      </c>
      <c r="F862" s="415"/>
      <c r="G862" s="415"/>
      <c r="H862" s="415"/>
      <c r="I862" s="415"/>
      <c r="J862" s="3" t="s">
        <v>4886</v>
      </c>
      <c r="K862" s="387">
        <v>2</v>
      </c>
      <c r="L862" s="387">
        <v>0</v>
      </c>
      <c r="M862" s="387">
        <v>2</v>
      </c>
      <c r="N862" s="442">
        <f t="shared" si="56"/>
        <v>0</v>
      </c>
      <c r="O862" s="387" t="s">
        <v>1358</v>
      </c>
      <c r="P862" s="459">
        <v>7.3</v>
      </c>
      <c r="Q862" s="459"/>
      <c r="R862" s="456">
        <v>0</v>
      </c>
      <c r="S862" s="459">
        <v>7.3</v>
      </c>
      <c r="T862" s="555"/>
      <c r="U862" s="411">
        <v>1</v>
      </c>
      <c r="V862" s="411">
        <v>1</v>
      </c>
      <c r="W862" s="411">
        <v>1</v>
      </c>
      <c r="X862" s="411"/>
      <c r="Y862" s="411"/>
      <c r="Z862" s="412">
        <f t="shared" si="55"/>
        <v>0</v>
      </c>
      <c r="AA862" s="456">
        <f t="shared" si="54"/>
        <v>0</v>
      </c>
      <c r="AB862" s="456">
        <v>0</v>
      </c>
      <c r="AC862" s="469"/>
      <c r="AD862" s="470"/>
      <c r="AE862" s="5"/>
    </row>
    <row r="863" spans="1:31" x14ac:dyDescent="0.25">
      <c r="A863" s="1" t="s">
        <v>4983</v>
      </c>
      <c r="B863" s="3" t="s">
        <v>1368</v>
      </c>
      <c r="C863" s="3" t="s">
        <v>1247</v>
      </c>
      <c r="D863" s="407" t="s">
        <v>4872</v>
      </c>
      <c r="E863" s="407" t="s">
        <v>4899</v>
      </c>
      <c r="F863" s="415"/>
      <c r="G863" s="415"/>
      <c r="H863" s="415"/>
      <c r="I863" s="415"/>
      <c r="J863" s="3" t="s">
        <v>4887</v>
      </c>
      <c r="K863" s="387">
        <v>2</v>
      </c>
      <c r="L863" s="387">
        <v>0</v>
      </c>
      <c r="M863" s="387">
        <v>2</v>
      </c>
      <c r="N863" s="442">
        <f t="shared" si="56"/>
        <v>0</v>
      </c>
      <c r="O863" s="387" t="s">
        <v>1358</v>
      </c>
      <c r="P863" s="459">
        <v>7.3</v>
      </c>
      <c r="Q863" s="459"/>
      <c r="R863" s="456">
        <v>0</v>
      </c>
      <c r="S863" s="459">
        <v>7.3</v>
      </c>
      <c r="T863" s="555"/>
      <c r="U863" s="411">
        <v>1</v>
      </c>
      <c r="V863" s="411">
        <v>1</v>
      </c>
      <c r="W863" s="411">
        <v>1</v>
      </c>
      <c r="X863" s="411"/>
      <c r="Y863" s="411"/>
      <c r="Z863" s="412">
        <f t="shared" si="55"/>
        <v>0</v>
      </c>
      <c r="AA863" s="456">
        <f t="shared" si="54"/>
        <v>0</v>
      </c>
      <c r="AB863" s="456">
        <v>0</v>
      </c>
      <c r="AC863" s="469"/>
      <c r="AD863" s="470"/>
      <c r="AE863" s="5"/>
    </row>
    <row r="864" spans="1:31" x14ac:dyDescent="0.25">
      <c r="A864" s="430" t="s">
        <v>5126</v>
      </c>
      <c r="B864" s="3" t="s">
        <v>1368</v>
      </c>
      <c r="C864" s="3" t="s">
        <v>1247</v>
      </c>
      <c r="D864" s="407" t="s">
        <v>4872</v>
      </c>
      <c r="E864" s="407" t="s">
        <v>4900</v>
      </c>
      <c r="F864" s="415"/>
      <c r="G864" s="415"/>
      <c r="H864" s="415"/>
      <c r="I864" s="415"/>
      <c r="J864" s="3" t="s">
        <v>4887</v>
      </c>
      <c r="K864" s="387">
        <v>2</v>
      </c>
      <c r="L864" s="387">
        <v>0</v>
      </c>
      <c r="M864" s="387">
        <v>2</v>
      </c>
      <c r="N864" s="442">
        <f t="shared" si="56"/>
        <v>0</v>
      </c>
      <c r="O864" s="387" t="s">
        <v>1358</v>
      </c>
      <c r="P864" s="459">
        <v>7.3</v>
      </c>
      <c r="Q864" s="459"/>
      <c r="R864" s="456">
        <v>0</v>
      </c>
      <c r="S864" s="459">
        <v>7.3</v>
      </c>
      <c r="T864" s="555"/>
      <c r="U864" s="411">
        <v>1</v>
      </c>
      <c r="V864" s="411">
        <v>1</v>
      </c>
      <c r="W864" s="411">
        <v>1</v>
      </c>
      <c r="X864" s="411"/>
      <c r="Y864" s="411"/>
      <c r="Z864" s="412">
        <f t="shared" si="55"/>
        <v>0</v>
      </c>
      <c r="AA864" s="456">
        <f t="shared" si="54"/>
        <v>0</v>
      </c>
      <c r="AB864" s="456">
        <v>0</v>
      </c>
      <c r="AC864" s="469"/>
      <c r="AD864" s="470"/>
      <c r="AE864" s="5"/>
    </row>
    <row r="865" spans="1:31" x14ac:dyDescent="0.25">
      <c r="A865" s="1" t="s">
        <v>4984</v>
      </c>
      <c r="B865" s="3" t="s">
        <v>1368</v>
      </c>
      <c r="C865" s="3" t="s">
        <v>1247</v>
      </c>
      <c r="D865" s="407" t="s">
        <v>4872</v>
      </c>
      <c r="E865" s="407" t="s">
        <v>4901</v>
      </c>
      <c r="F865" s="415"/>
      <c r="G865" s="415"/>
      <c r="H865" s="415"/>
      <c r="I865" s="415"/>
      <c r="J865" s="3" t="s">
        <v>4887</v>
      </c>
      <c r="K865" s="387">
        <v>2</v>
      </c>
      <c r="L865" s="387">
        <v>0</v>
      </c>
      <c r="M865" s="387">
        <v>2</v>
      </c>
      <c r="N865" s="442">
        <f t="shared" si="56"/>
        <v>0</v>
      </c>
      <c r="O865" s="387" t="s">
        <v>1358</v>
      </c>
      <c r="P865" s="459">
        <v>7.3</v>
      </c>
      <c r="Q865" s="459"/>
      <c r="R865" s="456">
        <v>0</v>
      </c>
      <c r="S865" s="459">
        <v>7.3</v>
      </c>
      <c r="T865" s="555"/>
      <c r="U865" s="411">
        <v>1</v>
      </c>
      <c r="V865" s="411">
        <v>1</v>
      </c>
      <c r="W865" s="411">
        <v>1</v>
      </c>
      <c r="X865" s="411"/>
      <c r="Y865" s="411"/>
      <c r="Z865" s="412">
        <f t="shared" si="55"/>
        <v>0</v>
      </c>
      <c r="AA865" s="456">
        <f t="shared" si="54"/>
        <v>0</v>
      </c>
      <c r="AB865" s="456">
        <v>0</v>
      </c>
      <c r="AC865" s="469"/>
      <c r="AD865" s="470"/>
      <c r="AE865" s="5"/>
    </row>
    <row r="866" spans="1:31" x14ac:dyDescent="0.25">
      <c r="A866" s="1" t="s">
        <v>4986</v>
      </c>
      <c r="B866" s="3" t="s">
        <v>1368</v>
      </c>
      <c r="C866" s="3" t="s">
        <v>1247</v>
      </c>
      <c r="D866" s="407" t="s">
        <v>4872</v>
      </c>
      <c r="E866" s="407" t="s">
        <v>4902</v>
      </c>
      <c r="F866" s="415"/>
      <c r="G866" s="415"/>
      <c r="H866" s="415"/>
      <c r="I866" s="415"/>
      <c r="J866" s="3" t="s">
        <v>4888</v>
      </c>
      <c r="K866" s="387">
        <v>2</v>
      </c>
      <c r="L866" s="387">
        <v>0</v>
      </c>
      <c r="M866" s="387">
        <v>2</v>
      </c>
      <c r="N866" s="442">
        <f t="shared" si="56"/>
        <v>0</v>
      </c>
      <c r="O866" s="387" t="s">
        <v>1358</v>
      </c>
      <c r="P866" s="459">
        <v>7.3</v>
      </c>
      <c r="Q866" s="459"/>
      <c r="R866" s="456">
        <v>0</v>
      </c>
      <c r="S866" s="459">
        <v>7.3</v>
      </c>
      <c r="U866" s="411">
        <v>1</v>
      </c>
      <c r="V866" s="411">
        <v>1</v>
      </c>
      <c r="W866" s="411">
        <v>1</v>
      </c>
      <c r="X866" s="411"/>
      <c r="Y866" s="411"/>
      <c r="Z866" s="412">
        <f t="shared" si="55"/>
        <v>0</v>
      </c>
      <c r="AA866" s="456">
        <f t="shared" si="54"/>
        <v>0</v>
      </c>
      <c r="AB866" s="456">
        <v>0</v>
      </c>
      <c r="AE866" s="5"/>
    </row>
    <row r="867" spans="1:31" x14ac:dyDescent="0.25">
      <c r="A867" s="430" t="s">
        <v>5127</v>
      </c>
      <c r="B867" s="3" t="s">
        <v>1368</v>
      </c>
      <c r="C867" s="3" t="s">
        <v>1247</v>
      </c>
      <c r="D867" s="407" t="s">
        <v>4872</v>
      </c>
      <c r="E867" s="407" t="s">
        <v>4903</v>
      </c>
      <c r="F867" s="415"/>
      <c r="G867" s="415"/>
      <c r="H867" s="415"/>
      <c r="I867" s="415"/>
      <c r="J867" s="3" t="s">
        <v>4888</v>
      </c>
      <c r="K867" s="387">
        <v>2</v>
      </c>
      <c r="L867" s="387">
        <v>0</v>
      </c>
      <c r="M867" s="387">
        <v>2</v>
      </c>
      <c r="N867" s="442">
        <f t="shared" si="56"/>
        <v>0</v>
      </c>
      <c r="O867" s="387" t="s">
        <v>1358</v>
      </c>
      <c r="P867" s="459">
        <v>7.3</v>
      </c>
      <c r="Q867" s="459"/>
      <c r="R867" s="456">
        <v>0</v>
      </c>
      <c r="S867" s="459">
        <v>7.3</v>
      </c>
      <c r="T867" s="555"/>
      <c r="U867" s="411">
        <v>1</v>
      </c>
      <c r="V867" s="411">
        <v>1</v>
      </c>
      <c r="W867" s="411">
        <v>1</v>
      </c>
      <c r="X867" s="411"/>
      <c r="Y867" s="411"/>
      <c r="Z867" s="412">
        <f t="shared" si="55"/>
        <v>0</v>
      </c>
      <c r="AA867" s="456">
        <f t="shared" si="54"/>
        <v>0</v>
      </c>
      <c r="AB867" s="456">
        <v>0</v>
      </c>
      <c r="AC867" s="469"/>
      <c r="AD867" s="470"/>
      <c r="AE867" s="5"/>
    </row>
    <row r="868" spans="1:31" x14ac:dyDescent="0.25">
      <c r="A868" s="430" t="s">
        <v>5128</v>
      </c>
      <c r="B868" s="3" t="s">
        <v>1368</v>
      </c>
      <c r="C868" s="3" t="s">
        <v>1247</v>
      </c>
      <c r="D868" s="407" t="s">
        <v>4872</v>
      </c>
      <c r="E868" s="407" t="s">
        <v>4904</v>
      </c>
      <c r="F868" s="415"/>
      <c r="G868" s="415"/>
      <c r="H868" s="415"/>
      <c r="I868" s="415"/>
      <c r="J868" s="3" t="s">
        <v>4888</v>
      </c>
      <c r="K868" s="387">
        <v>2</v>
      </c>
      <c r="L868" s="387">
        <v>0</v>
      </c>
      <c r="M868" s="387">
        <v>2</v>
      </c>
      <c r="N868" s="442">
        <f t="shared" si="56"/>
        <v>0</v>
      </c>
      <c r="O868" s="387" t="s">
        <v>1358</v>
      </c>
      <c r="P868" s="459">
        <v>7.3</v>
      </c>
      <c r="Q868" s="459"/>
      <c r="R868" s="456">
        <v>0</v>
      </c>
      <c r="S868" s="459">
        <v>7.3</v>
      </c>
      <c r="T868" s="555"/>
      <c r="U868" s="411">
        <v>1</v>
      </c>
      <c r="V868" s="411">
        <v>1</v>
      </c>
      <c r="W868" s="411">
        <v>1</v>
      </c>
      <c r="X868" s="411"/>
      <c r="Y868" s="411"/>
      <c r="Z868" s="412">
        <f t="shared" si="55"/>
        <v>0</v>
      </c>
      <c r="AA868" s="456">
        <f t="shared" si="54"/>
        <v>0</v>
      </c>
      <c r="AB868" s="456">
        <v>0</v>
      </c>
      <c r="AC868" s="469"/>
      <c r="AD868" s="470"/>
      <c r="AE868" s="5"/>
    </row>
    <row r="869" spans="1:31" x14ac:dyDescent="0.25">
      <c r="A869" s="430" t="s">
        <v>5129</v>
      </c>
      <c r="B869" s="3" t="s">
        <v>1368</v>
      </c>
      <c r="C869" s="3" t="s">
        <v>1247</v>
      </c>
      <c r="D869" s="407" t="s">
        <v>4872</v>
      </c>
      <c r="E869" s="407" t="s">
        <v>4905</v>
      </c>
      <c r="F869" s="415"/>
      <c r="G869" s="415"/>
      <c r="H869" s="415"/>
      <c r="I869" s="415"/>
      <c r="J869" s="3" t="s">
        <v>4888</v>
      </c>
      <c r="K869" s="387">
        <v>2</v>
      </c>
      <c r="L869" s="387">
        <v>0</v>
      </c>
      <c r="M869" s="387">
        <v>2</v>
      </c>
      <c r="N869" s="442">
        <f t="shared" si="56"/>
        <v>0</v>
      </c>
      <c r="O869" s="387" t="s">
        <v>1358</v>
      </c>
      <c r="P869" s="459">
        <v>7.3</v>
      </c>
      <c r="Q869" s="459"/>
      <c r="R869" s="456">
        <v>0</v>
      </c>
      <c r="S869" s="459">
        <v>7.3</v>
      </c>
      <c r="T869" s="555"/>
      <c r="U869" s="411">
        <v>1</v>
      </c>
      <c r="V869" s="411">
        <v>1</v>
      </c>
      <c r="W869" s="411">
        <v>1</v>
      </c>
      <c r="X869" s="411"/>
      <c r="Y869" s="411"/>
      <c r="Z869" s="412">
        <f t="shared" si="55"/>
        <v>0</v>
      </c>
      <c r="AA869" s="456">
        <f t="shared" si="54"/>
        <v>0</v>
      </c>
      <c r="AB869" s="456">
        <v>0</v>
      </c>
      <c r="AC869" s="469"/>
      <c r="AD869" s="470"/>
      <c r="AE869" s="5"/>
    </row>
    <row r="870" spans="1:31" x14ac:dyDescent="0.25">
      <c r="A870" s="1" t="s">
        <v>4987</v>
      </c>
      <c r="B870" s="3" t="s">
        <v>1368</v>
      </c>
      <c r="C870" s="3" t="s">
        <v>1247</v>
      </c>
      <c r="D870" s="407" t="s">
        <v>4872</v>
      </c>
      <c r="E870" s="407" t="s">
        <v>4906</v>
      </c>
      <c r="F870" s="415"/>
      <c r="G870" s="415"/>
      <c r="H870" s="415"/>
      <c r="I870" s="415"/>
      <c r="J870" s="3" t="s">
        <v>4888</v>
      </c>
      <c r="K870" s="387">
        <v>2</v>
      </c>
      <c r="L870" s="387">
        <v>0</v>
      </c>
      <c r="M870" s="387">
        <v>2</v>
      </c>
      <c r="N870" s="442">
        <f t="shared" si="56"/>
        <v>0</v>
      </c>
      <c r="O870" s="387" t="s">
        <v>1358</v>
      </c>
      <c r="P870" s="459">
        <v>7.3</v>
      </c>
      <c r="Q870" s="459"/>
      <c r="R870" s="456">
        <v>0</v>
      </c>
      <c r="S870" s="459">
        <v>7.3</v>
      </c>
      <c r="T870" s="555"/>
      <c r="U870" s="411">
        <v>1</v>
      </c>
      <c r="V870" s="411">
        <v>1</v>
      </c>
      <c r="W870" s="411">
        <v>1</v>
      </c>
      <c r="X870" s="411"/>
      <c r="Y870" s="411"/>
      <c r="Z870" s="412">
        <f t="shared" si="55"/>
        <v>0</v>
      </c>
      <c r="AA870" s="456">
        <f t="shared" si="54"/>
        <v>0</v>
      </c>
      <c r="AB870" s="456">
        <v>0</v>
      </c>
      <c r="AC870" s="469"/>
      <c r="AD870" s="470"/>
      <c r="AE870" s="5"/>
    </row>
    <row r="871" spans="1:31" x14ac:dyDescent="0.25">
      <c r="A871" s="430" t="s">
        <v>5130</v>
      </c>
      <c r="B871" s="3" t="s">
        <v>1368</v>
      </c>
      <c r="C871" s="3" t="s">
        <v>1247</v>
      </c>
      <c r="D871" s="407" t="s">
        <v>4872</v>
      </c>
      <c r="E871" s="407" t="s">
        <v>4907</v>
      </c>
      <c r="F871" s="415"/>
      <c r="G871" s="415"/>
      <c r="H871" s="415"/>
      <c r="I871" s="415"/>
      <c r="J871" s="3" t="s">
        <v>4888</v>
      </c>
      <c r="K871" s="387">
        <v>2</v>
      </c>
      <c r="L871" s="387">
        <v>0</v>
      </c>
      <c r="M871" s="387">
        <v>2</v>
      </c>
      <c r="N871" s="442">
        <f t="shared" si="56"/>
        <v>0</v>
      </c>
      <c r="O871" s="387" t="s">
        <v>1358</v>
      </c>
      <c r="P871" s="459">
        <v>7.3</v>
      </c>
      <c r="Q871" s="459"/>
      <c r="R871" s="456">
        <v>0</v>
      </c>
      <c r="S871" s="459">
        <v>7.3</v>
      </c>
      <c r="T871" s="555"/>
      <c r="U871" s="411">
        <v>1</v>
      </c>
      <c r="V871" s="411">
        <v>1</v>
      </c>
      <c r="W871" s="411">
        <v>1</v>
      </c>
      <c r="X871" s="411"/>
      <c r="Y871" s="411"/>
      <c r="Z871" s="412">
        <f t="shared" si="55"/>
        <v>0</v>
      </c>
      <c r="AA871" s="456">
        <f t="shared" si="54"/>
        <v>0</v>
      </c>
      <c r="AB871" s="456">
        <v>0</v>
      </c>
      <c r="AC871" s="469"/>
      <c r="AD871" s="470"/>
      <c r="AE871" s="5"/>
    </row>
    <row r="872" spans="1:31" x14ac:dyDescent="0.25">
      <c r="A872" s="430" t="s">
        <v>5131</v>
      </c>
      <c r="B872" s="3" t="s">
        <v>1368</v>
      </c>
      <c r="C872" s="3" t="s">
        <v>1247</v>
      </c>
      <c r="D872" s="407" t="s">
        <v>4872</v>
      </c>
      <c r="E872" s="407" t="s">
        <v>4908</v>
      </c>
      <c r="F872" s="415"/>
      <c r="G872" s="415"/>
      <c r="H872" s="415"/>
      <c r="I872" s="415"/>
      <c r="J872" s="3" t="s">
        <v>4888</v>
      </c>
      <c r="K872" s="387">
        <v>2</v>
      </c>
      <c r="L872" s="387">
        <v>0</v>
      </c>
      <c r="M872" s="387">
        <v>2</v>
      </c>
      <c r="N872" s="442">
        <f t="shared" si="56"/>
        <v>0</v>
      </c>
      <c r="O872" s="387" t="s">
        <v>1358</v>
      </c>
      <c r="P872" s="459">
        <v>7.3</v>
      </c>
      <c r="Q872" s="459"/>
      <c r="R872" s="456">
        <v>0</v>
      </c>
      <c r="S872" s="459">
        <v>7.3</v>
      </c>
      <c r="T872" s="555"/>
      <c r="U872" s="411">
        <v>1</v>
      </c>
      <c r="V872" s="411">
        <v>1</v>
      </c>
      <c r="W872" s="411">
        <v>1</v>
      </c>
      <c r="X872" s="411"/>
      <c r="Y872" s="411"/>
      <c r="Z872" s="412">
        <f t="shared" si="55"/>
        <v>0</v>
      </c>
      <c r="AA872" s="456">
        <f t="shared" si="54"/>
        <v>0</v>
      </c>
      <c r="AB872" s="456">
        <v>0</v>
      </c>
      <c r="AC872" s="469"/>
      <c r="AD872" s="470"/>
      <c r="AE872" s="5"/>
    </row>
    <row r="873" spans="1:31" x14ac:dyDescent="0.25">
      <c r="A873" s="1" t="s">
        <v>4988</v>
      </c>
      <c r="B873" s="3" t="s">
        <v>1368</v>
      </c>
      <c r="C873" s="3" t="s">
        <v>1247</v>
      </c>
      <c r="D873" s="407" t="s">
        <v>4872</v>
      </c>
      <c r="E873" s="407" t="s">
        <v>4909</v>
      </c>
      <c r="F873" s="415"/>
      <c r="G873" s="415"/>
      <c r="H873" s="415"/>
      <c r="I873" s="415"/>
      <c r="J873" s="3" t="s">
        <v>4888</v>
      </c>
      <c r="K873" s="387">
        <v>2</v>
      </c>
      <c r="L873" s="387">
        <v>0</v>
      </c>
      <c r="M873" s="387">
        <v>2</v>
      </c>
      <c r="N873" s="442">
        <f t="shared" si="56"/>
        <v>0</v>
      </c>
      <c r="O873" s="387" t="s">
        <v>1358</v>
      </c>
      <c r="P873" s="459">
        <v>7.3</v>
      </c>
      <c r="Q873" s="459"/>
      <c r="R873" s="456">
        <v>0</v>
      </c>
      <c r="S873" s="459">
        <v>7.3</v>
      </c>
      <c r="T873" s="555"/>
      <c r="U873" s="411">
        <v>1</v>
      </c>
      <c r="V873" s="411">
        <v>1</v>
      </c>
      <c r="W873" s="411">
        <v>1</v>
      </c>
      <c r="X873" s="411"/>
      <c r="Y873" s="411"/>
      <c r="Z873" s="412">
        <f t="shared" si="55"/>
        <v>0</v>
      </c>
      <c r="AA873" s="456">
        <f t="shared" si="54"/>
        <v>0</v>
      </c>
      <c r="AB873" s="456">
        <v>0</v>
      </c>
      <c r="AC873" s="469"/>
      <c r="AD873" s="470"/>
      <c r="AE873" s="5"/>
    </row>
    <row r="874" spans="1:31" x14ac:dyDescent="0.25">
      <c r="A874" s="430" t="s">
        <v>5132</v>
      </c>
      <c r="B874" s="3" t="s">
        <v>1368</v>
      </c>
      <c r="C874" s="3" t="s">
        <v>1247</v>
      </c>
      <c r="D874" s="407" t="s">
        <v>4872</v>
      </c>
      <c r="E874" s="407" t="s">
        <v>4910</v>
      </c>
      <c r="F874" s="415"/>
      <c r="G874" s="415"/>
      <c r="H874" s="415"/>
      <c r="I874" s="415"/>
      <c r="J874" s="3" t="s">
        <v>4889</v>
      </c>
      <c r="K874" s="387">
        <v>2</v>
      </c>
      <c r="L874" s="387">
        <v>0</v>
      </c>
      <c r="M874" s="387">
        <v>2</v>
      </c>
      <c r="N874" s="442">
        <f t="shared" si="56"/>
        <v>0</v>
      </c>
      <c r="O874" s="387" t="s">
        <v>1358</v>
      </c>
      <c r="P874" s="459">
        <v>7.3</v>
      </c>
      <c r="Q874" s="459"/>
      <c r="R874" s="456">
        <v>0</v>
      </c>
      <c r="S874" s="459">
        <v>7.3</v>
      </c>
      <c r="T874" s="555"/>
      <c r="U874" s="411">
        <v>1</v>
      </c>
      <c r="V874" s="411">
        <v>1</v>
      </c>
      <c r="W874" s="411">
        <v>1</v>
      </c>
      <c r="X874" s="411"/>
      <c r="Y874" s="411"/>
      <c r="Z874" s="412">
        <f t="shared" si="55"/>
        <v>0</v>
      </c>
      <c r="AA874" s="456">
        <f t="shared" si="54"/>
        <v>0</v>
      </c>
      <c r="AB874" s="456">
        <v>0</v>
      </c>
      <c r="AC874" s="469"/>
      <c r="AD874" s="470"/>
      <c r="AE874" s="5"/>
    </row>
    <row r="875" spans="1:31" x14ac:dyDescent="0.25">
      <c r="A875" s="430" t="s">
        <v>5133</v>
      </c>
      <c r="B875" s="3" t="s">
        <v>1368</v>
      </c>
      <c r="C875" s="3" t="s">
        <v>1247</v>
      </c>
      <c r="D875" s="407" t="s">
        <v>4872</v>
      </c>
      <c r="E875" s="407" t="s">
        <v>4911</v>
      </c>
      <c r="F875" s="415"/>
      <c r="G875" s="415"/>
      <c r="H875" s="415"/>
      <c r="I875" s="415"/>
      <c r="J875" s="3" t="s">
        <v>4889</v>
      </c>
      <c r="K875" s="387">
        <v>2</v>
      </c>
      <c r="L875" s="387">
        <v>0</v>
      </c>
      <c r="M875" s="387">
        <v>2</v>
      </c>
      <c r="N875" s="442">
        <f t="shared" si="56"/>
        <v>0</v>
      </c>
      <c r="O875" s="387" t="s">
        <v>1358</v>
      </c>
      <c r="P875" s="459">
        <v>7.3</v>
      </c>
      <c r="Q875" s="459"/>
      <c r="R875" s="456">
        <v>0</v>
      </c>
      <c r="S875" s="459">
        <v>7.3</v>
      </c>
      <c r="T875" s="555"/>
      <c r="U875" s="411">
        <v>1</v>
      </c>
      <c r="V875" s="411">
        <v>1</v>
      </c>
      <c r="W875" s="411">
        <v>1</v>
      </c>
      <c r="X875" s="411"/>
      <c r="Y875" s="411"/>
      <c r="Z875" s="412">
        <f t="shared" si="55"/>
        <v>0</v>
      </c>
      <c r="AA875" s="456">
        <f t="shared" si="54"/>
        <v>0</v>
      </c>
      <c r="AB875" s="456">
        <v>0</v>
      </c>
      <c r="AC875" s="469"/>
      <c r="AD875" s="470"/>
      <c r="AE875" s="5"/>
    </row>
    <row r="876" spans="1:31" x14ac:dyDescent="0.25">
      <c r="A876" s="1" t="s">
        <v>4989</v>
      </c>
      <c r="B876" s="3" t="s">
        <v>1368</v>
      </c>
      <c r="C876" s="3" t="s">
        <v>1247</v>
      </c>
      <c r="D876" s="407" t="s">
        <v>4872</v>
      </c>
      <c r="E876" s="407" t="s">
        <v>4912</v>
      </c>
      <c r="F876" s="415"/>
      <c r="G876" s="415"/>
      <c r="H876" s="415"/>
      <c r="I876" s="415"/>
      <c r="J876" s="3" t="s">
        <v>4889</v>
      </c>
      <c r="K876" s="387">
        <v>2</v>
      </c>
      <c r="L876" s="387">
        <v>0</v>
      </c>
      <c r="M876" s="387">
        <v>2</v>
      </c>
      <c r="N876" s="442">
        <f t="shared" si="56"/>
        <v>0</v>
      </c>
      <c r="O876" s="387" t="s">
        <v>1358</v>
      </c>
      <c r="P876" s="459">
        <v>8</v>
      </c>
      <c r="Q876" s="459"/>
      <c r="R876" s="456">
        <v>0</v>
      </c>
      <c r="S876" s="459">
        <v>8</v>
      </c>
      <c r="T876" s="555"/>
      <c r="U876" s="411">
        <v>1</v>
      </c>
      <c r="V876" s="411">
        <v>1</v>
      </c>
      <c r="W876" s="411">
        <v>1</v>
      </c>
      <c r="X876" s="411"/>
      <c r="Y876" s="411"/>
      <c r="Z876" s="412">
        <f t="shared" si="55"/>
        <v>0</v>
      </c>
      <c r="AA876" s="456">
        <f t="shared" si="54"/>
        <v>0</v>
      </c>
      <c r="AB876" s="456">
        <v>0</v>
      </c>
      <c r="AC876" s="469"/>
      <c r="AD876" s="470"/>
      <c r="AE876" s="5"/>
    </row>
    <row r="877" spans="1:31" x14ac:dyDescent="0.25">
      <c r="A877" s="1" t="s">
        <v>4990</v>
      </c>
      <c r="B877" s="3" t="s">
        <v>1368</v>
      </c>
      <c r="C877" s="3" t="s">
        <v>1247</v>
      </c>
      <c r="D877" s="407" t="s">
        <v>4872</v>
      </c>
      <c r="E877" s="407" t="s">
        <v>4913</v>
      </c>
      <c r="F877" s="415"/>
      <c r="G877" s="415"/>
      <c r="H877" s="415"/>
      <c r="I877" s="415"/>
      <c r="J877" s="3" t="s">
        <v>4889</v>
      </c>
      <c r="K877" s="387">
        <v>2</v>
      </c>
      <c r="L877" s="387">
        <v>0</v>
      </c>
      <c r="M877" s="387">
        <v>2</v>
      </c>
      <c r="N877" s="442">
        <f t="shared" si="56"/>
        <v>0</v>
      </c>
      <c r="O877" s="387" t="s">
        <v>1358</v>
      </c>
      <c r="P877" s="459">
        <v>7.3</v>
      </c>
      <c r="Q877" s="459"/>
      <c r="R877" s="456">
        <v>0</v>
      </c>
      <c r="S877" s="459">
        <v>7.3</v>
      </c>
      <c r="T877" s="555"/>
      <c r="U877" s="411">
        <v>1</v>
      </c>
      <c r="V877" s="411">
        <v>1</v>
      </c>
      <c r="W877" s="411">
        <v>1</v>
      </c>
      <c r="X877" s="411"/>
      <c r="Y877" s="411"/>
      <c r="Z877" s="412">
        <f t="shared" si="55"/>
        <v>0</v>
      </c>
      <c r="AA877" s="456">
        <f t="shared" si="54"/>
        <v>0</v>
      </c>
      <c r="AB877" s="456">
        <v>0</v>
      </c>
      <c r="AC877" s="469"/>
      <c r="AD877" s="470"/>
      <c r="AE877" s="5"/>
    </row>
    <row r="878" spans="1:31" x14ac:dyDescent="0.25">
      <c r="A878" s="430" t="s">
        <v>5134</v>
      </c>
      <c r="B878" s="3" t="s">
        <v>1368</v>
      </c>
      <c r="C878" s="3" t="s">
        <v>1247</v>
      </c>
      <c r="D878" s="407" t="s">
        <v>4872</v>
      </c>
      <c r="E878" s="407" t="s">
        <v>4914</v>
      </c>
      <c r="F878" s="415"/>
      <c r="G878" s="415"/>
      <c r="H878" s="415"/>
      <c r="I878" s="415"/>
      <c r="J878" s="3" t="s">
        <v>4889</v>
      </c>
      <c r="K878" s="387">
        <v>2</v>
      </c>
      <c r="L878" s="387">
        <v>0</v>
      </c>
      <c r="M878" s="387">
        <v>2</v>
      </c>
      <c r="N878" s="442">
        <f t="shared" si="56"/>
        <v>0</v>
      </c>
      <c r="O878" s="387" t="s">
        <v>1358</v>
      </c>
      <c r="P878" s="459">
        <v>8</v>
      </c>
      <c r="Q878" s="459"/>
      <c r="R878" s="456">
        <v>0</v>
      </c>
      <c r="S878" s="459">
        <v>8</v>
      </c>
      <c r="U878" s="411">
        <v>1</v>
      </c>
      <c r="V878" s="411">
        <v>1</v>
      </c>
      <c r="W878" s="411">
        <v>1</v>
      </c>
      <c r="X878" s="411"/>
      <c r="Y878" s="411"/>
      <c r="Z878" s="412">
        <f t="shared" si="55"/>
        <v>0</v>
      </c>
      <c r="AA878" s="456">
        <f t="shared" si="54"/>
        <v>0</v>
      </c>
      <c r="AB878" s="456">
        <v>0</v>
      </c>
      <c r="AE878" s="5"/>
    </row>
    <row r="879" spans="1:31" x14ac:dyDescent="0.25">
      <c r="A879" s="1" t="s">
        <v>4979</v>
      </c>
      <c r="B879" s="3" t="s">
        <v>1368</v>
      </c>
      <c r="C879" s="3" t="s">
        <v>1247</v>
      </c>
      <c r="D879" s="407" t="s">
        <v>4872</v>
      </c>
      <c r="E879" s="407" t="s">
        <v>4893</v>
      </c>
      <c r="F879" s="415"/>
      <c r="G879" s="415"/>
      <c r="H879" s="415"/>
      <c r="I879" s="415"/>
      <c r="J879" s="3" t="s">
        <v>4890</v>
      </c>
      <c r="K879" s="387">
        <v>2</v>
      </c>
      <c r="L879" s="387">
        <v>0</v>
      </c>
      <c r="M879" s="387">
        <v>2</v>
      </c>
      <c r="N879" s="442">
        <f t="shared" si="56"/>
        <v>0</v>
      </c>
      <c r="O879" s="387" t="s">
        <v>1358</v>
      </c>
      <c r="P879" s="459">
        <v>7.3</v>
      </c>
      <c r="Q879" s="459"/>
      <c r="R879" s="456">
        <v>0</v>
      </c>
      <c r="S879" s="459">
        <v>7.3</v>
      </c>
      <c r="T879" s="555"/>
      <c r="U879" s="411">
        <v>1</v>
      </c>
      <c r="V879" s="411">
        <v>1</v>
      </c>
      <c r="W879" s="411">
        <v>1</v>
      </c>
      <c r="X879" s="411"/>
      <c r="Y879" s="411"/>
      <c r="Z879" s="412">
        <f t="shared" si="55"/>
        <v>0</v>
      </c>
      <c r="AA879" s="456">
        <f t="shared" si="54"/>
        <v>0</v>
      </c>
      <c r="AB879" s="456">
        <v>0</v>
      </c>
      <c r="AC879" s="469"/>
      <c r="AD879" s="470"/>
      <c r="AE879" s="5"/>
    </row>
    <row r="880" spans="1:31" x14ac:dyDescent="0.25">
      <c r="A880" s="1" t="s">
        <v>4991</v>
      </c>
      <c r="B880" s="3" t="s">
        <v>1368</v>
      </c>
      <c r="C880" s="3" t="s">
        <v>1247</v>
      </c>
      <c r="D880" s="407" t="s">
        <v>4872</v>
      </c>
      <c r="E880" s="407" t="s">
        <v>4915</v>
      </c>
      <c r="F880" s="415"/>
      <c r="G880" s="415"/>
      <c r="H880" s="415"/>
      <c r="I880" s="415"/>
      <c r="J880" s="3" t="s">
        <v>4890</v>
      </c>
      <c r="K880" s="387">
        <v>2</v>
      </c>
      <c r="L880" s="387">
        <v>0</v>
      </c>
      <c r="M880" s="387">
        <v>2</v>
      </c>
      <c r="N880" s="442">
        <f t="shared" si="56"/>
        <v>0</v>
      </c>
      <c r="O880" s="387" t="s">
        <v>1358</v>
      </c>
      <c r="P880" s="459">
        <v>7.3</v>
      </c>
      <c r="Q880" s="459"/>
      <c r="R880" s="456">
        <v>0</v>
      </c>
      <c r="S880" s="459">
        <v>7.3</v>
      </c>
      <c r="T880" s="555"/>
      <c r="U880" s="411">
        <v>1</v>
      </c>
      <c r="V880" s="411">
        <v>1</v>
      </c>
      <c r="W880" s="411">
        <v>1</v>
      </c>
      <c r="X880" s="411"/>
      <c r="Y880" s="411"/>
      <c r="Z880" s="412">
        <f t="shared" si="55"/>
        <v>0</v>
      </c>
      <c r="AA880" s="456">
        <f t="shared" si="54"/>
        <v>0</v>
      </c>
      <c r="AB880" s="456">
        <v>0</v>
      </c>
      <c r="AC880" s="469"/>
      <c r="AD880" s="470"/>
      <c r="AE880" s="5"/>
    </row>
    <row r="881" spans="1:31" x14ac:dyDescent="0.25">
      <c r="A881" s="1" t="s">
        <v>4982</v>
      </c>
      <c r="B881" s="3" t="s">
        <v>1368</v>
      </c>
      <c r="C881" s="3" t="s">
        <v>1247</v>
      </c>
      <c r="D881" s="407" t="s">
        <v>4872</v>
      </c>
      <c r="E881" s="407" t="s">
        <v>4916</v>
      </c>
      <c r="F881" s="415"/>
      <c r="G881" s="415"/>
      <c r="H881" s="415"/>
      <c r="I881" s="415"/>
      <c r="J881" s="3" t="s">
        <v>4890</v>
      </c>
      <c r="K881" s="387">
        <v>2</v>
      </c>
      <c r="L881" s="387">
        <v>0</v>
      </c>
      <c r="M881" s="387">
        <v>2</v>
      </c>
      <c r="N881" s="442">
        <f t="shared" si="56"/>
        <v>0</v>
      </c>
      <c r="O881" s="387" t="s">
        <v>1358</v>
      </c>
      <c r="P881" s="459">
        <v>7.3</v>
      </c>
      <c r="Q881" s="459"/>
      <c r="R881" s="456">
        <v>0</v>
      </c>
      <c r="S881" s="459">
        <v>7.3</v>
      </c>
      <c r="T881" s="555"/>
      <c r="U881" s="411">
        <v>1</v>
      </c>
      <c r="V881" s="411">
        <v>1</v>
      </c>
      <c r="W881" s="411">
        <v>1</v>
      </c>
      <c r="X881" s="411"/>
      <c r="Y881" s="411"/>
      <c r="Z881" s="412">
        <f t="shared" si="55"/>
        <v>0</v>
      </c>
      <c r="AA881" s="456">
        <f t="shared" si="54"/>
        <v>0</v>
      </c>
      <c r="AB881" s="456">
        <v>0</v>
      </c>
      <c r="AC881" s="469"/>
      <c r="AD881" s="470"/>
      <c r="AE881" s="5"/>
    </row>
    <row r="882" spans="1:31" x14ac:dyDescent="0.25">
      <c r="A882" s="1" t="s">
        <v>4992</v>
      </c>
      <c r="B882" s="3" t="s">
        <v>1368</v>
      </c>
      <c r="C882" s="3" t="s">
        <v>1247</v>
      </c>
      <c r="D882" s="407" t="s">
        <v>4872</v>
      </c>
      <c r="E882" s="407" t="s">
        <v>4902</v>
      </c>
      <c r="F882" s="415"/>
      <c r="G882" s="415"/>
      <c r="H882" s="415"/>
      <c r="I882" s="415"/>
      <c r="J882" s="3" t="s">
        <v>4890</v>
      </c>
      <c r="K882" s="387">
        <v>2</v>
      </c>
      <c r="L882" s="387">
        <v>0</v>
      </c>
      <c r="M882" s="387">
        <v>2</v>
      </c>
      <c r="N882" s="442">
        <f t="shared" si="56"/>
        <v>0</v>
      </c>
      <c r="O882" s="387" t="s">
        <v>1358</v>
      </c>
      <c r="P882" s="459">
        <v>7.3</v>
      </c>
      <c r="Q882" s="459"/>
      <c r="R882" s="456">
        <v>0</v>
      </c>
      <c r="S882" s="459">
        <v>7.3</v>
      </c>
      <c r="T882" s="555"/>
      <c r="U882" s="411">
        <v>1</v>
      </c>
      <c r="V882" s="411">
        <v>1</v>
      </c>
      <c r="W882" s="411">
        <v>1</v>
      </c>
      <c r="X882" s="411"/>
      <c r="Y882" s="411"/>
      <c r="Z882" s="412">
        <f t="shared" si="55"/>
        <v>0</v>
      </c>
      <c r="AA882" s="456">
        <f t="shared" si="54"/>
        <v>0</v>
      </c>
      <c r="AB882" s="456">
        <v>0</v>
      </c>
      <c r="AC882" s="469"/>
      <c r="AD882" s="470"/>
      <c r="AE882" s="5"/>
    </row>
    <row r="883" spans="1:31" x14ac:dyDescent="0.25">
      <c r="A883" s="1" t="s">
        <v>4985</v>
      </c>
      <c r="B883" s="3" t="s">
        <v>1368</v>
      </c>
      <c r="C883" s="3" t="s">
        <v>1247</v>
      </c>
      <c r="D883" s="407" t="s">
        <v>4872</v>
      </c>
      <c r="E883" s="407" t="s">
        <v>4917</v>
      </c>
      <c r="F883" s="415"/>
      <c r="G883" s="415"/>
      <c r="H883" s="415"/>
      <c r="I883" s="415"/>
      <c r="J883" s="3" t="s">
        <v>4890</v>
      </c>
      <c r="K883" s="387">
        <v>2</v>
      </c>
      <c r="L883" s="387">
        <v>0</v>
      </c>
      <c r="M883" s="387">
        <v>2</v>
      </c>
      <c r="N883" s="442">
        <f t="shared" si="56"/>
        <v>0</v>
      </c>
      <c r="O883" s="387" t="s">
        <v>1358</v>
      </c>
      <c r="P883" s="459">
        <v>7.3</v>
      </c>
      <c r="Q883" s="459"/>
      <c r="R883" s="456">
        <v>0</v>
      </c>
      <c r="S883" s="459">
        <v>7.3</v>
      </c>
      <c r="T883" s="555"/>
      <c r="U883" s="411">
        <v>1</v>
      </c>
      <c r="V883" s="411">
        <v>1</v>
      </c>
      <c r="W883" s="411">
        <v>1</v>
      </c>
      <c r="X883" s="411"/>
      <c r="Y883" s="411"/>
      <c r="Z883" s="412">
        <f t="shared" si="55"/>
        <v>0</v>
      </c>
      <c r="AA883" s="456">
        <f t="shared" si="54"/>
        <v>0</v>
      </c>
      <c r="AB883" s="456">
        <v>0</v>
      </c>
      <c r="AC883" s="469"/>
      <c r="AD883" s="470"/>
      <c r="AE883" s="5"/>
    </row>
    <row r="884" spans="1:31" x14ac:dyDescent="0.25">
      <c r="A884" s="1" t="s">
        <v>4993</v>
      </c>
      <c r="B884" s="3" t="s">
        <v>1368</v>
      </c>
      <c r="C884" s="3" t="s">
        <v>1247</v>
      </c>
      <c r="D884" s="407" t="s">
        <v>4872</v>
      </c>
      <c r="E884" s="407" t="s">
        <v>4918</v>
      </c>
      <c r="F884" s="415"/>
      <c r="G884" s="415"/>
      <c r="H884" s="415"/>
      <c r="I884" s="415"/>
      <c r="J884" s="3" t="s">
        <v>4890</v>
      </c>
      <c r="K884" s="387">
        <v>2</v>
      </c>
      <c r="L884" s="387">
        <v>0</v>
      </c>
      <c r="M884" s="387">
        <v>2</v>
      </c>
      <c r="N884" s="442">
        <f t="shared" si="56"/>
        <v>0</v>
      </c>
      <c r="O884" s="387" t="s">
        <v>1358</v>
      </c>
      <c r="P884" s="459">
        <v>7.3</v>
      </c>
      <c r="Q884" s="459"/>
      <c r="R884" s="456">
        <v>0</v>
      </c>
      <c r="S884" s="459">
        <v>7.3</v>
      </c>
      <c r="T884" s="555"/>
      <c r="U884" s="411">
        <v>1</v>
      </c>
      <c r="V884" s="411">
        <v>1</v>
      </c>
      <c r="W884" s="411">
        <v>1</v>
      </c>
      <c r="X884" s="411"/>
      <c r="Y884" s="411"/>
      <c r="Z884" s="412">
        <f t="shared" si="55"/>
        <v>0</v>
      </c>
      <c r="AA884" s="456">
        <f t="shared" si="54"/>
        <v>0</v>
      </c>
      <c r="AB884" s="456">
        <v>0</v>
      </c>
      <c r="AC884" s="469"/>
      <c r="AD884" s="470"/>
      <c r="AE884" s="5"/>
    </row>
    <row r="885" spans="1:31" x14ac:dyDescent="0.25">
      <c r="A885" s="1" t="s">
        <v>4994</v>
      </c>
      <c r="B885" s="3" t="s">
        <v>1368</v>
      </c>
      <c r="C885" s="3" t="s">
        <v>1247</v>
      </c>
      <c r="D885" s="407" t="s">
        <v>4872</v>
      </c>
      <c r="E885" s="407" t="s">
        <v>4919</v>
      </c>
      <c r="F885" s="415"/>
      <c r="G885" s="415"/>
      <c r="H885" s="415"/>
      <c r="I885" s="415"/>
      <c r="J885" s="3" t="s">
        <v>4890</v>
      </c>
      <c r="K885" s="387">
        <v>2</v>
      </c>
      <c r="L885" s="387">
        <v>0</v>
      </c>
      <c r="M885" s="387">
        <v>2</v>
      </c>
      <c r="N885" s="442">
        <f t="shared" si="56"/>
        <v>0</v>
      </c>
      <c r="O885" s="387" t="s">
        <v>1358</v>
      </c>
      <c r="P885" s="459">
        <v>7.3</v>
      </c>
      <c r="Q885" s="459"/>
      <c r="R885" s="456">
        <v>0</v>
      </c>
      <c r="S885" s="459">
        <v>7.3</v>
      </c>
      <c r="T885" s="555"/>
      <c r="U885" s="411">
        <v>1</v>
      </c>
      <c r="V885" s="411">
        <v>1</v>
      </c>
      <c r="W885" s="411">
        <v>1</v>
      </c>
      <c r="X885" s="411"/>
      <c r="Y885" s="411"/>
      <c r="Z885" s="412">
        <f t="shared" si="55"/>
        <v>0</v>
      </c>
      <c r="AA885" s="456">
        <f t="shared" si="54"/>
        <v>0</v>
      </c>
      <c r="AB885" s="456">
        <v>0</v>
      </c>
      <c r="AC885" s="469"/>
      <c r="AD885" s="470"/>
      <c r="AE885" s="5"/>
    </row>
    <row r="886" spans="1:31" x14ac:dyDescent="0.25">
      <c r="A886" s="1" t="s">
        <v>4995</v>
      </c>
      <c r="B886" s="3" t="s">
        <v>1368</v>
      </c>
      <c r="C886" s="3" t="s">
        <v>1247</v>
      </c>
      <c r="D886" s="407" t="s">
        <v>4872</v>
      </c>
      <c r="E886" s="407" t="s">
        <v>4920</v>
      </c>
      <c r="F886" s="415"/>
      <c r="G886" s="415"/>
      <c r="H886" s="415"/>
      <c r="I886" s="415"/>
      <c r="J886" s="3" t="s">
        <v>4890</v>
      </c>
      <c r="K886" s="387">
        <v>2</v>
      </c>
      <c r="L886" s="387">
        <v>0</v>
      </c>
      <c r="M886" s="387">
        <v>2</v>
      </c>
      <c r="N886" s="442">
        <f t="shared" si="56"/>
        <v>0</v>
      </c>
      <c r="O886" s="387" t="s">
        <v>1358</v>
      </c>
      <c r="P886" s="459">
        <v>7.3</v>
      </c>
      <c r="Q886" s="459"/>
      <c r="R886" s="456">
        <v>0</v>
      </c>
      <c r="S886" s="459">
        <v>7.3</v>
      </c>
      <c r="T886" s="555"/>
      <c r="U886" s="411">
        <v>1</v>
      </c>
      <c r="V886" s="411">
        <v>1</v>
      </c>
      <c r="W886" s="411">
        <v>1</v>
      </c>
      <c r="X886" s="411"/>
      <c r="Y886" s="411"/>
      <c r="Z886" s="412">
        <f t="shared" si="55"/>
        <v>0</v>
      </c>
      <c r="AA886" s="456">
        <f t="shared" si="54"/>
        <v>0</v>
      </c>
      <c r="AB886" s="456">
        <v>0</v>
      </c>
      <c r="AC886" s="469"/>
      <c r="AD886" s="470"/>
      <c r="AE886" s="5"/>
    </row>
    <row r="887" spans="1:31" x14ac:dyDescent="0.25">
      <c r="A887" s="1" t="s">
        <v>4996</v>
      </c>
      <c r="B887" s="3" t="s">
        <v>1368</v>
      </c>
      <c r="C887" s="3" t="s">
        <v>1247</v>
      </c>
      <c r="D887" s="407" t="s">
        <v>4872</v>
      </c>
      <c r="E887" s="407" t="s">
        <v>4921</v>
      </c>
      <c r="F887" s="415"/>
      <c r="G887" s="415"/>
      <c r="H887" s="415"/>
      <c r="I887" s="415"/>
      <c r="J887" s="3" t="s">
        <v>4890</v>
      </c>
      <c r="K887" s="387">
        <v>2</v>
      </c>
      <c r="L887" s="387">
        <v>0</v>
      </c>
      <c r="M887" s="387">
        <v>2</v>
      </c>
      <c r="N887" s="442">
        <f t="shared" si="56"/>
        <v>0</v>
      </c>
      <c r="O887" s="387" t="s">
        <v>1358</v>
      </c>
      <c r="P887" s="459">
        <v>7.3</v>
      </c>
      <c r="Q887" s="459"/>
      <c r="R887" s="456">
        <v>0</v>
      </c>
      <c r="S887" s="459">
        <v>7.3</v>
      </c>
      <c r="T887" s="555"/>
      <c r="U887" s="411">
        <v>1</v>
      </c>
      <c r="V887" s="411">
        <v>1</v>
      </c>
      <c r="W887" s="411">
        <v>1</v>
      </c>
      <c r="X887" s="411"/>
      <c r="Y887" s="411"/>
      <c r="Z887" s="412">
        <f t="shared" si="55"/>
        <v>0</v>
      </c>
      <c r="AA887" s="456">
        <f t="shared" si="54"/>
        <v>0</v>
      </c>
      <c r="AB887" s="456">
        <v>0</v>
      </c>
      <c r="AC887" s="469"/>
      <c r="AD887" s="470"/>
      <c r="AE887" s="5"/>
    </row>
    <row r="888" spans="1:31" x14ac:dyDescent="0.25">
      <c r="A888" s="1" t="s">
        <v>4997</v>
      </c>
      <c r="B888" s="3" t="s">
        <v>1368</v>
      </c>
      <c r="C888" s="3" t="s">
        <v>1247</v>
      </c>
      <c r="D888" s="407" t="s">
        <v>4872</v>
      </c>
      <c r="E888" s="407" t="s">
        <v>4922</v>
      </c>
      <c r="F888" s="415"/>
      <c r="G888" s="415"/>
      <c r="H888" s="415"/>
      <c r="I888" s="415"/>
      <c r="J888" s="3" t="s">
        <v>4890</v>
      </c>
      <c r="K888" s="387">
        <v>2</v>
      </c>
      <c r="L888" s="387">
        <v>0</v>
      </c>
      <c r="M888" s="387">
        <v>2</v>
      </c>
      <c r="N888" s="442">
        <f t="shared" si="56"/>
        <v>0</v>
      </c>
      <c r="O888" s="387" t="s">
        <v>1358</v>
      </c>
      <c r="P888" s="459">
        <v>7.3</v>
      </c>
      <c r="Q888" s="459"/>
      <c r="R888" s="456">
        <v>0</v>
      </c>
      <c r="S888" s="459">
        <v>7.3</v>
      </c>
      <c r="T888" s="555"/>
      <c r="U888" s="411">
        <v>1</v>
      </c>
      <c r="V888" s="411">
        <v>1</v>
      </c>
      <c r="W888" s="411">
        <v>1</v>
      </c>
      <c r="X888" s="411"/>
      <c r="Y888" s="411"/>
      <c r="Z888" s="412">
        <f t="shared" si="55"/>
        <v>0</v>
      </c>
      <c r="AA888" s="456">
        <f t="shared" si="54"/>
        <v>0</v>
      </c>
      <c r="AB888" s="456">
        <v>0</v>
      </c>
      <c r="AC888" s="469"/>
      <c r="AD888" s="470"/>
      <c r="AE888" s="5"/>
    </row>
    <row r="889" spans="1:31" x14ac:dyDescent="0.25">
      <c r="A889" s="1" t="s">
        <v>4998</v>
      </c>
      <c r="B889" s="3" t="s">
        <v>1368</v>
      </c>
      <c r="C889" s="3" t="s">
        <v>1247</v>
      </c>
      <c r="D889" s="407" t="s">
        <v>4872</v>
      </c>
      <c r="E889" s="407" t="s">
        <v>4923</v>
      </c>
      <c r="F889" s="415"/>
      <c r="G889" s="415"/>
      <c r="H889" s="415"/>
      <c r="I889" s="415"/>
      <c r="J889" s="3" t="s">
        <v>4890</v>
      </c>
      <c r="K889" s="387">
        <v>2</v>
      </c>
      <c r="L889" s="387">
        <v>0</v>
      </c>
      <c r="M889" s="387">
        <v>2</v>
      </c>
      <c r="N889" s="442">
        <f t="shared" si="56"/>
        <v>0</v>
      </c>
      <c r="O889" s="387" t="s">
        <v>1358</v>
      </c>
      <c r="P889" s="459">
        <v>7.3</v>
      </c>
      <c r="Q889" s="459"/>
      <c r="R889" s="456">
        <v>0</v>
      </c>
      <c r="S889" s="459">
        <v>7.3</v>
      </c>
      <c r="T889" s="555"/>
      <c r="U889" s="411">
        <v>1</v>
      </c>
      <c r="V889" s="411">
        <v>1</v>
      </c>
      <c r="W889" s="411">
        <v>1</v>
      </c>
      <c r="X889" s="411"/>
      <c r="Y889" s="411"/>
      <c r="Z889" s="412">
        <f t="shared" si="55"/>
        <v>0</v>
      </c>
      <c r="AA889" s="456">
        <f t="shared" si="54"/>
        <v>0</v>
      </c>
      <c r="AB889" s="456">
        <v>0</v>
      </c>
      <c r="AC889" s="469"/>
      <c r="AD889" s="470"/>
      <c r="AE889" s="5"/>
    </row>
    <row r="890" spans="1:31" x14ac:dyDescent="0.25">
      <c r="A890" s="1" t="s">
        <v>4999</v>
      </c>
      <c r="B890" s="3" t="s">
        <v>1368</v>
      </c>
      <c r="C890" s="3" t="s">
        <v>1247</v>
      </c>
      <c r="D890" s="407" t="s">
        <v>4872</v>
      </c>
      <c r="E890" s="407" t="s">
        <v>4893</v>
      </c>
      <c r="F890" s="415"/>
      <c r="G890" s="415"/>
      <c r="H890" s="415"/>
      <c r="I890" s="415"/>
      <c r="J890" s="3" t="s">
        <v>4891</v>
      </c>
      <c r="K890" s="387">
        <v>2</v>
      </c>
      <c r="L890" s="387">
        <v>0</v>
      </c>
      <c r="M890" s="387">
        <v>2</v>
      </c>
      <c r="N890" s="442">
        <f t="shared" si="56"/>
        <v>0</v>
      </c>
      <c r="O890" s="387" t="s">
        <v>1358</v>
      </c>
      <c r="P890" s="459">
        <v>7.3</v>
      </c>
      <c r="Q890" s="459"/>
      <c r="R890" s="456">
        <v>0</v>
      </c>
      <c r="S890" s="459">
        <v>7.3</v>
      </c>
      <c r="U890" s="411">
        <v>1</v>
      </c>
      <c r="V890" s="411">
        <v>1</v>
      </c>
      <c r="W890" s="411">
        <v>1</v>
      </c>
      <c r="X890" s="411"/>
      <c r="Y890" s="411"/>
      <c r="Z890" s="412">
        <f t="shared" si="55"/>
        <v>0</v>
      </c>
      <c r="AA890" s="456">
        <f t="shared" si="54"/>
        <v>0</v>
      </c>
      <c r="AB890" s="456">
        <v>0</v>
      </c>
      <c r="AE890" s="5"/>
    </row>
    <row r="891" spans="1:31" x14ac:dyDescent="0.25">
      <c r="A891" s="1" t="s">
        <v>5000</v>
      </c>
      <c r="B891" s="3" t="s">
        <v>1368</v>
      </c>
      <c r="C891" s="3" t="s">
        <v>1247</v>
      </c>
      <c r="D891" s="407" t="s">
        <v>4872</v>
      </c>
      <c r="E891" s="407" t="s">
        <v>4902</v>
      </c>
      <c r="F891" s="415"/>
      <c r="G891" s="415"/>
      <c r="H891" s="415"/>
      <c r="I891" s="415"/>
      <c r="J891" s="3" t="s">
        <v>4891</v>
      </c>
      <c r="K891" s="387">
        <v>2</v>
      </c>
      <c r="L891" s="387">
        <v>0</v>
      </c>
      <c r="M891" s="387">
        <v>2</v>
      </c>
      <c r="N891" s="442">
        <f t="shared" si="56"/>
        <v>0</v>
      </c>
      <c r="O891" s="387" t="s">
        <v>1358</v>
      </c>
      <c r="P891" s="459">
        <v>7.3</v>
      </c>
      <c r="Q891" s="459"/>
      <c r="R891" s="456">
        <v>0</v>
      </c>
      <c r="S891" s="459">
        <v>7.3</v>
      </c>
      <c r="T891" s="555"/>
      <c r="U891" s="411">
        <v>1</v>
      </c>
      <c r="V891" s="411">
        <v>1</v>
      </c>
      <c r="W891" s="411">
        <v>1</v>
      </c>
      <c r="X891" s="411"/>
      <c r="Y891" s="411"/>
      <c r="Z891" s="412">
        <f t="shared" si="55"/>
        <v>0</v>
      </c>
      <c r="AA891" s="456">
        <f t="shared" si="54"/>
        <v>0</v>
      </c>
      <c r="AB891" s="456">
        <v>0</v>
      </c>
      <c r="AC891" s="469"/>
      <c r="AD891" s="470"/>
      <c r="AE891" s="5"/>
    </row>
    <row r="892" spans="1:31" x14ac:dyDescent="0.25">
      <c r="A892" s="1" t="s">
        <v>5001</v>
      </c>
      <c r="B892" s="3" t="s">
        <v>1368</v>
      </c>
      <c r="C892" s="3" t="s">
        <v>1247</v>
      </c>
      <c r="D892" s="407" t="s">
        <v>4872</v>
      </c>
      <c r="E892" s="407" t="s">
        <v>4924</v>
      </c>
      <c r="F892" s="415"/>
      <c r="G892" s="415"/>
      <c r="H892" s="415"/>
      <c r="I892" s="415"/>
      <c r="J892" s="3" t="s">
        <v>4891</v>
      </c>
      <c r="K892" s="387">
        <v>2</v>
      </c>
      <c r="L892" s="387">
        <v>0</v>
      </c>
      <c r="M892" s="387">
        <v>2</v>
      </c>
      <c r="N892" s="442">
        <f t="shared" si="56"/>
        <v>0</v>
      </c>
      <c r="O892" s="387" t="s">
        <v>1358</v>
      </c>
      <c r="P892" s="459">
        <v>7.3</v>
      </c>
      <c r="Q892" s="459"/>
      <c r="R892" s="456">
        <v>0</v>
      </c>
      <c r="S892" s="459">
        <v>7.3</v>
      </c>
      <c r="T892" s="555"/>
      <c r="U892" s="411">
        <v>1</v>
      </c>
      <c r="V892" s="411">
        <v>1</v>
      </c>
      <c r="W892" s="411">
        <v>1</v>
      </c>
      <c r="X892" s="411"/>
      <c r="Y892" s="411"/>
      <c r="Z892" s="412">
        <f t="shared" si="55"/>
        <v>0</v>
      </c>
      <c r="AA892" s="456">
        <f t="shared" si="54"/>
        <v>0</v>
      </c>
      <c r="AB892" s="456">
        <v>0</v>
      </c>
      <c r="AC892" s="469"/>
      <c r="AD892" s="470"/>
      <c r="AE892" s="5"/>
    </row>
    <row r="893" spans="1:31" x14ac:dyDescent="0.25">
      <c r="A893" s="1" t="s">
        <v>5002</v>
      </c>
      <c r="B893" s="3" t="s">
        <v>1368</v>
      </c>
      <c r="C893" s="3" t="s">
        <v>1247</v>
      </c>
      <c r="D893" s="407" t="s">
        <v>4872</v>
      </c>
      <c r="E893" s="407" t="s">
        <v>4925</v>
      </c>
      <c r="F893" s="415"/>
      <c r="G893" s="415"/>
      <c r="H893" s="415"/>
      <c r="I893" s="415"/>
      <c r="J893" s="3" t="s">
        <v>4891</v>
      </c>
      <c r="K893" s="387">
        <v>2</v>
      </c>
      <c r="L893" s="387">
        <v>0</v>
      </c>
      <c r="M893" s="387">
        <v>2</v>
      </c>
      <c r="N893" s="442">
        <f t="shared" si="56"/>
        <v>0</v>
      </c>
      <c r="O893" s="387" t="s">
        <v>1358</v>
      </c>
      <c r="P893" s="459">
        <v>7.3</v>
      </c>
      <c r="Q893" s="459"/>
      <c r="R893" s="456">
        <v>0</v>
      </c>
      <c r="S893" s="459">
        <v>7.3</v>
      </c>
      <c r="T893" s="555"/>
      <c r="U893" s="411">
        <v>1</v>
      </c>
      <c r="V893" s="411">
        <v>1</v>
      </c>
      <c r="W893" s="411">
        <v>1</v>
      </c>
      <c r="X893" s="411"/>
      <c r="Y893" s="411"/>
      <c r="Z893" s="412">
        <f t="shared" si="55"/>
        <v>0</v>
      </c>
      <c r="AA893" s="456">
        <f t="shared" si="54"/>
        <v>0</v>
      </c>
      <c r="AB893" s="456">
        <v>0</v>
      </c>
      <c r="AC893" s="469"/>
      <c r="AD893" s="470"/>
      <c r="AE893" s="5"/>
    </row>
    <row r="894" spans="1:31" x14ac:dyDescent="0.25">
      <c r="A894" s="1" t="s">
        <v>5003</v>
      </c>
      <c r="B894" s="3" t="s">
        <v>1368</v>
      </c>
      <c r="C894" s="3" t="s">
        <v>1247</v>
      </c>
      <c r="D894" s="407" t="s">
        <v>4872</v>
      </c>
      <c r="E894" s="407" t="s">
        <v>4926</v>
      </c>
      <c r="F894" s="415"/>
      <c r="G894" s="415"/>
      <c r="H894" s="415"/>
      <c r="I894" s="415"/>
      <c r="J894" s="3" t="s">
        <v>4891</v>
      </c>
      <c r="K894" s="387">
        <v>2</v>
      </c>
      <c r="L894" s="387">
        <v>0</v>
      </c>
      <c r="M894" s="387">
        <v>2</v>
      </c>
      <c r="N894" s="442">
        <f t="shared" si="56"/>
        <v>0</v>
      </c>
      <c r="O894" s="387" t="s">
        <v>1358</v>
      </c>
      <c r="P894" s="459">
        <v>7.3</v>
      </c>
      <c r="Q894" s="459"/>
      <c r="R894" s="456">
        <v>0</v>
      </c>
      <c r="S894" s="459">
        <v>7.3</v>
      </c>
      <c r="T894" s="555"/>
      <c r="U894" s="411">
        <v>1</v>
      </c>
      <c r="V894" s="411">
        <v>1</v>
      </c>
      <c r="W894" s="411">
        <v>1</v>
      </c>
      <c r="X894" s="411"/>
      <c r="Y894" s="411"/>
      <c r="Z894" s="412">
        <f t="shared" si="55"/>
        <v>0</v>
      </c>
      <c r="AA894" s="456">
        <f t="shared" si="54"/>
        <v>0</v>
      </c>
      <c r="AB894" s="456">
        <v>0</v>
      </c>
      <c r="AC894" s="469"/>
      <c r="AD894" s="470"/>
      <c r="AE894" s="5"/>
    </row>
    <row r="895" spans="1:31" x14ac:dyDescent="0.25">
      <c r="A895" s="1" t="s">
        <v>5004</v>
      </c>
      <c r="B895" s="3" t="s">
        <v>1368</v>
      </c>
      <c r="C895" s="3" t="s">
        <v>1247</v>
      </c>
      <c r="D895" s="407" t="s">
        <v>4872</v>
      </c>
      <c r="E895" s="407" t="s">
        <v>4919</v>
      </c>
      <c r="F895" s="415"/>
      <c r="G895" s="415"/>
      <c r="H895" s="415"/>
      <c r="I895" s="415"/>
      <c r="J895" s="3" t="s">
        <v>4891</v>
      </c>
      <c r="K895" s="387">
        <v>2</v>
      </c>
      <c r="L895" s="387">
        <v>0</v>
      </c>
      <c r="M895" s="387">
        <v>2</v>
      </c>
      <c r="N895" s="442">
        <f t="shared" si="56"/>
        <v>0</v>
      </c>
      <c r="O895" s="387" t="s">
        <v>1358</v>
      </c>
      <c r="P895" s="459">
        <v>7.3</v>
      </c>
      <c r="Q895" s="459"/>
      <c r="R895" s="456">
        <v>0</v>
      </c>
      <c r="S895" s="459">
        <v>7.3</v>
      </c>
      <c r="T895" s="555"/>
      <c r="U895" s="411">
        <v>1</v>
      </c>
      <c r="V895" s="411">
        <v>1</v>
      </c>
      <c r="W895" s="411">
        <v>1</v>
      </c>
      <c r="X895" s="411"/>
      <c r="Y895" s="411"/>
      <c r="Z895" s="412">
        <f t="shared" si="55"/>
        <v>0</v>
      </c>
      <c r="AA895" s="456">
        <f t="shared" ref="AA895:AA912" si="57">(U895*U$368*S895)+(V895*V$368*S895)+(W895*W$368*S895)</f>
        <v>0</v>
      </c>
      <c r="AB895" s="456">
        <v>0</v>
      </c>
      <c r="AC895" s="469"/>
      <c r="AD895" s="470"/>
      <c r="AE895" s="5"/>
    </row>
    <row r="896" spans="1:31" x14ac:dyDescent="0.25">
      <c r="A896" s="1" t="s">
        <v>5005</v>
      </c>
      <c r="B896" s="3" t="s">
        <v>1368</v>
      </c>
      <c r="C896" s="3" t="s">
        <v>1247</v>
      </c>
      <c r="D896" s="407" t="s">
        <v>4872</v>
      </c>
      <c r="E896" s="407" t="s">
        <v>4901</v>
      </c>
      <c r="F896" s="415"/>
      <c r="G896" s="415"/>
      <c r="H896" s="415"/>
      <c r="I896" s="415"/>
      <c r="J896" s="3" t="s">
        <v>4891</v>
      </c>
      <c r="K896" s="387">
        <v>2</v>
      </c>
      <c r="L896" s="387">
        <v>0</v>
      </c>
      <c r="M896" s="387">
        <v>2</v>
      </c>
      <c r="N896" s="442">
        <f t="shared" si="56"/>
        <v>0</v>
      </c>
      <c r="O896" s="387" t="s">
        <v>1358</v>
      </c>
      <c r="P896" s="459">
        <v>7.3</v>
      </c>
      <c r="Q896" s="459"/>
      <c r="R896" s="456">
        <v>0</v>
      </c>
      <c r="S896" s="459">
        <v>7.3</v>
      </c>
      <c r="T896" s="555"/>
      <c r="U896" s="411">
        <v>1</v>
      </c>
      <c r="V896" s="411">
        <v>1</v>
      </c>
      <c r="W896" s="411">
        <v>1</v>
      </c>
      <c r="X896" s="411"/>
      <c r="Y896" s="411"/>
      <c r="Z896" s="412">
        <f t="shared" si="55"/>
        <v>0</v>
      </c>
      <c r="AA896" s="456">
        <f t="shared" si="57"/>
        <v>0</v>
      </c>
      <c r="AB896" s="456">
        <v>0</v>
      </c>
      <c r="AC896" s="469"/>
      <c r="AD896" s="470"/>
      <c r="AE896" s="5"/>
    </row>
    <row r="897" spans="1:31" x14ac:dyDescent="0.25">
      <c r="A897" s="1" t="s">
        <v>5006</v>
      </c>
      <c r="B897" s="3" t="s">
        <v>1368</v>
      </c>
      <c r="C897" s="3" t="s">
        <v>1247</v>
      </c>
      <c r="D897" s="407" t="s">
        <v>4872</v>
      </c>
      <c r="E897" s="407" t="s">
        <v>4927</v>
      </c>
      <c r="F897" s="415"/>
      <c r="G897" s="415"/>
      <c r="H897" s="415"/>
      <c r="I897" s="415"/>
      <c r="J897" s="3" t="s">
        <v>4891</v>
      </c>
      <c r="K897" s="387">
        <v>2</v>
      </c>
      <c r="L897" s="387">
        <v>0</v>
      </c>
      <c r="M897" s="387">
        <v>2</v>
      </c>
      <c r="N897" s="442">
        <f t="shared" si="56"/>
        <v>0</v>
      </c>
      <c r="O897" s="387" t="s">
        <v>1358</v>
      </c>
      <c r="P897" s="459">
        <v>7.3</v>
      </c>
      <c r="Q897" s="459"/>
      <c r="R897" s="456">
        <v>0</v>
      </c>
      <c r="S897" s="459">
        <v>7.3</v>
      </c>
      <c r="T897" s="555"/>
      <c r="U897" s="411">
        <v>1</v>
      </c>
      <c r="V897" s="411">
        <v>1</v>
      </c>
      <c r="W897" s="411">
        <v>1</v>
      </c>
      <c r="X897" s="411"/>
      <c r="Y897" s="411"/>
      <c r="Z897" s="412">
        <f t="shared" si="55"/>
        <v>0</v>
      </c>
      <c r="AA897" s="456">
        <f t="shared" si="57"/>
        <v>0</v>
      </c>
      <c r="AB897" s="456">
        <v>0</v>
      </c>
      <c r="AC897" s="469"/>
      <c r="AD897" s="470"/>
      <c r="AE897" s="5"/>
    </row>
    <row r="898" spans="1:31" x14ac:dyDescent="0.25">
      <c r="A898" s="1" t="s">
        <v>5007</v>
      </c>
      <c r="B898" s="3" t="s">
        <v>1368</v>
      </c>
      <c r="C898" s="3" t="s">
        <v>1247</v>
      </c>
      <c r="D898" s="407" t="s">
        <v>4872</v>
      </c>
      <c r="E898" s="407" t="s">
        <v>4928</v>
      </c>
      <c r="F898" s="415"/>
      <c r="G898" s="415"/>
      <c r="H898" s="415"/>
      <c r="I898" s="415"/>
      <c r="J898" s="3" t="s">
        <v>4891</v>
      </c>
      <c r="K898" s="387">
        <v>2</v>
      </c>
      <c r="L898" s="387">
        <v>0</v>
      </c>
      <c r="M898" s="387">
        <v>2</v>
      </c>
      <c r="N898" s="442">
        <f t="shared" si="56"/>
        <v>0</v>
      </c>
      <c r="O898" s="387" t="s">
        <v>1358</v>
      </c>
      <c r="P898" s="459">
        <v>7.3</v>
      </c>
      <c r="Q898" s="459"/>
      <c r="R898" s="456">
        <v>0</v>
      </c>
      <c r="S898" s="459">
        <v>7.3</v>
      </c>
      <c r="T898" s="555"/>
      <c r="U898" s="411">
        <v>1</v>
      </c>
      <c r="V898" s="411">
        <v>1</v>
      </c>
      <c r="W898" s="411">
        <v>1</v>
      </c>
      <c r="X898" s="411"/>
      <c r="Y898" s="411"/>
      <c r="Z898" s="412">
        <f t="shared" si="55"/>
        <v>0</v>
      </c>
      <c r="AA898" s="456">
        <f t="shared" si="57"/>
        <v>0</v>
      </c>
      <c r="AB898" s="456">
        <v>0</v>
      </c>
      <c r="AC898" s="469"/>
      <c r="AD898" s="470"/>
      <c r="AE898" s="5"/>
    </row>
    <row r="899" spans="1:31" x14ac:dyDescent="0.25">
      <c r="A899" s="1" t="s">
        <v>5008</v>
      </c>
      <c r="B899" s="3" t="s">
        <v>1368</v>
      </c>
      <c r="C899" s="3" t="s">
        <v>1247</v>
      </c>
      <c r="D899" s="407" t="s">
        <v>4872</v>
      </c>
      <c r="E899" s="407" t="s">
        <v>4893</v>
      </c>
      <c r="F899" s="415"/>
      <c r="G899" s="415"/>
      <c r="H899" s="415"/>
      <c r="I899" s="415"/>
      <c r="J899" s="3" t="s">
        <v>4892</v>
      </c>
      <c r="K899" s="387">
        <v>2</v>
      </c>
      <c r="L899" s="387">
        <v>0</v>
      </c>
      <c r="M899" s="387">
        <v>2</v>
      </c>
      <c r="N899" s="442">
        <f t="shared" si="56"/>
        <v>0</v>
      </c>
      <c r="O899" s="387" t="s">
        <v>1358</v>
      </c>
      <c r="P899" s="459">
        <v>7.3</v>
      </c>
      <c r="Q899" s="459"/>
      <c r="R899" s="456">
        <v>0</v>
      </c>
      <c r="S899" s="459">
        <v>7.3</v>
      </c>
      <c r="T899" s="555"/>
      <c r="U899" s="411">
        <v>1</v>
      </c>
      <c r="V899" s="411">
        <v>1</v>
      </c>
      <c r="W899" s="411">
        <v>1</v>
      </c>
      <c r="X899" s="411"/>
      <c r="Y899" s="411"/>
      <c r="Z899" s="412">
        <f t="shared" si="55"/>
        <v>0</v>
      </c>
      <c r="AA899" s="456">
        <f t="shared" si="57"/>
        <v>0</v>
      </c>
      <c r="AB899" s="456">
        <v>0</v>
      </c>
      <c r="AC899" s="469"/>
      <c r="AD899" s="470"/>
      <c r="AE899" s="5"/>
    </row>
    <row r="900" spans="1:31" x14ac:dyDescent="0.25">
      <c r="A900" s="1" t="s">
        <v>5009</v>
      </c>
      <c r="B900" s="3" t="s">
        <v>1368</v>
      </c>
      <c r="C900" s="3" t="s">
        <v>1247</v>
      </c>
      <c r="D900" s="407" t="s">
        <v>4872</v>
      </c>
      <c r="E900" s="407" t="s">
        <v>4902</v>
      </c>
      <c r="F900" s="415"/>
      <c r="G900" s="415"/>
      <c r="H900" s="415"/>
      <c r="I900" s="415"/>
      <c r="J900" s="3" t="s">
        <v>4892</v>
      </c>
      <c r="K900" s="387">
        <v>2</v>
      </c>
      <c r="L900" s="387">
        <v>0</v>
      </c>
      <c r="M900" s="387">
        <v>2</v>
      </c>
      <c r="N900" s="442">
        <f t="shared" si="56"/>
        <v>0</v>
      </c>
      <c r="O900" s="387" t="s">
        <v>1358</v>
      </c>
      <c r="P900" s="459">
        <v>7.3</v>
      </c>
      <c r="Q900" s="459"/>
      <c r="R900" s="456">
        <v>0</v>
      </c>
      <c r="S900" s="459">
        <v>7.3</v>
      </c>
      <c r="T900" s="555"/>
      <c r="U900" s="411">
        <v>1</v>
      </c>
      <c r="V900" s="411">
        <v>1</v>
      </c>
      <c r="W900" s="411">
        <v>1</v>
      </c>
      <c r="X900" s="411"/>
      <c r="Y900" s="411"/>
      <c r="Z900" s="412">
        <f t="shared" si="55"/>
        <v>0</v>
      </c>
      <c r="AA900" s="456">
        <f t="shared" si="57"/>
        <v>0</v>
      </c>
      <c r="AB900" s="456">
        <v>0</v>
      </c>
      <c r="AC900" s="469"/>
      <c r="AD900" s="470"/>
      <c r="AE900" s="5"/>
    </row>
    <row r="901" spans="1:31" x14ac:dyDescent="0.25">
      <c r="A901" s="1" t="s">
        <v>5010</v>
      </c>
      <c r="B901" s="3" t="s">
        <v>1368</v>
      </c>
      <c r="C901" s="3" t="s">
        <v>1247</v>
      </c>
      <c r="D901" s="407" t="s">
        <v>4872</v>
      </c>
      <c r="E901" s="407" t="s">
        <v>4929</v>
      </c>
      <c r="F901" s="415"/>
      <c r="G901" s="415"/>
      <c r="H901" s="415"/>
      <c r="I901" s="415"/>
      <c r="J901" s="3" t="s">
        <v>4892</v>
      </c>
      <c r="K901" s="387">
        <v>2</v>
      </c>
      <c r="L901" s="387">
        <v>0</v>
      </c>
      <c r="M901" s="387">
        <v>2</v>
      </c>
      <c r="N901" s="442">
        <f t="shared" si="56"/>
        <v>0</v>
      </c>
      <c r="O901" s="387" t="s">
        <v>1358</v>
      </c>
      <c r="P901" s="459">
        <v>7.3</v>
      </c>
      <c r="Q901" s="459"/>
      <c r="R901" s="456">
        <v>0</v>
      </c>
      <c r="S901" s="459">
        <v>7.3</v>
      </c>
      <c r="T901" s="555"/>
      <c r="U901" s="411">
        <v>1</v>
      </c>
      <c r="V901" s="411">
        <v>1</v>
      </c>
      <c r="W901" s="411">
        <v>1</v>
      </c>
      <c r="X901" s="411"/>
      <c r="Y901" s="411"/>
      <c r="Z901" s="412">
        <f t="shared" si="55"/>
        <v>0</v>
      </c>
      <c r="AA901" s="456">
        <f t="shared" si="57"/>
        <v>0</v>
      </c>
      <c r="AB901" s="456">
        <v>0</v>
      </c>
      <c r="AC901" s="469"/>
      <c r="AD901" s="470"/>
      <c r="AE901" s="5"/>
    </row>
    <row r="902" spans="1:31" x14ac:dyDescent="0.25">
      <c r="A902" s="1" t="s">
        <v>5011</v>
      </c>
      <c r="B902" s="3" t="s">
        <v>1368</v>
      </c>
      <c r="C902" s="3" t="s">
        <v>1247</v>
      </c>
      <c r="D902" s="407" t="s">
        <v>4872</v>
      </c>
      <c r="E902" s="407" t="s">
        <v>4926</v>
      </c>
      <c r="F902" s="415"/>
      <c r="G902" s="415"/>
      <c r="H902" s="415"/>
      <c r="I902" s="415"/>
      <c r="J902" s="3" t="s">
        <v>4892</v>
      </c>
      <c r="K902" s="387">
        <v>2</v>
      </c>
      <c r="L902" s="387">
        <v>0</v>
      </c>
      <c r="M902" s="387">
        <v>2</v>
      </c>
      <c r="N902" s="442">
        <f t="shared" si="56"/>
        <v>0</v>
      </c>
      <c r="O902" s="387" t="s">
        <v>1358</v>
      </c>
      <c r="P902" s="459">
        <v>7.3</v>
      </c>
      <c r="Q902" s="459"/>
      <c r="R902" s="456">
        <v>0</v>
      </c>
      <c r="S902" s="459">
        <v>7.3</v>
      </c>
      <c r="U902" s="411">
        <v>1</v>
      </c>
      <c r="V902" s="411">
        <v>1</v>
      </c>
      <c r="W902" s="411">
        <v>1</v>
      </c>
      <c r="X902" s="411"/>
      <c r="Y902" s="411"/>
      <c r="Z902" s="412">
        <f t="shared" si="55"/>
        <v>0</v>
      </c>
      <c r="AA902" s="456">
        <f t="shared" si="57"/>
        <v>0</v>
      </c>
      <c r="AB902" s="456">
        <v>0</v>
      </c>
      <c r="AE902" s="5"/>
    </row>
    <row r="903" spans="1:31" x14ac:dyDescent="0.25">
      <c r="A903" s="1" t="s">
        <v>5012</v>
      </c>
      <c r="B903" s="3" t="s">
        <v>1368</v>
      </c>
      <c r="C903" s="3" t="s">
        <v>1247</v>
      </c>
      <c r="D903" s="407" t="s">
        <v>4872</v>
      </c>
      <c r="E903" s="407" t="s">
        <v>4930</v>
      </c>
      <c r="F903" s="415"/>
      <c r="G903" s="415"/>
      <c r="H903" s="415"/>
      <c r="I903" s="415"/>
      <c r="J903" s="3" t="s">
        <v>4892</v>
      </c>
      <c r="K903" s="387">
        <v>2</v>
      </c>
      <c r="L903" s="387">
        <v>0</v>
      </c>
      <c r="M903" s="387">
        <v>2</v>
      </c>
      <c r="N903" s="442">
        <f t="shared" si="56"/>
        <v>0</v>
      </c>
      <c r="O903" s="387" t="s">
        <v>1358</v>
      </c>
      <c r="P903" s="459">
        <v>7.3</v>
      </c>
      <c r="Q903" s="459"/>
      <c r="R903" s="456">
        <v>0</v>
      </c>
      <c r="S903" s="459">
        <v>7.3</v>
      </c>
      <c r="T903" s="555"/>
      <c r="U903" s="411">
        <v>1</v>
      </c>
      <c r="V903" s="411">
        <v>1</v>
      </c>
      <c r="W903" s="411">
        <v>1</v>
      </c>
      <c r="X903" s="411"/>
      <c r="Y903" s="411"/>
      <c r="Z903" s="412">
        <f t="shared" si="55"/>
        <v>0</v>
      </c>
      <c r="AA903" s="456">
        <f t="shared" si="57"/>
        <v>0</v>
      </c>
      <c r="AB903" s="456">
        <v>0</v>
      </c>
      <c r="AC903" s="469"/>
      <c r="AD903" s="470"/>
      <c r="AE903" s="5"/>
    </row>
    <row r="904" spans="1:31" x14ac:dyDescent="0.25">
      <c r="A904" s="1" t="s">
        <v>5013</v>
      </c>
      <c r="B904" s="3" t="s">
        <v>1368</v>
      </c>
      <c r="C904" s="3" t="s">
        <v>1247</v>
      </c>
      <c r="D904" s="407" t="s">
        <v>4872</v>
      </c>
      <c r="E904" s="407" t="s">
        <v>4931</v>
      </c>
      <c r="F904" s="415"/>
      <c r="G904" s="415"/>
      <c r="H904" s="415"/>
      <c r="I904" s="415"/>
      <c r="J904" s="3" t="s">
        <v>4892</v>
      </c>
      <c r="K904" s="387">
        <v>2</v>
      </c>
      <c r="L904" s="387">
        <v>0</v>
      </c>
      <c r="M904" s="387">
        <v>2</v>
      </c>
      <c r="N904" s="442">
        <f t="shared" si="56"/>
        <v>0</v>
      </c>
      <c r="O904" s="387" t="s">
        <v>1358</v>
      </c>
      <c r="P904" s="459">
        <v>7.3</v>
      </c>
      <c r="Q904" s="459"/>
      <c r="R904" s="456">
        <v>0</v>
      </c>
      <c r="S904" s="459">
        <v>7.3</v>
      </c>
      <c r="T904" s="555"/>
      <c r="U904" s="411">
        <v>1</v>
      </c>
      <c r="V904" s="411">
        <v>1</v>
      </c>
      <c r="W904" s="411">
        <v>1</v>
      </c>
      <c r="X904" s="411"/>
      <c r="Y904" s="411"/>
      <c r="Z904" s="412">
        <f t="shared" si="55"/>
        <v>0</v>
      </c>
      <c r="AA904" s="456">
        <f t="shared" si="57"/>
        <v>0</v>
      </c>
      <c r="AB904" s="456">
        <v>0</v>
      </c>
      <c r="AC904" s="469"/>
      <c r="AD904" s="470"/>
      <c r="AE904" s="5"/>
    </row>
    <row r="905" spans="1:31" x14ac:dyDescent="0.25">
      <c r="A905" s="1" t="s">
        <v>5014</v>
      </c>
      <c r="B905" s="3" t="s">
        <v>1368</v>
      </c>
      <c r="C905" s="3" t="s">
        <v>1247</v>
      </c>
      <c r="D905" s="407" t="s">
        <v>4872</v>
      </c>
      <c r="E905" s="407" t="s">
        <v>4932</v>
      </c>
      <c r="F905" s="415"/>
      <c r="G905" s="415"/>
      <c r="H905" s="415"/>
      <c r="I905" s="415"/>
      <c r="J905" s="3" t="s">
        <v>4892</v>
      </c>
      <c r="K905" s="387">
        <v>2</v>
      </c>
      <c r="L905" s="387">
        <v>0</v>
      </c>
      <c r="M905" s="387">
        <v>2</v>
      </c>
      <c r="N905" s="442">
        <f t="shared" si="56"/>
        <v>0</v>
      </c>
      <c r="O905" s="387" t="s">
        <v>1358</v>
      </c>
      <c r="P905" s="459">
        <v>7.3</v>
      </c>
      <c r="Q905" s="459"/>
      <c r="R905" s="456">
        <v>0</v>
      </c>
      <c r="S905" s="459">
        <v>7.3</v>
      </c>
      <c r="T905" s="555"/>
      <c r="U905" s="411">
        <v>1</v>
      </c>
      <c r="V905" s="411">
        <v>1</v>
      </c>
      <c r="W905" s="411">
        <v>1</v>
      </c>
      <c r="X905" s="411"/>
      <c r="Y905" s="411"/>
      <c r="Z905" s="412">
        <f t="shared" si="55"/>
        <v>0</v>
      </c>
      <c r="AA905" s="456">
        <f t="shared" si="57"/>
        <v>0</v>
      </c>
      <c r="AB905" s="456">
        <v>0</v>
      </c>
      <c r="AC905" s="469"/>
      <c r="AD905" s="470"/>
      <c r="AE905" s="5"/>
    </row>
    <row r="906" spans="1:31" x14ac:dyDescent="0.25">
      <c r="A906" s="1" t="s">
        <v>5015</v>
      </c>
      <c r="B906" s="3" t="s">
        <v>1368</v>
      </c>
      <c r="C906" s="3" t="s">
        <v>1247</v>
      </c>
      <c r="D906" s="407" t="s">
        <v>4872</v>
      </c>
      <c r="E906" s="407" t="s">
        <v>4958</v>
      </c>
      <c r="F906" s="415"/>
      <c r="G906" s="415"/>
      <c r="H906" s="415"/>
      <c r="I906" s="415"/>
      <c r="J906" s="3" t="s">
        <v>4960</v>
      </c>
      <c r="K906" s="387">
        <v>1</v>
      </c>
      <c r="L906" s="387">
        <v>0</v>
      </c>
      <c r="M906" s="387">
        <v>1</v>
      </c>
      <c r="N906" s="442">
        <f t="shared" si="56"/>
        <v>0</v>
      </c>
      <c r="O906" s="387" t="s">
        <v>1358</v>
      </c>
      <c r="P906" s="459">
        <v>25.47</v>
      </c>
      <c r="Q906" s="459"/>
      <c r="R906" s="456">
        <v>0</v>
      </c>
      <c r="S906" s="459">
        <v>25.47</v>
      </c>
      <c r="T906" s="555"/>
      <c r="U906" s="411">
        <v>1</v>
      </c>
      <c r="V906" s="411">
        <v>1</v>
      </c>
      <c r="W906" s="411">
        <v>1</v>
      </c>
      <c r="X906" s="411"/>
      <c r="Y906" s="411"/>
      <c r="Z906" s="412">
        <f t="shared" si="55"/>
        <v>0</v>
      </c>
      <c r="AA906" s="456">
        <f t="shared" si="57"/>
        <v>0</v>
      </c>
      <c r="AB906" s="456">
        <v>0</v>
      </c>
      <c r="AC906" s="469"/>
      <c r="AD906" s="470"/>
      <c r="AE906" s="5"/>
    </row>
    <row r="907" spans="1:31" x14ac:dyDescent="0.25">
      <c r="A907" s="1" t="s">
        <v>5016</v>
      </c>
      <c r="B907" s="3" t="s">
        <v>1368</v>
      </c>
      <c r="C907" s="3" t="s">
        <v>1247</v>
      </c>
      <c r="D907" s="407" t="s">
        <v>4872</v>
      </c>
      <c r="E907" s="407" t="s">
        <v>4959</v>
      </c>
      <c r="F907" s="415"/>
      <c r="G907" s="415"/>
      <c r="H907" s="415"/>
      <c r="I907" s="415"/>
      <c r="J907" s="3" t="s">
        <v>4960</v>
      </c>
      <c r="K907" s="387">
        <v>1</v>
      </c>
      <c r="L907" s="387">
        <v>0</v>
      </c>
      <c r="M907" s="387">
        <v>1</v>
      </c>
      <c r="N907" s="442">
        <f t="shared" si="56"/>
        <v>0</v>
      </c>
      <c r="O907" s="387" t="s">
        <v>1358</v>
      </c>
      <c r="P907" s="459">
        <v>25.47</v>
      </c>
      <c r="Q907" s="459"/>
      <c r="R907" s="456">
        <v>0</v>
      </c>
      <c r="S907" s="459">
        <v>25.47</v>
      </c>
      <c r="T907" s="555"/>
      <c r="U907" s="411">
        <v>1</v>
      </c>
      <c r="V907" s="411">
        <v>1</v>
      </c>
      <c r="W907" s="411">
        <v>1</v>
      </c>
      <c r="X907" s="411"/>
      <c r="Y907" s="411"/>
      <c r="Z907" s="412">
        <f t="shared" si="55"/>
        <v>0</v>
      </c>
      <c r="AA907" s="456">
        <f t="shared" si="57"/>
        <v>0</v>
      </c>
      <c r="AB907" s="456">
        <v>0</v>
      </c>
      <c r="AC907" s="469"/>
      <c r="AD907" s="470"/>
      <c r="AE907" s="5"/>
    </row>
    <row r="908" spans="1:31" x14ac:dyDescent="0.25">
      <c r="A908" s="430" t="s">
        <v>5135</v>
      </c>
      <c r="B908" s="3" t="s">
        <v>1368</v>
      </c>
      <c r="C908" s="3" t="s">
        <v>1247</v>
      </c>
      <c r="D908" s="407" t="s">
        <v>4872</v>
      </c>
      <c r="E908" s="407" t="s">
        <v>1357</v>
      </c>
      <c r="F908" s="415"/>
      <c r="G908" s="415"/>
      <c r="H908" s="415"/>
      <c r="I908" s="415"/>
      <c r="J908" s="3" t="s">
        <v>5039</v>
      </c>
      <c r="K908" s="387"/>
      <c r="L908" s="387"/>
      <c r="M908" s="387"/>
      <c r="N908" s="442"/>
      <c r="O908" s="387" t="s">
        <v>1358</v>
      </c>
      <c r="P908" s="459">
        <v>50</v>
      </c>
      <c r="Q908" s="459"/>
      <c r="R908" s="456">
        <v>0</v>
      </c>
      <c r="S908" s="459">
        <v>50</v>
      </c>
      <c r="T908" s="555"/>
      <c r="U908" s="411">
        <v>1</v>
      </c>
      <c r="V908" s="411">
        <v>1</v>
      </c>
      <c r="W908" s="411">
        <v>1</v>
      </c>
      <c r="X908" s="411"/>
      <c r="Y908" s="411"/>
      <c r="Z908" s="412">
        <f t="shared" si="55"/>
        <v>0</v>
      </c>
      <c r="AA908" s="456">
        <f t="shared" si="57"/>
        <v>0</v>
      </c>
      <c r="AB908" s="456">
        <v>0</v>
      </c>
      <c r="AC908" s="469"/>
      <c r="AD908" s="470"/>
      <c r="AE908" s="5"/>
    </row>
    <row r="909" spans="1:31" x14ac:dyDescent="0.25">
      <c r="A909" s="430" t="s">
        <v>5136</v>
      </c>
      <c r="B909" s="3" t="s">
        <v>1368</v>
      </c>
      <c r="C909" s="3" t="s">
        <v>1247</v>
      </c>
      <c r="D909" s="407" t="s">
        <v>4872</v>
      </c>
      <c r="E909" s="407" t="s">
        <v>1357</v>
      </c>
      <c r="F909" s="415"/>
      <c r="G909" s="415"/>
      <c r="H909" s="415"/>
      <c r="I909" s="415"/>
      <c r="J909" s="3" t="s">
        <v>5040</v>
      </c>
      <c r="K909" s="387"/>
      <c r="L909" s="387"/>
      <c r="M909" s="387"/>
      <c r="N909" s="442"/>
      <c r="O909" s="387" t="s">
        <v>1358</v>
      </c>
      <c r="P909" s="459">
        <v>50</v>
      </c>
      <c r="Q909" s="459"/>
      <c r="R909" s="456">
        <v>0</v>
      </c>
      <c r="S909" s="459">
        <v>50</v>
      </c>
      <c r="T909" s="555"/>
      <c r="U909" s="411">
        <v>1</v>
      </c>
      <c r="V909" s="411">
        <v>1</v>
      </c>
      <c r="W909" s="411">
        <v>1</v>
      </c>
      <c r="X909" s="411"/>
      <c r="Y909" s="411"/>
      <c r="Z909" s="412">
        <f t="shared" ref="Z909:Z912" si="58">AA909/S909</f>
        <v>0</v>
      </c>
      <c r="AA909" s="456">
        <f t="shared" si="57"/>
        <v>0</v>
      </c>
      <c r="AB909" s="456">
        <v>0</v>
      </c>
      <c r="AC909" s="469"/>
      <c r="AD909" s="470"/>
      <c r="AE909" s="5"/>
    </row>
    <row r="910" spans="1:31" x14ac:dyDescent="0.25">
      <c r="A910" s="430" t="s">
        <v>5137</v>
      </c>
      <c r="B910" s="3" t="s">
        <v>1368</v>
      </c>
      <c r="C910" s="3" t="s">
        <v>1247</v>
      </c>
      <c r="D910" s="407" t="s">
        <v>4872</v>
      </c>
      <c r="E910" s="407" t="s">
        <v>1357</v>
      </c>
      <c r="F910" s="415"/>
      <c r="G910" s="415"/>
      <c r="H910" s="415"/>
      <c r="I910" s="415"/>
      <c r="J910" s="3" t="s">
        <v>5041</v>
      </c>
      <c r="K910" s="387"/>
      <c r="L910" s="387"/>
      <c r="M910" s="387"/>
      <c r="N910" s="442"/>
      <c r="O910" s="387" t="s">
        <v>1358</v>
      </c>
      <c r="P910" s="459">
        <v>50</v>
      </c>
      <c r="Q910" s="459"/>
      <c r="R910" s="456">
        <v>0</v>
      </c>
      <c r="S910" s="459">
        <v>50</v>
      </c>
      <c r="T910" s="555"/>
      <c r="U910" s="411">
        <v>1</v>
      </c>
      <c r="V910" s="411">
        <v>1</v>
      </c>
      <c r="W910" s="411">
        <v>1</v>
      </c>
      <c r="X910" s="411"/>
      <c r="Y910" s="411"/>
      <c r="Z910" s="412">
        <f t="shared" si="58"/>
        <v>0</v>
      </c>
      <c r="AA910" s="456">
        <f t="shared" si="57"/>
        <v>0</v>
      </c>
      <c r="AB910" s="456">
        <v>0</v>
      </c>
      <c r="AC910" s="469"/>
      <c r="AD910" s="470"/>
      <c r="AE910" s="5"/>
    </row>
    <row r="911" spans="1:31" x14ac:dyDescent="0.25">
      <c r="A911" s="430" t="s">
        <v>5138</v>
      </c>
      <c r="B911" s="3" t="s">
        <v>1368</v>
      </c>
      <c r="C911" s="3" t="s">
        <v>1247</v>
      </c>
      <c r="D911" s="407" t="s">
        <v>4872</v>
      </c>
      <c r="E911" s="407" t="s">
        <v>1357</v>
      </c>
      <c r="F911" s="415"/>
      <c r="G911" s="415"/>
      <c r="H911" s="415"/>
      <c r="I911" s="415"/>
      <c r="J911" s="3" t="s">
        <v>5042</v>
      </c>
      <c r="K911" s="387"/>
      <c r="L911" s="387"/>
      <c r="M911" s="387"/>
      <c r="N911" s="442"/>
      <c r="O911" s="387" t="s">
        <v>1358</v>
      </c>
      <c r="P911" s="459">
        <v>50</v>
      </c>
      <c r="Q911" s="459"/>
      <c r="R911" s="456">
        <v>0</v>
      </c>
      <c r="S911" s="459">
        <v>50</v>
      </c>
      <c r="T911" s="555"/>
      <c r="U911" s="411">
        <v>1</v>
      </c>
      <c r="V911" s="411">
        <v>1</v>
      </c>
      <c r="W911" s="411">
        <v>1</v>
      </c>
      <c r="X911" s="411"/>
      <c r="Y911" s="411"/>
      <c r="Z911" s="412">
        <f t="shared" si="58"/>
        <v>0</v>
      </c>
      <c r="AA911" s="456">
        <f t="shared" si="57"/>
        <v>0</v>
      </c>
      <c r="AB911" s="456">
        <v>0</v>
      </c>
      <c r="AC911" s="469"/>
      <c r="AD911" s="470"/>
      <c r="AE911" s="5"/>
    </row>
    <row r="912" spans="1:31" x14ac:dyDescent="0.25">
      <c r="A912" s="430" t="s">
        <v>5139</v>
      </c>
      <c r="B912" s="3" t="s">
        <v>1368</v>
      </c>
      <c r="C912" s="3" t="s">
        <v>1247</v>
      </c>
      <c r="D912" s="415" t="s">
        <v>4872</v>
      </c>
      <c r="E912" s="556" t="s">
        <v>1357</v>
      </c>
      <c r="F912" s="471"/>
      <c r="G912" s="471"/>
      <c r="J912" s="415" t="s">
        <v>5043</v>
      </c>
      <c r="K912" s="471"/>
      <c r="L912" s="471"/>
      <c r="M912" s="471"/>
      <c r="N912" s="471"/>
      <c r="O912" s="471" t="s">
        <v>1358</v>
      </c>
      <c r="P912" s="473">
        <v>50</v>
      </c>
      <c r="Q912" s="473"/>
      <c r="R912" s="456">
        <v>0</v>
      </c>
      <c r="S912" s="473">
        <v>50</v>
      </c>
      <c r="T912" s="555"/>
      <c r="U912" s="411">
        <v>1</v>
      </c>
      <c r="V912" s="411">
        <v>1</v>
      </c>
      <c r="W912" s="411">
        <v>1</v>
      </c>
      <c r="X912" s="411"/>
      <c r="Y912" s="411"/>
      <c r="Z912" s="412">
        <f t="shared" si="58"/>
        <v>0</v>
      </c>
      <c r="AA912" s="456">
        <f t="shared" si="57"/>
        <v>0</v>
      </c>
      <c r="AB912" s="456">
        <v>0</v>
      </c>
      <c r="AC912" s="469"/>
      <c r="AD912" s="470"/>
      <c r="AE912" s="5"/>
    </row>
  </sheetData>
  <autoFilter ref="A4:AE912" xr:uid="{A311B260-369A-41ED-A711-792E94C21586}"/>
  <mergeCells count="1">
    <mergeCell ref="T1:Y1"/>
  </mergeCells>
  <conditionalFormatting sqref="A69">
    <cfRule type="duplicateValues" dxfId="76" priority="40"/>
    <cfRule type="duplicateValues" dxfId="75" priority="41"/>
  </conditionalFormatting>
  <conditionalFormatting sqref="A107">
    <cfRule type="duplicateValues" dxfId="74" priority="38"/>
    <cfRule type="duplicateValues" dxfId="73" priority="39"/>
  </conditionalFormatting>
  <conditionalFormatting sqref="A473">
    <cfRule type="duplicateValues" dxfId="72" priority="36"/>
    <cfRule type="duplicateValues" dxfId="71" priority="37"/>
  </conditionalFormatting>
  <conditionalFormatting sqref="A704">
    <cfRule type="duplicateValues" dxfId="70" priority="74"/>
    <cfRule type="duplicateValues" dxfId="69" priority="75"/>
  </conditionalFormatting>
  <conditionalFormatting sqref="A711:A712">
    <cfRule type="duplicateValues" dxfId="68" priority="14"/>
    <cfRule type="duplicateValues" dxfId="67" priority="15"/>
    <cfRule type="duplicateValues" dxfId="66" priority="16"/>
    <cfRule type="duplicateValues" dxfId="65" priority="17"/>
  </conditionalFormatting>
  <conditionalFormatting sqref="A714">
    <cfRule type="duplicateValues" dxfId="64" priority="34"/>
    <cfRule type="duplicateValues" dxfId="63" priority="35"/>
  </conditionalFormatting>
  <conditionalFormatting sqref="A715">
    <cfRule type="duplicateValues" dxfId="62" priority="59"/>
    <cfRule type="duplicateValues" dxfId="61" priority="60"/>
    <cfRule type="duplicateValues" dxfId="60" priority="61"/>
    <cfRule type="duplicateValues" dxfId="59" priority="62"/>
  </conditionalFormatting>
  <conditionalFormatting sqref="A729:A730">
    <cfRule type="duplicateValues" dxfId="58" priority="72"/>
    <cfRule type="duplicateValues" dxfId="57" priority="73"/>
  </conditionalFormatting>
  <conditionalFormatting sqref="A762:A769 A782:A792 A795:A798">
    <cfRule type="duplicateValues" dxfId="56" priority="70"/>
    <cfRule type="duplicateValues" dxfId="55" priority="71"/>
  </conditionalFormatting>
  <conditionalFormatting sqref="A770:A781">
    <cfRule type="duplicateValues" dxfId="54" priority="8"/>
    <cfRule type="duplicateValues" dxfId="53" priority="9"/>
    <cfRule type="duplicateValues" dxfId="52" priority="10"/>
    <cfRule type="duplicateValues" dxfId="51" priority="11"/>
    <cfRule type="duplicateValues" dxfId="50" priority="12"/>
    <cfRule type="duplicateValues" dxfId="49" priority="13"/>
  </conditionalFormatting>
  <conditionalFormatting sqref="A793:A794">
    <cfRule type="duplicateValues" dxfId="48" priority="2"/>
    <cfRule type="duplicateValues" dxfId="47" priority="3"/>
    <cfRule type="duplicateValues" dxfId="46" priority="4"/>
    <cfRule type="duplicateValues" dxfId="45" priority="5"/>
    <cfRule type="duplicateValues" dxfId="44" priority="6"/>
    <cfRule type="duplicateValues" dxfId="43" priority="7"/>
  </conditionalFormatting>
  <conditionalFormatting sqref="A799:A808">
    <cfRule type="duplicateValues" dxfId="42" priority="69"/>
  </conditionalFormatting>
  <conditionalFormatting sqref="A799:A833">
    <cfRule type="duplicateValues" dxfId="41" priority="68"/>
  </conditionalFormatting>
  <conditionalFormatting sqref="A811:A833">
    <cfRule type="duplicateValues" dxfId="40" priority="67"/>
  </conditionalFormatting>
  <conditionalFormatting sqref="A834:A842">
    <cfRule type="duplicateValues" dxfId="39" priority="63"/>
    <cfRule type="duplicateValues" dxfId="38" priority="64"/>
    <cfRule type="duplicateValues" dxfId="37" priority="65"/>
    <cfRule type="duplicateValues" dxfId="36" priority="66"/>
  </conditionalFormatting>
  <conditionalFormatting sqref="A843">
    <cfRule type="duplicateValues" dxfId="35" priority="58"/>
  </conditionalFormatting>
  <conditionalFormatting sqref="A844:A860">
    <cfRule type="duplicateValues" dxfId="34" priority="57"/>
  </conditionalFormatting>
  <conditionalFormatting sqref="A861">
    <cfRule type="duplicateValues" dxfId="33" priority="32"/>
    <cfRule type="duplicateValues" dxfId="32" priority="33"/>
  </conditionalFormatting>
  <conditionalFormatting sqref="A862">
    <cfRule type="duplicateValues" dxfId="31" priority="30"/>
    <cfRule type="duplicateValues" dxfId="30" priority="31"/>
  </conditionalFormatting>
  <conditionalFormatting sqref="A863">
    <cfRule type="duplicateValues" dxfId="29" priority="56"/>
  </conditionalFormatting>
  <conditionalFormatting sqref="A864">
    <cfRule type="duplicateValues" dxfId="28" priority="28"/>
    <cfRule type="duplicateValues" dxfId="27" priority="29"/>
  </conditionalFormatting>
  <conditionalFormatting sqref="A865">
    <cfRule type="duplicateValues" dxfId="26" priority="55"/>
  </conditionalFormatting>
  <conditionalFormatting sqref="A866">
    <cfRule type="duplicateValues" dxfId="25" priority="54"/>
  </conditionalFormatting>
  <conditionalFormatting sqref="A867:A869">
    <cfRule type="duplicateValues" dxfId="24" priority="26"/>
    <cfRule type="duplicateValues" dxfId="23" priority="27"/>
  </conditionalFormatting>
  <conditionalFormatting sqref="A870">
    <cfRule type="duplicateValues" dxfId="22" priority="53"/>
  </conditionalFormatting>
  <conditionalFormatting sqref="A871:A872">
    <cfRule type="duplicateValues" dxfId="21" priority="24"/>
    <cfRule type="duplicateValues" dxfId="20" priority="25"/>
  </conditionalFormatting>
  <conditionalFormatting sqref="A873">
    <cfRule type="duplicateValues" dxfId="19" priority="52"/>
  </conditionalFormatting>
  <conditionalFormatting sqref="A874:A875">
    <cfRule type="duplicateValues" dxfId="18" priority="22"/>
    <cfRule type="duplicateValues" dxfId="17" priority="23"/>
  </conditionalFormatting>
  <conditionalFormatting sqref="A876">
    <cfRule type="duplicateValues" dxfId="16" priority="51"/>
  </conditionalFormatting>
  <conditionalFormatting sqref="A877">
    <cfRule type="duplicateValues" dxfId="15" priority="50"/>
  </conditionalFormatting>
  <conditionalFormatting sqref="A878">
    <cfRule type="duplicateValues" dxfId="14" priority="20"/>
    <cfRule type="duplicateValues" dxfId="13" priority="21"/>
  </conditionalFormatting>
  <conditionalFormatting sqref="A879">
    <cfRule type="duplicateValues" dxfId="12" priority="49"/>
  </conditionalFormatting>
  <conditionalFormatting sqref="A880">
    <cfRule type="duplicateValues" dxfId="11" priority="48"/>
  </conditionalFormatting>
  <conditionalFormatting sqref="A881">
    <cfRule type="duplicateValues" dxfId="10" priority="47"/>
  </conditionalFormatting>
  <conditionalFormatting sqref="A882">
    <cfRule type="duplicateValues" dxfId="9" priority="46"/>
  </conditionalFormatting>
  <conditionalFormatting sqref="A883">
    <cfRule type="duplicateValues" dxfId="8" priority="45"/>
  </conditionalFormatting>
  <conditionalFormatting sqref="A884">
    <cfRule type="duplicateValues" dxfId="7" priority="44"/>
  </conditionalFormatting>
  <conditionalFormatting sqref="A885">
    <cfRule type="duplicateValues" dxfId="6" priority="43"/>
  </conditionalFormatting>
  <conditionalFormatting sqref="A886:A907">
    <cfRule type="duplicateValues" dxfId="5" priority="42"/>
  </conditionalFormatting>
  <conditionalFormatting sqref="A908:A912">
    <cfRule type="duplicateValues" dxfId="4" priority="18"/>
    <cfRule type="duplicateValues" dxfId="3" priority="19"/>
  </conditionalFormatting>
  <conditionalFormatting sqref="A731:A769 A5:A68 A705:A710 A70:A106 A108:A472 A474:A703 A863 A865:A866 A870 A873 A876:A877 A879:A907 A716:A728 A713 A782:A792 A795:A860">
    <cfRule type="duplicateValues" dxfId="2" priority="76"/>
  </conditionalFormatting>
  <conditionalFormatting sqref="A731:A769 A705:A710 A70:A106 A108:A472 A474:A703 A863 A865:A866 A870 A873 A876:A877 A879:A907 A716:A728 A713 A782:A792 A795:A860 A5:A68">
    <cfRule type="duplicateValues" dxfId="1" priority="77"/>
  </conditionalFormatting>
  <conditionalFormatting sqref="A1:A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2C05-F2FD-4337-B959-298383CD0E6D}">
  <dimension ref="A1:AR91"/>
  <sheetViews>
    <sheetView topLeftCell="A4" zoomScale="60" zoomScaleNormal="60" workbookViewId="0">
      <selection activeCell="AB86" sqref="AB86"/>
    </sheetView>
  </sheetViews>
  <sheetFormatPr defaultRowHeight="15" x14ac:dyDescent="0.25"/>
  <cols>
    <col min="1" max="1" width="61.42578125" bestFit="1" customWidth="1"/>
    <col min="3" max="3" width="10.5703125" bestFit="1" customWidth="1"/>
    <col min="4" max="4" width="50.5703125" bestFit="1" customWidth="1"/>
    <col min="5" max="5" width="15.42578125" bestFit="1" customWidth="1"/>
    <col min="6" max="6" width="12.5703125" customWidth="1"/>
    <col min="7" max="7" width="11.5703125" bestFit="1" customWidth="1"/>
    <col min="8" max="8" width="11.42578125" bestFit="1" customWidth="1"/>
    <col min="9" max="10" width="11.5703125" bestFit="1" customWidth="1"/>
    <col min="11" max="17" width="8.42578125" bestFit="1" customWidth="1"/>
    <col min="18" max="30" width="10" bestFit="1" customWidth="1"/>
    <col min="31" max="31" width="11.42578125" customWidth="1"/>
    <col min="32" max="32" width="11.5703125" customWidth="1"/>
    <col min="33" max="33" width="13.5703125" customWidth="1"/>
    <col min="40" max="40" width="27" customWidth="1"/>
  </cols>
  <sheetData>
    <row r="1" spans="1:33" ht="56.1" customHeight="1" x14ac:dyDescent="0.25"/>
    <row r="2" spans="1:33" ht="41.85" customHeight="1" x14ac:dyDescent="0.5">
      <c r="A2" s="611" t="s">
        <v>608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1"/>
      <c r="AB2" s="611"/>
      <c r="AC2" s="611"/>
      <c r="AD2" s="611"/>
      <c r="AE2" s="611"/>
      <c r="AF2" s="611"/>
      <c r="AG2" s="611"/>
    </row>
    <row r="3" spans="1:33" ht="43.35" customHeight="1" x14ac:dyDescent="0.7">
      <c r="A3" s="612" t="s">
        <v>1382</v>
      </c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/>
      <c r="U3" s="612"/>
      <c r="V3" s="612"/>
      <c r="W3" s="612"/>
      <c r="X3" s="612"/>
      <c r="Y3" s="612"/>
      <c r="Z3" s="612"/>
      <c r="AA3" s="612"/>
      <c r="AB3" s="612"/>
      <c r="AC3" s="612"/>
      <c r="AD3" s="612"/>
      <c r="AE3" s="612"/>
      <c r="AF3" s="612"/>
      <c r="AG3" s="612"/>
    </row>
    <row r="7" spans="1:33" ht="15.75" thickBot="1" x14ac:dyDescent="0.3"/>
    <row r="8" spans="1:33" ht="19.5" thickTop="1" x14ac:dyDescent="0.25">
      <c r="A8" s="613" t="s">
        <v>562</v>
      </c>
      <c r="B8" s="614"/>
      <c r="C8" s="614"/>
      <c r="D8" s="614"/>
      <c r="E8" s="615"/>
      <c r="F8" s="619">
        <v>2025</v>
      </c>
      <c r="G8" s="620"/>
      <c r="H8" s="620"/>
      <c r="I8" s="620"/>
      <c r="J8" s="620"/>
      <c r="K8" s="620"/>
      <c r="L8" s="620"/>
      <c r="M8" s="621"/>
      <c r="N8" s="622">
        <v>2026</v>
      </c>
      <c r="O8" s="614"/>
      <c r="P8" s="614"/>
      <c r="Q8" s="614"/>
      <c r="R8" s="614"/>
      <c r="S8" s="614"/>
      <c r="T8" s="614"/>
      <c r="U8" s="614"/>
      <c r="V8" s="614"/>
      <c r="W8" s="614"/>
      <c r="X8" s="614"/>
      <c r="Y8" s="623"/>
      <c r="Z8" s="614">
        <v>2027</v>
      </c>
      <c r="AA8" s="614"/>
      <c r="AB8" s="614"/>
      <c r="AC8" s="614"/>
      <c r="AD8" s="614"/>
      <c r="AE8" s="614"/>
      <c r="AF8" s="614"/>
      <c r="AG8" s="624"/>
    </row>
    <row r="9" spans="1:33" ht="18.75" x14ac:dyDescent="0.25">
      <c r="A9" s="616"/>
      <c r="B9" s="617"/>
      <c r="C9" s="617"/>
      <c r="D9" s="617"/>
      <c r="E9" s="618"/>
      <c r="F9" s="68">
        <v>45047</v>
      </c>
      <c r="G9" s="70">
        <v>45078</v>
      </c>
      <c r="H9" s="68">
        <v>45108</v>
      </c>
      <c r="I9" s="70">
        <v>45139</v>
      </c>
      <c r="J9" s="68">
        <v>45170</v>
      </c>
      <c r="K9" s="70">
        <v>45200</v>
      </c>
      <c r="L9" s="68">
        <v>45231</v>
      </c>
      <c r="M9" s="70">
        <v>45261</v>
      </c>
      <c r="N9" s="68">
        <v>45292</v>
      </c>
      <c r="O9" s="70" t="s">
        <v>1383</v>
      </c>
      <c r="P9" s="68">
        <v>45352</v>
      </c>
      <c r="Q9" s="70">
        <v>45383</v>
      </c>
      <c r="R9" s="68">
        <v>45413</v>
      </c>
      <c r="S9" s="70">
        <v>45444</v>
      </c>
      <c r="T9" s="68">
        <v>45474</v>
      </c>
      <c r="U9" s="70">
        <v>45505</v>
      </c>
      <c r="V9" s="68">
        <v>45536</v>
      </c>
      <c r="W9" s="70">
        <v>45566</v>
      </c>
      <c r="X9" s="68">
        <v>45597</v>
      </c>
      <c r="Y9" s="70">
        <v>45627</v>
      </c>
      <c r="Z9" s="68">
        <v>45658</v>
      </c>
      <c r="AA9" s="70">
        <v>45689</v>
      </c>
      <c r="AB9" s="68">
        <v>45717</v>
      </c>
      <c r="AC9" s="70">
        <v>45748</v>
      </c>
      <c r="AD9" s="68">
        <v>45778</v>
      </c>
      <c r="AE9" s="70">
        <v>45809</v>
      </c>
      <c r="AF9" s="68">
        <v>45839</v>
      </c>
      <c r="AG9" s="70">
        <v>45870</v>
      </c>
    </row>
    <row r="10" spans="1:33" ht="26.25" x14ac:dyDescent="0.4">
      <c r="A10" s="128"/>
      <c r="B10" s="129"/>
      <c r="C10" s="129"/>
      <c r="D10" s="129"/>
      <c r="E10" s="130"/>
      <c r="M10" s="19"/>
      <c r="N10" s="20"/>
      <c r="Q10" s="20"/>
      <c r="V10" s="50"/>
      <c r="Y10" s="21"/>
      <c r="Z10" s="22"/>
      <c r="AA10" s="51"/>
      <c r="AG10" s="52"/>
    </row>
    <row r="11" spans="1:33" ht="26.25" x14ac:dyDescent="0.4">
      <c r="A11" s="131" t="s">
        <v>1384</v>
      </c>
      <c r="B11" s="132"/>
      <c r="C11" s="132"/>
      <c r="D11" s="132"/>
      <c r="E11" s="130"/>
      <c r="M11" s="23"/>
      <c r="V11" s="53"/>
      <c r="Y11" s="24"/>
      <c r="Z11" s="25"/>
      <c r="AA11" s="54"/>
      <c r="AG11" s="52"/>
    </row>
    <row r="12" spans="1:33" ht="20.25" x14ac:dyDescent="0.3">
      <c r="A12" s="133"/>
      <c r="B12" s="134"/>
      <c r="C12" s="134"/>
      <c r="D12" s="134"/>
      <c r="E12" s="130"/>
      <c r="M12" s="23"/>
      <c r="V12" s="27"/>
      <c r="Y12" s="28"/>
      <c r="Z12" s="29"/>
      <c r="AG12" s="52"/>
    </row>
    <row r="13" spans="1:33" ht="20.25" x14ac:dyDescent="0.3">
      <c r="A13" s="133" t="s">
        <v>575</v>
      </c>
      <c r="B13" s="135"/>
      <c r="C13" s="136">
        <v>500</v>
      </c>
      <c r="D13" s="129" t="s">
        <v>1375</v>
      </c>
      <c r="E13" s="130"/>
      <c r="M13" s="23"/>
      <c r="V13" s="56"/>
      <c r="Y13" s="30"/>
      <c r="Z13" s="31"/>
      <c r="AA13" s="27"/>
      <c r="AG13" s="52"/>
    </row>
    <row r="14" spans="1:33" ht="20.25" x14ac:dyDescent="0.3">
      <c r="A14" s="133"/>
      <c r="B14" s="134"/>
      <c r="C14" s="134"/>
      <c r="D14" s="134"/>
      <c r="E14" s="130"/>
      <c r="M14" s="23"/>
      <c r="V14" s="57"/>
      <c r="Y14" s="30"/>
      <c r="Z14" s="29"/>
      <c r="AG14" s="52"/>
    </row>
    <row r="15" spans="1:33" ht="20.25" x14ac:dyDescent="0.3">
      <c r="A15" s="137"/>
      <c r="B15" s="138"/>
      <c r="C15" s="138"/>
      <c r="D15" s="138"/>
      <c r="E15" s="130"/>
      <c r="M15" s="23"/>
      <c r="V15" s="58"/>
      <c r="Y15" s="30"/>
      <c r="Z15" s="32"/>
      <c r="AA15" s="58"/>
      <c r="AG15" s="52"/>
    </row>
    <row r="16" spans="1:33" ht="26.25" x14ac:dyDescent="0.3">
      <c r="A16" s="131" t="s">
        <v>576</v>
      </c>
      <c r="B16" s="138"/>
      <c r="C16" s="138"/>
      <c r="D16" s="138"/>
      <c r="E16" s="130"/>
      <c r="M16" s="23"/>
      <c r="V16" s="58"/>
      <c r="Y16" s="30"/>
      <c r="Z16" s="32"/>
      <c r="AA16" s="58"/>
      <c r="AG16" s="52"/>
    </row>
    <row r="17" spans="1:33" ht="20.25" x14ac:dyDescent="0.3">
      <c r="A17" s="139" t="s">
        <v>1385</v>
      </c>
      <c r="B17" s="135"/>
      <c r="C17" s="135"/>
      <c r="D17" s="135"/>
      <c r="E17" s="130"/>
      <c r="M17" s="23"/>
      <c r="V17" s="59"/>
      <c r="Y17" s="30"/>
      <c r="Z17" s="29"/>
      <c r="AA17" s="58"/>
      <c r="AG17" s="52"/>
    </row>
    <row r="18" spans="1:33" ht="18.75" x14ac:dyDescent="0.25">
      <c r="A18" s="133" t="s">
        <v>607</v>
      </c>
      <c r="B18" s="134"/>
      <c r="C18" s="140">
        <f ca="1">HLOOKUP(TEXT(DATE(YEAR(TODAY()),MONTH(TODAY()),DAY(TODAY())),"MMM"),$F$64:$AG$72,5,FALSE)</f>
        <v>0</v>
      </c>
      <c r="D18" s="129" t="s">
        <v>1375</v>
      </c>
      <c r="E18" s="130"/>
      <c r="M18" s="23"/>
      <c r="V18" s="57"/>
      <c r="Y18" s="28"/>
      <c r="Z18" s="29"/>
      <c r="AA18" s="58"/>
      <c r="AG18" s="52"/>
    </row>
    <row r="19" spans="1:33" ht="20.25" x14ac:dyDescent="0.3">
      <c r="A19" s="133" t="s">
        <v>577</v>
      </c>
      <c r="B19" s="134"/>
      <c r="C19" s="140">
        <f ca="1">HLOOKUP(TEXT(DATE(YEAR(TODAY()),MONTH(TODAY()),DAY(TODAY())),"MMM"),$F$64:$AG$72,7,FALSE)</f>
        <v>0</v>
      </c>
      <c r="D19" s="129" t="s">
        <v>1375</v>
      </c>
      <c r="E19" s="130"/>
      <c r="M19" s="23"/>
      <c r="V19" s="57"/>
      <c r="Y19" s="30"/>
      <c r="Z19" s="33"/>
      <c r="AA19" s="58"/>
      <c r="AG19" s="52"/>
    </row>
    <row r="20" spans="1:33" ht="20.25" x14ac:dyDescent="0.3">
      <c r="A20" s="133" t="s">
        <v>578</v>
      </c>
      <c r="B20" s="134"/>
      <c r="C20" s="140">
        <f ca="1">HLOOKUP(TEXT(DATE(YEAR(TODAY()),MONTH(TODAY()),DAY(TODAY())),"MMM"),$F$64:$AG$72,9,FALSE)</f>
        <v>0</v>
      </c>
      <c r="D20" s="129" t="s">
        <v>1375</v>
      </c>
      <c r="E20" s="130"/>
      <c r="M20" s="23"/>
      <c r="V20" s="57"/>
      <c r="Y20" s="30"/>
      <c r="Z20" s="34"/>
      <c r="AA20" s="58"/>
      <c r="AG20" s="52"/>
    </row>
    <row r="21" spans="1:33" ht="18.75" x14ac:dyDescent="0.25">
      <c r="A21" s="133"/>
      <c r="E21" s="130"/>
      <c r="M21" s="23"/>
      <c r="V21" s="57"/>
      <c r="Y21" s="28"/>
      <c r="Z21" s="35"/>
      <c r="AA21" s="57"/>
      <c r="AG21" s="52"/>
    </row>
    <row r="22" spans="1:33" ht="18.75" x14ac:dyDescent="0.25">
      <c r="A22" s="133"/>
      <c r="E22" s="130"/>
      <c r="M22" s="23"/>
      <c r="V22" s="59"/>
      <c r="Y22" s="28"/>
      <c r="Z22" s="35"/>
      <c r="AA22" s="57"/>
      <c r="AG22" s="52"/>
    </row>
    <row r="23" spans="1:33" ht="18.75" x14ac:dyDescent="0.25">
      <c r="A23" s="133"/>
      <c r="E23" s="130"/>
      <c r="M23" s="23"/>
      <c r="V23" s="57"/>
      <c r="Y23" s="28"/>
      <c r="Z23" s="35"/>
      <c r="AA23" s="57"/>
      <c r="AG23" s="52"/>
    </row>
    <row r="24" spans="1:33" ht="23.25" x14ac:dyDescent="0.3">
      <c r="A24" s="141" t="s">
        <v>579</v>
      </c>
      <c r="B24" s="142"/>
      <c r="C24" s="142"/>
      <c r="D24" s="142"/>
      <c r="E24" s="143"/>
      <c r="M24" s="23"/>
      <c r="V24" s="57"/>
      <c r="Y24" s="30"/>
      <c r="Z24" s="36"/>
      <c r="AA24" s="58"/>
      <c r="AG24" s="52"/>
    </row>
    <row r="25" spans="1:33" ht="20.25" x14ac:dyDescent="0.3">
      <c r="A25" s="26"/>
      <c r="B25" s="55"/>
      <c r="C25" s="37"/>
      <c r="D25" s="49"/>
      <c r="E25" s="18"/>
      <c r="M25" s="23"/>
      <c r="V25" s="57"/>
      <c r="Y25" s="30"/>
      <c r="Z25" s="38"/>
      <c r="AA25" s="58"/>
      <c r="AG25" s="52"/>
    </row>
    <row r="26" spans="1:33" ht="20.25" x14ac:dyDescent="0.3">
      <c r="A26" s="17"/>
      <c r="B26" s="49"/>
      <c r="C26" s="49"/>
      <c r="D26" s="49"/>
      <c r="E26" s="18"/>
      <c r="M26" s="23"/>
      <c r="Y26" s="30"/>
      <c r="Z26" s="36"/>
      <c r="AA26" s="58"/>
      <c r="AG26" s="52"/>
    </row>
    <row r="27" spans="1:33" ht="18" x14ac:dyDescent="0.25">
      <c r="A27" s="17"/>
      <c r="B27" s="49"/>
      <c r="C27" s="49"/>
      <c r="D27" s="49"/>
      <c r="E27" s="18"/>
      <c r="M27" s="23"/>
      <c r="V27" s="57"/>
      <c r="Y27" s="28"/>
      <c r="Z27" s="39"/>
      <c r="AA27" s="58"/>
      <c r="AG27" s="52"/>
    </row>
    <row r="28" spans="1:33" ht="20.25" x14ac:dyDescent="0.3">
      <c r="A28" s="17"/>
      <c r="B28" s="49"/>
      <c r="C28" s="49"/>
      <c r="D28" s="49"/>
      <c r="E28" s="18"/>
      <c r="M28" s="23"/>
      <c r="V28" s="57"/>
      <c r="Y28" s="30"/>
      <c r="Z28" s="32"/>
      <c r="AA28" s="58"/>
      <c r="AG28" s="52"/>
    </row>
    <row r="29" spans="1:33" ht="20.25" x14ac:dyDescent="0.3">
      <c r="A29" s="17"/>
      <c r="B29" s="49"/>
      <c r="C29" s="49"/>
      <c r="D29" s="49"/>
      <c r="E29" s="18"/>
      <c r="M29" s="23"/>
      <c r="V29" s="27"/>
      <c r="Y29" s="30"/>
      <c r="Z29" s="29"/>
      <c r="AA29" s="27"/>
      <c r="AG29" s="52"/>
    </row>
    <row r="30" spans="1:33" ht="18" x14ac:dyDescent="0.25">
      <c r="A30" s="17"/>
      <c r="B30" s="49"/>
      <c r="C30" s="49"/>
      <c r="D30" s="49"/>
      <c r="E30" s="18"/>
      <c r="M30" s="23"/>
      <c r="Y30" s="28"/>
      <c r="Z30" s="29"/>
      <c r="AG30" s="52"/>
    </row>
    <row r="31" spans="1:33" ht="18" x14ac:dyDescent="0.25">
      <c r="A31" s="17"/>
      <c r="B31" s="49"/>
      <c r="C31" s="49"/>
      <c r="D31" s="49"/>
      <c r="E31" s="18"/>
      <c r="M31" s="23"/>
      <c r="Y31" s="28"/>
      <c r="Z31" s="29"/>
      <c r="AG31" s="52"/>
    </row>
    <row r="32" spans="1:33" ht="18" x14ac:dyDescent="0.25">
      <c r="A32" s="17"/>
      <c r="B32" s="49"/>
      <c r="C32" s="49"/>
      <c r="D32" s="49"/>
      <c r="E32" s="18"/>
      <c r="M32" s="23"/>
      <c r="Y32" s="28"/>
      <c r="Z32" s="29"/>
      <c r="AG32" s="52"/>
    </row>
    <row r="33" spans="1:40" ht="18" x14ac:dyDescent="0.25">
      <c r="A33" s="17"/>
      <c r="B33" s="49"/>
      <c r="C33" s="49"/>
      <c r="D33" s="49"/>
      <c r="E33" s="18"/>
      <c r="M33" s="23"/>
      <c r="Y33" s="28"/>
      <c r="Z33" s="29"/>
      <c r="AG33" s="52"/>
    </row>
    <row r="34" spans="1:40" ht="18" x14ac:dyDescent="0.25">
      <c r="A34" s="17"/>
      <c r="B34" s="49"/>
      <c r="C34" s="49"/>
      <c r="D34" s="49"/>
      <c r="E34" s="18"/>
      <c r="M34" s="23"/>
      <c r="Y34" s="28"/>
      <c r="Z34" s="29"/>
      <c r="AG34" s="52"/>
      <c r="AN34" s="61"/>
    </row>
    <row r="35" spans="1:40" x14ac:dyDescent="0.25">
      <c r="A35" s="40"/>
      <c r="B35" s="60"/>
      <c r="C35" s="60"/>
      <c r="D35" s="60"/>
      <c r="E35" s="41"/>
      <c r="M35" s="23"/>
      <c r="Y35" s="28"/>
      <c r="Z35" s="29"/>
      <c r="AG35" s="52"/>
    </row>
    <row r="36" spans="1:40" x14ac:dyDescent="0.25">
      <c r="A36" s="40"/>
      <c r="B36" s="60"/>
      <c r="C36" s="60"/>
      <c r="D36" s="60"/>
      <c r="E36" s="41"/>
      <c r="M36" s="23"/>
      <c r="Y36" s="28"/>
      <c r="Z36" s="29"/>
      <c r="AG36" s="52"/>
    </row>
    <row r="37" spans="1:40" x14ac:dyDescent="0.25">
      <c r="A37" s="40"/>
      <c r="B37" s="60"/>
      <c r="C37" s="60"/>
      <c r="D37" s="60"/>
      <c r="E37" s="41"/>
      <c r="M37" s="23"/>
      <c r="Y37" s="28"/>
      <c r="Z37" s="29"/>
      <c r="AG37" s="52"/>
    </row>
    <row r="38" spans="1:40" x14ac:dyDescent="0.25">
      <c r="A38" s="40"/>
      <c r="B38" s="60"/>
      <c r="C38" s="60"/>
      <c r="D38" s="60"/>
      <c r="E38" s="41"/>
      <c r="M38" s="23"/>
      <c r="Y38" s="28"/>
      <c r="Z38" s="29"/>
      <c r="AG38" s="52"/>
    </row>
    <row r="39" spans="1:40" x14ac:dyDescent="0.25">
      <c r="A39" s="40"/>
      <c r="B39" s="60"/>
      <c r="C39" s="60"/>
      <c r="D39" s="60"/>
      <c r="E39" s="41"/>
      <c r="M39" s="23"/>
      <c r="Y39" s="28"/>
      <c r="Z39" s="29"/>
      <c r="AG39" s="52"/>
    </row>
    <row r="40" spans="1:40" x14ac:dyDescent="0.25">
      <c r="A40" s="40"/>
      <c r="B40" s="60"/>
      <c r="C40" s="60"/>
      <c r="D40" s="60"/>
      <c r="E40" s="41"/>
      <c r="M40" s="23"/>
      <c r="Y40" s="28"/>
      <c r="Z40" s="29"/>
      <c r="AG40" s="52"/>
    </row>
    <row r="41" spans="1:40" x14ac:dyDescent="0.25">
      <c r="A41" s="40"/>
      <c r="B41" s="60"/>
      <c r="C41" s="60"/>
      <c r="D41" s="60"/>
      <c r="E41" s="41"/>
      <c r="M41" s="23"/>
      <c r="Y41" s="28"/>
      <c r="Z41" s="29"/>
      <c r="AG41" s="52"/>
    </row>
    <row r="42" spans="1:40" x14ac:dyDescent="0.25">
      <c r="A42" s="40"/>
      <c r="B42" s="60"/>
      <c r="C42" s="60"/>
      <c r="D42" s="60"/>
      <c r="E42" s="41"/>
      <c r="M42" s="23"/>
      <c r="Y42" s="28"/>
      <c r="Z42" s="29"/>
      <c r="AG42" s="52"/>
    </row>
    <row r="43" spans="1:40" x14ac:dyDescent="0.25">
      <c r="A43" s="40"/>
      <c r="B43" s="60"/>
      <c r="C43" s="60"/>
      <c r="D43" s="60"/>
      <c r="E43" s="41"/>
      <c r="M43" s="23"/>
      <c r="Y43" s="28"/>
      <c r="Z43" s="29"/>
      <c r="AG43" s="52"/>
    </row>
    <row r="44" spans="1:40" x14ac:dyDescent="0.25">
      <c r="A44" s="40"/>
      <c r="B44" s="60"/>
      <c r="C44" s="60"/>
      <c r="D44" s="60"/>
      <c r="E44" s="41"/>
      <c r="M44" s="23"/>
      <c r="Y44" s="28"/>
      <c r="Z44" s="29"/>
      <c r="AG44" s="52"/>
    </row>
    <row r="45" spans="1:40" x14ac:dyDescent="0.25">
      <c r="A45" s="40"/>
      <c r="B45" s="60"/>
      <c r="C45" s="60"/>
      <c r="D45" s="60"/>
      <c r="E45" s="41"/>
      <c r="M45" s="23"/>
      <c r="Y45" s="28"/>
      <c r="Z45" s="29"/>
      <c r="AG45" s="52"/>
    </row>
    <row r="46" spans="1:40" x14ac:dyDescent="0.25">
      <c r="A46" s="40"/>
      <c r="B46" s="60"/>
      <c r="C46" s="60"/>
      <c r="D46" s="60"/>
      <c r="E46" s="41"/>
      <c r="M46" s="23"/>
      <c r="Y46" s="28"/>
      <c r="Z46" s="29"/>
      <c r="AG46" s="52"/>
    </row>
    <row r="47" spans="1:40" x14ac:dyDescent="0.25">
      <c r="A47" s="40"/>
      <c r="B47" s="60"/>
      <c r="C47" s="60"/>
      <c r="D47" s="60"/>
      <c r="E47" s="41"/>
      <c r="M47" s="23"/>
      <c r="Y47" s="28"/>
      <c r="Z47" s="29"/>
      <c r="AG47" s="52"/>
    </row>
    <row r="48" spans="1:40" x14ac:dyDescent="0.25">
      <c r="A48" s="40"/>
      <c r="B48" s="60"/>
      <c r="C48" s="60"/>
      <c r="D48" s="60"/>
      <c r="E48" s="41"/>
      <c r="M48" s="23"/>
      <c r="Y48" s="28"/>
      <c r="Z48" s="29"/>
      <c r="AG48" s="52"/>
    </row>
    <row r="49" spans="1:33" x14ac:dyDescent="0.25">
      <c r="A49" s="40"/>
      <c r="B49" s="60"/>
      <c r="C49" s="60"/>
      <c r="D49" s="60"/>
      <c r="E49" s="41"/>
      <c r="M49" s="23"/>
      <c r="Y49" s="28"/>
      <c r="Z49" s="29"/>
      <c r="AG49" s="52"/>
    </row>
    <row r="50" spans="1:33" x14ac:dyDescent="0.25">
      <c r="A50" s="40"/>
      <c r="B50" s="60"/>
      <c r="C50" s="60"/>
      <c r="D50" s="60"/>
      <c r="E50" s="41"/>
      <c r="M50" s="23"/>
      <c r="Y50" s="28"/>
      <c r="Z50" s="29"/>
      <c r="AG50" s="52"/>
    </row>
    <row r="51" spans="1:33" x14ac:dyDescent="0.25">
      <c r="A51" s="40"/>
      <c r="B51" s="60"/>
      <c r="C51" s="60"/>
      <c r="D51" s="60"/>
      <c r="E51" s="41"/>
      <c r="M51" s="23"/>
      <c r="Y51" s="28"/>
      <c r="Z51" s="29"/>
      <c r="AG51" s="52"/>
    </row>
    <row r="52" spans="1:33" x14ac:dyDescent="0.25">
      <c r="A52" s="40"/>
      <c r="B52" s="60"/>
      <c r="C52" s="60"/>
      <c r="D52" s="60"/>
      <c r="E52" s="41"/>
      <c r="M52" s="23"/>
      <c r="Y52" s="28"/>
      <c r="Z52" s="29"/>
      <c r="AG52" s="52"/>
    </row>
    <row r="53" spans="1:33" x14ac:dyDescent="0.25">
      <c r="A53" s="40"/>
      <c r="B53" s="60"/>
      <c r="C53" s="60"/>
      <c r="D53" s="60"/>
      <c r="E53" s="41"/>
      <c r="M53" s="23"/>
      <c r="Y53" s="28"/>
      <c r="Z53" s="29"/>
      <c r="AG53" s="52"/>
    </row>
    <row r="54" spans="1:33" x14ac:dyDescent="0.25">
      <c r="A54" s="40"/>
      <c r="B54" s="60"/>
      <c r="C54" s="60"/>
      <c r="D54" s="60"/>
      <c r="E54" s="41"/>
      <c r="M54" s="23"/>
      <c r="Y54" s="28"/>
      <c r="Z54" s="29"/>
      <c r="AG54" s="52"/>
    </row>
    <row r="55" spans="1:33" x14ac:dyDescent="0.25">
      <c r="A55" s="40"/>
      <c r="B55" s="60"/>
      <c r="C55" s="60"/>
      <c r="D55" s="60"/>
      <c r="E55" s="41"/>
      <c r="M55" s="23"/>
      <c r="Y55" s="28"/>
      <c r="Z55" s="29"/>
      <c r="AG55" s="52"/>
    </row>
    <row r="56" spans="1:33" x14ac:dyDescent="0.25">
      <c r="A56" s="40"/>
      <c r="B56" s="60"/>
      <c r="C56" s="60"/>
      <c r="D56" s="60"/>
      <c r="E56" s="41"/>
      <c r="M56" s="23"/>
      <c r="Y56" s="28"/>
      <c r="Z56" s="29"/>
      <c r="AG56" s="52"/>
    </row>
    <row r="57" spans="1:33" x14ac:dyDescent="0.25">
      <c r="A57" s="40"/>
      <c r="B57" s="60"/>
      <c r="C57" s="60"/>
      <c r="D57" s="60"/>
      <c r="E57" s="41"/>
      <c r="M57" s="23"/>
      <c r="Y57" s="28"/>
      <c r="Z57" s="29"/>
      <c r="AG57" s="52"/>
    </row>
    <row r="58" spans="1:33" x14ac:dyDescent="0.25">
      <c r="A58" s="40"/>
      <c r="B58" s="60"/>
      <c r="C58" s="60"/>
      <c r="D58" s="60"/>
      <c r="E58" s="41"/>
      <c r="M58" s="23"/>
      <c r="Y58" s="28"/>
      <c r="Z58" s="29"/>
      <c r="AG58" s="52"/>
    </row>
    <row r="59" spans="1:33" x14ac:dyDescent="0.25">
      <c r="A59" s="40"/>
      <c r="B59" s="60"/>
      <c r="C59" s="60"/>
      <c r="D59" s="60"/>
      <c r="E59" s="41"/>
      <c r="M59" s="23"/>
      <c r="Y59" s="28"/>
      <c r="Z59" s="29"/>
      <c r="AG59" s="52"/>
    </row>
    <row r="60" spans="1:33" x14ac:dyDescent="0.25">
      <c r="A60" s="40"/>
      <c r="B60" s="60"/>
      <c r="C60" s="60"/>
      <c r="D60" s="60"/>
      <c r="E60" s="41"/>
      <c r="M60" s="23"/>
      <c r="Y60" s="28"/>
      <c r="Z60" s="29"/>
      <c r="AG60" s="52"/>
    </row>
    <row r="61" spans="1:33" x14ac:dyDescent="0.25">
      <c r="A61" s="40"/>
      <c r="B61" s="60"/>
      <c r="C61" s="60"/>
      <c r="D61" s="60"/>
      <c r="E61" s="41"/>
      <c r="M61" s="23"/>
      <c r="Y61" s="28"/>
      <c r="Z61" s="29"/>
      <c r="AG61" s="52"/>
    </row>
    <row r="62" spans="1:33" ht="15.75" thickBot="1" x14ac:dyDescent="0.3">
      <c r="A62" s="40"/>
      <c r="B62" s="60"/>
      <c r="C62" s="60"/>
      <c r="D62" s="60"/>
      <c r="E62" s="41"/>
      <c r="M62" s="42"/>
      <c r="N62" s="43"/>
      <c r="O62" s="43"/>
      <c r="Q62" s="43"/>
      <c r="R62" s="43"/>
      <c r="S62" s="43"/>
      <c r="T62" s="43"/>
      <c r="U62" s="43"/>
      <c r="V62" s="43"/>
      <c r="W62" s="43"/>
      <c r="X62" s="43"/>
      <c r="Y62" s="44"/>
      <c r="Z62" s="45"/>
      <c r="AA62" s="43"/>
      <c r="AB62" s="43"/>
      <c r="AC62" s="43"/>
      <c r="AG62" s="52"/>
    </row>
    <row r="63" spans="1:33" ht="19.5" thickTop="1" x14ac:dyDescent="0.25">
      <c r="A63" s="62"/>
      <c r="B63" s="63"/>
      <c r="C63" s="63"/>
      <c r="D63" s="63"/>
      <c r="E63" s="64"/>
      <c r="F63" s="625">
        <v>2025</v>
      </c>
      <c r="G63" s="626"/>
      <c r="H63" s="626"/>
      <c r="I63" s="626"/>
      <c r="J63" s="626"/>
      <c r="K63" s="626"/>
      <c r="L63" s="626"/>
      <c r="M63" s="627"/>
      <c r="N63" s="628">
        <v>2026</v>
      </c>
      <c r="O63" s="629"/>
      <c r="P63" s="629"/>
      <c r="Q63" s="629"/>
      <c r="R63" s="629"/>
      <c r="S63" s="629"/>
      <c r="T63" s="629"/>
      <c r="U63" s="629"/>
      <c r="V63" s="629"/>
      <c r="W63" s="629"/>
      <c r="X63" s="629"/>
      <c r="Y63" s="630"/>
      <c r="Z63" s="629">
        <v>2027</v>
      </c>
      <c r="AA63" s="629"/>
      <c r="AB63" s="629"/>
      <c r="AC63" s="629"/>
      <c r="AD63" s="629"/>
      <c r="AE63" s="629"/>
      <c r="AF63" s="629"/>
      <c r="AG63" s="631"/>
    </row>
    <row r="64" spans="1:33" ht="19.5" thickBot="1" x14ac:dyDescent="0.3">
      <c r="A64" s="65"/>
      <c r="B64" s="66"/>
      <c r="C64" s="66"/>
      <c r="D64" s="66"/>
      <c r="E64" s="67"/>
      <c r="F64" s="68" t="s">
        <v>563</v>
      </c>
      <c r="G64" s="69" t="s">
        <v>564</v>
      </c>
      <c r="H64" s="69" t="s">
        <v>565</v>
      </c>
      <c r="I64" s="69" t="s">
        <v>566</v>
      </c>
      <c r="J64" s="69" t="s">
        <v>567</v>
      </c>
      <c r="K64" s="69" t="s">
        <v>568</v>
      </c>
      <c r="L64" s="68" t="s">
        <v>569</v>
      </c>
      <c r="M64" s="70" t="s">
        <v>570</v>
      </c>
      <c r="N64" s="71" t="s">
        <v>571</v>
      </c>
      <c r="O64" s="69" t="s">
        <v>572</v>
      </c>
      <c r="P64" s="69" t="s">
        <v>573</v>
      </c>
      <c r="Q64" s="70" t="s">
        <v>574</v>
      </c>
      <c r="R64" s="69" t="s">
        <v>563</v>
      </c>
      <c r="S64" s="69" t="s">
        <v>564</v>
      </c>
      <c r="T64" s="69" t="s">
        <v>565</v>
      </c>
      <c r="U64" s="69" t="s">
        <v>566</v>
      </c>
      <c r="V64" s="69" t="s">
        <v>567</v>
      </c>
      <c r="W64" s="69" t="s">
        <v>568</v>
      </c>
      <c r="X64" s="69" t="s">
        <v>569</v>
      </c>
      <c r="Y64" s="72" t="s">
        <v>570</v>
      </c>
      <c r="Z64" s="73" t="s">
        <v>571</v>
      </c>
      <c r="AA64" s="74" t="s">
        <v>572</v>
      </c>
      <c r="AB64" s="75" t="s">
        <v>573</v>
      </c>
      <c r="AC64" s="74" t="s">
        <v>574</v>
      </c>
      <c r="AD64" s="74" t="s">
        <v>563</v>
      </c>
      <c r="AE64" s="75" t="s">
        <v>564</v>
      </c>
      <c r="AF64" s="75" t="s">
        <v>565</v>
      </c>
      <c r="AG64" s="76" t="s">
        <v>566</v>
      </c>
    </row>
    <row r="65" spans="1:33" ht="21.75" hidden="1" thickTop="1" x14ac:dyDescent="0.25">
      <c r="A65" s="632" t="s">
        <v>580</v>
      </c>
      <c r="B65" s="634" t="s">
        <v>581</v>
      </c>
      <c r="C65" s="635"/>
      <c r="D65" s="635"/>
      <c r="E65" s="636"/>
      <c r="F65" s="77"/>
      <c r="G65" s="78">
        <v>0</v>
      </c>
      <c r="H65" s="78">
        <f>+H66</f>
        <v>0</v>
      </c>
      <c r="I65" s="78">
        <f t="shared" ref="I65:R65" si="0">+I66-H66</f>
        <v>0</v>
      </c>
      <c r="J65" s="78">
        <f t="shared" si="0"/>
        <v>0</v>
      </c>
      <c r="K65" s="78">
        <f t="shared" si="0"/>
        <v>0</v>
      </c>
      <c r="L65" s="78">
        <f t="shared" si="0"/>
        <v>0</v>
      </c>
      <c r="M65" s="78">
        <f t="shared" si="0"/>
        <v>0</v>
      </c>
      <c r="N65" s="78">
        <f t="shared" si="0"/>
        <v>0</v>
      </c>
      <c r="O65" s="78">
        <f t="shared" si="0"/>
        <v>0</v>
      </c>
      <c r="P65" s="78">
        <f t="shared" si="0"/>
        <v>0</v>
      </c>
      <c r="Q65" s="78">
        <f t="shared" si="0"/>
        <v>0</v>
      </c>
      <c r="R65" s="78">
        <f t="shared" si="0"/>
        <v>0</v>
      </c>
      <c r="S65" s="78">
        <f t="shared" ref="S65:AC65" si="1">+S66-R66</f>
        <v>0</v>
      </c>
      <c r="T65" s="78">
        <f t="shared" si="1"/>
        <v>0</v>
      </c>
      <c r="U65" s="78">
        <f t="shared" si="1"/>
        <v>0</v>
      </c>
      <c r="V65" s="78">
        <f t="shared" si="1"/>
        <v>0</v>
      </c>
      <c r="W65" s="78">
        <f t="shared" si="1"/>
        <v>0</v>
      </c>
      <c r="X65" s="78">
        <f t="shared" si="1"/>
        <v>0</v>
      </c>
      <c r="Y65" s="78">
        <f t="shared" si="1"/>
        <v>0</v>
      </c>
      <c r="Z65" s="78">
        <f t="shared" si="1"/>
        <v>0</v>
      </c>
      <c r="AA65" s="78">
        <f t="shared" si="1"/>
        <v>0</v>
      </c>
      <c r="AB65" s="78">
        <f t="shared" si="1"/>
        <v>0</v>
      </c>
      <c r="AC65" s="78">
        <f t="shared" si="1"/>
        <v>0</v>
      </c>
      <c r="AD65" s="79"/>
      <c r="AE65" s="79"/>
      <c r="AF65" s="79"/>
      <c r="AG65" s="80"/>
    </row>
    <row r="66" spans="1:33" ht="21.75" hidden="1" thickTop="1" x14ac:dyDescent="0.25">
      <c r="A66" s="633"/>
      <c r="B66" s="637" t="s">
        <v>582</v>
      </c>
      <c r="C66" s="638"/>
      <c r="D66" s="638"/>
      <c r="E66" s="639"/>
      <c r="F66" s="81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3"/>
      <c r="AE66" s="83"/>
      <c r="AF66" s="83"/>
      <c r="AG66" s="84"/>
    </row>
    <row r="67" spans="1:33" ht="21.75" thickTop="1" x14ac:dyDescent="0.25">
      <c r="A67" s="643" t="s">
        <v>605</v>
      </c>
      <c r="B67" s="645" t="s">
        <v>581</v>
      </c>
      <c r="C67" s="646"/>
      <c r="D67" s="646"/>
      <c r="E67" s="647"/>
      <c r="F67" s="85"/>
      <c r="G67" s="85">
        <v>250</v>
      </c>
      <c r="H67" s="85">
        <v>250</v>
      </c>
      <c r="I67" s="85"/>
      <c r="J67" s="85"/>
      <c r="K67" s="85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5"/>
      <c r="AG67" s="88"/>
    </row>
    <row r="68" spans="1:33" ht="21" x14ac:dyDescent="0.25">
      <c r="A68" s="644"/>
      <c r="B68" s="645" t="s">
        <v>582</v>
      </c>
      <c r="C68" s="646"/>
      <c r="D68" s="646"/>
      <c r="E68" s="647"/>
      <c r="F68" s="85"/>
      <c r="G68" s="87">
        <f>+F68+G67</f>
        <v>250</v>
      </c>
      <c r="H68" s="87">
        <f>+G68+H67</f>
        <v>500</v>
      </c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5"/>
      <c r="AG68" s="88"/>
    </row>
    <row r="69" spans="1:33" ht="21" x14ac:dyDescent="0.25">
      <c r="A69" s="648" t="s">
        <v>602</v>
      </c>
      <c r="B69" s="650" t="s">
        <v>581</v>
      </c>
      <c r="C69" s="651"/>
      <c r="D69" s="651"/>
      <c r="E69" s="652"/>
      <c r="F69" s="85"/>
      <c r="G69" s="85">
        <v>0</v>
      </c>
      <c r="H69" s="85">
        <v>0</v>
      </c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8"/>
    </row>
    <row r="70" spans="1:33" ht="21" x14ac:dyDescent="0.25">
      <c r="A70" s="649"/>
      <c r="B70" s="650" t="s">
        <v>582</v>
      </c>
      <c r="C70" s="651"/>
      <c r="D70" s="651"/>
      <c r="E70" s="652"/>
      <c r="F70" s="85"/>
      <c r="G70" s="85">
        <f>+F70+G69</f>
        <v>0</v>
      </c>
      <c r="H70" s="85">
        <f>+G70+H69</f>
        <v>0</v>
      </c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8"/>
    </row>
    <row r="71" spans="1:33" ht="21" x14ac:dyDescent="0.25">
      <c r="A71" s="653" t="s">
        <v>606</v>
      </c>
      <c r="B71" s="655" t="s">
        <v>581</v>
      </c>
      <c r="C71" s="656"/>
      <c r="D71" s="656"/>
      <c r="E71" s="657"/>
      <c r="F71" s="89"/>
      <c r="G71" s="89">
        <v>250</v>
      </c>
      <c r="H71" s="89">
        <v>250</v>
      </c>
      <c r="I71" s="89"/>
      <c r="J71" s="89"/>
      <c r="K71" s="89"/>
      <c r="L71" s="144"/>
      <c r="M71" s="144"/>
      <c r="N71" s="144"/>
      <c r="O71" s="144"/>
      <c r="P71" s="144"/>
      <c r="Q71" s="144"/>
      <c r="R71" s="144"/>
      <c r="S71" s="144"/>
      <c r="T71" s="86"/>
      <c r="U71" s="86"/>
      <c r="V71" s="86"/>
      <c r="W71" s="86"/>
      <c r="X71" s="89"/>
      <c r="Y71" s="89"/>
      <c r="Z71" s="144"/>
      <c r="AA71" s="89"/>
      <c r="AB71" s="89"/>
      <c r="AC71" s="89"/>
      <c r="AD71" s="89"/>
      <c r="AE71" s="89"/>
      <c r="AF71" s="89"/>
      <c r="AG71" s="90"/>
    </row>
    <row r="72" spans="1:33" ht="19.350000000000001" customHeight="1" thickBot="1" x14ac:dyDescent="0.3">
      <c r="A72" s="654"/>
      <c r="B72" s="658" t="s">
        <v>582</v>
      </c>
      <c r="C72" s="659"/>
      <c r="D72" s="659"/>
      <c r="E72" s="660"/>
      <c r="F72" s="91"/>
      <c r="G72" s="144">
        <f>G71+F72</f>
        <v>250</v>
      </c>
      <c r="H72" s="144">
        <f>H71+G72</f>
        <v>500</v>
      </c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91"/>
      <c r="AG72" s="92"/>
    </row>
    <row r="73" spans="1:33" ht="24" thickTop="1" x14ac:dyDescent="0.35">
      <c r="A73" s="93" t="s">
        <v>583</v>
      </c>
      <c r="B73" s="94"/>
      <c r="C73" s="94"/>
      <c r="D73" s="94"/>
      <c r="E73" s="95">
        <v>45834</v>
      </c>
      <c r="F73" s="640" t="s">
        <v>584</v>
      </c>
      <c r="G73" s="641"/>
      <c r="H73" s="641"/>
      <c r="I73" s="641"/>
      <c r="J73" s="641"/>
      <c r="K73" s="641"/>
      <c r="L73" s="641"/>
      <c r="M73" s="641"/>
      <c r="N73" s="641"/>
      <c r="O73" s="641"/>
      <c r="P73" s="641"/>
      <c r="Q73" s="641"/>
      <c r="R73" s="641"/>
      <c r="S73" s="661"/>
      <c r="T73" s="662" t="s">
        <v>599</v>
      </c>
      <c r="U73" s="663"/>
      <c r="V73" s="663"/>
      <c r="W73" s="663"/>
      <c r="X73" s="663"/>
      <c r="Y73" s="663"/>
      <c r="Z73" s="664"/>
      <c r="AA73" s="640" t="s">
        <v>585</v>
      </c>
      <c r="AB73" s="641"/>
      <c r="AC73" s="641"/>
      <c r="AD73" s="641"/>
      <c r="AE73" s="641"/>
      <c r="AF73" s="641"/>
      <c r="AG73" s="642"/>
    </row>
    <row r="74" spans="1:33" ht="23.25" x14ac:dyDescent="0.35">
      <c r="A74" s="96" t="s">
        <v>586</v>
      </c>
      <c r="B74" s="97"/>
      <c r="C74" s="97"/>
      <c r="D74" s="97"/>
      <c r="E74" s="98">
        <v>45863</v>
      </c>
      <c r="F74" s="99"/>
      <c r="G74" s="100"/>
      <c r="H74" s="101"/>
      <c r="I74" s="101"/>
      <c r="J74" s="101"/>
      <c r="K74" s="101"/>
      <c r="L74" s="101"/>
      <c r="M74" s="101"/>
      <c r="N74" s="101"/>
      <c r="O74" s="102"/>
      <c r="P74" s="102"/>
      <c r="Q74" s="102"/>
      <c r="R74" s="102"/>
      <c r="S74" s="103"/>
      <c r="T74" s="674" t="s">
        <v>600</v>
      </c>
      <c r="U74" s="675"/>
      <c r="V74" s="675"/>
      <c r="W74" s="675"/>
      <c r="X74" s="675"/>
      <c r="Y74" s="675"/>
      <c r="Z74" s="676"/>
      <c r="AA74" s="104" t="s">
        <v>587</v>
      </c>
      <c r="AB74" s="677" t="s">
        <v>588</v>
      </c>
      <c r="AC74" s="678"/>
      <c r="AD74" s="678"/>
      <c r="AE74" s="679"/>
      <c r="AF74" s="105" t="s">
        <v>589</v>
      </c>
      <c r="AG74" s="106" t="s">
        <v>590</v>
      </c>
    </row>
    <row r="75" spans="1:33" ht="23.25" x14ac:dyDescent="0.35">
      <c r="A75" s="96" t="s">
        <v>591</v>
      </c>
      <c r="B75" s="97"/>
      <c r="C75" s="97"/>
      <c r="D75" s="97"/>
      <c r="E75" s="98">
        <v>45834</v>
      </c>
      <c r="F75" s="107"/>
      <c r="G75" s="108"/>
      <c r="H75" s="109"/>
      <c r="I75" s="109"/>
      <c r="J75" s="109"/>
      <c r="K75" s="109"/>
      <c r="L75" s="109"/>
      <c r="M75" s="108"/>
      <c r="N75" s="108"/>
      <c r="O75" s="110"/>
      <c r="P75" s="111"/>
      <c r="Q75" s="111"/>
      <c r="R75" s="111"/>
      <c r="S75" s="112"/>
      <c r="T75" s="674" t="s">
        <v>601</v>
      </c>
      <c r="U75" s="675"/>
      <c r="V75" s="675"/>
      <c r="W75" s="675"/>
      <c r="X75" s="675"/>
      <c r="Y75" s="675"/>
      <c r="Z75" s="676"/>
      <c r="AA75" s="113"/>
      <c r="AB75" s="680"/>
      <c r="AC75" s="681"/>
      <c r="AD75" s="681"/>
      <c r="AE75" s="682"/>
      <c r="AF75" s="114"/>
      <c r="AG75" s="115"/>
    </row>
    <row r="76" spans="1:33" ht="23.25" x14ac:dyDescent="0.35">
      <c r="A76" s="96" t="s">
        <v>592</v>
      </c>
      <c r="B76" s="97"/>
      <c r="C76" s="97"/>
      <c r="D76" s="97"/>
      <c r="E76" s="98">
        <f ca="1">TODAY()</f>
        <v>46110</v>
      </c>
      <c r="F76" s="683"/>
      <c r="G76" s="684"/>
      <c r="H76" s="685"/>
      <c r="I76" s="685"/>
      <c r="J76" s="685"/>
      <c r="K76" s="685"/>
      <c r="L76" s="685"/>
      <c r="M76" s="111"/>
      <c r="N76" s="111"/>
      <c r="O76" s="111"/>
      <c r="P76" s="111"/>
      <c r="Q76" s="111"/>
      <c r="R76" s="111"/>
      <c r="S76" s="112"/>
      <c r="T76" s="686" t="s">
        <v>593</v>
      </c>
      <c r="U76" s="687"/>
      <c r="V76" s="687"/>
      <c r="W76" s="687"/>
      <c r="X76" s="687"/>
      <c r="Y76" s="687"/>
      <c r="Z76" s="688"/>
      <c r="AA76" s="113"/>
      <c r="AB76" s="680"/>
      <c r="AC76" s="681"/>
      <c r="AD76" s="681"/>
      <c r="AE76" s="682"/>
      <c r="AF76" s="114"/>
      <c r="AG76" s="115"/>
    </row>
    <row r="77" spans="1:33" ht="24" thickBot="1" x14ac:dyDescent="0.3">
      <c r="A77" s="665"/>
      <c r="B77" s="666"/>
      <c r="C77" s="666"/>
      <c r="D77" s="666"/>
      <c r="E77" s="667"/>
      <c r="F77" s="668"/>
      <c r="G77" s="669"/>
      <c r="H77" s="670"/>
      <c r="I77" s="670"/>
      <c r="J77" s="670"/>
      <c r="K77" s="670"/>
      <c r="L77" s="670"/>
      <c r="M77" s="116"/>
      <c r="N77" s="116"/>
      <c r="O77" s="116"/>
      <c r="P77" s="116"/>
      <c r="Q77" s="116"/>
      <c r="R77" s="116"/>
      <c r="S77" s="117"/>
      <c r="T77" s="689"/>
      <c r="U77" s="690"/>
      <c r="V77" s="690"/>
      <c r="W77" s="690"/>
      <c r="X77" s="690"/>
      <c r="Y77" s="690"/>
      <c r="Z77" s="691"/>
      <c r="AA77" s="118"/>
      <c r="AB77" s="671"/>
      <c r="AC77" s="672"/>
      <c r="AD77" s="672"/>
      <c r="AE77" s="673"/>
      <c r="AF77" s="119"/>
      <c r="AG77" s="120"/>
    </row>
    <row r="78" spans="1:33" ht="21" thickTop="1" x14ac:dyDescent="0.3">
      <c r="A78" s="47"/>
      <c r="B78" s="47"/>
      <c r="C78" s="47" t="s">
        <v>594</v>
      </c>
      <c r="D78" s="47"/>
      <c r="E78" s="27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8"/>
      <c r="AC78" s="48"/>
      <c r="AD78" s="48"/>
      <c r="AE78" s="48"/>
      <c r="AF78" s="48"/>
      <c r="AG78" s="48"/>
    </row>
    <row r="79" spans="1:33" ht="21" x14ac:dyDescent="0.35">
      <c r="A79" s="47"/>
      <c r="B79" s="121"/>
      <c r="C79" s="121"/>
      <c r="D79" s="121"/>
      <c r="E79" s="97"/>
      <c r="F79" s="111"/>
      <c r="G79" s="111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</row>
    <row r="80" spans="1:33" ht="21" x14ac:dyDescent="0.35">
      <c r="A80" s="47"/>
      <c r="B80" s="121"/>
      <c r="C80" s="121"/>
      <c r="D80" s="121"/>
      <c r="E80" s="97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23"/>
      <c r="AG80" s="123"/>
    </row>
    <row r="81" spans="1:44" ht="21" x14ac:dyDescent="0.35">
      <c r="A81" s="47"/>
      <c r="B81" s="121"/>
      <c r="C81" s="121"/>
      <c r="D81" s="121"/>
      <c r="E81" s="97"/>
      <c r="F81" s="416" t="s">
        <v>1386</v>
      </c>
      <c r="G81" s="417"/>
      <c r="H81" s="418"/>
      <c r="I81" s="418"/>
      <c r="J81" s="418"/>
      <c r="K81" s="418"/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9"/>
      <c r="W81" s="416" t="s">
        <v>1387</v>
      </c>
      <c r="X81" s="418"/>
      <c r="Y81" s="111"/>
      <c r="Z81" s="111"/>
      <c r="AA81" s="121"/>
      <c r="AB81" s="121"/>
      <c r="AC81" s="121"/>
      <c r="AD81" s="121"/>
      <c r="AE81" s="123"/>
      <c r="AF81" s="123"/>
      <c r="AG81" s="123"/>
    </row>
    <row r="82" spans="1:44" ht="21.75" thickBot="1" x14ac:dyDescent="0.4">
      <c r="A82" s="47"/>
      <c r="B82" s="121"/>
      <c r="C82" s="121"/>
      <c r="D82" s="121"/>
      <c r="E82" s="97"/>
      <c r="F82" s="418"/>
      <c r="G82" s="417">
        <v>45834</v>
      </c>
      <c r="H82" s="417">
        <f>G82+7</f>
        <v>45841</v>
      </c>
      <c r="I82" s="417">
        <f>H82+7</f>
        <v>45848</v>
      </c>
      <c r="J82" s="417">
        <f>I82+7</f>
        <v>45855</v>
      </c>
      <c r="K82" s="417"/>
      <c r="L82" s="418"/>
      <c r="M82" s="418"/>
      <c r="N82" s="418"/>
      <c r="O82" s="418"/>
      <c r="P82" s="418"/>
      <c r="Q82" s="418"/>
      <c r="R82" s="418"/>
      <c r="S82" s="418"/>
      <c r="T82" s="418"/>
      <c r="U82" s="418"/>
      <c r="V82" s="418"/>
      <c r="W82" s="418"/>
      <c r="X82" s="418"/>
      <c r="Y82" s="111"/>
      <c r="Z82" s="111"/>
      <c r="AA82" s="111"/>
      <c r="AB82" s="111"/>
      <c r="AC82" s="111"/>
      <c r="AD82" s="111"/>
      <c r="AE82" s="111"/>
      <c r="AF82" s="123"/>
      <c r="AG82" s="123"/>
    </row>
    <row r="83" spans="1:44" ht="21" x14ac:dyDescent="0.3">
      <c r="A83" s="47"/>
      <c r="B83" s="121"/>
      <c r="C83" s="121"/>
      <c r="D83" s="124" t="s">
        <v>603</v>
      </c>
      <c r="E83" s="125"/>
      <c r="F83" s="420"/>
      <c r="G83" s="421">
        <f>+M67/4</f>
        <v>0</v>
      </c>
      <c r="H83" s="421">
        <f>+G83</f>
        <v>0</v>
      </c>
      <c r="I83" s="421">
        <f>+H83</f>
        <v>0</v>
      </c>
      <c r="J83" s="421">
        <f>+I83</f>
        <v>0</v>
      </c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>
        <f>SUM(G83:V83)</f>
        <v>0</v>
      </c>
      <c r="X83" s="422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23"/>
      <c r="AQ83" s="123"/>
      <c r="AR83" s="123"/>
    </row>
    <row r="84" spans="1:44" ht="21.75" thickBot="1" x14ac:dyDescent="0.35">
      <c r="A84" s="47"/>
      <c r="B84" s="121"/>
      <c r="C84" s="121"/>
      <c r="D84" s="126" t="s">
        <v>604</v>
      </c>
      <c r="E84" s="127"/>
      <c r="F84" s="423"/>
      <c r="G84" s="424">
        <f>+G83+L68</f>
        <v>0</v>
      </c>
      <c r="H84" s="424">
        <f>+H83+G84</f>
        <v>0</v>
      </c>
      <c r="I84" s="424">
        <f>+I83+H84</f>
        <v>0</v>
      </c>
      <c r="J84" s="424">
        <f>+J83+I84</f>
        <v>0</v>
      </c>
      <c r="K84" s="424"/>
      <c r="L84" s="424"/>
      <c r="M84" s="424"/>
      <c r="N84" s="424"/>
      <c r="O84" s="424"/>
      <c r="P84" s="424"/>
      <c r="Q84" s="424"/>
      <c r="R84" s="424"/>
      <c r="S84" s="424"/>
      <c r="T84" s="424"/>
      <c r="U84" s="424"/>
      <c r="V84" s="424"/>
      <c r="W84" s="424">
        <f>MAX(G84:V84)</f>
        <v>0</v>
      </c>
      <c r="X84" s="425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23"/>
      <c r="AQ84" s="123"/>
      <c r="AR84" s="123"/>
    </row>
    <row r="85" spans="1:44" ht="21" x14ac:dyDescent="0.3">
      <c r="A85" s="47"/>
      <c r="B85" s="121"/>
      <c r="C85" s="121"/>
      <c r="D85" s="124" t="s">
        <v>595</v>
      </c>
      <c r="E85" s="125"/>
      <c r="F85" s="420"/>
      <c r="G85" s="421">
        <v>20</v>
      </c>
      <c r="H85" s="421">
        <v>0</v>
      </c>
      <c r="I85" s="421">
        <v>0</v>
      </c>
      <c r="J85" s="421">
        <v>0</v>
      </c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>
        <f>SUM(G85:V85)</f>
        <v>20</v>
      </c>
      <c r="X85" s="422"/>
      <c r="Y85" s="111"/>
      <c r="Z85" s="111"/>
      <c r="AA85" s="111"/>
      <c r="AB85" s="111"/>
      <c r="AC85" s="111"/>
      <c r="AD85" s="111"/>
      <c r="AE85" s="414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23"/>
      <c r="AQ85" s="123"/>
      <c r="AR85" s="123"/>
    </row>
    <row r="86" spans="1:44" ht="21.75" thickBot="1" x14ac:dyDescent="0.35">
      <c r="A86" s="47"/>
      <c r="B86" s="121"/>
      <c r="C86" s="121"/>
      <c r="D86" s="126" t="s">
        <v>596</v>
      </c>
      <c r="E86" s="127"/>
      <c r="F86" s="423"/>
      <c r="G86" s="424">
        <f>L70+G85</f>
        <v>20</v>
      </c>
      <c r="H86" s="424">
        <f>SUM(G86+H85)</f>
        <v>20</v>
      </c>
      <c r="I86" s="424">
        <f>SUM(H86+I85)</f>
        <v>20</v>
      </c>
      <c r="J86" s="424">
        <f>SUM(I86+J85)</f>
        <v>20</v>
      </c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24">
        <f>MAX(G86:V86)</f>
        <v>20</v>
      </c>
      <c r="X86" s="425"/>
      <c r="Y86" s="111"/>
      <c r="Z86" s="111"/>
      <c r="AA86" s="111"/>
      <c r="AB86" s="111"/>
      <c r="AC86" s="111"/>
      <c r="AD86" s="111"/>
      <c r="AE86" s="414"/>
      <c r="AF86" s="111"/>
      <c r="AG86" s="111"/>
      <c r="AH86" s="111"/>
      <c r="AI86" s="111"/>
      <c r="AJ86" s="111"/>
      <c r="AK86" s="111"/>
      <c r="AL86" s="111"/>
      <c r="AM86" s="123"/>
      <c r="AN86" s="123"/>
      <c r="AO86" s="123"/>
      <c r="AP86" s="123"/>
      <c r="AQ86" s="123"/>
      <c r="AR86" s="123"/>
    </row>
    <row r="87" spans="1:44" ht="21" x14ac:dyDescent="0.3">
      <c r="A87" s="47"/>
      <c r="B87" s="121"/>
      <c r="C87" s="121"/>
      <c r="D87" s="124" t="s">
        <v>597</v>
      </c>
      <c r="E87" s="125"/>
      <c r="F87" s="426"/>
      <c r="G87" s="421">
        <f>+M71/4</f>
        <v>0</v>
      </c>
      <c r="H87" s="421">
        <f>+G87</f>
        <v>0</v>
      </c>
      <c r="I87" s="421">
        <f>+G87</f>
        <v>0</v>
      </c>
      <c r="J87" s="421">
        <f>+G87:G87</f>
        <v>0</v>
      </c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>
        <f>SUM(G87:V87)</f>
        <v>0</v>
      </c>
      <c r="X87" s="427"/>
      <c r="Y87" s="111"/>
      <c r="Z87" s="111"/>
      <c r="AA87" s="111"/>
      <c r="AB87" s="111"/>
      <c r="AC87" s="111"/>
      <c r="AD87" s="111"/>
      <c r="AE87" s="414"/>
      <c r="AF87" s="111"/>
      <c r="AG87" s="111"/>
      <c r="AH87" s="111"/>
      <c r="AI87" s="111"/>
      <c r="AJ87" s="111"/>
      <c r="AK87" s="111"/>
      <c r="AL87" s="111"/>
      <c r="AM87" s="123"/>
      <c r="AN87" s="123"/>
      <c r="AO87" s="123"/>
      <c r="AP87" s="123"/>
      <c r="AQ87" s="123"/>
      <c r="AR87" s="123"/>
    </row>
    <row r="88" spans="1:44" ht="21.75" thickBot="1" x14ac:dyDescent="0.35">
      <c r="A88" s="47"/>
      <c r="B88" s="121"/>
      <c r="C88" s="121"/>
      <c r="D88" s="126" t="s">
        <v>598</v>
      </c>
      <c r="E88" s="127"/>
      <c r="F88" s="423"/>
      <c r="G88" s="424">
        <f>G87+L72</f>
        <v>0</v>
      </c>
      <c r="H88" s="424">
        <f>G88+H87</f>
        <v>0</v>
      </c>
      <c r="I88" s="424">
        <f>H88+I87</f>
        <v>0</v>
      </c>
      <c r="J88" s="424">
        <f>I88+J87</f>
        <v>0</v>
      </c>
      <c r="K88" s="424"/>
      <c r="L88" s="424"/>
      <c r="M88" s="424"/>
      <c r="N88" s="424"/>
      <c r="O88" s="424"/>
      <c r="P88" s="424"/>
      <c r="Q88" s="424"/>
      <c r="R88" s="424"/>
      <c r="S88" s="424"/>
      <c r="T88" s="424"/>
      <c r="U88" s="424"/>
      <c r="V88" s="424"/>
      <c r="W88" s="424">
        <f>MAX(G88:V88)</f>
        <v>0</v>
      </c>
      <c r="X88" s="425"/>
      <c r="Y88" s="111"/>
      <c r="Z88" s="111"/>
      <c r="AA88" s="111"/>
      <c r="AB88" s="111"/>
      <c r="AC88" s="111"/>
      <c r="AD88" s="111"/>
      <c r="AE88" s="415"/>
      <c r="AF88" s="111"/>
      <c r="AG88" s="111"/>
      <c r="AH88" s="111"/>
      <c r="AI88" s="111"/>
      <c r="AJ88" s="111"/>
      <c r="AK88" s="111"/>
      <c r="AL88" s="111"/>
      <c r="AM88" s="123"/>
      <c r="AN88" s="123"/>
      <c r="AO88" s="123"/>
      <c r="AP88" s="123"/>
      <c r="AQ88" s="123"/>
      <c r="AR88" s="123"/>
    </row>
    <row r="89" spans="1:44" x14ac:dyDescent="0.25">
      <c r="T89" s="415"/>
    </row>
    <row r="90" spans="1:44" x14ac:dyDescent="0.25">
      <c r="T90" s="428"/>
    </row>
    <row r="91" spans="1:44" x14ac:dyDescent="0.25">
      <c r="T91" s="428"/>
    </row>
  </sheetData>
  <mergeCells count="36">
    <mergeCell ref="A77:E77"/>
    <mergeCell ref="F77:G77"/>
    <mergeCell ref="H77:L77"/>
    <mergeCell ref="AB77:AE77"/>
    <mergeCell ref="T74:Z74"/>
    <mergeCell ref="AB74:AE74"/>
    <mergeCell ref="T75:Z75"/>
    <mergeCell ref="AB75:AE75"/>
    <mergeCell ref="F76:G76"/>
    <mergeCell ref="H76:L76"/>
    <mergeCell ref="T76:Z77"/>
    <mergeCell ref="AB76:AE76"/>
    <mergeCell ref="AA73:AG73"/>
    <mergeCell ref="A67:A68"/>
    <mergeCell ref="B67:E67"/>
    <mergeCell ref="B68:E68"/>
    <mergeCell ref="A69:A70"/>
    <mergeCell ref="B69:E69"/>
    <mergeCell ref="B70:E70"/>
    <mergeCell ref="A71:A72"/>
    <mergeCell ref="B71:E71"/>
    <mergeCell ref="B72:E72"/>
    <mergeCell ref="F73:S73"/>
    <mergeCell ref="T73:Z73"/>
    <mergeCell ref="F63:M63"/>
    <mergeCell ref="N63:Y63"/>
    <mergeCell ref="Z63:AG63"/>
    <mergeCell ref="A65:A66"/>
    <mergeCell ref="B65:E65"/>
    <mergeCell ref="B66:E66"/>
    <mergeCell ref="A2:AG2"/>
    <mergeCell ref="A3:AG3"/>
    <mergeCell ref="A8:E9"/>
    <mergeCell ref="F8:M8"/>
    <mergeCell ref="N8:Y8"/>
    <mergeCell ref="Z8:AG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ECA6-2A75-408A-894E-DB41455982C6}">
  <dimension ref="A1"/>
  <sheetViews>
    <sheetView workbookViewId="0">
      <selection activeCell="Q19" sqref="Q1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6f5c56-2427-4469-bd8e-cd03106705e6" xsi:nil="true"/>
    <lcf76f155ced4ddcb4097134ff3c332f xmlns="dc990a7d-48eb-4135-877c-f4df15b07c34">
      <Terms xmlns="http://schemas.microsoft.com/office/infopath/2007/PartnerControls"/>
    </lcf76f155ced4ddcb4097134ff3c332f>
    <_dlc_DocId xmlns="596f5c56-2427-4469-bd8e-cd03106705e6">6X5JNJKD723K-2044130139-778198</_dlc_DocId>
    <_dlc_DocIdUrl xmlns="596f5c56-2427-4469-bd8e-cd03106705e6">
      <Url>https://fluor.sharepoint.com/sites/B1LG-intdocs/_layouts/15/DocIdRedir.aspx?ID=6X5JNJKD723K-2044130139-778198</Url>
      <Description>6X5JNJKD723K-2044130139-778198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C69F3011772B47B89E626B9CBAD1C8" ma:contentTypeVersion="16" ma:contentTypeDescription="Create a new document." ma:contentTypeScope="" ma:versionID="cd8d860b8978445ec6ce6048efcf1743">
  <xsd:schema xmlns:xsd="http://www.w3.org/2001/XMLSchema" xmlns:xs="http://www.w3.org/2001/XMLSchema" xmlns:p="http://schemas.microsoft.com/office/2006/metadata/properties" xmlns:ns2="dc990a7d-48eb-4135-877c-f4df15b07c34" xmlns:ns3="596f5c56-2427-4469-bd8e-cd03106705e6" targetNamespace="http://schemas.microsoft.com/office/2006/metadata/properties" ma:root="true" ma:fieldsID="ab84287a99bd968b1ae7eadc1d6b3fa5" ns2:_="" ns3:_="">
    <xsd:import namespace="dc990a7d-48eb-4135-877c-f4df15b07c34"/>
    <xsd:import namespace="596f5c56-2427-4469-bd8e-cd03106705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90a7d-48eb-4135-877c-f4df15b07c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7b8d875-cdb6-4796-9cb5-8d28c4c4fc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f5c56-2427-4469-bd8e-cd03106705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9a7d2f5d-cc87-451a-a8d1-00f3db091c8b}" ma:internalName="TaxCatchAll" ma:showField="CatchAllData" ma:web="596f5c56-2427-4469-bd8e-cd03106705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8DC223-35A6-4A1D-BFE7-7CA5EFFF4F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4A220E-61FD-459D-B9D3-4547CC72F8B7}">
  <ds:schemaRefs>
    <ds:schemaRef ds:uri="http://purl.org/dc/elements/1.1/"/>
    <ds:schemaRef ds:uri="http://schemas.microsoft.com/office/2006/metadata/properties"/>
    <ds:schemaRef ds:uri="596f5c56-2427-4469-bd8e-cd03106705e6"/>
    <ds:schemaRef ds:uri="http://purl.org/dc/terms/"/>
    <ds:schemaRef ds:uri="dc990a7d-48eb-4135-877c-f4df15b07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5800D5-26FC-4759-9D75-0EE92BE4E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990a7d-48eb-4135-877c-f4df15b07c34"/>
    <ds:schemaRef ds:uri="596f5c56-2427-4469-bd8e-cd03106705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C46A6EF-8372-4A1D-913F-696A319F8C00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e9d746c0-3369-42be-bf83-6862f3f56ae7}" enabled="1" method="Standard" siteId="{75864cfe-f26d-419c-b69d-c638695b55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Rules of Credit</vt:lpstr>
      <vt:lpstr>Extra Work &amp; Delays</vt:lpstr>
      <vt:lpstr>TFS Progress Sheets</vt:lpstr>
      <vt:lpstr>STEEL ERECTION</vt:lpstr>
      <vt:lpstr>MODULE SET</vt:lpstr>
      <vt:lpstr>PIPE INTERCONNECTS</vt:lpstr>
      <vt:lpstr>TFS Quantity Curve Steel</vt:lpstr>
      <vt:lpstr>Master Key</vt:lpstr>
      <vt:lpstr>'TFS Progress Sheets'!Print_Area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Hernandez</dc:creator>
  <cp:lastModifiedBy>Scott Meager</cp:lastModifiedBy>
  <cp:lastPrinted>2025-09-06T19:59:34Z</cp:lastPrinted>
  <dcterms:created xsi:type="dcterms:W3CDTF">2023-06-14T20:58:14Z</dcterms:created>
  <dcterms:modified xsi:type="dcterms:W3CDTF">2026-03-29T20:56:37Z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2023-06-14T21:23:27Z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2cd59e1b-7a6d-49ba-8b41-5eaa2665c689</vt:lpwstr>
  </property>
  <property fmtid="{D5CDD505-2E9C-101B-9397-08002B2CF9AE}" pid="8" name="MSIP_Label_e9d746c0-3369-42be-bf83-6862f3f56ae7_ContentBits">
    <vt:lpwstr>0</vt:lpwstr>
  </property>
  <property fmtid="{D5CDD505-2E9C-101B-9397-08002B2CF9AE}" pid="9" name="ContentTypeId">
    <vt:lpwstr>0x010100D5C69F3011772B47B89E626B9CBAD1C8</vt:lpwstr>
  </property>
  <property fmtid="{D5CDD505-2E9C-101B-9397-08002B2CF9AE}" pid="10" name="_dlc_DocIdItemGuid">
    <vt:lpwstr>82fc278a-2b43-4ebb-a64c-ce493ea08ad0</vt:lpwstr>
  </property>
  <property fmtid="{D5CDD505-2E9C-101B-9397-08002B2CF9AE}" pid="11" name="MediaServiceImageTags">
    <vt:lpwstr/>
  </property>
</Properties>
</file>