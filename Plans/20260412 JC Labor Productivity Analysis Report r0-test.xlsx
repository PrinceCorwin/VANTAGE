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nversion\"/>
    </mc:Choice>
  </mc:AlternateContent>
  <xr:revisionPtr revIDLastSave="0" documentId="8_{33946663-7660-499D-BFBC-E6F87216EE5A}" xr6:coauthVersionLast="47" xr6:coauthVersionMax="47" xr10:uidLastSave="{00000000-0000-0000-0000-000000000000}"/>
  <bookViews>
    <workbookView xWindow="28680" yWindow="-120" windowWidth="29040" windowHeight="15720" xr2:uid="{351EB524-36D7-439C-A11C-B774EDFA679C}"/>
  </bookViews>
  <sheets>
    <sheet name="Summary" sheetId="1" r:id="rId1"/>
    <sheet name="Phase Code Not Progressable" sheetId="2" r:id="rId2"/>
    <sheet name="Invisible Work" sheetId="3" r:id="rId3"/>
    <sheet name="Magic Work" sheetId="4" r:id="rId4"/>
    <sheet name="Overrrunning Projections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5" l="1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</calcChain>
</file>

<file path=xl/sharedStrings.xml><?xml version="1.0" encoding="utf-8"?>
<sst xmlns="http://schemas.openxmlformats.org/spreadsheetml/2006/main" count="4394" uniqueCount="1631">
  <si>
    <t>Job</t>
  </si>
  <si>
    <t>masterPhase</t>
  </si>
  <si>
    <t>Phase</t>
  </si>
  <si>
    <t>JCJP.Description</t>
  </si>
  <si>
    <t>ERROR DESCRIPTION</t>
  </si>
  <si>
    <t>Est Units</t>
  </si>
  <si>
    <t>Est Hours</t>
  </si>
  <si>
    <t>ACT QTY</t>
  </si>
  <si>
    <t>ACT MH</t>
  </si>
  <si>
    <t>Wk Units</t>
  </si>
  <si>
    <t>Wk ACT MH</t>
  </si>
  <si>
    <t>Wk ERN MH</t>
  </si>
  <si>
    <t>JTD ERN</t>
  </si>
  <si>
    <t>%</t>
  </si>
  <si>
    <t>wk PF</t>
  </si>
  <si>
    <t>JTD PF</t>
  </si>
  <si>
    <t>WK PR TE</t>
  </si>
  <si>
    <t>REM BDGT</t>
  </si>
  <si>
    <t>24.005.</t>
  </si>
  <si>
    <t>24.006.</t>
  </si>
  <si>
    <t>25.001.</t>
  </si>
  <si>
    <t>25.004.</t>
  </si>
  <si>
    <t>25.005.</t>
  </si>
  <si>
    <t>25.006.</t>
  </si>
  <si>
    <t>25.007.</t>
  </si>
  <si>
    <t>25.008.</t>
  </si>
  <si>
    <t>25.011.</t>
  </si>
  <si>
    <t>Grand Total</t>
  </si>
  <si>
    <t>25.002.</t>
  </si>
  <si>
    <t>PJTD HR</t>
  </si>
  <si>
    <t>EXTP HR</t>
  </si>
  <si>
    <t>20.100.  1.</t>
  </si>
  <si>
    <t>Civil - Excavation Labor</t>
  </si>
  <si>
    <t>PF CHECK</t>
  </si>
  <si>
    <t>25.100.  1.</t>
  </si>
  <si>
    <t>Civil - Foundations Concrete &amp; Rebar Labor</t>
  </si>
  <si>
    <t>25.200.  1.</t>
  </si>
  <si>
    <t>Civil - Duct Banks Concrete &amp; Rebar Labor</t>
  </si>
  <si>
    <t>25.300.  1.</t>
  </si>
  <si>
    <t>Civil - Precast Manholes/Vaults Labor</t>
  </si>
  <si>
    <t>26.100.   .</t>
  </si>
  <si>
    <t>Grout Labor (per work package)</t>
  </si>
  <si>
    <t>26.100. PR.  3</t>
  </si>
  <si>
    <t>Grout Labor - H3 Pipe Racks</t>
  </si>
  <si>
    <t>CODE NOT PROGRESSABLE</t>
  </si>
  <si>
    <t>26.100. PR.  4</t>
  </si>
  <si>
    <t>Grout Labor - H4 Pipe Racks</t>
  </si>
  <si>
    <t>26.100.SUP.  3</t>
  </si>
  <si>
    <t>Grout Labor - H3 Supp Steel</t>
  </si>
  <si>
    <t>PF CHECK BURN NO EARN CODE NOT PROGRESSABLE</t>
  </si>
  <si>
    <t>26.100.SUP.  4</t>
  </si>
  <si>
    <t>Grout Labor - H4 Supp Steel</t>
  </si>
  <si>
    <t>27.100.   .</t>
  </si>
  <si>
    <t>Anchor Bolts (per work package)</t>
  </si>
  <si>
    <t>EARN NO BURN</t>
  </si>
  <si>
    <t>27.100.SIT.  1</t>
  </si>
  <si>
    <t>H3 H4 Anchor Bolt Installation Labor</t>
  </si>
  <si>
    <t>30.100.   .</t>
  </si>
  <si>
    <t>Structural Steel Labor (per work package)</t>
  </si>
  <si>
    <t>30.100.SUP.  3</t>
  </si>
  <si>
    <t>H3 Data Halls - Supp Steel Labor</t>
  </si>
  <si>
    <t>30.100.SUP.  4</t>
  </si>
  <si>
    <t>H4 Data Halls - Supp Steel Labor</t>
  </si>
  <si>
    <t>45.100.   .</t>
  </si>
  <si>
    <t>Mechanical Equipment Labor (per work package)</t>
  </si>
  <si>
    <t>45.200.   .</t>
  </si>
  <si>
    <t>Expanion Loops and Dog Legs Labor</t>
  </si>
  <si>
    <t>45.300.   .</t>
  </si>
  <si>
    <t>Set &amp; Install MER Buildings and Generators</t>
  </si>
  <si>
    <t>50.100.   .</t>
  </si>
  <si>
    <t>CS LB Aboveground Labor (per work package)</t>
  </si>
  <si>
    <t>50.100.OSM.  1</t>
  </si>
  <si>
    <t>50.100.SIT.  1</t>
  </si>
  <si>
    <t>51.100.   .</t>
  </si>
  <si>
    <t>SS LB Aboveground Labor (per work package)</t>
  </si>
  <si>
    <t>51.100.SIT.  1</t>
  </si>
  <si>
    <t>52.100.   .</t>
  </si>
  <si>
    <t>MER Fire Water Risers Labor</t>
  </si>
  <si>
    <t>55.100.   .</t>
  </si>
  <si>
    <t>Pipe Supports Labor (per work package)</t>
  </si>
  <si>
    <t>55.100.SIT.  1</t>
  </si>
  <si>
    <t>H3 H4 Pipe Support Installation Labor</t>
  </si>
  <si>
    <t>75.100.  1. 1.</t>
  </si>
  <si>
    <t>Pressure Testing Labor</t>
  </si>
  <si>
    <t>75.100.  1. 2.</t>
  </si>
  <si>
    <t>Start-Up Support Labor</t>
  </si>
  <si>
    <t>90.001.  1.</t>
  </si>
  <si>
    <t>Corporate Management (PM  EM  Corp Safety  QC  Proc  Est.)</t>
  </si>
  <si>
    <t>90.002.  1.</t>
  </si>
  <si>
    <t>Site Management (CM  Supt  PE  FE)</t>
  </si>
  <si>
    <t>90.003.  1.</t>
  </si>
  <si>
    <t>Field Staff (Matl Manager  Office Manager  Clerical)</t>
  </si>
  <si>
    <t>90.004.  1.</t>
  </si>
  <si>
    <t>Site HSE &amp; QA/QC</t>
  </si>
  <si>
    <t>90.005.  1.</t>
  </si>
  <si>
    <t>HR Staff</t>
  </si>
  <si>
    <t>91.002.  1.</t>
  </si>
  <si>
    <t>General Foreman</t>
  </si>
  <si>
    <t>91.002.  3.</t>
  </si>
  <si>
    <t>Survey Crew</t>
  </si>
  <si>
    <t>91.002.  4.</t>
  </si>
  <si>
    <t>Warehouse Crew</t>
  </si>
  <si>
    <t>91.002.  5.</t>
  </si>
  <si>
    <t>Operators</t>
  </si>
  <si>
    <t>91.002.  6.</t>
  </si>
  <si>
    <t>General Site Laborer (Fire Watch  Ice/Water)</t>
  </si>
  <si>
    <t>91.003.  1.</t>
  </si>
  <si>
    <t>Tool Room Attendant</t>
  </si>
  <si>
    <t>91.004.  1.</t>
  </si>
  <si>
    <t>Orientation &amp; Drug Testing</t>
  </si>
  <si>
    <t>91.005.  1.</t>
  </si>
  <si>
    <t>Welder Testing Labor</t>
  </si>
  <si>
    <t>92.100.  1.</t>
  </si>
  <si>
    <t>Job Set Up and Maintenance Labor</t>
  </si>
  <si>
    <t>93.006.  1.</t>
  </si>
  <si>
    <t>RIG Welder Pay</t>
  </si>
  <si>
    <t>98.100.  2.</t>
  </si>
  <si>
    <t>Night Shift Premium &amp; Labor Escalation Allowance</t>
  </si>
  <si>
    <t>98.200.  1.</t>
  </si>
  <si>
    <t>OSM - Salary Staff</t>
  </si>
  <si>
    <t>98.200.  6.</t>
  </si>
  <si>
    <t>OSM Yard Mob/Demob &amp; Maintenance Labor</t>
  </si>
  <si>
    <t>98.H34. DB. 1.</t>
  </si>
  <si>
    <t>H34 - LS - 35KV &amp; Telecom DB - Labor</t>
  </si>
  <si>
    <t>98.H34.CUP. 1.</t>
  </si>
  <si>
    <t>H34 - LS - CUP FNDs - Labor</t>
  </si>
  <si>
    <t>99.601.   .</t>
  </si>
  <si>
    <t>Accounting Accruals</t>
  </si>
  <si>
    <t>58.100.   .</t>
  </si>
  <si>
    <t>Pipe Labels Labor (per work package)</t>
  </si>
  <si>
    <t>21.100.  1.</t>
  </si>
  <si>
    <t>Civil - Backfill/Finish/Fine Grading Labor</t>
  </si>
  <si>
    <t>PF CHECK BURN NO EARN</t>
  </si>
  <si>
    <t>22.100.  1.</t>
  </si>
  <si>
    <t>Civil Labor - Storm Drain Piping &amp; Catch Basin Installation</t>
  </si>
  <si>
    <t>Structural Steel Labor (Holding Code)</t>
  </si>
  <si>
    <t>30.CUB.100.  1</t>
  </si>
  <si>
    <t>CUB Structural Steel Labor</t>
  </si>
  <si>
    <t>30.TFS.100.  1</t>
  </si>
  <si>
    <t>TFS Structural Steel Labor</t>
  </si>
  <si>
    <t>OVERRUNNING PROJECTION</t>
  </si>
  <si>
    <t>30. PP.100.  1</t>
  </si>
  <si>
    <t>PP Structural Steel Labor</t>
  </si>
  <si>
    <t>31.CUB.100.  1</t>
  </si>
  <si>
    <t>CUB Misc. Steel Labor (Grating, Catwalks, Railing, Ladders..</t>
  </si>
  <si>
    <t>31.TFS.100.  1</t>
  </si>
  <si>
    <t>TFS Misc. Steel Labor (Grating, Catwalks, Railing, Ladders..</t>
  </si>
  <si>
    <t>31. PP.100.  1</t>
  </si>
  <si>
    <t>PP Misc. Steel Labor (Grating, Catwalks, Railing, Ladders..</t>
  </si>
  <si>
    <t>45.100.  1.</t>
  </si>
  <si>
    <t>Module Load Out onto SPMT Labor (Holding Code)</t>
  </si>
  <si>
    <t>45.100.  2.</t>
  </si>
  <si>
    <t>Module Stacking Labor (Holding Code)</t>
  </si>
  <si>
    <t>Pipe Labor (Holding Code)</t>
  </si>
  <si>
    <t>50.CUB.100.  1</t>
  </si>
  <si>
    <t>Shop CUB CS Pipe Fabrication</t>
  </si>
  <si>
    <t>51.CUB.100.  1</t>
  </si>
  <si>
    <t>Field CUB CS Pipe Fabrication &amp; Assembly</t>
  </si>
  <si>
    <t>51.TFS.100.  1</t>
  </si>
  <si>
    <t>Field TFS CS Pipe Fabrication &amp; Assembly</t>
  </si>
  <si>
    <t>51. PP.100.  1</t>
  </si>
  <si>
    <t>Field PP CS Pipe Fabrication &amp; Assembly</t>
  </si>
  <si>
    <t>Aboveground Hydrotest &amp; Flush</t>
  </si>
  <si>
    <t>53.CUB.100.  1</t>
  </si>
  <si>
    <t>Field CUB SS, 2205, Hastelloy Pipe Fabrication &amp; Assembly</t>
  </si>
  <si>
    <t>53.TFS.100.  1</t>
  </si>
  <si>
    <t>Field TFS SS, 2205, Hastelloy Pipe Fabrication &amp; Assembly</t>
  </si>
  <si>
    <t>53. PP.100.  1</t>
  </si>
  <si>
    <t>Field PP SS, 2205, Hastelloy Pipe Fabrication &amp; Assembly</t>
  </si>
  <si>
    <t>Pipe Support Labor - (ALLOWANCE Holding Code)</t>
  </si>
  <si>
    <t>59.CUB.100.  1</t>
  </si>
  <si>
    <t>Field CUB Pipe Supports</t>
  </si>
  <si>
    <t>59. PP.100.  1</t>
  </si>
  <si>
    <t>Field PP Pipe Supports</t>
  </si>
  <si>
    <t>59.TFS.100.  1</t>
  </si>
  <si>
    <t>Field TFS Pipe Supports</t>
  </si>
  <si>
    <t>75.100.   .</t>
  </si>
  <si>
    <t>Pressure Testing</t>
  </si>
  <si>
    <t>Corporate Management</t>
  </si>
  <si>
    <t>90.008.  1.</t>
  </si>
  <si>
    <t>Estimating Support for True Up</t>
  </si>
  <si>
    <t>90.009.  1.</t>
  </si>
  <si>
    <t>Onsite Engineering Management</t>
  </si>
  <si>
    <t>Crane Operators</t>
  </si>
  <si>
    <t>Orientation &amp; Drug Testing Labor</t>
  </si>
  <si>
    <t>91.006.  1.</t>
  </si>
  <si>
    <t>OSHA 10/30 Training Labor Costs</t>
  </si>
  <si>
    <t>91.007.  1.</t>
  </si>
  <si>
    <t>Orbital Welding Coupon In/Out Labor</t>
  </si>
  <si>
    <t>91.004.  3.</t>
  </si>
  <si>
    <t>Buggy Training</t>
  </si>
  <si>
    <t>Job Set Up</t>
  </si>
  <si>
    <t>Rig Welder Rig Rental</t>
  </si>
  <si>
    <t>98.002.  1.</t>
  </si>
  <si>
    <t>Preconstruction</t>
  </si>
  <si>
    <t>98.030.  1.</t>
  </si>
  <si>
    <t>Steel - Fluor IFC Revision Rework</t>
  </si>
  <si>
    <t>98.050.  1.</t>
  </si>
  <si>
    <t>Pipe - Fluor IFC Revision Rework</t>
  </si>
  <si>
    <t>(NR) - Holiday Per Diem Incentive</t>
  </si>
  <si>
    <t>98.100.   .</t>
  </si>
  <si>
    <t>Orizon Structural Steel Rework &amp; Mat'l Shorts</t>
  </si>
  <si>
    <t>98.200.   .</t>
  </si>
  <si>
    <t>Pipe Supports Rework</t>
  </si>
  <si>
    <t>98.000.  3.</t>
  </si>
  <si>
    <t>Pipe Labor to T&amp;M (Holding Code)</t>
  </si>
  <si>
    <t>98.300.105.</t>
  </si>
  <si>
    <t>TW105 Module Repair</t>
  </si>
  <si>
    <t>99.001.   .</t>
  </si>
  <si>
    <t>REWORK ONLY - Shoebox Module Leveling</t>
  </si>
  <si>
    <t>58.CUB.100.  1</t>
  </si>
  <si>
    <t>Shop CUB Pipe Supports</t>
  </si>
  <si>
    <t>57. PP.100.  1</t>
  </si>
  <si>
    <t>Field PP CPVC Pipe Fabrication &amp; Assembly</t>
  </si>
  <si>
    <t>57.TFS.100.  1</t>
  </si>
  <si>
    <t>Field TFS CPVC Pipe Fabrication &amp; Assembly</t>
  </si>
  <si>
    <t>20.100.   .</t>
  </si>
  <si>
    <t>Misc Rock Labor</t>
  </si>
  <si>
    <t>20.200.   .</t>
  </si>
  <si>
    <t>SWPPP Labor</t>
  </si>
  <si>
    <t>20.300.   .</t>
  </si>
  <si>
    <t>Finish Grade Sitework Labor</t>
  </si>
  <si>
    <t>25.100.   .</t>
  </si>
  <si>
    <t>Foundations Labor (per work package)</t>
  </si>
  <si>
    <t>30.300.   .</t>
  </si>
  <si>
    <t>Fire Water Pumps House Labor</t>
  </si>
  <si>
    <t>MAN Supplied Equipment Labor</t>
  </si>
  <si>
    <t>Pipe Labor (per work package)</t>
  </si>
  <si>
    <t>50.700.   .</t>
  </si>
  <si>
    <t>Piping Support Labor Allowance</t>
  </si>
  <si>
    <t>Aboveground Hydrotest &amp; Flush Labor Allowance</t>
  </si>
  <si>
    <t>75.100.  1.</t>
  </si>
  <si>
    <t>Startup &amp; Commissioning Support</t>
  </si>
  <si>
    <t>Corporate Management (PM EM Corp Safety QC Proc Est.)</t>
  </si>
  <si>
    <t>Site Management (CM Supt PE FE)</t>
  </si>
  <si>
    <t>Field Staff (Matl Manager Office Manager Clerical)</t>
  </si>
  <si>
    <t>General Site Laborer (Fire Watch Ice/Water etcï¿½)</t>
  </si>
  <si>
    <t>Job Set Up Labor</t>
  </si>
  <si>
    <t>Foundations Labor - Pipe Rack</t>
  </si>
  <si>
    <t>25.100.  2.</t>
  </si>
  <si>
    <t>Foundations Labor - Addendum 3</t>
  </si>
  <si>
    <t>Civil - Duct Banks Concrete Labor</t>
  </si>
  <si>
    <t>25.200.  2.</t>
  </si>
  <si>
    <t>Lunch Tent Pads - Concrete Labor</t>
  </si>
  <si>
    <t>25.200.  3.</t>
  </si>
  <si>
    <t>Admin Manholes</t>
  </si>
  <si>
    <t>26.100. PR.  1</t>
  </si>
  <si>
    <t>Grout Labor - Pipe Rack</t>
  </si>
  <si>
    <t>26.100.SUP.  1</t>
  </si>
  <si>
    <t>Grout Labor - Supp Steel</t>
  </si>
  <si>
    <t>30.100.  1.</t>
  </si>
  <si>
    <t>VOID</t>
  </si>
  <si>
    <t>30.100.  4.</t>
  </si>
  <si>
    <t>Addendum 3 Steel</t>
  </si>
  <si>
    <t>30.100. PR.  1</t>
  </si>
  <si>
    <t>Ext Pipe Rack - Steel Labor</t>
  </si>
  <si>
    <t>30.100.SUP.  1</t>
  </si>
  <si>
    <t>Data Halls - Supp Steel Labor</t>
  </si>
  <si>
    <t>30.100.SUP.  2</t>
  </si>
  <si>
    <t>VOID - DO NOT USE</t>
  </si>
  <si>
    <t>30.100.COR.  1</t>
  </si>
  <si>
    <t>Core Blg - Steel Labor</t>
  </si>
  <si>
    <t>50.100.  2.</t>
  </si>
  <si>
    <t>Chainwheels &amp; Belimo Valves</t>
  </si>
  <si>
    <t>50.100.  3.</t>
  </si>
  <si>
    <t>GPU Hoses</t>
  </si>
  <si>
    <t>CS Pipe Fabrication Labor - OSM</t>
  </si>
  <si>
    <t>CS Pipe Installation Labor - SITE</t>
  </si>
  <si>
    <t>50.100.TES.  1</t>
  </si>
  <si>
    <t>CS Pipe - Hunton Trane Bypass</t>
  </si>
  <si>
    <t>SS Pipe Installation Labor - SITE</t>
  </si>
  <si>
    <t>53.100.   .</t>
  </si>
  <si>
    <t>Ductwork Installation</t>
  </si>
  <si>
    <t>Pipe Support Installation Labor - SITE</t>
  </si>
  <si>
    <t>General Site Laborer (Fire Watch  Ice/Water  etc)</t>
  </si>
  <si>
    <t>Orizon Steel Rework</t>
  </si>
  <si>
    <t>98.100.  3.</t>
  </si>
  <si>
    <t>Hiring Office Setup Labor and Materials</t>
  </si>
  <si>
    <t>98.100.  4.</t>
  </si>
  <si>
    <t>DH Generator Setting</t>
  </si>
  <si>
    <t>98.100.  5.</t>
  </si>
  <si>
    <t>Colgan Rebar Rework</t>
  </si>
  <si>
    <t>98.100.  6.</t>
  </si>
  <si>
    <t>Civil Additional Scope</t>
  </si>
  <si>
    <t>98.100.  7.</t>
  </si>
  <si>
    <t>Sequence 2 - Drilled Piers TOC Fix</t>
  </si>
  <si>
    <t>98.100.  8.</t>
  </si>
  <si>
    <t>MER Setting</t>
  </si>
  <si>
    <t>98.200.  2.</t>
  </si>
  <si>
    <t>OSM - Direct Support</t>
  </si>
  <si>
    <t>98.100.  9.</t>
  </si>
  <si>
    <t>Pipe Clash Reroute</t>
  </si>
  <si>
    <t>98.100. 10.</t>
  </si>
  <si>
    <t>H2 Data Hall Supp Steel Labor</t>
  </si>
  <si>
    <t>98.100. 11.</t>
  </si>
  <si>
    <t>Tap Box Clashing</t>
  </si>
  <si>
    <t>98.100. 12.</t>
  </si>
  <si>
    <t>V-Loop Repair Welding</t>
  </si>
  <si>
    <t>98.100. 13.</t>
  </si>
  <si>
    <t>PEMB Rigger Support</t>
  </si>
  <si>
    <t>98.100. 15.</t>
  </si>
  <si>
    <t>MER Platform &amp; U Supts</t>
  </si>
  <si>
    <t>PF CHECK BURN NO EARN ACTUAL UNITS WITH NO EST UNITS</t>
  </si>
  <si>
    <t>98.100. 16.</t>
  </si>
  <si>
    <t>Night Shift Premium &amp; Per Diem Increase</t>
  </si>
  <si>
    <t>98.100. 17.</t>
  </si>
  <si>
    <t>H1 CUP Apron FDN &amp; Pedestals</t>
  </si>
  <si>
    <t>98.100. 18.</t>
  </si>
  <si>
    <t>H1 Telecom Extension Ductbank</t>
  </si>
  <si>
    <t>98.100. 19.</t>
  </si>
  <si>
    <t>H1 Interconnects Supp Steel</t>
  </si>
  <si>
    <t>98.100. 20.</t>
  </si>
  <si>
    <t>Site Cleanup Requested by IREN</t>
  </si>
  <si>
    <t>98.100. 21.</t>
  </si>
  <si>
    <t>H1 DOAS Plenum Supports</t>
  </si>
  <si>
    <t>99.100.  1.</t>
  </si>
  <si>
    <t>Summit T&amp;M Labor</t>
  </si>
  <si>
    <t>99.100.  2.</t>
  </si>
  <si>
    <t>Steel Downtime Labor</t>
  </si>
  <si>
    <t>Pipe Labels Label (per work package)</t>
  </si>
  <si>
    <t>Civil - Backfill Labor</t>
  </si>
  <si>
    <t>Civil Labor - Storm Drain Piping Installation</t>
  </si>
  <si>
    <t>23.100.  1.</t>
  </si>
  <si>
    <t>Civil Labor - Storm Drains Catch Basins</t>
  </si>
  <si>
    <t>23.100.  2.</t>
  </si>
  <si>
    <t>Civil Labor - UG Fire Water Thrust Blocks</t>
  </si>
  <si>
    <t>26.TFS.203.  1</t>
  </si>
  <si>
    <t>ACN SRU - Grout Labor</t>
  </si>
  <si>
    <t>26.CUB.200.</t>
  </si>
  <si>
    <t>K214 - CUB Module Grout</t>
  </si>
  <si>
    <t>26.TFS.200.</t>
  </si>
  <si>
    <t>K214 - TFS Module Grout</t>
  </si>
  <si>
    <t>26.TFS.201.</t>
  </si>
  <si>
    <t>K210 - Module Grout</t>
  </si>
  <si>
    <t>CUB Int - Steel Labor</t>
  </si>
  <si>
    <t>30.CUB.200.  1</t>
  </si>
  <si>
    <t>CUB Ex - Vert Steel Labor</t>
  </si>
  <si>
    <t>30.PP1.200.  1</t>
  </si>
  <si>
    <t>PP1 Ex - Vert Steel Labor</t>
  </si>
  <si>
    <t>30.TFS.200.  1</t>
  </si>
  <si>
    <t>TFS Ex - Vert Steel Labor</t>
  </si>
  <si>
    <t>30.TFS.201.  1</t>
  </si>
  <si>
    <t>TFS - K210 Module Steel Labor</t>
  </si>
  <si>
    <t>30.TFS.202.  1</t>
  </si>
  <si>
    <t>TFS - SRU Steel Labor</t>
  </si>
  <si>
    <t>30.TFS.203.  1</t>
  </si>
  <si>
    <t>ACN SRU - Steel Erection Labor</t>
  </si>
  <si>
    <t>30.TFS.700.  1</t>
  </si>
  <si>
    <t>TFS Mech - Misc. Tray &amp; Pipe Support Steel Labor</t>
  </si>
  <si>
    <t>Shoebox Setting Labor (per work package)</t>
  </si>
  <si>
    <t>45.CUB.100.  1</t>
  </si>
  <si>
    <t>CUB Int - Module Setting &amp; Installation</t>
  </si>
  <si>
    <t>45.CUB.200.  1</t>
  </si>
  <si>
    <t>CUB Ex - Shoebox Setting &amp; Installation</t>
  </si>
  <si>
    <t>45.PP1.200.  1</t>
  </si>
  <si>
    <t>PP1 Ex - Shoebox Setting &amp; Installation</t>
  </si>
  <si>
    <t>45.TFS.200.  1</t>
  </si>
  <si>
    <t>TFS Ex - Shoebox Setting &amp; Installation</t>
  </si>
  <si>
    <t>45.TFS.201.  1</t>
  </si>
  <si>
    <t>TFS - K210 Module Setting &amp; Install</t>
  </si>
  <si>
    <t>45.TFS.202.  1</t>
  </si>
  <si>
    <t>TFS E-Houses Installation</t>
  </si>
  <si>
    <t>45.TFS.203.  1</t>
  </si>
  <si>
    <t>ACN SRU - Mod Receive, Install, Equip Labor</t>
  </si>
  <si>
    <t>45.TFS.700.  1</t>
  </si>
  <si>
    <t>TFS Mech - Truck Loading/Unloading</t>
  </si>
  <si>
    <t>45.TFS.700.  2</t>
  </si>
  <si>
    <t>TFS Mech - Process Equipment Setting Labor</t>
  </si>
  <si>
    <t>Piping Spool Installation (per work package)</t>
  </si>
  <si>
    <t>50.100.  1.</t>
  </si>
  <si>
    <t>Pipe Support Labor</t>
  </si>
  <si>
    <t>CUB Int - Pipe Spool Install &amp; Welding</t>
  </si>
  <si>
    <t>50.CUB.200.  1</t>
  </si>
  <si>
    <t>CUB Ex - Vert Pipe Spool Install &amp; Welding</t>
  </si>
  <si>
    <t>50.PP1.200.  1</t>
  </si>
  <si>
    <t>PP1 Ex - Vert Pipe Spool Install &amp; Welding</t>
  </si>
  <si>
    <t>50.TFS.200.  1</t>
  </si>
  <si>
    <t>TFS Ex - Vert Pipe Spool Install &amp; Welding</t>
  </si>
  <si>
    <t>50.CUB.300.  1</t>
  </si>
  <si>
    <t>CUB Ex - Horz Interconnect Welding</t>
  </si>
  <si>
    <t>50.PP1.300.  1</t>
  </si>
  <si>
    <t>PP1 Ex - Horz Interconnect Welding</t>
  </si>
  <si>
    <t>50.TFS.201.  1</t>
  </si>
  <si>
    <t>TFS - K210 Module Pipe Labor</t>
  </si>
  <si>
    <t>50.TFS.300.  1</t>
  </si>
  <si>
    <t>TFS Ex - Horz Interconnect Welding</t>
  </si>
  <si>
    <t>50.TFS.203.  1</t>
  </si>
  <si>
    <t>ACN SRU - Pipe &amp; Pipe Support Labor</t>
  </si>
  <si>
    <t>51.TFS.700.  1</t>
  </si>
  <si>
    <t>TFS Mech - Pipe &amp; Pipe Support Labor</t>
  </si>
  <si>
    <t>60.CUB.100.  1</t>
  </si>
  <si>
    <t>CUB Int - Cable Tray</t>
  </si>
  <si>
    <t>NSY - Pressure Testing - Holding</t>
  </si>
  <si>
    <t>75.TFS.203.  1</t>
  </si>
  <si>
    <t>ACN SRU - Pressure Testing Labor</t>
  </si>
  <si>
    <t>75.TFS.700.  1</t>
  </si>
  <si>
    <t>TFS Mech - Pressure Testing Labor</t>
  </si>
  <si>
    <t>Site Management (CM, Supt, PE, FE)</t>
  </si>
  <si>
    <t>Field Staff (Matl Manager, Office Manager, Clerical)</t>
  </si>
  <si>
    <t>90.006.  1.</t>
  </si>
  <si>
    <t>Estimating</t>
  </si>
  <si>
    <t>General Site Laborer</t>
  </si>
  <si>
    <t>OSHA 10/30 Training</t>
  </si>
  <si>
    <t>91.002.  5.  1</t>
  </si>
  <si>
    <t>Operators - CUB</t>
  </si>
  <si>
    <t>91.002.  5.  2</t>
  </si>
  <si>
    <t>Operators - TFS</t>
  </si>
  <si>
    <t>91.002.  5.  3</t>
  </si>
  <si>
    <t>Operators - PP1</t>
  </si>
  <si>
    <t>91.008.  1.</t>
  </si>
  <si>
    <t>Accredited Training Costs</t>
  </si>
  <si>
    <t>92.100.  3.</t>
  </si>
  <si>
    <t>98.001.  2.</t>
  </si>
  <si>
    <t>Fluor MOD.0003 Pressure Testing Funding Budget Delta Offset</t>
  </si>
  <si>
    <t>98.300.  1.</t>
  </si>
  <si>
    <t>98.201.  1.</t>
  </si>
  <si>
    <t>K210 E-House Funding Offset</t>
  </si>
  <si>
    <t>98.CUB.100.</t>
  </si>
  <si>
    <t>(NR) NON REIM CUB Int - Backing Bar Rework</t>
  </si>
  <si>
    <t>99.004.  1.</t>
  </si>
  <si>
    <t>MOD.0004 - Weather &amp; Safety Standdown</t>
  </si>
  <si>
    <t>99.004.  2.</t>
  </si>
  <si>
    <t>MOD.0004 - Standby Due to Others</t>
  </si>
  <si>
    <t>99.005.  1.</t>
  </si>
  <si>
    <t>MOD.0005 - Weather &amp; Safety Standdown</t>
  </si>
  <si>
    <t>99.030.  1.</t>
  </si>
  <si>
    <t>Steel IFC Revision Labor</t>
  </si>
  <si>
    <t>12/2/25 - Weather Day Show Up</t>
  </si>
  <si>
    <t>(R) 25.005 -  Holiday Per Diem Incentive</t>
  </si>
  <si>
    <t>99.100.  3.</t>
  </si>
  <si>
    <t>3/11/26 - Tornado Warning Show Up</t>
  </si>
  <si>
    <t>99.015.  1.</t>
  </si>
  <si>
    <t>SRU Preservation - Labor (MOD.0015)</t>
  </si>
  <si>
    <t>99.006.  1.</t>
  </si>
  <si>
    <t>TFS - DWHU Horz Interconnect Welding</t>
  </si>
  <si>
    <t>99.004.  3.</t>
  </si>
  <si>
    <t>MOD.0004 - Extra Work</t>
  </si>
  <si>
    <t>99.005.  2.</t>
  </si>
  <si>
    <t>MOD.0005 - Standby Due to Others</t>
  </si>
  <si>
    <t>99.005.  3.</t>
  </si>
  <si>
    <t>MOD.0005 - Extra Work</t>
  </si>
  <si>
    <t>99.005.  4.</t>
  </si>
  <si>
    <t>TFS - K210 Module Extra Work</t>
  </si>
  <si>
    <t>99.005.  5.</t>
  </si>
  <si>
    <t>MOD.0005 - E-House Extra Work</t>
  </si>
  <si>
    <t>99.005.  6.</t>
  </si>
  <si>
    <t>IFC Steel Revision Rework</t>
  </si>
  <si>
    <t>99.006.  2.</t>
  </si>
  <si>
    <t>MOD.0006 - Weather &amp; Safety Standdown</t>
  </si>
  <si>
    <t>99.006.  3.</t>
  </si>
  <si>
    <t>MOD.0006 - Extra Work - Labor</t>
  </si>
  <si>
    <t>99.006.  5.</t>
  </si>
  <si>
    <t>TFS Night Shift - Indirect/GC Labor &amp;  Material</t>
  </si>
  <si>
    <t>99.006.  6.</t>
  </si>
  <si>
    <t>MOD.0006 - Standby Due to Others</t>
  </si>
  <si>
    <t>99.030.  2.</t>
  </si>
  <si>
    <t>IFC Revision Rework - Piping</t>
  </si>
  <si>
    <t>99.CUB.100.  1</t>
  </si>
  <si>
    <t>CB114 - W6 Beam - MOD.0006</t>
  </si>
  <si>
    <t>99.CUB.301.  1</t>
  </si>
  <si>
    <t>IFC Revision Rework - MOD.0006 Labor</t>
  </si>
  <si>
    <t>99.PP1.301.  1</t>
  </si>
  <si>
    <t>99.TFS.301.  1</t>
  </si>
  <si>
    <t>Cast-On-Site Vaults</t>
  </si>
  <si>
    <t>GN-1 Trestle Foundations</t>
  </si>
  <si>
    <t>25.000.  3.</t>
  </si>
  <si>
    <t>Sand Materials</t>
  </si>
  <si>
    <t>60.100.   .</t>
  </si>
  <si>
    <t xml:space="preserve">MV Conduit Prep &amp; Pre-Assembly (Holding)_x000D_
</t>
  </si>
  <si>
    <t>60.100.  1.</t>
  </si>
  <si>
    <t>MV ALL Prep &amp; Pre-Assembly</t>
  </si>
  <si>
    <t>60.100.  2.</t>
  </si>
  <si>
    <t>60.200.  1.</t>
  </si>
  <si>
    <t>60.300.  1.</t>
  </si>
  <si>
    <t>60.200.   .</t>
  </si>
  <si>
    <t>60.300.   .</t>
  </si>
  <si>
    <t>60.100.  3.</t>
  </si>
  <si>
    <t>60.200.  2.</t>
  </si>
  <si>
    <t>60.300.  2.</t>
  </si>
  <si>
    <t>60.400.   .</t>
  </si>
  <si>
    <t>60.400.  1.</t>
  </si>
  <si>
    <t>60.400.  2.</t>
  </si>
  <si>
    <t>60.500.   .</t>
  </si>
  <si>
    <t>60.500.  1.</t>
  </si>
  <si>
    <t>60.500.  2.</t>
  </si>
  <si>
    <t>60.600.   .</t>
  </si>
  <si>
    <t>60.600.  1.</t>
  </si>
  <si>
    <t>60.600.  2.</t>
  </si>
  <si>
    <t>60.000.  6.</t>
  </si>
  <si>
    <t>Primer/Cement Materials</t>
  </si>
  <si>
    <t>61.100.  1.</t>
  </si>
  <si>
    <t>MV Midnight North Conduit Install</t>
  </si>
  <si>
    <t>61.100.   .</t>
  </si>
  <si>
    <t>MV Conduit Install (Holding)</t>
  </si>
  <si>
    <t>61.100.  2.</t>
  </si>
  <si>
    <t>MV Midnight South Conduit Install</t>
  </si>
  <si>
    <t>61.100.  9.</t>
  </si>
  <si>
    <t>C-506 Conduit Install</t>
  </si>
  <si>
    <t>61.100. 12.</t>
  </si>
  <si>
    <t>C-509 Conduit Install</t>
  </si>
  <si>
    <t>61.100. 24.</t>
  </si>
  <si>
    <t>MV Midnight East Conduit Install</t>
  </si>
  <si>
    <t>61.200.   .</t>
  </si>
  <si>
    <t>61.300.   .</t>
  </si>
  <si>
    <t>61.400.   .</t>
  </si>
  <si>
    <t>61.500.   .</t>
  </si>
  <si>
    <t>61.600.   .</t>
  </si>
  <si>
    <t>61.100. 13.</t>
  </si>
  <si>
    <t>C-510 Conduit Install</t>
  </si>
  <si>
    <t>61.100. 14.</t>
  </si>
  <si>
    <t>C-511 Conduit Install</t>
  </si>
  <si>
    <t>61.100. 18.</t>
  </si>
  <si>
    <t>C-515 Conduit Install</t>
  </si>
  <si>
    <t>61.100.  3.</t>
  </si>
  <si>
    <t>Compressor Station - Conduit Install</t>
  </si>
  <si>
    <t>61.100.  4.</t>
  </si>
  <si>
    <t>C-501 Conduit Install</t>
  </si>
  <si>
    <t>61.100.  5.</t>
  </si>
  <si>
    <t>C-502 Conduit Install</t>
  </si>
  <si>
    <t>61.100.  6.</t>
  </si>
  <si>
    <t>C-503 Conduit Install</t>
  </si>
  <si>
    <t>61.100.  7.</t>
  </si>
  <si>
    <t>C-504 Conduit Install</t>
  </si>
  <si>
    <t>61.100.  8.</t>
  </si>
  <si>
    <t>C-505 Conduit Install</t>
  </si>
  <si>
    <t>61.100. 11.</t>
  </si>
  <si>
    <t>C-508 Conduit Install</t>
  </si>
  <si>
    <t>61.100. 15.</t>
  </si>
  <si>
    <t>C-512 Conduit Install</t>
  </si>
  <si>
    <t>61.100. 17.</t>
  </si>
  <si>
    <t>MV C-514 Conduit Installation</t>
  </si>
  <si>
    <t>61.100. 19.</t>
  </si>
  <si>
    <t>C-516 Conduit Install</t>
  </si>
  <si>
    <t>61.100. 20.</t>
  </si>
  <si>
    <t>C-517 Conduit Install</t>
  </si>
  <si>
    <t>61.100. 25.</t>
  </si>
  <si>
    <t>EX-43 Conduit Install</t>
  </si>
  <si>
    <t>LV Precast Trench</t>
  </si>
  <si>
    <t>75.200.  1.</t>
  </si>
  <si>
    <t>TBD</t>
  </si>
  <si>
    <t>75.100.  6.</t>
  </si>
  <si>
    <t>LV - B1 Precast Trench</t>
  </si>
  <si>
    <t>75.100.  7.</t>
  </si>
  <si>
    <t>LV-B2 Precast Trench</t>
  </si>
  <si>
    <t>Estimating Support</t>
  </si>
  <si>
    <t>90.007.  1.</t>
  </si>
  <si>
    <t>IT Support</t>
  </si>
  <si>
    <t>General Site Laborer (FireWatch Ice/Water etc)</t>
  </si>
  <si>
    <t>98.000.  1.</t>
  </si>
  <si>
    <t>TBD Buyout</t>
  </si>
  <si>
    <t>98.000.  2.</t>
  </si>
  <si>
    <t>Internal Offset</t>
  </si>
  <si>
    <t>Cast-On-Site Vault Pad Prep</t>
  </si>
  <si>
    <t>Pre-IFC Conduit Assembly</t>
  </si>
  <si>
    <t>Tent Foundation</t>
  </si>
  <si>
    <t>Houston Office Buildout</t>
  </si>
  <si>
    <t>98.000.  4.</t>
  </si>
  <si>
    <t>LV True Up</t>
  </si>
  <si>
    <t>98.000.  5.</t>
  </si>
  <si>
    <t>MV True Up</t>
  </si>
  <si>
    <t>Bell End - Temp. (Email Approval)</t>
  </si>
  <si>
    <t>99.200.  1.</t>
  </si>
  <si>
    <t>Weather Shut Down - 1/23/26</t>
  </si>
  <si>
    <t>GN-1 Serena Work Around (Email Approval)</t>
  </si>
  <si>
    <t>Temp (Security) Fiber Conduits</t>
  </si>
  <si>
    <t>99.100.  4.</t>
  </si>
  <si>
    <t>GN-1 Trestle Labor</t>
  </si>
  <si>
    <t>99.100.  5.</t>
  </si>
  <si>
    <t>B1.B2 BESSUP Security Scope</t>
  </si>
  <si>
    <t>62.100.   .</t>
  </si>
  <si>
    <t>MV Excavation (Holding)</t>
  </si>
  <si>
    <t>62.100.  1.</t>
  </si>
  <si>
    <t>MV Midnight North Excavation</t>
  </si>
  <si>
    <t>62.100.  2.</t>
  </si>
  <si>
    <t>MV Midnight South Excavation</t>
  </si>
  <si>
    <t>62.100.  9.</t>
  </si>
  <si>
    <t>C-506 Excavation</t>
  </si>
  <si>
    <t>62.100. 12.</t>
  </si>
  <si>
    <t>C-509 Excavation</t>
  </si>
  <si>
    <t>62.100. 24.</t>
  </si>
  <si>
    <t>MV Midnight East Excavation</t>
  </si>
  <si>
    <t>62.100. 13.</t>
  </si>
  <si>
    <t>C-510 Excavation</t>
  </si>
  <si>
    <t>62.100. 14.</t>
  </si>
  <si>
    <t>C-511 Excavation</t>
  </si>
  <si>
    <t>62.100. 18.</t>
  </si>
  <si>
    <t>C-515 Excavation</t>
  </si>
  <si>
    <t>62.100.  3.</t>
  </si>
  <si>
    <t>Compressor Station Excavation</t>
  </si>
  <si>
    <t>62.100.  4.</t>
  </si>
  <si>
    <t>C-501 Excavation</t>
  </si>
  <si>
    <t>62.100.  5.</t>
  </si>
  <si>
    <t>C-502 Excavation</t>
  </si>
  <si>
    <t>62.100.  6.</t>
  </si>
  <si>
    <t>C-503 Excavation</t>
  </si>
  <si>
    <t>62.100.  7.</t>
  </si>
  <si>
    <t>C-504 Excavation</t>
  </si>
  <si>
    <t>62.100.  8.</t>
  </si>
  <si>
    <t>C-505 Excavation</t>
  </si>
  <si>
    <t>62.100. 11.</t>
  </si>
  <si>
    <t>C-508 Excavation</t>
  </si>
  <si>
    <t>62.100. 15.</t>
  </si>
  <si>
    <t>C-512 Excavation</t>
  </si>
  <si>
    <t>62.100. 17.</t>
  </si>
  <si>
    <t>MV C-514 Excavation</t>
  </si>
  <si>
    <t>62.100. 19.</t>
  </si>
  <si>
    <t>C-516 Excavation</t>
  </si>
  <si>
    <t>62.100. 20.</t>
  </si>
  <si>
    <t>C-517 Excavation</t>
  </si>
  <si>
    <t>62.100. 25.</t>
  </si>
  <si>
    <t>EX-43 Excavation</t>
  </si>
  <si>
    <t>63.100.   .</t>
  </si>
  <si>
    <t>MV Backfill (Holding)</t>
  </si>
  <si>
    <t>63.100.  1.</t>
  </si>
  <si>
    <t>MV Midnight North Backfill</t>
  </si>
  <si>
    <t>63.100.  2.</t>
  </si>
  <si>
    <t>MV Midnight South Backfill</t>
  </si>
  <si>
    <t>63.100.  9.</t>
  </si>
  <si>
    <t>C-506 Backfill</t>
  </si>
  <si>
    <t>63.100. 12.</t>
  </si>
  <si>
    <t>C-509 Backfill</t>
  </si>
  <si>
    <t>63.100. 24.</t>
  </si>
  <si>
    <t>MV Midnight East Backfill</t>
  </si>
  <si>
    <t>63.100. 13.</t>
  </si>
  <si>
    <t>C-510 Backfill</t>
  </si>
  <si>
    <t>63.100. 14.</t>
  </si>
  <si>
    <t>C-511 Backfill</t>
  </si>
  <si>
    <t>63.100. 18.</t>
  </si>
  <si>
    <t>C-515 Backfill</t>
  </si>
  <si>
    <t>63.100.  3.</t>
  </si>
  <si>
    <t>Compressor Station Backfill</t>
  </si>
  <si>
    <t>63.100.  4.</t>
  </si>
  <si>
    <t>C-501 Backfill</t>
  </si>
  <si>
    <t>63.100.  5.</t>
  </si>
  <si>
    <t>C-502 Backfill</t>
  </si>
  <si>
    <t>63.100.  6.</t>
  </si>
  <si>
    <t>C-503 Backfill</t>
  </si>
  <si>
    <t>63.100.  7.</t>
  </si>
  <si>
    <t>C-504 Backfill</t>
  </si>
  <si>
    <t>63.100.  8.</t>
  </si>
  <si>
    <t>C-505 Backfill</t>
  </si>
  <si>
    <t>63.100. 11.</t>
  </si>
  <si>
    <t>C-508 Backfill</t>
  </si>
  <si>
    <t>63.100. 15.</t>
  </si>
  <si>
    <t>C-512 Backfill</t>
  </si>
  <si>
    <t>63.100. 17.</t>
  </si>
  <si>
    <t>MV C-514 Backfill</t>
  </si>
  <si>
    <t>63.100. 19.</t>
  </si>
  <si>
    <t>C-516 Backfill</t>
  </si>
  <si>
    <t>63.100. 20.</t>
  </si>
  <si>
    <t>C-517 Backfill</t>
  </si>
  <si>
    <t>63.100. 25.</t>
  </si>
  <si>
    <t>EX-43 Backfill</t>
  </si>
  <si>
    <t>64.100.   .</t>
  </si>
  <si>
    <t>MV MH Installation (Holding)</t>
  </si>
  <si>
    <t>64.100.  1.</t>
  </si>
  <si>
    <t>MV Midnight North MH Installation</t>
  </si>
  <si>
    <t>64.100.  2.</t>
  </si>
  <si>
    <t>MV Midnight South MH Installation</t>
  </si>
  <si>
    <t>64.100.  9.</t>
  </si>
  <si>
    <t>C-506 MH Installation</t>
  </si>
  <si>
    <t>&gt;100%</t>
  </si>
  <si>
    <t>64.100. 12.</t>
  </si>
  <si>
    <t>C-509 MH Installation</t>
  </si>
  <si>
    <t>64.100. 24.</t>
  </si>
  <si>
    <t>64.100. 13.</t>
  </si>
  <si>
    <t>C-510 MH Installation</t>
  </si>
  <si>
    <t>64.100. 14.</t>
  </si>
  <si>
    <t>C-511 MH Installation</t>
  </si>
  <si>
    <t>64.100. 18.</t>
  </si>
  <si>
    <t>C-515 MH Installation</t>
  </si>
  <si>
    <t>64.100.  3.</t>
  </si>
  <si>
    <t>Compressor Station MH Installation</t>
  </si>
  <si>
    <t>64.100.  4.</t>
  </si>
  <si>
    <t>C-501 MH Installation</t>
  </si>
  <si>
    <t>64.100.  5.</t>
  </si>
  <si>
    <t>C-502 MH Installation</t>
  </si>
  <si>
    <t>64.100.  6.</t>
  </si>
  <si>
    <t>C-503 MH Installation</t>
  </si>
  <si>
    <t>64.100.  7.</t>
  </si>
  <si>
    <t>C-504 MH Installation</t>
  </si>
  <si>
    <t>64.100.  8.</t>
  </si>
  <si>
    <t>C-505 MH Installation</t>
  </si>
  <si>
    <t>64.100. 11.</t>
  </si>
  <si>
    <t>C-508 MH Installation</t>
  </si>
  <si>
    <t>64.100. 15.</t>
  </si>
  <si>
    <t>C-512 MH Installation</t>
  </si>
  <si>
    <t>64.100. 17.</t>
  </si>
  <si>
    <t>MV C-514 MH Installation</t>
  </si>
  <si>
    <t>64.100. 19.</t>
  </si>
  <si>
    <t>C-516 MH Installation</t>
  </si>
  <si>
    <t>64.100. 20.</t>
  </si>
  <si>
    <t>C-517 MH Installation</t>
  </si>
  <si>
    <t>64.100. 25.</t>
  </si>
  <si>
    <t>EX-43 MH Installation</t>
  </si>
  <si>
    <t>65.100.   .</t>
  </si>
  <si>
    <t>MV Jetline, Mandrels &amp; Mule Tape (Holding)</t>
  </si>
  <si>
    <t>65.100.  1.</t>
  </si>
  <si>
    <t>MV Midnight North Jet Line, Mandrels &amp; Mule Tape</t>
  </si>
  <si>
    <t>65.100.  2.</t>
  </si>
  <si>
    <t>MV Midnight South Jet Line, Mandrels &amp; Mules Tape</t>
  </si>
  <si>
    <t>65.100.  9.</t>
  </si>
  <si>
    <t>C-506 Jet Line, Mandrels &amp; Mules Tape</t>
  </si>
  <si>
    <t>65.100. 12.</t>
  </si>
  <si>
    <t>C-509 Jet Line, Mandrels &amp; Mules Tape</t>
  </si>
  <si>
    <t>65.100. 24.</t>
  </si>
  <si>
    <t>65.100. 13.</t>
  </si>
  <si>
    <t>C-510 Jet Line, Mandrels &amp; Mules Tape</t>
  </si>
  <si>
    <t>65.100. 14.</t>
  </si>
  <si>
    <t>C-511 Jet Line, Mandrels &amp; Mules Tape</t>
  </si>
  <si>
    <t>65.100. 18.</t>
  </si>
  <si>
    <t>C-515 Jet Line, Mandrels &amp; Mules Tape</t>
  </si>
  <si>
    <t>65.100.  3.</t>
  </si>
  <si>
    <t>Compressor Station Jet Line, Mandrels &amp; Mules Tape</t>
  </si>
  <si>
    <t>65.100.  4.</t>
  </si>
  <si>
    <t>C-501 Jet Line, Mandrels &amp; Mules Tape</t>
  </si>
  <si>
    <t>65.100.  5.</t>
  </si>
  <si>
    <t>C-502 Jet Line, Mandrels &amp; Mules Tape</t>
  </si>
  <si>
    <t>65.100.  6.</t>
  </si>
  <si>
    <t>C-503 Jet Line, Mandrels &amp; Mules Tape</t>
  </si>
  <si>
    <t>65.100.  7.</t>
  </si>
  <si>
    <t>C-504 Jet Line, Mandrels &amp; Mules Tape</t>
  </si>
  <si>
    <t>65.100.  8.</t>
  </si>
  <si>
    <t>C-505 Jet Line, Mandrels &amp; Mules Tape</t>
  </si>
  <si>
    <t>65.100. 11.</t>
  </si>
  <si>
    <t>C-508 Jet Line, Mandrels &amp; Mules Tape</t>
  </si>
  <si>
    <t>65.100. 15.</t>
  </si>
  <si>
    <t>C-512 Jet Line, Mandrels &amp; Mules Tape</t>
  </si>
  <si>
    <t>65.100. 17.</t>
  </si>
  <si>
    <t>MV C-514 Jet Line, Mandrels &amp; Mule Tape</t>
  </si>
  <si>
    <t>65.100. 19.</t>
  </si>
  <si>
    <t>C-516 Jet Line, Mandrels &amp; Mules Tape</t>
  </si>
  <si>
    <t>65.100. 20.</t>
  </si>
  <si>
    <t>C-517 Jet Line, Mandrels &amp; Mules Tape</t>
  </si>
  <si>
    <t>65.100. 25.</t>
  </si>
  <si>
    <t>EX-43 Jet Line, Mandrels &amp; Mules Tape</t>
  </si>
  <si>
    <t>70.100.   .</t>
  </si>
  <si>
    <t>LV Conduit Prep &amp; Preassembly (Holding)</t>
  </si>
  <si>
    <t>70.200.  1.</t>
  </si>
  <si>
    <t>71.100.   .</t>
  </si>
  <si>
    <t>LV Conduit Installation (Holding)</t>
  </si>
  <si>
    <t>71.200.  1.</t>
  </si>
  <si>
    <t>Security Conduit Installation</t>
  </si>
  <si>
    <t>72.100.   .</t>
  </si>
  <si>
    <t>LV Excavation (Holding)</t>
  </si>
  <si>
    <t>72.200.  1.</t>
  </si>
  <si>
    <t>Security Excavation</t>
  </si>
  <si>
    <t>72.100.  1.</t>
  </si>
  <si>
    <t>ZCV-1 Excavation</t>
  </si>
  <si>
    <t>72.100.  2.</t>
  </si>
  <si>
    <t>ZCV-2 Excavation</t>
  </si>
  <si>
    <t>72.100.  3.</t>
  </si>
  <si>
    <t>ZCV-3 Excavation</t>
  </si>
  <si>
    <t>72.100.  6.</t>
  </si>
  <si>
    <t>LV - B1 Excavation</t>
  </si>
  <si>
    <t>72.100.  7.</t>
  </si>
  <si>
    <t>LV-B2 Excavation</t>
  </si>
  <si>
    <t>73.100.   .</t>
  </si>
  <si>
    <t>LV Backfill (Holding)</t>
  </si>
  <si>
    <t>73.200.  1.</t>
  </si>
  <si>
    <t>Security Backfill</t>
  </si>
  <si>
    <t>73.100.  1.</t>
  </si>
  <si>
    <t>ZCV-1 Backfill</t>
  </si>
  <si>
    <t>73.100.  2.</t>
  </si>
  <si>
    <t>ZCV-2 Backfill</t>
  </si>
  <si>
    <t>73.100.  3.</t>
  </si>
  <si>
    <t>ZCV-3 Backfill</t>
  </si>
  <si>
    <t>73.100.  6.</t>
  </si>
  <si>
    <t>LV - B1 Backfill</t>
  </si>
  <si>
    <t>73.100.  7.</t>
  </si>
  <si>
    <t>LV-B2 Backfill</t>
  </si>
  <si>
    <t>74.100.   .</t>
  </si>
  <si>
    <t>LV MH Installation (Holding)</t>
  </si>
  <si>
    <t>74.200.  1.</t>
  </si>
  <si>
    <t>Security Poles</t>
  </si>
  <si>
    <t>74.100.  1.</t>
  </si>
  <si>
    <t>ZCV-1 MH Installation</t>
  </si>
  <si>
    <t>74.100.  2.</t>
  </si>
  <si>
    <t>ZCV-2 MH Installation</t>
  </si>
  <si>
    <t>74.100.  3.</t>
  </si>
  <si>
    <t>ZCV-3 MH Installation</t>
  </si>
  <si>
    <t>74.100.  6.</t>
  </si>
  <si>
    <t>LV - B1 Manhole Installation</t>
  </si>
  <si>
    <t>74.200.  2.</t>
  </si>
  <si>
    <t>Security Hand Holes</t>
  </si>
  <si>
    <t>74.100.  7.</t>
  </si>
  <si>
    <t>LV-B2 Manhole Installation</t>
  </si>
  <si>
    <t>76.100.  6.</t>
  </si>
  <si>
    <t>PF CHECK OVERRUNNING PROJECTION</t>
  </si>
  <si>
    <t>76.100.  7.</t>
  </si>
  <si>
    <t>77.100.  6.</t>
  </si>
  <si>
    <t>LV - B1 Drainage</t>
  </si>
  <si>
    <t>77.100.  7.</t>
  </si>
  <si>
    <t>LV-B2 Drainage</t>
  </si>
  <si>
    <t>H2 Civil - Excavation Labor</t>
  </si>
  <si>
    <t>H2 Civil - Foundations Concrete &amp; Rebar Labor</t>
  </si>
  <si>
    <t>H2 Civil - Duct Banks Concrete &amp; Rebar Labor</t>
  </si>
  <si>
    <t>H2 Civil - Precast Manholes/ Vaults Labor</t>
  </si>
  <si>
    <t>H2 Grout Labor (per work package)</t>
  </si>
  <si>
    <t>Grout Labor - H2 Pipe Rack</t>
  </si>
  <si>
    <t>Grout Labor - H2 Supp Steel</t>
  </si>
  <si>
    <t>H2 Anchor Bolts (per work package)</t>
  </si>
  <si>
    <t>H2 Structural Steel Labor (per work package)</t>
  </si>
  <si>
    <t>H2 Ext Pipe Rack - Steel Labor</t>
  </si>
  <si>
    <t>H2 Data Halls - Supp Steel Labor</t>
  </si>
  <si>
    <t>PF CHECK BURN NO EARN CHARGING AT 100%</t>
  </si>
  <si>
    <t>H2 Mechanical Equipment Labor (per work package)</t>
  </si>
  <si>
    <t>H2 Expansion Loops and Dog Legs Labor</t>
  </si>
  <si>
    <t>H2 Set &amp; Install MER Buildings and Generators</t>
  </si>
  <si>
    <t>H2 CS LB Aboveground Labor (per work package)</t>
  </si>
  <si>
    <t>H2 CS Pipe Fabrication Labor - OSM</t>
  </si>
  <si>
    <t>H2 CS Pipe Installation Labor - SITE</t>
  </si>
  <si>
    <t>H2 SS LB Aboveground Labor (per work package)</t>
  </si>
  <si>
    <t>H2 SS Pipe Installation Labor</t>
  </si>
  <si>
    <t>H2 MER Fire Water Risers Labor</t>
  </si>
  <si>
    <t>H2 Ductwork Installation (per work package)</t>
  </si>
  <si>
    <t>H2 Pipe Supports Labor (per work package)</t>
  </si>
  <si>
    <t>H2 Pipe Support Installation Labor - SITE</t>
  </si>
  <si>
    <t>75.100.  1.  1</t>
  </si>
  <si>
    <t>H2 Pressure Testing Labor</t>
  </si>
  <si>
    <t>75.100.  1.  2</t>
  </si>
  <si>
    <t>H2 Start-Up Support Labor</t>
  </si>
  <si>
    <t>H2 Corporate Management (PM  EM  Corp Safety  QC  Proc Est.)</t>
  </si>
  <si>
    <t>H2 Site Management (CM  Supt  PE  FE)</t>
  </si>
  <si>
    <t>H2 Field Staff (Matl Manager Office Manager Clerical)</t>
  </si>
  <si>
    <t>H2 Site HSE &amp; QA/QC</t>
  </si>
  <si>
    <t>H2 HR Staff</t>
  </si>
  <si>
    <t>90.950.  1.</t>
  </si>
  <si>
    <t>H2 Relocation Expenses</t>
  </si>
  <si>
    <t>H2 General Foreman</t>
  </si>
  <si>
    <t>H2 Survey Crew</t>
  </si>
  <si>
    <t>H2 Warehouse Crew</t>
  </si>
  <si>
    <t>H2 Operators</t>
  </si>
  <si>
    <t>H2 General Site Labor (Fire Watch Ice/Water etc)</t>
  </si>
  <si>
    <t>H2 Tool Room Attendant</t>
  </si>
  <si>
    <t>H2 Orientation &amp; Drug Testing</t>
  </si>
  <si>
    <t>H2 Welder Testing Labor</t>
  </si>
  <si>
    <t>H2 Job Set Up Labor</t>
  </si>
  <si>
    <t>97.100.  1.</t>
  </si>
  <si>
    <t>Incorrect Generator Demob</t>
  </si>
  <si>
    <t>H2 Ground Lug Welding</t>
  </si>
  <si>
    <t>H3 Ductbank (35kV MER Pad T&amp;M )</t>
  </si>
  <si>
    <t>98. H2. DB.  1</t>
  </si>
  <si>
    <t>H2 LS Ductbank (35kV/Telecom) - Labor</t>
  </si>
  <si>
    <t>98. H2.CUP.  1</t>
  </si>
  <si>
    <t>H2 LS CUP FNDs - Labor</t>
  </si>
  <si>
    <t>H2 OSM Yard Mob/Demob &amp; Maintenance</t>
  </si>
  <si>
    <t>H2 Accounting Accruals</t>
  </si>
  <si>
    <t>H2 Pipe Labels Labor (per work package)</t>
  </si>
  <si>
    <t>H2 Civil - Backfill/Finish/Fine Grading Labor</t>
  </si>
  <si>
    <t>Sitewide Dewatering Budget</t>
  </si>
  <si>
    <t>26.105.  1.</t>
  </si>
  <si>
    <t>Grout - C-9105 - Bldg. 01</t>
  </si>
  <si>
    <t>26.101.  1.</t>
  </si>
  <si>
    <t>Grout - C-9101 - Bldg. 01</t>
  </si>
  <si>
    <t>26.102.  1.</t>
  </si>
  <si>
    <t>Grout - C-9102 - Bldg. 01</t>
  </si>
  <si>
    <t>26.103.  1.</t>
  </si>
  <si>
    <t>Grout - C-9103 - Bldg. 01</t>
  </si>
  <si>
    <t>26.106.  1.</t>
  </si>
  <si>
    <t>Grout - C-9106 - Bldg. 01</t>
  </si>
  <si>
    <t>26.107.  1.</t>
  </si>
  <si>
    <t>Grout - C-9107 - Bldg. 01</t>
  </si>
  <si>
    <t>26.109.  1.</t>
  </si>
  <si>
    <t>Grout - C-9109 - Bldg. 01</t>
  </si>
  <si>
    <t>26.109.  2.</t>
  </si>
  <si>
    <t>Grout - C-9109 - Bldg. 02</t>
  </si>
  <si>
    <t>26.110.  1.</t>
  </si>
  <si>
    <t>Grout - C-9110 - Bldg. 01</t>
  </si>
  <si>
    <t>26.110.  2.</t>
  </si>
  <si>
    <t>Grout - C-9110 - Bldg. 02</t>
  </si>
  <si>
    <t>26.111.  1.</t>
  </si>
  <si>
    <t>Grout - C-9111 - Bldg. 01</t>
  </si>
  <si>
    <t>26.111.  2.</t>
  </si>
  <si>
    <t>Grout - C-9112 - Bldg. 02</t>
  </si>
  <si>
    <t>26.113.  2.</t>
  </si>
  <si>
    <t>Grout - C-9113 - Bldg. 02</t>
  </si>
  <si>
    <t>26.114.  2.</t>
  </si>
  <si>
    <t>Grout - C-9114 - Bldg. 02</t>
  </si>
  <si>
    <t>26.115.  2.</t>
  </si>
  <si>
    <t>Grout - C-9115 - Bldg. 02</t>
  </si>
  <si>
    <t>26.117.  3.</t>
  </si>
  <si>
    <t>Grout - C-9117 - Bldg. 03</t>
  </si>
  <si>
    <t>26.118.  3.</t>
  </si>
  <si>
    <t>Grout - C-9118 - Bldg. 03</t>
  </si>
  <si>
    <t>26.119.  2.</t>
  </si>
  <si>
    <t>Grout - C-9119 - Bldg. 02</t>
  </si>
  <si>
    <t>26.119.  3.</t>
  </si>
  <si>
    <t>Grout - C-9119 - Bldg. 03</t>
  </si>
  <si>
    <t>26.121.  3.</t>
  </si>
  <si>
    <t>Grout - C-9121 - Bldg. 03</t>
  </si>
  <si>
    <t>26.122.  3.</t>
  </si>
  <si>
    <t>Grout - C-9122 - Bldg. 03</t>
  </si>
  <si>
    <t>26.123.  3.</t>
  </si>
  <si>
    <t>Grout - C-9123 - Bldg. 03</t>
  </si>
  <si>
    <t>MVDB - Cast-In-Place Labor (per WP)</t>
  </si>
  <si>
    <t>60.101.  1.</t>
  </si>
  <si>
    <t>MV: CIP DB - C-9101 - Bldg. 01</t>
  </si>
  <si>
    <t>60.102.  1.</t>
  </si>
  <si>
    <t>MV: CIP DB - C-9102 - Bldg. 01</t>
  </si>
  <si>
    <t>60.103.  1.</t>
  </si>
  <si>
    <t>MV: CIP DB - C-9103 - Bldg. 01</t>
  </si>
  <si>
    <t>60.105.  1.</t>
  </si>
  <si>
    <t>MV: CIP DB - C-9105 - Bldg. 01</t>
  </si>
  <si>
    <t>60.106.  1.</t>
  </si>
  <si>
    <t>MV: CIP DB - C-9106 - Bldg. 01</t>
  </si>
  <si>
    <t>60.107.  1.</t>
  </si>
  <si>
    <t>MV: CIP DB - C-9107 - Bldg. 01</t>
  </si>
  <si>
    <t>60.109.  1.</t>
  </si>
  <si>
    <t>MV: CIP DB - C-9109 - Bldg. 01</t>
  </si>
  <si>
    <t>60.109.  2.</t>
  </si>
  <si>
    <t>MV: CIP DB - C-9109 - Bldg. 02</t>
  </si>
  <si>
    <t>60.110.  1.</t>
  </si>
  <si>
    <t>MV: CIP DB - C-9110 - Bldg. 01</t>
  </si>
  <si>
    <t>60.110.  2.</t>
  </si>
  <si>
    <t>MV: CIP DB - C-9110 - Bldg. 02</t>
  </si>
  <si>
    <t>60.111.  1.</t>
  </si>
  <si>
    <t>MV: CIP DB - C-9111 - Bldg. 01</t>
  </si>
  <si>
    <t>60.111.  2.</t>
  </si>
  <si>
    <t>MV: CIP DB - C-9111 - Bldg. 02</t>
  </si>
  <si>
    <t>60.113.  2.</t>
  </si>
  <si>
    <t>MV: CIP DB - C-9113 - Bldg. 02</t>
  </si>
  <si>
    <t>60.114.  2.</t>
  </si>
  <si>
    <t>MV: CIP DB - C-9114 - Bldg. 02</t>
  </si>
  <si>
    <t>60.115.  2.</t>
  </si>
  <si>
    <t>MV: CIP DB - C-9115 - Bldg. 02</t>
  </si>
  <si>
    <t>60.117.  3.</t>
  </si>
  <si>
    <t>MV: CIP DB - C-9117 - Bldg. 03</t>
  </si>
  <si>
    <t>60.118.  2.</t>
  </si>
  <si>
    <t>MV: CIP DB - C-9118 - Bldg. 02</t>
  </si>
  <si>
    <t>60.118.  3.</t>
  </si>
  <si>
    <t>MV: CIP DB - C-9118 - Bldg. 03</t>
  </si>
  <si>
    <t>60.119.  2.</t>
  </si>
  <si>
    <t>MV: CIP DB - C-9119 - Bldg. 02</t>
  </si>
  <si>
    <t>60.119.  3.</t>
  </si>
  <si>
    <t>MV: CIP DB - C-9119 - Bldg. 03</t>
  </si>
  <si>
    <t>60.121.  3.</t>
  </si>
  <si>
    <t>MV: CIP DB - C-9121 - Bldg. 03</t>
  </si>
  <si>
    <t>60.122.  3.</t>
  </si>
  <si>
    <t>MV: CIP DB - C-9122 - Bldg. 03</t>
  </si>
  <si>
    <t>60.123.  3.</t>
  </si>
  <si>
    <t>MV: CIP DB - C-9123 - Bldg. 03</t>
  </si>
  <si>
    <t>60.999.  1.</t>
  </si>
  <si>
    <t>Prefab Conduit Bends - Bldg. 1</t>
  </si>
  <si>
    <t>60.999.  2.</t>
  </si>
  <si>
    <t>Prefab Conduit Bends - Bldg. 2</t>
  </si>
  <si>
    <t>60.999.  3.</t>
  </si>
  <si>
    <t>Prefab Conduit Bends - Bldg. 3</t>
  </si>
  <si>
    <t>MVDB - Precast Ductbank Labor (per WP)</t>
  </si>
  <si>
    <t>61.101.  1.</t>
  </si>
  <si>
    <t>MV: Precast DB - C-9101 - Bldg. 01</t>
  </si>
  <si>
    <t>61.102.  1.</t>
  </si>
  <si>
    <t>MV: Precast DB - C-9102 - Bldg. 01</t>
  </si>
  <si>
    <t>61.103.  1.</t>
  </si>
  <si>
    <t>MV: Precast DB - C-9103 - Bldg. 01</t>
  </si>
  <si>
    <t>61.105.  1.</t>
  </si>
  <si>
    <t>MV: Precast DB - C-9105 - Bldg. 01</t>
  </si>
  <si>
    <t>61.106.  1.</t>
  </si>
  <si>
    <t>MV: Precast DB - C-9106 - Bldg. 01</t>
  </si>
  <si>
    <t>61.107.  1.</t>
  </si>
  <si>
    <t>MV: Precast DB - C-9107 - Bldg. 01</t>
  </si>
  <si>
    <t>61.109.  1.</t>
  </si>
  <si>
    <t>MV: Precast DB - C-9109 - Bldg. 01</t>
  </si>
  <si>
    <t>61.109.  2.</t>
  </si>
  <si>
    <t>MV: Precast DB - C-9109 - Bldg. 02</t>
  </si>
  <si>
    <t>61.110.  1.</t>
  </si>
  <si>
    <t>MV: Precast DB - C-9110 - Bldg. 01</t>
  </si>
  <si>
    <t>61.110.  2.</t>
  </si>
  <si>
    <t>MV: Precast DB - C-9110 - Bldg. 02</t>
  </si>
  <si>
    <t>61.111.  1.</t>
  </si>
  <si>
    <t>MV: Precast DB - C-9111 - Bldg. 01</t>
  </si>
  <si>
    <t>61.111.  2.</t>
  </si>
  <si>
    <t>MV: Precast DB - C-9111 - Bldg. 02</t>
  </si>
  <si>
    <t>61.113.  2.</t>
  </si>
  <si>
    <t>MV: Precast DB - C-9113 - Bldg. 02</t>
  </si>
  <si>
    <t>61.114.  2.</t>
  </si>
  <si>
    <t>MV: Precast DB - C-9114 - Bldg. 02</t>
  </si>
  <si>
    <t>61.115.  2.</t>
  </si>
  <si>
    <t>MV: Precast DB - C-9115 - Bldg. 02</t>
  </si>
  <si>
    <t>61.117.  3.</t>
  </si>
  <si>
    <t>MV: Precast DB - C-9117 - Bldg. 03</t>
  </si>
  <si>
    <t>61.118.  2.</t>
  </si>
  <si>
    <t>MV: Precast DB - C-9118 - Bldg. 02</t>
  </si>
  <si>
    <t>61.118.  3.</t>
  </si>
  <si>
    <t>MV: Precast DB - C-9118 - Bldg. 03</t>
  </si>
  <si>
    <t>61.119.  2.</t>
  </si>
  <si>
    <t>MV: Precast DB - C-9119 - Bldg. 02</t>
  </si>
  <si>
    <t>61.119.  3.</t>
  </si>
  <si>
    <t>MV: Precast DB - C-9119 - Bldg. 03</t>
  </si>
  <si>
    <t>61.121.  3.</t>
  </si>
  <si>
    <t>MV: Precast DB - C-9121 - Bldg. 03</t>
  </si>
  <si>
    <t>61.122.  3.</t>
  </si>
  <si>
    <t>MV: Precast DB - C-9122 - Bldg. 03</t>
  </si>
  <si>
    <t>61.123.  3.</t>
  </si>
  <si>
    <t>MV: Precast DB - C-9123 - Bldg. 03</t>
  </si>
  <si>
    <t>61.999.  1.</t>
  </si>
  <si>
    <t>Receive &amp; Inspect Precast DB - Bldg. 1</t>
  </si>
  <si>
    <t>61.999.  2.</t>
  </si>
  <si>
    <t>Receive &amp; Inspect Precast DB - Bldg. 2</t>
  </si>
  <si>
    <t>61.999.  3.</t>
  </si>
  <si>
    <t>Receive &amp; Inspect Precast DB - Bldg. 3</t>
  </si>
  <si>
    <t>Telecoms Systems - UG CIP Ductbank Labor (per WP)</t>
  </si>
  <si>
    <t>92.004.  2.</t>
  </si>
  <si>
    <t>Communication and IT Services (Labor)</t>
  </si>
  <si>
    <t>99.000.  1.</t>
  </si>
  <si>
    <t>Mobilization Delays</t>
  </si>
  <si>
    <t>99.999.  8.</t>
  </si>
  <si>
    <t>True-Up Budget Offset</t>
  </si>
  <si>
    <t>MVDB - Excavation (per WP)</t>
  </si>
  <si>
    <t>62.101.  1.</t>
  </si>
  <si>
    <t>MV: Excavation - C-9101 - Bldg. 01</t>
  </si>
  <si>
    <t>62.102.  1.</t>
  </si>
  <si>
    <t>MV: Excavation - C-9102 - Bldg. 01</t>
  </si>
  <si>
    <t>62.103.  1.</t>
  </si>
  <si>
    <t>MV: Excavation - C-9103 - Bldg. 01</t>
  </si>
  <si>
    <t>62.105.  1.</t>
  </si>
  <si>
    <t>MV: Excavation - C-9105 - Bldg. 01</t>
  </si>
  <si>
    <t>62.106.  1.</t>
  </si>
  <si>
    <t>MV: Excavation - C-9106 - Bldg. 01</t>
  </si>
  <si>
    <t>62.107.  1.</t>
  </si>
  <si>
    <t>MV: Excavation - C-9107 - Bldg. 01</t>
  </si>
  <si>
    <t>62.109.  1.</t>
  </si>
  <si>
    <t>MV: Excavation - C-9109 - Bldg. 01</t>
  </si>
  <si>
    <t>62.109.  2.</t>
  </si>
  <si>
    <t>MV: Excavation - C-9109 - Bldg. 02</t>
  </si>
  <si>
    <t>62.110.  1.</t>
  </si>
  <si>
    <t>MV: Excavation - C-9110 - Bldg. 01</t>
  </si>
  <si>
    <t>62.110.  2.</t>
  </si>
  <si>
    <t>MV: Excavation - C-9110 - Bldg. 02</t>
  </si>
  <si>
    <t>62.111.  1.</t>
  </si>
  <si>
    <t>MV: Excavation - C-9111 - Bldg. 01</t>
  </si>
  <si>
    <t>62.111.  2.</t>
  </si>
  <si>
    <t>MV: Excavation - C-9111 - Bldg. 02</t>
  </si>
  <si>
    <t>62.113.  2.</t>
  </si>
  <si>
    <t>MV: Excavation - C-9113 - Bldg. 02</t>
  </si>
  <si>
    <t>62.114.  2.</t>
  </si>
  <si>
    <t>MV: Excavation - C-9114 - Bldg. 02</t>
  </si>
  <si>
    <t>62.115.  2.</t>
  </si>
  <si>
    <t>MV: Excavation - C-9115 - Bldg. 02</t>
  </si>
  <si>
    <t>62.117.  3.</t>
  </si>
  <si>
    <t>MV: Excavation - C-9117 - Bldg. 03</t>
  </si>
  <si>
    <t>62.118.  2.</t>
  </si>
  <si>
    <t>MV: Excavation - C-9118 - Bldg. 02</t>
  </si>
  <si>
    <t>62.118.  3.</t>
  </si>
  <si>
    <t>MV: Excavation - C-9118 - Bldg. 03</t>
  </si>
  <si>
    <t>62.119.  2.</t>
  </si>
  <si>
    <t>MV: Excavation - C-9119 - Bldg. 02</t>
  </si>
  <si>
    <t>62.119.  3.</t>
  </si>
  <si>
    <t>MV: Excavation - C-9119 - Bldg. 03</t>
  </si>
  <si>
    <t>62.121.  3.</t>
  </si>
  <si>
    <t>MV: Excavation - C-9121 - Bldg. 03</t>
  </si>
  <si>
    <t>62.122.  3.</t>
  </si>
  <si>
    <t>MV: Excavation - C-9122 - Bldg. 03</t>
  </si>
  <si>
    <t>62.123.  3.</t>
  </si>
  <si>
    <t>MV: Excavation - C-9123 - Bldg. 03</t>
  </si>
  <si>
    <t>MVDB - Backfill &amp; Compaction (per WP)</t>
  </si>
  <si>
    <t>63.101.  1.</t>
  </si>
  <si>
    <t>MV: Backfill - C-9101 - Bldg. 01</t>
  </si>
  <si>
    <t>63.102.  1.</t>
  </si>
  <si>
    <t>MV: Backfill - C-9102 - Bldg. 01</t>
  </si>
  <si>
    <t>63.103.  1.</t>
  </si>
  <si>
    <t>MV: Backfill - C-9103 - Bldg. 01</t>
  </si>
  <si>
    <t>63.105.  1.</t>
  </si>
  <si>
    <t>MV: Backfill - C-9105 - Bldg. 01</t>
  </si>
  <si>
    <t>63.106.  1.</t>
  </si>
  <si>
    <t>MV: Backfill - C-9106 - Bldg. 01</t>
  </si>
  <si>
    <t>63.107.  1.</t>
  </si>
  <si>
    <t>MV: Backfill - C-9107 - Bldg. 01</t>
  </si>
  <si>
    <t>63.109.  1.</t>
  </si>
  <si>
    <t>MV: Backfill - C-9109 - Bldg. 01</t>
  </si>
  <si>
    <t>63.109.  2.</t>
  </si>
  <si>
    <t>MV: Backfill - C-9109 - Bldg. 02</t>
  </si>
  <si>
    <t>63.110.  1.</t>
  </si>
  <si>
    <t>MV: Backfill - C-9110 - Bldg. 01</t>
  </si>
  <si>
    <t>63.110.  2.</t>
  </si>
  <si>
    <t>MV: Backfill - C-9110 - Bldg. 02</t>
  </si>
  <si>
    <t>63.111.  1.</t>
  </si>
  <si>
    <t>MV: Backfill - C-9111 - Bldg. 01</t>
  </si>
  <si>
    <t>63.111.  2.</t>
  </si>
  <si>
    <t>MV: Backfill - C-9111 - Bldg. 02</t>
  </si>
  <si>
    <t>63.113.  2.</t>
  </si>
  <si>
    <t>MV: Backfill - C-9113 - Bldg. 02</t>
  </si>
  <si>
    <t>63.114.  2.</t>
  </si>
  <si>
    <t>MV: Backfill - C-9114 - Bldg. 02</t>
  </si>
  <si>
    <t>63.115.  2.</t>
  </si>
  <si>
    <t>MV: Backfill - C-9115 - Bldg. 02</t>
  </si>
  <si>
    <t>63.117.  3.</t>
  </si>
  <si>
    <t>MV: Backfill - C-9117 - Bldg. 03</t>
  </si>
  <si>
    <t>63.118.  2.</t>
  </si>
  <si>
    <t>MV: Backfill - C-9118 - Bldg. 02</t>
  </si>
  <si>
    <t>63.118.  3.</t>
  </si>
  <si>
    <t>MV: Backfill - C-9118 - Bldg. 03</t>
  </si>
  <si>
    <t>63.119.  2.</t>
  </si>
  <si>
    <t>MV: Backfill - C-9119 - Bldg. 02</t>
  </si>
  <si>
    <t>63.119.  3.</t>
  </si>
  <si>
    <t>MV: Backfill - C-9119 - Bldg. 03</t>
  </si>
  <si>
    <t>63.121.  3.</t>
  </si>
  <si>
    <t>MV: Backfill - C-9121 - Bldg. 03</t>
  </si>
  <si>
    <t>63.122.  3.</t>
  </si>
  <si>
    <t>MV: Backfill - C-9122 - Bldg. 03</t>
  </si>
  <si>
    <t>63.123.  3.</t>
  </si>
  <si>
    <t>MV: Backfill - C-9123 - Bldg. 03</t>
  </si>
  <si>
    <t>MVDB - Precast Manholes Labor (per WP)</t>
  </si>
  <si>
    <t>64.101.  1.</t>
  </si>
  <si>
    <t>MV: Vault Installation - C-9101 - Bldg. 01</t>
  </si>
  <si>
    <t>64.102.  1.</t>
  </si>
  <si>
    <t>MV: Vault Installation - C-9102 - Bldg. 01</t>
  </si>
  <si>
    <t>64.103.  1.</t>
  </si>
  <si>
    <t>MV: Vault Installation - C-9103 - Bldg. 01</t>
  </si>
  <si>
    <t>64.105.  1.</t>
  </si>
  <si>
    <t>MV: Vault Installation - C-9105 - Bldg. 01</t>
  </si>
  <si>
    <t>64.106.  1.</t>
  </si>
  <si>
    <t>MV: Vault Installation - C-9106 - Bldg. 01</t>
  </si>
  <si>
    <t>64.107.  1.</t>
  </si>
  <si>
    <t>MV: Vault Installation - C-9107 - Bldg. 01</t>
  </si>
  <si>
    <t>64.109.  1.</t>
  </si>
  <si>
    <t>MV: Vault Installation - C-9109 - Bldg. 01</t>
  </si>
  <si>
    <t>64.109.  2.</t>
  </si>
  <si>
    <t>MV: Vault Installation - C-9109 - Bldg. 02</t>
  </si>
  <si>
    <t>64.110.  1.</t>
  </si>
  <si>
    <t>MV: Vault Installation - C-9110 - Bldg. 01</t>
  </si>
  <si>
    <t>64.110.  2.</t>
  </si>
  <si>
    <t>MV: Vault Installation - C-9110 - Bldg. 02</t>
  </si>
  <si>
    <t>64.111.  1.</t>
  </si>
  <si>
    <t>MV: Vault Installation - C-9111 - Bldg. 01</t>
  </si>
  <si>
    <t>64.111.  2.</t>
  </si>
  <si>
    <t>MV: Vault Installation - C-9111 - Bldg. 02</t>
  </si>
  <si>
    <t>64.113.  2.</t>
  </si>
  <si>
    <t>MV: Vault Installation - C-9113 - Bldg. 02</t>
  </si>
  <si>
    <t>64.114.  2.</t>
  </si>
  <si>
    <t>MV: Vault Installation - C-9114 - Bldg. 02</t>
  </si>
  <si>
    <t>64.115.  2.</t>
  </si>
  <si>
    <t>MV: Vault Installation - C-9115 - Bldg. 02</t>
  </si>
  <si>
    <t>64.117.  3.</t>
  </si>
  <si>
    <t>MV: Vault Installation - C-9117 - Bldg. 03</t>
  </si>
  <si>
    <t>64.118.  3.</t>
  </si>
  <si>
    <t>MV: Vault Installation - C-9118 - Bldg. 03</t>
  </si>
  <si>
    <t>64.119.  2.</t>
  </si>
  <si>
    <t>MV: Vault Installation - C-9119 - Bldg. 02</t>
  </si>
  <si>
    <t>64.119.  3.</t>
  </si>
  <si>
    <t>MV: Vault Installation - C-9119 - Bldg. 03</t>
  </si>
  <si>
    <t>64.121.  3.</t>
  </si>
  <si>
    <t>MV: Vault Installation - C-9121 - Bldg. 03</t>
  </si>
  <si>
    <t>64.122.  3.</t>
  </si>
  <si>
    <t>MV: Vault Installation - C-9122 - Bldg. 03</t>
  </si>
  <si>
    <t>64.123.  3.</t>
  </si>
  <si>
    <t>MV: Vault Installation - C-9123 - Bldg. 03</t>
  </si>
  <si>
    <t>64.999.  1.</t>
  </si>
  <si>
    <t>Receive &amp; Inspect Manholes - Bldg. 1</t>
  </si>
  <si>
    <t>64.999.  2.</t>
  </si>
  <si>
    <t>Receive &amp; Inspect Manholes - Bldg. 2</t>
  </si>
  <si>
    <t>64.999.  3.</t>
  </si>
  <si>
    <t>Receive &amp; Inspect Manholes - Bldg. 3</t>
  </si>
  <si>
    <t>MVDB - Testing Labor (per WP)</t>
  </si>
  <si>
    <t>65.101.  1.</t>
  </si>
  <si>
    <t>MV: Testing - C-9101 - Bldg. 01</t>
  </si>
  <si>
    <t>65.102.  1.</t>
  </si>
  <si>
    <t>MV: Testing - C-9102 - Bldg. 01</t>
  </si>
  <si>
    <t>65.103.  1.</t>
  </si>
  <si>
    <t>MV: Testing - C-9103 - Bldg. 01</t>
  </si>
  <si>
    <t>65.105.  1.</t>
  </si>
  <si>
    <t>MV: Testing - C-9105 - Bldg. 01</t>
  </si>
  <si>
    <t>65.106.  1.</t>
  </si>
  <si>
    <t>MV: Testing - C-9106 - Bldg. 01</t>
  </si>
  <si>
    <t>65.107.  1.</t>
  </si>
  <si>
    <t>MV: Testing - C-9107 - Bldg. 01</t>
  </si>
  <si>
    <t>65.109.  1.</t>
  </si>
  <si>
    <t>MV: Testing - C-9109 - Bldg. 01</t>
  </si>
  <si>
    <t>65.109.  2.</t>
  </si>
  <si>
    <t>MV: Testing - C-9109 - Bldg. 02</t>
  </si>
  <si>
    <t>65.110.  1.</t>
  </si>
  <si>
    <t>MV: Testing - C-9110 - Bldg. 01</t>
  </si>
  <si>
    <t>65.110.  2.</t>
  </si>
  <si>
    <t>MV: Testing - C-9110 - Bldg. 02</t>
  </si>
  <si>
    <t>65.111.  1.</t>
  </si>
  <si>
    <t>MV: Testing - C-9111 - Bldg. 01</t>
  </si>
  <si>
    <t>65.111.  2.</t>
  </si>
  <si>
    <t>MV: Testing - C-9111 - Bldg. 02</t>
  </si>
  <si>
    <t>65.113.  2.</t>
  </si>
  <si>
    <t>MV: Testing - C-9113 - Bldg. 02</t>
  </si>
  <si>
    <t>65.114.  2.</t>
  </si>
  <si>
    <t>MV: Testing - C-9114 - Bldg. 02</t>
  </si>
  <si>
    <t>65.115.  2.</t>
  </si>
  <si>
    <t>MV: Testing - C-9115 - Bldg. 02</t>
  </si>
  <si>
    <t>65.117.  3.</t>
  </si>
  <si>
    <t>MV: Testing - C-9117 - Bldg. 03</t>
  </si>
  <si>
    <t>65.118.  3.</t>
  </si>
  <si>
    <t>MV: Testing - C-9118 - Bldg. 03</t>
  </si>
  <si>
    <t>65.119.  2.</t>
  </si>
  <si>
    <t>MV: Testing - C-9119 - Bldg. 02</t>
  </si>
  <si>
    <t>65.119.  3.</t>
  </si>
  <si>
    <t>MV: Testing - C-9119 - Bldg. 03</t>
  </si>
  <si>
    <t>65.121.  3.</t>
  </si>
  <si>
    <t>MV: Testing - C-9121 - Bldg. 03</t>
  </si>
  <si>
    <t>65.122.  3.</t>
  </si>
  <si>
    <t>MV: Testing - C-9122 - Bldg. 03</t>
  </si>
  <si>
    <t>65.123.  3.</t>
  </si>
  <si>
    <t>MV: Testing - C-9123 - Bldg. 03</t>
  </si>
  <si>
    <t>Telecoms Systems - Precast Trench Install (per WP)</t>
  </si>
  <si>
    <t>Telecoms Systems - Excavation &amp; Sub Grade (per WP)</t>
  </si>
  <si>
    <t>Telecoms Systems - Backfill &amp; Compaction (per WP)</t>
  </si>
  <si>
    <t>Telecoms Systems - Precast Manhole Install (per WP)</t>
  </si>
  <si>
    <t>22.100.   .</t>
  </si>
  <si>
    <t>Direct Burial Conduit (2") - Labor</t>
  </si>
  <si>
    <t>76.100.   .</t>
  </si>
  <si>
    <t>Telecoms Systems - CIP Trench Labor (per WP)</t>
  </si>
  <si>
    <t>77.100.   .</t>
  </si>
  <si>
    <t>Telecoms Systems - French Drain Install (per WP)</t>
  </si>
  <si>
    <t>66.100.   .</t>
  </si>
  <si>
    <t>MVDB - Locate Labor (per WP)</t>
  </si>
  <si>
    <t>66.101.  1.</t>
  </si>
  <si>
    <t>MV: Locate Labor - C-9101 - Bldg. 01</t>
  </si>
  <si>
    <t>66.102.  1.</t>
  </si>
  <si>
    <t>MV: Locate Labor - C-9102 - Bldg. 01</t>
  </si>
  <si>
    <t>66.103.  1.</t>
  </si>
  <si>
    <t>MV: Locate Labor - C-9103 - Bldg. 01</t>
  </si>
  <si>
    <t>66.105.  1.</t>
  </si>
  <si>
    <t>MV: Locate Labor - C-9105 - Bldg. 01</t>
  </si>
  <si>
    <t>66.106.  1.</t>
  </si>
  <si>
    <t>MV: Locate Labor - C-9106 - Bldg. 01</t>
  </si>
  <si>
    <t>66.107.  1.</t>
  </si>
  <si>
    <t>MV: Locate Labor - C-9107 - Bldg. 01</t>
  </si>
  <si>
    <t>66.109.  1.</t>
  </si>
  <si>
    <t>MV: Locate Labor - C-9109 - Bldg. 01</t>
  </si>
  <si>
    <t>66.109.  2.</t>
  </si>
  <si>
    <t>MV: Locate Labor - C-9109 - Bldg. 02</t>
  </si>
  <si>
    <t>66.110.  1.</t>
  </si>
  <si>
    <t>MV: Locate Labor - C-9110 - Bldg. 01</t>
  </si>
  <si>
    <t>66.110.  2.</t>
  </si>
  <si>
    <t>MV: Locate Labor - C-9110 - Bldg. 02</t>
  </si>
  <si>
    <t>66.111.  1.</t>
  </si>
  <si>
    <t>MV: Locate Labor - C-9111 - Bldg. 01</t>
  </si>
  <si>
    <t>66.111.  2.</t>
  </si>
  <si>
    <t>MV: Locate Labor - C-9111 - Bldg. 02</t>
  </si>
  <si>
    <t>66.113.  2.</t>
  </si>
  <si>
    <t>MV: Locate Labor - C-9113 - Bldg. 02</t>
  </si>
  <si>
    <t>66.114.  2.</t>
  </si>
  <si>
    <t>MV: Locate Labor - C-9114 - Bldg. 02</t>
  </si>
  <si>
    <t>66.115.  2.</t>
  </si>
  <si>
    <t>MV: Locate Labor - C-9115 - Bldg. 02</t>
  </si>
  <si>
    <t>66.117.  3.</t>
  </si>
  <si>
    <t>MV: Locate Labor - C-9117 - Bldg. 03</t>
  </si>
  <si>
    <t>66.118.  3.</t>
  </si>
  <si>
    <t>MV: Locate Labor - C-9118 - Bldg. 03</t>
  </si>
  <si>
    <t>66.119.  2.</t>
  </si>
  <si>
    <t>MV: Locate Labor - C-9119 - Bldg. 02</t>
  </si>
  <si>
    <t>66.119.  3.</t>
  </si>
  <si>
    <t>MV: Locate Labor - C-9119 - Bldg. 03</t>
  </si>
  <si>
    <t>66.121.  3.</t>
  </si>
  <si>
    <t>MV: Locate Labor - C-9121 - Bldg. 03</t>
  </si>
  <si>
    <t>66.122.  3.</t>
  </si>
  <si>
    <t>MV: Locate Labor - C-9122 - Bldg. 03</t>
  </si>
  <si>
    <t>66.123.  3.</t>
  </si>
  <si>
    <t>MV: Locate Labor - C-9123 - Bldg. 03</t>
  </si>
  <si>
    <t>(Multiple Items)</t>
  </si>
  <si>
    <t>Sum of Wk ACT MH</t>
  </si>
  <si>
    <t>Sum of Wk ERN MH</t>
  </si>
  <si>
    <t>Sum of ACT MH</t>
  </si>
  <si>
    <t>Sum of PJTD HR</t>
  </si>
  <si>
    <t>Sum of EXTP HR</t>
  </si>
  <si>
    <t>Grout Labor (per WP)</t>
  </si>
  <si>
    <t>45.100.  0.</t>
  </si>
  <si>
    <t>Mechanical Equipment Labor (per WP)</t>
  </si>
  <si>
    <t>CS Pipe Aboveground Labor (per WP)</t>
  </si>
  <si>
    <t>SS Pipe Aboveground Labor (per WP)</t>
  </si>
  <si>
    <t>51.100.  1.</t>
  </si>
  <si>
    <t>Hydrotest &amp; Flush (per WP)</t>
  </si>
  <si>
    <t>52.100.  1.</t>
  </si>
  <si>
    <t>Line Labeling</t>
  </si>
  <si>
    <t>52.100.  2.</t>
  </si>
  <si>
    <t>Glycol Fill Budget (per WP)</t>
  </si>
  <si>
    <t>52.100.  3.</t>
  </si>
  <si>
    <t>Pipe Stress Allowance (per WP)</t>
  </si>
  <si>
    <t>52.100.  4.</t>
  </si>
  <si>
    <t>Instrumentation (per WP)</t>
  </si>
  <si>
    <t>59.100.  1.</t>
  </si>
  <si>
    <t>Pipe Support Labor (per WP)</t>
  </si>
  <si>
    <t>59.100.  2.</t>
  </si>
  <si>
    <t>Seismic Bracing Labor (per WP)</t>
  </si>
  <si>
    <t>Combustion Piping - Labor</t>
  </si>
  <si>
    <t>99.102.  1.</t>
  </si>
  <si>
    <t>Quench Rings - Labor</t>
  </si>
  <si>
    <t>99.105.  1.</t>
  </si>
  <si>
    <t>Punch Items - Labor</t>
  </si>
  <si>
    <t>Owner Change Requests</t>
  </si>
  <si>
    <t>99.103.  1.</t>
  </si>
  <si>
    <t>Boiler Piping - Labor</t>
  </si>
  <si>
    <t>99.104.  1.</t>
  </si>
  <si>
    <t>CCU Piping - Labor</t>
  </si>
  <si>
    <t>99.110.  1.</t>
  </si>
  <si>
    <t>TBRC 1 Lance Final Alignment - Labor</t>
  </si>
  <si>
    <t>99.106.  1.</t>
  </si>
  <si>
    <t>TBRC 2 Lance Recovery</t>
  </si>
  <si>
    <t>99.101.  1.</t>
  </si>
  <si>
    <t>Urea Piping - Labor</t>
  </si>
  <si>
    <t>99.107.  1.</t>
  </si>
  <si>
    <t>Polypro Piping - Labor</t>
  </si>
  <si>
    <t>99.108.  1.</t>
  </si>
  <si>
    <t>TBRC 2 Lance Recovery Final Alignment - Labor</t>
  </si>
  <si>
    <t>99.109.  1.</t>
  </si>
  <si>
    <t>TBRC 2 Charging Lance Final Alignment - Labor</t>
  </si>
  <si>
    <t>99.605.   .</t>
  </si>
  <si>
    <t>Internal T&amp;M Budgeting Placeholder</t>
  </si>
  <si>
    <t>99.111.  1.</t>
  </si>
  <si>
    <t>WWT Flange Tie-Ins</t>
  </si>
  <si>
    <t>H3 CS Pipe Installation Labor - SITE</t>
  </si>
  <si>
    <t>50.100.OSM.  4</t>
  </si>
  <si>
    <t>H4 CS Pipe Fabrication Labor - OSM</t>
  </si>
  <si>
    <t>H3 SS Pipe Installation Labor</t>
  </si>
  <si>
    <t>51.100.SIT.  4</t>
  </si>
  <si>
    <t>H4 SS Pipe Installation Labor</t>
  </si>
  <si>
    <t>IFC Revision Rework - Offset</t>
  </si>
  <si>
    <t>PF CHECK BURN NO EARN CHARGING AT 100% OVERRUNNING PROJECTION</t>
  </si>
  <si>
    <t>50.000.  3.</t>
  </si>
  <si>
    <t>LP1X Accelerated Line &amp; Valve - Labor</t>
  </si>
  <si>
    <t>PDN 420 - On Site ISO Fab/Install Labor</t>
  </si>
  <si>
    <t>PF CHECK &gt;100%</t>
  </si>
  <si>
    <t>LV - B1 CIP Trench</t>
  </si>
  <si>
    <t>LV - B2 CIP Trench</t>
  </si>
  <si>
    <t>71.101.  1.</t>
  </si>
  <si>
    <t>Telecoms - Precast Trench - C-8101 - Bldg. 01</t>
  </si>
  <si>
    <t>71.102.  1.</t>
  </si>
  <si>
    <t>Telecoms - Precast Trench - C-8102 - Bldg. 01</t>
  </si>
  <si>
    <t>71.103.  1.</t>
  </si>
  <si>
    <t xml:space="preserve">Telecoms - Precast Trench - C-8103 - Bldg. 01_x000D_
</t>
  </si>
  <si>
    <t>71.105.  1.</t>
  </si>
  <si>
    <t xml:space="preserve">Telecoms - Precast Trench - C-8105 - Bldg. 01_x000D_
</t>
  </si>
  <si>
    <t>71.106.  1.</t>
  </si>
  <si>
    <t xml:space="preserve">Telecoms - Precast Trench - C-8106 - Bldg. 01_x000D_
</t>
  </si>
  <si>
    <t>71.107.  1.</t>
  </si>
  <si>
    <t xml:space="preserve">Telecoms - Precast Trench - C-8107 - Bldg. 01_x000D_
</t>
  </si>
  <si>
    <t>71.109.  1.</t>
  </si>
  <si>
    <t xml:space="preserve">Telecoms - Precast Trench - C-8109 - Bldg. 01_x000D_
</t>
  </si>
  <si>
    <t>71.109.  2.</t>
  </si>
  <si>
    <t xml:space="preserve">Telecoms - Precast Trench - C-8109 - Bldg. 02_x000D_
</t>
  </si>
  <si>
    <t>71.110.  1.</t>
  </si>
  <si>
    <t xml:space="preserve">Telecoms - Precast Trench - C-8110 - Bldg. 01_x000D_
</t>
  </si>
  <si>
    <t>71.110.  2.</t>
  </si>
  <si>
    <t xml:space="preserve">Telecoms - Precast Trench - C-8110 - Bldg. 02_x000D_
</t>
  </si>
  <si>
    <t>71.111.  1.</t>
  </si>
  <si>
    <t xml:space="preserve">Telecoms - Precast Trench - C-8111 - Bldg. 01_x000D_
</t>
  </si>
  <si>
    <t>71.111.  2.</t>
  </si>
  <si>
    <t>Telecoms - Precast Trench - C-8111 - Bldg. 02</t>
  </si>
  <si>
    <t>71.113.  2.</t>
  </si>
  <si>
    <t xml:space="preserve">Telecoms - Precast Trench - C-8113 - Bldg. 02_x000D_
</t>
  </si>
  <si>
    <t>71.114.  2.</t>
  </si>
  <si>
    <t xml:space="preserve">Telecoms - Precast Trench - C-8114 - Bldg. 02_x000D_
</t>
  </si>
  <si>
    <t>71.115.  2.</t>
  </si>
  <si>
    <t xml:space="preserve">Telecoms - Precast Trench - C-8115 - Bldg. 02_x000D_
</t>
  </si>
  <si>
    <t>71.117.  2.</t>
  </si>
  <si>
    <t xml:space="preserve">Telecoms - Precast Trench - C-8117 - Bldg. 02_x000D_
</t>
  </si>
  <si>
    <t>71.117.  3.</t>
  </si>
  <si>
    <t>Telecoms - Precast Trench - C-8117 - Bldg. 03</t>
  </si>
  <si>
    <t>71.118.  2.</t>
  </si>
  <si>
    <t xml:space="preserve">Telecoms - Precast Trench - C-8118 - Bldg. 02_x000D_
</t>
  </si>
  <si>
    <t>71.118.  3.</t>
  </si>
  <si>
    <t>Telecoms - Precast Trench - C-8118 - Bldg. 03</t>
  </si>
  <si>
    <t>71.119.  2.</t>
  </si>
  <si>
    <t xml:space="preserve">Telecoms - Precast Trench - C-8119 - Bldg. 02_x000D_
</t>
  </si>
  <si>
    <t>71.119.  3.</t>
  </si>
  <si>
    <t>Telecoms - Precast Trench - C-8119 - Bldg. 03</t>
  </si>
  <si>
    <t>71.121.  3.</t>
  </si>
  <si>
    <t>Telecoms - Precast Trench - C-8121 - Bldg. 03</t>
  </si>
  <si>
    <t>71.122.  3.</t>
  </si>
  <si>
    <t xml:space="preserve">Telecoms - Precast Trench - C-8122 - Bldg. 03_x000D_
</t>
  </si>
  <si>
    <t>71.123.  3.</t>
  </si>
  <si>
    <t xml:space="preserve">Telecoms - Precast Trench - C-8123 - Bldg. 03_x000D_
</t>
  </si>
  <si>
    <t>72.101.  1.</t>
  </si>
  <si>
    <t xml:space="preserve">Telecoms - Excavation - C-8101 - Bldg. 01_x000D_
</t>
  </si>
  <si>
    <t>72.102.  1.</t>
  </si>
  <si>
    <t xml:space="preserve">Telecoms - Excavation - C-8102 - Bldg. 01_x000D_
</t>
  </si>
  <si>
    <t>72.103.  1.</t>
  </si>
  <si>
    <t xml:space="preserve">Telecoms - Excavation - C-8103 - Bldg. 01_x000D_
</t>
  </si>
  <si>
    <t>72.105.  1.</t>
  </si>
  <si>
    <t xml:space="preserve">Telecoms - Excavation - C-8105 - Bldg. 01_x000D_
</t>
  </si>
  <si>
    <t>72.106.  1.</t>
  </si>
  <si>
    <t xml:space="preserve">Telecoms - Excavation - C-8106 - Bldg. 01_x000D_
</t>
  </si>
  <si>
    <t>72.107.  1.</t>
  </si>
  <si>
    <t>Telecoms - Excavation - C-8107 - Bldg. 01</t>
  </si>
  <si>
    <t>72.109.  1.</t>
  </si>
  <si>
    <t xml:space="preserve">Telecoms - Excavation - C-8109 - Bldg. 01_x000D_
</t>
  </si>
  <si>
    <t>72.109.  2.</t>
  </si>
  <si>
    <t>Telecoms - Excavation - C-8109 - Bldg. 02</t>
  </si>
  <si>
    <t>72.110.  1.</t>
  </si>
  <si>
    <t xml:space="preserve">Telecoms - Excavation - C-8110 - Bldg. 01_x000D_
</t>
  </si>
  <si>
    <t>72.110.  2.</t>
  </si>
  <si>
    <t>Telecoms - Excavation - C-8110 - Bldg. 10</t>
  </si>
  <si>
    <t>72.111.  1.</t>
  </si>
  <si>
    <t xml:space="preserve">Telecoms - Excavation - C-8111 - Bldg. 01_x000D_
</t>
  </si>
  <si>
    <t>72.111.  2.</t>
  </si>
  <si>
    <t>Telecoms - Excavation - C-8111 - Bldg. 02</t>
  </si>
  <si>
    <t>72.113.  2.</t>
  </si>
  <si>
    <t xml:space="preserve">Telecoms - Excavation - C-8113 - Bldg. 02_x000D_
</t>
  </si>
  <si>
    <t>72.113.  3.</t>
  </si>
  <si>
    <t>Telecoms - Excavation - C-8113 - Bldg. 03</t>
  </si>
  <si>
    <t>72.114.  2.</t>
  </si>
  <si>
    <t xml:space="preserve">Telecoms - Excavation - C-8114 - Bldg. 02_x000D_
</t>
  </si>
  <si>
    <t>72.115.  1.</t>
  </si>
  <si>
    <t xml:space="preserve">Telecoms - Excavation - C-8115 - Bldg. 01_x000D_
</t>
  </si>
  <si>
    <t>72.115.  2.</t>
  </si>
  <si>
    <t>Telecoms - Excavation - C-8115 - Bldg. 02</t>
  </si>
  <si>
    <t>72.115.  3.</t>
  </si>
  <si>
    <t>Telecoms - Excavation - C-8115 - Bldg. 03</t>
  </si>
  <si>
    <t>72.117.  2.</t>
  </si>
  <si>
    <t xml:space="preserve">Telecoms - Excavation - C-8117 - Bldg. 02_x000D_
</t>
  </si>
  <si>
    <t>72.117.  3.</t>
  </si>
  <si>
    <t>Telecoms - Excavation - C-8117 - Bldg. 03</t>
  </si>
  <si>
    <t>72.118.  2.</t>
  </si>
  <si>
    <t xml:space="preserve">Telecoms - Excavation - C-8118 - Bldg. 02_x000D_
</t>
  </si>
  <si>
    <t>72.118.  3.</t>
  </si>
  <si>
    <t>Telecoms - Excavation - C-8118 - Bldg. 03</t>
  </si>
  <si>
    <t>72.119.  1.</t>
  </si>
  <si>
    <t>Telecoms - Excavation - C-8119 - Bldg. 01</t>
  </si>
  <si>
    <t>72.119.  2.</t>
  </si>
  <si>
    <t xml:space="preserve">Telecoms - Excavation - C-8119 - Bldg. 02_x000D_
</t>
  </si>
  <si>
    <t>72.119.  3.</t>
  </si>
  <si>
    <t>Telecoms - Excavation - C-8119 - Bldg. 03</t>
  </si>
  <si>
    <t>72.121.  3.</t>
  </si>
  <si>
    <t xml:space="preserve">Telecoms - Excavation - C-8121 - Bldg. 03_x000D_
</t>
  </si>
  <si>
    <t>72.122.  3.</t>
  </si>
  <si>
    <t xml:space="preserve">Telecoms - Excavation - C-8122 - Bldg. 03_x000D_
</t>
  </si>
  <si>
    <t>72.123.  1.</t>
  </si>
  <si>
    <t xml:space="preserve">Telecoms - Excavation - C-8123 - Bldg. 01_x000D_
</t>
  </si>
  <si>
    <t>72.123.  3.</t>
  </si>
  <si>
    <t>Telecoms - Excavation - C-8123 - Bldg. 03</t>
  </si>
  <si>
    <t>72.125.  3.</t>
  </si>
  <si>
    <t xml:space="preserve">Telecoms - Excavation - C-8125 - Bldg. 03_x000D_
</t>
  </si>
  <si>
    <t>72.127.  1.</t>
  </si>
  <si>
    <t xml:space="preserve">Telecoms - Excavation - C-8127 - Bldg. 01_x000D_
</t>
  </si>
  <si>
    <t>72.128.  1.</t>
  </si>
  <si>
    <t xml:space="preserve">Telecoms - Excavation - C-8128 - Bldg. 01_x000D_
</t>
  </si>
  <si>
    <t>72.129.  3.</t>
  </si>
  <si>
    <t xml:space="preserve">Telecoms - Excavation - C-8129 - Bldg. 03_x000D_
</t>
  </si>
  <si>
    <t>72.132.  1.</t>
  </si>
  <si>
    <t xml:space="preserve">Telecoms - Excavation - C-8132 - Bldg. 01_x000D_
</t>
  </si>
  <si>
    <t>72.133.  3.</t>
  </si>
  <si>
    <t xml:space="preserve">Telecoms - Excavation - C-8133 - Bldg. 03_x000D_
</t>
  </si>
  <si>
    <t>72.136.  1.</t>
  </si>
  <si>
    <t xml:space="preserve">Telecoms - Excavation - C-8136 - Bldg. 01_x000D_
</t>
  </si>
  <si>
    <t>73.101.  1.</t>
  </si>
  <si>
    <t xml:space="preserve">Telecoms - Backfill - C-8101 - Bldg. 01_x000D_
</t>
  </si>
  <si>
    <t>73.102.  1.</t>
  </si>
  <si>
    <t xml:space="preserve">Telecoms - Backfill - C-8102 - Bldg. 01_x000D_
</t>
  </si>
  <si>
    <t>73.103.  1.</t>
  </si>
  <si>
    <t xml:space="preserve">Telecoms - Backfill - C-8103 - Bldg. 01_x000D_
</t>
  </si>
  <si>
    <t>73.105.  1.</t>
  </si>
  <si>
    <t xml:space="preserve">Telecoms - Backfill - C-8105 - Bldg. 01_x000D_
</t>
  </si>
  <si>
    <t>73.106.  1.</t>
  </si>
  <si>
    <t xml:space="preserve">Telecoms - Backfill - C-8106 - Bldg. 01_x000D_
</t>
  </si>
  <si>
    <t>73.107.  1.</t>
  </si>
  <si>
    <t>Telecoms - Backfill - C-8107 - Bldg. 01</t>
  </si>
  <si>
    <t>73.109.  1.</t>
  </si>
  <si>
    <t xml:space="preserve">Telecoms - Backfill - C-8109 - Bldg. 01_x000D_
</t>
  </si>
  <si>
    <t>73.109.  2.</t>
  </si>
  <si>
    <t xml:space="preserve">Telecoms - Backfill - C-8109 - Bldg. 02_x000D_
</t>
  </si>
  <si>
    <t>73.110.  1.</t>
  </si>
  <si>
    <t xml:space="preserve">Telecoms - Backfill - C-8110 - Bldg. 01_x000D_
</t>
  </si>
  <si>
    <t>73.110.  2.</t>
  </si>
  <si>
    <t xml:space="preserve">Telecoms - Backfill - C-8110 - Bldg. 02_x000D_
</t>
  </si>
  <si>
    <t>73.111.  1.</t>
  </si>
  <si>
    <t xml:space="preserve">Telecoms - Backfill - C-8111 - Bldg. 01_x000D_
</t>
  </si>
  <si>
    <t>73.111.  2.</t>
  </si>
  <si>
    <t xml:space="preserve">Telecoms - Backfill - C-8111 - Bldg. 02_x000D_
</t>
  </si>
  <si>
    <t>73.113.  2.</t>
  </si>
  <si>
    <t xml:space="preserve">Telecoms - Backfill - C-8113 - Bldg. 02_x000D_
</t>
  </si>
  <si>
    <t>73.113.  3.</t>
  </si>
  <si>
    <t>Telecoms - Backfill - C-8113 - Bldg. 03</t>
  </si>
  <si>
    <t>73.114.  2.</t>
  </si>
  <si>
    <t xml:space="preserve">Telecoms - Backfill - C-8114 - Bldg. 02_x000D_
</t>
  </si>
  <si>
    <t>73.115.  1.</t>
  </si>
  <si>
    <t xml:space="preserve">Telecoms - Backfill - C-8115 - Bldg. 01_x000D_
</t>
  </si>
  <si>
    <t>73.115.  2.</t>
  </si>
  <si>
    <t>Telecoms - Backfill - C-8115 - Bldg. 02</t>
  </si>
  <si>
    <t>73.115.  3.</t>
  </si>
  <si>
    <t>Telecoms - Backfill - C-8115 - Bldg. 03</t>
  </si>
  <si>
    <t>73.117.  2.</t>
  </si>
  <si>
    <t xml:space="preserve">Telecoms - Backfill - C-8117 - Bldg. 02_x000D_
</t>
  </si>
  <si>
    <t>73.117.  3.</t>
  </si>
  <si>
    <t>Telecoms - Backfill - C-8117 - Bldg. 03</t>
  </si>
  <si>
    <t>73.118.  2.</t>
  </si>
  <si>
    <t xml:space="preserve">Telecoms - Backfill - C-8118 - Bldg. 02_x000D_
</t>
  </si>
  <si>
    <t>73.118.  3.</t>
  </si>
  <si>
    <t>Telecoms - Backfill - C-8118 - Bldg. 03</t>
  </si>
  <si>
    <t>73.119.  1.</t>
  </si>
  <si>
    <t xml:space="preserve">Telecoms - Backfill - C-8119 - Bldg. 01_x000D_
</t>
  </si>
  <si>
    <t>73.119.  2.</t>
  </si>
  <si>
    <t>Telecoms - Backfill - C-8119 - Bldg. 02</t>
  </si>
  <si>
    <t>73.119.  3.</t>
  </si>
  <si>
    <t>Telecoms - Backfill - C-8119 - Bldg. 03</t>
  </si>
  <si>
    <t>73.121.  3.</t>
  </si>
  <si>
    <t xml:space="preserve">Telecoms - Backfill - C-8121 - Bldg. 03_x000D_
</t>
  </si>
  <si>
    <t>73.122.  3.</t>
  </si>
  <si>
    <t xml:space="preserve">Telecoms - Backfill - C-8122 - Bldg. 03_x000D_
</t>
  </si>
  <si>
    <t>73.123.  1.</t>
  </si>
  <si>
    <t xml:space="preserve">Telecoms - Backfill - C-8123 - Bldg. 01_x000D_
</t>
  </si>
  <si>
    <t>73.123.  3.</t>
  </si>
  <si>
    <t xml:space="preserve">Telecoms - Backfill - C-8123 - Bldg. 03_x000D_
</t>
  </si>
  <si>
    <t>73.125.  3.</t>
  </si>
  <si>
    <t xml:space="preserve">Telecoms - Backfill - C-8125 - Bldg. 03_x000D_
</t>
  </si>
  <si>
    <t>73.127.  1.</t>
  </si>
  <si>
    <t xml:space="preserve">Telecoms - Backfill - C-8127 - Bldg. 01_x000D_
</t>
  </si>
  <si>
    <t>73.128.  1.</t>
  </si>
  <si>
    <t xml:space="preserve">Telecoms - Backfill - C-8128 - Bldg. 01_x000D_
</t>
  </si>
  <si>
    <t>73.129.  3.</t>
  </si>
  <si>
    <t xml:space="preserve">Telecoms - Backfill - C-8129 - Bldg. 03_x000D_
</t>
  </si>
  <si>
    <t>73.132.  1.</t>
  </si>
  <si>
    <t xml:space="preserve">Telecoms - Backfill - C-8132 - Bldg. 01_x000D_
</t>
  </si>
  <si>
    <t>73.133.  3.</t>
  </si>
  <si>
    <t xml:space="preserve">Telecoms - Backfill - C-8133 - Bldg. 03_x000D_
</t>
  </si>
  <si>
    <t>73.136.  1.</t>
  </si>
  <si>
    <t xml:space="preserve">Telecoms - Backfill - C-8136 - Bldg. 01_x000D_
</t>
  </si>
  <si>
    <t>74.101.  1.</t>
  </si>
  <si>
    <t xml:space="preserve">Telecoms - Manholes - C-8101 - Bldg. 01_x000D_
</t>
  </si>
  <si>
    <t>74.107.  1.</t>
  </si>
  <si>
    <t xml:space="preserve">Telecoms - Manholes - C-8107 - Bldg. 01_x000D_
</t>
  </si>
  <si>
    <t>74.109.  1.</t>
  </si>
  <si>
    <t xml:space="preserve">Telecoms - Manholes - C-8109 - Bldg. 01_x000D_
</t>
  </si>
  <si>
    <t>74.111.  1.</t>
  </si>
  <si>
    <t xml:space="preserve">Telecoms - Manholes - C-8111 - Bldg. 01_x000D_
</t>
  </si>
  <si>
    <t>74.113.  3.</t>
  </si>
  <si>
    <t xml:space="preserve">Telecoms - Manholes - C-8113 - Bldg. 03_x000D_
</t>
  </si>
  <si>
    <t>74.115.  1.</t>
  </si>
  <si>
    <t xml:space="preserve">Telecoms - Manholes - C-8115 - Bldg. 01_x000D_
</t>
  </si>
  <si>
    <t>74.117.  3.</t>
  </si>
  <si>
    <t xml:space="preserve">Telecoms - Manholes - C-8117 - Bldg. 03_x000D_
</t>
  </si>
  <si>
    <t>74.119.  1.</t>
  </si>
  <si>
    <t xml:space="preserve">Telecoms - Manholes - C-8119 - Bldg. 01_x000D_
</t>
  </si>
  <si>
    <t>74.121.  3.</t>
  </si>
  <si>
    <t xml:space="preserve">Telecoms - Manholes - C-8121 - Bldg. 03_x000D_
</t>
  </si>
  <si>
    <t>74.123.  1.</t>
  </si>
  <si>
    <t xml:space="preserve">Telecoms - Manholes - C-8123 - Bldg. 01_x000D_
</t>
  </si>
  <si>
    <t>74.125.  3.</t>
  </si>
  <si>
    <t xml:space="preserve">Telecoms - Manholes - C-8125 - Bldg. 03_x000D_
</t>
  </si>
  <si>
    <t>74.127.  1.</t>
  </si>
  <si>
    <t xml:space="preserve">Telecoms - Manholes - C-8127 - Bldg. 01_x000D_
</t>
  </si>
  <si>
    <t>74.128.  1.</t>
  </si>
  <si>
    <t xml:space="preserve">Telecoms - Manholes - C-8128 - Bldg. 01_x000D_
</t>
  </si>
  <si>
    <t>74.129.  3.</t>
  </si>
  <si>
    <t xml:space="preserve">Telecoms - Manholes - C-8129 - Bldg. 03_x000D_
</t>
  </si>
  <si>
    <t>74.132.  1.</t>
  </si>
  <si>
    <t xml:space="preserve">Telecoms - Manholes - C-8132 - Bldg. 01_x000D_
</t>
  </si>
  <si>
    <t>74.133.  3.</t>
  </si>
  <si>
    <t xml:space="preserve">Telecoms - Manholes - C-8133 - Bldg. 03_x000D_
</t>
  </si>
  <si>
    <t>74.136.  1.</t>
  </si>
  <si>
    <t xml:space="preserve">Telecoms - Manholes - C-8136 - Bldg. 01_x000D_
</t>
  </si>
  <si>
    <t>75.101.  1.</t>
  </si>
  <si>
    <t xml:space="preserve">Telecoms - Duct Banks (CIP) - C-8101 - Bldg. 01_x000D_
</t>
  </si>
  <si>
    <t>75.102.  1.</t>
  </si>
  <si>
    <t xml:space="preserve">Telecoms - Duct Banks (CIP) - C-8102 - Bldg. 01_x000D_
</t>
  </si>
  <si>
    <t>75.103.  1.</t>
  </si>
  <si>
    <t xml:space="preserve">Telecoms - Duct Banks (CIP) - C-8103 - Bldg. 01_x000D_
</t>
  </si>
  <si>
    <t>75.107.  1.</t>
  </si>
  <si>
    <t xml:space="preserve">Telecoms - Duct Banks (CIP) - C-8107 - Bldg. 01_x000D_
</t>
  </si>
  <si>
    <t>75.109.  1.</t>
  </si>
  <si>
    <t xml:space="preserve">Telecoms - Duct Banks (CIP) - C-8109 - Bldg. 01_x000D_
</t>
  </si>
  <si>
    <t>75.111.  1.</t>
  </si>
  <si>
    <t xml:space="preserve">Telecoms - Duct Banks (CIP) - C-8111 - Bldg. 01_x000D_
</t>
  </si>
  <si>
    <t>75.113.  3.</t>
  </si>
  <si>
    <t xml:space="preserve">Telecoms - Duct Banks (CIP) - C-8113 - Bldg. 03_x000D_
</t>
  </si>
  <si>
    <t>75.115.  1.</t>
  </si>
  <si>
    <t xml:space="preserve">Telecoms - Duct Banks (CIP) - C-8115 - Bldg. 01_x000D_
</t>
  </si>
  <si>
    <t>75.115.  2.</t>
  </si>
  <si>
    <t xml:space="preserve">Telecoms - Duct Banks (CIP) - C-8115 - Bldg. 02_x000D_
</t>
  </si>
  <si>
    <t>75.117.  3.</t>
  </si>
  <si>
    <t xml:space="preserve">Telecoms - Duct Banks (CIP) - C-8117 - Bldg. 03_x000D_
</t>
  </si>
  <si>
    <t>75.119.  1.</t>
  </si>
  <si>
    <t>Telecoms - Duct Banks (CIP) - C-8119 - Bldg. 01</t>
  </si>
  <si>
    <t>75.121.  3.</t>
  </si>
  <si>
    <t xml:space="preserve">Telecoms - Duct Banks (CIP) - C-8121 - Bldg. 03_x000D_
</t>
  </si>
  <si>
    <t>75.123.  1.</t>
  </si>
  <si>
    <t xml:space="preserve">Telecoms - Duct Banks (CIP) - C-8123 - Bldg. 01_x000D_
</t>
  </si>
  <si>
    <t>75.123.  3.</t>
  </si>
  <si>
    <t>Telecoms - Duct Banks (CIP) - C-8123 - Bldg. 03</t>
  </si>
  <si>
    <t>75.125.  3.</t>
  </si>
  <si>
    <t xml:space="preserve">Telecoms - Duct Banks (CIP) - C-8125 - Bldg. 03_x000D_
</t>
  </si>
  <si>
    <t>75.127.  1.</t>
  </si>
  <si>
    <t xml:space="preserve">Telecoms - Duct Banks (CIP) - C-8127 - Bldg. 01_x000D_
</t>
  </si>
  <si>
    <t>75.128.  1.</t>
  </si>
  <si>
    <t xml:space="preserve">Telecoms - Duct Banks (CIP) - C-8128 - Bldg. 01_x000D_
</t>
  </si>
  <si>
    <t>75.129.  3.</t>
  </si>
  <si>
    <t xml:space="preserve">Telecoms - Duct Banks (CIP) - C-8129 - Bldg. 03_x000D_
</t>
  </si>
  <si>
    <t>75.132.  1.</t>
  </si>
  <si>
    <t xml:space="preserve">Telecoms - Duct Banks (CIP) - C-8132 - Bldg. 01_x000D_
</t>
  </si>
  <si>
    <t>75.133.  3.</t>
  </si>
  <si>
    <t xml:space="preserve">Telecoms - Duct Banks (CIP) - C-8133 - Bldg. 03_x000D_
</t>
  </si>
  <si>
    <t>75.136.  1.</t>
  </si>
  <si>
    <t xml:space="preserve">Telecoms - Duct Banks (CIP) - C-8136 - Bldg. 01_x000D_
</t>
  </si>
  <si>
    <t>76.101.  1.</t>
  </si>
  <si>
    <t xml:space="preserve">Telecoms - Trenches (CIP) - C-8101 - Bldg. 01_x000D_
</t>
  </si>
  <si>
    <t>76.102.  1.</t>
  </si>
  <si>
    <t xml:space="preserve">Telecoms - Trenches (CIP) - C-8102 - Bldg. 01_x000D_
</t>
  </si>
  <si>
    <t>76.103.  1.</t>
  </si>
  <si>
    <t xml:space="preserve">Telecoms - Trenches (CIP) - C-8103 - Bldg. 01_x000D_
</t>
  </si>
  <si>
    <t>76.107.  1.</t>
  </si>
  <si>
    <t xml:space="preserve">Telecoms - Trenches (CIP) - C-8107 - Bldg. 01_x000D_
</t>
  </si>
  <si>
    <t>76.109.  1.</t>
  </si>
  <si>
    <t xml:space="preserve">Telecoms - Trenches (CIP) - C-8109 - Bldg. 01_x000D_
</t>
  </si>
  <si>
    <t>76.109.  2.</t>
  </si>
  <si>
    <t xml:space="preserve">Telecoms - Trenches (CIP) - C-8109 - Bldg. 02_x000D_
</t>
  </si>
  <si>
    <t>76.110.  1.</t>
  </si>
  <si>
    <t xml:space="preserve">Telecoms - Trenches (CIP) - C-8110 - Bldg. 01_x000D_
</t>
  </si>
  <si>
    <t>76.111.  1.</t>
  </si>
  <si>
    <t xml:space="preserve">Telecoms - Trenches (CIP) - C-8111 - Bldg. 01_x000D_
</t>
  </si>
  <si>
    <t>76.111.  2.</t>
  </si>
  <si>
    <t xml:space="preserve">Telecoms - Trenches (CIP) - C-8111 - Bldg. 02_x000D_
</t>
  </si>
  <si>
    <t>76.113.  2.</t>
  </si>
  <si>
    <t xml:space="preserve">Telecoms - Trenches (CIP) - C-8113 - Bldg. 02_x000D_
</t>
  </si>
  <si>
    <t>76.115.  2.</t>
  </si>
  <si>
    <t xml:space="preserve">Telecoms - Trenches (CIP) - C-8115 - Bldg. 02_x000D_
</t>
  </si>
  <si>
    <t>76.117.  3.</t>
  </si>
  <si>
    <t xml:space="preserve">Telecoms - Trenches (CIP) - C-8117 - Bldg. 03_x000D_
</t>
  </si>
  <si>
    <t>76.118.  2.</t>
  </si>
  <si>
    <t xml:space="preserve">Telecoms - Trenches (CIP) - C-8118 - Bldg. 02_x000D_
</t>
  </si>
  <si>
    <t>76.119.  2.</t>
  </si>
  <si>
    <t xml:space="preserve">Telecoms - Trenches (CIP) - C-8119 - Bldg. 02_x000D_
</t>
  </si>
  <si>
    <t>76.119.  3.</t>
  </si>
  <si>
    <t>Telecoms - Trenches (CIP) - C-8119 - Bldg. 03</t>
  </si>
  <si>
    <t>76.121.  3.</t>
  </si>
  <si>
    <t xml:space="preserve">Telecoms - Trenches (CIP) - C-8121 - Bldg. 03_x000D_
</t>
  </si>
  <si>
    <t>76.123.  3.</t>
  </si>
  <si>
    <t xml:space="preserve">Telecoms - Trenches (CIP) - C-8123 - Bldg. 03_x000D_
</t>
  </si>
  <si>
    <t>99.999.  7.</t>
  </si>
  <si>
    <t>Bulletin #1 Budget Offset</t>
  </si>
  <si>
    <t>&gt;100% OVERRUNNING PROJECTION CODE NOT PROGRESSABLE</t>
  </si>
  <si>
    <t>H3 CS Pipe Fabrication Labor - OSM</t>
  </si>
  <si>
    <t>50.100.SIT.  4</t>
  </si>
  <si>
    <t>H4 CS Pipe Installation Labor - SITE</t>
  </si>
  <si>
    <t>26.001.</t>
  </si>
  <si>
    <t>50.150.   .</t>
  </si>
  <si>
    <t>CS SB Aboveground Labor (per work package)</t>
  </si>
  <si>
    <t>General Site Laborer (Fire Watch  Ice/Water  etcï¿½)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</si>
</sst>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rial Narrow"/>
      <family val="2"/>
    </font>
    <font>
      <sz val="11"/>
      <color theme="1"/>
      <name val="Calibri"/>
      <family val="2"/>
    </font>
    <font>
      <b/>
      <sz val="12"/>
      <color rgb="FFFFFFFF"/>
      <name val="Arial Narrow"/>
      <family val="2"/>
    </font>
    <font>
      <b/>
      <sz val="12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8989"/>
        <bgColor rgb="FF000000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medium">
        <color rgb="FF4472C4"/>
      </left>
      <right/>
      <top style="thin">
        <color rgb="FF999999"/>
      </top>
      <bottom/>
      <diagonal/>
    </border>
    <border>
      <left/>
      <right style="medium">
        <color rgb="FF4472C4"/>
      </right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medium">
        <color rgb="FF4472C4"/>
      </left>
      <right/>
      <top style="thin">
        <color rgb="FF999999"/>
      </top>
      <bottom style="medium">
        <color rgb="FF4472C4"/>
      </bottom>
      <diagonal/>
    </border>
    <border>
      <left/>
      <right style="medium">
        <color rgb="FF4472C4"/>
      </right>
      <top style="thin">
        <color rgb="FF999999"/>
      </top>
      <bottom style="medium">
        <color rgb="FF4472C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pivotButton="1"/>
    <xf numFmtId="164" fontId="0" fillId="0" borderId="0" xfId="0" applyNumberFormat="1"/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4" fontId="2" fillId="0" borderId="0" xfId="1" applyNumberFormat="1" applyFont="1" applyFill="1" applyBorder="1"/>
    <xf numFmtId="164" fontId="2" fillId="0" borderId="0" xfId="1" applyNumberFormat="1" applyFont="1" applyFill="1" applyBorder="1"/>
    <xf numFmtId="164" fontId="2" fillId="0" borderId="0" xfId="0" applyNumberFormat="1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 applyAlignment="1">
      <alignment wrapText="1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/>
    <xf numFmtId="4" fontId="4" fillId="4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164" fontId="4" fillId="4" borderId="3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11" xfId="0" applyFont="1" applyBorder="1"/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2" fillId="5" borderId="1" xfId="0" applyFont="1" applyFill="1" applyBorder="1"/>
    <xf numFmtId="164" fontId="2" fillId="5" borderId="2" xfId="0" applyNumberFormat="1" applyFont="1" applyFill="1" applyBorder="1" applyAlignment="1">
      <alignment horizontal="center" vertical="center"/>
    </xf>
    <xf numFmtId="9" fontId="2" fillId="5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4" fontId="4" fillId="2" borderId="5" xfId="0" applyNumberFormat="1" applyFont="1" applyFill="1" applyBorder="1" applyAlignment="1">
      <alignment horizontal="center" vertical="center"/>
    </xf>
    <xf numFmtId="9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ans, Ethan" refreshedDate="46126.437320717596" createdVersion="8" refreshedVersion="8" minRefreshableVersion="3" recordCount="996" xr:uid="{EB2EE43B-4A95-489C-865A-48D30D39E884}">
  <cacheSource type="worksheet">
    <worksheetSource ref="B1:U997" sheet="Summary"/>
  </cacheSource>
  <cacheFields count="20">
    <cacheField name="Job" numFmtId="0">
      <sharedItems count="11">
        <s v="24.005."/>
        <s v="24.006."/>
        <s v="25.002."/>
        <s v="25.001."/>
        <s v="25.004."/>
        <s v="25.005."/>
        <s v="25.006."/>
        <s v="25.007."/>
        <s v="25.008."/>
        <s v="25.011."/>
        <s v="26.001."/>
      </sharedItems>
    </cacheField>
    <cacheField name="masterPhase" numFmtId="0">
      <sharedItems containsSemiMixedTypes="0" containsString="0" containsNumber="1" containsInteger="1" minValue="20" maxValue="99" count="40">
        <n v="30"/>
        <n v="31"/>
        <n v="45"/>
        <n v="50"/>
        <n v="51"/>
        <n v="52"/>
        <n v="53"/>
        <n v="55"/>
        <n v="57"/>
        <n v="58"/>
        <n v="59"/>
        <n v="75"/>
        <n v="90"/>
        <n v="91"/>
        <n v="92"/>
        <n v="93"/>
        <n v="98"/>
        <n v="99"/>
        <n v="26"/>
        <n v="20"/>
        <n v="25"/>
        <n v="21"/>
        <n v="22"/>
        <n v="23"/>
        <n v="27"/>
        <n v="60"/>
        <n v="61"/>
        <n v="62"/>
        <n v="63"/>
        <n v="64"/>
        <n v="65"/>
        <n v="70"/>
        <n v="71"/>
        <n v="72"/>
        <n v="73"/>
        <n v="74"/>
        <n v="76"/>
        <n v="77"/>
        <n v="97"/>
        <n v="66"/>
      </sharedItems>
    </cacheField>
    <cacheField name="Phase" numFmtId="0">
      <sharedItems count="747">
        <s v="30.100.   ."/>
        <s v="30.CUB.100.  1"/>
        <s v="30.TFS.100.  1"/>
        <s v="30. PP.100.  1"/>
        <s v="31.CUB.100.  1"/>
        <s v="31.TFS.100.  1"/>
        <s v="31. PP.100.  1"/>
        <s v="45.100.  1."/>
        <s v="45.100.  2."/>
        <s v="50.100.   ."/>
        <s v="50.CUB.100.  1"/>
        <s v="51.CUB.100.  1"/>
        <s v="51.TFS.100.  1"/>
        <s v="51. PP.100.  1"/>
        <s v="52.100.   ."/>
        <s v="53.CUB.100.  1"/>
        <s v="53.TFS.100.  1"/>
        <s v="53. PP.100.  1"/>
        <s v="55.100.   ."/>
        <s v="57. PP.100.  1"/>
        <s v="57.TFS.100.  1"/>
        <s v="58.CUB.100.  1"/>
        <s v="59.CUB.100.  1"/>
        <s v="59. PP.100.  1"/>
        <s v="59.TFS.100.  1"/>
        <s v="75.100.   ."/>
        <s v="90.001.  1."/>
        <s v="90.002.  1."/>
        <s v="90.003.  1."/>
        <s v="90.004.  1."/>
        <s v="90.005.  1."/>
        <s v="90.008.  1."/>
        <s v="90.009.  1."/>
        <s v="91.002.  1."/>
        <s v="91.002.  3."/>
        <s v="91.002.  4."/>
        <s v="91.002.  5."/>
        <s v="91.003.  1."/>
        <s v="91.004.  1."/>
        <s v="91.005.  1."/>
        <s v="91.006.  1."/>
        <s v="91.007.  1."/>
        <s v="91.004.  3."/>
        <s v="92.100.  1."/>
        <s v="93.006.  1."/>
        <s v="98.002.  1."/>
        <s v="98.030.  1."/>
        <s v="98.050.  1."/>
        <s v="98.100.  2."/>
        <s v="98.100.   ."/>
        <s v="98.200.   ."/>
        <s v="98.000.  3."/>
        <s v="98.000.  4."/>
        <s v="98.300.105."/>
        <s v="99.601.   ."/>
        <s v="99.001.   ."/>
        <s v="26.100.   ."/>
        <s v="45.100.  0."/>
        <s v="50.100.  1."/>
        <s v="50.100.  2."/>
        <s v="51.100.  1."/>
        <s v="52.100.  1."/>
        <s v="52.100.  2."/>
        <s v="52.100.  3."/>
        <s v="52.100.  4."/>
        <s v="59.100.  1."/>
        <s v="59.100.  2."/>
        <s v="75.100.  1."/>
        <s v="99.100.  1."/>
        <s v="99.102.  1."/>
        <s v="99.105.  1."/>
        <s v="99.100.  2."/>
        <s v="99.103.  1."/>
        <s v="99.104.  1."/>
        <s v="99.110.  1."/>
        <s v="99.106.  1."/>
        <s v="99.101.  1."/>
        <s v="99.107.  1."/>
        <s v="99.108.  1."/>
        <s v="99.109.  1."/>
        <s v="99.605.   ."/>
        <s v="99.111.  1."/>
        <s v="20.100.   ."/>
        <s v="20.200.   ."/>
        <s v="20.300.   ."/>
        <s v="25.100.   ."/>
        <s v="30.300.   ."/>
        <s v="45.100.   ."/>
        <s v="50.700.   ."/>
        <s v="91.002.  6."/>
        <s v="20.100.  1."/>
        <s v="21.100.  1."/>
        <s v="22.100.  1."/>
        <s v="23.100.  1."/>
        <s v="23.100.  2."/>
        <s v="25.100.  1."/>
        <s v="25.100.  2."/>
        <s v="25.200.  1."/>
        <s v="25.200.  2."/>
        <s v="25.200.  3."/>
        <s v="26.100. PR.  1"/>
        <s v="26.100.SUP.  1"/>
        <s v="27.100.   ."/>
        <s v="30.100.  1."/>
        <s v="30.100.  4."/>
        <s v="30.100. PR.  1"/>
        <s v="30.100.SUP.  1"/>
        <s v="30.100.SUP.  2"/>
        <s v="30.100.SUP.  3"/>
        <s v="30.100.COR.  1"/>
        <s v="50.100.  3."/>
        <s v="50.100.OSM.  1"/>
        <s v="50.100.SIT.  1"/>
        <s v="50.100.TES.  1"/>
        <s v="51.100.   ."/>
        <s v="51.100.SIT.  1"/>
        <s v="53.100.   ."/>
        <s v="55.100.SIT.  1"/>
        <s v="58.100.   ."/>
        <s v="98.200.  1."/>
        <s v="98.100.  3."/>
        <s v="98.100.  4."/>
        <s v="98.100.  5."/>
        <s v="98.100.  6."/>
        <s v="98.100.  7."/>
        <s v="98.100.  8."/>
        <s v="98.200.  2."/>
        <s v="98.100.  9."/>
        <s v="98.100. 10."/>
        <s v="98.100. 11."/>
        <s v="98.100. 12."/>
        <s v="98.100. 13."/>
        <s v="98.100. 15."/>
        <s v="98.100. 16."/>
        <s v="98.100. 17."/>
        <s v="98.100. 18."/>
        <s v="98.100. 19."/>
        <s v="98.100. 20."/>
        <s v="98.100. 21."/>
        <s v="26.TFS.203.  1"/>
        <s v="26.CUB.200."/>
        <s v="26.TFS.200."/>
        <s v="26.TFS.201."/>
        <s v="30.CUB.200.  1"/>
        <s v="30.PP1.200.  1"/>
        <s v="30.TFS.200.  1"/>
        <s v="30.TFS.201.  1"/>
        <s v="30.TFS.202.  1"/>
        <s v="30.TFS.203.  1"/>
        <s v="30.TFS.700.  1"/>
        <s v="45.CUB.100.  1"/>
        <s v="45.CUB.200.  1"/>
        <s v="45.PP1.200.  1"/>
        <s v="45.TFS.200.  1"/>
        <s v="45.TFS.201.  1"/>
        <s v="45.TFS.202.  1"/>
        <s v="45.TFS.203.  1"/>
        <s v="45.TFS.700.  1"/>
        <s v="45.TFS.700.  2"/>
        <s v="50.CUB.200.  1"/>
        <s v="50.PP1.200.  1"/>
        <s v="50.TFS.200.  1"/>
        <s v="50.CUB.300.  1"/>
        <s v="50.PP1.300.  1"/>
        <s v="50.TFS.201.  1"/>
        <s v="50.TFS.300.  1"/>
        <s v="50.TFS.203.  1"/>
        <s v="50.000.  3."/>
        <s v="51.TFS.700.  1"/>
        <s v="60.CUB.100.  1"/>
        <s v="75.TFS.203.  1"/>
        <s v="75.TFS.700.  1"/>
        <s v="90.006.  1."/>
        <s v="91.002.  5.  1"/>
        <s v="91.002.  5.  2"/>
        <s v="91.002.  5.  3"/>
        <s v="91.008.  1."/>
        <s v="92.100.  3."/>
        <s v="98.001.  2."/>
        <s v="98.300.  1."/>
        <s v="98.201.  1."/>
        <s v="98.CUB.100."/>
        <s v="99.004.  1."/>
        <s v="99.004.  2."/>
        <s v="99.005.  1."/>
        <s v="99.030.  1."/>
        <s v="99.100.  3."/>
        <s v="99.015.  1."/>
        <s v="99.006.  1."/>
        <s v="99.004.  3."/>
        <s v="99.005.  2."/>
        <s v="99.005.  3."/>
        <s v="99.005.  4."/>
        <s v="99.005.  5."/>
        <s v="99.005.  6."/>
        <s v="99.006.  2."/>
        <s v="99.006.  3."/>
        <s v="99.006.  5."/>
        <s v="99.006.  6."/>
        <s v="99.030.  2."/>
        <s v="99.CUB.100.  1"/>
        <s v="99.CUB.301.  1"/>
        <s v="99.PP1.301.  1"/>
        <s v="99.TFS.301.  1"/>
        <s v="25.000.  3."/>
        <s v="60.100.   ."/>
        <s v="60.100.  1."/>
        <s v="60.100.  2."/>
        <s v="60.200.  1."/>
        <s v="60.300.  1."/>
        <s v="60.200.   ."/>
        <s v="60.300.   ."/>
        <s v="60.100.  3."/>
        <s v="60.200.  2."/>
        <s v="60.300.  2."/>
        <s v="60.400.   ."/>
        <s v="60.400.  1."/>
        <s v="60.400.  2."/>
        <s v="60.500.   ."/>
        <s v="60.500.  1."/>
        <s v="60.500.  2."/>
        <s v="60.600.   ."/>
        <s v="60.600.  1."/>
        <s v="60.600.  2."/>
        <s v="60.000.  6."/>
        <s v="61.100.  1."/>
        <s v="61.100.   ."/>
        <s v="61.100.  2."/>
        <s v="61.100.  9."/>
        <s v="61.100. 12."/>
        <s v="61.100. 24."/>
        <s v="61.200.   ."/>
        <s v="61.300.   ."/>
        <s v="61.400.   ."/>
        <s v="61.500.   ."/>
        <s v="61.600.   ."/>
        <s v="61.100. 13."/>
        <s v="61.100. 14."/>
        <s v="61.100. 18."/>
        <s v="61.100.  3."/>
        <s v="61.100.  4."/>
        <s v="61.100.  5."/>
        <s v="61.100.  6."/>
        <s v="61.100.  7."/>
        <s v="61.100.  8."/>
        <s v="61.100. 11."/>
        <s v="61.100. 15."/>
        <s v="61.100. 17."/>
        <s v="61.100. 19."/>
        <s v="61.100. 20."/>
        <s v="61.100. 25."/>
        <s v="62.100.   ."/>
        <s v="62.100.  1."/>
        <s v="62.100.  2."/>
        <s v="62.100.  9."/>
        <s v="62.100. 12."/>
        <s v="62.100. 24."/>
        <s v="62.100. 13."/>
        <s v="62.100. 14."/>
        <s v="62.100. 18."/>
        <s v="62.100.  3."/>
        <s v="62.100.  4."/>
        <s v="62.100.  5."/>
        <s v="62.100.  6."/>
        <s v="62.100.  7."/>
        <s v="62.100.  8."/>
        <s v="62.100. 11."/>
        <s v="62.100. 15."/>
        <s v="62.100. 17."/>
        <s v="62.100. 19."/>
        <s v="62.100. 20."/>
        <s v="62.100. 25."/>
        <s v="63.100.   ."/>
        <s v="63.100.  1."/>
        <s v="63.100.  2."/>
        <s v="63.100.  9."/>
        <s v="63.100. 12."/>
        <s v="63.100. 24."/>
        <s v="63.100. 13."/>
        <s v="63.100. 14."/>
        <s v="63.100. 18."/>
        <s v="63.100.  3."/>
        <s v="63.100.  4."/>
        <s v="63.100.  5."/>
        <s v="63.100.  6."/>
        <s v="63.100.  7."/>
        <s v="63.100.  8."/>
        <s v="63.100. 11."/>
        <s v="63.100. 15."/>
        <s v="63.100. 17."/>
        <s v="63.100. 19."/>
        <s v="63.100. 20."/>
        <s v="63.100. 25."/>
        <s v="64.100.   ."/>
        <s v="64.100.  1."/>
        <s v="64.100.  2."/>
        <s v="64.100.  9."/>
        <s v="64.100. 12."/>
        <s v="64.100. 24."/>
        <s v="64.100. 13."/>
        <s v="64.100. 14."/>
        <s v="64.100. 18."/>
        <s v="64.100.  3."/>
        <s v="64.100.  4."/>
        <s v="64.100.  5."/>
        <s v="64.100.  6."/>
        <s v="64.100.  7."/>
        <s v="64.100.  8."/>
        <s v="64.100. 11."/>
        <s v="64.100. 15."/>
        <s v="64.100. 17."/>
        <s v="64.100. 19."/>
        <s v="64.100. 20."/>
        <s v="64.100. 25."/>
        <s v="65.100.   ."/>
        <s v="65.100.  1."/>
        <s v="65.100.  2."/>
        <s v="65.100.  9."/>
        <s v="65.100. 12."/>
        <s v="65.100. 24."/>
        <s v="65.100. 13."/>
        <s v="65.100. 14."/>
        <s v="65.100. 18."/>
        <s v="65.100.  3."/>
        <s v="65.100.  4."/>
        <s v="65.100.  5."/>
        <s v="65.100.  6."/>
        <s v="65.100.  7."/>
        <s v="65.100.  8."/>
        <s v="65.100. 11."/>
        <s v="65.100. 15."/>
        <s v="65.100. 17."/>
        <s v="65.100. 19."/>
        <s v="65.100. 20."/>
        <s v="65.100. 25."/>
        <s v="70.100.   ."/>
        <s v="70.200.  1."/>
        <s v="71.100.   ."/>
        <s v="71.200.  1."/>
        <s v="72.100.   ."/>
        <s v="72.200.  1."/>
        <s v="72.100.  1."/>
        <s v="72.100.  2."/>
        <s v="72.100.  3."/>
        <s v="72.100.  6."/>
        <s v="72.100.  7."/>
        <s v="73.100.   ."/>
        <s v="73.200.  1."/>
        <s v="73.100.  1."/>
        <s v="73.100.  2."/>
        <s v="73.100.  3."/>
        <s v="73.100.  6."/>
        <s v="73.100.  7."/>
        <s v="74.100.   ."/>
        <s v="74.200.  1."/>
        <s v="74.100.  1."/>
        <s v="74.100.  2."/>
        <s v="74.100.  3."/>
        <s v="74.100.  6."/>
        <s v="74.200.  2."/>
        <s v="74.100.  7."/>
        <s v="75.200.  1."/>
        <s v="75.100.  6."/>
        <s v="75.100.  7."/>
        <s v="76.100.  6."/>
        <s v="76.100.  7."/>
        <s v="77.100.  6."/>
        <s v="77.100.  7."/>
        <s v="90.007.  1."/>
        <s v="98.000.  1."/>
        <s v="98.000.  2."/>
        <s v="98.000.  5."/>
        <s v="99.200.  1."/>
        <s v="99.100.  4."/>
        <s v="99.100.  5."/>
        <s v="25.300.  1."/>
        <s v="30.100.SUP.  4"/>
        <s v="45.200.   ."/>
        <s v="45.300.   ."/>
        <s v="75.100.  1.  1"/>
        <s v="75.100.  1.  2"/>
        <s v="90.950.  1."/>
        <s v="97.100.  1."/>
        <s v="98. H2. DB.  1"/>
        <s v="98. H2.CUP.  1"/>
        <s v="98.200.  6."/>
        <s v="22.100.   ."/>
        <s v="26.105.  1."/>
        <s v="26.101.  1."/>
        <s v="26.102.  1."/>
        <s v="26.103.  1."/>
        <s v="26.106.  1."/>
        <s v="26.107.  1."/>
        <s v="26.109.  1."/>
        <s v="26.109.  2."/>
        <s v="26.110.  1."/>
        <s v="26.110.  2."/>
        <s v="26.111.  1."/>
        <s v="26.111.  2."/>
        <s v="26.113.  2."/>
        <s v="26.114.  2."/>
        <s v="26.115.  2."/>
        <s v="26.117.  3."/>
        <s v="26.118.  3."/>
        <s v="26.119.  2."/>
        <s v="26.119.  3."/>
        <s v="26.121.  3."/>
        <s v="26.122.  3."/>
        <s v="26.123.  3."/>
        <s v="60.101.  1."/>
        <s v="60.102.  1."/>
        <s v="60.103.  1."/>
        <s v="60.105.  1."/>
        <s v="60.106.  1."/>
        <s v="60.107.  1."/>
        <s v="60.109.  1."/>
        <s v="60.109.  2."/>
        <s v="60.110.  1."/>
        <s v="60.110.  2."/>
        <s v="60.111.  1."/>
        <s v="60.111.  2."/>
        <s v="60.113.  2."/>
        <s v="60.114.  2."/>
        <s v="60.115.  2."/>
        <s v="60.117.  3."/>
        <s v="60.118.  2."/>
        <s v="60.118.  3."/>
        <s v="60.119.  2."/>
        <s v="60.119.  3."/>
        <s v="60.121.  3."/>
        <s v="60.122.  3."/>
        <s v="60.123.  3."/>
        <s v="60.999.  1."/>
        <s v="60.999.  2."/>
        <s v="60.999.  3."/>
        <s v="61.101.  1."/>
        <s v="61.102.  1."/>
        <s v="61.103.  1."/>
        <s v="61.105.  1."/>
        <s v="61.106.  1."/>
        <s v="61.107.  1."/>
        <s v="61.109.  1."/>
        <s v="61.109.  2."/>
        <s v="61.110.  1."/>
        <s v="61.110.  2."/>
        <s v="61.111.  1."/>
        <s v="61.111.  2."/>
        <s v="61.113.  2."/>
        <s v="61.114.  2."/>
        <s v="61.115.  2."/>
        <s v="61.117.  3."/>
        <s v="61.118.  2."/>
        <s v="61.118.  3."/>
        <s v="61.119.  2."/>
        <s v="61.119.  3."/>
        <s v="61.121.  3."/>
        <s v="61.122.  3."/>
        <s v="61.123.  3."/>
        <s v="61.999.  1."/>
        <s v="61.999.  2."/>
        <s v="61.999.  3."/>
        <s v="62.101.  1."/>
        <s v="62.102.  1."/>
        <s v="62.103.  1."/>
        <s v="62.105.  1."/>
        <s v="62.106.  1."/>
        <s v="62.107.  1."/>
        <s v="62.109.  1."/>
        <s v="62.109.  2."/>
        <s v="62.110.  1."/>
        <s v="62.110.  2."/>
        <s v="62.111.  1."/>
        <s v="62.111.  2."/>
        <s v="62.113.  2."/>
        <s v="62.114.  2."/>
        <s v="62.115.  2."/>
        <s v="62.117.  3."/>
        <s v="62.118.  2."/>
        <s v="62.118.  3."/>
        <s v="62.119.  2."/>
        <s v="62.119.  3."/>
        <s v="62.121.  3."/>
        <s v="62.122.  3."/>
        <s v="62.123.  3."/>
        <s v="63.101.  1."/>
        <s v="63.102.  1."/>
        <s v="63.103.  1."/>
        <s v="63.105.  1."/>
        <s v="63.106.  1."/>
        <s v="63.107.  1."/>
        <s v="63.109.  1."/>
        <s v="63.109.  2."/>
        <s v="63.110.  1."/>
        <s v="63.110.  2."/>
        <s v="63.111.  1."/>
        <s v="63.111.  2."/>
        <s v="63.113.  2."/>
        <s v="63.114.  2."/>
        <s v="63.115.  2."/>
        <s v="63.117.  3."/>
        <s v="63.118.  2."/>
        <s v="63.118.  3."/>
        <s v="63.119.  2."/>
        <s v="63.119.  3."/>
        <s v="63.121.  3."/>
        <s v="63.122.  3."/>
        <s v="63.123.  3."/>
        <s v="64.101.  1."/>
        <s v="64.102.  1."/>
        <s v="64.103.  1."/>
        <s v="64.105.  1."/>
        <s v="64.106.  1."/>
        <s v="64.107.  1."/>
        <s v="64.109.  1."/>
        <s v="64.109.  2."/>
        <s v="64.110.  1."/>
        <s v="64.110.  2."/>
        <s v="64.111.  1."/>
        <s v="64.111.  2."/>
        <s v="64.113.  2."/>
        <s v="64.114.  2."/>
        <s v="64.115.  2."/>
        <s v="64.117.  3."/>
        <s v="64.118.  3."/>
        <s v="64.119.  2."/>
        <s v="64.119.  3."/>
        <s v="64.121.  3."/>
        <s v="64.122.  3."/>
        <s v="64.123.  3."/>
        <s v="64.999.  1."/>
        <s v="64.999.  2."/>
        <s v="64.999.  3."/>
        <s v="65.101.  1."/>
        <s v="65.102.  1."/>
        <s v="65.103.  1."/>
        <s v="65.105.  1."/>
        <s v="65.106.  1."/>
        <s v="65.107.  1."/>
        <s v="65.109.  1."/>
        <s v="65.109.  2."/>
        <s v="65.110.  1."/>
        <s v="65.110.  2."/>
        <s v="65.111.  1."/>
        <s v="65.111.  2."/>
        <s v="65.113.  2."/>
        <s v="65.114.  2."/>
        <s v="65.115.  2."/>
        <s v="65.117.  3."/>
        <s v="65.118.  3."/>
        <s v="65.119.  2."/>
        <s v="65.119.  3."/>
        <s v="65.121.  3."/>
        <s v="65.122.  3."/>
        <s v="65.123.  3."/>
        <s v="66.100.   ."/>
        <s v="66.101.  1."/>
        <s v="66.102.  1."/>
        <s v="66.103.  1."/>
        <s v="66.105.  1."/>
        <s v="66.106.  1."/>
        <s v="66.107.  1."/>
        <s v="66.109.  1."/>
        <s v="66.109.  2."/>
        <s v="66.110.  1."/>
        <s v="66.110.  2."/>
        <s v="66.111.  1."/>
        <s v="66.111.  2."/>
        <s v="66.113.  2."/>
        <s v="66.114.  2."/>
        <s v="66.115.  2."/>
        <s v="66.117.  3."/>
        <s v="66.118.  3."/>
        <s v="66.119.  2."/>
        <s v="66.119.  3."/>
        <s v="66.121.  3."/>
        <s v="66.122.  3."/>
        <s v="66.123.  3."/>
        <s v="71.101.  1."/>
        <s v="71.102.  1."/>
        <s v="71.103.  1."/>
        <s v="71.105.  1."/>
        <s v="71.106.  1."/>
        <s v="71.107.  1."/>
        <s v="71.109.  1."/>
        <s v="71.109.  2."/>
        <s v="71.110.  1."/>
        <s v="71.110.  2."/>
        <s v="71.111.  1."/>
        <s v="71.111.  2."/>
        <s v="71.113.  2."/>
        <s v="71.114.  2."/>
        <s v="71.115.  2."/>
        <s v="71.117.  2."/>
        <s v="71.117.  3."/>
        <s v="71.118.  2."/>
        <s v="71.118.  3."/>
        <s v="71.119.  2."/>
        <s v="71.119.  3."/>
        <s v="71.121.  3."/>
        <s v="71.122.  3."/>
        <s v="71.123.  3."/>
        <s v="72.101.  1."/>
        <s v="72.102.  1."/>
        <s v="72.103.  1."/>
        <s v="72.105.  1."/>
        <s v="72.106.  1."/>
        <s v="72.107.  1."/>
        <s v="72.109.  1."/>
        <s v="72.109.  2."/>
        <s v="72.110.  1."/>
        <s v="72.110.  2."/>
        <s v="72.111.  1."/>
        <s v="72.111.  2."/>
        <s v="72.113.  2."/>
        <s v="72.113.  3."/>
        <s v="72.114.  2."/>
        <s v="72.115.  1."/>
        <s v="72.115.  2."/>
        <s v="72.115.  3."/>
        <s v="72.117.  2."/>
        <s v="72.117.  3."/>
        <s v="72.118.  2."/>
        <s v="72.118.  3."/>
        <s v="72.119.  1."/>
        <s v="72.119.  2."/>
        <s v="72.119.  3."/>
        <s v="72.121.  3."/>
        <s v="72.122.  3."/>
        <s v="72.123.  1."/>
        <s v="72.123.  3."/>
        <s v="72.125.  3."/>
        <s v="72.127.  1."/>
        <s v="72.128.  1."/>
        <s v="72.129.  3."/>
        <s v="72.132.  1."/>
        <s v="72.133.  3."/>
        <s v="72.136.  1."/>
        <s v="73.101.  1."/>
        <s v="73.102.  1."/>
        <s v="73.103.  1."/>
        <s v="73.105.  1."/>
        <s v="73.106.  1."/>
        <s v="73.107.  1."/>
        <s v="73.109.  1."/>
        <s v="73.109.  2."/>
        <s v="73.110.  1."/>
        <s v="73.110.  2."/>
        <s v="73.111.  1."/>
        <s v="73.111.  2."/>
        <s v="73.113.  2."/>
        <s v="73.113.  3."/>
        <s v="73.114.  2."/>
        <s v="73.115.  1."/>
        <s v="73.115.  2."/>
        <s v="73.115.  3."/>
        <s v="73.117.  2."/>
        <s v="73.117.  3."/>
        <s v="73.118.  2."/>
        <s v="73.118.  3."/>
        <s v="73.119.  1."/>
        <s v="73.119.  2."/>
        <s v="73.119.  3."/>
        <s v="73.121.  3."/>
        <s v="73.122.  3."/>
        <s v="73.123.  1."/>
        <s v="73.123.  3."/>
        <s v="73.125.  3."/>
        <s v="73.127.  1."/>
        <s v="73.128.  1."/>
        <s v="73.129.  3."/>
        <s v="73.132.  1."/>
        <s v="73.133.  3."/>
        <s v="73.136.  1."/>
        <s v="74.101.  1."/>
        <s v="74.107.  1."/>
        <s v="74.109.  1."/>
        <s v="74.111.  1."/>
        <s v="74.113.  3."/>
        <s v="74.115.  1."/>
        <s v="74.117.  3."/>
        <s v="74.119.  1."/>
        <s v="74.121.  3."/>
        <s v="74.123.  1."/>
        <s v="74.125.  3."/>
        <s v="74.127.  1."/>
        <s v="74.128.  1."/>
        <s v="74.129.  3."/>
        <s v="74.132.  1."/>
        <s v="74.133.  3."/>
        <s v="74.136.  1."/>
        <s v="75.101.  1."/>
        <s v="75.102.  1."/>
        <s v="75.103.  1."/>
        <s v="75.107.  1."/>
        <s v="75.109.  1."/>
        <s v="75.111.  1."/>
        <s v="75.113.  3."/>
        <s v="75.115.  1."/>
        <s v="75.115.  2."/>
        <s v="75.117.  3."/>
        <s v="75.119.  1."/>
        <s v="75.121.  3."/>
        <s v="75.123.  1."/>
        <s v="75.123.  3."/>
        <s v="75.125.  3."/>
        <s v="75.127.  1."/>
        <s v="75.128.  1."/>
        <s v="75.129.  3."/>
        <s v="75.132.  1."/>
        <s v="75.133.  3."/>
        <s v="75.136.  1."/>
        <s v="76.100.   ."/>
        <s v="76.101.  1."/>
        <s v="76.102.  1."/>
        <s v="76.103.  1."/>
        <s v="76.107.  1."/>
        <s v="76.109.  1."/>
        <s v="76.109.  2."/>
        <s v="76.110.  1."/>
        <s v="76.111.  1."/>
        <s v="76.111.  2."/>
        <s v="76.113.  2."/>
        <s v="76.115.  2."/>
        <s v="76.117.  3."/>
        <s v="76.118.  2."/>
        <s v="76.119.  2."/>
        <s v="76.119.  3."/>
        <s v="76.121.  3."/>
        <s v="76.123.  3."/>
        <s v="77.100.   ."/>
        <s v="92.004.  2."/>
        <s v="99.000.  1."/>
        <s v="99.999.  8."/>
        <s v="99.999.  7."/>
        <s v="26.100. PR.  3"/>
        <s v="26.100. PR.  4"/>
        <s v="26.100.SUP.  3"/>
        <s v="26.100.SUP.  4"/>
        <s v="27.100.SIT.  1"/>
        <s v="50.100.OSM.  4"/>
        <s v="50.100.SIT.  4"/>
        <s v="51.100.SIT.  4"/>
        <s v="75.100.  1. 1."/>
        <s v="75.100.  1. 2."/>
        <s v="98.H34. DB. 1."/>
        <s v="98.H34.CUP. 1."/>
        <s v="50.150.   ."/>
      </sharedItems>
    </cacheField>
    <cacheField name="JCJP.Description" numFmtId="0">
      <sharedItems count="833">
        <s v="Structural Steel Labor (Holding Code)"/>
        <s v="CUB Structural Steel Labor"/>
        <s v="TFS Structural Steel Labor"/>
        <s v="PP Structural Steel Labor"/>
        <s v="CUB Misc. Steel Labor (Grating, Catwalks, Railing, Ladders.."/>
        <s v="TFS Misc. Steel Labor (Grating, Catwalks, Railing, Ladders.."/>
        <s v="PP Misc. Steel Labor (Grating, Catwalks, Railing, Ladders.."/>
        <s v="Module Load Out onto SPMT Labor (Holding Code)"/>
        <s v="Module Stacking Labor (Holding Code)"/>
        <s v="Pipe Labor (Holding Code)"/>
        <s v="Shop CUB CS Pipe Fabrication"/>
        <s v="Field CUB CS Pipe Fabrication &amp; Assembly"/>
        <s v="Field TFS CS Pipe Fabrication &amp; Assembly"/>
        <s v="Field PP CS Pipe Fabrication &amp; Assembly"/>
        <s v="Aboveground Hydrotest &amp; Flush"/>
        <s v="Field CUB SS, 2205, Hastelloy Pipe Fabrication &amp; Assembly"/>
        <s v="Field TFS SS, 2205, Hastelloy Pipe Fabrication &amp; Assembly"/>
        <s v="Field PP SS, 2205, Hastelloy Pipe Fabrication &amp; Assembly"/>
        <s v="Pipe Support Labor - (ALLOWANCE Holding Code)"/>
        <s v="Field PP CPVC Pipe Fabrication &amp; Assembly"/>
        <s v="Field TFS CPVC Pipe Fabrication &amp; Assembly"/>
        <s v="Shop CUB Pipe Supports"/>
        <s v="Field CUB Pipe Supports"/>
        <s v="Field PP Pipe Supports"/>
        <s v="Field TFS Pipe Supports"/>
        <s v="Pressure Testing"/>
        <s v="Corporate Management"/>
        <s v="Site Management (CM  Supt  PE  FE)"/>
        <s v="Field Staff (Matl Manager  Office Manager  Clerical)"/>
        <s v="Site HSE &amp; QA/QC"/>
        <s v="HR Staff"/>
        <s v="Estimating Support for True Up"/>
        <s v="Onsite Engineering Management"/>
        <s v="General Foreman"/>
        <s v="Survey Crew"/>
        <s v="Warehouse Crew"/>
        <s v="Crane Operators"/>
        <s v="Tool Room Attendant"/>
        <s v="Orientation &amp; Drug Testing Labor"/>
        <s v="Welder Testing Labor"/>
        <s v="OSHA 10/30 Training Labor Costs"/>
        <s v="Orbital Welding Coupon In/Out Labor"/>
        <s v="Buggy Training"/>
        <s v="Job Set Up"/>
        <s v="Rig Welder Rig Rental"/>
        <s v="Preconstruction"/>
        <s v="Steel - Fluor IFC Revision Rework"/>
        <s v="Pipe - Fluor IFC Revision Rework"/>
        <s v="(NR) - Holiday Per Diem Incentive"/>
        <s v="Orizon Structural Steel Rework &amp; Mat'l Shorts"/>
        <s v="Pipe Supports Rework"/>
        <s v="Pipe Labor to T&amp;M (Holding Code)"/>
        <s v="IFC Revision Rework - Offset"/>
        <s v="TW105 Module Repair"/>
        <s v="Accounting Accruals"/>
        <s v="REWORK ONLY - Shoebox Module Leveling"/>
        <s v="Grout Labor (per WP)"/>
        <s v="Mechanical Equipment Labor (per WP)"/>
        <s v="CS Pipe Aboveground Labor (per WP)"/>
        <s v="SS Pipe Aboveground Labor (per WP)"/>
        <s v="Hydrotest &amp; Flush (per WP)"/>
        <s v="Line Labeling"/>
        <s v="Glycol Fill Budget (per WP)"/>
        <s v="Pipe Stress Allowance (per WP)"/>
        <s v="Instrumentation (per WP)"/>
        <s v="Pipe Support Labor (per WP)"/>
        <s v="Seismic Bracing Labor (per WP)"/>
        <s v="Startup &amp; Commissioning Support"/>
        <s v="Corporate Management (PM EM Corp Safety QC Proc Est.)"/>
        <s v="Site Management (CM Supt PE FE)"/>
        <s v="Field Staff (Matl Manager Office Manager Clerical)"/>
        <s v="Operators"/>
        <s v="Combustion Piping - Labor"/>
        <s v="Quench Rings - Labor"/>
        <s v="Punch Items - Labor"/>
        <s v="Owner Change Requests"/>
        <s v="Boiler Piping - Labor"/>
        <s v="CCU Piping - Labor"/>
        <s v="TBRC 1 Lance Final Alignment - Labor"/>
        <s v="TBRC 2 Lance Recovery"/>
        <s v="Urea Piping - Labor"/>
        <s v="Polypro Piping - Labor"/>
        <s v="TBRC 2 Lance Recovery Final Alignment - Labor"/>
        <s v="TBRC 2 Charging Lance Final Alignment - Labor"/>
        <s v="Internal T&amp;M Budgeting Placeholder"/>
        <s v="WWT Flange Tie-Ins"/>
        <s v="Misc Rock Labor"/>
        <s v="SWPPP Labor"/>
        <s v="Finish Grade Sitework Labor"/>
        <s v="Foundations Labor (per work package)"/>
        <s v="Grout Labor (per work package)"/>
        <s v="Structural Steel Labor (per work package)"/>
        <s v="Fire Water Pumps House Labor"/>
        <s v="Mechanical Equipment Labor (per work package)"/>
        <s v="MAN Supplied Equipment Labor"/>
        <s v="Pipe Labor (per work package)"/>
        <s v="Piping Support Labor Allowance"/>
        <s v="Aboveground Hydrotest &amp; Flush Labor Allowance"/>
        <s v="General Site Laborer (Fire Watch Ice/Water etcï¿½)"/>
        <s v="Job Set Up Labor"/>
        <s v="Civil - Excavation Labor"/>
        <s v="Civil - Backfill Labor"/>
        <s v="Civil Labor - Storm Drain Piping Installation"/>
        <s v="Civil Labor - Storm Drains Catch Basins"/>
        <s v="Civil Labor - UG Fire Water Thrust Blocks"/>
        <s v="Foundations Labor - Pipe Rack"/>
        <s v="Foundations Labor - Addendum 3"/>
        <s v="Civil - Duct Banks Concrete Labor"/>
        <s v="Lunch Tent Pads - Concrete Labor"/>
        <s v="Admin Manholes"/>
        <s v="Grout Labor - Pipe Rack"/>
        <s v="Grout Labor - Supp Steel"/>
        <s v="Anchor Bolts (per work package)"/>
        <s v="VOID"/>
        <s v="Addendum 3 Steel"/>
        <s v="Ext Pipe Rack - Steel Labor"/>
        <s v="Data Halls - Supp Steel Labor"/>
        <s v="VOID - DO NOT USE"/>
        <s v="Core Blg - Steel Labor"/>
        <s v="CS LB Aboveground Labor (per work package)"/>
        <s v="Chainwheels &amp; Belimo Valves"/>
        <s v="GPU Hoses"/>
        <s v="CS Pipe Fabrication Labor - OSM"/>
        <s v="CS Pipe Installation Labor - SITE"/>
        <s v="CS Pipe - Hunton Trane Bypass"/>
        <s v="SS LB Aboveground Labor (per work package)"/>
        <s v="SS Pipe Installation Labor - SITE"/>
        <s v="Ductwork Installation"/>
        <s v="Pipe Supports Labor (per work package)"/>
        <s v="Pipe Support Installation Labor - SITE"/>
        <s v="Pipe Labels Label (per work package)"/>
        <s v="Corporate Management (PM  EM  Corp Safety  QC  Proc  Est.)"/>
        <s v="General Site Laborer (Fire Watch  Ice/Water  etc)"/>
        <s v="Orientation &amp; Drug Testing"/>
        <s v="RIG Welder Pay"/>
        <s v="Orizon Steel Rework"/>
        <s v="OSM - Salary Staff"/>
        <s v="Hiring Office Setup Labor and Materials"/>
        <s v="DH Generator Setting"/>
        <s v="Colgan Rebar Rework"/>
        <s v="Civil Additional Scope"/>
        <s v="Sequence 2 - Drilled Piers TOC Fix"/>
        <s v="MER Setting"/>
        <s v="OSM - Direct Support"/>
        <s v="Pipe Clash Reroute"/>
        <s v="H2 Data Hall Supp Steel Labor"/>
        <s v="Tap Box Clashing"/>
        <s v="V-Loop Repair Welding"/>
        <s v="PEMB Rigger Support"/>
        <s v="MER Platform &amp; U Supts"/>
        <s v="Night Shift Premium &amp; Per Diem Increase"/>
        <s v="H1 CUP Apron FDN &amp; Pedestals"/>
        <s v="H1 Telecom Extension Ductbank"/>
        <s v="H1 Interconnects Supp Steel"/>
        <s v="Site Cleanup Requested by IREN"/>
        <s v="H1 DOAS Plenum Supports"/>
        <s v="Summit T&amp;M Labor"/>
        <s v="Steel Downtime Labor"/>
        <s v="ACN SRU - Grout Labor"/>
        <s v="K214 - CUB Module Grout"/>
        <s v="K214 - TFS Module Grout"/>
        <s v="K210 - Module Grout"/>
        <s v="CUB Int - Steel Labor"/>
        <s v="CUB Ex - Vert Steel Labor"/>
        <s v="PP1 Ex - Vert Steel Labor"/>
        <s v="TFS Ex - Vert Steel Labor"/>
        <s v="TFS - K210 Module Steel Labor"/>
        <s v="TFS - SRU Steel Labor"/>
        <s v="ACN SRU - Steel Erection Labor"/>
        <s v="TFS Mech - Misc. Tray &amp; Pipe Support Steel Labor"/>
        <s v="Shoebox Setting Labor (per work package)"/>
        <s v="CUB Int - Module Setting &amp; Installation"/>
        <s v="CUB Ex - Shoebox Setting &amp; Installation"/>
        <s v="PP1 Ex - Shoebox Setting &amp; Installation"/>
        <s v="TFS Ex - Shoebox Setting &amp; Installation"/>
        <s v="TFS - K210 Module Setting &amp; Install"/>
        <s v="TFS E-Houses Installation"/>
        <s v="ACN SRU - Mod Receive, Install, Equip Labor"/>
        <s v="TFS Mech - Truck Loading/Unloading"/>
        <s v="TFS Mech - Process Equipment Setting Labor"/>
        <s v="Piping Spool Installation (per work package)"/>
        <s v="Pipe Support Labor"/>
        <s v="CUB Int - Pipe Spool Install &amp; Welding"/>
        <s v="CUB Ex - Vert Pipe Spool Install &amp; Welding"/>
        <s v="PP1 Ex - Vert Pipe Spool Install &amp; Welding"/>
        <s v="TFS Ex - Vert Pipe Spool Install &amp; Welding"/>
        <s v="CUB Ex - Horz Interconnect Welding"/>
        <s v="PP1 Ex - Horz Interconnect Welding"/>
        <s v="TFS - K210 Module Pipe Labor"/>
        <s v="TFS Ex - Horz Interconnect Welding"/>
        <s v="ACN SRU - Pipe &amp; Pipe Support Labor"/>
        <s v="LP1X Accelerated Line &amp; Valve - Labor"/>
        <s v="TFS Mech - Pipe &amp; Pipe Support Labor"/>
        <s v="CUB Int - Cable Tray"/>
        <s v="NSY - Pressure Testing - Holding"/>
        <s v="Pressure Testing Labor"/>
        <s v="ACN SRU - Pressure Testing Labor"/>
        <s v="TFS Mech - Pressure Testing Labor"/>
        <s v="Site Management (CM, Supt, PE, FE)"/>
        <s v="Field Staff (Matl Manager, Office Manager, Clerical)"/>
        <s v="Estimating"/>
        <s v="General Site Laborer"/>
        <s v="OSHA 10/30 Training"/>
        <s v="Operators - CUB"/>
        <s v="Operators - TFS"/>
        <s v="Operators - PP1"/>
        <s v="Accredited Training Costs"/>
        <s v="Fluor MOD.0003 Pressure Testing Funding Budget Delta Offset"/>
        <s v="PDN 420 - On Site ISO Fab/Install Labor"/>
        <s v="K210 E-House Funding Offset"/>
        <s v="(NR) NON REIM CUB Int - Backing Bar Rework"/>
        <s v="MOD.0004 - Weather &amp; Safety Standdown"/>
        <s v="MOD.0004 - Standby Due to Others"/>
        <s v="MOD.0005 - Weather &amp; Safety Standdown"/>
        <s v="Steel IFC Revision Labor"/>
        <s v="12/2/25 - Weather Day Show Up"/>
        <s v="(R) 25.005 -  Holiday Per Diem Incentive"/>
        <s v="3/11/26 - Tornado Warning Show Up"/>
        <s v="SRU Preservation - Labor (MOD.0015)"/>
        <s v="TFS - DWHU Horz Interconnect Welding"/>
        <s v="MOD.0004 - Extra Work"/>
        <s v="MOD.0005 - Standby Due to Others"/>
        <s v="MOD.0005 - Extra Work"/>
        <s v="TFS - K210 Module Extra Work"/>
        <s v="MOD.0005 - E-House Extra Work"/>
        <s v="IFC Steel Revision Rework"/>
        <s v="MOD.0006 - Weather &amp; Safety Standdown"/>
        <s v="MOD.0006 - Extra Work - Labor"/>
        <s v="TFS Night Shift - Indirect/GC Labor &amp;  Material"/>
        <s v="MOD.0006 - Standby Due to Others"/>
        <s v="IFC Revision Rework - Piping"/>
        <s v="CB114 - W6 Beam - MOD.0006"/>
        <s v="IFC Revision Rework - MOD.0006 Labor"/>
        <s v="Cast-On-Site Vaults"/>
        <s v="GN-1 Trestle Foundations"/>
        <s v="Sand Materials"/>
        <s v="MV Conduit Prep &amp; Pre-Assembly (Holding)_x000d__x000a_"/>
        <s v="MV ALL Prep &amp; Pre-Assembly"/>
        <s v="Primer/Cement Materials"/>
        <s v="MV Midnight North Conduit Install"/>
        <s v="MV Conduit Install (Holding)"/>
        <s v="MV Midnight South Conduit Install"/>
        <s v="C-506 Conduit Install"/>
        <s v="C-509 Conduit Install"/>
        <s v="MV Midnight East Conduit Install"/>
        <s v="C-510 Conduit Install"/>
        <s v="C-511 Conduit Install"/>
        <s v="C-515 Conduit Install"/>
        <s v="Compressor Station - Conduit Install"/>
        <s v="C-501 Conduit Install"/>
        <s v="C-502 Conduit Install"/>
        <s v="C-503 Conduit Install"/>
        <s v="C-504 Conduit Install"/>
        <s v="C-505 Conduit Install"/>
        <s v="C-508 Conduit Install"/>
        <s v="C-512 Conduit Install"/>
        <s v="MV C-514 Conduit Installation"/>
        <s v="C-516 Conduit Install"/>
        <s v="C-517 Conduit Install"/>
        <s v="EX-43 Conduit Install"/>
        <s v="MV Excavation (Holding)"/>
        <s v="MV Midnight North Excavation"/>
        <s v="MV Midnight South Excavation"/>
        <s v="C-506 Excavation"/>
        <s v="C-509 Excavation"/>
        <s v="MV Midnight East Excavation"/>
        <s v="C-510 Excavation"/>
        <s v="C-511 Excavation"/>
        <s v="C-515 Excavation"/>
        <s v="Compressor Station Excavation"/>
        <s v="C-501 Excavation"/>
        <s v="C-502 Excavation"/>
        <s v="C-503 Excavation"/>
        <s v="C-504 Excavation"/>
        <s v="C-505 Excavation"/>
        <s v="C-508 Excavation"/>
        <s v="C-512 Excavation"/>
        <s v="MV C-514 Excavation"/>
        <s v="C-516 Excavation"/>
        <s v="C-517 Excavation"/>
        <s v="EX-43 Excavation"/>
        <s v="MV Backfill (Holding)"/>
        <s v="MV Midnight North Backfill"/>
        <s v="MV Midnight South Backfill"/>
        <s v="C-506 Backfill"/>
        <s v="C-509 Backfill"/>
        <s v="MV Midnight East Backfill"/>
        <s v="C-510 Backfill"/>
        <s v="C-511 Backfill"/>
        <s v="C-515 Backfill"/>
        <s v="Compressor Station Backfill"/>
        <s v="C-501 Backfill"/>
        <s v="C-502 Backfill"/>
        <s v="C-503 Backfill"/>
        <s v="C-504 Backfill"/>
        <s v="C-505 Backfill"/>
        <s v="C-508 Backfill"/>
        <s v="C-512 Backfill"/>
        <s v="MV C-514 Backfill"/>
        <s v="C-516 Backfill"/>
        <s v="C-517 Backfill"/>
        <s v="EX-43 Backfill"/>
        <s v="MV MH Installation (Holding)"/>
        <s v="MV Midnight North MH Installation"/>
        <s v="MV Midnight South MH Installation"/>
        <s v="C-506 MH Installation"/>
        <s v="C-509 MH Installation"/>
        <s v="C-510 MH Installation"/>
        <s v="C-511 MH Installation"/>
        <s v="C-515 MH Installation"/>
        <s v="Compressor Station MH Installation"/>
        <s v="C-501 MH Installation"/>
        <s v="C-502 MH Installation"/>
        <s v="C-503 MH Installation"/>
        <s v="C-504 MH Installation"/>
        <s v="C-505 MH Installation"/>
        <s v="C-508 MH Installation"/>
        <s v="C-512 MH Installation"/>
        <s v="MV C-514 MH Installation"/>
        <s v="C-516 MH Installation"/>
        <s v="C-517 MH Installation"/>
        <s v="EX-43 MH Installation"/>
        <s v="MV Jetline, Mandrels &amp; Mule Tape (Holding)"/>
        <s v="MV Midnight North Jet Line, Mandrels &amp; Mule Tape"/>
        <s v="MV Midnight South Jet Line, Mandrels &amp; Mules Tape"/>
        <s v="C-506 Jet Line, Mandrels &amp; Mules Tape"/>
        <s v="C-509 Jet Line, Mandrels &amp; Mules Tape"/>
        <s v="C-510 Jet Line, Mandrels &amp; Mules Tape"/>
        <s v="C-511 Jet Line, Mandrels &amp; Mules Tape"/>
        <s v="C-515 Jet Line, Mandrels &amp; Mules Tape"/>
        <s v="Compressor Station Jet Line, Mandrels &amp; Mules Tape"/>
        <s v="C-501 Jet Line, Mandrels &amp; Mules Tape"/>
        <s v="C-502 Jet Line, Mandrels &amp; Mules Tape"/>
        <s v="C-503 Jet Line, Mandrels &amp; Mules Tape"/>
        <s v="C-504 Jet Line, Mandrels &amp; Mules Tape"/>
        <s v="C-505 Jet Line, Mandrels &amp; Mules Tape"/>
        <s v="C-508 Jet Line, Mandrels &amp; Mules Tape"/>
        <s v="C-512 Jet Line, Mandrels &amp; Mules Tape"/>
        <s v="MV C-514 Jet Line, Mandrels &amp; Mule Tape"/>
        <s v="C-516 Jet Line, Mandrels &amp; Mules Tape"/>
        <s v="C-517 Jet Line, Mandrels &amp; Mules Tape"/>
        <s v="EX-43 Jet Line, Mandrels &amp; Mules Tape"/>
        <s v="LV Conduit Prep &amp; Preassembly (Holding)"/>
        <s v="TBD"/>
        <s v="LV Conduit Installation (Holding)"/>
        <s v="Security Conduit Installation"/>
        <s v="LV Excavation (Holding)"/>
        <s v="Security Excavation"/>
        <s v="ZCV-1 Excavation"/>
        <s v="ZCV-2 Excavation"/>
        <s v="ZCV-3 Excavation"/>
        <s v="LV - B1 Excavation"/>
        <s v="LV-B2 Excavation"/>
        <s v="LV Backfill (Holding)"/>
        <s v="Security Backfill"/>
        <s v="ZCV-1 Backfill"/>
        <s v="ZCV-2 Backfill"/>
        <s v="ZCV-3 Backfill"/>
        <s v="LV - B1 Backfill"/>
        <s v="LV-B2 Backfill"/>
        <s v="LV MH Installation (Holding)"/>
        <s v="Security Poles"/>
        <s v="ZCV-1 MH Installation"/>
        <s v="ZCV-2 MH Installation"/>
        <s v="ZCV-3 MH Installation"/>
        <s v="LV - B1 Manhole Installation"/>
        <s v="Security Hand Holes"/>
        <s v="LV-B2 Manhole Installation"/>
        <s v="LV Precast Trench"/>
        <s v="LV - B1 Precast Trench"/>
        <s v="LV-B2 Precast Trench"/>
        <s v="LV - B1 CIP Trench"/>
        <s v="LV - B2 CIP Trench"/>
        <s v="LV - B1 Drainage"/>
        <s v="LV-B2 Drainage"/>
        <s v="Estimating Support"/>
        <s v="IT Support"/>
        <s v="General Site Laborer (FireWatch Ice/Water etc)"/>
        <s v="TBD Buyout"/>
        <s v="Internal Offset"/>
        <s v="Cast-On-Site Vault Pad Prep"/>
        <s v="Pre-IFC Conduit Assembly"/>
        <s v="Tent Foundation"/>
        <s v="Houston Office Buildout"/>
        <s v="LV True Up"/>
        <s v="MV True Up"/>
        <s v="Bell End - Temp. (Email Approval)"/>
        <s v="Weather Shut Down - 1/23/26"/>
        <s v="GN-1 Serena Work Around (Email Approval)"/>
        <s v="Temp (Security) Fiber Conduits"/>
        <s v="GN-1 Trestle Labor"/>
        <s v="B1.B2 BESSUP Security Scope"/>
        <s v="H2 Civil - Excavation Labor"/>
        <s v="H2 Civil - Backfill/Finish/Fine Grading Labor"/>
        <s v="Civil Labor - Storm Drain Piping &amp; Catch Basin Installation"/>
        <s v="H2 Civil - Foundations Concrete &amp; Rebar Labor"/>
        <s v="H2 Civil - Duct Banks Concrete &amp; Rebar Labor"/>
        <s v="H2 Civil - Precast Manholes/ Vaults Labor"/>
        <s v="H2 Grout Labor (per work package)"/>
        <s v="Grout Labor - H2 Pipe Rack"/>
        <s v="Grout Labor - H2 Supp Steel"/>
        <s v="H2 Anchor Bolts (per work package)"/>
        <s v="H2 Structural Steel Labor (per work package)"/>
        <s v="H2 Ext Pipe Rack - Steel Labor"/>
        <s v="H2 Data Halls - Supp Steel Labor"/>
        <s v="H3 Data Halls - Supp Steel Labor"/>
        <s v="H4 Data Halls - Supp Steel Labor"/>
        <s v="H2 Mechanical Equipment Labor (per work package)"/>
        <s v="H2 Expansion Loops and Dog Legs Labor"/>
        <s v="H2 Set &amp; Install MER Buildings and Generators"/>
        <s v="H2 CS LB Aboveground Labor (per work package)"/>
        <s v="H2 CS Pipe Fabrication Labor - OSM"/>
        <s v="H2 CS Pipe Installation Labor - SITE"/>
        <s v="H2 SS LB Aboveground Labor (per work package)"/>
        <s v="H2 SS Pipe Installation Labor"/>
        <s v="H2 MER Fire Water Risers Labor"/>
        <s v="H2 Ductwork Installation (per work package)"/>
        <s v="H2 Pipe Supports Labor (per work package)"/>
        <s v="H2 Pipe Support Installation Labor - SITE"/>
        <s v="H2 Pipe Labels Labor (per work package)"/>
        <s v="H2 Pressure Testing Labor"/>
        <s v="H2 Start-Up Support Labor"/>
        <s v="H2 Corporate Management (PM  EM  Corp Safety  QC  Proc Est.)"/>
        <s v="H2 Site Management (CM  Supt  PE  FE)"/>
        <s v="H2 Field Staff (Matl Manager Office Manager Clerical)"/>
        <s v="H2 Site HSE &amp; QA/QC"/>
        <s v="H2 HR Staff"/>
        <s v="H2 Relocation Expenses"/>
        <s v="H2 General Foreman"/>
        <s v="H2 Survey Crew"/>
        <s v="H2 Warehouse Crew"/>
        <s v="H2 Operators"/>
        <s v="H2 General Site Labor (Fire Watch Ice/Water etc)"/>
        <s v="H2 Tool Room Attendant"/>
        <s v="H2 Orientation &amp; Drug Testing"/>
        <s v="H2 Welder Testing Labor"/>
        <s v="H2 Job Set Up Labor"/>
        <s v="Incorrect Generator Demob"/>
        <s v="H2 Ground Lug Welding"/>
        <s v="H3 Ductbank (35kV MER Pad T&amp;M )"/>
        <s v="H2 LS Ductbank (35kV/Telecom) - Labor"/>
        <s v="H2 LS CUP FNDs - Labor"/>
        <s v="H2 OSM Yard Mob/Demob &amp; Maintenance"/>
        <s v="H2 Accounting Accruals"/>
        <s v="Sitewide Dewatering Budget"/>
        <s v="Direct Burial Conduit (2&quot;) - Labor"/>
        <s v="Grout - C-9105 - Bldg. 01"/>
        <s v="Grout - C-9101 - Bldg. 01"/>
        <s v="Grout - C-9102 - Bldg. 01"/>
        <s v="Grout - C-9103 - Bldg. 01"/>
        <s v="Grout - C-9106 - Bldg. 01"/>
        <s v="Grout - C-9107 - Bldg. 01"/>
        <s v="Grout - C-9109 - Bldg. 01"/>
        <s v="Grout - C-9109 - Bldg. 02"/>
        <s v="Grout - C-9110 - Bldg. 01"/>
        <s v="Grout - C-9110 - Bldg. 02"/>
        <s v="Grout - C-9111 - Bldg. 01"/>
        <s v="Grout - C-9112 - Bldg. 02"/>
        <s v="Grout - C-9113 - Bldg. 02"/>
        <s v="Grout - C-9114 - Bldg. 02"/>
        <s v="Grout - C-9115 - Bldg. 02"/>
        <s v="Grout - C-9117 - Bldg. 03"/>
        <s v="Grout - C-9118 - Bldg. 03"/>
        <s v="Grout - C-9119 - Bldg. 02"/>
        <s v="Grout - C-9119 - Bldg. 03"/>
        <s v="Grout - C-9121 - Bldg. 03"/>
        <s v="Grout - C-9122 - Bldg. 03"/>
        <s v="Grout - C-9123 - Bldg. 03"/>
        <s v="MVDB - Cast-In-Place Labor (per WP)"/>
        <s v="MV: CIP DB - C-9101 - Bldg. 01"/>
        <s v="MV: CIP DB - C-9102 - Bldg. 01"/>
        <s v="MV: CIP DB - C-9103 - Bldg. 01"/>
        <s v="MV: CIP DB - C-9105 - Bldg. 01"/>
        <s v="MV: CIP DB - C-9106 - Bldg. 01"/>
        <s v="MV: CIP DB - C-9107 - Bldg. 01"/>
        <s v="MV: CIP DB - C-9109 - Bldg. 01"/>
        <s v="MV: CIP DB - C-9109 - Bldg. 02"/>
        <s v="MV: CIP DB - C-9110 - Bldg. 01"/>
        <s v="MV: CIP DB - C-9110 - Bldg. 02"/>
        <s v="MV: CIP DB - C-9111 - Bldg. 01"/>
        <s v="MV: CIP DB - C-9111 - Bldg. 02"/>
        <s v="MV: CIP DB - C-9113 - Bldg. 02"/>
        <s v="MV: CIP DB - C-9114 - Bldg. 02"/>
        <s v="MV: CIP DB - C-9115 - Bldg. 02"/>
        <s v="MV: CIP DB - C-9117 - Bldg. 03"/>
        <s v="MV: CIP DB - C-9118 - Bldg. 02"/>
        <s v="MV: CIP DB - C-9118 - Bldg. 03"/>
        <s v="MV: CIP DB - C-9119 - Bldg. 02"/>
        <s v="MV: CIP DB - C-9119 - Bldg. 03"/>
        <s v="MV: CIP DB - C-9121 - Bldg. 03"/>
        <s v="MV: CIP DB - C-9122 - Bldg. 03"/>
        <s v="MV: CIP DB - C-9123 - Bldg. 03"/>
        <s v="Prefab Conduit Bends - Bldg. 1"/>
        <s v="Prefab Conduit Bends - Bldg. 2"/>
        <s v="Prefab Conduit Bends - Bldg. 3"/>
        <s v="MVDB - Precast Ductbank Labor (per WP)"/>
        <s v="MV: Precast DB - C-9101 - Bldg. 01"/>
        <s v="MV: Precast DB - C-9102 - Bldg. 01"/>
        <s v="MV: Precast DB - C-9103 - Bldg. 01"/>
        <s v="MV: Precast DB - C-9105 - Bldg. 01"/>
        <s v="MV: Precast DB - C-9106 - Bldg. 01"/>
        <s v="MV: Precast DB - C-9107 - Bldg. 01"/>
        <s v="MV: Precast DB - C-9109 - Bldg. 01"/>
        <s v="MV: Precast DB - C-9109 - Bldg. 02"/>
        <s v="MV: Precast DB - C-9110 - Bldg. 01"/>
        <s v="MV: Precast DB - C-9110 - Bldg. 02"/>
        <s v="MV: Precast DB - C-9111 - Bldg. 01"/>
        <s v="MV: Precast DB - C-9111 - Bldg. 02"/>
        <s v="MV: Precast DB - C-9113 - Bldg. 02"/>
        <s v="MV: Precast DB - C-9114 - Bldg. 02"/>
        <s v="MV: Precast DB - C-9115 - Bldg. 02"/>
        <s v="MV: Precast DB - C-9117 - Bldg. 03"/>
        <s v="MV: Precast DB - C-9118 - Bldg. 02"/>
        <s v="MV: Precast DB - C-9118 - Bldg. 03"/>
        <s v="MV: Precast DB - C-9119 - Bldg. 02"/>
        <s v="MV: Precast DB - C-9119 - Bldg. 03"/>
        <s v="MV: Precast DB - C-9121 - Bldg. 03"/>
        <s v="MV: Precast DB - C-9122 - Bldg. 03"/>
        <s v="MV: Precast DB - C-9123 - Bldg. 03"/>
        <s v="Receive &amp; Inspect Precast DB - Bldg. 1"/>
        <s v="Receive &amp; Inspect Precast DB - Bldg. 2"/>
        <s v="Receive &amp; Inspect Precast DB - Bldg. 3"/>
        <s v="MVDB - Excavation (per WP)"/>
        <s v="MV: Excavation - C-9101 - Bldg. 01"/>
        <s v="MV: Excavation - C-9102 - Bldg. 01"/>
        <s v="MV: Excavation - C-9103 - Bldg. 01"/>
        <s v="MV: Excavation - C-9105 - Bldg. 01"/>
        <s v="MV: Excavation - C-9106 - Bldg. 01"/>
        <s v="MV: Excavation - C-9107 - Bldg. 01"/>
        <s v="MV: Excavation - C-9109 - Bldg. 01"/>
        <s v="MV: Excavation - C-9109 - Bldg. 02"/>
        <s v="MV: Excavation - C-9110 - Bldg. 01"/>
        <s v="MV: Excavation - C-9110 - Bldg. 02"/>
        <s v="MV: Excavation - C-9111 - Bldg. 01"/>
        <s v="MV: Excavation - C-9111 - Bldg. 02"/>
        <s v="MV: Excavation - C-9113 - Bldg. 02"/>
        <s v="MV: Excavation - C-9114 - Bldg. 02"/>
        <s v="MV: Excavation - C-9115 - Bldg. 02"/>
        <s v="MV: Excavation - C-9117 - Bldg. 03"/>
        <s v="MV: Excavation - C-9118 - Bldg. 02"/>
        <s v="MV: Excavation - C-9118 - Bldg. 03"/>
        <s v="MV: Excavation - C-9119 - Bldg. 02"/>
        <s v="MV: Excavation - C-9119 - Bldg. 03"/>
        <s v="MV: Excavation - C-9121 - Bldg. 03"/>
        <s v="MV: Excavation - C-9122 - Bldg. 03"/>
        <s v="MV: Excavation - C-9123 - Bldg. 03"/>
        <s v="MVDB - Backfill &amp; Compaction (per WP)"/>
        <s v="MV: Backfill - C-9101 - Bldg. 01"/>
        <s v="MV: Backfill - C-9102 - Bldg. 01"/>
        <s v="MV: Backfill - C-9103 - Bldg. 01"/>
        <s v="MV: Backfill - C-9105 - Bldg. 01"/>
        <s v="MV: Backfill - C-9106 - Bldg. 01"/>
        <s v="MV: Backfill - C-9107 - Bldg. 01"/>
        <s v="MV: Backfill - C-9109 - Bldg. 01"/>
        <s v="MV: Backfill - C-9109 - Bldg. 02"/>
        <s v="MV: Backfill - C-9110 - Bldg. 01"/>
        <s v="MV: Backfill - C-9110 - Bldg. 02"/>
        <s v="MV: Backfill - C-9111 - Bldg. 01"/>
        <s v="MV: Backfill - C-9111 - Bldg. 02"/>
        <s v="MV: Backfill - C-9113 - Bldg. 02"/>
        <s v="MV: Backfill - C-9114 - Bldg. 02"/>
        <s v="MV: Backfill - C-9115 - Bldg. 02"/>
        <s v="MV: Backfill - C-9117 - Bldg. 03"/>
        <s v="MV: Backfill - C-9118 - Bldg. 02"/>
        <s v="MV: Backfill - C-9118 - Bldg. 03"/>
        <s v="MV: Backfill - C-9119 - Bldg. 02"/>
        <s v="MV: Backfill - C-9119 - Bldg. 03"/>
        <s v="MV: Backfill - C-9121 - Bldg. 03"/>
        <s v="MV: Backfill - C-9122 - Bldg. 03"/>
        <s v="MV: Backfill - C-9123 - Bldg. 03"/>
        <s v="MVDB - Precast Manholes Labor (per WP)"/>
        <s v="MV: Vault Installation - C-9101 - Bldg. 01"/>
        <s v="MV: Vault Installation - C-9102 - Bldg. 01"/>
        <s v="MV: Vault Installation - C-9103 - Bldg. 01"/>
        <s v="MV: Vault Installation - C-9105 - Bldg. 01"/>
        <s v="MV: Vault Installation - C-9106 - Bldg. 01"/>
        <s v="MV: Vault Installation - C-9107 - Bldg. 01"/>
        <s v="MV: Vault Installation - C-9109 - Bldg. 01"/>
        <s v="MV: Vault Installation - C-9109 - Bldg. 02"/>
        <s v="MV: Vault Installation - C-9110 - Bldg. 01"/>
        <s v="MV: Vault Installation - C-9110 - Bldg. 02"/>
        <s v="MV: Vault Installation - C-9111 - Bldg. 01"/>
        <s v="MV: Vault Installation - C-9111 - Bldg. 02"/>
        <s v="MV: Vault Installation - C-9113 - Bldg. 02"/>
        <s v="MV: Vault Installation - C-9114 - Bldg. 02"/>
        <s v="MV: Vault Installation - C-9115 - Bldg. 02"/>
        <s v="MV: Vault Installation - C-9117 - Bldg. 03"/>
        <s v="MV: Vault Installation - C-9118 - Bldg. 03"/>
        <s v="MV: Vault Installation - C-9119 - Bldg. 02"/>
        <s v="MV: Vault Installation - C-9119 - Bldg. 03"/>
        <s v="MV: Vault Installation - C-9121 - Bldg. 03"/>
        <s v="MV: Vault Installation - C-9122 - Bldg. 03"/>
        <s v="MV: Vault Installation - C-9123 - Bldg. 03"/>
        <s v="Receive &amp; Inspect Manholes - Bldg. 1"/>
        <s v="Receive &amp; Inspect Manholes - Bldg. 2"/>
        <s v="Receive &amp; Inspect Manholes - Bldg. 3"/>
        <s v="MVDB - Testing Labor (per WP)"/>
        <s v="MV: Testing - C-9101 - Bldg. 01"/>
        <s v="MV: Testing - C-9102 - Bldg. 01"/>
        <s v="MV: Testing - C-9103 - Bldg. 01"/>
        <s v="MV: Testing - C-9105 - Bldg. 01"/>
        <s v="MV: Testing - C-9106 - Bldg. 01"/>
        <s v="MV: Testing - C-9107 - Bldg. 01"/>
        <s v="MV: Testing - C-9109 - Bldg. 01"/>
        <s v="MV: Testing - C-9109 - Bldg. 02"/>
        <s v="MV: Testing - C-9110 - Bldg. 01"/>
        <s v="MV: Testing - C-9110 - Bldg. 02"/>
        <s v="MV: Testing - C-9111 - Bldg. 01"/>
        <s v="MV: Testing - C-9111 - Bldg. 02"/>
        <s v="MV: Testing - C-9113 - Bldg. 02"/>
        <s v="MV: Testing - C-9114 - Bldg. 02"/>
        <s v="MV: Testing - C-9115 - Bldg. 02"/>
        <s v="MV: Testing - C-9117 - Bldg. 03"/>
        <s v="MV: Testing - C-9118 - Bldg. 03"/>
        <s v="MV: Testing - C-9119 - Bldg. 02"/>
        <s v="MV: Testing - C-9119 - Bldg. 03"/>
        <s v="MV: Testing - C-9121 - Bldg. 03"/>
        <s v="MV: Testing - C-9122 - Bldg. 03"/>
        <s v="MV: Testing - C-9123 - Bldg. 03"/>
        <s v="MVDB - Locate Labor (per WP)"/>
        <s v="MV: Locate Labor - C-9101 - Bldg. 01"/>
        <s v="MV: Locate Labor - C-9102 - Bldg. 01"/>
        <s v="MV: Locate Labor - C-9103 - Bldg. 01"/>
        <s v="MV: Locate Labor - C-9105 - Bldg. 01"/>
        <s v="MV: Locate Labor - C-9106 - Bldg. 01"/>
        <s v="MV: Locate Labor - C-9107 - Bldg. 01"/>
        <s v="MV: Locate Labor - C-9109 - Bldg. 01"/>
        <s v="MV: Locate Labor - C-9109 - Bldg. 02"/>
        <s v="MV: Locate Labor - C-9110 - Bldg. 01"/>
        <s v="MV: Locate Labor - C-9110 - Bldg. 02"/>
        <s v="MV: Locate Labor - C-9111 - Bldg. 01"/>
        <s v="MV: Locate Labor - C-9111 - Bldg. 02"/>
        <s v="MV: Locate Labor - C-9113 - Bldg. 02"/>
        <s v="MV: Locate Labor - C-9114 - Bldg. 02"/>
        <s v="MV: Locate Labor - C-9115 - Bldg. 02"/>
        <s v="MV: Locate Labor - C-9117 - Bldg. 03"/>
        <s v="MV: Locate Labor - C-9118 - Bldg. 03"/>
        <s v="MV: Locate Labor - C-9119 - Bldg. 02"/>
        <s v="MV: Locate Labor - C-9119 - Bldg. 03"/>
        <s v="MV: Locate Labor - C-9121 - Bldg. 03"/>
        <s v="MV: Locate Labor - C-9122 - Bldg. 03"/>
        <s v="MV: Locate Labor - C-9123 - Bldg. 03"/>
        <s v="Telecoms Systems - Precast Trench Install (per WP)"/>
        <s v="Telecoms - Precast Trench - C-8101 - Bldg. 01"/>
        <s v="Telecoms - Precast Trench - C-8102 - Bldg. 01"/>
        <s v="Telecoms - Precast Trench - C-8103 - Bldg. 01_x000d__x000a_"/>
        <s v="Telecoms - Precast Trench - C-8105 - Bldg. 01_x000d__x000a_"/>
        <s v="Telecoms - Precast Trench - C-8106 - Bldg. 01_x000d__x000a_"/>
        <s v="Telecoms - Precast Trench - C-8107 - Bldg. 01_x000d__x000a_"/>
        <s v="Telecoms - Precast Trench - C-8109 - Bldg. 01_x000d__x000a_"/>
        <s v="Telecoms - Precast Trench - C-8109 - Bldg. 02_x000d__x000a_"/>
        <s v="Telecoms - Precast Trench - C-8110 - Bldg. 01_x000d__x000a_"/>
        <s v="Telecoms - Precast Trench - C-8110 - Bldg. 02_x000d__x000a_"/>
        <s v="Telecoms - Precast Trench - C-8111 - Bldg. 01_x000d__x000a_"/>
        <s v="Telecoms - Precast Trench - C-8111 - Bldg. 02"/>
        <s v="Telecoms - Precast Trench - C-8113 - Bldg. 02_x000d__x000a_"/>
        <s v="Telecoms - Precast Trench - C-8114 - Bldg. 02_x000d__x000a_"/>
        <s v="Telecoms - Precast Trench - C-8115 - Bldg. 02_x000d__x000a_"/>
        <s v="Telecoms - Precast Trench - C-8117 - Bldg. 02_x000d__x000a_"/>
        <s v="Telecoms - Precast Trench - C-8117 - Bldg. 03"/>
        <s v="Telecoms - Precast Trench - C-8118 - Bldg. 02_x000d__x000a_"/>
        <s v="Telecoms - Precast Trench - C-8118 - Bldg. 03"/>
        <s v="Telecoms - Precast Trench - C-8119 - Bldg. 02_x000d__x000a_"/>
        <s v="Telecoms - Precast Trench - C-8119 - Bldg. 03"/>
        <s v="Telecoms - Precast Trench - C-8121 - Bldg. 03"/>
        <s v="Telecoms - Precast Trench - C-8122 - Bldg. 03_x000d__x000a_"/>
        <s v="Telecoms - Precast Trench - C-8123 - Bldg. 03_x000d__x000a_"/>
        <s v="Telecoms Systems - Excavation &amp; Sub Grade (per WP)"/>
        <s v="Telecoms - Excavation - C-8101 - Bldg. 01_x000d__x000a_"/>
        <s v="Telecoms - Excavation - C-8102 - Bldg. 01_x000d__x000a_"/>
        <s v="Telecoms - Excavation - C-8103 - Bldg. 01_x000d__x000a_"/>
        <s v="Telecoms - Excavation - C-8105 - Bldg. 01_x000d__x000a_"/>
        <s v="Telecoms - Excavation - C-8106 - Bldg. 01_x000d__x000a_"/>
        <s v="Telecoms - Excavation - C-8107 - Bldg. 01"/>
        <s v="Telecoms - Excavation - C-8109 - Bldg. 01_x000d__x000a_"/>
        <s v="Telecoms - Excavation - C-8109 - Bldg. 02"/>
        <s v="Telecoms - Excavation - C-8110 - Bldg. 01_x000d__x000a_"/>
        <s v="Telecoms - Excavation - C-8110 - Bldg. 10"/>
        <s v="Telecoms - Excavation - C-8111 - Bldg. 01_x000d__x000a_"/>
        <s v="Telecoms - Excavation - C-8111 - Bldg. 02"/>
        <s v="Telecoms - Excavation - C-8113 - Bldg. 02_x000d__x000a_"/>
        <s v="Telecoms - Excavation - C-8113 - Bldg. 03"/>
        <s v="Telecoms - Excavation - C-8114 - Bldg. 02_x000d__x000a_"/>
        <s v="Telecoms - Excavation - C-8115 - Bldg. 01_x000d__x000a_"/>
        <s v="Telecoms - Excavation - C-8115 - Bldg. 02"/>
        <s v="Telecoms - Excavation - C-8115 - Bldg. 03"/>
        <s v="Telecoms - Excavation - C-8117 - Bldg. 02_x000d__x000a_"/>
        <s v="Telecoms - Excavation - C-8117 - Bldg. 03"/>
        <s v="Telecoms - Excavation - C-8118 - Bldg. 02_x000d__x000a_"/>
        <s v="Telecoms - Excavation - C-8118 - Bldg. 03"/>
        <s v="Telecoms - Excavation - C-8119 - Bldg. 01"/>
        <s v="Telecoms - Excavation - C-8119 - Bldg. 02_x000d__x000a_"/>
        <s v="Telecoms - Excavation - C-8119 - Bldg. 03"/>
        <s v="Telecoms - Excavation - C-8121 - Bldg. 03_x000d__x000a_"/>
        <s v="Telecoms - Excavation - C-8122 - Bldg. 03_x000d__x000a_"/>
        <s v="Telecoms - Excavation - C-8123 - Bldg. 01_x000d__x000a_"/>
        <s v="Telecoms - Excavation - C-8123 - Bldg. 03"/>
        <s v="Telecoms - Excavation - C-8125 - Bldg. 03_x000d__x000a_"/>
        <s v="Telecoms - Excavation - C-8127 - Bldg. 01_x000d__x000a_"/>
        <s v="Telecoms - Excavation - C-8128 - Bldg. 01_x000d__x000a_"/>
        <s v="Telecoms - Excavation - C-8129 - Bldg. 03_x000d__x000a_"/>
        <s v="Telecoms - Excavation - C-8132 - Bldg. 01_x000d__x000a_"/>
        <s v="Telecoms - Excavation - C-8133 - Bldg. 03_x000d__x000a_"/>
        <s v="Telecoms - Excavation - C-8136 - Bldg. 01_x000d__x000a_"/>
        <s v="Telecoms Systems - Backfill &amp; Compaction (per WP)"/>
        <s v="Telecoms - Backfill - C-8101 - Bldg. 01_x000d__x000a_"/>
        <s v="Telecoms - Backfill - C-8102 - Bldg. 01_x000d__x000a_"/>
        <s v="Telecoms - Backfill - C-8103 - Bldg. 01_x000d__x000a_"/>
        <s v="Telecoms - Backfill - C-8105 - Bldg. 01_x000d__x000a_"/>
        <s v="Telecoms - Backfill - C-8106 - Bldg. 01_x000d__x000a_"/>
        <s v="Telecoms - Backfill - C-8107 - Bldg. 01"/>
        <s v="Telecoms - Backfill - C-8109 - Bldg. 01_x000d__x000a_"/>
        <s v="Telecoms - Backfill - C-8109 - Bldg. 02_x000d__x000a_"/>
        <s v="Telecoms - Backfill - C-8110 - Bldg. 01_x000d__x000a_"/>
        <s v="Telecoms - Backfill - C-8110 - Bldg. 02_x000d__x000a_"/>
        <s v="Telecoms - Backfill - C-8111 - Bldg. 01_x000d__x000a_"/>
        <s v="Telecoms - Backfill - C-8111 - Bldg. 02_x000d__x000a_"/>
        <s v="Telecoms - Backfill - C-8113 - Bldg. 02_x000d__x000a_"/>
        <s v="Telecoms - Backfill - C-8113 - Bldg. 03"/>
        <s v="Telecoms - Backfill - C-8114 - Bldg. 02_x000d__x000a_"/>
        <s v="Telecoms - Backfill - C-8115 - Bldg. 01_x000d__x000a_"/>
        <s v="Telecoms - Backfill - C-8115 - Bldg. 02"/>
        <s v="Telecoms - Backfill - C-8115 - Bldg. 03"/>
        <s v="Telecoms - Backfill - C-8117 - Bldg. 02_x000d__x000a_"/>
        <s v="Telecoms - Backfill - C-8117 - Bldg. 03"/>
        <s v="Telecoms - Backfill - C-8118 - Bldg. 02_x000d__x000a_"/>
        <s v="Telecoms - Backfill - C-8118 - Bldg. 03"/>
        <s v="Telecoms - Backfill - C-8119 - Bldg. 01_x000d__x000a_"/>
        <s v="Telecoms - Backfill - C-8119 - Bldg. 02"/>
        <s v="Telecoms - Backfill - C-8119 - Bldg. 03"/>
        <s v="Telecoms - Backfill - C-8121 - Bldg. 03_x000d__x000a_"/>
        <s v="Telecoms - Backfill - C-8122 - Bldg. 03_x000d__x000a_"/>
        <s v="Telecoms - Backfill - C-8123 - Bldg. 01_x000d__x000a_"/>
        <s v="Telecoms - Backfill - C-8123 - Bldg. 03_x000d__x000a_"/>
        <s v="Telecoms - Backfill - C-8125 - Bldg. 03_x000d__x000a_"/>
        <s v="Telecoms - Backfill - C-8127 - Bldg. 01_x000d__x000a_"/>
        <s v="Telecoms - Backfill - C-8128 - Bldg. 01_x000d__x000a_"/>
        <s v="Telecoms - Backfill - C-8129 - Bldg. 03_x000d__x000a_"/>
        <s v="Telecoms - Backfill - C-8132 - Bldg. 01_x000d__x000a_"/>
        <s v="Telecoms - Backfill - C-8133 - Bldg. 03_x000d__x000a_"/>
        <s v="Telecoms - Backfill - C-8136 - Bldg. 01_x000d__x000a_"/>
        <s v="Telecoms Systems - Precast Manhole Install (per WP)"/>
        <s v="Telecoms - Manholes - C-8101 - Bldg. 01_x000d__x000a_"/>
        <s v="Telecoms - Manholes - C-8107 - Bldg. 01_x000d__x000a_"/>
        <s v="Telecoms - Manholes - C-8109 - Bldg. 01_x000d__x000a_"/>
        <s v="Telecoms - Manholes - C-8111 - Bldg. 01_x000d__x000a_"/>
        <s v="Telecoms - Manholes - C-8113 - Bldg. 03_x000d__x000a_"/>
        <s v="Telecoms - Manholes - C-8115 - Bldg. 01_x000d__x000a_"/>
        <s v="Telecoms - Manholes - C-8117 - Bldg. 03_x000d__x000a_"/>
        <s v="Telecoms - Manholes - C-8119 - Bldg. 01_x000d__x000a_"/>
        <s v="Telecoms - Manholes - C-8121 - Bldg. 03_x000d__x000a_"/>
        <s v="Telecoms - Manholes - C-8123 - Bldg. 01_x000d__x000a_"/>
        <s v="Telecoms - Manholes - C-8125 - Bldg. 03_x000d__x000a_"/>
        <s v="Telecoms - Manholes - C-8127 - Bldg. 01_x000d__x000a_"/>
        <s v="Telecoms - Manholes - C-8128 - Bldg. 01_x000d__x000a_"/>
        <s v="Telecoms - Manholes - C-8129 - Bldg. 03_x000d__x000a_"/>
        <s v="Telecoms - Manholes - C-8132 - Bldg. 01_x000d__x000a_"/>
        <s v="Telecoms - Manholes - C-8133 - Bldg. 03_x000d__x000a_"/>
        <s v="Telecoms - Manholes - C-8136 - Bldg. 01_x000d__x000a_"/>
        <s v="Telecoms Systems - UG CIP Ductbank Labor (per WP)"/>
        <s v="Telecoms - Duct Banks (CIP) - C-8101 - Bldg. 01_x000d__x000a_"/>
        <s v="Telecoms - Duct Banks (CIP) - C-8102 - Bldg. 01_x000d__x000a_"/>
        <s v="Telecoms - Duct Banks (CIP) - C-8103 - Bldg. 01_x000d__x000a_"/>
        <s v="Telecoms - Duct Banks (CIP) - C-8107 - Bldg. 01_x000d__x000a_"/>
        <s v="Telecoms - Duct Banks (CIP) - C-8109 - Bldg. 01_x000d__x000a_"/>
        <s v="Telecoms - Duct Banks (CIP) - C-8111 - Bldg. 01_x000d__x000a_"/>
        <s v="Telecoms - Duct Banks (CIP) - C-8113 - Bldg. 03_x000d__x000a_"/>
        <s v="Telecoms - Duct Banks (CIP) - C-8115 - Bldg. 01_x000d__x000a_"/>
        <s v="Telecoms - Duct Banks (CIP) - C-8115 - Bldg. 02_x000d__x000a_"/>
        <s v="Telecoms - Duct Banks (CIP) - C-8117 - Bldg. 03_x000d__x000a_"/>
        <s v="Telecoms - Duct Banks (CIP) - C-8119 - Bldg. 01"/>
        <s v="Telecoms - Duct Banks (CIP) - C-8121 - Bldg. 03_x000d__x000a_"/>
        <s v="Telecoms - Duct Banks (CIP) - C-8123 - Bldg. 01_x000d__x000a_"/>
        <s v="Telecoms - Duct Banks (CIP) - C-8123 - Bldg. 03"/>
        <s v="Telecoms - Duct Banks (CIP) - C-8125 - Bldg. 03_x000d__x000a_"/>
        <s v="Telecoms - Duct Banks (CIP) - C-8127 - Bldg. 01_x000d__x000a_"/>
        <s v="Telecoms - Duct Banks (CIP) - C-8128 - Bldg. 01_x000d__x000a_"/>
        <s v="Telecoms - Duct Banks (CIP) - C-8129 - Bldg. 03_x000d__x000a_"/>
        <s v="Telecoms - Duct Banks (CIP) - C-8132 - Bldg. 01_x000d__x000a_"/>
        <s v="Telecoms - Duct Banks (CIP) - C-8133 - Bldg. 03_x000d__x000a_"/>
        <s v="Telecoms - Duct Banks (CIP) - C-8136 - Bldg. 01_x000d__x000a_"/>
        <s v="Telecoms Systems - CIP Trench Labor (per WP)"/>
        <s v="Telecoms - Trenches (CIP) - C-8101 - Bldg. 01_x000d__x000a_"/>
        <s v="Telecoms - Trenches (CIP) - C-8102 - Bldg. 01_x000d__x000a_"/>
        <s v="Telecoms - Trenches (CIP) - C-8103 - Bldg. 01_x000d__x000a_"/>
        <s v="Telecoms - Trenches (CIP) - C-8107 - Bldg. 01_x000d__x000a_"/>
        <s v="Telecoms - Trenches (CIP) - C-8109 - Bldg. 01_x000d__x000a_"/>
        <s v="Telecoms - Trenches (CIP) - C-8109 - Bldg. 02_x000d__x000a_"/>
        <s v="Telecoms - Trenches (CIP) - C-8110 - Bldg. 01_x000d__x000a_"/>
        <s v="Telecoms - Trenches (CIP) - C-8111 - Bldg. 01_x000d__x000a_"/>
        <s v="Telecoms - Trenches (CIP) - C-8111 - Bldg. 02_x000d__x000a_"/>
        <s v="Telecoms - Trenches (CIP) - C-8113 - Bldg. 02_x000d__x000a_"/>
        <s v="Telecoms - Trenches (CIP) - C-8115 - Bldg. 02_x000d__x000a_"/>
        <s v="Telecoms - Trenches (CIP) - C-8117 - Bldg. 03_x000d__x000a_"/>
        <s v="Telecoms - Trenches (CIP) - C-8118 - Bldg. 02_x000d__x000a_"/>
        <s v="Telecoms - Trenches (CIP) - C-8119 - Bldg. 02_x000d__x000a_"/>
        <s v="Telecoms - Trenches (CIP) - C-8119 - Bldg. 03"/>
        <s v="Telecoms - Trenches (CIP) - C-8121 - Bldg. 03_x000d__x000a_"/>
        <s v="Telecoms - Trenches (CIP) - C-8123 - Bldg. 03_x000d__x000a_"/>
        <s v="Telecoms Systems - French Drain Install (per WP)"/>
        <s v="Communication and IT Services (Labor)"/>
        <s v="Mobilization Delays"/>
        <s v="True-Up Budget Offset"/>
        <s v="Bulletin #1 Budget Offset"/>
        <s v="Civil - Backfill/Finish/Fine Grading Labor"/>
        <s v="Civil - Foundations Concrete &amp; Rebar Labor"/>
        <s v="Civil - Duct Banks Concrete &amp; Rebar Labor"/>
        <s v="Civil - Precast Manholes/Vaults Labor"/>
        <s v="Grout Labor - H3 Pipe Racks"/>
        <s v="Grout Labor - H4 Pipe Racks"/>
        <s v="Grout Labor - H3 Supp Steel"/>
        <s v="Grout Labor - H4 Supp Steel"/>
        <s v="H3 H4 Anchor Bolt Installation Labor"/>
        <s v="Expanion Loops and Dog Legs Labor"/>
        <s v="Set &amp; Install MER Buildings and Generators"/>
        <s v="H3 CS Pipe Fabrication Labor - OSM"/>
        <s v="H3 CS Pipe Installation Labor - SITE"/>
        <s v="H4 CS Pipe Fabrication Labor - OSM"/>
        <s v="H4 CS Pipe Installation Labor - SITE"/>
        <s v="H3 SS Pipe Installation Labor"/>
        <s v="H4 SS Pipe Installation Labor"/>
        <s v="MER Fire Water Risers Labor"/>
        <s v="H3 H4 Pipe Support Installation Labor"/>
        <s v="Pipe Labels Labor (per work package)"/>
        <s v="Start-Up Support Labor"/>
        <s v="General Site Laborer (Fire Watch  Ice/Water)"/>
        <s v="Job Set Up and Maintenance Labor"/>
        <s v="Night Shift Premium &amp; Labor Escalation Allowance"/>
        <s v="OSM Yard Mob/Demob &amp; Maintenance Labor"/>
        <s v="H34 - LS - 35KV &amp; Telecom DB - Labor"/>
        <s v="H34 - LS - CUP FNDs - Labor"/>
        <s v="CS SB Aboveground Labor (per work package)"/>
        <s v="General Site Laborer (Fire Watch  Ice/Water  etcï¿½)"/>
      </sharedItems>
    </cacheField>
    <cacheField name="ERROR DESCRIPTION" numFmtId="0">
      <sharedItems containsBlank="1" count="14">
        <m/>
        <s v="EARN NO BURN"/>
        <s v="CODE NOT PROGRESSABLE"/>
        <s v="PF CHECK"/>
        <s v="OVERRUNNING PROJECTION"/>
        <s v="PF CHECK BURN NO EARN CODE NOT PROGRESSABLE"/>
        <s v="PF CHECK OVERRUNNING PROJECTION"/>
        <s v="PF CHECK BURN NO EARN"/>
        <s v="PF CHECK BURN NO EARN ACTUAL UNITS WITH NO EST UNITS"/>
        <s v="PF CHECK BURN NO EARN CHARGING AT 100% OVERRUNNING PROJECTION"/>
        <s v="&gt;100%"/>
        <s v="PF CHECK &gt;100%"/>
        <s v="PF CHECK BURN NO EARN CHARGING AT 100%"/>
        <s v="&gt;100% OVERRUNNING PROJECTION CODE NOT PROGRESSABLE"/>
      </sharedItems>
    </cacheField>
    <cacheField name="Est Units" numFmtId="164">
      <sharedItems containsSemiMixedTypes="0" containsString="0" containsNumber="1" minValue="-0.2000000000007276" maxValue="444708"/>
    </cacheField>
    <cacheField name="Est Hours" numFmtId="164">
      <sharedItems containsSemiMixedTypes="0" containsString="0" containsNumber="1" minValue="-60657" maxValue="163339"/>
    </cacheField>
    <cacheField name="ACT QTY" numFmtId="164">
      <sharedItems containsSemiMixedTypes="0" containsString="0" containsNumber="1" minValue="0" maxValue="115323.95000000001"/>
    </cacheField>
    <cacheField name="ACT MH" numFmtId="164">
      <sharedItems containsSemiMixedTypes="0" containsString="0" containsNumber="1" minValue="0" maxValue="66172.5"/>
    </cacheField>
    <cacheField name="Wk Units" numFmtId="164">
      <sharedItems containsSemiMixedTypes="0" containsString="0" containsNumber="1" minValue="-22.216000000000001" maxValue="30133.5"/>
    </cacheField>
    <cacheField name="Wk ACT MH" numFmtId="164">
      <sharedItems containsSemiMixedTypes="0" containsString="0" containsNumber="1" containsInteger="1" minValue="-5949" maxValue="7261"/>
    </cacheField>
    <cacheField name="Wk ERN MH" numFmtId="164">
      <sharedItems containsSemiMixedTypes="0" containsString="0" containsNumber="1" minValue="-2122.862222222222" maxValue="23659.075000000001"/>
    </cacheField>
    <cacheField name="JTD ERN" numFmtId="4">
      <sharedItems containsSemiMixedTypes="0" containsString="0" containsNumber="1" minValue="0" maxValue="88558"/>
    </cacheField>
    <cacheField name="PJTD HR" numFmtId="164">
      <sharedItems containsSemiMixedTypes="0" containsString="0" containsNumber="1" minValue="-60657" maxValue="351697"/>
    </cacheField>
    <cacheField name="EXTP HR" numFmtId="164">
      <sharedItems containsSemiMixedTypes="0" containsString="0" containsNumber="1" minValue="-60657" maxValue="351697"/>
    </cacheField>
    <cacheField name="%" numFmtId="9">
      <sharedItems containsSemiMixedTypes="0" containsString="0" containsNumber="1" minValue="0" maxValue="37.270000000000003"/>
    </cacheField>
    <cacheField name="wk PF" numFmtId="0">
      <sharedItems containsSemiMixedTypes="0" containsString="0" containsNumber="1" minValue="-8.1" maxValue="46.65"/>
    </cacheField>
    <cacheField name="JTD PF" numFmtId="0">
      <sharedItems containsSemiMixedTypes="0" containsString="0" containsNumber="1" minValue="0" maxValue="18.760000000000002"/>
    </cacheField>
    <cacheField name="WK PR TE" numFmtId="0">
      <sharedItems containsSemiMixedTypes="0" containsString="0" containsNumber="1" minValue="0" maxValue="7256"/>
    </cacheField>
    <cacheField name="REM BDGT" numFmtId="164">
      <sharedItems containsSemiMixedTypes="0" containsString="0" containsNumber="1" minValue="-60657" maxValue="1633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6">
  <r>
    <x v="0"/>
    <x v="0"/>
    <x v="0"/>
    <x v="0"/>
    <x v="0"/>
    <n v="93.999999999999602"/>
    <n v="2493.00000000002"/>
    <n v="0"/>
    <n v="0"/>
    <n v="0"/>
    <n v="0"/>
    <n v="0"/>
    <n v="0"/>
    <n v="2.0008883439004421E-11"/>
    <n v="2.0008883439004421E-11"/>
    <n v="0"/>
    <n v="0"/>
    <n v="0"/>
    <n v="0"/>
    <n v="2493.00000000002"/>
  </r>
  <r>
    <x v="0"/>
    <x v="0"/>
    <x v="1"/>
    <x v="1"/>
    <x v="0"/>
    <n v="952"/>
    <n v="16255"/>
    <n v="951.99999999999977"/>
    <n v="11157.5"/>
    <n v="0"/>
    <n v="0"/>
    <n v="0"/>
    <n v="16254.999999999996"/>
    <n v="11157.5"/>
    <n v="11157.500000000002"/>
    <n v="1"/>
    <n v="0"/>
    <n v="1.46"/>
    <n v="0"/>
    <n v="5097.5"/>
  </r>
  <r>
    <x v="0"/>
    <x v="0"/>
    <x v="2"/>
    <x v="2"/>
    <x v="1"/>
    <n v="5368"/>
    <n v="88558"/>
    <n v="5368"/>
    <n v="48440.5"/>
    <n v="755.27800000000002"/>
    <n v="0"/>
    <n v="12460.117198956781"/>
    <n v="88558"/>
    <n v="50000"/>
    <n v="48440.5"/>
    <n v="1"/>
    <n v="0"/>
    <n v="1.83"/>
    <n v="0"/>
    <n v="40117.5"/>
  </r>
  <r>
    <x v="0"/>
    <x v="0"/>
    <x v="3"/>
    <x v="3"/>
    <x v="0"/>
    <n v="113"/>
    <n v="1729"/>
    <n v="113"/>
    <n v="863.75"/>
    <n v="0"/>
    <n v="0"/>
    <n v="0"/>
    <n v="1729"/>
    <n v="863.75"/>
    <n v="863.75"/>
    <n v="1"/>
    <n v="0"/>
    <n v="2"/>
    <n v="0"/>
    <n v="865.25"/>
  </r>
  <r>
    <x v="0"/>
    <x v="1"/>
    <x v="4"/>
    <x v="4"/>
    <x v="0"/>
    <n v="48"/>
    <n v="1143"/>
    <n v="48"/>
    <n v="402.5"/>
    <n v="0"/>
    <n v="0"/>
    <n v="0"/>
    <n v="1143"/>
    <n v="402.5"/>
    <n v="402.5"/>
    <n v="1"/>
    <n v="0"/>
    <n v="2.84"/>
    <n v="0"/>
    <n v="740.5"/>
  </r>
  <r>
    <x v="0"/>
    <x v="1"/>
    <x v="5"/>
    <x v="5"/>
    <x v="1"/>
    <n v="3.04"/>
    <n v="9671"/>
    <n v="3.04"/>
    <n v="1371.75"/>
    <n v="1.7350000000000001"/>
    <n v="0"/>
    <n v="5519.46875"/>
    <n v="9671"/>
    <n v="1371.75"/>
    <n v="1371.75"/>
    <n v="1"/>
    <n v="0"/>
    <n v="7.05"/>
    <n v="0"/>
    <n v="8299.25"/>
  </r>
  <r>
    <x v="0"/>
    <x v="1"/>
    <x v="6"/>
    <x v="6"/>
    <x v="0"/>
    <n v="1"/>
    <n v="10"/>
    <n v="0.99999999999999978"/>
    <n v="12"/>
    <n v="0"/>
    <n v="0"/>
    <n v="0"/>
    <n v="9.9999999999999982"/>
    <n v="12"/>
    <n v="12.000000000000004"/>
    <n v="1"/>
    <n v="0"/>
    <n v="0.83"/>
    <n v="0"/>
    <n v="-2"/>
  </r>
  <r>
    <x v="0"/>
    <x v="2"/>
    <x v="7"/>
    <x v="7"/>
    <x v="0"/>
    <n v="4"/>
    <n v="180"/>
    <n v="0"/>
    <n v="182.5"/>
    <n v="0"/>
    <n v="0"/>
    <n v="0"/>
    <n v="0"/>
    <n v="182.5"/>
    <n v="182.5"/>
    <n v="0"/>
    <n v="0"/>
    <n v="0"/>
    <n v="0"/>
    <n v="-2.5"/>
  </r>
  <r>
    <x v="0"/>
    <x v="2"/>
    <x v="8"/>
    <x v="8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9"/>
    <x v="9"/>
    <x v="2"/>
    <n v="0"/>
    <n v="-1.0913936421275139E-11"/>
    <n v="0"/>
    <n v="0"/>
    <n v="0"/>
    <n v="0"/>
    <n v="0"/>
    <n v="0"/>
    <n v="-1.0913936421275139E-11"/>
    <n v="-1.0913936421275139E-11"/>
    <n v="0"/>
    <n v="0"/>
    <n v="0"/>
    <n v="0"/>
    <n v="-1.0913936421275139E-11"/>
  </r>
  <r>
    <x v="0"/>
    <x v="3"/>
    <x v="10"/>
    <x v="10"/>
    <x v="0"/>
    <n v="13077"/>
    <n v="14103"/>
    <n v="13077"/>
    <n v="13750.5"/>
    <n v="0"/>
    <n v="0"/>
    <n v="0"/>
    <n v="14103"/>
    <n v="13750.5"/>
    <n v="13750.5"/>
    <n v="1"/>
    <n v="0"/>
    <n v="1.03"/>
    <n v="0"/>
    <n v="352.5"/>
  </r>
  <r>
    <x v="0"/>
    <x v="4"/>
    <x v="11"/>
    <x v="11"/>
    <x v="0"/>
    <n v="12870"/>
    <n v="18126"/>
    <n v="12869.999999999998"/>
    <n v="19704"/>
    <n v="0"/>
    <n v="0"/>
    <n v="0"/>
    <n v="18125.999999999996"/>
    <n v="19704"/>
    <n v="19704.000000000004"/>
    <n v="1"/>
    <n v="0"/>
    <n v="0.92"/>
    <n v="0"/>
    <n v="-1578"/>
  </r>
  <r>
    <x v="0"/>
    <x v="4"/>
    <x v="12"/>
    <x v="12"/>
    <x v="3"/>
    <n v="25527"/>
    <n v="34249"/>
    <n v="23295.940000000006"/>
    <n v="25269.25"/>
    <n v="291.00799999999998"/>
    <n v="95"/>
    <n v="390.43886833548788"/>
    <n v="31255.637131664524"/>
    <n v="34249"/>
    <n v="27689.294561627466"/>
    <n v="0.91"/>
    <n v="4.1100000000000003"/>
    <n v="1.24"/>
    <n v="95"/>
    <n v="8884.75"/>
  </r>
  <r>
    <x v="0"/>
    <x v="4"/>
    <x v="13"/>
    <x v="13"/>
    <x v="4"/>
    <n v="2486"/>
    <n v="1474"/>
    <n v="1657.1679999999999"/>
    <n v="711.75"/>
    <n v="0"/>
    <n v="0"/>
    <n v="0"/>
    <n v="982.56863716814155"/>
    <n v="711.75"/>
    <n v="1067.7315154528692"/>
    <n v="0.67"/>
    <n v="0"/>
    <n v="1.38"/>
    <n v="0"/>
    <n v="762.25"/>
  </r>
  <r>
    <x v="0"/>
    <x v="5"/>
    <x v="14"/>
    <x v="14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6"/>
    <x v="15"/>
    <x v="15"/>
    <x v="0"/>
    <n v="4813"/>
    <n v="3176"/>
    <n v="4813"/>
    <n v="2987.5"/>
    <n v="0"/>
    <n v="0"/>
    <n v="0"/>
    <n v="3176"/>
    <n v="2987.5"/>
    <n v="2987.5"/>
    <n v="1"/>
    <n v="0"/>
    <n v="1.06"/>
    <n v="0"/>
    <n v="188.5"/>
  </r>
  <r>
    <x v="0"/>
    <x v="6"/>
    <x v="16"/>
    <x v="16"/>
    <x v="3"/>
    <n v="101368"/>
    <n v="68680"/>
    <n v="83821.199000000008"/>
    <n v="50024.25"/>
    <n v="2149.0010000000002"/>
    <n v="257"/>
    <n v="1456.0155934811776"/>
    <n v="56791.491864493735"/>
    <n v="68680"/>
    <n v="60496.130268907262"/>
    <n v="0.83"/>
    <n v="5.67"/>
    <n v="1.1399999999999999"/>
    <n v="257"/>
    <n v="18398.75"/>
  </r>
  <r>
    <x v="0"/>
    <x v="6"/>
    <x v="17"/>
    <x v="17"/>
    <x v="4"/>
    <n v="3052"/>
    <n v="1676"/>
    <n v="2567.6480000000006"/>
    <n v="1082.5"/>
    <n v="0"/>
    <n v="0"/>
    <n v="0"/>
    <n v="1410.0190196592403"/>
    <n v="1082.5"/>
    <n v="1286.6989556200847"/>
    <n v="0.84"/>
    <n v="0"/>
    <n v="1.3"/>
    <n v="0"/>
    <n v="593.5"/>
  </r>
  <r>
    <x v="0"/>
    <x v="7"/>
    <x v="18"/>
    <x v="18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8"/>
    <x v="19"/>
    <x v="19"/>
    <x v="4"/>
    <n v="196"/>
    <n v="139"/>
    <n v="83.181999999999988"/>
    <n v="23"/>
    <n v="0"/>
    <n v="0"/>
    <n v="0"/>
    <n v="58.991316326530601"/>
    <n v="23"/>
    <n v="54.194417061383483"/>
    <n v="0.42"/>
    <n v="0"/>
    <n v="2.56"/>
    <n v="0"/>
    <n v="116"/>
  </r>
  <r>
    <x v="0"/>
    <x v="8"/>
    <x v="20"/>
    <x v="20"/>
    <x v="4"/>
    <n v="1127"/>
    <n v="412"/>
    <n v="1007.9889999999998"/>
    <n v="314.75"/>
    <n v="0"/>
    <n v="0"/>
    <n v="0"/>
    <n v="368.49287311446307"/>
    <n v="314.75"/>
    <n v="351.91182641874076"/>
    <n v="0.89"/>
    <n v="0"/>
    <n v="1.17"/>
    <n v="0"/>
    <n v="97.25"/>
  </r>
  <r>
    <x v="0"/>
    <x v="9"/>
    <x v="21"/>
    <x v="21"/>
    <x v="0"/>
    <n v="86"/>
    <n v="130"/>
    <n v="86.000000000000014"/>
    <n v="78"/>
    <n v="0"/>
    <n v="0"/>
    <n v="0"/>
    <n v="130.00000000000003"/>
    <n v="78"/>
    <n v="77.999999999999986"/>
    <n v="1"/>
    <n v="0"/>
    <n v="1.67"/>
    <n v="0"/>
    <n v="52"/>
  </r>
  <r>
    <x v="0"/>
    <x v="10"/>
    <x v="22"/>
    <x v="22"/>
    <x v="0"/>
    <n v="1468"/>
    <n v="5490"/>
    <n v="1468"/>
    <n v="5664"/>
    <n v="0"/>
    <n v="0"/>
    <n v="0"/>
    <n v="5490"/>
    <n v="5664"/>
    <n v="5664"/>
    <n v="1"/>
    <n v="0"/>
    <n v="0.97"/>
    <n v="0"/>
    <n v="-174"/>
  </r>
  <r>
    <x v="0"/>
    <x v="10"/>
    <x v="23"/>
    <x v="23"/>
    <x v="4"/>
    <n v="460"/>
    <n v="1312"/>
    <n v="388.70000000000005"/>
    <n v="807"/>
    <n v="0"/>
    <n v="0"/>
    <n v="0"/>
    <n v="1108.6400000000001"/>
    <n v="807"/>
    <n v="955.02958579881647"/>
    <n v="0.85"/>
    <n v="0"/>
    <n v="1.37"/>
    <n v="0"/>
    <n v="505"/>
  </r>
  <r>
    <x v="0"/>
    <x v="10"/>
    <x v="24"/>
    <x v="24"/>
    <x v="3"/>
    <n v="14989"/>
    <n v="41113"/>
    <n v="13343.208000000001"/>
    <n v="30590.25"/>
    <n v="391.21300000000002"/>
    <n v="23"/>
    <n v="1073.0495742878111"/>
    <n v="36598.79314857562"/>
    <n v="41113"/>
    <n v="34363.344800590683"/>
    <n v="0.89"/>
    <n v="46.65"/>
    <n v="1.2"/>
    <n v="23"/>
    <n v="10499.75"/>
  </r>
  <r>
    <x v="0"/>
    <x v="11"/>
    <x v="25"/>
    <x v="25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2"/>
    <x v="26"/>
    <x v="26"/>
    <x v="5"/>
    <n v="0"/>
    <n v="12389.7"/>
    <n v="0"/>
    <n v="15379.5"/>
    <n v="0"/>
    <n v="420"/>
    <n v="0"/>
    <n v="0"/>
    <n v="14263"/>
    <n v="14263"/>
    <n v="0"/>
    <n v="0"/>
    <n v="0"/>
    <n v="0"/>
    <n v="-2989.7999999999993"/>
  </r>
  <r>
    <x v="0"/>
    <x v="12"/>
    <x v="27"/>
    <x v="27"/>
    <x v="5"/>
    <n v="0"/>
    <n v="45942"/>
    <n v="0"/>
    <n v="52285.25"/>
    <n v="0"/>
    <n v="781"/>
    <n v="0"/>
    <n v="0"/>
    <n v="53519"/>
    <n v="53519"/>
    <n v="0"/>
    <n v="0"/>
    <n v="0"/>
    <n v="61"/>
    <n v="-6404.25"/>
  </r>
  <r>
    <x v="0"/>
    <x v="12"/>
    <x v="28"/>
    <x v="28"/>
    <x v="5"/>
    <n v="0"/>
    <n v="21888"/>
    <n v="0"/>
    <n v="20900.5"/>
    <n v="0"/>
    <n v="126"/>
    <n v="0"/>
    <n v="0"/>
    <n v="23063"/>
    <n v="23063"/>
    <n v="0"/>
    <n v="0"/>
    <n v="0"/>
    <n v="126"/>
    <n v="861.5"/>
  </r>
  <r>
    <x v="0"/>
    <x v="12"/>
    <x v="29"/>
    <x v="29"/>
    <x v="5"/>
    <n v="0"/>
    <n v="51375"/>
    <n v="0"/>
    <n v="32977.25"/>
    <n v="0"/>
    <n v="473"/>
    <n v="0"/>
    <n v="0"/>
    <n v="63821"/>
    <n v="63821"/>
    <n v="0"/>
    <n v="0"/>
    <n v="0"/>
    <n v="60"/>
    <n v="18337.75"/>
  </r>
  <r>
    <x v="0"/>
    <x v="12"/>
    <x v="30"/>
    <x v="30"/>
    <x v="5"/>
    <n v="0"/>
    <n v="4218"/>
    <n v="0"/>
    <n v="4567.5"/>
    <n v="0"/>
    <n v="140"/>
    <n v="0"/>
    <n v="0"/>
    <n v="7151"/>
    <n v="7151"/>
    <n v="0"/>
    <n v="0"/>
    <n v="0"/>
    <n v="40"/>
    <n v="-389.5"/>
  </r>
  <r>
    <x v="0"/>
    <x v="12"/>
    <x v="31"/>
    <x v="31"/>
    <x v="2"/>
    <n v="0"/>
    <n v="300"/>
    <n v="0"/>
    <n v="300"/>
    <n v="0"/>
    <n v="0"/>
    <n v="0"/>
    <n v="0"/>
    <n v="300"/>
    <n v="300"/>
    <n v="0"/>
    <n v="0"/>
    <n v="0"/>
    <n v="0"/>
    <n v="0"/>
  </r>
  <r>
    <x v="0"/>
    <x v="12"/>
    <x v="32"/>
    <x v="32"/>
    <x v="2"/>
    <n v="0"/>
    <n v="308"/>
    <n v="0"/>
    <n v="308"/>
    <n v="0"/>
    <n v="0"/>
    <n v="0"/>
    <n v="0"/>
    <n v="308"/>
    <n v="308"/>
    <n v="0"/>
    <n v="0"/>
    <n v="0"/>
    <n v="0"/>
    <n v="0"/>
  </r>
  <r>
    <x v="0"/>
    <x v="13"/>
    <x v="33"/>
    <x v="33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3"/>
    <x v="34"/>
    <x v="34"/>
    <x v="2"/>
    <n v="0"/>
    <n v="2565"/>
    <n v="0"/>
    <n v="1618.5"/>
    <n v="0"/>
    <n v="0"/>
    <n v="0"/>
    <n v="0"/>
    <n v="1618.5"/>
    <n v="1618.5"/>
    <n v="0"/>
    <n v="0"/>
    <n v="0"/>
    <n v="0"/>
    <n v="946.5"/>
  </r>
  <r>
    <x v="0"/>
    <x v="13"/>
    <x v="35"/>
    <x v="35"/>
    <x v="5"/>
    <n v="0"/>
    <n v="19038"/>
    <n v="0"/>
    <n v="32862.25"/>
    <n v="0"/>
    <n v="513"/>
    <n v="0"/>
    <n v="0"/>
    <n v="25232"/>
    <n v="25232"/>
    <n v="0"/>
    <n v="0"/>
    <n v="0"/>
    <n v="512.75"/>
    <n v="-14337"/>
  </r>
  <r>
    <x v="0"/>
    <x v="13"/>
    <x v="36"/>
    <x v="36"/>
    <x v="5"/>
    <n v="0"/>
    <n v="21261"/>
    <n v="0"/>
    <n v="23987.25"/>
    <n v="0"/>
    <n v="70"/>
    <n v="0"/>
    <n v="0"/>
    <n v="29526"/>
    <n v="29526"/>
    <n v="0"/>
    <n v="0"/>
    <n v="0"/>
    <n v="70"/>
    <n v="-2796.25"/>
  </r>
  <r>
    <x v="0"/>
    <x v="13"/>
    <x v="37"/>
    <x v="37"/>
    <x v="5"/>
    <n v="0"/>
    <n v="3192"/>
    <n v="0"/>
    <n v="4229"/>
    <n v="0"/>
    <n v="55"/>
    <n v="0"/>
    <n v="0"/>
    <n v="3814"/>
    <n v="3814"/>
    <n v="0"/>
    <n v="0"/>
    <n v="0"/>
    <n v="55"/>
    <n v="-1092"/>
  </r>
  <r>
    <x v="0"/>
    <x v="13"/>
    <x v="38"/>
    <x v="38"/>
    <x v="2"/>
    <n v="0"/>
    <n v="3408"/>
    <n v="0"/>
    <n v="3006.75"/>
    <n v="0"/>
    <n v="0"/>
    <n v="0"/>
    <n v="0"/>
    <n v="3006.75"/>
    <n v="3006.75"/>
    <n v="0"/>
    <n v="0"/>
    <n v="0"/>
    <n v="0"/>
    <n v="401.25"/>
  </r>
  <r>
    <x v="0"/>
    <x v="13"/>
    <x v="39"/>
    <x v="39"/>
    <x v="2"/>
    <n v="0"/>
    <n v="205"/>
    <n v="0"/>
    <n v="108"/>
    <n v="0"/>
    <n v="0"/>
    <n v="0"/>
    <n v="0"/>
    <n v="108"/>
    <n v="108"/>
    <n v="0"/>
    <n v="0"/>
    <n v="0"/>
    <n v="0"/>
    <n v="97"/>
  </r>
  <r>
    <x v="0"/>
    <x v="13"/>
    <x v="40"/>
    <x v="40"/>
    <x v="2"/>
    <n v="0"/>
    <n v="1300"/>
    <n v="0"/>
    <n v="1007"/>
    <n v="0"/>
    <n v="0"/>
    <n v="0"/>
    <n v="0"/>
    <n v="1007"/>
    <n v="1007"/>
    <n v="0"/>
    <n v="0"/>
    <n v="0"/>
    <n v="0"/>
    <n v="293"/>
  </r>
  <r>
    <x v="0"/>
    <x v="13"/>
    <x v="41"/>
    <x v="41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3"/>
    <x v="42"/>
    <x v="42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4"/>
    <x v="43"/>
    <x v="43"/>
    <x v="5"/>
    <n v="0"/>
    <n v="4500"/>
    <n v="0"/>
    <n v="4462"/>
    <n v="0"/>
    <n v="64"/>
    <n v="0"/>
    <n v="0"/>
    <n v="5000"/>
    <n v="5000"/>
    <n v="0"/>
    <n v="0"/>
    <n v="0"/>
    <n v="64"/>
    <n v="-26"/>
  </r>
  <r>
    <x v="0"/>
    <x v="15"/>
    <x v="44"/>
    <x v="44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45"/>
    <x v="45"/>
    <x v="2"/>
    <n v="0"/>
    <n v="3005"/>
    <n v="0"/>
    <n v="3005"/>
    <n v="0"/>
    <n v="0"/>
    <n v="0"/>
    <n v="0"/>
    <n v="3005"/>
    <n v="3005"/>
    <n v="0"/>
    <n v="0"/>
    <n v="0"/>
    <n v="0"/>
    <n v="0"/>
  </r>
  <r>
    <x v="0"/>
    <x v="16"/>
    <x v="46"/>
    <x v="46"/>
    <x v="2"/>
    <n v="0"/>
    <n v="0"/>
    <n v="0"/>
    <n v="376.5"/>
    <n v="0"/>
    <n v="0"/>
    <n v="0"/>
    <n v="0"/>
    <n v="376.5"/>
    <n v="376.5"/>
    <n v="0"/>
    <n v="0"/>
    <n v="0"/>
    <n v="0"/>
    <n v="-376.5"/>
  </r>
  <r>
    <x v="0"/>
    <x v="16"/>
    <x v="47"/>
    <x v="47"/>
    <x v="2"/>
    <n v="0"/>
    <n v="0"/>
    <n v="0"/>
    <n v="3658.75"/>
    <n v="0"/>
    <n v="0"/>
    <n v="0"/>
    <n v="0"/>
    <n v="3658.75"/>
    <n v="3658.75"/>
    <n v="0"/>
    <n v="0"/>
    <n v="0"/>
    <n v="0"/>
    <n v="-3658.75"/>
  </r>
  <r>
    <x v="0"/>
    <x v="16"/>
    <x v="48"/>
    <x v="48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49"/>
    <x v="49"/>
    <x v="2"/>
    <n v="0"/>
    <n v="416"/>
    <n v="0"/>
    <n v="674"/>
    <n v="0"/>
    <n v="0"/>
    <n v="0"/>
    <n v="0"/>
    <n v="674"/>
    <n v="674"/>
    <n v="0"/>
    <n v="0"/>
    <n v="0"/>
    <n v="0"/>
    <n v="-258"/>
  </r>
  <r>
    <x v="0"/>
    <x v="16"/>
    <x v="50"/>
    <x v="50"/>
    <x v="2"/>
    <n v="0"/>
    <n v="220"/>
    <n v="0"/>
    <n v="220"/>
    <n v="0"/>
    <n v="0"/>
    <n v="0"/>
    <n v="0"/>
    <n v="220"/>
    <n v="220"/>
    <n v="0"/>
    <n v="0"/>
    <n v="0"/>
    <n v="0"/>
    <n v="0"/>
  </r>
  <r>
    <x v="0"/>
    <x v="16"/>
    <x v="51"/>
    <x v="51"/>
    <x v="2"/>
    <n v="0"/>
    <n v="13628"/>
    <n v="0"/>
    <n v="0"/>
    <n v="0"/>
    <n v="0"/>
    <n v="0"/>
    <n v="0"/>
    <n v="0"/>
    <n v="0"/>
    <n v="0"/>
    <n v="0"/>
    <n v="0"/>
    <n v="0"/>
    <n v="13628"/>
  </r>
  <r>
    <x v="0"/>
    <x v="16"/>
    <x v="52"/>
    <x v="52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53"/>
    <x v="53"/>
    <x v="2"/>
    <n v="0"/>
    <n v="0"/>
    <n v="0"/>
    <n v="128"/>
    <n v="0"/>
    <n v="0"/>
    <n v="0"/>
    <n v="0"/>
    <n v="128"/>
    <n v="128"/>
    <n v="0"/>
    <n v="0"/>
    <n v="0"/>
    <n v="0"/>
    <n v="-128"/>
  </r>
  <r>
    <x v="0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0"/>
    <x v="17"/>
    <x v="55"/>
    <x v="55"/>
    <x v="2"/>
    <n v="0"/>
    <n v="102"/>
    <n v="0"/>
    <n v="102"/>
    <n v="0"/>
    <n v="0"/>
    <n v="0"/>
    <n v="0"/>
    <n v="102"/>
    <n v="102"/>
    <n v="0"/>
    <n v="0"/>
    <n v="0"/>
    <n v="0"/>
    <n v="0"/>
  </r>
  <r>
    <x v="1"/>
    <x v="18"/>
    <x v="56"/>
    <x v="56"/>
    <x v="2"/>
    <n v="204"/>
    <n v="0"/>
    <n v="0"/>
    <n v="0"/>
    <n v="0"/>
    <n v="0"/>
    <n v="0"/>
    <n v="0"/>
    <n v="0"/>
    <n v="0"/>
    <n v="0"/>
    <n v="0"/>
    <n v="0"/>
    <n v="0"/>
    <n v="0"/>
  </r>
  <r>
    <x v="1"/>
    <x v="2"/>
    <x v="57"/>
    <x v="57"/>
    <x v="2"/>
    <n v="30"/>
    <n v="0"/>
    <n v="0"/>
    <n v="0"/>
    <n v="0"/>
    <n v="0"/>
    <n v="0"/>
    <n v="0"/>
    <n v="0"/>
    <n v="0"/>
    <n v="0"/>
    <n v="0"/>
    <n v="0"/>
    <n v="0"/>
    <n v="0"/>
  </r>
  <r>
    <x v="1"/>
    <x v="3"/>
    <x v="58"/>
    <x v="58"/>
    <x v="2"/>
    <n v="6123"/>
    <n v="0"/>
    <n v="0"/>
    <n v="0"/>
    <n v="0"/>
    <n v="0"/>
    <n v="0"/>
    <n v="0"/>
    <n v="0"/>
    <n v="0"/>
    <n v="0"/>
    <n v="0"/>
    <n v="0"/>
    <n v="0"/>
    <n v="0"/>
  </r>
  <r>
    <x v="1"/>
    <x v="3"/>
    <x v="59"/>
    <x v="59"/>
    <x v="2"/>
    <n v="10158"/>
    <n v="0"/>
    <n v="0"/>
    <n v="0"/>
    <n v="0"/>
    <n v="0"/>
    <n v="0"/>
    <n v="0"/>
    <n v="0"/>
    <n v="0"/>
    <n v="0"/>
    <n v="0"/>
    <n v="0"/>
    <n v="0"/>
    <n v="0"/>
  </r>
  <r>
    <x v="1"/>
    <x v="4"/>
    <x v="60"/>
    <x v="60"/>
    <x v="2"/>
    <n v="4749.22"/>
    <n v="0"/>
    <n v="0"/>
    <n v="0"/>
    <n v="0"/>
    <n v="0"/>
    <n v="0"/>
    <n v="0"/>
    <n v="0"/>
    <n v="0"/>
    <n v="0"/>
    <n v="0"/>
    <n v="0"/>
    <n v="0"/>
    <n v="0"/>
  </r>
  <r>
    <x v="1"/>
    <x v="5"/>
    <x v="61"/>
    <x v="61"/>
    <x v="2"/>
    <n v="1085"/>
    <n v="0"/>
    <n v="0"/>
    <n v="0"/>
    <n v="0"/>
    <n v="0"/>
    <n v="0"/>
    <n v="0"/>
    <n v="0"/>
    <n v="0"/>
    <n v="0"/>
    <n v="0"/>
    <n v="0"/>
    <n v="0"/>
    <n v="0"/>
  </r>
  <r>
    <x v="1"/>
    <x v="5"/>
    <x v="62"/>
    <x v="62"/>
    <x v="2"/>
    <n v="360"/>
    <n v="0"/>
    <n v="0"/>
    <n v="0"/>
    <n v="0"/>
    <n v="0"/>
    <n v="0"/>
    <n v="0"/>
    <n v="0"/>
    <n v="0"/>
    <n v="0"/>
    <n v="0"/>
    <n v="0"/>
    <n v="0"/>
    <n v="0"/>
  </r>
  <r>
    <x v="1"/>
    <x v="5"/>
    <x v="63"/>
    <x v="63"/>
    <x v="2"/>
    <n v="40"/>
    <n v="0"/>
    <n v="0"/>
    <n v="0"/>
    <n v="0"/>
    <n v="0"/>
    <n v="0"/>
    <n v="0"/>
    <n v="0"/>
    <n v="0"/>
    <n v="0"/>
    <n v="0"/>
    <n v="0"/>
    <n v="0"/>
    <n v="0"/>
  </r>
  <r>
    <x v="1"/>
    <x v="5"/>
    <x v="64"/>
    <x v="64"/>
    <x v="2"/>
    <n v="200"/>
    <n v="0"/>
    <n v="0"/>
    <n v="0"/>
    <n v="0"/>
    <n v="0"/>
    <n v="0"/>
    <n v="0"/>
    <n v="0"/>
    <n v="0"/>
    <n v="0"/>
    <n v="0"/>
    <n v="0"/>
    <n v="0"/>
    <n v="0"/>
  </r>
  <r>
    <x v="1"/>
    <x v="10"/>
    <x v="65"/>
    <x v="65"/>
    <x v="2"/>
    <n v="1085.4000000000001"/>
    <n v="0"/>
    <n v="0"/>
    <n v="0"/>
    <n v="0"/>
    <n v="0"/>
    <n v="0"/>
    <n v="0"/>
    <n v="0"/>
    <n v="0"/>
    <n v="0"/>
    <n v="0"/>
    <n v="0"/>
    <n v="0"/>
    <n v="0"/>
  </r>
  <r>
    <x v="1"/>
    <x v="10"/>
    <x v="66"/>
    <x v="66"/>
    <x v="2"/>
    <n v="652"/>
    <n v="0"/>
    <n v="0"/>
    <n v="0"/>
    <n v="0"/>
    <n v="0"/>
    <n v="0"/>
    <n v="0"/>
    <n v="0"/>
    <n v="0"/>
    <n v="0"/>
    <n v="0"/>
    <n v="0"/>
    <n v="0"/>
    <n v="0"/>
  </r>
  <r>
    <x v="1"/>
    <x v="11"/>
    <x v="67"/>
    <x v="67"/>
    <x v="2"/>
    <n v="600"/>
    <n v="0"/>
    <n v="0"/>
    <n v="0"/>
    <n v="0"/>
    <n v="0"/>
    <n v="0"/>
    <n v="0"/>
    <n v="0"/>
    <n v="0"/>
    <n v="0"/>
    <n v="0"/>
    <n v="0"/>
    <n v="0"/>
    <n v="0"/>
  </r>
  <r>
    <x v="1"/>
    <x v="12"/>
    <x v="26"/>
    <x v="68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2"/>
    <x v="27"/>
    <x v="69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2"/>
    <x v="28"/>
    <x v="70"/>
    <x v="2"/>
    <n v="0"/>
    <n v="22"/>
    <n v="0"/>
    <n v="22"/>
    <n v="0"/>
    <n v="0"/>
    <n v="0"/>
    <n v="0"/>
    <n v="22"/>
    <n v="22"/>
    <n v="0"/>
    <n v="0"/>
    <n v="0"/>
    <n v="0"/>
    <n v="0"/>
  </r>
  <r>
    <x v="1"/>
    <x v="12"/>
    <x v="29"/>
    <x v="29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2"/>
    <x v="30"/>
    <x v="30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3"/>
    <x v="33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4"/>
    <x v="34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5"/>
    <x v="35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6"/>
    <x v="71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7"/>
    <x v="37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8"/>
    <x v="38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3"/>
    <x v="39"/>
    <x v="39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4"/>
    <x v="43"/>
    <x v="43"/>
    <x v="2"/>
    <n v="0"/>
    <n v="0"/>
    <n v="0"/>
    <n v="0"/>
    <n v="0"/>
    <n v="0"/>
    <n v="0"/>
    <n v="0"/>
    <n v="0"/>
    <n v="0"/>
    <n v="0"/>
    <n v="0"/>
    <n v="0"/>
    <n v="0"/>
    <n v="0"/>
  </r>
  <r>
    <x v="1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68"/>
    <x v="72"/>
    <x v="2"/>
    <n v="9015.5"/>
    <n v="9015.5"/>
    <n v="0"/>
    <n v="9015.5"/>
    <n v="0"/>
    <n v="0"/>
    <n v="0"/>
    <n v="0"/>
    <n v="9015.5"/>
    <n v="9015.5"/>
    <n v="0"/>
    <n v="0"/>
    <n v="0"/>
    <n v="0"/>
    <n v="0"/>
  </r>
  <r>
    <x v="2"/>
    <x v="17"/>
    <x v="69"/>
    <x v="73"/>
    <x v="2"/>
    <n v="2525.5"/>
    <n v="2525.5"/>
    <n v="0"/>
    <n v="2525.5"/>
    <n v="0"/>
    <n v="0"/>
    <n v="0"/>
    <n v="0"/>
    <n v="2525.5"/>
    <n v="2525.5"/>
    <n v="0"/>
    <n v="0"/>
    <n v="0"/>
    <n v="0"/>
    <n v="0"/>
  </r>
  <r>
    <x v="2"/>
    <x v="17"/>
    <x v="70"/>
    <x v="74"/>
    <x v="2"/>
    <n v="4450.75"/>
    <n v="4450.75"/>
    <n v="0"/>
    <n v="4450.75"/>
    <n v="0"/>
    <n v="0"/>
    <n v="0"/>
    <n v="0"/>
    <n v="4450.75"/>
    <n v="4450.75"/>
    <n v="0"/>
    <n v="0"/>
    <n v="0"/>
    <n v="0"/>
    <n v="0"/>
  </r>
  <r>
    <x v="2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71"/>
    <x v="75"/>
    <x v="2"/>
    <n v="152.5"/>
    <n v="152.5"/>
    <n v="0"/>
    <n v="152.5"/>
    <n v="0"/>
    <n v="0"/>
    <n v="0"/>
    <n v="0"/>
    <n v="152.5"/>
    <n v="152.5"/>
    <n v="0"/>
    <n v="0"/>
    <n v="0"/>
    <n v="0"/>
    <n v="0"/>
  </r>
  <r>
    <x v="2"/>
    <x v="17"/>
    <x v="72"/>
    <x v="76"/>
    <x v="2"/>
    <n v="3762.75"/>
    <n v="3762.75"/>
    <n v="0"/>
    <n v="3762.75"/>
    <n v="0"/>
    <n v="0"/>
    <n v="0"/>
    <n v="0"/>
    <n v="3762.75"/>
    <n v="3762.75"/>
    <n v="0"/>
    <n v="0"/>
    <n v="0"/>
    <n v="0"/>
    <n v="0"/>
  </r>
  <r>
    <x v="2"/>
    <x v="17"/>
    <x v="73"/>
    <x v="77"/>
    <x v="2"/>
    <n v="2263.75"/>
    <n v="2263.75"/>
    <n v="0"/>
    <n v="2263.75"/>
    <n v="0"/>
    <n v="0"/>
    <n v="0"/>
    <n v="0"/>
    <n v="2263.75"/>
    <n v="2263.75"/>
    <n v="0"/>
    <n v="0"/>
    <n v="0"/>
    <n v="0"/>
    <n v="0"/>
  </r>
  <r>
    <x v="2"/>
    <x v="17"/>
    <x v="74"/>
    <x v="78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75"/>
    <x v="79"/>
    <x v="2"/>
    <n v="328.5"/>
    <n v="328.5"/>
    <n v="0"/>
    <n v="328.5"/>
    <n v="0"/>
    <n v="0"/>
    <n v="0"/>
    <n v="0"/>
    <n v="328.5"/>
    <n v="328.5"/>
    <n v="0"/>
    <n v="0"/>
    <n v="0"/>
    <n v="0"/>
    <n v="0"/>
  </r>
  <r>
    <x v="2"/>
    <x v="17"/>
    <x v="76"/>
    <x v="80"/>
    <x v="2"/>
    <n v="1458.25"/>
    <n v="1458.25"/>
    <n v="0"/>
    <n v="1458.25"/>
    <n v="0"/>
    <n v="0"/>
    <n v="0"/>
    <n v="0"/>
    <n v="1458.25"/>
    <n v="1458.25"/>
    <n v="0"/>
    <n v="0"/>
    <n v="0"/>
    <n v="0"/>
    <n v="0"/>
  </r>
  <r>
    <x v="2"/>
    <x v="17"/>
    <x v="77"/>
    <x v="81"/>
    <x v="2"/>
    <n v="7107.25"/>
    <n v="7107.25"/>
    <n v="0"/>
    <n v="7107.25"/>
    <n v="0"/>
    <n v="0"/>
    <n v="0"/>
    <n v="0"/>
    <n v="7107.25"/>
    <n v="7107.25"/>
    <n v="0"/>
    <n v="0"/>
    <n v="0"/>
    <n v="0"/>
    <n v="0"/>
  </r>
  <r>
    <x v="2"/>
    <x v="17"/>
    <x v="78"/>
    <x v="82"/>
    <x v="2"/>
    <n v="4244.25"/>
    <n v="4244.25"/>
    <n v="0"/>
    <n v="4244.25"/>
    <n v="0"/>
    <n v="0"/>
    <n v="0"/>
    <n v="0"/>
    <n v="4244.25"/>
    <n v="4244.25"/>
    <n v="0"/>
    <n v="0"/>
    <n v="0"/>
    <n v="0"/>
    <n v="0"/>
  </r>
  <r>
    <x v="2"/>
    <x v="17"/>
    <x v="79"/>
    <x v="83"/>
    <x v="2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80"/>
    <x v="84"/>
    <x v="2"/>
    <n v="0"/>
    <n v="37502"/>
    <n v="0"/>
    <n v="0"/>
    <n v="0"/>
    <n v="0"/>
    <n v="0"/>
    <n v="0"/>
    <n v="0"/>
    <n v="0"/>
    <n v="0"/>
    <n v="0"/>
    <n v="0"/>
    <n v="0"/>
    <n v="37502"/>
  </r>
  <r>
    <x v="2"/>
    <x v="17"/>
    <x v="81"/>
    <x v="85"/>
    <x v="2"/>
    <n v="0"/>
    <n v="0"/>
    <n v="0"/>
    <n v="0"/>
    <n v="0"/>
    <n v="0"/>
    <n v="0"/>
    <n v="0"/>
    <n v="0"/>
    <n v="0"/>
    <n v="0"/>
    <n v="0"/>
    <n v="0"/>
    <n v="0"/>
    <n v="0"/>
  </r>
  <r>
    <x v="3"/>
    <x v="19"/>
    <x v="82"/>
    <x v="86"/>
    <x v="2"/>
    <n v="0"/>
    <n v="1000"/>
    <n v="0"/>
    <n v="0"/>
    <n v="0"/>
    <n v="0"/>
    <n v="0"/>
    <n v="0"/>
    <n v="1000"/>
    <n v="1000"/>
    <n v="0"/>
    <n v="0"/>
    <n v="0"/>
    <n v="0"/>
    <n v="1000"/>
  </r>
  <r>
    <x v="3"/>
    <x v="19"/>
    <x v="83"/>
    <x v="87"/>
    <x v="2"/>
    <n v="0"/>
    <n v="1300"/>
    <n v="0"/>
    <n v="0"/>
    <n v="0"/>
    <n v="0"/>
    <n v="0"/>
    <n v="0"/>
    <n v="1300"/>
    <n v="1300"/>
    <n v="0"/>
    <n v="0"/>
    <n v="0"/>
    <n v="0"/>
    <n v="1300"/>
  </r>
  <r>
    <x v="3"/>
    <x v="19"/>
    <x v="84"/>
    <x v="88"/>
    <x v="2"/>
    <n v="0"/>
    <n v="1131.69"/>
    <n v="0"/>
    <n v="0"/>
    <n v="0"/>
    <n v="0"/>
    <n v="0"/>
    <n v="0"/>
    <n v="1131.69"/>
    <n v="1131.69"/>
    <n v="0"/>
    <n v="0"/>
    <n v="0"/>
    <n v="0"/>
    <n v="1131.69"/>
  </r>
  <r>
    <x v="3"/>
    <x v="20"/>
    <x v="85"/>
    <x v="89"/>
    <x v="0"/>
    <n v="5392"/>
    <n v="38870.74"/>
    <n v="0"/>
    <n v="0"/>
    <n v="0"/>
    <n v="0"/>
    <n v="0"/>
    <n v="0"/>
    <n v="38870.74"/>
    <n v="38870.74"/>
    <n v="0"/>
    <n v="0"/>
    <n v="0"/>
    <n v="0"/>
    <n v="38870.74"/>
  </r>
  <r>
    <x v="3"/>
    <x v="18"/>
    <x v="56"/>
    <x v="90"/>
    <x v="0"/>
    <n v="129"/>
    <n v="1548"/>
    <n v="0"/>
    <n v="0"/>
    <n v="0"/>
    <n v="0"/>
    <n v="0"/>
    <n v="0"/>
    <n v="1548"/>
    <n v="1548"/>
    <n v="0"/>
    <n v="0"/>
    <n v="0"/>
    <n v="0"/>
    <n v="1548"/>
  </r>
  <r>
    <x v="3"/>
    <x v="0"/>
    <x v="0"/>
    <x v="91"/>
    <x v="0"/>
    <n v="193.357"/>
    <n v="11280.84"/>
    <n v="0"/>
    <n v="0"/>
    <n v="0"/>
    <n v="0"/>
    <n v="0"/>
    <n v="0"/>
    <n v="11280.84"/>
    <n v="11280.84"/>
    <n v="0"/>
    <n v="0"/>
    <n v="0"/>
    <n v="0"/>
    <n v="11280.84"/>
  </r>
  <r>
    <x v="3"/>
    <x v="0"/>
    <x v="86"/>
    <x v="92"/>
    <x v="0"/>
    <n v="1"/>
    <n v="240"/>
    <n v="0"/>
    <n v="0"/>
    <n v="0"/>
    <n v="0"/>
    <n v="0"/>
    <n v="0"/>
    <n v="240"/>
    <n v="240"/>
    <n v="0"/>
    <n v="0"/>
    <n v="0"/>
    <n v="0"/>
    <n v="240"/>
  </r>
  <r>
    <x v="3"/>
    <x v="2"/>
    <x v="87"/>
    <x v="93"/>
    <x v="0"/>
    <n v="10"/>
    <n v="3300"/>
    <n v="0"/>
    <n v="0"/>
    <n v="0"/>
    <n v="0"/>
    <n v="0"/>
    <n v="0"/>
    <n v="3300"/>
    <n v="3300"/>
    <n v="0"/>
    <n v="0"/>
    <n v="0"/>
    <n v="0"/>
    <n v="3300"/>
  </r>
  <r>
    <x v="3"/>
    <x v="2"/>
    <x v="7"/>
    <x v="94"/>
    <x v="0"/>
    <n v="186"/>
    <n v="9520"/>
    <n v="0"/>
    <n v="0"/>
    <n v="0"/>
    <n v="0"/>
    <n v="0"/>
    <n v="0"/>
    <n v="9520"/>
    <n v="9520"/>
    <n v="0"/>
    <n v="0"/>
    <n v="0"/>
    <n v="0"/>
    <n v="9520"/>
  </r>
  <r>
    <x v="3"/>
    <x v="3"/>
    <x v="9"/>
    <x v="95"/>
    <x v="0"/>
    <n v="12059.25"/>
    <n v="24666.93"/>
    <n v="0"/>
    <n v="0"/>
    <n v="0"/>
    <n v="0"/>
    <n v="0"/>
    <n v="0"/>
    <n v="24666.93"/>
    <n v="24666.93"/>
    <n v="0"/>
    <n v="0"/>
    <n v="0"/>
    <n v="0"/>
    <n v="24666.93"/>
  </r>
  <r>
    <x v="3"/>
    <x v="3"/>
    <x v="88"/>
    <x v="96"/>
    <x v="0"/>
    <n v="2009.875"/>
    <n v="6532.09"/>
    <n v="0"/>
    <n v="0"/>
    <n v="0"/>
    <n v="0"/>
    <n v="0"/>
    <n v="0"/>
    <n v="6532.09"/>
    <n v="6532.09"/>
    <n v="0"/>
    <n v="0"/>
    <n v="0"/>
    <n v="0"/>
    <n v="6532.09"/>
  </r>
  <r>
    <x v="3"/>
    <x v="5"/>
    <x v="14"/>
    <x v="97"/>
    <x v="0"/>
    <n v="12059.25"/>
    <n v="2887.68"/>
    <n v="0"/>
    <n v="0"/>
    <n v="0"/>
    <n v="0"/>
    <n v="0"/>
    <n v="0"/>
    <n v="2887.68"/>
    <n v="2887.68"/>
    <n v="0"/>
    <n v="0"/>
    <n v="0"/>
    <n v="0"/>
    <n v="2887.68"/>
  </r>
  <r>
    <x v="3"/>
    <x v="11"/>
    <x v="67"/>
    <x v="67"/>
    <x v="0"/>
    <n v="1440"/>
    <n v="1440"/>
    <n v="0"/>
    <n v="0"/>
    <n v="0"/>
    <n v="0"/>
    <n v="0"/>
    <n v="0"/>
    <n v="1440"/>
    <n v="1440"/>
    <n v="0"/>
    <n v="0"/>
    <n v="0"/>
    <n v="0"/>
    <n v="1440"/>
  </r>
  <r>
    <x v="3"/>
    <x v="12"/>
    <x v="26"/>
    <x v="68"/>
    <x v="5"/>
    <n v="0"/>
    <n v="7028.7"/>
    <n v="0"/>
    <n v="2443"/>
    <n v="0"/>
    <n v="225"/>
    <n v="0"/>
    <n v="0"/>
    <n v="7028.7"/>
    <n v="7028.7"/>
    <n v="0"/>
    <n v="0"/>
    <n v="0"/>
    <n v="0"/>
    <n v="4585.7"/>
  </r>
  <r>
    <x v="3"/>
    <x v="12"/>
    <x v="27"/>
    <x v="69"/>
    <x v="5"/>
    <n v="0"/>
    <n v="19680"/>
    <n v="0"/>
    <n v="450"/>
    <n v="0"/>
    <n v="25"/>
    <n v="0"/>
    <n v="0"/>
    <n v="19680"/>
    <n v="19680"/>
    <n v="0"/>
    <n v="0"/>
    <n v="0"/>
    <n v="0"/>
    <n v="19230"/>
  </r>
  <r>
    <x v="3"/>
    <x v="12"/>
    <x v="28"/>
    <x v="70"/>
    <x v="2"/>
    <n v="0"/>
    <n v="12180"/>
    <n v="0"/>
    <n v="0"/>
    <n v="0"/>
    <n v="0"/>
    <n v="0"/>
    <n v="0"/>
    <n v="12180"/>
    <n v="12180"/>
    <n v="0"/>
    <n v="0"/>
    <n v="0"/>
    <n v="0"/>
    <n v="12180"/>
  </r>
  <r>
    <x v="3"/>
    <x v="12"/>
    <x v="29"/>
    <x v="29"/>
    <x v="2"/>
    <n v="0"/>
    <n v="10920"/>
    <n v="0"/>
    <n v="0"/>
    <n v="0"/>
    <n v="0"/>
    <n v="0"/>
    <n v="0"/>
    <n v="10920"/>
    <n v="10920"/>
    <n v="0"/>
    <n v="0"/>
    <n v="0"/>
    <n v="0"/>
    <n v="10920"/>
  </r>
  <r>
    <x v="3"/>
    <x v="12"/>
    <x v="30"/>
    <x v="30"/>
    <x v="2"/>
    <n v="0"/>
    <n v="1920"/>
    <n v="0"/>
    <n v="0"/>
    <n v="0"/>
    <n v="0"/>
    <n v="0"/>
    <n v="0"/>
    <n v="1920"/>
    <n v="1920"/>
    <n v="0"/>
    <n v="0"/>
    <n v="0"/>
    <n v="0"/>
    <n v="1920"/>
  </r>
  <r>
    <x v="3"/>
    <x v="13"/>
    <x v="33"/>
    <x v="33"/>
    <x v="2"/>
    <n v="0"/>
    <n v="2100"/>
    <n v="0"/>
    <n v="0"/>
    <n v="0"/>
    <n v="0"/>
    <n v="0"/>
    <n v="0"/>
    <n v="2100"/>
    <n v="2100"/>
    <n v="0"/>
    <n v="0"/>
    <n v="0"/>
    <n v="0"/>
    <n v="2100"/>
  </r>
  <r>
    <x v="3"/>
    <x v="13"/>
    <x v="34"/>
    <x v="34"/>
    <x v="2"/>
    <n v="0"/>
    <n v="5460"/>
    <n v="0"/>
    <n v="0"/>
    <n v="0"/>
    <n v="0"/>
    <n v="0"/>
    <n v="0"/>
    <n v="5460"/>
    <n v="5460"/>
    <n v="0"/>
    <n v="0"/>
    <n v="0"/>
    <n v="0"/>
    <n v="5460"/>
  </r>
  <r>
    <x v="3"/>
    <x v="13"/>
    <x v="35"/>
    <x v="35"/>
    <x v="2"/>
    <n v="0"/>
    <n v="12240"/>
    <n v="0"/>
    <n v="0"/>
    <n v="0"/>
    <n v="0"/>
    <n v="0"/>
    <n v="0"/>
    <n v="12240"/>
    <n v="12240"/>
    <n v="0"/>
    <n v="0"/>
    <n v="0"/>
    <n v="0"/>
    <n v="12240"/>
  </r>
  <r>
    <x v="3"/>
    <x v="13"/>
    <x v="36"/>
    <x v="71"/>
    <x v="2"/>
    <n v="0"/>
    <n v="12000"/>
    <n v="0"/>
    <n v="0"/>
    <n v="0"/>
    <n v="0"/>
    <n v="0"/>
    <n v="0"/>
    <n v="12000"/>
    <n v="12000"/>
    <n v="0"/>
    <n v="0"/>
    <n v="0"/>
    <n v="0"/>
    <n v="12000"/>
  </r>
  <r>
    <x v="3"/>
    <x v="13"/>
    <x v="89"/>
    <x v="98"/>
    <x v="2"/>
    <n v="0"/>
    <n v="1920"/>
    <n v="0"/>
    <n v="0"/>
    <n v="0"/>
    <n v="0"/>
    <n v="0"/>
    <n v="0"/>
    <n v="1920"/>
    <n v="1920"/>
    <n v="0"/>
    <n v="0"/>
    <n v="0"/>
    <n v="0"/>
    <n v="1920"/>
  </r>
  <r>
    <x v="3"/>
    <x v="13"/>
    <x v="37"/>
    <x v="37"/>
    <x v="2"/>
    <n v="0"/>
    <n v="3900"/>
    <n v="0"/>
    <n v="0"/>
    <n v="0"/>
    <n v="0"/>
    <n v="0"/>
    <n v="0"/>
    <n v="3900"/>
    <n v="3900"/>
    <n v="0"/>
    <n v="0"/>
    <n v="0"/>
    <n v="0"/>
    <n v="3900"/>
  </r>
  <r>
    <x v="3"/>
    <x v="13"/>
    <x v="39"/>
    <x v="39"/>
    <x v="2"/>
    <n v="0"/>
    <n v="120"/>
    <n v="0"/>
    <n v="0"/>
    <n v="0"/>
    <n v="0"/>
    <n v="0"/>
    <n v="0"/>
    <n v="120"/>
    <n v="120"/>
    <n v="0"/>
    <n v="0"/>
    <n v="0"/>
    <n v="0"/>
    <n v="120"/>
  </r>
  <r>
    <x v="3"/>
    <x v="14"/>
    <x v="43"/>
    <x v="99"/>
    <x v="2"/>
    <n v="0"/>
    <n v="1440"/>
    <n v="0"/>
    <n v="0"/>
    <n v="0"/>
    <n v="0"/>
    <n v="0"/>
    <n v="0"/>
    <n v="1440"/>
    <n v="1440"/>
    <n v="0"/>
    <n v="0"/>
    <n v="0"/>
    <n v="0"/>
    <n v="1440"/>
  </r>
  <r>
    <x v="3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9"/>
    <x v="90"/>
    <x v="100"/>
    <x v="3"/>
    <n v="71981"/>
    <n v="18444"/>
    <n v="65862.614999999976"/>
    <n v="14499"/>
    <n v="1079.7149999999999"/>
    <n v="325"/>
    <n v="276.65999999999997"/>
    <n v="16876.259999999995"/>
    <n v="18444"/>
    <n v="15845.901639344267"/>
    <n v="0.92"/>
    <n v="0.85"/>
    <n v="1.1599999999999999"/>
    <n v="326"/>
    <n v="3619"/>
  </r>
  <r>
    <x v="4"/>
    <x v="21"/>
    <x v="91"/>
    <x v="101"/>
    <x v="3"/>
    <n v="73212"/>
    <n v="33125"/>
    <n v="44476.290000000008"/>
    <n v="15381.25"/>
    <n v="549.09"/>
    <n v="271"/>
    <n v="248.43750000000003"/>
    <n v="20123.437500000004"/>
    <n v="33125"/>
    <n v="25318.930041152256"/>
    <n v="0.61"/>
    <n v="0.92"/>
    <n v="1.31"/>
    <n v="271.5"/>
    <n v="17472.25"/>
  </r>
  <r>
    <x v="4"/>
    <x v="22"/>
    <x v="92"/>
    <x v="102"/>
    <x v="3"/>
    <n v="3061"/>
    <n v="2342"/>
    <n v="2280.4449999999997"/>
    <n v="685"/>
    <n v="45.914999999999999"/>
    <n v="41"/>
    <n v="35.129999999999995"/>
    <n v="1744.7899999999997"/>
    <n v="2342"/>
    <n v="919.46308724832227"/>
    <n v="0.75"/>
    <n v="0.86"/>
    <n v="2.5499999999999998"/>
    <n v="42"/>
    <n v="1615"/>
  </r>
  <r>
    <x v="4"/>
    <x v="23"/>
    <x v="93"/>
    <x v="103"/>
    <x v="6"/>
    <n v="18"/>
    <n v="486"/>
    <n v="17.64"/>
    <n v="681.5"/>
    <n v="1.08"/>
    <n v="104"/>
    <n v="29.160000000000004"/>
    <n v="476.28"/>
    <n v="603"/>
    <n v="695.40816326530614"/>
    <n v="0.98"/>
    <n v="0.28000000000000003"/>
    <n v="0.7"/>
    <n v="107"/>
    <n v="-302.5"/>
  </r>
  <r>
    <x v="4"/>
    <x v="23"/>
    <x v="94"/>
    <x v="104"/>
    <x v="0"/>
    <n v="45"/>
    <n v="900"/>
    <n v="24.3"/>
    <n v="403"/>
    <n v="0"/>
    <n v="0"/>
    <n v="0"/>
    <n v="486.00000000000006"/>
    <n v="900"/>
    <n v="746.29629629629619"/>
    <n v="0.54"/>
    <n v="0"/>
    <n v="1.21"/>
    <n v="0"/>
    <n v="497"/>
  </r>
  <r>
    <x v="4"/>
    <x v="20"/>
    <x v="85"/>
    <x v="89"/>
    <x v="0"/>
    <n v="0.22000000000002728"/>
    <n v="47.290000000000873"/>
    <n v="0"/>
    <n v="0"/>
    <n v="0"/>
    <n v="0"/>
    <n v="0"/>
    <n v="0"/>
    <n v="8.7396756498492323E-13"/>
    <n v="8.7396756498492323E-13"/>
    <n v="0"/>
    <n v="0"/>
    <n v="0"/>
    <n v="0"/>
    <n v="47.290000000000873"/>
  </r>
  <r>
    <x v="4"/>
    <x v="20"/>
    <x v="95"/>
    <x v="105"/>
    <x v="0"/>
    <n v="2704"/>
    <n v="11396"/>
    <n v="2704"/>
    <n v="12802.5"/>
    <n v="0"/>
    <n v="0"/>
    <n v="0"/>
    <n v="11396"/>
    <n v="13554"/>
    <n v="12802.5"/>
    <n v="1"/>
    <n v="0"/>
    <n v="0.89"/>
    <n v="0"/>
    <n v="-1406.5"/>
  </r>
  <r>
    <x v="4"/>
    <x v="20"/>
    <x v="96"/>
    <x v="106"/>
    <x v="0"/>
    <n v="40"/>
    <n v="4284"/>
    <n v="40"/>
    <n v="2296.5"/>
    <n v="0"/>
    <n v="0"/>
    <n v="0"/>
    <n v="4284"/>
    <n v="2296.5"/>
    <n v="2296.5"/>
    <n v="1"/>
    <n v="0"/>
    <n v="1.87"/>
    <n v="0"/>
    <n v="1987.5"/>
  </r>
  <r>
    <x v="4"/>
    <x v="20"/>
    <x v="97"/>
    <x v="107"/>
    <x v="0"/>
    <n v="7216"/>
    <n v="22601"/>
    <n v="7215.9999999999991"/>
    <n v="24155.9"/>
    <n v="0"/>
    <n v="0"/>
    <n v="0"/>
    <n v="22600.999999999996"/>
    <n v="24256"/>
    <n v="24155.900000000005"/>
    <n v="1"/>
    <n v="0"/>
    <n v="0.94"/>
    <n v="0"/>
    <n v="-1554.9000000000015"/>
  </r>
  <r>
    <x v="4"/>
    <x v="20"/>
    <x v="98"/>
    <x v="108"/>
    <x v="0"/>
    <n v="1503"/>
    <n v="5336.01"/>
    <n v="1503"/>
    <n v="5156.8999999999996"/>
    <n v="0"/>
    <n v="0"/>
    <n v="0"/>
    <n v="5336.01"/>
    <n v="5156.9000000000005"/>
    <n v="5156.8999999999996"/>
    <n v="1"/>
    <n v="0"/>
    <n v="1.03"/>
    <n v="0"/>
    <n v="179.11000000000058"/>
  </r>
  <r>
    <x v="4"/>
    <x v="20"/>
    <x v="99"/>
    <x v="109"/>
    <x v="0"/>
    <n v="12"/>
    <n v="720"/>
    <n v="0"/>
    <n v="0"/>
    <n v="0"/>
    <n v="0"/>
    <n v="0"/>
    <n v="0"/>
    <n v="720"/>
    <n v="720"/>
    <n v="0"/>
    <n v="0"/>
    <n v="0"/>
    <n v="0"/>
    <n v="720"/>
  </r>
  <r>
    <x v="4"/>
    <x v="18"/>
    <x v="56"/>
    <x v="90"/>
    <x v="0"/>
    <n v="13.699999999999989"/>
    <n v="0"/>
    <n v="0"/>
    <n v="0"/>
    <n v="0"/>
    <n v="0"/>
    <n v="0"/>
    <n v="0"/>
    <n v="0"/>
    <n v="0"/>
    <n v="0"/>
    <n v="0"/>
    <n v="0"/>
    <n v="0"/>
    <n v="0"/>
  </r>
  <r>
    <x v="4"/>
    <x v="18"/>
    <x v="100"/>
    <x v="110"/>
    <x v="4"/>
    <n v="227.34"/>
    <n v="2866"/>
    <n v="181.87200000000001"/>
    <n v="4044"/>
    <n v="0"/>
    <n v="0"/>
    <n v="0"/>
    <n v="2292.8000000000002"/>
    <n v="4963"/>
    <n v="5055"/>
    <n v="0.8"/>
    <n v="0"/>
    <n v="0.56999999999999995"/>
    <n v="0"/>
    <n v="-1178"/>
  </r>
  <r>
    <x v="4"/>
    <x v="18"/>
    <x v="101"/>
    <x v="111"/>
    <x v="0"/>
    <n v="195.66"/>
    <n v="2565"/>
    <n v="195.65999999999997"/>
    <n v="2650"/>
    <n v="0"/>
    <n v="0"/>
    <n v="0"/>
    <n v="2564.9999999999995"/>
    <n v="2650"/>
    <n v="2650.0000000000005"/>
    <n v="1"/>
    <n v="0"/>
    <n v="0.97"/>
    <n v="0"/>
    <n v="-85"/>
  </r>
  <r>
    <x v="4"/>
    <x v="24"/>
    <x v="102"/>
    <x v="112"/>
    <x v="1"/>
    <n v="2704"/>
    <n v="15267"/>
    <n v="554.31999999999994"/>
    <n v="1326.5"/>
    <n v="13.52"/>
    <n v="0"/>
    <n v="76.335000000000008"/>
    <n v="3129.7349999999997"/>
    <n v="1550"/>
    <n v="1550"/>
    <n v="0.21"/>
    <n v="0"/>
    <n v="2.36"/>
    <n v="0"/>
    <n v="13940.5"/>
  </r>
  <r>
    <x v="4"/>
    <x v="0"/>
    <x v="0"/>
    <x v="91"/>
    <x v="0"/>
    <n v="23.989999999999782"/>
    <n v="464.40000000000146"/>
    <n v="0"/>
    <n v="0"/>
    <n v="0"/>
    <n v="0"/>
    <n v="0"/>
    <n v="0"/>
    <n v="1.4779288903810084E-12"/>
    <n v="1.4779288903810084E-12"/>
    <n v="0"/>
    <n v="0"/>
    <n v="0"/>
    <n v="0"/>
    <n v="464.40000000000146"/>
  </r>
  <r>
    <x v="4"/>
    <x v="0"/>
    <x v="103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104"/>
    <x v="114"/>
    <x v="0"/>
    <n v="12"/>
    <n v="360"/>
    <n v="12"/>
    <n v="394"/>
    <n v="0"/>
    <n v="0"/>
    <n v="0"/>
    <n v="360"/>
    <n v="394"/>
    <n v="394"/>
    <n v="1"/>
    <n v="0"/>
    <n v="0.91"/>
    <n v="0"/>
    <n v="-34"/>
  </r>
  <r>
    <x v="4"/>
    <x v="0"/>
    <x v="105"/>
    <x v="115"/>
    <x v="6"/>
    <n v="1242.1500000000001"/>
    <n v="24214"/>
    <n v="1242.1500000000001"/>
    <n v="18068.5"/>
    <n v="6.2110000000000003"/>
    <n v="328"/>
    <n v="121.07487340498329"/>
    <n v="24214"/>
    <n v="17325"/>
    <n v="18068.5"/>
    <n v="1"/>
    <n v="0.37"/>
    <n v="1.34"/>
    <n v="328.5"/>
    <n v="5817"/>
  </r>
  <r>
    <x v="4"/>
    <x v="0"/>
    <x v="106"/>
    <x v="116"/>
    <x v="0"/>
    <n v="589.45000000000005"/>
    <n v="11885.39"/>
    <n v="589.45000000000005"/>
    <n v="9200.5"/>
    <n v="0"/>
    <n v="0"/>
    <n v="0"/>
    <n v="11885.39"/>
    <n v="9200.5"/>
    <n v="9200.5"/>
    <n v="1"/>
    <n v="0"/>
    <n v="1.29"/>
    <n v="0"/>
    <n v="2684.8899999999994"/>
  </r>
  <r>
    <x v="4"/>
    <x v="0"/>
    <x v="107"/>
    <x v="117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108"/>
    <x v="117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109"/>
    <x v="118"/>
    <x v="0"/>
    <n v="194"/>
    <n v="3752"/>
    <n v="0"/>
    <n v="0"/>
    <n v="0"/>
    <n v="0"/>
    <n v="0"/>
    <n v="0"/>
    <n v="0"/>
    <n v="0"/>
    <n v="0"/>
    <n v="0"/>
    <n v="0"/>
    <n v="0"/>
    <n v="3752"/>
  </r>
  <r>
    <x v="4"/>
    <x v="2"/>
    <x v="87"/>
    <x v="93"/>
    <x v="7"/>
    <n v="951"/>
    <n v="13803"/>
    <n v="475.49999999999989"/>
    <n v="1774"/>
    <n v="0"/>
    <n v="74"/>
    <n v="0"/>
    <n v="6901.4999999999982"/>
    <n v="5303"/>
    <n v="3548.0000000000009"/>
    <n v="0.5"/>
    <n v="0"/>
    <n v="3.89"/>
    <n v="74.5"/>
    <n v="11954.5"/>
  </r>
  <r>
    <x v="4"/>
    <x v="3"/>
    <x v="9"/>
    <x v="119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59"/>
    <x v="120"/>
    <x v="0"/>
    <n v="540"/>
    <n v="1260"/>
    <n v="0"/>
    <n v="0"/>
    <n v="0"/>
    <n v="0"/>
    <n v="0"/>
    <n v="0"/>
    <n v="1260"/>
    <n v="1260"/>
    <n v="0"/>
    <n v="0"/>
    <n v="0"/>
    <n v="0"/>
    <n v="1260"/>
  </r>
  <r>
    <x v="4"/>
    <x v="3"/>
    <x v="110"/>
    <x v="121"/>
    <x v="0"/>
    <n v="528"/>
    <n v="2640"/>
    <n v="0"/>
    <n v="0"/>
    <n v="0"/>
    <n v="0"/>
    <n v="0"/>
    <n v="0"/>
    <n v="2640"/>
    <n v="2640"/>
    <n v="0"/>
    <n v="0"/>
    <n v="0"/>
    <n v="0"/>
    <n v="2640"/>
  </r>
  <r>
    <x v="4"/>
    <x v="3"/>
    <x v="111"/>
    <x v="122"/>
    <x v="0"/>
    <n v="43957"/>
    <n v="73919"/>
    <n v="43956.999999999993"/>
    <n v="59268.5"/>
    <n v="0"/>
    <n v="0"/>
    <n v="0"/>
    <n v="73918.999999999985"/>
    <n v="59268.5"/>
    <n v="59268.500000000007"/>
    <n v="1"/>
    <n v="0"/>
    <n v="1.25"/>
    <n v="0"/>
    <n v="14650.5"/>
  </r>
  <r>
    <x v="4"/>
    <x v="3"/>
    <x v="112"/>
    <x v="123"/>
    <x v="3"/>
    <n v="43957"/>
    <n v="83691"/>
    <n v="40440.44"/>
    <n v="66172.5"/>
    <n v="2197.85"/>
    <n v="7261"/>
    <n v="4184.5499999999993"/>
    <n v="76995.72"/>
    <n v="83691"/>
    <n v="71926.630434782608"/>
    <n v="0.92"/>
    <n v="0.57999999999999996"/>
    <n v="1.1599999999999999"/>
    <n v="7256"/>
    <n v="10262.5"/>
  </r>
  <r>
    <x v="4"/>
    <x v="3"/>
    <x v="113"/>
    <x v="124"/>
    <x v="2"/>
    <n v="542"/>
    <n v="9000"/>
    <n v="0"/>
    <n v="0"/>
    <n v="0"/>
    <n v="0"/>
    <n v="0"/>
    <n v="0"/>
    <n v="0"/>
    <n v="0"/>
    <n v="0"/>
    <n v="0"/>
    <n v="0"/>
    <n v="0"/>
    <n v="9000"/>
  </r>
  <r>
    <x v="4"/>
    <x v="4"/>
    <x v="114"/>
    <x v="125"/>
    <x v="2"/>
    <n v="0"/>
    <n v="0"/>
    <n v="0"/>
    <n v="0"/>
    <n v="0"/>
    <n v="0"/>
    <n v="0"/>
    <n v="0"/>
    <n v="-3910"/>
    <n v="-3910"/>
    <n v="0"/>
    <n v="0"/>
    <n v="0"/>
    <n v="0"/>
    <n v="0"/>
  </r>
  <r>
    <x v="4"/>
    <x v="4"/>
    <x v="115"/>
    <x v="126"/>
    <x v="6"/>
    <n v="12972"/>
    <n v="24919"/>
    <n v="12193.680000000002"/>
    <n v="27654"/>
    <n v="1167.48"/>
    <n v="3043"/>
    <n v="2242.71"/>
    <n v="23423.860000000004"/>
    <n v="24919"/>
    <n v="29419.148936170208"/>
    <n v="0.94"/>
    <n v="0.74"/>
    <n v="0.85"/>
    <n v="3046"/>
    <n v="-5781"/>
  </r>
  <r>
    <x v="4"/>
    <x v="5"/>
    <x v="14"/>
    <x v="14"/>
    <x v="2"/>
    <n v="0"/>
    <n v="-0.2000000000007276"/>
    <n v="0"/>
    <n v="0"/>
    <n v="0"/>
    <n v="0"/>
    <n v="0"/>
    <n v="0"/>
    <n v="0"/>
    <n v="0"/>
    <n v="0"/>
    <n v="0"/>
    <n v="0"/>
    <n v="0"/>
    <n v="-0.2000000000007276"/>
  </r>
  <r>
    <x v="4"/>
    <x v="6"/>
    <x v="116"/>
    <x v="127"/>
    <x v="4"/>
    <n v="71863"/>
    <n v="12490"/>
    <n v="44914.375"/>
    <n v="2941"/>
    <n v="0"/>
    <n v="0"/>
    <n v="0"/>
    <n v="7806.25"/>
    <n v="2941"/>
    <n v="4705.6000000000004"/>
    <n v="0.63"/>
    <n v="0"/>
    <n v="2.65"/>
    <n v="0"/>
    <n v="9549"/>
  </r>
  <r>
    <x v="4"/>
    <x v="7"/>
    <x v="18"/>
    <x v="128"/>
    <x v="2"/>
    <n v="3189"/>
    <n v="1697.5"/>
    <n v="0"/>
    <n v="0"/>
    <n v="0"/>
    <n v="0"/>
    <n v="0"/>
    <n v="0"/>
    <n v="0"/>
    <n v="0"/>
    <n v="0"/>
    <n v="0"/>
    <n v="0"/>
    <n v="0"/>
    <n v="1697.5"/>
  </r>
  <r>
    <x v="4"/>
    <x v="7"/>
    <x v="117"/>
    <x v="129"/>
    <x v="6"/>
    <n v="4686"/>
    <n v="18500"/>
    <n v="4639.1400000000003"/>
    <n v="20968"/>
    <n v="164.01"/>
    <n v="721"/>
    <n v="647.49999999999989"/>
    <n v="18315.000000000004"/>
    <n v="20500"/>
    <n v="21179.797979797979"/>
    <n v="0.99"/>
    <n v="0.9"/>
    <n v="0.87"/>
    <n v="722.5"/>
    <n v="-3190.5"/>
  </r>
  <r>
    <x v="4"/>
    <x v="9"/>
    <x v="118"/>
    <x v="130"/>
    <x v="2"/>
    <n v="3071"/>
    <n v="2533"/>
    <n v="0"/>
    <n v="0"/>
    <n v="0"/>
    <n v="0"/>
    <n v="0"/>
    <n v="0"/>
    <n v="0"/>
    <n v="0"/>
    <n v="0"/>
    <n v="0"/>
    <n v="0"/>
    <n v="0"/>
    <n v="2533"/>
  </r>
  <r>
    <x v="4"/>
    <x v="11"/>
    <x v="67"/>
    <x v="67"/>
    <x v="6"/>
    <n v="61412"/>
    <n v="26026"/>
    <n v="45444.88"/>
    <n v="22208"/>
    <n v="8597.68"/>
    <n v="3777"/>
    <n v="3643.6400000000003"/>
    <n v="19259.239999999998"/>
    <n v="26026"/>
    <n v="30010.81081081081"/>
    <n v="0.74"/>
    <n v="0.96"/>
    <n v="0.87"/>
    <n v="3776.5"/>
    <n v="41.5"/>
  </r>
  <r>
    <x v="4"/>
    <x v="12"/>
    <x v="26"/>
    <x v="131"/>
    <x v="5"/>
    <n v="0"/>
    <n v="6832.2000000000007"/>
    <n v="0"/>
    <n v="7318"/>
    <n v="0"/>
    <n v="210"/>
    <n v="0"/>
    <n v="0"/>
    <n v="7000.0000000000009"/>
    <n v="7000.0000000000009"/>
    <n v="0"/>
    <n v="0"/>
    <n v="0"/>
    <n v="0"/>
    <n v="-485.79999999999927"/>
  </r>
  <r>
    <x v="4"/>
    <x v="12"/>
    <x v="27"/>
    <x v="27"/>
    <x v="5"/>
    <n v="0"/>
    <n v="49346"/>
    <n v="0"/>
    <n v="27462"/>
    <n v="0"/>
    <n v="405"/>
    <n v="0"/>
    <n v="0"/>
    <n v="27160"/>
    <n v="27160"/>
    <n v="0"/>
    <n v="0"/>
    <n v="0"/>
    <n v="212"/>
    <n v="21672"/>
  </r>
  <r>
    <x v="4"/>
    <x v="12"/>
    <x v="28"/>
    <x v="28"/>
    <x v="5"/>
    <n v="0"/>
    <n v="10920"/>
    <n v="0"/>
    <n v="11384"/>
    <n v="0"/>
    <n v="472"/>
    <n v="0"/>
    <n v="0"/>
    <n v="10550"/>
    <n v="10550"/>
    <n v="0"/>
    <n v="0"/>
    <n v="0"/>
    <n v="473"/>
    <n v="-937"/>
  </r>
  <r>
    <x v="4"/>
    <x v="12"/>
    <x v="29"/>
    <x v="29"/>
    <x v="5"/>
    <n v="0"/>
    <n v="49560"/>
    <n v="0"/>
    <n v="37929"/>
    <n v="0"/>
    <n v="2655"/>
    <n v="0"/>
    <n v="0"/>
    <n v="30837"/>
    <n v="30837"/>
    <n v="0"/>
    <n v="0"/>
    <n v="0"/>
    <n v="1909"/>
    <n v="9722"/>
  </r>
  <r>
    <x v="4"/>
    <x v="12"/>
    <x v="30"/>
    <x v="30"/>
    <x v="5"/>
    <n v="0"/>
    <n v="2940"/>
    <n v="0"/>
    <n v="892.5"/>
    <n v="0"/>
    <n v="25"/>
    <n v="0"/>
    <n v="0"/>
    <n v="900"/>
    <n v="900"/>
    <n v="0"/>
    <n v="0"/>
    <n v="0"/>
    <n v="0"/>
    <n v="2047.5"/>
  </r>
  <r>
    <x v="4"/>
    <x v="13"/>
    <x v="33"/>
    <x v="33"/>
    <x v="5"/>
    <n v="0"/>
    <n v="28644"/>
    <n v="0"/>
    <n v="8978.5"/>
    <n v="0"/>
    <n v="117"/>
    <n v="0"/>
    <n v="0"/>
    <n v="9730"/>
    <n v="9730"/>
    <n v="0"/>
    <n v="0"/>
    <n v="0"/>
    <n v="117.5"/>
    <n v="19548"/>
  </r>
  <r>
    <x v="4"/>
    <x v="13"/>
    <x v="34"/>
    <x v="34"/>
    <x v="2"/>
    <n v="0"/>
    <n v="11676"/>
    <n v="0"/>
    <n v="7360.5"/>
    <n v="0"/>
    <n v="0"/>
    <n v="0"/>
    <n v="0"/>
    <n v="8116"/>
    <n v="8116"/>
    <n v="0"/>
    <n v="0"/>
    <n v="0"/>
    <n v="0"/>
    <n v="4315.5"/>
  </r>
  <r>
    <x v="4"/>
    <x v="13"/>
    <x v="35"/>
    <x v="35"/>
    <x v="2"/>
    <n v="0"/>
    <n v="21168"/>
    <n v="0"/>
    <n v="28732"/>
    <n v="0"/>
    <n v="0"/>
    <n v="0"/>
    <n v="0"/>
    <n v="30175"/>
    <n v="30175"/>
    <n v="0"/>
    <n v="0"/>
    <n v="0"/>
    <n v="0"/>
    <n v="-7564"/>
  </r>
  <r>
    <x v="4"/>
    <x v="13"/>
    <x v="36"/>
    <x v="71"/>
    <x v="5"/>
    <n v="0"/>
    <n v="15204"/>
    <n v="0"/>
    <n v="27568"/>
    <n v="0"/>
    <n v="320"/>
    <n v="0"/>
    <n v="0"/>
    <n v="30535"/>
    <n v="30535"/>
    <n v="0"/>
    <n v="0"/>
    <n v="0"/>
    <n v="321.5"/>
    <n v="-12685.5"/>
  </r>
  <r>
    <x v="4"/>
    <x v="13"/>
    <x v="89"/>
    <x v="132"/>
    <x v="5"/>
    <n v="0"/>
    <n v="14364"/>
    <n v="0"/>
    <n v="15534.5"/>
    <n v="0"/>
    <n v="2"/>
    <n v="0"/>
    <n v="0"/>
    <n v="14364"/>
    <n v="14364"/>
    <n v="0"/>
    <n v="0"/>
    <n v="0"/>
    <n v="2"/>
    <n v="-1172.5"/>
  </r>
  <r>
    <x v="4"/>
    <x v="13"/>
    <x v="37"/>
    <x v="37"/>
    <x v="2"/>
    <n v="0"/>
    <n v="4704"/>
    <n v="0"/>
    <n v="3668.5"/>
    <n v="0"/>
    <n v="0"/>
    <n v="0"/>
    <n v="0"/>
    <n v="4660"/>
    <n v="4660"/>
    <n v="0"/>
    <n v="0"/>
    <n v="0"/>
    <n v="0"/>
    <n v="1035.5"/>
  </r>
  <r>
    <x v="4"/>
    <x v="13"/>
    <x v="38"/>
    <x v="133"/>
    <x v="2"/>
    <n v="0"/>
    <n v="460"/>
    <n v="0"/>
    <n v="853.5"/>
    <n v="0"/>
    <n v="0"/>
    <n v="0"/>
    <n v="0"/>
    <n v="620"/>
    <n v="620"/>
    <n v="0"/>
    <n v="0"/>
    <n v="0"/>
    <n v="0"/>
    <n v="-393.5"/>
  </r>
  <r>
    <x v="4"/>
    <x v="13"/>
    <x v="39"/>
    <x v="39"/>
    <x v="2"/>
    <n v="0"/>
    <n v="350"/>
    <n v="0"/>
    <n v="214"/>
    <n v="0"/>
    <n v="0"/>
    <n v="0"/>
    <n v="0"/>
    <n v="350"/>
    <n v="350"/>
    <n v="0"/>
    <n v="0"/>
    <n v="0"/>
    <n v="0"/>
    <n v="136"/>
  </r>
  <r>
    <x v="4"/>
    <x v="14"/>
    <x v="43"/>
    <x v="99"/>
    <x v="2"/>
    <n v="0"/>
    <n v="1400"/>
    <n v="0"/>
    <n v="181.5"/>
    <n v="0"/>
    <n v="0"/>
    <n v="0"/>
    <n v="0"/>
    <n v="200"/>
    <n v="200"/>
    <n v="0"/>
    <n v="0"/>
    <n v="0"/>
    <n v="0"/>
    <n v="1218.5"/>
  </r>
  <r>
    <x v="4"/>
    <x v="15"/>
    <x v="44"/>
    <x v="134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48"/>
    <x v="135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19"/>
    <x v="136"/>
    <x v="2"/>
    <n v="0"/>
    <n v="2626"/>
    <n v="0"/>
    <n v="6525"/>
    <n v="0"/>
    <n v="0"/>
    <n v="0"/>
    <n v="0"/>
    <n v="6525"/>
    <n v="6525"/>
    <n v="0"/>
    <n v="0"/>
    <n v="0"/>
    <n v="0"/>
    <n v="-3899"/>
  </r>
  <r>
    <x v="4"/>
    <x v="16"/>
    <x v="120"/>
    <x v="137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21"/>
    <x v="138"/>
    <x v="0"/>
    <n v="26"/>
    <n v="8320"/>
    <n v="26"/>
    <n v="4288.5"/>
    <n v="0"/>
    <n v="0"/>
    <n v="0"/>
    <n v="8320"/>
    <n v="4288.5"/>
    <n v="4288.5"/>
    <n v="1"/>
    <n v="0"/>
    <n v="1.94"/>
    <n v="0"/>
    <n v="4031.5"/>
  </r>
  <r>
    <x v="4"/>
    <x v="16"/>
    <x v="122"/>
    <x v="139"/>
    <x v="2"/>
    <n v="0"/>
    <n v="0"/>
    <n v="0"/>
    <n v="588.5"/>
    <n v="0"/>
    <n v="0"/>
    <n v="0"/>
    <n v="0"/>
    <n v="588.5"/>
    <n v="588.5"/>
    <n v="0"/>
    <n v="0"/>
    <n v="0"/>
    <n v="0"/>
    <n v="-588.5"/>
  </r>
  <r>
    <x v="4"/>
    <x v="16"/>
    <x v="123"/>
    <x v="140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24"/>
    <x v="141"/>
    <x v="2"/>
    <n v="0"/>
    <n v="0"/>
    <n v="0"/>
    <n v="30"/>
    <n v="0"/>
    <n v="0"/>
    <n v="0"/>
    <n v="0"/>
    <n v="30"/>
    <n v="30"/>
    <n v="0"/>
    <n v="0"/>
    <n v="0"/>
    <n v="0"/>
    <n v="-30"/>
  </r>
  <r>
    <x v="4"/>
    <x v="16"/>
    <x v="125"/>
    <x v="142"/>
    <x v="0"/>
    <n v="28"/>
    <n v="1400"/>
    <n v="28"/>
    <n v="1597"/>
    <n v="0"/>
    <n v="0"/>
    <n v="0"/>
    <n v="1400"/>
    <n v="1597"/>
    <n v="1597"/>
    <n v="1"/>
    <n v="0"/>
    <n v="0.88"/>
    <n v="0"/>
    <n v="-197"/>
  </r>
  <r>
    <x v="4"/>
    <x v="16"/>
    <x v="126"/>
    <x v="143"/>
    <x v="2"/>
    <n v="0"/>
    <n v="0"/>
    <n v="0"/>
    <n v="5751.5"/>
    <n v="0"/>
    <n v="0"/>
    <n v="0"/>
    <n v="0"/>
    <n v="5751.5"/>
    <n v="5751.5"/>
    <n v="0"/>
    <n v="0"/>
    <n v="0"/>
    <n v="0"/>
    <n v="-5751.5"/>
  </r>
  <r>
    <x v="4"/>
    <x v="16"/>
    <x v="127"/>
    <x v="144"/>
    <x v="2"/>
    <n v="0"/>
    <n v="0"/>
    <n v="0"/>
    <n v="390.5"/>
    <n v="0"/>
    <n v="0"/>
    <n v="0"/>
    <n v="0"/>
    <n v="390.5"/>
    <n v="390.5"/>
    <n v="0"/>
    <n v="0"/>
    <n v="0"/>
    <n v="0"/>
    <n v="-390.5"/>
  </r>
  <r>
    <x v="4"/>
    <x v="16"/>
    <x v="128"/>
    <x v="145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29"/>
    <x v="146"/>
    <x v="2"/>
    <n v="700"/>
    <n v="2275"/>
    <n v="0"/>
    <n v="2114"/>
    <n v="0"/>
    <n v="0"/>
    <n v="0"/>
    <n v="0"/>
    <n v="2275"/>
    <n v="2275"/>
    <n v="0"/>
    <n v="0"/>
    <n v="0"/>
    <n v="0"/>
    <n v="161"/>
  </r>
  <r>
    <x v="4"/>
    <x v="16"/>
    <x v="130"/>
    <x v="147"/>
    <x v="2"/>
    <n v="0"/>
    <n v="0"/>
    <n v="0"/>
    <n v="12"/>
    <n v="0"/>
    <n v="0"/>
    <n v="0"/>
    <n v="0"/>
    <n v="12"/>
    <n v="12"/>
    <n v="0"/>
    <n v="0"/>
    <n v="0"/>
    <n v="0"/>
    <n v="-12"/>
  </r>
  <r>
    <x v="4"/>
    <x v="16"/>
    <x v="131"/>
    <x v="148"/>
    <x v="2"/>
    <n v="0"/>
    <n v="0"/>
    <n v="0"/>
    <n v="353.5"/>
    <n v="0"/>
    <n v="0"/>
    <n v="0"/>
    <n v="0"/>
    <n v="353.5"/>
    <n v="353.5"/>
    <n v="0"/>
    <n v="0"/>
    <n v="0"/>
    <n v="0"/>
    <n v="-353.5"/>
  </r>
  <r>
    <x v="4"/>
    <x v="16"/>
    <x v="132"/>
    <x v="149"/>
    <x v="8"/>
    <n v="0"/>
    <n v="5440"/>
    <n v="12.5"/>
    <n v="2114.5"/>
    <n v="3.75"/>
    <n v="104"/>
    <n v="0"/>
    <n v="0"/>
    <n v="2968"/>
    <n v="2968"/>
    <n v="0"/>
    <n v="0"/>
    <n v="0"/>
    <n v="103.5"/>
    <n v="3222"/>
  </r>
  <r>
    <x v="4"/>
    <x v="16"/>
    <x v="133"/>
    <x v="150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34"/>
    <x v="151"/>
    <x v="5"/>
    <n v="398"/>
    <n v="4300"/>
    <n v="0"/>
    <n v="3402.5"/>
    <n v="0"/>
    <n v="354"/>
    <n v="0"/>
    <n v="0"/>
    <n v="4300"/>
    <n v="4300"/>
    <n v="0"/>
    <n v="0"/>
    <n v="0"/>
    <n v="353.5"/>
    <n v="544"/>
  </r>
  <r>
    <x v="4"/>
    <x v="16"/>
    <x v="135"/>
    <x v="152"/>
    <x v="2"/>
    <n v="195"/>
    <n v="1154"/>
    <n v="0"/>
    <n v="521.5"/>
    <n v="0"/>
    <n v="0"/>
    <n v="0"/>
    <n v="0"/>
    <n v="521.5"/>
    <n v="521.5"/>
    <n v="0"/>
    <n v="0"/>
    <n v="0"/>
    <n v="0"/>
    <n v="632.5"/>
  </r>
  <r>
    <x v="4"/>
    <x v="16"/>
    <x v="136"/>
    <x v="153"/>
    <x v="5"/>
    <n v="14"/>
    <n v="3250"/>
    <n v="0"/>
    <n v="909.5"/>
    <n v="0"/>
    <n v="384"/>
    <n v="0"/>
    <n v="0"/>
    <n v="3520"/>
    <n v="3520"/>
    <n v="0"/>
    <n v="0"/>
    <n v="0"/>
    <n v="384"/>
    <n v="1956.5"/>
  </r>
  <r>
    <x v="4"/>
    <x v="16"/>
    <x v="137"/>
    <x v="154"/>
    <x v="2"/>
    <n v="0"/>
    <n v="0"/>
    <n v="0"/>
    <n v="819"/>
    <n v="0"/>
    <n v="0"/>
    <n v="0"/>
    <n v="0"/>
    <n v="819"/>
    <n v="819"/>
    <n v="0"/>
    <n v="0"/>
    <n v="0"/>
    <n v="0"/>
    <n v="-819"/>
  </r>
  <r>
    <x v="4"/>
    <x v="16"/>
    <x v="138"/>
    <x v="155"/>
    <x v="5"/>
    <n v="0"/>
    <n v="0"/>
    <n v="0"/>
    <n v="1289.5"/>
    <n v="0"/>
    <n v="601"/>
    <n v="0"/>
    <n v="0"/>
    <n v="0"/>
    <n v="0"/>
    <n v="0"/>
    <n v="0"/>
    <n v="0"/>
    <n v="601"/>
    <n v="-1890.5"/>
  </r>
  <r>
    <x v="4"/>
    <x v="17"/>
    <x v="68"/>
    <x v="156"/>
    <x v="2"/>
    <n v="0"/>
    <n v="0"/>
    <n v="0"/>
    <n v="2163.5"/>
    <n v="0"/>
    <n v="0"/>
    <n v="0"/>
    <n v="0"/>
    <n v="2163.5"/>
    <n v="2163.5"/>
    <n v="0"/>
    <n v="0"/>
    <n v="0"/>
    <n v="0"/>
    <n v="-2163.5"/>
  </r>
  <r>
    <x v="4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4"/>
    <x v="17"/>
    <x v="71"/>
    <x v="157"/>
    <x v="2"/>
    <n v="0"/>
    <n v="0"/>
    <n v="0"/>
    <n v="2565.5"/>
    <n v="0"/>
    <n v="0"/>
    <n v="0"/>
    <n v="0"/>
    <n v="2565.5"/>
    <n v="2565.5"/>
    <n v="0"/>
    <n v="0"/>
    <n v="0"/>
    <n v="0"/>
    <n v="-2565.5"/>
  </r>
  <r>
    <x v="5"/>
    <x v="18"/>
    <x v="56"/>
    <x v="90"/>
    <x v="0"/>
    <n v="820"/>
    <n v="10820.47"/>
    <n v="0"/>
    <n v="0"/>
    <n v="0"/>
    <n v="0"/>
    <n v="0"/>
    <n v="0"/>
    <n v="10820.47"/>
    <n v="10820.47"/>
    <n v="0"/>
    <n v="0"/>
    <n v="0"/>
    <n v="0"/>
    <n v="10820.47"/>
  </r>
  <r>
    <x v="5"/>
    <x v="18"/>
    <x v="139"/>
    <x v="158"/>
    <x v="0"/>
    <n v="25"/>
    <n v="410"/>
    <n v="0"/>
    <n v="0"/>
    <n v="0"/>
    <n v="0"/>
    <n v="0"/>
    <n v="0"/>
    <n v="410"/>
    <n v="410"/>
    <n v="0"/>
    <n v="0"/>
    <n v="0"/>
    <n v="0"/>
    <n v="410"/>
  </r>
  <r>
    <x v="5"/>
    <x v="18"/>
    <x v="140"/>
    <x v="159"/>
    <x v="6"/>
    <n v="135"/>
    <n v="1909"/>
    <n v="51.058"/>
    <n v="722"/>
    <n v="11.173999999999999"/>
    <n v="157"/>
    <n v="158.00863703703703"/>
    <n v="721.99794074074066"/>
    <n v="1909"/>
    <n v="1909.0054447882801"/>
    <n v="0.38"/>
    <n v="1.01"/>
    <n v="1"/>
    <n v="158"/>
    <n v="1029"/>
  </r>
  <r>
    <x v="5"/>
    <x v="18"/>
    <x v="141"/>
    <x v="160"/>
    <x v="5"/>
    <n v="0"/>
    <n v="0"/>
    <n v="0"/>
    <n v="371.5"/>
    <n v="0"/>
    <n v="371"/>
    <n v="0"/>
    <n v="0"/>
    <n v="0"/>
    <n v="0"/>
    <n v="0"/>
    <n v="0"/>
    <n v="0"/>
    <n v="371.5"/>
    <n v="-743"/>
  </r>
  <r>
    <x v="5"/>
    <x v="18"/>
    <x v="142"/>
    <x v="161"/>
    <x v="5"/>
    <n v="0"/>
    <n v="0"/>
    <n v="0"/>
    <n v="51"/>
    <n v="0"/>
    <n v="50"/>
    <n v="0"/>
    <n v="0"/>
    <n v="0"/>
    <n v="0"/>
    <n v="0"/>
    <n v="0"/>
    <n v="0"/>
    <n v="51"/>
    <n v="-102"/>
  </r>
  <r>
    <x v="5"/>
    <x v="0"/>
    <x v="0"/>
    <x v="91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1"/>
    <x v="162"/>
    <x v="4"/>
    <n v="55"/>
    <n v="1380"/>
    <n v="47.616000000000007"/>
    <n v="1551.75"/>
    <n v="0"/>
    <n v="0"/>
    <n v="0"/>
    <n v="1194.7287272727274"/>
    <n v="1380"/>
    <n v="1792.3859627016125"/>
    <n v="0.87"/>
    <n v="0"/>
    <n v="0.77"/>
    <n v="0"/>
    <n v="-171.75"/>
  </r>
  <r>
    <x v="5"/>
    <x v="0"/>
    <x v="143"/>
    <x v="163"/>
    <x v="0"/>
    <n v="166"/>
    <n v="5077"/>
    <n v="92.396000000000015"/>
    <n v="2350.5"/>
    <n v="0"/>
    <n v="0"/>
    <n v="0"/>
    <n v="2825.8704337349404"/>
    <n v="5077"/>
    <n v="4222.9425516256106"/>
    <n v="0.56000000000000005"/>
    <n v="0"/>
    <n v="1.2"/>
    <n v="0"/>
    <n v="2726.5"/>
  </r>
  <r>
    <x v="5"/>
    <x v="0"/>
    <x v="144"/>
    <x v="164"/>
    <x v="0"/>
    <n v="50"/>
    <n v="1512"/>
    <n v="18.092000000000002"/>
    <n v="547"/>
    <n v="0"/>
    <n v="0"/>
    <n v="0"/>
    <n v="547.10208000000011"/>
    <n v="1512"/>
    <n v="1511.7178863586114"/>
    <n v="0.36"/>
    <n v="0"/>
    <n v="1"/>
    <n v="0"/>
    <n v="965"/>
  </r>
  <r>
    <x v="5"/>
    <x v="0"/>
    <x v="145"/>
    <x v="165"/>
    <x v="3"/>
    <n v="1229"/>
    <n v="37673"/>
    <n v="829.26800000000003"/>
    <n v="24807"/>
    <n v="53.670999999999999"/>
    <n v="1830"/>
    <n v="1645.1973824247355"/>
    <n v="25419.864413344181"/>
    <n v="37673"/>
    <n v="36764.716593429388"/>
    <n v="0.67"/>
    <n v="0.9"/>
    <n v="1.02"/>
    <n v="1828"/>
    <n v="11038"/>
  </r>
  <r>
    <x v="5"/>
    <x v="0"/>
    <x v="146"/>
    <x v="166"/>
    <x v="6"/>
    <n v="784"/>
    <n v="21677.360000000001"/>
    <n v="301.87099999999998"/>
    <n v="8346.75"/>
    <n v="44.295999999999999"/>
    <n v="1224"/>
    <n v="1224.7708400000001"/>
    <n v="8346.6407405102036"/>
    <n v="21677.360000000001"/>
    <n v="21677.643761739288"/>
    <n v="0.39"/>
    <n v="1"/>
    <n v="1"/>
    <n v="1224.75"/>
    <n v="12105.86"/>
  </r>
  <r>
    <x v="5"/>
    <x v="0"/>
    <x v="147"/>
    <x v="167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148"/>
    <x v="168"/>
    <x v="6"/>
    <n v="38"/>
    <n v="7185"/>
    <n v="10.793000000000001"/>
    <n v="2040.75"/>
    <n v="2.8000000000000001E-2"/>
    <n v="5"/>
    <n v="5.2942105263157897"/>
    <n v="2040.7290789473689"/>
    <n v="7185"/>
    <n v="7185.0736588529589"/>
    <n v="0.28000000000000003"/>
    <n v="1.06"/>
    <n v="1"/>
    <n v="5"/>
    <n v="5139.25"/>
  </r>
  <r>
    <x v="5"/>
    <x v="0"/>
    <x v="149"/>
    <x v="169"/>
    <x v="0"/>
    <n v="48"/>
    <n v="1920"/>
    <n v="0"/>
    <n v="0"/>
    <n v="0"/>
    <n v="0"/>
    <n v="0"/>
    <n v="0"/>
    <n v="1920"/>
    <n v="1920"/>
    <n v="0"/>
    <n v="0"/>
    <n v="0"/>
    <n v="0"/>
    <n v="1920"/>
  </r>
  <r>
    <x v="5"/>
    <x v="2"/>
    <x v="87"/>
    <x v="170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150"/>
    <x v="171"/>
    <x v="4"/>
    <n v="11"/>
    <n v="1386"/>
    <n v="11"/>
    <n v="1472"/>
    <n v="0"/>
    <n v="0"/>
    <n v="0"/>
    <n v="1386"/>
    <n v="1386"/>
    <n v="1472"/>
    <n v="1"/>
    <n v="0"/>
    <n v="0.94"/>
    <n v="0"/>
    <n v="-86"/>
  </r>
  <r>
    <x v="5"/>
    <x v="2"/>
    <x v="151"/>
    <x v="172"/>
    <x v="9"/>
    <n v="19"/>
    <n v="1111"/>
    <n v="18.999999999999996"/>
    <n v="1355.5"/>
    <n v="0"/>
    <n v="245"/>
    <n v="0"/>
    <n v="1110.9999999999998"/>
    <n v="1111"/>
    <n v="1355.5000000000002"/>
    <n v="1"/>
    <n v="0"/>
    <n v="0.82"/>
    <n v="244.5"/>
    <n v="-489"/>
  </r>
  <r>
    <x v="5"/>
    <x v="2"/>
    <x v="152"/>
    <x v="173"/>
    <x v="0"/>
    <n v="4"/>
    <n v="234"/>
    <n v="2.12"/>
    <n v="124"/>
    <n v="0"/>
    <n v="0"/>
    <n v="0"/>
    <n v="124.02000000000001"/>
    <n v="234"/>
    <n v="233.96226415094338"/>
    <n v="0.53"/>
    <n v="0"/>
    <n v="1"/>
    <n v="0"/>
    <n v="110"/>
  </r>
  <r>
    <x v="5"/>
    <x v="2"/>
    <x v="153"/>
    <x v="174"/>
    <x v="3"/>
    <n v="89"/>
    <n v="5204"/>
    <n v="78.369000000000014"/>
    <n v="4582.3799999999992"/>
    <n v="2.2109999999999999"/>
    <n v="130"/>
    <n v="129.28139325842696"/>
    <n v="4582.3851235955062"/>
    <n v="5204"/>
    <n v="5203.9941813727346"/>
    <n v="0.88"/>
    <n v="0.99"/>
    <n v="1"/>
    <n v="129.25"/>
    <n v="492.3700000000008"/>
  </r>
  <r>
    <x v="5"/>
    <x v="2"/>
    <x v="154"/>
    <x v="175"/>
    <x v="0"/>
    <n v="178"/>
    <n v="10502"/>
    <n v="46.402999999999992"/>
    <n v="2491"/>
    <n v="0"/>
    <n v="0"/>
    <n v="0"/>
    <n v="2737.7769999999996"/>
    <n v="10502"/>
    <n v="9555.3735749843781"/>
    <n v="0.26"/>
    <n v="0"/>
    <n v="1.1000000000000001"/>
    <n v="0"/>
    <n v="8011"/>
  </r>
  <r>
    <x v="5"/>
    <x v="2"/>
    <x v="155"/>
    <x v="176"/>
    <x v="0"/>
    <n v="8"/>
    <n v="900"/>
    <n v="6.9999999999999991"/>
    <n v="620"/>
    <n v="0"/>
    <n v="0"/>
    <n v="0"/>
    <n v="787.49999999999989"/>
    <n v="900"/>
    <n v="708.57142857142867"/>
    <n v="0.88"/>
    <n v="0"/>
    <n v="1.27"/>
    <n v="0"/>
    <n v="280"/>
  </r>
  <r>
    <x v="5"/>
    <x v="2"/>
    <x v="156"/>
    <x v="177"/>
    <x v="0"/>
    <n v="6"/>
    <n v="2570"/>
    <n v="0.70100000000000007"/>
    <n v="299.25"/>
    <n v="0"/>
    <n v="0"/>
    <n v="0"/>
    <n v="300.26166666666671"/>
    <n v="2570"/>
    <n v="2570"/>
    <n v="0.12"/>
    <n v="0"/>
    <n v="1"/>
    <n v="0"/>
    <n v="2270.75"/>
  </r>
  <r>
    <x v="5"/>
    <x v="2"/>
    <x v="157"/>
    <x v="178"/>
    <x v="0"/>
    <n v="6"/>
    <n v="4800"/>
    <n v="0"/>
    <n v="0"/>
    <n v="0"/>
    <n v="0"/>
    <n v="0"/>
    <n v="0"/>
    <n v="4800"/>
    <n v="4800"/>
    <n v="0"/>
    <n v="0"/>
    <n v="0"/>
    <n v="0"/>
    <n v="4800"/>
  </r>
  <r>
    <x v="5"/>
    <x v="2"/>
    <x v="158"/>
    <x v="179"/>
    <x v="0"/>
    <n v="157"/>
    <n v="5071"/>
    <n v="0"/>
    <n v="0"/>
    <n v="0"/>
    <n v="0"/>
    <n v="0"/>
    <n v="0"/>
    <n v="5071"/>
    <n v="5071"/>
    <n v="0"/>
    <n v="0"/>
    <n v="0"/>
    <n v="0"/>
    <n v="5071"/>
  </r>
  <r>
    <x v="5"/>
    <x v="3"/>
    <x v="9"/>
    <x v="180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58"/>
    <x v="181"/>
    <x v="0"/>
    <n v="135"/>
    <n v="529.35"/>
    <n v="0"/>
    <n v="0"/>
    <n v="0"/>
    <n v="0"/>
    <n v="0"/>
    <n v="0"/>
    <n v="529.35"/>
    <n v="529.35"/>
    <n v="0"/>
    <n v="0"/>
    <n v="0"/>
    <n v="0"/>
    <n v="529.35"/>
  </r>
  <r>
    <x v="5"/>
    <x v="3"/>
    <x v="10"/>
    <x v="182"/>
    <x v="0"/>
    <n v="73"/>
    <n v="16825"/>
    <n v="64.26700000000001"/>
    <n v="14559"/>
    <n v="0"/>
    <n v="0"/>
    <n v="0"/>
    <n v="14812.222945205482"/>
    <n v="16825"/>
    <n v="16537.367544774141"/>
    <n v="0.88"/>
    <n v="0"/>
    <n v="1.02"/>
    <n v="0"/>
    <n v="2266"/>
  </r>
  <r>
    <x v="5"/>
    <x v="3"/>
    <x v="159"/>
    <x v="183"/>
    <x v="4"/>
    <n v="46"/>
    <n v="8258"/>
    <n v="22.928999999999998"/>
    <n v="4188.5"/>
    <n v="0"/>
    <n v="0"/>
    <n v="0"/>
    <n v="4116.2539565217385"/>
    <n v="8258"/>
    <n v="8402.9395089188365"/>
    <n v="0.5"/>
    <n v="0"/>
    <n v="0.98"/>
    <n v="0"/>
    <n v="4069.5"/>
  </r>
  <r>
    <x v="5"/>
    <x v="3"/>
    <x v="160"/>
    <x v="184"/>
    <x v="0"/>
    <n v="2"/>
    <n v="419"/>
    <n v="0"/>
    <n v="0"/>
    <n v="0"/>
    <n v="0"/>
    <n v="0"/>
    <n v="0"/>
    <n v="419"/>
    <n v="419"/>
    <n v="0"/>
    <n v="0"/>
    <n v="0"/>
    <n v="0"/>
    <n v="419"/>
  </r>
  <r>
    <x v="5"/>
    <x v="3"/>
    <x v="161"/>
    <x v="185"/>
    <x v="3"/>
    <n v="73"/>
    <n v="9426"/>
    <n v="51.792000000000002"/>
    <n v="6687.5"/>
    <n v="11.753"/>
    <n v="1517"/>
    <n v="1517.586"/>
    <n v="6687.5533150684932"/>
    <n v="9426"/>
    <n v="9425.9248532591901"/>
    <n v="0.71"/>
    <n v="1"/>
    <n v="1"/>
    <n v="1477.5"/>
    <n v="1261"/>
  </r>
  <r>
    <x v="5"/>
    <x v="3"/>
    <x v="162"/>
    <x v="186"/>
    <x v="0"/>
    <n v="153"/>
    <n v="10877"/>
    <n v="61.638999999999989"/>
    <n v="4382"/>
    <n v="0"/>
    <n v="0"/>
    <n v="0"/>
    <n v="4382.0091699346394"/>
    <n v="10877"/>
    <n v="10876.977238436706"/>
    <n v="0.4"/>
    <n v="0"/>
    <n v="1"/>
    <n v="0"/>
    <n v="6495"/>
  </r>
  <r>
    <x v="5"/>
    <x v="3"/>
    <x v="163"/>
    <x v="187"/>
    <x v="0"/>
    <n v="13"/>
    <n v="507"/>
    <n v="2.3849999999999998"/>
    <n v="93"/>
    <n v="0"/>
    <n v="0"/>
    <n v="0"/>
    <n v="93.015000000000001"/>
    <n v="507"/>
    <n v="507"/>
    <n v="0.18"/>
    <n v="0"/>
    <n v="1"/>
    <n v="0"/>
    <n v="414"/>
  </r>
  <r>
    <x v="5"/>
    <x v="3"/>
    <x v="164"/>
    <x v="188"/>
    <x v="3"/>
    <n v="256"/>
    <n v="47010"/>
    <n v="26.542000000000002"/>
    <n v="4874"/>
    <n v="3.927"/>
    <n v="720"/>
    <n v="721.12605468749996"/>
    <n v="4873.9821093750006"/>
    <n v="47010"/>
    <n v="47010"/>
    <n v="0.1"/>
    <n v="1"/>
    <n v="1"/>
    <n v="720.75"/>
    <n v="41415.25"/>
  </r>
  <r>
    <x v="5"/>
    <x v="3"/>
    <x v="165"/>
    <x v="189"/>
    <x v="3"/>
    <n v="782"/>
    <n v="25756"/>
    <n v="488.64400000000001"/>
    <n v="16094"/>
    <n v="65.174999999999997"/>
    <n v="2146"/>
    <n v="2146.6078005115087"/>
    <n v="16094.008777493607"/>
    <n v="25756"/>
    <n v="25755.985952963711"/>
    <n v="0.62"/>
    <n v="1"/>
    <n v="1"/>
    <n v="2146.5"/>
    <n v="7515.5"/>
  </r>
  <r>
    <x v="5"/>
    <x v="3"/>
    <x v="166"/>
    <x v="190"/>
    <x v="0"/>
    <n v="476"/>
    <n v="2354"/>
    <n v="273.27099999999996"/>
    <n v="1351.25"/>
    <n v="0"/>
    <n v="0"/>
    <n v="0"/>
    <n v="1351.4284327731091"/>
    <n v="2354"/>
    <n v="2353.689194974952"/>
    <n v="0.56999999999999995"/>
    <n v="0"/>
    <n v="1"/>
    <n v="0"/>
    <n v="1002.75"/>
  </r>
  <r>
    <x v="5"/>
    <x v="3"/>
    <x v="167"/>
    <x v="191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4"/>
    <x v="168"/>
    <x v="192"/>
    <x v="0"/>
    <n v="60073"/>
    <n v="163339"/>
    <n v="0"/>
    <n v="0"/>
    <n v="0"/>
    <n v="0"/>
    <n v="0"/>
    <n v="0"/>
    <n v="163339"/>
    <n v="163339"/>
    <n v="0"/>
    <n v="0"/>
    <n v="0"/>
    <n v="0"/>
    <n v="163339"/>
  </r>
  <r>
    <x v="5"/>
    <x v="25"/>
    <x v="169"/>
    <x v="193"/>
    <x v="2"/>
    <n v="0"/>
    <n v="271.75"/>
    <n v="0"/>
    <n v="271.75"/>
    <n v="0"/>
    <n v="0"/>
    <n v="0"/>
    <n v="0"/>
    <n v="271.75"/>
    <n v="271.75"/>
    <n v="0"/>
    <n v="0"/>
    <n v="0"/>
    <n v="0"/>
    <n v="0"/>
  </r>
  <r>
    <x v="5"/>
    <x v="11"/>
    <x v="25"/>
    <x v="194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1"/>
    <x v="67"/>
    <x v="195"/>
    <x v="4"/>
    <n v="151375"/>
    <n v="69496"/>
    <n v="54888.575000000019"/>
    <n v="25997.75"/>
    <n v="0"/>
    <n v="0"/>
    <n v="0"/>
    <n v="25199.24960000001"/>
    <n v="69496"/>
    <n v="71698.152233866494"/>
    <n v="0.36"/>
    <n v="0"/>
    <n v="0.97"/>
    <n v="0"/>
    <n v="43498.25"/>
  </r>
  <r>
    <x v="5"/>
    <x v="11"/>
    <x v="170"/>
    <x v="196"/>
    <x v="0"/>
    <n v="2880"/>
    <n v="2880"/>
    <n v="0"/>
    <n v="0"/>
    <n v="0"/>
    <n v="0"/>
    <n v="0"/>
    <n v="0"/>
    <n v="2880"/>
    <n v="2880"/>
    <n v="0"/>
    <n v="0"/>
    <n v="0"/>
    <n v="0"/>
    <n v="2880"/>
  </r>
  <r>
    <x v="5"/>
    <x v="11"/>
    <x v="171"/>
    <x v="197"/>
    <x v="0"/>
    <n v="24999"/>
    <n v="24999"/>
    <n v="0"/>
    <n v="0"/>
    <n v="0"/>
    <n v="0"/>
    <n v="0"/>
    <n v="0"/>
    <n v="24999"/>
    <n v="24999"/>
    <n v="0"/>
    <n v="0"/>
    <n v="0"/>
    <n v="0"/>
    <n v="24999"/>
  </r>
  <r>
    <x v="5"/>
    <x v="12"/>
    <x v="26"/>
    <x v="26"/>
    <x v="5"/>
    <n v="0"/>
    <n v="6686"/>
    <n v="0"/>
    <n v="3446.5"/>
    <n v="0"/>
    <n v="200"/>
    <n v="0"/>
    <n v="0"/>
    <n v="6686"/>
    <n v="6686"/>
    <n v="0"/>
    <n v="0"/>
    <n v="0"/>
    <n v="0"/>
    <n v="3239.5"/>
  </r>
  <r>
    <x v="5"/>
    <x v="12"/>
    <x v="27"/>
    <x v="198"/>
    <x v="5"/>
    <n v="0"/>
    <n v="69752"/>
    <n v="0"/>
    <n v="22955.5"/>
    <n v="0"/>
    <n v="1714"/>
    <n v="0"/>
    <n v="0"/>
    <n v="69752"/>
    <n v="69752"/>
    <n v="0"/>
    <n v="0"/>
    <n v="0"/>
    <n v="259.25"/>
    <n v="46537.25"/>
  </r>
  <r>
    <x v="5"/>
    <x v="12"/>
    <x v="28"/>
    <x v="199"/>
    <x v="5"/>
    <n v="0"/>
    <n v="20052"/>
    <n v="0"/>
    <n v="4386"/>
    <n v="0"/>
    <n v="221"/>
    <n v="0"/>
    <n v="0"/>
    <n v="20052"/>
    <n v="20052"/>
    <n v="0"/>
    <n v="0"/>
    <n v="0"/>
    <n v="221"/>
    <n v="15445"/>
  </r>
  <r>
    <x v="5"/>
    <x v="12"/>
    <x v="29"/>
    <x v="29"/>
    <x v="5"/>
    <n v="0"/>
    <n v="46901"/>
    <n v="0"/>
    <n v="11098"/>
    <n v="0"/>
    <n v="1253"/>
    <n v="0"/>
    <n v="0"/>
    <n v="46901"/>
    <n v="46901"/>
    <n v="0"/>
    <n v="0"/>
    <n v="0"/>
    <n v="395"/>
    <n v="35408"/>
  </r>
  <r>
    <x v="5"/>
    <x v="12"/>
    <x v="30"/>
    <x v="30"/>
    <x v="2"/>
    <n v="0"/>
    <n v="6840"/>
    <n v="0"/>
    <n v="6"/>
    <n v="0"/>
    <n v="0"/>
    <n v="0"/>
    <n v="0"/>
    <n v="6840"/>
    <n v="6840"/>
    <n v="0"/>
    <n v="0"/>
    <n v="0"/>
    <n v="0"/>
    <n v="6834"/>
  </r>
  <r>
    <x v="5"/>
    <x v="12"/>
    <x v="172"/>
    <x v="200"/>
    <x v="2"/>
    <n v="0"/>
    <n v="1728"/>
    <n v="0"/>
    <n v="0"/>
    <n v="0"/>
    <n v="0"/>
    <n v="0"/>
    <n v="0"/>
    <n v="1728"/>
    <n v="1728"/>
    <n v="0"/>
    <n v="0"/>
    <n v="0"/>
    <n v="0"/>
    <n v="1728"/>
  </r>
  <r>
    <x v="5"/>
    <x v="13"/>
    <x v="33"/>
    <x v="33"/>
    <x v="5"/>
    <n v="0"/>
    <n v="23721"/>
    <n v="0"/>
    <n v="3345.75"/>
    <n v="0"/>
    <n v="260"/>
    <n v="0"/>
    <n v="0"/>
    <n v="23721"/>
    <n v="23721"/>
    <n v="0"/>
    <n v="0"/>
    <n v="0"/>
    <n v="260.25"/>
    <n v="20115"/>
  </r>
  <r>
    <x v="5"/>
    <x v="13"/>
    <x v="34"/>
    <x v="34"/>
    <x v="2"/>
    <n v="0"/>
    <n v="5466"/>
    <n v="0"/>
    <n v="2089"/>
    <n v="0"/>
    <n v="0"/>
    <n v="0"/>
    <n v="0"/>
    <n v="5466"/>
    <n v="5466"/>
    <n v="0"/>
    <n v="0"/>
    <n v="0"/>
    <n v="0"/>
    <n v="3377"/>
  </r>
  <r>
    <x v="5"/>
    <x v="13"/>
    <x v="35"/>
    <x v="35"/>
    <x v="5"/>
    <n v="0"/>
    <n v="40236"/>
    <n v="0"/>
    <n v="7653"/>
    <n v="0"/>
    <n v="649"/>
    <n v="0"/>
    <n v="0"/>
    <n v="40236"/>
    <n v="40236"/>
    <n v="0"/>
    <n v="0"/>
    <n v="0"/>
    <n v="647.5"/>
    <n v="31935.5"/>
  </r>
  <r>
    <x v="5"/>
    <x v="13"/>
    <x v="36"/>
    <x v="71"/>
    <x v="2"/>
    <n v="0"/>
    <n v="901"/>
    <n v="0"/>
    <n v="190.5"/>
    <n v="0"/>
    <n v="0"/>
    <n v="0"/>
    <n v="0"/>
    <n v="901"/>
    <n v="901"/>
    <n v="0"/>
    <n v="0"/>
    <n v="0"/>
    <n v="0"/>
    <n v="710.5"/>
  </r>
  <r>
    <x v="5"/>
    <x v="13"/>
    <x v="89"/>
    <x v="201"/>
    <x v="2"/>
    <n v="0"/>
    <n v="1020"/>
    <n v="0"/>
    <n v="0"/>
    <n v="0"/>
    <n v="0"/>
    <n v="0"/>
    <n v="0"/>
    <n v="1020"/>
    <n v="1020"/>
    <n v="0"/>
    <n v="0"/>
    <n v="0"/>
    <n v="0"/>
    <n v="1020"/>
  </r>
  <r>
    <x v="5"/>
    <x v="13"/>
    <x v="37"/>
    <x v="37"/>
    <x v="5"/>
    <n v="0"/>
    <n v="11283"/>
    <n v="0"/>
    <n v="2185.5"/>
    <n v="0"/>
    <n v="99"/>
    <n v="0"/>
    <n v="0"/>
    <n v="11283"/>
    <n v="11283"/>
    <n v="0"/>
    <n v="0"/>
    <n v="0"/>
    <n v="99"/>
    <n v="8998.5"/>
  </r>
  <r>
    <x v="5"/>
    <x v="13"/>
    <x v="38"/>
    <x v="133"/>
    <x v="5"/>
    <n v="0"/>
    <n v="4602"/>
    <n v="0"/>
    <n v="3706"/>
    <n v="0"/>
    <n v="117"/>
    <n v="0"/>
    <n v="0"/>
    <n v="4602"/>
    <n v="4602"/>
    <n v="0"/>
    <n v="0"/>
    <n v="0"/>
    <n v="117"/>
    <n v="779"/>
  </r>
  <r>
    <x v="5"/>
    <x v="13"/>
    <x v="39"/>
    <x v="39"/>
    <x v="5"/>
    <n v="0"/>
    <n v="820"/>
    <n v="0"/>
    <n v="155.5"/>
    <n v="0"/>
    <n v="5"/>
    <n v="0"/>
    <n v="0"/>
    <n v="820"/>
    <n v="820"/>
    <n v="0"/>
    <n v="0"/>
    <n v="0"/>
    <n v="5"/>
    <n v="659.5"/>
  </r>
  <r>
    <x v="5"/>
    <x v="13"/>
    <x v="40"/>
    <x v="202"/>
    <x v="5"/>
    <n v="0"/>
    <n v="1960"/>
    <n v="0"/>
    <n v="1070"/>
    <n v="0"/>
    <n v="10"/>
    <n v="0"/>
    <n v="0"/>
    <n v="1960"/>
    <n v="1960"/>
    <n v="0"/>
    <n v="0"/>
    <n v="0"/>
    <n v="10"/>
    <n v="880"/>
  </r>
  <r>
    <x v="5"/>
    <x v="13"/>
    <x v="173"/>
    <x v="203"/>
    <x v="2"/>
    <n v="0"/>
    <n v="8379"/>
    <n v="0"/>
    <n v="1815.5"/>
    <n v="0"/>
    <n v="0"/>
    <n v="0"/>
    <n v="0"/>
    <n v="8379"/>
    <n v="8379"/>
    <n v="0"/>
    <n v="0"/>
    <n v="0"/>
    <n v="0"/>
    <n v="6563.5"/>
  </r>
  <r>
    <x v="5"/>
    <x v="13"/>
    <x v="174"/>
    <x v="204"/>
    <x v="5"/>
    <n v="0"/>
    <n v="21725"/>
    <n v="0"/>
    <n v="8746.25"/>
    <n v="0"/>
    <n v="574"/>
    <n v="0"/>
    <n v="0"/>
    <n v="21725"/>
    <n v="21725"/>
    <n v="0"/>
    <n v="0"/>
    <n v="0"/>
    <n v="574.25"/>
    <n v="12404.5"/>
  </r>
  <r>
    <x v="5"/>
    <x v="13"/>
    <x v="175"/>
    <x v="205"/>
    <x v="2"/>
    <n v="0"/>
    <n v="30"/>
    <n v="0"/>
    <n v="30"/>
    <n v="0"/>
    <n v="0"/>
    <n v="0"/>
    <n v="0"/>
    <n v="30"/>
    <n v="30"/>
    <n v="0"/>
    <n v="0"/>
    <n v="0"/>
    <n v="0"/>
    <n v="0"/>
  </r>
  <r>
    <x v="5"/>
    <x v="13"/>
    <x v="176"/>
    <x v="206"/>
    <x v="2"/>
    <n v="0"/>
    <n v="240"/>
    <n v="0"/>
    <n v="240"/>
    <n v="0"/>
    <n v="0"/>
    <n v="0"/>
    <n v="0"/>
    <n v="240"/>
    <n v="240"/>
    <n v="0"/>
    <n v="0"/>
    <n v="0"/>
    <n v="0"/>
    <n v="0"/>
  </r>
  <r>
    <x v="5"/>
    <x v="14"/>
    <x v="43"/>
    <x v="43"/>
    <x v="2"/>
    <n v="0"/>
    <n v="1600"/>
    <n v="0"/>
    <n v="0"/>
    <n v="0"/>
    <n v="0"/>
    <n v="0"/>
    <n v="0"/>
    <n v="1600"/>
    <n v="1600"/>
    <n v="0"/>
    <n v="0"/>
    <n v="0"/>
    <n v="0"/>
    <n v="1600"/>
  </r>
  <r>
    <x v="5"/>
    <x v="14"/>
    <x v="177"/>
    <x v="43"/>
    <x v="2"/>
    <n v="0"/>
    <n v="900"/>
    <n v="0"/>
    <n v="50"/>
    <n v="0"/>
    <n v="0"/>
    <n v="0"/>
    <n v="0"/>
    <n v="900"/>
    <n v="900"/>
    <n v="0"/>
    <n v="0"/>
    <n v="0"/>
    <n v="0"/>
    <n v="850"/>
  </r>
  <r>
    <x v="5"/>
    <x v="16"/>
    <x v="178"/>
    <x v="207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6"/>
    <x v="179"/>
    <x v="208"/>
    <x v="5"/>
    <n v="0"/>
    <n v="479.75"/>
    <n v="0"/>
    <n v="832.5"/>
    <n v="0"/>
    <n v="65"/>
    <n v="0"/>
    <n v="0"/>
    <n v="479.75"/>
    <n v="479.75"/>
    <n v="0"/>
    <n v="0"/>
    <n v="0"/>
    <n v="104.75"/>
    <n v="-457.5"/>
  </r>
  <r>
    <x v="5"/>
    <x v="16"/>
    <x v="180"/>
    <x v="209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6"/>
    <x v="181"/>
    <x v="210"/>
    <x v="5"/>
    <n v="0"/>
    <n v="3451.25"/>
    <n v="0"/>
    <n v="3995.5"/>
    <n v="0"/>
    <n v="153"/>
    <n v="0"/>
    <n v="0"/>
    <n v="3451.25"/>
    <n v="3451.25"/>
    <n v="0"/>
    <n v="0"/>
    <n v="0"/>
    <n v="153"/>
    <n v="-697.25"/>
  </r>
  <r>
    <x v="5"/>
    <x v="17"/>
    <x v="182"/>
    <x v="211"/>
    <x v="2"/>
    <n v="0"/>
    <n v="261"/>
    <n v="0"/>
    <n v="261"/>
    <n v="0"/>
    <n v="0"/>
    <n v="0"/>
    <n v="0"/>
    <n v="261"/>
    <n v="261"/>
    <n v="0"/>
    <n v="0"/>
    <n v="0"/>
    <n v="0"/>
    <n v="0"/>
  </r>
  <r>
    <x v="5"/>
    <x v="17"/>
    <x v="183"/>
    <x v="212"/>
    <x v="2"/>
    <n v="0"/>
    <n v="719.75"/>
    <n v="0"/>
    <n v="719.75"/>
    <n v="0"/>
    <n v="0"/>
    <n v="0"/>
    <n v="0"/>
    <n v="719.75"/>
    <n v="719.75"/>
    <n v="0"/>
    <n v="0"/>
    <n v="0"/>
    <n v="0"/>
    <n v="0"/>
  </r>
  <r>
    <x v="5"/>
    <x v="17"/>
    <x v="184"/>
    <x v="213"/>
    <x v="5"/>
    <n v="0"/>
    <n v="836.25"/>
    <n v="0"/>
    <n v="957.25"/>
    <n v="0"/>
    <n v="33"/>
    <n v="0"/>
    <n v="0"/>
    <n v="836.25"/>
    <n v="836.25"/>
    <n v="0"/>
    <n v="0"/>
    <n v="0"/>
    <n v="33"/>
    <n v="-154"/>
  </r>
  <r>
    <x v="5"/>
    <x v="17"/>
    <x v="185"/>
    <x v="214"/>
    <x v="2"/>
    <n v="0"/>
    <n v="1094"/>
    <n v="0"/>
    <n v="1094"/>
    <n v="0"/>
    <n v="0"/>
    <n v="0"/>
    <n v="0"/>
    <n v="1094"/>
    <n v="1094"/>
    <n v="0"/>
    <n v="0"/>
    <n v="0"/>
    <n v="0"/>
    <n v="0"/>
  </r>
  <r>
    <x v="5"/>
    <x v="17"/>
    <x v="68"/>
    <x v="215"/>
    <x v="2"/>
    <n v="0"/>
    <n v="720"/>
    <n v="0"/>
    <n v="720"/>
    <n v="0"/>
    <n v="0"/>
    <n v="0"/>
    <n v="0"/>
    <n v="720"/>
    <n v="720"/>
    <n v="0"/>
    <n v="0"/>
    <n v="0"/>
    <n v="0"/>
    <n v="0"/>
  </r>
  <r>
    <x v="5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71"/>
    <x v="216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86"/>
    <x v="217"/>
    <x v="2"/>
    <n v="0"/>
    <n v="244"/>
    <n v="0"/>
    <n v="244"/>
    <n v="0"/>
    <n v="0"/>
    <n v="0"/>
    <n v="0"/>
    <n v="244"/>
    <n v="244"/>
    <n v="0"/>
    <n v="0"/>
    <n v="0"/>
    <n v="0"/>
    <n v="0"/>
  </r>
  <r>
    <x v="5"/>
    <x v="17"/>
    <x v="187"/>
    <x v="218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88"/>
    <x v="219"/>
    <x v="5"/>
    <n v="0"/>
    <n v="1868.5"/>
    <n v="0"/>
    <n v="2028.5"/>
    <n v="0"/>
    <n v="20"/>
    <n v="0"/>
    <n v="0"/>
    <n v="1868.5"/>
    <n v="1868.5"/>
    <n v="0"/>
    <n v="0"/>
    <n v="0"/>
    <n v="20"/>
    <n v="-180"/>
  </r>
  <r>
    <x v="5"/>
    <x v="17"/>
    <x v="189"/>
    <x v="220"/>
    <x v="2"/>
    <n v="0"/>
    <n v="1302.25"/>
    <n v="0"/>
    <n v="1302.25"/>
    <n v="0"/>
    <n v="0"/>
    <n v="0"/>
    <n v="0"/>
    <n v="1302.25"/>
    <n v="1302.25"/>
    <n v="0"/>
    <n v="0"/>
    <n v="0"/>
    <n v="0"/>
    <n v="0"/>
  </r>
  <r>
    <x v="5"/>
    <x v="17"/>
    <x v="190"/>
    <x v="221"/>
    <x v="5"/>
    <n v="0"/>
    <n v="1166.5"/>
    <n v="0"/>
    <n v="1263.5"/>
    <n v="0"/>
    <n v="33"/>
    <n v="0"/>
    <n v="0"/>
    <n v="1166.5"/>
    <n v="1166.5"/>
    <n v="0"/>
    <n v="0"/>
    <n v="0"/>
    <n v="33"/>
    <n v="-130"/>
  </r>
  <r>
    <x v="5"/>
    <x v="17"/>
    <x v="191"/>
    <x v="222"/>
    <x v="2"/>
    <n v="0"/>
    <n v="5447.87"/>
    <n v="0"/>
    <n v="5455.87"/>
    <n v="0"/>
    <n v="0"/>
    <n v="0"/>
    <n v="0"/>
    <n v="5447.87"/>
    <n v="5447.87"/>
    <n v="0"/>
    <n v="0"/>
    <n v="0"/>
    <n v="0"/>
    <n v="-8"/>
  </r>
  <r>
    <x v="5"/>
    <x v="17"/>
    <x v="192"/>
    <x v="223"/>
    <x v="2"/>
    <n v="0"/>
    <n v="2650.25"/>
    <n v="0"/>
    <n v="2650.25"/>
    <n v="0"/>
    <n v="0"/>
    <n v="0"/>
    <n v="0"/>
    <n v="2650.25"/>
    <n v="2650.25"/>
    <n v="0"/>
    <n v="0"/>
    <n v="0"/>
    <n v="0"/>
    <n v="0"/>
  </r>
  <r>
    <x v="5"/>
    <x v="17"/>
    <x v="193"/>
    <x v="224"/>
    <x v="5"/>
    <n v="0"/>
    <n v="4132.75"/>
    <n v="0"/>
    <n v="4531.75"/>
    <n v="0"/>
    <n v="173"/>
    <n v="0"/>
    <n v="0"/>
    <n v="4132.75"/>
    <n v="4132.75"/>
    <n v="0"/>
    <n v="0"/>
    <n v="0"/>
    <n v="172.75"/>
    <n v="-571.75"/>
  </r>
  <r>
    <x v="5"/>
    <x v="17"/>
    <x v="194"/>
    <x v="225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95"/>
    <x v="226"/>
    <x v="5"/>
    <n v="0"/>
    <n v="530.75"/>
    <n v="0"/>
    <n v="706.75"/>
    <n v="0"/>
    <n v="150"/>
    <n v="0"/>
    <n v="0"/>
    <n v="530.75"/>
    <n v="530.75"/>
    <n v="0"/>
    <n v="0"/>
    <n v="0"/>
    <n v="150"/>
    <n v="-326"/>
  </r>
  <r>
    <x v="5"/>
    <x v="17"/>
    <x v="196"/>
    <x v="227"/>
    <x v="5"/>
    <n v="0"/>
    <n v="3231"/>
    <n v="0"/>
    <n v="3708.25"/>
    <n v="0"/>
    <n v="411"/>
    <n v="0"/>
    <n v="0"/>
    <n v="3231"/>
    <n v="3231"/>
    <n v="0"/>
    <n v="0"/>
    <n v="0"/>
    <n v="411.25"/>
    <n v="-888.5"/>
  </r>
  <r>
    <x v="5"/>
    <x v="17"/>
    <x v="197"/>
    <x v="228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98"/>
    <x v="229"/>
    <x v="5"/>
    <n v="0"/>
    <n v="191"/>
    <n v="0"/>
    <n v="275"/>
    <n v="0"/>
    <n v="84"/>
    <n v="0"/>
    <n v="0"/>
    <n v="191"/>
    <n v="191"/>
    <n v="0"/>
    <n v="0"/>
    <n v="0"/>
    <n v="84"/>
    <n v="-168"/>
  </r>
  <r>
    <x v="5"/>
    <x v="17"/>
    <x v="199"/>
    <x v="230"/>
    <x v="2"/>
    <n v="0"/>
    <n v="60"/>
    <n v="0"/>
    <n v="60"/>
    <n v="0"/>
    <n v="0"/>
    <n v="0"/>
    <n v="0"/>
    <n v="60"/>
    <n v="60"/>
    <n v="0"/>
    <n v="0"/>
    <n v="0"/>
    <n v="0"/>
    <n v="0"/>
  </r>
  <r>
    <x v="5"/>
    <x v="17"/>
    <x v="200"/>
    <x v="231"/>
    <x v="2"/>
    <n v="0"/>
    <n v="0"/>
    <n v="0"/>
    <n v="74.5"/>
    <n v="0"/>
    <n v="0"/>
    <n v="0"/>
    <n v="0"/>
    <n v="0"/>
    <n v="0"/>
    <n v="0"/>
    <n v="0"/>
    <n v="0"/>
    <n v="0"/>
    <n v="-74.5"/>
  </r>
  <r>
    <x v="5"/>
    <x v="17"/>
    <x v="201"/>
    <x v="232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202"/>
    <x v="232"/>
    <x v="2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203"/>
    <x v="232"/>
    <x v="5"/>
    <n v="0"/>
    <n v="372.25"/>
    <n v="0"/>
    <n v="427.25"/>
    <n v="0"/>
    <n v="55"/>
    <n v="0"/>
    <n v="0"/>
    <n v="372.25"/>
    <n v="372.25"/>
    <n v="0"/>
    <n v="0"/>
    <n v="0"/>
    <n v="55"/>
    <n v="-110"/>
  </r>
  <r>
    <x v="6"/>
    <x v="20"/>
    <x v="95"/>
    <x v="233"/>
    <x v="0"/>
    <n v="10"/>
    <n v="2196.5"/>
    <n v="10"/>
    <n v="2196.5"/>
    <n v="0"/>
    <n v="0"/>
    <n v="0"/>
    <n v="2196.5"/>
    <n v="2196.5"/>
    <n v="2196.5"/>
    <n v="1"/>
    <n v="0"/>
    <n v="1"/>
    <n v="0"/>
    <n v="0"/>
  </r>
  <r>
    <x v="6"/>
    <x v="20"/>
    <x v="96"/>
    <x v="234"/>
    <x v="0"/>
    <n v="16"/>
    <n v="360"/>
    <n v="16"/>
    <n v="200.5"/>
    <n v="0"/>
    <n v="0"/>
    <n v="0"/>
    <n v="360"/>
    <n v="360"/>
    <n v="200.5"/>
    <n v="1"/>
    <n v="0"/>
    <n v="1.8"/>
    <n v="0"/>
    <n v="159.5"/>
  </r>
  <r>
    <x v="6"/>
    <x v="20"/>
    <x v="204"/>
    <x v="235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5"/>
    <x v="236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6"/>
    <x v="237"/>
    <x v="3"/>
    <n v="7136"/>
    <n v="71171"/>
    <n v="3539.4559999999992"/>
    <n v="28620"/>
    <n v="135.584"/>
    <n v="804"/>
    <n v="1352.249"/>
    <n v="35300.815999999992"/>
    <n v="71171"/>
    <n v="57701.612903225818"/>
    <n v="0.5"/>
    <n v="1.68"/>
    <n v="1.23"/>
    <n v="803"/>
    <n v="41748"/>
  </r>
  <r>
    <x v="6"/>
    <x v="25"/>
    <x v="207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8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09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0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1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2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3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4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5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6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7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8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19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0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1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2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3"/>
    <x v="11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24"/>
    <x v="238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6"/>
    <x v="225"/>
    <x v="239"/>
    <x v="0"/>
    <n v="100"/>
    <n v="2227"/>
    <n v="100"/>
    <n v="2104.5"/>
    <n v="0"/>
    <n v="0"/>
    <n v="0"/>
    <n v="2227"/>
    <n v="2227"/>
    <n v="2104.5"/>
    <n v="1"/>
    <n v="0"/>
    <n v="1.06"/>
    <n v="0"/>
    <n v="122.5"/>
  </r>
  <r>
    <x v="6"/>
    <x v="26"/>
    <x v="226"/>
    <x v="240"/>
    <x v="2"/>
    <n v="0"/>
    <n v="-2.3305801732931286E-12"/>
    <n v="0"/>
    <n v="0"/>
    <n v="0"/>
    <n v="0"/>
    <n v="0"/>
    <n v="0"/>
    <n v="0"/>
    <n v="0"/>
    <n v="0"/>
    <n v="0"/>
    <n v="0"/>
    <n v="0"/>
    <n v="-2.3305801732931286E-12"/>
  </r>
  <r>
    <x v="6"/>
    <x v="26"/>
    <x v="227"/>
    <x v="241"/>
    <x v="0"/>
    <n v="150"/>
    <n v="3352"/>
    <n v="147.75"/>
    <n v="2288"/>
    <n v="0"/>
    <n v="0"/>
    <n v="0"/>
    <n v="3301.72"/>
    <n v="3352"/>
    <n v="2322.8426395939086"/>
    <n v="0.99"/>
    <n v="0"/>
    <n v="1.44"/>
    <n v="0"/>
    <n v="1064"/>
  </r>
  <r>
    <x v="6"/>
    <x v="26"/>
    <x v="228"/>
    <x v="242"/>
    <x v="0"/>
    <n v="207"/>
    <n v="4606"/>
    <n v="207.00000000000003"/>
    <n v="4036"/>
    <n v="0"/>
    <n v="0"/>
    <n v="0"/>
    <n v="4606.0000000000009"/>
    <n v="4606"/>
    <n v="4035.9999999999991"/>
    <n v="1"/>
    <n v="0"/>
    <n v="1.1399999999999999"/>
    <n v="0"/>
    <n v="570"/>
  </r>
  <r>
    <x v="6"/>
    <x v="26"/>
    <x v="229"/>
    <x v="243"/>
    <x v="3"/>
    <n v="1854"/>
    <n v="42003"/>
    <n v="1545.4939999999997"/>
    <n v="29653.5"/>
    <n v="90.103999999999999"/>
    <n v="1966"/>
    <n v="2041.3367378640776"/>
    <n v="35013.691737864072"/>
    <n v="42003"/>
    <n v="35572.825905503363"/>
    <n v="0.83"/>
    <n v="1.04"/>
    <n v="1.18"/>
    <n v="1962"/>
    <n v="10387.5"/>
  </r>
  <r>
    <x v="6"/>
    <x v="26"/>
    <x v="230"/>
    <x v="244"/>
    <x v="0"/>
    <n v="455"/>
    <n v="10147"/>
    <n v="454.99999999999994"/>
    <n v="9915.5"/>
    <n v="0"/>
    <n v="0"/>
    <n v="0"/>
    <n v="10146.999999999998"/>
    <n v="10147"/>
    <n v="9915.5000000000018"/>
    <n v="1"/>
    <n v="0"/>
    <n v="1.02"/>
    <n v="0"/>
    <n v="231.5"/>
  </r>
  <r>
    <x v="6"/>
    <x v="26"/>
    <x v="231"/>
    <x v="113"/>
    <x v="2"/>
    <n v="0"/>
    <n v="0.12000000000261934"/>
    <n v="0"/>
    <n v="0"/>
    <n v="0"/>
    <n v="0"/>
    <n v="0"/>
    <n v="0"/>
    <n v="0.12000000000261934"/>
    <n v="0.12000000000261934"/>
    <n v="0"/>
    <n v="0"/>
    <n v="0"/>
    <n v="0"/>
    <n v="0.12000000000261934"/>
  </r>
  <r>
    <x v="6"/>
    <x v="26"/>
    <x v="232"/>
    <x v="113"/>
    <x v="2"/>
    <n v="0"/>
    <n v="0.1000000000003638"/>
    <n v="0"/>
    <n v="0"/>
    <n v="0"/>
    <n v="0"/>
    <n v="0"/>
    <n v="0"/>
    <n v="0.1000000000003638"/>
    <n v="0.1000000000003638"/>
    <n v="0"/>
    <n v="0"/>
    <n v="0"/>
    <n v="0"/>
    <n v="0.1000000000003638"/>
  </r>
  <r>
    <x v="6"/>
    <x v="26"/>
    <x v="233"/>
    <x v="113"/>
    <x v="2"/>
    <n v="0"/>
    <n v="0.5"/>
    <n v="0"/>
    <n v="0"/>
    <n v="0"/>
    <n v="0"/>
    <n v="0"/>
    <n v="0"/>
    <n v="0.5"/>
    <n v="0.5"/>
    <n v="0"/>
    <n v="0"/>
    <n v="0"/>
    <n v="0"/>
    <n v="0.5"/>
  </r>
  <r>
    <x v="6"/>
    <x v="26"/>
    <x v="234"/>
    <x v="113"/>
    <x v="2"/>
    <n v="0"/>
    <n v="0.5"/>
    <n v="0"/>
    <n v="0"/>
    <n v="0"/>
    <n v="0"/>
    <n v="0"/>
    <n v="0"/>
    <n v="0.5"/>
    <n v="0.5"/>
    <n v="0"/>
    <n v="0"/>
    <n v="0"/>
    <n v="0"/>
    <n v="0.5"/>
  </r>
  <r>
    <x v="6"/>
    <x v="26"/>
    <x v="235"/>
    <x v="113"/>
    <x v="2"/>
    <n v="0"/>
    <n v="-0.39000000000032742"/>
    <n v="0"/>
    <n v="0"/>
    <n v="0"/>
    <n v="0"/>
    <n v="0"/>
    <n v="0"/>
    <n v="-0.39000000000032742"/>
    <n v="-0.39000000000032742"/>
    <n v="0"/>
    <n v="0"/>
    <n v="0"/>
    <n v="0"/>
    <n v="-0.39000000000032742"/>
  </r>
  <r>
    <x v="6"/>
    <x v="26"/>
    <x v="236"/>
    <x v="245"/>
    <x v="0"/>
    <n v="465"/>
    <n v="10376"/>
    <n v="442.30799999999988"/>
    <n v="8838"/>
    <n v="0"/>
    <n v="0"/>
    <n v="0"/>
    <n v="9869.6511999999966"/>
    <n v="10376"/>
    <n v="9291.4213624894892"/>
    <n v="0.95"/>
    <n v="0"/>
    <n v="1.1200000000000001"/>
    <n v="0"/>
    <n v="1538"/>
  </r>
  <r>
    <x v="6"/>
    <x v="26"/>
    <x v="237"/>
    <x v="246"/>
    <x v="0"/>
    <n v="114"/>
    <n v="2542"/>
    <n v="111.72000000000001"/>
    <n v="2105"/>
    <n v="0"/>
    <n v="0"/>
    <n v="0"/>
    <n v="2491.1600000000003"/>
    <n v="2542"/>
    <n v="2147.9591836734694"/>
    <n v="0.98"/>
    <n v="0"/>
    <n v="1.18"/>
    <n v="0"/>
    <n v="437"/>
  </r>
  <r>
    <x v="6"/>
    <x v="26"/>
    <x v="238"/>
    <x v="247"/>
    <x v="0"/>
    <n v="327"/>
    <n v="7292"/>
    <n v="327"/>
    <n v="5296"/>
    <n v="0"/>
    <n v="0"/>
    <n v="0"/>
    <n v="7292"/>
    <n v="7292"/>
    <n v="5296"/>
    <n v="1"/>
    <n v="0"/>
    <n v="1.38"/>
    <n v="0"/>
    <n v="1996"/>
  </r>
  <r>
    <x v="6"/>
    <x v="26"/>
    <x v="239"/>
    <x v="248"/>
    <x v="0"/>
    <n v="709"/>
    <n v="15811"/>
    <n v="0"/>
    <n v="60"/>
    <n v="0"/>
    <n v="0"/>
    <n v="0"/>
    <n v="0"/>
    <n v="15811"/>
    <n v="15811"/>
    <n v="0"/>
    <n v="0"/>
    <n v="0"/>
    <n v="0"/>
    <n v="15751"/>
  </r>
  <r>
    <x v="6"/>
    <x v="26"/>
    <x v="240"/>
    <x v="249"/>
    <x v="7"/>
    <n v="48"/>
    <n v="1070"/>
    <n v="0"/>
    <n v="50"/>
    <n v="0"/>
    <n v="50"/>
    <n v="0"/>
    <n v="0"/>
    <n v="1070"/>
    <n v="1070"/>
    <n v="0"/>
    <n v="0"/>
    <n v="0"/>
    <n v="50"/>
    <n v="970"/>
  </r>
  <r>
    <x v="6"/>
    <x v="26"/>
    <x v="241"/>
    <x v="250"/>
    <x v="3"/>
    <n v="648"/>
    <n v="14451"/>
    <n v="95.903999999999996"/>
    <n v="2048.5"/>
    <n v="38.101999999999997"/>
    <n v="778"/>
    <n v="849.70987962962954"/>
    <n v="2138.748"/>
    <n v="14451"/>
    <n v="14451"/>
    <n v="0.15"/>
    <n v="1.0900000000000001"/>
    <n v="1.04"/>
    <n v="781"/>
    <n v="11621.5"/>
  </r>
  <r>
    <x v="6"/>
    <x v="26"/>
    <x v="242"/>
    <x v="251"/>
    <x v="0"/>
    <n v="132"/>
    <n v="2944"/>
    <n v="0"/>
    <n v="0"/>
    <n v="0"/>
    <n v="0"/>
    <n v="0"/>
    <n v="0"/>
    <n v="2944"/>
    <n v="2944"/>
    <n v="0"/>
    <n v="0"/>
    <n v="0"/>
    <n v="0"/>
    <n v="2944"/>
  </r>
  <r>
    <x v="6"/>
    <x v="26"/>
    <x v="243"/>
    <x v="252"/>
    <x v="0"/>
    <n v="39"/>
    <n v="870"/>
    <n v="0"/>
    <n v="0"/>
    <n v="0"/>
    <n v="0"/>
    <n v="0"/>
    <n v="0"/>
    <n v="870"/>
    <n v="870"/>
    <n v="0"/>
    <n v="0"/>
    <n v="0"/>
    <n v="0"/>
    <n v="870"/>
  </r>
  <r>
    <x v="6"/>
    <x v="26"/>
    <x v="244"/>
    <x v="253"/>
    <x v="0"/>
    <n v="530"/>
    <n v="11820"/>
    <n v="0"/>
    <n v="0"/>
    <n v="0"/>
    <n v="0"/>
    <n v="0"/>
    <n v="0"/>
    <n v="11820"/>
    <n v="11820"/>
    <n v="0"/>
    <n v="0"/>
    <n v="0"/>
    <n v="0"/>
    <n v="11820"/>
  </r>
  <r>
    <x v="6"/>
    <x v="26"/>
    <x v="245"/>
    <x v="254"/>
    <x v="0"/>
    <n v="117"/>
    <n v="2623"/>
    <n v="0"/>
    <n v="0"/>
    <n v="0"/>
    <n v="0"/>
    <n v="0"/>
    <n v="0"/>
    <n v="2623"/>
    <n v="2623"/>
    <n v="0"/>
    <n v="0"/>
    <n v="0"/>
    <n v="0"/>
    <n v="2623"/>
  </r>
  <r>
    <x v="6"/>
    <x v="26"/>
    <x v="246"/>
    <x v="255"/>
    <x v="3"/>
    <n v="101"/>
    <n v="2252"/>
    <n v="58.58"/>
    <n v="1148.5"/>
    <n v="14.898"/>
    <n v="289"/>
    <n v="332.18114851485149"/>
    <n v="1306.1599999999999"/>
    <n v="2252"/>
    <n v="1980.1724137931035"/>
    <n v="0.57999999999999996"/>
    <n v="1.1499999999999999"/>
    <n v="1.1399999999999999"/>
    <n v="289"/>
    <n v="814.5"/>
  </r>
  <r>
    <x v="6"/>
    <x v="26"/>
    <x v="247"/>
    <x v="256"/>
    <x v="0"/>
    <n v="544"/>
    <n v="12135"/>
    <n v="337.28"/>
    <n v="6975"/>
    <n v="0"/>
    <n v="0"/>
    <n v="0"/>
    <n v="7523.7"/>
    <n v="12135"/>
    <n v="11250"/>
    <n v="0.62"/>
    <n v="0"/>
    <n v="1.08"/>
    <n v="0"/>
    <n v="5160"/>
  </r>
  <r>
    <x v="6"/>
    <x v="26"/>
    <x v="248"/>
    <x v="257"/>
    <x v="0"/>
    <n v="337"/>
    <n v="7516"/>
    <n v="0"/>
    <n v="0"/>
    <n v="0"/>
    <n v="0"/>
    <n v="0"/>
    <n v="0"/>
    <n v="7516"/>
    <n v="7516"/>
    <n v="0"/>
    <n v="0"/>
    <n v="0"/>
    <n v="0"/>
    <n v="7516"/>
  </r>
  <r>
    <x v="6"/>
    <x v="26"/>
    <x v="249"/>
    <x v="258"/>
    <x v="0"/>
    <n v="138"/>
    <n v="3078"/>
    <n v="0"/>
    <n v="0"/>
    <n v="0"/>
    <n v="0"/>
    <n v="0"/>
    <n v="0"/>
    <n v="3078"/>
    <n v="3078"/>
    <n v="0"/>
    <n v="0"/>
    <n v="0"/>
    <n v="0"/>
    <n v="3078"/>
  </r>
  <r>
    <x v="6"/>
    <x v="26"/>
    <x v="250"/>
    <x v="259"/>
    <x v="4"/>
    <n v="121"/>
    <n v="2698"/>
    <n v="121"/>
    <n v="2821"/>
    <n v="0"/>
    <n v="0"/>
    <n v="0"/>
    <n v="2698"/>
    <n v="2698"/>
    <n v="2821"/>
    <n v="1"/>
    <n v="0"/>
    <n v="0.96"/>
    <n v="0"/>
    <n v="-123"/>
  </r>
  <r>
    <x v="6"/>
    <x v="27"/>
    <x v="251"/>
    <x v="260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7"/>
    <x v="252"/>
    <x v="261"/>
    <x v="0"/>
    <n v="12885"/>
    <n v="3633"/>
    <n v="12885"/>
    <n v="1717"/>
    <n v="0"/>
    <n v="0"/>
    <n v="0"/>
    <n v="3633"/>
    <n v="3633"/>
    <n v="1717"/>
    <n v="1"/>
    <n v="0"/>
    <n v="2.12"/>
    <n v="0"/>
    <n v="1916"/>
  </r>
  <r>
    <x v="6"/>
    <x v="27"/>
    <x v="253"/>
    <x v="262"/>
    <x v="0"/>
    <n v="9983"/>
    <n v="2815"/>
    <n v="9983"/>
    <n v="1026"/>
    <n v="0"/>
    <n v="0"/>
    <n v="0"/>
    <n v="2815"/>
    <n v="2815"/>
    <n v="1026"/>
    <n v="1"/>
    <n v="0"/>
    <n v="2.74"/>
    <n v="0"/>
    <n v="1789"/>
  </r>
  <r>
    <x v="6"/>
    <x v="27"/>
    <x v="254"/>
    <x v="263"/>
    <x v="0"/>
    <n v="9903"/>
    <n v="2792"/>
    <n v="9903"/>
    <n v="1072"/>
    <n v="0"/>
    <n v="0"/>
    <n v="0"/>
    <n v="2792"/>
    <n v="2792"/>
    <n v="1072"/>
    <n v="1"/>
    <n v="0"/>
    <n v="2.6"/>
    <n v="0"/>
    <n v="1720"/>
  </r>
  <r>
    <x v="6"/>
    <x v="27"/>
    <x v="255"/>
    <x v="264"/>
    <x v="3"/>
    <n v="108252"/>
    <n v="30675"/>
    <n v="76296.009999999995"/>
    <n v="17445.5"/>
    <n v="2576.3980000000001"/>
    <n v="648"/>
    <n v="730.0651133466356"/>
    <n v="21619.740113346634"/>
    <n v="30675"/>
    <n v="24752.411902011656"/>
    <n v="0.7"/>
    <n v="1.1299999999999999"/>
    <n v="1.24"/>
    <n v="649.5"/>
    <n v="12580"/>
  </r>
  <r>
    <x v="6"/>
    <x v="27"/>
    <x v="256"/>
    <x v="265"/>
    <x v="0"/>
    <n v="23503"/>
    <n v="6626"/>
    <n v="23503.000000000004"/>
    <n v="3032.5"/>
    <n v="0"/>
    <n v="0"/>
    <n v="0"/>
    <n v="6626.0000000000018"/>
    <n v="6626"/>
    <n v="3032.4999999999995"/>
    <n v="1"/>
    <n v="0"/>
    <n v="2.1800000000000002"/>
    <n v="0"/>
    <n v="3593.5"/>
  </r>
  <r>
    <x v="6"/>
    <x v="27"/>
    <x v="257"/>
    <x v="266"/>
    <x v="0"/>
    <n v="25866"/>
    <n v="7294"/>
    <n v="24642.538000000004"/>
    <n v="5324"/>
    <n v="0"/>
    <n v="0"/>
    <n v="0"/>
    <n v="6948.9937436016398"/>
    <n v="7294"/>
    <n v="5588.3279555052313"/>
    <n v="0.95"/>
    <n v="0"/>
    <n v="1.31"/>
    <n v="0"/>
    <n v="1970"/>
  </r>
  <r>
    <x v="6"/>
    <x v="27"/>
    <x v="258"/>
    <x v="267"/>
    <x v="0"/>
    <n v="6162"/>
    <n v="1738"/>
    <n v="6162.0000000000009"/>
    <n v="1684"/>
    <n v="0"/>
    <n v="0"/>
    <n v="0"/>
    <n v="1738.0000000000005"/>
    <n v="1738"/>
    <n v="1683.9999999999995"/>
    <n v="1"/>
    <n v="0"/>
    <n v="1.03"/>
    <n v="0"/>
    <n v="54"/>
  </r>
  <r>
    <x v="6"/>
    <x v="27"/>
    <x v="259"/>
    <x v="268"/>
    <x v="7"/>
    <n v="13810"/>
    <n v="3894"/>
    <n v="13119.499999999998"/>
    <n v="2145"/>
    <n v="0"/>
    <n v="48"/>
    <n v="0"/>
    <n v="3699.2999999999993"/>
    <n v="3894"/>
    <n v="2257.8947368421054"/>
    <n v="0.95"/>
    <n v="0"/>
    <n v="1.72"/>
    <n v="48.5"/>
    <n v="1700.5"/>
  </r>
  <r>
    <x v="6"/>
    <x v="27"/>
    <x v="260"/>
    <x v="269"/>
    <x v="0"/>
    <n v="41672"/>
    <n v="11751"/>
    <n v="0"/>
    <n v="0"/>
    <n v="0"/>
    <n v="0"/>
    <n v="0"/>
    <n v="0"/>
    <n v="11751"/>
    <n v="11751"/>
    <n v="0"/>
    <n v="0"/>
    <n v="0"/>
    <n v="0"/>
    <n v="11751"/>
  </r>
  <r>
    <x v="6"/>
    <x v="27"/>
    <x v="261"/>
    <x v="270"/>
    <x v="3"/>
    <n v="5658"/>
    <n v="1595"/>
    <n v="1753.98"/>
    <n v="415"/>
    <n v="1527.66"/>
    <n v="374"/>
    <n v="430.65000000000003"/>
    <n v="494.45"/>
    <n v="1595"/>
    <n v="1338.7096774193549"/>
    <n v="0.31"/>
    <n v="1.1499999999999999"/>
    <n v="1.19"/>
    <n v="375"/>
    <n v="805"/>
  </r>
  <r>
    <x v="6"/>
    <x v="27"/>
    <x v="262"/>
    <x v="271"/>
    <x v="3"/>
    <n v="43263"/>
    <n v="12199"/>
    <n v="8933.8089999999993"/>
    <n v="1842"/>
    <n v="627.31299999999999"/>
    <n v="171"/>
    <n v="176.88535901347572"/>
    <n v="2519.0933590134755"/>
    <n v="12199"/>
    <n v="12199"/>
    <n v="0.21"/>
    <n v="1.03"/>
    <n v="1.37"/>
    <n v="171.5"/>
    <n v="10185.5"/>
  </r>
  <r>
    <x v="6"/>
    <x v="27"/>
    <x v="263"/>
    <x v="272"/>
    <x v="0"/>
    <n v="12341"/>
    <n v="3480"/>
    <n v="0"/>
    <n v="0"/>
    <n v="0"/>
    <n v="0"/>
    <n v="0"/>
    <n v="0"/>
    <n v="3480"/>
    <n v="3480"/>
    <n v="0"/>
    <n v="0"/>
    <n v="0"/>
    <n v="0"/>
    <n v="3480"/>
  </r>
  <r>
    <x v="6"/>
    <x v="27"/>
    <x v="264"/>
    <x v="273"/>
    <x v="0"/>
    <n v="4685"/>
    <n v="1321"/>
    <n v="0"/>
    <n v="0"/>
    <n v="0"/>
    <n v="0"/>
    <n v="0"/>
    <n v="0"/>
    <n v="1321"/>
    <n v="1321"/>
    <n v="0"/>
    <n v="0"/>
    <n v="0"/>
    <n v="0"/>
    <n v="1321"/>
  </r>
  <r>
    <x v="6"/>
    <x v="27"/>
    <x v="265"/>
    <x v="274"/>
    <x v="0"/>
    <n v="65966"/>
    <n v="18601"/>
    <n v="0"/>
    <n v="0"/>
    <n v="0"/>
    <n v="0"/>
    <n v="0"/>
    <n v="0"/>
    <n v="18601"/>
    <n v="18601"/>
    <n v="0"/>
    <n v="0"/>
    <n v="0"/>
    <n v="0"/>
    <n v="18601"/>
  </r>
  <r>
    <x v="6"/>
    <x v="27"/>
    <x v="266"/>
    <x v="275"/>
    <x v="0"/>
    <n v="12663"/>
    <n v="3571"/>
    <n v="0"/>
    <n v="0"/>
    <n v="0"/>
    <n v="0"/>
    <n v="0"/>
    <n v="0"/>
    <n v="3571"/>
    <n v="3571"/>
    <n v="0"/>
    <n v="0"/>
    <n v="0"/>
    <n v="0"/>
    <n v="3571"/>
  </r>
  <r>
    <x v="6"/>
    <x v="27"/>
    <x v="267"/>
    <x v="276"/>
    <x v="6"/>
    <n v="752"/>
    <n v="212"/>
    <n v="684.31999999999994"/>
    <n v="922.5"/>
    <n v="7.52"/>
    <n v="372"/>
    <n v="2.12"/>
    <n v="192.92"/>
    <n v="212"/>
    <n v="1013.7362637362638"/>
    <n v="0.91"/>
    <n v="0.01"/>
    <n v="0.21"/>
    <n v="372"/>
    <n v="-1082.5"/>
  </r>
  <r>
    <x v="6"/>
    <x v="27"/>
    <x v="268"/>
    <x v="277"/>
    <x v="0"/>
    <n v="25846"/>
    <n v="7288"/>
    <n v="6608.8220000000001"/>
    <n v="1383.5"/>
    <n v="0"/>
    <n v="0"/>
    <n v="0"/>
    <n v="1863.5415436044261"/>
    <n v="7288"/>
    <n v="5410.6376295200571"/>
    <n v="0.26"/>
    <n v="0"/>
    <n v="1.35"/>
    <n v="0"/>
    <n v="5904.5"/>
  </r>
  <r>
    <x v="6"/>
    <x v="27"/>
    <x v="269"/>
    <x v="278"/>
    <x v="0"/>
    <n v="24006"/>
    <n v="6769"/>
    <n v="0"/>
    <n v="0"/>
    <n v="0"/>
    <n v="0"/>
    <n v="0"/>
    <n v="0"/>
    <n v="6769"/>
    <n v="6769"/>
    <n v="0"/>
    <n v="0"/>
    <n v="0"/>
    <n v="0"/>
    <n v="6769"/>
  </r>
  <r>
    <x v="6"/>
    <x v="27"/>
    <x v="270"/>
    <x v="279"/>
    <x v="0"/>
    <n v="11799"/>
    <n v="3327"/>
    <n v="0"/>
    <n v="0"/>
    <n v="0"/>
    <n v="0"/>
    <n v="0"/>
    <n v="0"/>
    <n v="3327"/>
    <n v="3327"/>
    <n v="0"/>
    <n v="0"/>
    <n v="0"/>
    <n v="0"/>
    <n v="3327"/>
  </r>
  <r>
    <x v="6"/>
    <x v="27"/>
    <x v="271"/>
    <x v="280"/>
    <x v="4"/>
    <n v="6087"/>
    <n v="1716"/>
    <n v="6087"/>
    <n v="2059.5"/>
    <n v="0"/>
    <n v="0"/>
    <n v="0"/>
    <n v="1716"/>
    <n v="1716"/>
    <n v="2059.5"/>
    <n v="1"/>
    <n v="0"/>
    <n v="0.83"/>
    <n v="0"/>
    <n v="-343.5"/>
  </r>
  <r>
    <x v="6"/>
    <x v="28"/>
    <x v="272"/>
    <x v="281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8"/>
    <x v="273"/>
    <x v="282"/>
    <x v="0"/>
    <n v="1289"/>
    <n v="303"/>
    <n v="1288.9999999999995"/>
    <n v="198.5"/>
    <n v="0"/>
    <n v="0"/>
    <n v="0"/>
    <n v="302.99999999999989"/>
    <n v="303"/>
    <n v="198.50000000000006"/>
    <n v="1"/>
    <n v="0"/>
    <n v="1.53"/>
    <n v="0"/>
    <n v="104.5"/>
  </r>
  <r>
    <x v="6"/>
    <x v="28"/>
    <x v="274"/>
    <x v="283"/>
    <x v="4"/>
    <n v="998"/>
    <n v="235"/>
    <n v="678.54"/>
    <n v="208"/>
    <n v="0"/>
    <n v="0"/>
    <n v="0"/>
    <n v="159.7764529058116"/>
    <n v="235"/>
    <n v="305.92743242844932"/>
    <n v="0.68"/>
    <n v="0"/>
    <n v="0.77"/>
    <n v="0"/>
    <n v="27"/>
  </r>
  <r>
    <x v="6"/>
    <x v="28"/>
    <x v="275"/>
    <x v="284"/>
    <x v="0"/>
    <n v="743"/>
    <n v="175"/>
    <n v="743"/>
    <n v="116.5"/>
    <n v="0"/>
    <n v="0"/>
    <n v="0"/>
    <n v="175"/>
    <n v="175"/>
    <n v="116.5"/>
    <n v="1"/>
    <n v="0"/>
    <n v="1.5"/>
    <n v="0"/>
    <n v="58.5"/>
  </r>
  <r>
    <x v="6"/>
    <x v="28"/>
    <x v="276"/>
    <x v="285"/>
    <x v="3"/>
    <n v="11681"/>
    <n v="2747"/>
    <n v="7544.7579999999989"/>
    <n v="1497.5"/>
    <n v="536.15800000000002"/>
    <n v="90"/>
    <n v="126.08732351682218"/>
    <n v="1774.287323516822"/>
    <n v="2747"/>
    <n v="2318.4703207180405"/>
    <n v="0.65"/>
    <n v="1.4"/>
    <n v="1.18"/>
    <n v="90.5"/>
    <n v="1159"/>
  </r>
  <r>
    <x v="6"/>
    <x v="28"/>
    <x v="277"/>
    <x v="286"/>
    <x v="4"/>
    <n v="2530"/>
    <n v="553"/>
    <n v="1583.78"/>
    <n v="603"/>
    <n v="0"/>
    <n v="0"/>
    <n v="0"/>
    <n v="346.178"/>
    <n v="553"/>
    <n v="963.25878594249207"/>
    <n v="0.63"/>
    <n v="0"/>
    <n v="0.56999999999999995"/>
    <n v="0"/>
    <n v="-50"/>
  </r>
  <r>
    <x v="6"/>
    <x v="28"/>
    <x v="278"/>
    <x v="287"/>
    <x v="0"/>
    <n v="1940"/>
    <n v="456"/>
    <n v="1940"/>
    <n v="316.5"/>
    <n v="0"/>
    <n v="0"/>
    <n v="0"/>
    <n v="456"/>
    <n v="456"/>
    <n v="316.5"/>
    <n v="1"/>
    <n v="0"/>
    <n v="1.44"/>
    <n v="0"/>
    <n v="139.5"/>
  </r>
  <r>
    <x v="6"/>
    <x v="28"/>
    <x v="279"/>
    <x v="288"/>
    <x v="0"/>
    <n v="462"/>
    <n v="109"/>
    <n v="462"/>
    <n v="92.5"/>
    <n v="0"/>
    <n v="0"/>
    <n v="0"/>
    <n v="109"/>
    <n v="109"/>
    <n v="92.5"/>
    <n v="1"/>
    <n v="0"/>
    <n v="1.18"/>
    <n v="0"/>
    <n v="16.5"/>
  </r>
  <r>
    <x v="6"/>
    <x v="28"/>
    <x v="280"/>
    <x v="289"/>
    <x v="4"/>
    <n v="1036"/>
    <n v="244"/>
    <n v="1036"/>
    <n v="395"/>
    <n v="0"/>
    <n v="0"/>
    <n v="0"/>
    <n v="244"/>
    <n v="244"/>
    <n v="395"/>
    <n v="1"/>
    <n v="0"/>
    <n v="0.62"/>
    <n v="0"/>
    <n v="-151"/>
  </r>
  <r>
    <x v="6"/>
    <x v="28"/>
    <x v="281"/>
    <x v="290"/>
    <x v="0"/>
    <n v="3125"/>
    <n v="735"/>
    <n v="0"/>
    <n v="0"/>
    <n v="0"/>
    <n v="0"/>
    <n v="0"/>
    <n v="0"/>
    <n v="735"/>
    <n v="735"/>
    <n v="0"/>
    <n v="0"/>
    <n v="0"/>
    <n v="0"/>
    <n v="735"/>
  </r>
  <r>
    <x v="6"/>
    <x v="28"/>
    <x v="282"/>
    <x v="291"/>
    <x v="0"/>
    <n v="424"/>
    <n v="100"/>
    <n v="0"/>
    <n v="0"/>
    <n v="0"/>
    <n v="0"/>
    <n v="0"/>
    <n v="0"/>
    <n v="100"/>
    <n v="100"/>
    <n v="0"/>
    <n v="0"/>
    <n v="0"/>
    <n v="0"/>
    <n v="100"/>
  </r>
  <r>
    <x v="6"/>
    <x v="28"/>
    <x v="283"/>
    <x v="292"/>
    <x v="0"/>
    <n v="3245"/>
    <n v="763"/>
    <n v="0"/>
    <n v="0"/>
    <n v="0"/>
    <n v="0"/>
    <n v="0"/>
    <n v="0"/>
    <n v="763"/>
    <n v="763"/>
    <n v="0"/>
    <n v="0"/>
    <n v="0"/>
    <n v="0"/>
    <n v="763"/>
  </r>
  <r>
    <x v="6"/>
    <x v="28"/>
    <x v="284"/>
    <x v="293"/>
    <x v="0"/>
    <n v="926"/>
    <n v="218"/>
    <n v="0"/>
    <n v="0"/>
    <n v="0"/>
    <n v="0"/>
    <n v="0"/>
    <n v="0"/>
    <n v="218"/>
    <n v="218"/>
    <n v="0"/>
    <n v="0"/>
    <n v="0"/>
    <n v="0"/>
    <n v="218"/>
  </r>
  <r>
    <x v="6"/>
    <x v="28"/>
    <x v="285"/>
    <x v="294"/>
    <x v="0"/>
    <n v="351"/>
    <n v="83"/>
    <n v="0"/>
    <n v="0"/>
    <n v="0"/>
    <n v="0"/>
    <n v="0"/>
    <n v="0"/>
    <n v="83"/>
    <n v="83"/>
    <n v="0"/>
    <n v="0"/>
    <n v="0"/>
    <n v="0"/>
    <n v="83"/>
  </r>
  <r>
    <x v="6"/>
    <x v="28"/>
    <x v="286"/>
    <x v="295"/>
    <x v="0"/>
    <n v="4947"/>
    <n v="1163"/>
    <n v="0"/>
    <n v="0"/>
    <n v="0"/>
    <n v="0"/>
    <n v="0"/>
    <n v="0"/>
    <n v="1163"/>
    <n v="1163"/>
    <n v="0"/>
    <n v="0"/>
    <n v="0"/>
    <n v="0"/>
    <n v="1163"/>
  </r>
  <r>
    <x v="6"/>
    <x v="28"/>
    <x v="287"/>
    <x v="296"/>
    <x v="0"/>
    <n v="950"/>
    <n v="223"/>
    <n v="0"/>
    <n v="0"/>
    <n v="0"/>
    <n v="0"/>
    <n v="0"/>
    <n v="0"/>
    <n v="223"/>
    <n v="223"/>
    <n v="0"/>
    <n v="0"/>
    <n v="0"/>
    <n v="0"/>
    <n v="223"/>
  </r>
  <r>
    <x v="6"/>
    <x v="28"/>
    <x v="288"/>
    <x v="297"/>
    <x v="0"/>
    <n v="56"/>
    <n v="13"/>
    <n v="0"/>
    <n v="0"/>
    <n v="0"/>
    <n v="0"/>
    <n v="0"/>
    <n v="0"/>
    <n v="13"/>
    <n v="13"/>
    <n v="0"/>
    <n v="0"/>
    <n v="0"/>
    <n v="0"/>
    <n v="13"/>
  </r>
  <r>
    <x v="6"/>
    <x v="28"/>
    <x v="289"/>
    <x v="298"/>
    <x v="0"/>
    <n v="1938"/>
    <n v="456.01"/>
    <n v="530.62400000000002"/>
    <n v="91"/>
    <n v="0"/>
    <n v="0"/>
    <n v="0"/>
    <n v="124.85544388028896"/>
    <n v="456.01"/>
    <n v="332.35963695573514"/>
    <n v="0.27"/>
    <n v="0"/>
    <n v="1.37"/>
    <n v="0"/>
    <n v="365.01"/>
  </r>
  <r>
    <x v="6"/>
    <x v="28"/>
    <x v="290"/>
    <x v="299"/>
    <x v="0"/>
    <n v="1800"/>
    <n v="423"/>
    <n v="0"/>
    <n v="0"/>
    <n v="0"/>
    <n v="0"/>
    <n v="0"/>
    <n v="0"/>
    <n v="423"/>
    <n v="423"/>
    <n v="0"/>
    <n v="0"/>
    <n v="0"/>
    <n v="0"/>
    <n v="423"/>
  </r>
  <r>
    <x v="6"/>
    <x v="28"/>
    <x v="291"/>
    <x v="300"/>
    <x v="0"/>
    <n v="885"/>
    <n v="208"/>
    <n v="0"/>
    <n v="0"/>
    <n v="0"/>
    <n v="0"/>
    <n v="0"/>
    <n v="0"/>
    <n v="208"/>
    <n v="208"/>
    <n v="0"/>
    <n v="0"/>
    <n v="0"/>
    <n v="0"/>
    <n v="208"/>
  </r>
  <r>
    <x v="6"/>
    <x v="28"/>
    <x v="292"/>
    <x v="301"/>
    <x v="4"/>
    <n v="457"/>
    <n v="107.01"/>
    <n v="228.5"/>
    <n v="111"/>
    <n v="0"/>
    <n v="0"/>
    <n v="0"/>
    <n v="53.505000000000003"/>
    <n v="107.01"/>
    <n v="222"/>
    <n v="0.5"/>
    <n v="0"/>
    <n v="0.48"/>
    <n v="0"/>
    <n v="-3.9899999999999949"/>
  </r>
  <r>
    <x v="6"/>
    <x v="29"/>
    <x v="293"/>
    <x v="30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29"/>
    <x v="294"/>
    <x v="303"/>
    <x v="0"/>
    <n v="9"/>
    <n v="793"/>
    <n v="7.0000000000000018"/>
    <n v="280.5"/>
    <n v="0"/>
    <n v="0"/>
    <n v="0"/>
    <n v="616.77777777777794"/>
    <n v="793"/>
    <n v="360.64285714285705"/>
    <n v="0.78"/>
    <n v="0"/>
    <n v="2.2000000000000002"/>
    <n v="0"/>
    <n v="512.5"/>
  </r>
  <r>
    <x v="6"/>
    <x v="29"/>
    <x v="295"/>
    <x v="304"/>
    <x v="0"/>
    <n v="6"/>
    <n v="528"/>
    <n v="6"/>
    <n v="325.5"/>
    <n v="0"/>
    <n v="0"/>
    <n v="0"/>
    <n v="528"/>
    <n v="528"/>
    <n v="325.5"/>
    <n v="1"/>
    <n v="0"/>
    <n v="1.62"/>
    <n v="0"/>
    <n v="202.5"/>
  </r>
  <r>
    <x v="6"/>
    <x v="29"/>
    <x v="296"/>
    <x v="305"/>
    <x v="10"/>
    <n v="14"/>
    <n v="1233"/>
    <n v="15"/>
    <n v="948.5"/>
    <n v="0"/>
    <n v="0"/>
    <n v="0"/>
    <n v="1321.0714285714284"/>
    <n v="1233"/>
    <n v="885.26666666666665"/>
    <n v="1.07"/>
    <n v="0"/>
    <n v="1.39"/>
    <n v="0"/>
    <n v="284.5"/>
  </r>
  <r>
    <x v="6"/>
    <x v="29"/>
    <x v="297"/>
    <x v="306"/>
    <x v="6"/>
    <n v="153"/>
    <n v="14620"/>
    <n v="63.770000000000017"/>
    <n v="6887.5"/>
    <n v="-22.216000000000001"/>
    <n v="262"/>
    <n v="-2122.862222222222"/>
    <n v="6093.5777777777794"/>
    <n v="14620"/>
    <n v="16524.815744080282"/>
    <n v="0.42"/>
    <n v="-8.1"/>
    <n v="0.88"/>
    <n v="261.5"/>
    <n v="7471"/>
  </r>
  <r>
    <x v="6"/>
    <x v="29"/>
    <x v="298"/>
    <x v="303"/>
    <x v="7"/>
    <n v="35"/>
    <n v="3083"/>
    <n v="23.999999999999996"/>
    <n v="1154.5"/>
    <n v="0"/>
    <n v="100"/>
    <n v="0"/>
    <n v="2114.0571428571425"/>
    <n v="3083"/>
    <n v="1683.6458333333335"/>
    <n v="0.69"/>
    <n v="0"/>
    <n v="1.83"/>
    <n v="100.5"/>
    <n v="1828"/>
  </r>
  <r>
    <x v="6"/>
    <x v="29"/>
    <x v="299"/>
    <x v="307"/>
    <x v="0"/>
    <n v="45"/>
    <n v="3963"/>
    <n v="20.70000000000001"/>
    <n v="1520.5"/>
    <n v="0"/>
    <n v="0"/>
    <n v="0"/>
    <n v="1822.9800000000009"/>
    <n v="3963"/>
    <n v="3305.4347826086937"/>
    <n v="0.46"/>
    <n v="0"/>
    <n v="1.2"/>
    <n v="0"/>
    <n v="2442.5"/>
  </r>
  <r>
    <x v="6"/>
    <x v="29"/>
    <x v="300"/>
    <x v="308"/>
    <x v="0"/>
    <n v="10"/>
    <n v="881"/>
    <n v="10"/>
    <n v="784"/>
    <n v="0"/>
    <n v="0"/>
    <n v="0"/>
    <n v="881"/>
    <n v="881"/>
    <n v="784"/>
    <n v="1"/>
    <n v="0"/>
    <n v="1.1200000000000001"/>
    <n v="0"/>
    <n v="97"/>
  </r>
  <r>
    <x v="6"/>
    <x v="29"/>
    <x v="301"/>
    <x v="309"/>
    <x v="0"/>
    <n v="32"/>
    <n v="2819"/>
    <n v="28.160000000000004"/>
    <n v="1632"/>
    <n v="0"/>
    <n v="0"/>
    <n v="0"/>
    <n v="2480.7200000000003"/>
    <n v="2819"/>
    <n v="1854.5454545454543"/>
    <n v="0.88"/>
    <n v="0"/>
    <n v="1.52"/>
    <n v="0"/>
    <n v="1187"/>
  </r>
  <r>
    <x v="6"/>
    <x v="29"/>
    <x v="302"/>
    <x v="310"/>
    <x v="0"/>
    <n v="41"/>
    <n v="3611"/>
    <n v="0"/>
    <n v="0"/>
    <n v="0"/>
    <n v="0"/>
    <n v="0"/>
    <n v="0"/>
    <n v="3611"/>
    <n v="3611"/>
    <n v="0"/>
    <n v="0"/>
    <n v="0"/>
    <n v="0"/>
    <n v="3611"/>
  </r>
  <r>
    <x v="6"/>
    <x v="29"/>
    <x v="303"/>
    <x v="311"/>
    <x v="0"/>
    <n v="9"/>
    <n v="793"/>
    <n v="0"/>
    <n v="0"/>
    <n v="0"/>
    <n v="0"/>
    <n v="0"/>
    <n v="0"/>
    <n v="793"/>
    <n v="793"/>
    <n v="0"/>
    <n v="0"/>
    <n v="0"/>
    <n v="0"/>
    <n v="793"/>
  </r>
  <r>
    <x v="6"/>
    <x v="29"/>
    <x v="304"/>
    <x v="312"/>
    <x v="3"/>
    <n v="54"/>
    <n v="4756"/>
    <n v="5.1680000000000001"/>
    <n v="338.5"/>
    <n v="0.74"/>
    <n v="50"/>
    <n v="65.174814814814823"/>
    <n v="455.16681481481481"/>
    <n v="4756"/>
    <n v="4756"/>
    <n v="0.1"/>
    <n v="1.3"/>
    <n v="1.34"/>
    <n v="50"/>
    <n v="4367.5"/>
  </r>
  <r>
    <x v="6"/>
    <x v="29"/>
    <x v="305"/>
    <x v="313"/>
    <x v="0"/>
    <n v="11"/>
    <n v="969"/>
    <n v="0"/>
    <n v="0"/>
    <n v="0"/>
    <n v="0"/>
    <n v="0"/>
    <n v="0"/>
    <n v="969"/>
    <n v="969"/>
    <n v="0"/>
    <n v="0"/>
    <n v="0"/>
    <n v="0"/>
    <n v="969"/>
  </r>
  <r>
    <x v="6"/>
    <x v="29"/>
    <x v="306"/>
    <x v="314"/>
    <x v="0"/>
    <n v="1"/>
    <n v="88"/>
    <n v="0"/>
    <n v="0"/>
    <n v="0"/>
    <n v="0"/>
    <n v="0"/>
    <n v="0"/>
    <n v="88"/>
    <n v="88"/>
    <n v="0"/>
    <n v="0"/>
    <n v="0"/>
    <n v="0"/>
    <n v="88"/>
  </r>
  <r>
    <x v="6"/>
    <x v="29"/>
    <x v="307"/>
    <x v="315"/>
    <x v="0"/>
    <n v="72"/>
    <n v="6342"/>
    <n v="0"/>
    <n v="0"/>
    <n v="0"/>
    <n v="0"/>
    <n v="0"/>
    <n v="0"/>
    <n v="6342"/>
    <n v="6342"/>
    <n v="0"/>
    <n v="0"/>
    <n v="0"/>
    <n v="0"/>
    <n v="6342"/>
  </r>
  <r>
    <x v="6"/>
    <x v="29"/>
    <x v="308"/>
    <x v="316"/>
    <x v="0"/>
    <n v="12"/>
    <n v="1057"/>
    <n v="0"/>
    <n v="0"/>
    <n v="0"/>
    <n v="0"/>
    <n v="0"/>
    <n v="0"/>
    <n v="1057"/>
    <n v="1057"/>
    <n v="0"/>
    <n v="0"/>
    <n v="0"/>
    <n v="0"/>
    <n v="1057"/>
  </r>
  <r>
    <x v="6"/>
    <x v="29"/>
    <x v="309"/>
    <x v="317"/>
    <x v="0"/>
    <n v="5"/>
    <n v="440"/>
    <n v="0"/>
    <n v="0"/>
    <n v="0"/>
    <n v="0"/>
    <n v="0"/>
    <n v="0"/>
    <n v="440"/>
    <n v="440"/>
    <n v="0"/>
    <n v="0"/>
    <n v="0"/>
    <n v="0"/>
    <n v="440"/>
  </r>
  <r>
    <x v="6"/>
    <x v="29"/>
    <x v="310"/>
    <x v="318"/>
    <x v="0"/>
    <n v="45"/>
    <n v="3963"/>
    <n v="16.280999999999999"/>
    <n v="1028.5"/>
    <n v="0"/>
    <n v="0"/>
    <n v="0"/>
    <n v="1433.8133999999998"/>
    <n v="3963"/>
    <n v="2842.7307904919849"/>
    <n v="0.36"/>
    <n v="0"/>
    <n v="1.39"/>
    <n v="0"/>
    <n v="2934.5"/>
  </r>
  <r>
    <x v="6"/>
    <x v="29"/>
    <x v="311"/>
    <x v="319"/>
    <x v="0"/>
    <n v="31"/>
    <n v="2730"/>
    <n v="0"/>
    <n v="0"/>
    <n v="0"/>
    <n v="0"/>
    <n v="0"/>
    <n v="0"/>
    <n v="2730"/>
    <n v="2730"/>
    <n v="0"/>
    <n v="0"/>
    <n v="0"/>
    <n v="0"/>
    <n v="2730"/>
  </r>
  <r>
    <x v="6"/>
    <x v="29"/>
    <x v="312"/>
    <x v="320"/>
    <x v="0"/>
    <n v="15"/>
    <n v="1321"/>
    <n v="0"/>
    <n v="0"/>
    <n v="0"/>
    <n v="0"/>
    <n v="0"/>
    <n v="0"/>
    <n v="1321"/>
    <n v="1321"/>
    <n v="0"/>
    <n v="0"/>
    <n v="0"/>
    <n v="0"/>
    <n v="1321"/>
  </r>
  <r>
    <x v="6"/>
    <x v="29"/>
    <x v="313"/>
    <x v="321"/>
    <x v="0"/>
    <n v="14"/>
    <n v="1233"/>
    <n v="6.02"/>
    <n v="494"/>
    <n v="0"/>
    <n v="0"/>
    <n v="0"/>
    <n v="530.18999999999994"/>
    <n v="1233"/>
    <n v="1148.8372093023256"/>
    <n v="0.43"/>
    <n v="0"/>
    <n v="1.07"/>
    <n v="0"/>
    <n v="739"/>
  </r>
  <r>
    <x v="6"/>
    <x v="30"/>
    <x v="314"/>
    <x v="32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0"/>
    <x v="315"/>
    <x v="323"/>
    <x v="0"/>
    <n v="23997"/>
    <n v="376"/>
    <n v="23997"/>
    <n v="361.5"/>
    <n v="0"/>
    <n v="0"/>
    <n v="0"/>
    <n v="376"/>
    <n v="376"/>
    <n v="361.5"/>
    <n v="1"/>
    <n v="0"/>
    <n v="1.04"/>
    <n v="0"/>
    <n v="14.5"/>
  </r>
  <r>
    <x v="6"/>
    <x v="30"/>
    <x v="316"/>
    <x v="324"/>
    <x v="0"/>
    <n v="36072"/>
    <n v="565"/>
    <n v="34217.898999999998"/>
    <n v="526.5"/>
    <n v="0"/>
    <n v="0"/>
    <n v="0"/>
    <n v="535.9589968673763"/>
    <n v="565"/>
    <n v="555.02846624218512"/>
    <n v="0.95"/>
    <n v="0"/>
    <n v="1.02"/>
    <n v="0"/>
    <n v="38.5"/>
  </r>
  <r>
    <x v="6"/>
    <x v="30"/>
    <x v="317"/>
    <x v="325"/>
    <x v="0"/>
    <n v="49566"/>
    <n v="777"/>
    <n v="7434.9"/>
    <n v="100"/>
    <n v="0"/>
    <n v="0"/>
    <n v="0"/>
    <n v="116.55"/>
    <n v="777"/>
    <n v="777"/>
    <n v="0.15"/>
    <n v="0"/>
    <n v="1.17"/>
    <n v="0"/>
    <n v="677"/>
  </r>
  <r>
    <x v="6"/>
    <x v="30"/>
    <x v="318"/>
    <x v="326"/>
    <x v="3"/>
    <n v="444708"/>
    <n v="6971"/>
    <n v="66839.612000000008"/>
    <n v="863"/>
    <n v="12318.411"/>
    <n v="148"/>
    <n v="193.09669059472733"/>
    <n v="1047.7412937298184"/>
    <n v="6971"/>
    <n v="6971"/>
    <n v="0.15"/>
    <n v="1.3"/>
    <n v="1.21"/>
    <n v="148.5"/>
    <n v="5959.5"/>
  </r>
  <r>
    <x v="6"/>
    <x v="30"/>
    <x v="319"/>
    <x v="324"/>
    <x v="0"/>
    <n v="109200"/>
    <n v="1712"/>
    <n v="44509.920000000006"/>
    <n v="678"/>
    <n v="0"/>
    <n v="0"/>
    <n v="0"/>
    <n v="697.8112000000001"/>
    <n v="1712"/>
    <n v="1663.3954857703627"/>
    <n v="0.41"/>
    <n v="0"/>
    <n v="1.03"/>
    <n v="0"/>
    <n v="1034"/>
  </r>
  <r>
    <x v="6"/>
    <x v="30"/>
    <x v="320"/>
    <x v="327"/>
    <x v="3"/>
    <n v="97892"/>
    <n v="1534"/>
    <n v="18433.064000000002"/>
    <n v="243"/>
    <n v="2770.3440000000001"/>
    <n v="32"/>
    <n v="43.412206268132223"/>
    <n v="288.85220626813225"/>
    <n v="1534"/>
    <n v="1534"/>
    <n v="0.19"/>
    <n v="1.36"/>
    <n v="1.19"/>
    <n v="32.5"/>
    <n v="1258.5"/>
  </r>
  <r>
    <x v="6"/>
    <x v="30"/>
    <x v="321"/>
    <x v="328"/>
    <x v="0"/>
    <n v="24658"/>
    <n v="387"/>
    <n v="0"/>
    <n v="0"/>
    <n v="0"/>
    <n v="0"/>
    <n v="0"/>
    <n v="0"/>
    <n v="387"/>
    <n v="387"/>
    <n v="0"/>
    <n v="0"/>
    <n v="0"/>
    <n v="0"/>
    <n v="387"/>
  </r>
  <r>
    <x v="6"/>
    <x v="30"/>
    <x v="322"/>
    <x v="329"/>
    <x v="0"/>
    <n v="71940"/>
    <n v="1128"/>
    <n v="41005.799999999996"/>
    <n v="518.5"/>
    <n v="0"/>
    <n v="0"/>
    <n v="0"/>
    <n v="642.95999999999992"/>
    <n v="1128"/>
    <n v="909.64912280701765"/>
    <n v="0.56999999999999995"/>
    <n v="0"/>
    <n v="1.24"/>
    <n v="0"/>
    <n v="609.5"/>
  </r>
  <r>
    <x v="6"/>
    <x v="30"/>
    <x v="323"/>
    <x v="330"/>
    <x v="0"/>
    <n v="170280"/>
    <n v="2669"/>
    <n v="0"/>
    <n v="0"/>
    <n v="0"/>
    <n v="0"/>
    <n v="0"/>
    <n v="0"/>
    <n v="2669"/>
    <n v="2669"/>
    <n v="0"/>
    <n v="0"/>
    <n v="0"/>
    <n v="0"/>
    <n v="2669"/>
  </r>
  <r>
    <x v="6"/>
    <x v="30"/>
    <x v="324"/>
    <x v="331"/>
    <x v="0"/>
    <n v="11736"/>
    <n v="184"/>
    <n v="0"/>
    <n v="0"/>
    <n v="0"/>
    <n v="0"/>
    <n v="0"/>
    <n v="0"/>
    <n v="184"/>
    <n v="184"/>
    <n v="0"/>
    <n v="0"/>
    <n v="0"/>
    <n v="0"/>
    <n v="184"/>
  </r>
  <r>
    <x v="6"/>
    <x v="30"/>
    <x v="325"/>
    <x v="332"/>
    <x v="0"/>
    <n v="155728"/>
    <n v="2441"/>
    <n v="0"/>
    <n v="0"/>
    <n v="0"/>
    <n v="0"/>
    <n v="0"/>
    <n v="0"/>
    <n v="2441"/>
    <n v="2441"/>
    <n v="0"/>
    <n v="0"/>
    <n v="0"/>
    <n v="0"/>
    <n v="2441"/>
  </r>
  <r>
    <x v="6"/>
    <x v="30"/>
    <x v="326"/>
    <x v="333"/>
    <x v="0"/>
    <n v="31788"/>
    <n v="498"/>
    <n v="0"/>
    <n v="0"/>
    <n v="0"/>
    <n v="0"/>
    <n v="0"/>
    <n v="0"/>
    <n v="498"/>
    <n v="498"/>
    <n v="0"/>
    <n v="0"/>
    <n v="0"/>
    <n v="0"/>
    <n v="498"/>
  </r>
  <r>
    <x v="6"/>
    <x v="30"/>
    <x v="327"/>
    <x v="334"/>
    <x v="0"/>
    <n v="9240"/>
    <n v="145"/>
    <n v="0"/>
    <n v="0"/>
    <n v="0"/>
    <n v="0"/>
    <n v="0"/>
    <n v="0"/>
    <n v="145"/>
    <n v="145"/>
    <n v="0"/>
    <n v="0"/>
    <n v="0"/>
    <n v="0"/>
    <n v="145"/>
  </r>
  <r>
    <x v="6"/>
    <x v="30"/>
    <x v="328"/>
    <x v="335"/>
    <x v="0"/>
    <n v="127320"/>
    <n v="1996"/>
    <n v="0"/>
    <n v="0"/>
    <n v="0"/>
    <n v="0"/>
    <n v="0"/>
    <n v="0"/>
    <n v="1996"/>
    <n v="1996"/>
    <n v="0"/>
    <n v="0"/>
    <n v="0"/>
    <n v="0"/>
    <n v="1996"/>
  </r>
  <r>
    <x v="6"/>
    <x v="30"/>
    <x v="329"/>
    <x v="336"/>
    <x v="0"/>
    <n v="26116"/>
    <n v="409"/>
    <n v="2170.2399999999998"/>
    <n v="0"/>
    <n v="0"/>
    <n v="0"/>
    <n v="0"/>
    <n v="33.987906264359012"/>
    <n v="409"/>
    <n v="409"/>
    <n v="0.08"/>
    <n v="0"/>
    <n v="0"/>
    <n v="0"/>
    <n v="409"/>
  </r>
  <r>
    <x v="6"/>
    <x v="30"/>
    <x v="330"/>
    <x v="337"/>
    <x v="0"/>
    <n v="24240"/>
    <n v="380"/>
    <n v="0"/>
    <n v="0"/>
    <n v="0"/>
    <n v="0"/>
    <n v="0"/>
    <n v="0"/>
    <n v="380"/>
    <n v="380"/>
    <n v="0"/>
    <n v="0"/>
    <n v="0"/>
    <n v="0"/>
    <n v="380"/>
  </r>
  <r>
    <x v="6"/>
    <x v="30"/>
    <x v="331"/>
    <x v="338"/>
    <x v="0"/>
    <n v="130596"/>
    <n v="2047"/>
    <n v="0"/>
    <n v="0"/>
    <n v="0"/>
    <n v="0"/>
    <n v="0"/>
    <n v="0"/>
    <n v="2047"/>
    <n v="2047"/>
    <n v="0"/>
    <n v="0"/>
    <n v="0"/>
    <n v="0"/>
    <n v="2047"/>
  </r>
  <r>
    <x v="6"/>
    <x v="30"/>
    <x v="332"/>
    <x v="339"/>
    <x v="0"/>
    <n v="81030"/>
    <n v="1270"/>
    <n v="0"/>
    <n v="0"/>
    <n v="0"/>
    <n v="0"/>
    <n v="0"/>
    <n v="0"/>
    <n v="1270"/>
    <n v="1270"/>
    <n v="0"/>
    <n v="0"/>
    <n v="0"/>
    <n v="0"/>
    <n v="1270"/>
  </r>
  <r>
    <x v="6"/>
    <x v="30"/>
    <x v="333"/>
    <x v="340"/>
    <x v="0"/>
    <n v="33438"/>
    <n v="524"/>
    <n v="0"/>
    <n v="0"/>
    <n v="0"/>
    <n v="0"/>
    <n v="0"/>
    <n v="0"/>
    <n v="524"/>
    <n v="524"/>
    <n v="0"/>
    <n v="0"/>
    <n v="0"/>
    <n v="0"/>
    <n v="524"/>
  </r>
  <r>
    <x v="6"/>
    <x v="30"/>
    <x v="334"/>
    <x v="341"/>
    <x v="0"/>
    <n v="17157"/>
    <n v="269"/>
    <n v="0"/>
    <n v="0"/>
    <n v="0"/>
    <n v="0"/>
    <n v="0"/>
    <n v="0"/>
    <n v="269"/>
    <n v="269"/>
    <n v="0"/>
    <n v="0"/>
    <n v="0"/>
    <n v="0"/>
    <n v="269"/>
  </r>
  <r>
    <x v="6"/>
    <x v="31"/>
    <x v="335"/>
    <x v="342"/>
    <x v="0"/>
    <n v="1201"/>
    <n v="10931.94"/>
    <n v="0"/>
    <n v="0"/>
    <n v="0"/>
    <n v="0"/>
    <n v="0"/>
    <n v="0"/>
    <n v="10931.94"/>
    <n v="10931.94"/>
    <n v="0"/>
    <n v="0"/>
    <n v="0"/>
    <n v="0"/>
    <n v="10931.94"/>
  </r>
  <r>
    <x v="6"/>
    <x v="31"/>
    <x v="336"/>
    <x v="343"/>
    <x v="2"/>
    <n v="0"/>
    <n v="131488"/>
    <n v="0"/>
    <n v="0"/>
    <n v="0"/>
    <n v="0"/>
    <n v="0"/>
    <n v="0"/>
    <n v="0"/>
    <n v="0"/>
    <n v="0"/>
    <n v="0"/>
    <n v="0"/>
    <n v="0"/>
    <n v="131488"/>
  </r>
  <r>
    <x v="6"/>
    <x v="32"/>
    <x v="337"/>
    <x v="344"/>
    <x v="2"/>
    <n v="0"/>
    <n v="200"/>
    <n v="0"/>
    <n v="0"/>
    <n v="0"/>
    <n v="0"/>
    <n v="0"/>
    <n v="0"/>
    <n v="200"/>
    <n v="200"/>
    <n v="0"/>
    <n v="0"/>
    <n v="0"/>
    <n v="0"/>
    <n v="200"/>
  </r>
  <r>
    <x v="6"/>
    <x v="32"/>
    <x v="338"/>
    <x v="345"/>
    <x v="3"/>
    <n v="111920"/>
    <n v="38511"/>
    <n v="9345.3199999999979"/>
    <n v="2287.5"/>
    <n v="2227.2080000000001"/>
    <n v="691"/>
    <n v="766.36890000000005"/>
    <n v="3215.6684999999993"/>
    <n v="38511"/>
    <n v="38511"/>
    <n v="0.08"/>
    <n v="1.1100000000000001"/>
    <n v="1.41"/>
    <n v="691"/>
    <n v="35532.5"/>
  </r>
  <r>
    <x v="6"/>
    <x v="33"/>
    <x v="339"/>
    <x v="346"/>
    <x v="0"/>
    <n v="13961"/>
    <n v="1.9099999999998545"/>
    <n v="0"/>
    <n v="0"/>
    <n v="0"/>
    <n v="0"/>
    <n v="0"/>
    <n v="0"/>
    <n v="1.9099999999998545"/>
    <n v="1.9099999999998545"/>
    <n v="0"/>
    <n v="0"/>
    <n v="0"/>
    <n v="0"/>
    <n v="1.9099999999998545"/>
  </r>
  <r>
    <x v="6"/>
    <x v="33"/>
    <x v="340"/>
    <x v="347"/>
    <x v="7"/>
    <n v="5600"/>
    <n v="3753"/>
    <n v="5096"/>
    <n v="3159"/>
    <n v="0"/>
    <n v="192"/>
    <n v="0"/>
    <n v="3415.23"/>
    <n v="3753"/>
    <n v="3471.4285714285711"/>
    <n v="0.91"/>
    <n v="0"/>
    <n v="1.08"/>
    <n v="192"/>
    <n v="402"/>
  </r>
  <r>
    <x v="6"/>
    <x v="33"/>
    <x v="341"/>
    <x v="348"/>
    <x v="4"/>
    <n v="104"/>
    <n v="100"/>
    <n v="104"/>
    <n v="264.5"/>
    <n v="0"/>
    <n v="0"/>
    <n v="0"/>
    <n v="100"/>
    <n v="100"/>
    <n v="264.5"/>
    <n v="1"/>
    <n v="0"/>
    <n v="0.38"/>
    <n v="0"/>
    <n v="-164.5"/>
  </r>
  <r>
    <x v="6"/>
    <x v="33"/>
    <x v="342"/>
    <x v="349"/>
    <x v="4"/>
    <n v="1000"/>
    <n v="900"/>
    <n v="955.99999999999989"/>
    <n v="1082.5"/>
    <n v="0"/>
    <n v="0"/>
    <n v="0"/>
    <n v="860.39999999999986"/>
    <n v="900"/>
    <n v="1132.3221757322178"/>
    <n v="0.96"/>
    <n v="0"/>
    <n v="0.79"/>
    <n v="0"/>
    <n v="-182.5"/>
  </r>
  <r>
    <x v="6"/>
    <x v="33"/>
    <x v="343"/>
    <x v="350"/>
    <x v="0"/>
    <n v="44"/>
    <n v="75"/>
    <n v="0"/>
    <n v="0"/>
    <n v="0"/>
    <n v="0"/>
    <n v="0"/>
    <n v="0"/>
    <n v="75"/>
    <n v="75"/>
    <n v="0"/>
    <n v="0"/>
    <n v="0"/>
    <n v="0"/>
    <n v="75"/>
  </r>
  <r>
    <x v="6"/>
    <x v="33"/>
    <x v="344"/>
    <x v="351"/>
    <x v="11"/>
    <n v="2792"/>
    <n v="3308"/>
    <n v="10760.922"/>
    <n v="6347"/>
    <n v="750.76199999999994"/>
    <n v="452"/>
    <n v="889.51314326647559"/>
    <n v="12749.688386819484"/>
    <n v="3308"/>
    <n v="1646.775620155968"/>
    <n v="3.85"/>
    <n v="1.97"/>
    <n v="2.0099999999999998"/>
    <n v="447"/>
    <n v="-3486"/>
  </r>
  <r>
    <x v="6"/>
    <x v="33"/>
    <x v="345"/>
    <x v="35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4"/>
    <x v="346"/>
    <x v="353"/>
    <x v="2"/>
    <n v="0"/>
    <n v="0.48999999999978172"/>
    <n v="0"/>
    <n v="0"/>
    <n v="0"/>
    <n v="0"/>
    <n v="0"/>
    <n v="0"/>
    <n v="-2.2737367544323206E-13"/>
    <n v="-2.2737367544323206E-13"/>
    <n v="0"/>
    <n v="0"/>
    <n v="0"/>
    <n v="0"/>
    <n v="0.48999999999978172"/>
  </r>
  <r>
    <x v="6"/>
    <x v="34"/>
    <x v="347"/>
    <x v="354"/>
    <x v="3"/>
    <n v="5254"/>
    <n v="5167"/>
    <n v="609.46400000000006"/>
    <n v="494"/>
    <n v="57.793999999999997"/>
    <n v="50"/>
    <n v="56.836999999999996"/>
    <n v="599.37200000000007"/>
    <n v="5167"/>
    <n v="5167"/>
    <n v="0.12"/>
    <n v="1.1399999999999999"/>
    <n v="1.21"/>
    <n v="50.5"/>
    <n v="4622.5"/>
  </r>
  <r>
    <x v="6"/>
    <x v="34"/>
    <x v="348"/>
    <x v="355"/>
    <x v="0"/>
    <n v="28"/>
    <n v="75"/>
    <n v="28"/>
    <n v="65"/>
    <n v="0"/>
    <n v="0"/>
    <n v="0"/>
    <n v="75"/>
    <n v="75"/>
    <n v="65"/>
    <n v="1"/>
    <n v="0"/>
    <n v="1.1499999999999999"/>
    <n v="0"/>
    <n v="10"/>
  </r>
  <r>
    <x v="6"/>
    <x v="34"/>
    <x v="349"/>
    <x v="356"/>
    <x v="4"/>
    <n v="12"/>
    <n v="50"/>
    <n v="12"/>
    <n v="284.5"/>
    <n v="0"/>
    <n v="0"/>
    <n v="0"/>
    <n v="50"/>
    <n v="50"/>
    <n v="284.5"/>
    <n v="1"/>
    <n v="0"/>
    <n v="0.18"/>
    <n v="0"/>
    <n v="-234.5"/>
  </r>
  <r>
    <x v="6"/>
    <x v="34"/>
    <x v="350"/>
    <x v="357"/>
    <x v="0"/>
    <n v="12"/>
    <n v="50"/>
    <n v="0"/>
    <n v="0"/>
    <n v="0"/>
    <n v="0"/>
    <n v="0"/>
    <n v="0"/>
    <n v="50"/>
    <n v="50"/>
    <n v="0"/>
    <n v="0"/>
    <n v="0"/>
    <n v="0"/>
    <n v="50"/>
  </r>
  <r>
    <x v="6"/>
    <x v="34"/>
    <x v="351"/>
    <x v="358"/>
    <x v="11"/>
    <n v="2459"/>
    <n v="6973"/>
    <n v="4186.8540000000003"/>
    <n v="3009.5"/>
    <n v="496.31400000000002"/>
    <n v="400"/>
    <n v="1407.4003749491665"/>
    <n v="11872.685214314763"/>
    <n v="6973"/>
    <n v="1767.5229420467012"/>
    <n v="1.7"/>
    <n v="3.52"/>
    <n v="3.95"/>
    <n v="398"/>
    <n v="3565.5"/>
  </r>
  <r>
    <x v="6"/>
    <x v="34"/>
    <x v="352"/>
    <x v="359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5"/>
    <x v="353"/>
    <x v="360"/>
    <x v="2"/>
    <n v="0"/>
    <n v="-0.5"/>
    <n v="0"/>
    <n v="0"/>
    <n v="0"/>
    <n v="0"/>
    <n v="0"/>
    <n v="0"/>
    <n v="0"/>
    <n v="0"/>
    <n v="0"/>
    <n v="0"/>
    <n v="0"/>
    <n v="0"/>
    <n v="-0.5"/>
  </r>
  <r>
    <x v="6"/>
    <x v="35"/>
    <x v="354"/>
    <x v="361"/>
    <x v="3"/>
    <n v="195"/>
    <n v="9106"/>
    <n v="62.204999999999998"/>
    <n v="2403.5"/>
    <n v="5.6550000000000002"/>
    <n v="236"/>
    <n v="264.07400000000001"/>
    <n v="2904.8139999999999"/>
    <n v="9106"/>
    <n v="7534.4827586206893"/>
    <n v="0.32"/>
    <n v="1.1200000000000001"/>
    <n v="1.21"/>
    <n v="236"/>
    <n v="6466.5"/>
  </r>
  <r>
    <x v="6"/>
    <x v="35"/>
    <x v="355"/>
    <x v="362"/>
    <x v="3"/>
    <n v="10"/>
    <n v="3750"/>
    <n v="5.75"/>
    <n v="1679.5"/>
    <n v="0.55000000000000004"/>
    <n v="192"/>
    <n v="206.25000000000003"/>
    <n v="2156.25"/>
    <n v="3750"/>
    <n v="2920.8695652173915"/>
    <n v="0.57999999999999996"/>
    <n v="1.07"/>
    <n v="1.28"/>
    <n v="192.5"/>
    <n v="1878"/>
  </r>
  <r>
    <x v="6"/>
    <x v="35"/>
    <x v="356"/>
    <x v="363"/>
    <x v="3"/>
    <n v="8"/>
    <n v="3000"/>
    <n v="6.4400000000000013"/>
    <n v="2229"/>
    <n v="0.64"/>
    <n v="232"/>
    <n v="240"/>
    <n v="2415.0000000000005"/>
    <n v="3000"/>
    <n v="2768.9440993788812"/>
    <n v="0.81"/>
    <n v="1.03"/>
    <n v="1.08"/>
    <n v="232"/>
    <n v="539"/>
  </r>
  <r>
    <x v="6"/>
    <x v="35"/>
    <x v="357"/>
    <x v="364"/>
    <x v="3"/>
    <n v="5"/>
    <n v="1875"/>
    <n v="2.6"/>
    <n v="798.5"/>
    <n v="0.65"/>
    <n v="211"/>
    <n v="243.75"/>
    <n v="975"/>
    <n v="1875"/>
    <n v="1535.5769230769231"/>
    <n v="0.52"/>
    <n v="1.1599999999999999"/>
    <n v="1.22"/>
    <n v="211.5"/>
    <n v="865"/>
  </r>
  <r>
    <x v="6"/>
    <x v="35"/>
    <x v="358"/>
    <x v="365"/>
    <x v="0"/>
    <n v="22"/>
    <n v="3441"/>
    <n v="10.119999999999999"/>
    <n v="746"/>
    <n v="0"/>
    <n v="0"/>
    <n v="0"/>
    <n v="1582.86"/>
    <n v="3441"/>
    <n v="1621.7391304347827"/>
    <n v="0.46"/>
    <n v="0"/>
    <n v="2.12"/>
    <n v="0"/>
    <n v="2695"/>
  </r>
  <r>
    <x v="6"/>
    <x v="35"/>
    <x v="359"/>
    <x v="366"/>
    <x v="3"/>
    <n v="29"/>
    <n v="4634"/>
    <n v="5.3069999999999986"/>
    <n v="609.5"/>
    <n v="1.827"/>
    <n v="265"/>
    <n v="291.94200000000001"/>
    <n v="848.02199999999971"/>
    <n v="4634"/>
    <n v="4634"/>
    <n v="0.18"/>
    <n v="1.1000000000000001"/>
    <n v="1.39"/>
    <n v="264.5"/>
    <n v="3760"/>
  </r>
  <r>
    <x v="6"/>
    <x v="35"/>
    <x v="360"/>
    <x v="367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1"/>
    <x v="25"/>
    <x v="368"/>
    <x v="0"/>
    <n v="288162"/>
    <n v="0.39000000000032742"/>
    <n v="0"/>
    <n v="0"/>
    <n v="0"/>
    <n v="0"/>
    <n v="0"/>
    <n v="0"/>
    <n v="0"/>
    <n v="0"/>
    <n v="0"/>
    <n v="0"/>
    <n v="0"/>
    <n v="0"/>
    <n v="0.39000000000032742"/>
  </r>
  <r>
    <x v="6"/>
    <x v="11"/>
    <x v="361"/>
    <x v="34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1"/>
    <x v="362"/>
    <x v="369"/>
    <x v="0"/>
    <n v="4167"/>
    <n v="9278.08"/>
    <n v="1834.47"/>
    <n v="2076.5"/>
    <n v="0"/>
    <n v="0"/>
    <n v="0"/>
    <n v="4084.5594954643625"/>
    <n v="9278.08"/>
    <n v="4716.7713290487172"/>
    <n v="0.44"/>
    <n v="0"/>
    <n v="1.97"/>
    <n v="0"/>
    <n v="7201.58"/>
  </r>
  <r>
    <x v="6"/>
    <x v="11"/>
    <x v="363"/>
    <x v="370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6"/>
    <x v="364"/>
    <x v="371"/>
    <x v="7"/>
    <n v="3397.62"/>
    <n v="32957"/>
    <n v="412.02000000000004"/>
    <n v="5467.5"/>
    <n v="0"/>
    <n v="951"/>
    <n v="0"/>
    <n v="3996.6044289826414"/>
    <n v="32957"/>
    <n v="32957"/>
    <n v="0.12"/>
    <n v="0"/>
    <n v="0.73"/>
    <n v="951"/>
    <n v="26538.5"/>
  </r>
  <r>
    <x v="6"/>
    <x v="36"/>
    <x v="365"/>
    <x v="372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37"/>
    <x v="366"/>
    <x v="373"/>
    <x v="6"/>
    <n v="7925"/>
    <n v="5030"/>
    <n v="4007.9159999999993"/>
    <n v="4223.5"/>
    <n v="325.82600000000002"/>
    <n v="341"/>
    <n v="206.80186498422714"/>
    <n v="2543.8255495268131"/>
    <n v="5030"/>
    <n v="8351.2821875508398"/>
    <n v="0.51"/>
    <n v="0.61"/>
    <n v="0.6"/>
    <n v="340"/>
    <n v="466.5"/>
  </r>
  <r>
    <x v="6"/>
    <x v="37"/>
    <x v="367"/>
    <x v="374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2"/>
    <x v="26"/>
    <x v="131"/>
    <x v="5"/>
    <n v="0"/>
    <n v="14879.6"/>
    <n v="0"/>
    <n v="12595"/>
    <n v="0"/>
    <n v="595"/>
    <n v="0"/>
    <n v="0"/>
    <n v="14879.6"/>
    <n v="14879.6"/>
    <n v="0"/>
    <n v="0"/>
    <n v="0"/>
    <n v="0"/>
    <n v="2284.6000000000004"/>
  </r>
  <r>
    <x v="6"/>
    <x v="12"/>
    <x v="27"/>
    <x v="27"/>
    <x v="5"/>
    <n v="0"/>
    <n v="53238"/>
    <n v="0"/>
    <n v="17371"/>
    <n v="0"/>
    <n v="1438"/>
    <n v="0"/>
    <n v="0"/>
    <n v="53238"/>
    <n v="53238"/>
    <n v="0"/>
    <n v="0"/>
    <n v="0"/>
    <n v="67.5"/>
    <n v="35799.5"/>
  </r>
  <r>
    <x v="6"/>
    <x v="12"/>
    <x v="28"/>
    <x v="28"/>
    <x v="5"/>
    <n v="0"/>
    <n v="19950"/>
    <n v="0"/>
    <n v="6264"/>
    <n v="0"/>
    <n v="215"/>
    <n v="0"/>
    <n v="0"/>
    <n v="19950"/>
    <n v="19950"/>
    <n v="0"/>
    <n v="0"/>
    <n v="0"/>
    <n v="215"/>
    <n v="13471"/>
  </r>
  <r>
    <x v="6"/>
    <x v="12"/>
    <x v="29"/>
    <x v="29"/>
    <x v="5"/>
    <n v="0"/>
    <n v="61275"/>
    <n v="0"/>
    <n v="14043.5"/>
    <n v="0"/>
    <n v="1003"/>
    <n v="0"/>
    <n v="0"/>
    <n v="61275"/>
    <n v="61275"/>
    <n v="0"/>
    <n v="0"/>
    <n v="0"/>
    <n v="513.5"/>
    <n v="46718"/>
  </r>
  <r>
    <x v="6"/>
    <x v="12"/>
    <x v="30"/>
    <x v="30"/>
    <x v="5"/>
    <n v="0"/>
    <n v="6669"/>
    <n v="0"/>
    <n v="1494"/>
    <n v="0"/>
    <n v="38"/>
    <n v="0"/>
    <n v="0"/>
    <n v="6669"/>
    <n v="6669"/>
    <n v="0"/>
    <n v="0"/>
    <n v="0"/>
    <n v="38"/>
    <n v="5137"/>
  </r>
  <r>
    <x v="6"/>
    <x v="12"/>
    <x v="31"/>
    <x v="375"/>
    <x v="5"/>
    <n v="0"/>
    <n v="1480"/>
    <n v="0"/>
    <n v="300"/>
    <n v="0"/>
    <n v="50"/>
    <n v="0"/>
    <n v="0"/>
    <n v="1480"/>
    <n v="1480"/>
    <n v="0"/>
    <n v="0"/>
    <n v="0"/>
    <n v="0"/>
    <n v="1180"/>
  </r>
  <r>
    <x v="6"/>
    <x v="12"/>
    <x v="368"/>
    <x v="376"/>
    <x v="2"/>
    <n v="0"/>
    <n v="1480.01"/>
    <n v="0"/>
    <n v="1050"/>
    <n v="0"/>
    <n v="0"/>
    <n v="0"/>
    <n v="0"/>
    <n v="1480.01"/>
    <n v="1480.01"/>
    <n v="0"/>
    <n v="0"/>
    <n v="0"/>
    <n v="0"/>
    <n v="430.01"/>
  </r>
  <r>
    <x v="6"/>
    <x v="13"/>
    <x v="33"/>
    <x v="33"/>
    <x v="5"/>
    <n v="0"/>
    <n v="27140"/>
    <n v="0"/>
    <n v="10715.5"/>
    <n v="0"/>
    <n v="398"/>
    <n v="0"/>
    <n v="0"/>
    <n v="27140"/>
    <n v="27140"/>
    <n v="0"/>
    <n v="0"/>
    <n v="0"/>
    <n v="397.5"/>
    <n v="16027"/>
  </r>
  <r>
    <x v="6"/>
    <x v="13"/>
    <x v="34"/>
    <x v="34"/>
    <x v="5"/>
    <n v="0"/>
    <n v="16644"/>
    <n v="0"/>
    <n v="12291"/>
    <n v="0"/>
    <n v="643"/>
    <n v="0"/>
    <n v="0"/>
    <n v="16644"/>
    <n v="16644"/>
    <n v="0"/>
    <n v="0"/>
    <n v="0"/>
    <n v="643"/>
    <n v="3710"/>
  </r>
  <r>
    <x v="6"/>
    <x v="13"/>
    <x v="35"/>
    <x v="35"/>
    <x v="5"/>
    <n v="0"/>
    <n v="37791"/>
    <n v="0"/>
    <n v="10467.5"/>
    <n v="0"/>
    <n v="239"/>
    <n v="0"/>
    <n v="0"/>
    <n v="37791"/>
    <n v="37791"/>
    <n v="0"/>
    <n v="0"/>
    <n v="0"/>
    <n v="238.5"/>
    <n v="27085"/>
  </r>
  <r>
    <x v="6"/>
    <x v="13"/>
    <x v="36"/>
    <x v="71"/>
    <x v="5"/>
    <n v="0"/>
    <n v="37620"/>
    <n v="0"/>
    <n v="14223.5"/>
    <n v="0"/>
    <n v="683"/>
    <n v="0"/>
    <n v="0"/>
    <n v="37620"/>
    <n v="37620"/>
    <n v="0"/>
    <n v="0"/>
    <n v="0"/>
    <n v="683"/>
    <n v="22713.5"/>
  </r>
  <r>
    <x v="6"/>
    <x v="13"/>
    <x v="89"/>
    <x v="377"/>
    <x v="5"/>
    <n v="0"/>
    <n v="100719"/>
    <n v="0"/>
    <n v="26422.5"/>
    <n v="0"/>
    <n v="1335"/>
    <n v="0"/>
    <n v="0"/>
    <n v="100719"/>
    <n v="100719"/>
    <n v="0"/>
    <n v="0"/>
    <n v="0"/>
    <n v="1335.5"/>
    <n v="72961"/>
  </r>
  <r>
    <x v="6"/>
    <x v="13"/>
    <x v="37"/>
    <x v="37"/>
    <x v="5"/>
    <n v="0"/>
    <n v="3306"/>
    <n v="0"/>
    <n v="1472"/>
    <n v="0"/>
    <n v="61"/>
    <n v="0"/>
    <n v="0"/>
    <n v="3306"/>
    <n v="3306"/>
    <n v="0"/>
    <n v="0"/>
    <n v="0"/>
    <n v="61"/>
    <n v="1773"/>
  </r>
  <r>
    <x v="6"/>
    <x v="13"/>
    <x v="38"/>
    <x v="38"/>
    <x v="5"/>
    <n v="0"/>
    <n v="8820"/>
    <n v="0"/>
    <n v="1773.5"/>
    <n v="0"/>
    <n v="15"/>
    <n v="0"/>
    <n v="0"/>
    <n v="8820"/>
    <n v="8820"/>
    <n v="0"/>
    <n v="0"/>
    <n v="0"/>
    <n v="15"/>
    <n v="7031.5"/>
  </r>
  <r>
    <x v="6"/>
    <x v="14"/>
    <x v="43"/>
    <x v="43"/>
    <x v="2"/>
    <n v="0"/>
    <n v="4000"/>
    <n v="0"/>
    <n v="716.5"/>
    <n v="0"/>
    <n v="0"/>
    <n v="0"/>
    <n v="0"/>
    <n v="4000"/>
    <n v="4000"/>
    <n v="0"/>
    <n v="0"/>
    <n v="0"/>
    <n v="0"/>
    <n v="3283.5"/>
  </r>
  <r>
    <x v="6"/>
    <x v="16"/>
    <x v="369"/>
    <x v="378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6"/>
    <x v="120"/>
    <x v="137"/>
    <x v="2"/>
    <n v="0"/>
    <n v="500.01"/>
    <n v="0"/>
    <n v="324"/>
    <n v="0"/>
    <n v="0"/>
    <n v="0"/>
    <n v="0"/>
    <n v="500.01"/>
    <n v="500.01"/>
    <n v="0"/>
    <n v="0"/>
    <n v="0"/>
    <n v="0"/>
    <n v="176.01"/>
  </r>
  <r>
    <x v="6"/>
    <x v="16"/>
    <x v="370"/>
    <x v="379"/>
    <x v="2"/>
    <n v="0"/>
    <n v="1.0000000009313226E-2"/>
    <n v="0"/>
    <n v="0"/>
    <n v="0"/>
    <n v="0"/>
    <n v="0"/>
    <n v="0"/>
    <n v="0"/>
    <n v="0"/>
    <n v="0"/>
    <n v="0"/>
    <n v="0"/>
    <n v="0"/>
    <n v="1.0000000009313226E-2"/>
  </r>
  <r>
    <x v="6"/>
    <x v="16"/>
    <x v="121"/>
    <x v="380"/>
    <x v="2"/>
    <n v="0"/>
    <n v="300"/>
    <n v="0"/>
    <n v="300"/>
    <n v="0"/>
    <n v="0"/>
    <n v="0"/>
    <n v="0"/>
    <n v="300"/>
    <n v="300"/>
    <n v="0"/>
    <n v="0"/>
    <n v="0"/>
    <n v="0"/>
    <n v="0"/>
  </r>
  <r>
    <x v="6"/>
    <x v="16"/>
    <x v="51"/>
    <x v="381"/>
    <x v="2"/>
    <n v="0"/>
    <n v="2"/>
    <n v="0"/>
    <n v="2"/>
    <n v="0"/>
    <n v="0"/>
    <n v="0"/>
    <n v="0"/>
    <n v="2"/>
    <n v="2"/>
    <n v="0"/>
    <n v="0"/>
    <n v="0"/>
    <n v="0"/>
    <n v="0"/>
  </r>
  <r>
    <x v="6"/>
    <x v="16"/>
    <x v="122"/>
    <x v="382"/>
    <x v="2"/>
    <n v="0"/>
    <n v="1155.5"/>
    <n v="0"/>
    <n v="1155.5"/>
    <n v="0"/>
    <n v="0"/>
    <n v="0"/>
    <n v="0"/>
    <n v="1155.5"/>
    <n v="1155.5"/>
    <n v="0"/>
    <n v="0"/>
    <n v="0"/>
    <n v="0"/>
    <n v="0"/>
  </r>
  <r>
    <x v="6"/>
    <x v="16"/>
    <x v="123"/>
    <x v="383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6"/>
    <x v="52"/>
    <x v="384"/>
    <x v="2"/>
    <n v="0"/>
    <n v="28373"/>
    <n v="0"/>
    <n v="0"/>
    <n v="0"/>
    <n v="0"/>
    <n v="0"/>
    <n v="0"/>
    <n v="28373"/>
    <n v="28373"/>
    <n v="0"/>
    <n v="0"/>
    <n v="0"/>
    <n v="0"/>
    <n v="28373"/>
  </r>
  <r>
    <x v="6"/>
    <x v="16"/>
    <x v="371"/>
    <x v="385"/>
    <x v="2"/>
    <n v="0"/>
    <n v="0"/>
    <n v="0"/>
    <n v="0"/>
    <n v="0"/>
    <n v="0"/>
    <n v="0"/>
    <n v="0"/>
    <n v="351697"/>
    <n v="351697"/>
    <n v="0"/>
    <n v="0"/>
    <n v="0"/>
    <n v="0"/>
    <n v="0"/>
  </r>
  <r>
    <x v="6"/>
    <x v="17"/>
    <x v="68"/>
    <x v="386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7"/>
    <x v="372"/>
    <x v="387"/>
    <x v="2"/>
    <n v="0"/>
    <n v="744"/>
    <n v="0"/>
    <n v="744"/>
    <n v="0"/>
    <n v="0"/>
    <n v="0"/>
    <n v="0"/>
    <n v="744"/>
    <n v="744"/>
    <n v="0"/>
    <n v="0"/>
    <n v="0"/>
    <n v="0"/>
    <n v="0"/>
  </r>
  <r>
    <x v="6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6"/>
    <x v="17"/>
    <x v="71"/>
    <x v="388"/>
    <x v="2"/>
    <n v="0"/>
    <n v="1726.5"/>
    <n v="0"/>
    <n v="1726.5"/>
    <n v="0"/>
    <n v="0"/>
    <n v="0"/>
    <n v="0"/>
    <n v="1726.5"/>
    <n v="1726.5"/>
    <n v="0"/>
    <n v="0"/>
    <n v="0"/>
    <n v="0"/>
    <n v="0"/>
  </r>
  <r>
    <x v="6"/>
    <x v="17"/>
    <x v="186"/>
    <x v="389"/>
    <x v="5"/>
    <n v="0"/>
    <n v="6900"/>
    <n v="0"/>
    <n v="585"/>
    <n v="0"/>
    <n v="542"/>
    <n v="0"/>
    <n v="0"/>
    <n v="6900"/>
    <n v="6900"/>
    <n v="0"/>
    <n v="0"/>
    <n v="0"/>
    <n v="545"/>
    <n v="5770"/>
  </r>
  <r>
    <x v="6"/>
    <x v="17"/>
    <x v="373"/>
    <x v="390"/>
    <x v="5"/>
    <n v="0"/>
    <n v="0"/>
    <n v="0"/>
    <n v="1319"/>
    <n v="0"/>
    <n v="572"/>
    <n v="0"/>
    <n v="0"/>
    <n v="0"/>
    <n v="0"/>
    <n v="0"/>
    <n v="0"/>
    <n v="0"/>
    <n v="571.5"/>
    <n v="-1890.5"/>
  </r>
  <r>
    <x v="6"/>
    <x v="17"/>
    <x v="374"/>
    <x v="391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19"/>
    <x v="90"/>
    <x v="392"/>
    <x v="3"/>
    <n v="30882"/>
    <n v="10261.780000000001"/>
    <n v="20382.12"/>
    <n v="6473"/>
    <n v="1235.28"/>
    <n v="515"/>
    <n v="410.47120000000001"/>
    <n v="6772.7747999999992"/>
    <n v="10261.780000000001"/>
    <n v="9807.575757575758"/>
    <n v="0.66"/>
    <n v="0.8"/>
    <n v="1.05"/>
    <n v="516.5"/>
    <n v="3272.2800000000007"/>
  </r>
  <r>
    <x v="7"/>
    <x v="21"/>
    <x v="91"/>
    <x v="393"/>
    <x v="3"/>
    <n v="235355"/>
    <n v="15168.58"/>
    <n v="115323.95000000001"/>
    <n v="6676"/>
    <n v="5883.875"/>
    <n v="535"/>
    <n v="379.21450000000004"/>
    <n v="7432.6042000000007"/>
    <n v="15168.58"/>
    <n v="13624.489795918365"/>
    <n v="0.49"/>
    <n v="0.71"/>
    <n v="1.1100000000000001"/>
    <n v="536"/>
    <n v="7956.58"/>
  </r>
  <r>
    <x v="7"/>
    <x v="22"/>
    <x v="92"/>
    <x v="394"/>
    <x v="3"/>
    <n v="2983"/>
    <n v="3089.55"/>
    <n v="357.96000000000004"/>
    <n v="416.5"/>
    <n v="149.15"/>
    <n v="243"/>
    <n v="154.47750000000002"/>
    <n v="370.74600000000004"/>
    <n v="3089.55"/>
    <n v="3089.55"/>
    <n v="0.12"/>
    <n v="0.64"/>
    <n v="0.89"/>
    <n v="244"/>
    <n v="2429.0500000000002"/>
  </r>
  <r>
    <x v="7"/>
    <x v="20"/>
    <x v="95"/>
    <x v="395"/>
    <x v="3"/>
    <n v="1630"/>
    <n v="18483.64"/>
    <n v="1124.7"/>
    <n v="9531"/>
    <n v="32.6"/>
    <n v="398"/>
    <n v="369.6728"/>
    <n v="12753.711600000001"/>
    <n v="18483.64"/>
    <n v="13813.043478260868"/>
    <n v="0.69"/>
    <n v="0.93"/>
    <n v="1.34"/>
    <n v="399"/>
    <n v="8553.64"/>
  </r>
  <r>
    <x v="7"/>
    <x v="20"/>
    <x v="97"/>
    <x v="396"/>
    <x v="6"/>
    <n v="3695"/>
    <n v="9111.3700000000008"/>
    <n v="3140.7499999999995"/>
    <n v="8191.5"/>
    <n v="73.900000000000006"/>
    <n v="239"/>
    <n v="182.22740000000002"/>
    <n v="7744.6644999999999"/>
    <n v="9111.3700000000008"/>
    <n v="9637.0588235294126"/>
    <n v="0.85"/>
    <n v="0.76"/>
    <n v="0.95"/>
    <n v="238.5"/>
    <n v="681.3700000000008"/>
  </r>
  <r>
    <x v="7"/>
    <x v="20"/>
    <x v="375"/>
    <x v="397"/>
    <x v="7"/>
    <n v="269"/>
    <n v="2719.6"/>
    <n v="0"/>
    <n v="24"/>
    <n v="0"/>
    <n v="24"/>
    <n v="0"/>
    <n v="0"/>
    <n v="2719.6"/>
    <n v="2719.6"/>
    <n v="0"/>
    <n v="0"/>
    <n v="0"/>
    <n v="24"/>
    <n v="2671.6"/>
  </r>
  <r>
    <x v="7"/>
    <x v="18"/>
    <x v="56"/>
    <x v="398"/>
    <x v="0"/>
    <n v="15"/>
    <n v="619.25"/>
    <n v="0"/>
    <n v="166"/>
    <n v="0"/>
    <n v="0"/>
    <n v="0"/>
    <n v="0"/>
    <n v="619.25"/>
    <n v="619.25"/>
    <n v="0"/>
    <n v="0"/>
    <n v="0"/>
    <n v="0"/>
    <n v="453.25"/>
  </r>
  <r>
    <x v="7"/>
    <x v="18"/>
    <x v="100"/>
    <x v="399"/>
    <x v="6"/>
    <n v="114"/>
    <n v="1029"/>
    <n v="74.099999999999994"/>
    <n v="1009"/>
    <n v="22.8"/>
    <n v="484"/>
    <n v="205.8"/>
    <n v="668.84999999999991"/>
    <n v="1029"/>
    <n v="1552.3076923076926"/>
    <n v="0.65"/>
    <n v="0.43"/>
    <n v="0.66"/>
    <n v="486.5"/>
    <n v="-466.5"/>
  </r>
  <r>
    <x v="7"/>
    <x v="18"/>
    <x v="101"/>
    <x v="400"/>
    <x v="0"/>
    <n v="155"/>
    <n v="1818"/>
    <n v="155"/>
    <n v="171"/>
    <n v="0"/>
    <n v="0"/>
    <n v="0"/>
    <n v="1818"/>
    <n v="1818"/>
    <n v="171"/>
    <n v="1"/>
    <n v="0"/>
    <n v="10.63"/>
    <n v="0"/>
    <n v="1647"/>
  </r>
  <r>
    <x v="7"/>
    <x v="24"/>
    <x v="102"/>
    <x v="401"/>
    <x v="6"/>
    <n v="4708"/>
    <n v="4725"/>
    <n v="2401.08"/>
    <n v="2446.5"/>
    <n v="376.64"/>
    <n v="329"/>
    <n v="378"/>
    <n v="2409.75"/>
    <n v="4725"/>
    <n v="4797.0588235294117"/>
    <n v="0.51"/>
    <n v="1.1499999999999999"/>
    <n v="0.98"/>
    <n v="330"/>
    <n v="1948.5"/>
  </r>
  <r>
    <x v="7"/>
    <x v="0"/>
    <x v="0"/>
    <x v="402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0"/>
    <x v="105"/>
    <x v="403"/>
    <x v="3"/>
    <n v="1336"/>
    <n v="24270.29"/>
    <n v="507.68"/>
    <n v="8007"/>
    <n v="106.88"/>
    <n v="911"/>
    <n v="1941.6232"/>
    <n v="9222.7101999999995"/>
    <n v="24270.29"/>
    <n v="21071.052631578947"/>
    <n v="0.38"/>
    <n v="2.13"/>
    <n v="1.1499999999999999"/>
    <n v="909"/>
    <n v="15354.29"/>
  </r>
  <r>
    <x v="7"/>
    <x v="0"/>
    <x v="106"/>
    <x v="404"/>
    <x v="12"/>
    <n v="589"/>
    <n v="11024"/>
    <n v="589"/>
    <n v="6633"/>
    <n v="0"/>
    <n v="234"/>
    <n v="0"/>
    <n v="11024"/>
    <n v="11024"/>
    <n v="6633"/>
    <n v="1"/>
    <n v="0"/>
    <n v="1.66"/>
    <n v="260"/>
    <n v="4131"/>
  </r>
  <r>
    <x v="7"/>
    <x v="0"/>
    <x v="108"/>
    <x v="405"/>
    <x v="2"/>
    <n v="0"/>
    <n v="0"/>
    <n v="0"/>
    <n v="0"/>
    <n v="0"/>
    <n v="-5949"/>
    <n v="0"/>
    <n v="0"/>
    <n v="0"/>
    <n v="0"/>
    <n v="0"/>
    <n v="0"/>
    <n v="0"/>
    <n v="0"/>
    <n v="0"/>
  </r>
  <r>
    <x v="7"/>
    <x v="0"/>
    <x v="376"/>
    <x v="406"/>
    <x v="2"/>
    <n v="0"/>
    <n v="0"/>
    <n v="0"/>
    <n v="94.5"/>
    <n v="0"/>
    <n v="0"/>
    <n v="0"/>
    <n v="0"/>
    <n v="0"/>
    <n v="0"/>
    <n v="0"/>
    <n v="0"/>
    <n v="0"/>
    <n v="0"/>
    <n v="-94.5"/>
  </r>
  <r>
    <x v="7"/>
    <x v="2"/>
    <x v="87"/>
    <x v="407"/>
    <x v="1"/>
    <n v="768"/>
    <n v="11868"/>
    <n v="7.68"/>
    <n v="72"/>
    <n v="3.84"/>
    <n v="0"/>
    <n v="59.34"/>
    <n v="118.68"/>
    <n v="11868"/>
    <n v="11868"/>
    <n v="0.01"/>
    <n v="0"/>
    <n v="1.65"/>
    <n v="0"/>
    <n v="11796"/>
  </r>
  <r>
    <x v="7"/>
    <x v="2"/>
    <x v="377"/>
    <x v="408"/>
    <x v="3"/>
    <n v="534"/>
    <n v="5440"/>
    <n v="8.01"/>
    <n v="84"/>
    <n v="6.4079999999999995"/>
    <n v="72"/>
    <n v="65.279999999999987"/>
    <n v="81.599999999999994"/>
    <n v="5440"/>
    <n v="5440"/>
    <n v="0.02"/>
    <n v="0.91"/>
    <n v="0.97"/>
    <n v="72"/>
    <n v="5284"/>
  </r>
  <r>
    <x v="7"/>
    <x v="2"/>
    <x v="378"/>
    <x v="409"/>
    <x v="3"/>
    <n v="48"/>
    <n v="8880"/>
    <n v="7.2"/>
    <n v="909"/>
    <n v="1.44"/>
    <n v="287"/>
    <n v="266.39999999999998"/>
    <n v="1332"/>
    <n v="8880"/>
    <n v="8880"/>
    <n v="0.15"/>
    <n v="0.93"/>
    <n v="1.47"/>
    <n v="288"/>
    <n v="7683"/>
  </r>
  <r>
    <x v="7"/>
    <x v="3"/>
    <x v="9"/>
    <x v="410"/>
    <x v="2"/>
    <n v="0"/>
    <n v="171.7899999999936"/>
    <n v="0"/>
    <n v="0"/>
    <n v="0"/>
    <n v="0"/>
    <n v="0"/>
    <n v="0"/>
    <n v="114697.5"/>
    <n v="114697.5"/>
    <n v="0"/>
    <n v="0"/>
    <n v="0"/>
    <n v="0"/>
    <n v="171.7899999999936"/>
  </r>
  <r>
    <x v="7"/>
    <x v="3"/>
    <x v="111"/>
    <x v="411"/>
    <x v="6"/>
    <n v="60267"/>
    <n v="47318.15"/>
    <n v="30133.5"/>
    <n v="27433.5"/>
    <n v="30133.5"/>
    <n v="5739"/>
    <n v="23659.075000000001"/>
    <n v="23659.075000000001"/>
    <n v="47318.15"/>
    <n v="54867"/>
    <n v="0.5"/>
    <n v="4.12"/>
    <n v="0.86"/>
    <n v="5700"/>
    <n v="14184.650000000001"/>
  </r>
  <r>
    <x v="7"/>
    <x v="3"/>
    <x v="112"/>
    <x v="412"/>
    <x v="3"/>
    <n v="60267"/>
    <n v="106753.7"/>
    <n v="4821.3599999999997"/>
    <n v="8102"/>
    <n v="4821.3599999999997"/>
    <n v="4218"/>
    <n v="8540.2959999999985"/>
    <n v="8540.2959999999985"/>
    <n v="106753.7"/>
    <n v="106753.7"/>
    <n v="0.08"/>
    <n v="2.02"/>
    <n v="1.05"/>
    <n v="4219"/>
    <n v="94432.7"/>
  </r>
  <r>
    <x v="7"/>
    <x v="4"/>
    <x v="114"/>
    <x v="413"/>
    <x v="2"/>
    <n v="0"/>
    <n v="-46.339999999996508"/>
    <n v="0"/>
    <n v="0"/>
    <n v="0"/>
    <n v="0"/>
    <n v="0"/>
    <n v="0"/>
    <n v="43331.8"/>
    <n v="43331.8"/>
    <n v="0"/>
    <n v="0"/>
    <n v="0"/>
    <n v="0"/>
    <n v="-46.339999999996508"/>
  </r>
  <r>
    <x v="7"/>
    <x v="4"/>
    <x v="115"/>
    <x v="414"/>
    <x v="3"/>
    <n v="15409"/>
    <n v="53553.39"/>
    <n v="77.045000000000002"/>
    <n v="240.5"/>
    <n v="77.045000000000002"/>
    <n v="120"/>
    <n v="267.76695000000001"/>
    <n v="267.76695000000001"/>
    <n v="53553.39"/>
    <n v="53553.39"/>
    <n v="0.01"/>
    <n v="2.23"/>
    <n v="1.1100000000000001"/>
    <n v="120"/>
    <n v="53192.89"/>
  </r>
  <r>
    <x v="7"/>
    <x v="5"/>
    <x v="14"/>
    <x v="415"/>
    <x v="0"/>
    <n v="26"/>
    <n v="1222"/>
    <n v="0"/>
    <n v="0"/>
    <n v="0"/>
    <n v="0"/>
    <n v="0"/>
    <n v="0"/>
    <n v="1222"/>
    <n v="1222"/>
    <n v="0"/>
    <n v="0"/>
    <n v="0"/>
    <n v="0"/>
    <n v="1222"/>
  </r>
  <r>
    <x v="7"/>
    <x v="6"/>
    <x v="116"/>
    <x v="416"/>
    <x v="2"/>
    <n v="0"/>
    <n v="5.9999999999490683E-2"/>
    <n v="0"/>
    <n v="0"/>
    <n v="0"/>
    <n v="0"/>
    <n v="0"/>
    <n v="0"/>
    <n v="0"/>
    <n v="0"/>
    <n v="0"/>
    <n v="0"/>
    <n v="0"/>
    <n v="0"/>
    <n v="5.9999999999490683E-2"/>
  </r>
  <r>
    <x v="7"/>
    <x v="7"/>
    <x v="18"/>
    <x v="417"/>
    <x v="0"/>
    <n v="6456"/>
    <n v="17259.82"/>
    <n v="0"/>
    <n v="0"/>
    <n v="0"/>
    <n v="0"/>
    <n v="0"/>
    <n v="0"/>
    <n v="17259.82"/>
    <n v="17259.82"/>
    <n v="0"/>
    <n v="0"/>
    <n v="0"/>
    <n v="0"/>
    <n v="17259.82"/>
  </r>
  <r>
    <x v="7"/>
    <x v="7"/>
    <x v="117"/>
    <x v="418"/>
    <x v="5"/>
    <n v="0"/>
    <n v="0"/>
    <n v="0"/>
    <n v="7039.5"/>
    <n v="0"/>
    <n v="3021"/>
    <n v="0"/>
    <n v="0"/>
    <n v="1108.5"/>
    <n v="1108.5"/>
    <n v="0"/>
    <n v="0"/>
    <n v="0"/>
    <n v="3021"/>
    <n v="-10060.5"/>
  </r>
  <r>
    <x v="7"/>
    <x v="9"/>
    <x v="118"/>
    <x v="419"/>
    <x v="0"/>
    <n v="2873"/>
    <n v="2370.19"/>
    <n v="0"/>
    <n v="0"/>
    <n v="0"/>
    <n v="0"/>
    <n v="0"/>
    <n v="0"/>
    <n v="2370.19"/>
    <n v="2370.19"/>
    <n v="0"/>
    <n v="0"/>
    <n v="0"/>
    <n v="0"/>
    <n v="2370.19"/>
  </r>
  <r>
    <x v="7"/>
    <x v="11"/>
    <x v="379"/>
    <x v="420"/>
    <x v="0"/>
    <n v="18761"/>
    <n v="18573.16"/>
    <n v="0"/>
    <n v="0"/>
    <n v="0"/>
    <n v="0"/>
    <n v="0"/>
    <n v="0"/>
    <n v="18573.16"/>
    <n v="18573.16"/>
    <n v="0"/>
    <n v="0"/>
    <n v="0"/>
    <n v="0"/>
    <n v="18573.16"/>
  </r>
  <r>
    <x v="7"/>
    <x v="11"/>
    <x v="380"/>
    <x v="421"/>
    <x v="2"/>
    <n v="0"/>
    <n v="3456"/>
    <n v="0"/>
    <n v="0"/>
    <n v="0"/>
    <n v="0"/>
    <n v="0"/>
    <n v="0"/>
    <n v="3456"/>
    <n v="3456"/>
    <n v="0"/>
    <n v="0"/>
    <n v="0"/>
    <n v="0"/>
    <n v="3456"/>
  </r>
  <r>
    <x v="7"/>
    <x v="12"/>
    <x v="26"/>
    <x v="422"/>
    <x v="5"/>
    <n v="0"/>
    <n v="4257.9799999999996"/>
    <n v="0"/>
    <n v="1612"/>
    <n v="0"/>
    <n v="285"/>
    <n v="0"/>
    <n v="0"/>
    <n v="4257.9799999999996"/>
    <n v="4257.9799999999996"/>
    <n v="0"/>
    <n v="0"/>
    <n v="0"/>
    <n v="0"/>
    <n v="2645.9799999999996"/>
  </r>
  <r>
    <x v="7"/>
    <x v="12"/>
    <x v="27"/>
    <x v="423"/>
    <x v="5"/>
    <n v="0"/>
    <n v="29904"/>
    <n v="0"/>
    <n v="5435"/>
    <n v="0"/>
    <n v="894"/>
    <n v="0"/>
    <n v="0"/>
    <n v="29904"/>
    <n v="29904"/>
    <n v="0"/>
    <n v="0"/>
    <n v="0"/>
    <n v="40"/>
    <n v="24429"/>
  </r>
  <r>
    <x v="7"/>
    <x v="12"/>
    <x v="28"/>
    <x v="424"/>
    <x v="5"/>
    <n v="0"/>
    <n v="9828"/>
    <n v="0"/>
    <n v="433.5"/>
    <n v="0"/>
    <n v="102"/>
    <n v="0"/>
    <n v="0"/>
    <n v="9828"/>
    <n v="9828"/>
    <n v="0"/>
    <n v="0"/>
    <n v="0"/>
    <n v="102"/>
    <n v="9292.5"/>
  </r>
  <r>
    <x v="7"/>
    <x v="12"/>
    <x v="29"/>
    <x v="425"/>
    <x v="5"/>
    <n v="0"/>
    <n v="34188"/>
    <n v="0"/>
    <n v="4476.5"/>
    <n v="0"/>
    <n v="1472"/>
    <n v="0"/>
    <n v="0"/>
    <n v="34188"/>
    <n v="34188"/>
    <n v="0"/>
    <n v="0"/>
    <n v="0"/>
    <n v="437"/>
    <n v="29274.5"/>
  </r>
  <r>
    <x v="7"/>
    <x v="12"/>
    <x v="30"/>
    <x v="426"/>
    <x v="5"/>
    <n v="0"/>
    <n v="2184"/>
    <n v="0"/>
    <n v="270"/>
    <n v="0"/>
    <n v="94"/>
    <n v="0"/>
    <n v="0"/>
    <n v="2184"/>
    <n v="2184"/>
    <n v="0"/>
    <n v="0"/>
    <n v="0"/>
    <n v="43.5"/>
    <n v="1870.5"/>
  </r>
  <r>
    <x v="7"/>
    <x v="12"/>
    <x v="381"/>
    <x v="427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13"/>
    <x v="33"/>
    <x v="428"/>
    <x v="5"/>
    <n v="0"/>
    <n v="12516"/>
    <n v="0"/>
    <n v="3456.5"/>
    <n v="0"/>
    <n v="484"/>
    <n v="0"/>
    <n v="0"/>
    <n v="12516"/>
    <n v="12516"/>
    <n v="0"/>
    <n v="0"/>
    <n v="0"/>
    <n v="484.5"/>
    <n v="8575"/>
  </r>
  <r>
    <x v="7"/>
    <x v="13"/>
    <x v="34"/>
    <x v="429"/>
    <x v="5"/>
    <n v="0"/>
    <n v="4368"/>
    <n v="0"/>
    <n v="4475.5"/>
    <n v="0"/>
    <n v="57"/>
    <n v="0"/>
    <n v="0"/>
    <n v="5368"/>
    <n v="5368"/>
    <n v="0"/>
    <n v="0"/>
    <n v="0"/>
    <n v="58.5"/>
    <n v="-166"/>
  </r>
  <r>
    <x v="7"/>
    <x v="13"/>
    <x v="35"/>
    <x v="430"/>
    <x v="5"/>
    <n v="0"/>
    <n v="15288"/>
    <n v="0"/>
    <n v="17667.5"/>
    <n v="0"/>
    <n v="1143"/>
    <n v="0"/>
    <n v="0"/>
    <n v="15288"/>
    <n v="15288"/>
    <n v="0"/>
    <n v="0"/>
    <n v="0"/>
    <n v="1141"/>
    <n v="-3520.5"/>
  </r>
  <r>
    <x v="7"/>
    <x v="13"/>
    <x v="36"/>
    <x v="431"/>
    <x v="5"/>
    <n v="0"/>
    <n v="12768"/>
    <n v="0"/>
    <n v="15639.5"/>
    <n v="0"/>
    <n v="1267"/>
    <n v="0"/>
    <n v="0"/>
    <n v="12768"/>
    <n v="12768"/>
    <n v="0"/>
    <n v="0"/>
    <n v="0"/>
    <n v="1268"/>
    <n v="-4139.5"/>
  </r>
  <r>
    <x v="7"/>
    <x v="13"/>
    <x v="89"/>
    <x v="432"/>
    <x v="2"/>
    <n v="0"/>
    <n v="4368"/>
    <n v="0"/>
    <n v="10016.5"/>
    <n v="0"/>
    <n v="0"/>
    <n v="0"/>
    <n v="0"/>
    <n v="8000"/>
    <n v="8000"/>
    <n v="0"/>
    <n v="0"/>
    <n v="0"/>
    <n v="0"/>
    <n v="-5648.5"/>
  </r>
  <r>
    <x v="7"/>
    <x v="13"/>
    <x v="37"/>
    <x v="433"/>
    <x v="5"/>
    <n v="0"/>
    <n v="4368"/>
    <n v="0"/>
    <n v="1096.5"/>
    <n v="0"/>
    <n v="13"/>
    <n v="0"/>
    <n v="0"/>
    <n v="4368"/>
    <n v="4368"/>
    <n v="0"/>
    <n v="0"/>
    <n v="0"/>
    <n v="13"/>
    <n v="3258.5"/>
  </r>
  <r>
    <x v="7"/>
    <x v="13"/>
    <x v="38"/>
    <x v="434"/>
    <x v="2"/>
    <n v="0"/>
    <n v="0"/>
    <n v="0"/>
    <n v="25"/>
    <n v="0"/>
    <n v="0"/>
    <n v="0"/>
    <n v="0"/>
    <n v="0"/>
    <n v="0"/>
    <n v="0"/>
    <n v="0"/>
    <n v="0"/>
    <n v="0"/>
    <n v="-25"/>
  </r>
  <r>
    <x v="7"/>
    <x v="13"/>
    <x v="39"/>
    <x v="435"/>
    <x v="2"/>
    <n v="0"/>
    <n v="350"/>
    <n v="0"/>
    <n v="26"/>
    <n v="0"/>
    <n v="0"/>
    <n v="0"/>
    <n v="0"/>
    <n v="350"/>
    <n v="350"/>
    <n v="0"/>
    <n v="0"/>
    <n v="0"/>
    <n v="0"/>
    <n v="324"/>
  </r>
  <r>
    <x v="7"/>
    <x v="14"/>
    <x v="43"/>
    <x v="436"/>
    <x v="2"/>
    <n v="0"/>
    <n v="900"/>
    <n v="0"/>
    <n v="0"/>
    <n v="0"/>
    <n v="0"/>
    <n v="0"/>
    <n v="0"/>
    <n v="900"/>
    <n v="900"/>
    <n v="0"/>
    <n v="0"/>
    <n v="0"/>
    <n v="0"/>
    <n v="900"/>
  </r>
  <r>
    <x v="7"/>
    <x v="15"/>
    <x v="44"/>
    <x v="134"/>
    <x v="2"/>
    <n v="0"/>
    <n v="0"/>
    <n v="0"/>
    <n v="0"/>
    <n v="0"/>
    <n v="0"/>
    <n v="0"/>
    <n v="0"/>
    <n v="0"/>
    <n v="0"/>
    <n v="0"/>
    <n v="0"/>
    <n v="0"/>
    <n v="0"/>
    <n v="0"/>
  </r>
  <r>
    <x v="7"/>
    <x v="38"/>
    <x v="382"/>
    <x v="437"/>
    <x v="2"/>
    <n v="0"/>
    <n v="0"/>
    <n v="0"/>
    <n v="251"/>
    <n v="0"/>
    <n v="0"/>
    <n v="0"/>
    <n v="0"/>
    <n v="0"/>
    <n v="0"/>
    <n v="0"/>
    <n v="0"/>
    <n v="0"/>
    <n v="0"/>
    <n v="-251"/>
  </r>
  <r>
    <x v="7"/>
    <x v="16"/>
    <x v="120"/>
    <x v="438"/>
    <x v="2"/>
    <n v="0"/>
    <n v="0"/>
    <n v="0"/>
    <n v="44"/>
    <n v="0"/>
    <n v="0"/>
    <n v="0"/>
    <n v="0"/>
    <n v="0"/>
    <n v="0"/>
    <n v="0"/>
    <n v="0"/>
    <n v="0"/>
    <n v="0"/>
    <n v="-44"/>
  </r>
  <r>
    <x v="7"/>
    <x v="16"/>
    <x v="121"/>
    <x v="439"/>
    <x v="2"/>
    <n v="0"/>
    <n v="0"/>
    <n v="0"/>
    <n v="1796.5"/>
    <n v="0"/>
    <n v="0"/>
    <n v="0"/>
    <n v="0"/>
    <n v="0"/>
    <n v="0"/>
    <n v="0"/>
    <n v="0"/>
    <n v="0"/>
    <n v="0"/>
    <n v="-1796.5"/>
  </r>
  <r>
    <x v="7"/>
    <x v="16"/>
    <x v="383"/>
    <x v="440"/>
    <x v="3"/>
    <n v="668"/>
    <n v="25119.82"/>
    <n v="227.11999999999998"/>
    <n v="5027.5"/>
    <n v="5.01"/>
    <n v="135"/>
    <n v="188.39865"/>
    <n v="8540.7387999999992"/>
    <n v="25119.82"/>
    <n v="14786.764705882355"/>
    <n v="0.34"/>
    <n v="1.4"/>
    <n v="1.7"/>
    <n v="135.5"/>
    <n v="19956.82"/>
  </r>
  <r>
    <x v="7"/>
    <x v="16"/>
    <x v="384"/>
    <x v="441"/>
    <x v="0"/>
    <n v="1928"/>
    <n v="7253.28"/>
    <n v="1928"/>
    <n v="4597.5"/>
    <n v="0"/>
    <n v="0"/>
    <n v="0"/>
    <n v="7253.28"/>
    <n v="7253.28"/>
    <n v="4597.5"/>
    <n v="1"/>
    <n v="0"/>
    <n v="1.58"/>
    <n v="0"/>
    <n v="2655.7799999999997"/>
  </r>
  <r>
    <x v="7"/>
    <x v="16"/>
    <x v="385"/>
    <x v="442"/>
    <x v="2"/>
    <n v="0"/>
    <n v="200"/>
    <n v="0"/>
    <n v="0"/>
    <n v="0"/>
    <n v="0"/>
    <n v="0"/>
    <n v="0"/>
    <n v="200"/>
    <n v="200"/>
    <n v="0"/>
    <n v="0"/>
    <n v="0"/>
    <n v="0"/>
    <n v="200"/>
  </r>
  <r>
    <x v="7"/>
    <x v="17"/>
    <x v="54"/>
    <x v="44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19"/>
    <x v="82"/>
    <x v="444"/>
    <x v="2"/>
    <n v="0"/>
    <n v="2880"/>
    <n v="0"/>
    <n v="50"/>
    <n v="0"/>
    <n v="0"/>
    <n v="0"/>
    <n v="0"/>
    <n v="2880"/>
    <n v="2880"/>
    <n v="0"/>
    <n v="0"/>
    <n v="0"/>
    <n v="0"/>
    <n v="2830"/>
  </r>
  <r>
    <x v="8"/>
    <x v="22"/>
    <x v="386"/>
    <x v="445"/>
    <x v="2"/>
    <n v="0"/>
    <n v="9540.8000000000011"/>
    <n v="0"/>
    <n v="0"/>
    <n v="0"/>
    <n v="0"/>
    <n v="0"/>
    <n v="0"/>
    <n v="9540.8000000000011"/>
    <n v="9540.8000000000011"/>
    <n v="0"/>
    <n v="0"/>
    <n v="0"/>
    <n v="0"/>
    <n v="9540.8000000000011"/>
  </r>
  <r>
    <x v="8"/>
    <x v="18"/>
    <x v="56"/>
    <x v="90"/>
    <x v="0"/>
    <n v="33"/>
    <n v="1551.6000000000022"/>
    <n v="0"/>
    <n v="0"/>
    <n v="0"/>
    <n v="0"/>
    <n v="0"/>
    <n v="0"/>
    <n v="1551.6000000000022"/>
    <n v="1551.6000000000022"/>
    <n v="0"/>
    <n v="0"/>
    <n v="0"/>
    <n v="0"/>
    <n v="1551.6000000000022"/>
  </r>
  <r>
    <x v="8"/>
    <x v="18"/>
    <x v="387"/>
    <x v="446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388"/>
    <x v="447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389"/>
    <x v="448"/>
    <x v="0"/>
    <n v="22"/>
    <n v="220"/>
    <n v="0"/>
    <n v="0"/>
    <n v="0"/>
    <n v="0"/>
    <n v="0"/>
    <n v="0"/>
    <n v="220"/>
    <n v="220"/>
    <n v="0"/>
    <n v="0"/>
    <n v="0"/>
    <n v="0"/>
    <n v="220"/>
  </r>
  <r>
    <x v="8"/>
    <x v="18"/>
    <x v="390"/>
    <x v="449"/>
    <x v="0"/>
    <n v="12"/>
    <n v="120"/>
    <n v="0"/>
    <n v="0"/>
    <n v="0"/>
    <n v="0"/>
    <n v="0"/>
    <n v="0"/>
    <n v="120"/>
    <n v="120"/>
    <n v="0"/>
    <n v="0"/>
    <n v="0"/>
    <n v="0"/>
    <n v="120"/>
  </r>
  <r>
    <x v="8"/>
    <x v="18"/>
    <x v="391"/>
    <x v="450"/>
    <x v="0"/>
    <n v="36"/>
    <n v="360"/>
    <n v="0"/>
    <n v="0"/>
    <n v="0"/>
    <n v="0"/>
    <n v="0"/>
    <n v="0"/>
    <n v="360"/>
    <n v="360"/>
    <n v="0"/>
    <n v="0"/>
    <n v="0"/>
    <n v="0"/>
    <n v="360"/>
  </r>
  <r>
    <x v="8"/>
    <x v="18"/>
    <x v="392"/>
    <x v="451"/>
    <x v="0"/>
    <n v="24"/>
    <n v="240"/>
    <n v="0"/>
    <n v="0"/>
    <n v="0"/>
    <n v="0"/>
    <n v="0"/>
    <n v="0"/>
    <n v="240"/>
    <n v="240"/>
    <n v="0"/>
    <n v="0"/>
    <n v="0"/>
    <n v="0"/>
    <n v="240"/>
  </r>
  <r>
    <x v="8"/>
    <x v="18"/>
    <x v="393"/>
    <x v="452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394"/>
    <x v="453"/>
    <x v="0"/>
    <n v="18"/>
    <n v="180"/>
    <n v="0"/>
    <n v="0"/>
    <n v="0"/>
    <n v="0"/>
    <n v="0"/>
    <n v="0"/>
    <n v="180"/>
    <n v="180"/>
    <n v="0"/>
    <n v="0"/>
    <n v="0"/>
    <n v="0"/>
    <n v="180"/>
  </r>
  <r>
    <x v="8"/>
    <x v="18"/>
    <x v="395"/>
    <x v="454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396"/>
    <x v="455"/>
    <x v="0"/>
    <n v="48"/>
    <n v="480"/>
    <n v="0"/>
    <n v="0"/>
    <n v="0"/>
    <n v="0"/>
    <n v="0"/>
    <n v="0"/>
    <n v="480"/>
    <n v="480"/>
    <n v="0"/>
    <n v="0"/>
    <n v="0"/>
    <n v="0"/>
    <n v="480"/>
  </r>
  <r>
    <x v="8"/>
    <x v="18"/>
    <x v="397"/>
    <x v="456"/>
    <x v="0"/>
    <n v="44"/>
    <n v="440"/>
    <n v="0"/>
    <n v="0"/>
    <n v="0"/>
    <n v="0"/>
    <n v="0"/>
    <n v="0"/>
    <n v="440"/>
    <n v="440"/>
    <n v="0"/>
    <n v="0"/>
    <n v="0"/>
    <n v="0"/>
    <n v="440"/>
  </r>
  <r>
    <x v="8"/>
    <x v="18"/>
    <x v="398"/>
    <x v="457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399"/>
    <x v="458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400"/>
    <x v="459"/>
    <x v="0"/>
    <n v="68"/>
    <n v="680"/>
    <n v="0"/>
    <n v="0"/>
    <n v="0"/>
    <n v="0"/>
    <n v="0"/>
    <n v="0"/>
    <n v="680"/>
    <n v="680"/>
    <n v="0"/>
    <n v="0"/>
    <n v="0"/>
    <n v="0"/>
    <n v="680"/>
  </r>
  <r>
    <x v="8"/>
    <x v="18"/>
    <x v="401"/>
    <x v="460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402"/>
    <x v="461"/>
    <x v="0"/>
    <n v="18"/>
    <n v="180"/>
    <n v="0"/>
    <n v="0"/>
    <n v="0"/>
    <n v="0"/>
    <n v="0"/>
    <n v="0"/>
    <n v="180"/>
    <n v="180"/>
    <n v="0"/>
    <n v="0"/>
    <n v="0"/>
    <n v="0"/>
    <n v="180"/>
  </r>
  <r>
    <x v="8"/>
    <x v="18"/>
    <x v="403"/>
    <x v="462"/>
    <x v="0"/>
    <n v="64"/>
    <n v="640"/>
    <n v="0"/>
    <n v="0"/>
    <n v="0"/>
    <n v="0"/>
    <n v="0"/>
    <n v="0"/>
    <n v="640"/>
    <n v="640"/>
    <n v="0"/>
    <n v="0"/>
    <n v="0"/>
    <n v="0"/>
    <n v="640"/>
  </r>
  <r>
    <x v="8"/>
    <x v="18"/>
    <x v="404"/>
    <x v="463"/>
    <x v="0"/>
    <n v="8"/>
    <n v="80"/>
    <n v="0"/>
    <n v="0"/>
    <n v="0"/>
    <n v="0"/>
    <n v="0"/>
    <n v="0"/>
    <n v="80"/>
    <n v="80"/>
    <n v="0"/>
    <n v="0"/>
    <n v="0"/>
    <n v="0"/>
    <n v="80"/>
  </r>
  <r>
    <x v="8"/>
    <x v="18"/>
    <x v="405"/>
    <x v="464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18"/>
    <x v="406"/>
    <x v="465"/>
    <x v="0"/>
    <n v="18"/>
    <n v="180"/>
    <n v="0"/>
    <n v="0"/>
    <n v="0"/>
    <n v="0"/>
    <n v="0"/>
    <n v="0"/>
    <n v="180"/>
    <n v="180"/>
    <n v="0"/>
    <n v="0"/>
    <n v="0"/>
    <n v="0"/>
    <n v="180"/>
  </r>
  <r>
    <x v="8"/>
    <x v="18"/>
    <x v="407"/>
    <x v="466"/>
    <x v="0"/>
    <n v="50"/>
    <n v="500"/>
    <n v="0"/>
    <n v="0"/>
    <n v="0"/>
    <n v="0"/>
    <n v="0"/>
    <n v="0"/>
    <n v="500"/>
    <n v="500"/>
    <n v="0"/>
    <n v="0"/>
    <n v="0"/>
    <n v="0"/>
    <n v="500"/>
  </r>
  <r>
    <x v="8"/>
    <x v="18"/>
    <x v="408"/>
    <x v="467"/>
    <x v="0"/>
    <n v="20"/>
    <n v="200"/>
    <n v="0"/>
    <n v="0"/>
    <n v="0"/>
    <n v="0"/>
    <n v="0"/>
    <n v="0"/>
    <n v="200"/>
    <n v="200"/>
    <n v="0"/>
    <n v="0"/>
    <n v="0"/>
    <n v="0"/>
    <n v="200"/>
  </r>
  <r>
    <x v="8"/>
    <x v="25"/>
    <x v="205"/>
    <x v="468"/>
    <x v="0"/>
    <n v="611"/>
    <n v="747.32999999999902"/>
    <n v="0"/>
    <n v="0"/>
    <n v="0"/>
    <n v="0"/>
    <n v="0"/>
    <n v="0"/>
    <n v="747.32999999999902"/>
    <n v="747.32999999999902"/>
    <n v="0"/>
    <n v="0"/>
    <n v="0"/>
    <n v="0"/>
    <n v="747.32999999999902"/>
  </r>
  <r>
    <x v="8"/>
    <x v="25"/>
    <x v="409"/>
    <x v="469"/>
    <x v="3"/>
    <n v="228"/>
    <n v="171"/>
    <n v="140.904"/>
    <n v="60"/>
    <n v="9.8040000000000003"/>
    <n v="40"/>
    <n v="7.3530000000000006"/>
    <n v="105.678"/>
    <n v="171"/>
    <n v="97.087378640776706"/>
    <n v="0.62"/>
    <n v="0.18"/>
    <n v="1.76"/>
    <n v="40"/>
    <n v="71"/>
  </r>
  <r>
    <x v="8"/>
    <x v="25"/>
    <x v="410"/>
    <x v="470"/>
    <x v="0"/>
    <n v="789"/>
    <n v="592"/>
    <n v="0"/>
    <n v="0"/>
    <n v="0"/>
    <n v="0"/>
    <n v="0"/>
    <n v="0"/>
    <n v="592"/>
    <n v="592"/>
    <n v="0"/>
    <n v="0"/>
    <n v="0"/>
    <n v="0"/>
    <n v="592"/>
  </r>
  <r>
    <x v="8"/>
    <x v="25"/>
    <x v="411"/>
    <x v="471"/>
    <x v="6"/>
    <n v="232"/>
    <n v="174"/>
    <n v="64.959999999999994"/>
    <n v="60.5"/>
    <n v="64.959999999999994"/>
    <n v="60"/>
    <n v="48.719999999999992"/>
    <n v="48.719999999999992"/>
    <n v="174"/>
    <n v="216.07142857142858"/>
    <n v="0.28000000000000003"/>
    <n v="0.81"/>
    <n v="0.81"/>
    <n v="60.5"/>
    <n v="53"/>
  </r>
  <r>
    <x v="8"/>
    <x v="25"/>
    <x v="412"/>
    <x v="472"/>
    <x v="6"/>
    <n v="109"/>
    <n v="82"/>
    <n v="99.190000000000012"/>
    <n v="76"/>
    <n v="2.1800000000000002"/>
    <n v="10"/>
    <n v="1.6400000000000001"/>
    <n v="74.62"/>
    <n v="82"/>
    <n v="83.516483516483504"/>
    <n v="0.91"/>
    <n v="0.16"/>
    <n v="0.98"/>
    <n v="10"/>
    <n v="-4"/>
  </r>
  <r>
    <x v="8"/>
    <x v="25"/>
    <x v="413"/>
    <x v="473"/>
    <x v="0"/>
    <n v="166"/>
    <n v="125"/>
    <n v="4.4820000000000002"/>
    <n v="10"/>
    <n v="0"/>
    <n v="0"/>
    <n v="0"/>
    <n v="3.375"/>
    <n v="125"/>
    <n v="125"/>
    <n v="0.03"/>
    <n v="0"/>
    <n v="0.34"/>
    <n v="0"/>
    <n v="115"/>
  </r>
  <r>
    <x v="8"/>
    <x v="25"/>
    <x v="414"/>
    <x v="474"/>
    <x v="3"/>
    <n v="998"/>
    <n v="749"/>
    <n v="524.94799999999998"/>
    <n v="256.25"/>
    <n v="19.96"/>
    <n v="39"/>
    <n v="14.98"/>
    <n v="393.97399999999999"/>
    <n v="749"/>
    <n v="487.16730038022814"/>
    <n v="0.53"/>
    <n v="0.38"/>
    <n v="1.54"/>
    <n v="39.25"/>
    <n v="453.5"/>
  </r>
  <r>
    <x v="8"/>
    <x v="25"/>
    <x v="415"/>
    <x v="475"/>
    <x v="0"/>
    <n v="267"/>
    <n v="200"/>
    <n v="0"/>
    <n v="0"/>
    <n v="0"/>
    <n v="0"/>
    <n v="0"/>
    <n v="0"/>
    <n v="200"/>
    <n v="200"/>
    <n v="0"/>
    <n v="0"/>
    <n v="0"/>
    <n v="0"/>
    <n v="200"/>
  </r>
  <r>
    <x v="8"/>
    <x v="25"/>
    <x v="416"/>
    <x v="476"/>
    <x v="0"/>
    <n v="217"/>
    <n v="163"/>
    <n v="6.0759999999999996"/>
    <n v="7"/>
    <n v="0"/>
    <n v="0"/>
    <n v="0"/>
    <n v="4.5639999999999992"/>
    <n v="163"/>
    <n v="163"/>
    <n v="0.03"/>
    <n v="0"/>
    <n v="0.65"/>
    <n v="0"/>
    <n v="156"/>
  </r>
  <r>
    <x v="8"/>
    <x v="25"/>
    <x v="417"/>
    <x v="477"/>
    <x v="0"/>
    <n v="955"/>
    <n v="716"/>
    <n v="0"/>
    <n v="0"/>
    <n v="0"/>
    <n v="0"/>
    <n v="0"/>
    <n v="0"/>
    <n v="716"/>
    <n v="716"/>
    <n v="0"/>
    <n v="0"/>
    <n v="0"/>
    <n v="0"/>
    <n v="716"/>
  </r>
  <r>
    <x v="8"/>
    <x v="25"/>
    <x v="418"/>
    <x v="478"/>
    <x v="0"/>
    <n v="762"/>
    <n v="572"/>
    <n v="18.288"/>
    <n v="110"/>
    <n v="0"/>
    <n v="0"/>
    <n v="0"/>
    <n v="13.728"/>
    <n v="572"/>
    <n v="572"/>
    <n v="0.02"/>
    <n v="0"/>
    <n v="0.12"/>
    <n v="0"/>
    <n v="462"/>
  </r>
  <r>
    <x v="8"/>
    <x v="25"/>
    <x v="419"/>
    <x v="479"/>
    <x v="0"/>
    <n v="1846"/>
    <n v="1385"/>
    <n v="0"/>
    <n v="0"/>
    <n v="0"/>
    <n v="0"/>
    <n v="0"/>
    <n v="0"/>
    <n v="1385"/>
    <n v="1385"/>
    <n v="0"/>
    <n v="0"/>
    <n v="0"/>
    <n v="0"/>
    <n v="1385"/>
  </r>
  <r>
    <x v="8"/>
    <x v="25"/>
    <x v="420"/>
    <x v="480"/>
    <x v="0"/>
    <n v="249"/>
    <n v="187"/>
    <n v="0"/>
    <n v="0"/>
    <n v="0"/>
    <n v="0"/>
    <n v="0"/>
    <n v="0"/>
    <n v="187"/>
    <n v="187"/>
    <n v="0"/>
    <n v="0"/>
    <n v="0"/>
    <n v="0"/>
    <n v="187"/>
  </r>
  <r>
    <x v="8"/>
    <x v="25"/>
    <x v="421"/>
    <x v="481"/>
    <x v="0"/>
    <n v="197"/>
    <n v="148"/>
    <n v="9.4559999999999995"/>
    <n v="9"/>
    <n v="0"/>
    <n v="0"/>
    <n v="0"/>
    <n v="7.1040000000000001"/>
    <n v="148"/>
    <n v="148"/>
    <n v="0.05"/>
    <n v="0"/>
    <n v="0.79"/>
    <n v="0"/>
    <n v="139"/>
  </r>
  <r>
    <x v="8"/>
    <x v="25"/>
    <x v="422"/>
    <x v="482"/>
    <x v="0"/>
    <n v="1242"/>
    <n v="932"/>
    <n v="43.47"/>
    <n v="79.5"/>
    <n v="0"/>
    <n v="0"/>
    <n v="0"/>
    <n v="32.619999999999997"/>
    <n v="932"/>
    <n v="932"/>
    <n v="0.04"/>
    <n v="0"/>
    <n v="0.41"/>
    <n v="0"/>
    <n v="852.5"/>
  </r>
  <r>
    <x v="8"/>
    <x v="25"/>
    <x v="423"/>
    <x v="483"/>
    <x v="0"/>
    <n v="1805"/>
    <n v="1354"/>
    <n v="0"/>
    <n v="0"/>
    <n v="0"/>
    <n v="0"/>
    <n v="0"/>
    <n v="0"/>
    <n v="1354"/>
    <n v="1354"/>
    <n v="0"/>
    <n v="0"/>
    <n v="0"/>
    <n v="0"/>
    <n v="1354"/>
  </r>
  <r>
    <x v="8"/>
    <x v="25"/>
    <x v="424"/>
    <x v="484"/>
    <x v="0"/>
    <n v="207"/>
    <n v="155.25"/>
    <n v="0"/>
    <n v="30"/>
    <n v="0"/>
    <n v="0"/>
    <n v="0"/>
    <n v="0"/>
    <n v="155.25"/>
    <n v="155.25"/>
    <n v="0"/>
    <n v="0"/>
    <n v="0"/>
    <n v="0"/>
    <n v="125.25"/>
  </r>
  <r>
    <x v="8"/>
    <x v="25"/>
    <x v="425"/>
    <x v="485"/>
    <x v="0"/>
    <n v="19"/>
    <n v="14"/>
    <n v="0"/>
    <n v="0"/>
    <n v="0"/>
    <n v="0"/>
    <n v="0"/>
    <n v="0"/>
    <n v="14"/>
    <n v="14"/>
    <n v="0"/>
    <n v="0"/>
    <n v="0"/>
    <n v="0"/>
    <n v="14"/>
  </r>
  <r>
    <x v="8"/>
    <x v="25"/>
    <x v="426"/>
    <x v="486"/>
    <x v="3"/>
    <n v="866"/>
    <n v="649.5"/>
    <n v="19.917999999999999"/>
    <n v="20.5"/>
    <n v="19.917999999999999"/>
    <n v="20"/>
    <n v="14.938499999999999"/>
    <n v="14.938499999999999"/>
    <n v="649.5"/>
    <n v="649.5"/>
    <n v="0.02"/>
    <n v="0.75"/>
    <n v="0.73"/>
    <n v="20.5"/>
    <n v="608.5"/>
  </r>
  <r>
    <x v="8"/>
    <x v="25"/>
    <x v="427"/>
    <x v="487"/>
    <x v="0"/>
    <n v="261"/>
    <n v="196"/>
    <n v="0"/>
    <n v="0"/>
    <n v="0"/>
    <n v="0"/>
    <n v="0"/>
    <n v="0"/>
    <n v="196"/>
    <n v="196"/>
    <n v="0"/>
    <n v="0"/>
    <n v="0"/>
    <n v="0"/>
    <n v="196"/>
  </r>
  <r>
    <x v="8"/>
    <x v="25"/>
    <x v="428"/>
    <x v="488"/>
    <x v="0"/>
    <n v="1154"/>
    <n v="865.5"/>
    <n v="0"/>
    <n v="0"/>
    <n v="0"/>
    <n v="0"/>
    <n v="0"/>
    <n v="0"/>
    <n v="865.5"/>
    <n v="865.5"/>
    <n v="0"/>
    <n v="0"/>
    <n v="0"/>
    <n v="0"/>
    <n v="865.5"/>
  </r>
  <r>
    <x v="8"/>
    <x v="25"/>
    <x v="429"/>
    <x v="489"/>
    <x v="0"/>
    <n v="291"/>
    <n v="218.25"/>
    <n v="0"/>
    <n v="34.5"/>
    <n v="0"/>
    <n v="0"/>
    <n v="0"/>
    <n v="0"/>
    <n v="218.25"/>
    <n v="218.25"/>
    <n v="0"/>
    <n v="0"/>
    <n v="0"/>
    <n v="0"/>
    <n v="183.75"/>
  </r>
  <r>
    <x v="8"/>
    <x v="25"/>
    <x v="430"/>
    <x v="490"/>
    <x v="0"/>
    <n v="1109"/>
    <n v="831.75"/>
    <n v="0"/>
    <n v="10"/>
    <n v="0"/>
    <n v="0"/>
    <n v="0"/>
    <n v="0"/>
    <n v="831.75"/>
    <n v="831.75"/>
    <n v="0"/>
    <n v="0"/>
    <n v="0"/>
    <n v="0"/>
    <n v="821.75"/>
  </r>
  <r>
    <x v="8"/>
    <x v="25"/>
    <x v="431"/>
    <x v="491"/>
    <x v="0"/>
    <n v="762"/>
    <n v="571.5"/>
    <n v="0"/>
    <n v="0"/>
    <n v="0"/>
    <n v="0"/>
    <n v="0"/>
    <n v="0"/>
    <n v="571.5"/>
    <n v="571.5"/>
    <n v="0"/>
    <n v="0"/>
    <n v="0"/>
    <n v="0"/>
    <n v="571.5"/>
  </r>
  <r>
    <x v="8"/>
    <x v="25"/>
    <x v="432"/>
    <x v="492"/>
    <x v="0"/>
    <n v="2496"/>
    <n v="1872"/>
    <n v="449.28"/>
    <n v="61"/>
    <n v="0"/>
    <n v="0"/>
    <n v="0"/>
    <n v="336.96"/>
    <n v="1872"/>
    <n v="1872"/>
    <n v="0.18"/>
    <n v="0"/>
    <n v="5.52"/>
    <n v="0"/>
    <n v="1811"/>
  </r>
  <r>
    <x v="8"/>
    <x v="25"/>
    <x v="433"/>
    <x v="493"/>
    <x v="0"/>
    <n v="1372"/>
    <n v="1029"/>
    <n v="23.324000000000002"/>
    <n v="20"/>
    <n v="0"/>
    <n v="0"/>
    <n v="0"/>
    <n v="17.493000000000002"/>
    <n v="1029"/>
    <n v="1029"/>
    <n v="0.02"/>
    <n v="0"/>
    <n v="0.87"/>
    <n v="0"/>
    <n v="1009"/>
  </r>
  <r>
    <x v="8"/>
    <x v="25"/>
    <x v="434"/>
    <x v="494"/>
    <x v="0"/>
    <n v="1712"/>
    <n v="1284"/>
    <n v="0"/>
    <n v="0"/>
    <n v="0"/>
    <n v="0"/>
    <n v="0"/>
    <n v="0"/>
    <n v="1284"/>
    <n v="1284"/>
    <n v="0"/>
    <n v="0"/>
    <n v="0"/>
    <n v="0"/>
    <n v="1284"/>
  </r>
  <r>
    <x v="8"/>
    <x v="26"/>
    <x v="226"/>
    <x v="495"/>
    <x v="0"/>
    <n v="1320"/>
    <n v="16384.399999999994"/>
    <n v="0"/>
    <n v="0"/>
    <n v="0"/>
    <n v="0"/>
    <n v="0"/>
    <n v="0"/>
    <n v="16384.399999999994"/>
    <n v="16384.399999999994"/>
    <n v="0"/>
    <n v="0"/>
    <n v="0"/>
    <n v="0"/>
    <n v="16384.399999999994"/>
  </r>
  <r>
    <x v="8"/>
    <x v="26"/>
    <x v="435"/>
    <x v="496"/>
    <x v="3"/>
    <n v="1100"/>
    <n v="495"/>
    <n v="640.20000000000005"/>
    <n v="101"/>
    <n v="160.6"/>
    <n v="30"/>
    <n v="72.27"/>
    <n v="288.09000000000003"/>
    <n v="495"/>
    <n v="173.53951890034361"/>
    <n v="0.57999999999999996"/>
    <n v="2.41"/>
    <n v="2.85"/>
    <n v="30.5"/>
    <n v="363.5"/>
  </r>
  <r>
    <x v="8"/>
    <x v="26"/>
    <x v="436"/>
    <x v="497"/>
    <x v="0"/>
    <n v="3900"/>
    <n v="1755"/>
    <n v="0"/>
    <n v="0"/>
    <n v="0"/>
    <n v="0"/>
    <n v="0"/>
    <n v="0"/>
    <n v="1755"/>
    <n v="1755"/>
    <n v="0"/>
    <n v="0"/>
    <n v="0"/>
    <n v="0"/>
    <n v="1755"/>
  </r>
  <r>
    <x v="8"/>
    <x v="26"/>
    <x v="437"/>
    <x v="498"/>
    <x v="0"/>
    <n v="780"/>
    <n v="351"/>
    <n v="208.26"/>
    <n v="20"/>
    <n v="0"/>
    <n v="0"/>
    <n v="0"/>
    <n v="93.716999999999999"/>
    <n v="351"/>
    <n v="74.906367041198493"/>
    <n v="0.27"/>
    <n v="0"/>
    <n v="4.6900000000000004"/>
    <n v="0"/>
    <n v="331"/>
  </r>
  <r>
    <x v="8"/>
    <x v="26"/>
    <x v="438"/>
    <x v="499"/>
    <x v="0"/>
    <n v="240"/>
    <n v="108"/>
    <n v="199.92000000000002"/>
    <n v="58.5"/>
    <n v="0"/>
    <n v="0"/>
    <n v="0"/>
    <n v="89.964000000000013"/>
    <n v="108"/>
    <n v="70.228091236494592"/>
    <n v="0.83"/>
    <n v="0"/>
    <n v="1.54"/>
    <n v="0"/>
    <n v="49.5"/>
  </r>
  <r>
    <x v="8"/>
    <x v="26"/>
    <x v="439"/>
    <x v="500"/>
    <x v="0"/>
    <n v="480"/>
    <n v="216"/>
    <n v="349.91999999999996"/>
    <n v="28"/>
    <n v="0"/>
    <n v="0"/>
    <n v="0"/>
    <n v="157.46399999999997"/>
    <n v="216"/>
    <n v="38.408779149519894"/>
    <n v="0.73"/>
    <n v="0"/>
    <n v="5.62"/>
    <n v="0"/>
    <n v="188"/>
  </r>
  <r>
    <x v="8"/>
    <x v="26"/>
    <x v="440"/>
    <x v="501"/>
    <x v="3"/>
    <n v="4060"/>
    <n v="1827"/>
    <n v="2634.9400000000005"/>
    <n v="621"/>
    <n v="85.26"/>
    <n v="30"/>
    <n v="38.367000000000004"/>
    <n v="1185.7230000000002"/>
    <n v="1827"/>
    <n v="956.85670261941425"/>
    <n v="0.65"/>
    <n v="1.28"/>
    <n v="1.91"/>
    <n v="31"/>
    <n v="1175"/>
  </r>
  <r>
    <x v="8"/>
    <x v="26"/>
    <x v="441"/>
    <x v="502"/>
    <x v="0"/>
    <n v="1180"/>
    <n v="531"/>
    <n v="0"/>
    <n v="0"/>
    <n v="0"/>
    <n v="0"/>
    <n v="0"/>
    <n v="0"/>
    <n v="531"/>
    <n v="531"/>
    <n v="0"/>
    <n v="0"/>
    <n v="0"/>
    <n v="0"/>
    <n v="531"/>
  </r>
  <r>
    <x v="8"/>
    <x v="26"/>
    <x v="442"/>
    <x v="503"/>
    <x v="0"/>
    <n v="1320"/>
    <n v="594"/>
    <n v="58.08"/>
    <n v="17"/>
    <n v="0"/>
    <n v="0"/>
    <n v="0"/>
    <n v="26.135999999999999"/>
    <n v="594"/>
    <n v="594"/>
    <n v="0.04"/>
    <n v="0"/>
    <n v="1.54"/>
    <n v="0"/>
    <n v="577"/>
  </r>
  <r>
    <x v="8"/>
    <x v="26"/>
    <x v="443"/>
    <x v="504"/>
    <x v="0"/>
    <n v="3860"/>
    <n v="1737"/>
    <n v="19.3"/>
    <n v="17"/>
    <n v="0"/>
    <n v="0"/>
    <n v="0"/>
    <n v="8.6850000000000005"/>
    <n v="1737"/>
    <n v="1737"/>
    <n v="0.01"/>
    <n v="0"/>
    <n v="0.51"/>
    <n v="0"/>
    <n v="1720"/>
  </r>
  <r>
    <x v="8"/>
    <x v="26"/>
    <x v="444"/>
    <x v="505"/>
    <x v="0"/>
    <n v="5080"/>
    <n v="2286"/>
    <n v="208.28"/>
    <n v="60.5"/>
    <n v="0"/>
    <n v="0"/>
    <n v="0"/>
    <n v="93.725999999999999"/>
    <n v="2286"/>
    <n v="2286"/>
    <n v="0.04"/>
    <n v="0"/>
    <n v="1.55"/>
    <n v="0"/>
    <n v="2225.5"/>
  </r>
  <r>
    <x v="8"/>
    <x v="26"/>
    <x v="445"/>
    <x v="506"/>
    <x v="0"/>
    <n v="5160"/>
    <n v="2322"/>
    <n v="0"/>
    <n v="0"/>
    <n v="0"/>
    <n v="0"/>
    <n v="0"/>
    <n v="0"/>
    <n v="2322"/>
    <n v="2322"/>
    <n v="0"/>
    <n v="0"/>
    <n v="0"/>
    <n v="0"/>
    <n v="2322"/>
  </r>
  <r>
    <x v="8"/>
    <x v="26"/>
    <x v="446"/>
    <x v="507"/>
    <x v="0"/>
    <n v="1000"/>
    <n v="450"/>
    <n v="0"/>
    <n v="0"/>
    <n v="0"/>
    <n v="0"/>
    <n v="0"/>
    <n v="0"/>
    <n v="450"/>
    <n v="450"/>
    <n v="0"/>
    <n v="0"/>
    <n v="0"/>
    <n v="0"/>
    <n v="450"/>
  </r>
  <r>
    <x v="8"/>
    <x v="26"/>
    <x v="447"/>
    <x v="508"/>
    <x v="0"/>
    <n v="1320"/>
    <n v="594"/>
    <n v="39.6"/>
    <n v="9"/>
    <n v="0"/>
    <n v="0"/>
    <n v="0"/>
    <n v="17.82"/>
    <n v="594"/>
    <n v="594"/>
    <n v="0.03"/>
    <n v="0"/>
    <n v="1.98"/>
    <n v="0"/>
    <n v="585"/>
  </r>
  <r>
    <x v="8"/>
    <x v="26"/>
    <x v="448"/>
    <x v="509"/>
    <x v="0"/>
    <n v="5460"/>
    <n v="2457"/>
    <n v="283.92"/>
    <n v="52"/>
    <n v="0"/>
    <n v="0"/>
    <n v="0"/>
    <n v="127.76400000000001"/>
    <n v="2457"/>
    <n v="2457"/>
    <n v="0.05"/>
    <n v="0"/>
    <n v="2.46"/>
    <n v="0"/>
    <n v="2405"/>
  </r>
  <r>
    <x v="8"/>
    <x v="26"/>
    <x v="449"/>
    <x v="510"/>
    <x v="0"/>
    <n v="4160"/>
    <n v="1872"/>
    <n v="0"/>
    <n v="0"/>
    <n v="0"/>
    <n v="0"/>
    <n v="0"/>
    <n v="0"/>
    <n v="1872"/>
    <n v="1872"/>
    <n v="0"/>
    <n v="0"/>
    <n v="0"/>
    <n v="0"/>
    <n v="1872"/>
  </r>
  <r>
    <x v="8"/>
    <x v="26"/>
    <x v="450"/>
    <x v="511"/>
    <x v="0"/>
    <n v="1320"/>
    <n v="594"/>
    <n v="0"/>
    <n v="12"/>
    <n v="0"/>
    <n v="0"/>
    <n v="0"/>
    <n v="0"/>
    <n v="594"/>
    <n v="594"/>
    <n v="0"/>
    <n v="0"/>
    <n v="0"/>
    <n v="0"/>
    <n v="582"/>
  </r>
  <r>
    <x v="8"/>
    <x v="26"/>
    <x v="451"/>
    <x v="512"/>
    <x v="0"/>
    <n v="40"/>
    <n v="18"/>
    <n v="0"/>
    <n v="0"/>
    <n v="0"/>
    <n v="0"/>
    <n v="0"/>
    <n v="0"/>
    <n v="18"/>
    <n v="18"/>
    <n v="0"/>
    <n v="0"/>
    <n v="0"/>
    <n v="0"/>
    <n v="18"/>
  </r>
  <r>
    <x v="8"/>
    <x v="26"/>
    <x v="452"/>
    <x v="513"/>
    <x v="0"/>
    <n v="5480"/>
    <n v="2466"/>
    <n v="0"/>
    <n v="16.5"/>
    <n v="0"/>
    <n v="0"/>
    <n v="0"/>
    <n v="0"/>
    <n v="2466"/>
    <n v="2466"/>
    <n v="0"/>
    <n v="0"/>
    <n v="0"/>
    <n v="0"/>
    <n v="2449.5"/>
  </r>
  <r>
    <x v="8"/>
    <x v="26"/>
    <x v="453"/>
    <x v="514"/>
    <x v="0"/>
    <n v="700"/>
    <n v="315"/>
    <n v="0"/>
    <n v="0"/>
    <n v="0"/>
    <n v="0"/>
    <n v="0"/>
    <n v="0"/>
    <n v="315"/>
    <n v="315"/>
    <n v="0"/>
    <n v="0"/>
    <n v="0"/>
    <n v="0"/>
    <n v="315"/>
  </r>
  <r>
    <x v="8"/>
    <x v="26"/>
    <x v="454"/>
    <x v="515"/>
    <x v="0"/>
    <n v="3320"/>
    <n v="1494"/>
    <n v="0"/>
    <n v="0"/>
    <n v="0"/>
    <n v="0"/>
    <n v="0"/>
    <n v="0"/>
    <n v="1494"/>
    <n v="1494"/>
    <n v="0"/>
    <n v="0"/>
    <n v="0"/>
    <n v="0"/>
    <n v="1494"/>
  </r>
  <r>
    <x v="8"/>
    <x v="26"/>
    <x v="455"/>
    <x v="516"/>
    <x v="0"/>
    <n v="1240"/>
    <n v="558"/>
    <n v="0"/>
    <n v="12"/>
    <n v="0"/>
    <n v="0"/>
    <n v="0"/>
    <n v="0"/>
    <n v="558"/>
    <n v="558"/>
    <n v="0"/>
    <n v="0"/>
    <n v="0"/>
    <n v="0"/>
    <n v="546"/>
  </r>
  <r>
    <x v="8"/>
    <x v="26"/>
    <x v="456"/>
    <x v="517"/>
    <x v="0"/>
    <n v="4460"/>
    <n v="2007"/>
    <n v="187.32"/>
    <n v="50.5"/>
    <n v="0"/>
    <n v="0"/>
    <n v="0"/>
    <n v="84.293999999999997"/>
    <n v="2007"/>
    <n v="2007"/>
    <n v="0.04"/>
    <n v="0"/>
    <n v="1.67"/>
    <n v="0"/>
    <n v="1956.5"/>
  </r>
  <r>
    <x v="8"/>
    <x v="26"/>
    <x v="457"/>
    <x v="518"/>
    <x v="0"/>
    <n v="1900"/>
    <n v="855"/>
    <n v="0"/>
    <n v="0"/>
    <n v="0"/>
    <n v="0"/>
    <n v="0"/>
    <n v="0"/>
    <n v="855"/>
    <n v="855"/>
    <n v="0"/>
    <n v="0"/>
    <n v="0"/>
    <n v="0"/>
    <n v="855"/>
  </r>
  <r>
    <x v="8"/>
    <x v="26"/>
    <x v="458"/>
    <x v="519"/>
    <x v="3"/>
    <n v="1038"/>
    <n v="1038"/>
    <n v="285.45000000000022"/>
    <n v="116"/>
    <n v="49.823999999999998"/>
    <n v="30"/>
    <n v="49.823999999999998"/>
    <n v="285.45000000000022"/>
    <n v="1038"/>
    <n v="421.81818181818153"/>
    <n v="0.28000000000000003"/>
    <n v="1.66"/>
    <n v="2.46"/>
    <n v="30"/>
    <n v="892"/>
  </r>
  <r>
    <x v="8"/>
    <x v="26"/>
    <x v="459"/>
    <x v="520"/>
    <x v="0"/>
    <n v="954"/>
    <n v="954"/>
    <n v="56.285999999999973"/>
    <n v="3"/>
    <n v="0"/>
    <n v="0"/>
    <n v="0"/>
    <n v="56.285999999999973"/>
    <n v="954"/>
    <n v="954"/>
    <n v="0.06"/>
    <n v="0"/>
    <n v="18.760000000000002"/>
    <n v="0"/>
    <n v="951"/>
  </r>
  <r>
    <x v="8"/>
    <x v="26"/>
    <x v="460"/>
    <x v="521"/>
    <x v="0"/>
    <n v="886"/>
    <n v="886"/>
    <n v="0"/>
    <n v="30.5"/>
    <n v="0"/>
    <n v="0"/>
    <n v="0"/>
    <n v="0"/>
    <n v="886"/>
    <n v="886"/>
    <n v="0"/>
    <n v="0"/>
    <n v="0"/>
    <n v="0"/>
    <n v="855.5"/>
  </r>
  <r>
    <x v="8"/>
    <x v="27"/>
    <x v="251"/>
    <x v="522"/>
    <x v="0"/>
    <n v="88934.8"/>
    <n v="3081.5000000000018"/>
    <n v="0"/>
    <n v="0"/>
    <n v="0"/>
    <n v="0"/>
    <n v="0"/>
    <n v="0"/>
    <n v="3081.4999999999982"/>
    <n v="3081.4999999999982"/>
    <n v="0"/>
    <n v="0"/>
    <n v="0"/>
    <n v="0"/>
    <n v="3081.5000000000018"/>
  </r>
  <r>
    <x v="8"/>
    <x v="27"/>
    <x v="461"/>
    <x v="523"/>
    <x v="3"/>
    <n v="3853.3"/>
    <n v="1255.8"/>
    <n v="2570.1509999999998"/>
    <n v="360.5"/>
    <n v="493.22199999999998"/>
    <n v="148"/>
    <n v="160.74226963901071"/>
    <n v="837.61856740975247"/>
    <n v="1255.8"/>
    <n v="540.47978114904538"/>
    <n v="0.67"/>
    <n v="1.0900000000000001"/>
    <n v="2.3199999999999998"/>
    <n v="148"/>
    <n v="747.3"/>
  </r>
  <r>
    <x v="8"/>
    <x v="27"/>
    <x v="462"/>
    <x v="524"/>
    <x v="0"/>
    <n v="9994.9"/>
    <n v="3243"/>
    <n v="0"/>
    <n v="0"/>
    <n v="0"/>
    <n v="0"/>
    <n v="0"/>
    <n v="0"/>
    <n v="3243"/>
    <n v="3243"/>
    <n v="0"/>
    <n v="0"/>
    <n v="0"/>
    <n v="0"/>
    <n v="3243"/>
  </r>
  <r>
    <x v="8"/>
    <x v="27"/>
    <x v="463"/>
    <x v="525"/>
    <x v="3"/>
    <n v="3185.8"/>
    <n v="975.9"/>
    <n v="1468.654"/>
    <n v="253.5"/>
    <n v="200.70599999999999"/>
    <n v="50"/>
    <n v="61.481883796848507"/>
    <n v="449.88996126561614"/>
    <n v="975.9"/>
    <n v="549.89146524640933"/>
    <n v="0.46"/>
    <n v="1.23"/>
    <n v="1.77"/>
    <n v="50"/>
    <n v="672.4"/>
  </r>
  <r>
    <x v="8"/>
    <x v="27"/>
    <x v="464"/>
    <x v="526"/>
    <x v="0"/>
    <n v="3081.8"/>
    <n v="875.4"/>
    <n v="1488.509"/>
    <n v="218.5"/>
    <n v="0"/>
    <n v="0"/>
    <n v="0"/>
    <n v="422.8180863780907"/>
    <n v="875.4"/>
    <n v="452.38107394715121"/>
    <n v="0.48"/>
    <n v="0"/>
    <n v="1.94"/>
    <n v="0"/>
    <n v="656.9"/>
  </r>
  <r>
    <x v="8"/>
    <x v="27"/>
    <x v="465"/>
    <x v="527"/>
    <x v="3"/>
    <n v="4366.7"/>
    <n v="1197.0999999999999"/>
    <n v="1091.675"/>
    <n v="302.25"/>
    <n v="222.702"/>
    <n v="186"/>
    <n v="61.052182242883639"/>
    <n v="299.27499999999998"/>
    <n v="1197.0999999999999"/>
    <n v="1197.0999999999999"/>
    <n v="0.25"/>
    <n v="0.33"/>
    <n v="0.99"/>
    <n v="187.75"/>
    <n v="707.09999999999991"/>
  </r>
  <r>
    <x v="8"/>
    <x v="27"/>
    <x v="466"/>
    <x v="528"/>
    <x v="3"/>
    <n v="11424.9"/>
    <n v="3720.3"/>
    <n v="6409.3689999999997"/>
    <n v="893"/>
    <n v="708.34400000000005"/>
    <n v="261"/>
    <n v="230.6586651261718"/>
    <n v="2087.0883325630862"/>
    <n v="3720.3"/>
    <n v="1591.8003316707152"/>
    <n v="0.56000000000000005"/>
    <n v="0.88"/>
    <n v="2.34"/>
    <n v="261.5"/>
    <n v="2565.8000000000002"/>
  </r>
  <r>
    <x v="8"/>
    <x v="27"/>
    <x v="467"/>
    <x v="529"/>
    <x v="0"/>
    <n v="4172.3999999999996"/>
    <n v="1367.6"/>
    <n v="0"/>
    <n v="0"/>
    <n v="0"/>
    <n v="0"/>
    <n v="0"/>
    <n v="0"/>
    <n v="1367.6"/>
    <n v="1367.6"/>
    <n v="0"/>
    <n v="0"/>
    <n v="0"/>
    <n v="0"/>
    <n v="1367.6"/>
  </r>
  <r>
    <x v="8"/>
    <x v="27"/>
    <x v="468"/>
    <x v="530"/>
    <x v="0"/>
    <n v="5441.7"/>
    <n v="1710.2"/>
    <n v="43.533999999999999"/>
    <n v="30"/>
    <n v="0"/>
    <n v="0"/>
    <n v="0"/>
    <n v="13.681725710715401"/>
    <n v="1710.2"/>
    <n v="1710.2"/>
    <n v="0.01"/>
    <n v="0"/>
    <n v="0.46"/>
    <n v="0"/>
    <n v="1680.2"/>
  </r>
  <r>
    <x v="8"/>
    <x v="27"/>
    <x v="469"/>
    <x v="531"/>
    <x v="0"/>
    <n v="9978.9"/>
    <n v="3260.7"/>
    <n v="0"/>
    <n v="0"/>
    <n v="0"/>
    <n v="0"/>
    <n v="0"/>
    <n v="0"/>
    <n v="3260.7"/>
    <n v="3260.7"/>
    <n v="0"/>
    <n v="0"/>
    <n v="0"/>
    <n v="0"/>
    <n v="3260.7"/>
  </r>
  <r>
    <x v="8"/>
    <x v="27"/>
    <x v="470"/>
    <x v="532"/>
    <x v="0"/>
    <n v="14618.1"/>
    <n v="4602.7"/>
    <n v="745.52300000000002"/>
    <n v="113"/>
    <n v="0"/>
    <n v="0"/>
    <n v="0"/>
    <n v="234.73766851369194"/>
    <n v="4602.7"/>
    <n v="4602.7"/>
    <n v="0.05"/>
    <n v="0"/>
    <n v="2.08"/>
    <n v="0"/>
    <n v="4489.7"/>
  </r>
  <r>
    <x v="8"/>
    <x v="27"/>
    <x v="471"/>
    <x v="533"/>
    <x v="0"/>
    <n v="17927.900000000001"/>
    <n v="5764.5"/>
    <n v="0"/>
    <n v="0"/>
    <n v="0"/>
    <n v="0"/>
    <n v="0"/>
    <n v="0"/>
    <n v="5764.5"/>
    <n v="5764.5"/>
    <n v="0"/>
    <n v="0"/>
    <n v="0"/>
    <n v="0"/>
    <n v="5764.5"/>
  </r>
  <r>
    <x v="8"/>
    <x v="27"/>
    <x v="472"/>
    <x v="534"/>
    <x v="0"/>
    <n v="3007.1"/>
    <n v="959.7"/>
    <n v="0"/>
    <n v="0"/>
    <n v="0"/>
    <n v="0"/>
    <n v="0"/>
    <n v="0"/>
    <n v="959.7"/>
    <n v="959.7"/>
    <n v="0"/>
    <n v="0"/>
    <n v="0"/>
    <n v="0"/>
    <n v="959.7"/>
  </r>
  <r>
    <x v="8"/>
    <x v="27"/>
    <x v="473"/>
    <x v="535"/>
    <x v="0"/>
    <n v="5665.5"/>
    <n v="1765.3"/>
    <n v="75.119"/>
    <n v="10"/>
    <n v="0"/>
    <n v="0"/>
    <n v="0"/>
    <n v="23.406154920130614"/>
    <n v="1765.3"/>
    <n v="1765.3"/>
    <n v="0.01"/>
    <n v="0"/>
    <n v="2.34"/>
    <n v="0"/>
    <n v="1755.3"/>
  </r>
  <r>
    <x v="8"/>
    <x v="27"/>
    <x v="474"/>
    <x v="536"/>
    <x v="0"/>
    <n v="18062.8"/>
    <n v="5576.4"/>
    <n v="1174.0819999999999"/>
    <n v="87.5"/>
    <n v="0"/>
    <n v="0"/>
    <n v="0"/>
    <n v="362.46600000000001"/>
    <n v="5576.4"/>
    <n v="5576.4"/>
    <n v="7.0000000000000007E-2"/>
    <n v="0"/>
    <n v="4.1399999999999997"/>
    <n v="0"/>
    <n v="5488.9"/>
  </r>
  <r>
    <x v="8"/>
    <x v="27"/>
    <x v="475"/>
    <x v="537"/>
    <x v="0"/>
    <n v="15127.1"/>
    <n v="5062.3999999999996"/>
    <n v="166.398"/>
    <n v="20.5"/>
    <n v="0"/>
    <n v="0"/>
    <n v="0"/>
    <n v="55.686366534233251"/>
    <n v="5062.3999999999996"/>
    <n v="5062.3999999999996"/>
    <n v="0.01"/>
    <n v="0"/>
    <n v="2.72"/>
    <n v="0"/>
    <n v="5041.8999999999996"/>
  </r>
  <r>
    <x v="8"/>
    <x v="27"/>
    <x v="476"/>
    <x v="538"/>
    <x v="0"/>
    <n v="7456.8"/>
    <n v="2415.5"/>
    <n v="0"/>
    <n v="27.5"/>
    <n v="0"/>
    <n v="0"/>
    <n v="0"/>
    <n v="0"/>
    <n v="2415.5"/>
    <n v="2415.5"/>
    <n v="0"/>
    <n v="0"/>
    <n v="0"/>
    <n v="0"/>
    <n v="2388"/>
  </r>
  <r>
    <x v="8"/>
    <x v="27"/>
    <x v="477"/>
    <x v="539"/>
    <x v="0"/>
    <n v="98.8"/>
    <n v="34.6"/>
    <n v="0"/>
    <n v="0"/>
    <n v="0"/>
    <n v="0"/>
    <n v="0"/>
    <n v="0"/>
    <n v="34.6"/>
    <n v="34.6"/>
    <n v="0"/>
    <n v="0"/>
    <n v="0"/>
    <n v="0"/>
    <n v="34.6"/>
  </r>
  <r>
    <x v="8"/>
    <x v="27"/>
    <x v="478"/>
    <x v="540"/>
    <x v="3"/>
    <n v="24053"/>
    <n v="7719.4"/>
    <n v="1419.127"/>
    <n v="96"/>
    <n v="553.21900000000005"/>
    <n v="40"/>
    <n v="177.54620000000003"/>
    <n v="455.44459999999998"/>
    <n v="7719.4"/>
    <n v="7719.4"/>
    <n v="0.06"/>
    <n v="4.4400000000000004"/>
    <n v="4.74"/>
    <n v="40.5"/>
    <n v="7582.9"/>
  </r>
  <r>
    <x v="8"/>
    <x v="27"/>
    <x v="479"/>
    <x v="541"/>
    <x v="0"/>
    <n v="3309.6"/>
    <n v="1065.5"/>
    <n v="0"/>
    <n v="0"/>
    <n v="0"/>
    <n v="0"/>
    <n v="0"/>
    <n v="0"/>
    <n v="1065.5"/>
    <n v="1065.5"/>
    <n v="0"/>
    <n v="0"/>
    <n v="0"/>
    <n v="0"/>
    <n v="1065.5"/>
  </r>
  <r>
    <x v="8"/>
    <x v="27"/>
    <x v="480"/>
    <x v="542"/>
    <x v="0"/>
    <n v="16773.8"/>
    <n v="5638.8"/>
    <n v="0"/>
    <n v="0"/>
    <n v="0"/>
    <n v="0"/>
    <n v="0"/>
    <n v="0"/>
    <n v="5638.8"/>
    <n v="5638.8"/>
    <n v="0"/>
    <n v="0"/>
    <n v="0"/>
    <n v="0"/>
    <n v="5638.8"/>
  </r>
  <r>
    <x v="8"/>
    <x v="27"/>
    <x v="481"/>
    <x v="543"/>
    <x v="0"/>
    <n v="8736.7999999999993"/>
    <n v="2863.5"/>
    <n v="0"/>
    <n v="21"/>
    <n v="0"/>
    <n v="0"/>
    <n v="0"/>
    <n v="0"/>
    <n v="2863.5"/>
    <n v="2863.5"/>
    <n v="0"/>
    <n v="0"/>
    <n v="0"/>
    <n v="0"/>
    <n v="2842.5"/>
  </r>
  <r>
    <x v="8"/>
    <x v="27"/>
    <x v="482"/>
    <x v="544"/>
    <x v="0"/>
    <n v="20515.3"/>
    <n v="6643.7"/>
    <n v="0"/>
    <n v="28.5"/>
    <n v="0"/>
    <n v="0"/>
    <n v="0"/>
    <n v="0"/>
    <n v="6643.7"/>
    <n v="6643.7"/>
    <n v="0"/>
    <n v="0"/>
    <n v="0"/>
    <n v="0"/>
    <n v="6615.2"/>
  </r>
  <r>
    <x v="8"/>
    <x v="27"/>
    <x v="483"/>
    <x v="545"/>
    <x v="0"/>
    <n v="11972.2"/>
    <n v="3958.3"/>
    <n v="0"/>
    <n v="0"/>
    <n v="0"/>
    <n v="0"/>
    <n v="0"/>
    <n v="0"/>
    <n v="3958.3"/>
    <n v="3958.3"/>
    <n v="0"/>
    <n v="0"/>
    <n v="0"/>
    <n v="0"/>
    <n v="3958.3"/>
  </r>
  <r>
    <x v="8"/>
    <x v="28"/>
    <x v="272"/>
    <x v="546"/>
    <x v="0"/>
    <n v="74925.900000000023"/>
    <n v="38101.19999999999"/>
    <n v="0"/>
    <n v="0"/>
    <n v="0"/>
    <n v="0"/>
    <n v="0"/>
    <n v="0"/>
    <n v="38101.200000000004"/>
    <n v="38101.200000000004"/>
    <n v="0"/>
    <n v="0"/>
    <n v="0"/>
    <n v="0"/>
    <n v="38101.19999999999"/>
  </r>
  <r>
    <x v="8"/>
    <x v="28"/>
    <x v="484"/>
    <x v="547"/>
    <x v="3"/>
    <n v="6055"/>
    <n v="2119"/>
    <n v="3487.68"/>
    <n v="346"/>
    <n v="2173.7449999999999"/>
    <n v="244"/>
    <n v="760.721"/>
    <n v="1220.5439999999999"/>
    <n v="2119"/>
    <n v="600.69444444444446"/>
    <n v="0.57999999999999996"/>
    <n v="3.12"/>
    <n v="3.53"/>
    <n v="245"/>
    <n v="1528"/>
  </r>
  <r>
    <x v="8"/>
    <x v="28"/>
    <x v="485"/>
    <x v="548"/>
    <x v="0"/>
    <n v="15622"/>
    <n v="5468"/>
    <n v="0"/>
    <n v="0"/>
    <n v="0"/>
    <n v="0"/>
    <n v="0"/>
    <n v="0"/>
    <n v="5468"/>
    <n v="5468"/>
    <n v="0"/>
    <n v="0"/>
    <n v="0"/>
    <n v="0"/>
    <n v="5468"/>
  </r>
  <r>
    <x v="8"/>
    <x v="28"/>
    <x v="486"/>
    <x v="549"/>
    <x v="3"/>
    <n v="4521"/>
    <n v="1582"/>
    <n v="646.50299999999993"/>
    <n v="101"/>
    <n v="63.293999999999997"/>
    <n v="50"/>
    <n v="22.147999999999996"/>
    <n v="226.22599999999997"/>
    <n v="1582"/>
    <n v="1582"/>
    <n v="0.14000000000000001"/>
    <n v="0.44"/>
    <n v="2.2400000000000002"/>
    <n v="51"/>
    <n v="1430"/>
  </r>
  <r>
    <x v="8"/>
    <x v="28"/>
    <x v="487"/>
    <x v="550"/>
    <x v="3"/>
    <n v="4028"/>
    <n v="1410"/>
    <n v="1647.452"/>
    <n v="194.5"/>
    <n v="426.96800000000002"/>
    <n v="44"/>
    <n v="149.46"/>
    <n v="576.68999999999994"/>
    <n v="1410"/>
    <n v="475.55012224938878"/>
    <n v="0.41"/>
    <n v="3.4"/>
    <n v="2.96"/>
    <n v="43.5"/>
    <n v="1172"/>
  </r>
  <r>
    <x v="8"/>
    <x v="28"/>
    <x v="488"/>
    <x v="551"/>
    <x v="0"/>
    <n v="5537"/>
    <n v="1938"/>
    <n v="902.53099999999995"/>
    <n v="116.5"/>
    <n v="0"/>
    <n v="0"/>
    <n v="0"/>
    <n v="315.89399999999995"/>
    <n v="1938"/>
    <n v="1938"/>
    <n v="0.16"/>
    <n v="0"/>
    <n v="2.71"/>
    <n v="0"/>
    <n v="1821.5"/>
  </r>
  <r>
    <x v="8"/>
    <x v="28"/>
    <x v="489"/>
    <x v="552"/>
    <x v="0"/>
    <n v="17894"/>
    <n v="6263"/>
    <n v="6245.0060000000003"/>
    <n v="536"/>
    <n v="0"/>
    <n v="0"/>
    <n v="0"/>
    <n v="2185.7870000000003"/>
    <n v="6263"/>
    <n v="1535.8166189111746"/>
    <n v="0.35"/>
    <n v="0"/>
    <n v="4.08"/>
    <n v="0"/>
    <n v="5727"/>
  </r>
  <r>
    <x v="8"/>
    <x v="28"/>
    <x v="490"/>
    <x v="553"/>
    <x v="0"/>
    <n v="6605"/>
    <n v="2312"/>
    <n v="0"/>
    <n v="0"/>
    <n v="0"/>
    <n v="0"/>
    <n v="0"/>
    <n v="0"/>
    <n v="2312"/>
    <n v="2312"/>
    <n v="0"/>
    <n v="0"/>
    <n v="0"/>
    <n v="0"/>
    <n v="2312"/>
  </r>
  <r>
    <x v="8"/>
    <x v="28"/>
    <x v="491"/>
    <x v="554"/>
    <x v="0"/>
    <n v="8153"/>
    <n v="2853"/>
    <n v="81.53"/>
    <n v="18"/>
    <n v="0"/>
    <n v="0"/>
    <n v="0"/>
    <n v="28.53"/>
    <n v="2853"/>
    <n v="2853"/>
    <n v="0.01"/>
    <n v="0"/>
    <n v="1.59"/>
    <n v="0"/>
    <n v="2835"/>
  </r>
  <r>
    <x v="8"/>
    <x v="28"/>
    <x v="492"/>
    <x v="555"/>
    <x v="0"/>
    <n v="15734"/>
    <n v="5507"/>
    <n v="0"/>
    <n v="0"/>
    <n v="0"/>
    <n v="0"/>
    <n v="0"/>
    <n v="0"/>
    <n v="5507"/>
    <n v="5507"/>
    <n v="0"/>
    <n v="0"/>
    <n v="0"/>
    <n v="0"/>
    <n v="5507"/>
  </r>
  <r>
    <x v="8"/>
    <x v="28"/>
    <x v="493"/>
    <x v="556"/>
    <x v="0"/>
    <n v="21994"/>
    <n v="7698"/>
    <n v="395.89200000000005"/>
    <n v="53"/>
    <n v="0"/>
    <n v="0"/>
    <n v="0"/>
    <n v="138.56400000000002"/>
    <n v="7698"/>
    <n v="7698"/>
    <n v="0.02"/>
    <n v="0"/>
    <n v="2.61"/>
    <n v="0"/>
    <n v="7645"/>
  </r>
  <r>
    <x v="8"/>
    <x v="28"/>
    <x v="494"/>
    <x v="557"/>
    <x v="0"/>
    <n v="27555"/>
    <n v="9644"/>
    <n v="0"/>
    <n v="0"/>
    <n v="0"/>
    <n v="0"/>
    <n v="0"/>
    <n v="0"/>
    <n v="9644"/>
    <n v="9644"/>
    <n v="0"/>
    <n v="0"/>
    <n v="0"/>
    <n v="0"/>
    <n v="9644"/>
  </r>
  <r>
    <x v="8"/>
    <x v="28"/>
    <x v="495"/>
    <x v="558"/>
    <x v="0"/>
    <n v="4578"/>
    <n v="1602"/>
    <n v="0"/>
    <n v="0"/>
    <n v="0"/>
    <n v="0"/>
    <n v="0"/>
    <n v="0"/>
    <n v="1602"/>
    <n v="1602"/>
    <n v="0"/>
    <n v="0"/>
    <n v="0"/>
    <n v="0"/>
    <n v="1602"/>
  </r>
  <r>
    <x v="8"/>
    <x v="28"/>
    <x v="496"/>
    <x v="559"/>
    <x v="0"/>
    <n v="8379"/>
    <n v="2933"/>
    <n v="75.411000000000001"/>
    <n v="39"/>
    <n v="0"/>
    <n v="0"/>
    <n v="0"/>
    <n v="26.396999999999998"/>
    <n v="2933"/>
    <n v="2933"/>
    <n v="0.01"/>
    <n v="0"/>
    <n v="0.68"/>
    <n v="0"/>
    <n v="2894"/>
  </r>
  <r>
    <x v="8"/>
    <x v="28"/>
    <x v="497"/>
    <x v="560"/>
    <x v="0"/>
    <n v="26371"/>
    <n v="9230"/>
    <n v="606.53300000000002"/>
    <n v="60.5"/>
    <n v="0"/>
    <n v="0"/>
    <n v="0"/>
    <n v="212.29"/>
    <n v="9230"/>
    <n v="9230"/>
    <n v="0.02"/>
    <n v="0"/>
    <n v="3.51"/>
    <n v="0"/>
    <n v="9169.5"/>
  </r>
  <r>
    <x v="8"/>
    <x v="28"/>
    <x v="498"/>
    <x v="561"/>
    <x v="0"/>
    <n v="24698"/>
    <n v="8644"/>
    <n v="0"/>
    <n v="0"/>
    <n v="0"/>
    <n v="0"/>
    <n v="0"/>
    <n v="0"/>
    <n v="8644"/>
    <n v="8644"/>
    <n v="0"/>
    <n v="0"/>
    <n v="0"/>
    <n v="0"/>
    <n v="8644"/>
  </r>
  <r>
    <x v="8"/>
    <x v="28"/>
    <x v="499"/>
    <x v="562"/>
    <x v="0"/>
    <n v="7880"/>
    <n v="2758"/>
    <n v="0"/>
    <n v="14"/>
    <n v="0"/>
    <n v="0"/>
    <n v="0"/>
    <n v="0"/>
    <n v="2758"/>
    <n v="2758"/>
    <n v="0"/>
    <n v="0"/>
    <n v="0"/>
    <n v="0"/>
    <n v="2744"/>
  </r>
  <r>
    <x v="8"/>
    <x v="28"/>
    <x v="500"/>
    <x v="563"/>
    <x v="0"/>
    <n v="168"/>
    <n v="59"/>
    <n v="0"/>
    <n v="0"/>
    <n v="0"/>
    <n v="0"/>
    <n v="0"/>
    <n v="0"/>
    <n v="59"/>
    <n v="59"/>
    <n v="0"/>
    <n v="0"/>
    <n v="0"/>
    <n v="0"/>
    <n v="59"/>
  </r>
  <r>
    <x v="8"/>
    <x v="28"/>
    <x v="501"/>
    <x v="564"/>
    <x v="0"/>
    <n v="25348"/>
    <n v="8872"/>
    <n v="0"/>
    <n v="14"/>
    <n v="0"/>
    <n v="0"/>
    <n v="0"/>
    <n v="0"/>
    <n v="8872"/>
    <n v="8872"/>
    <n v="0"/>
    <n v="0"/>
    <n v="0"/>
    <n v="0"/>
    <n v="8858"/>
  </r>
  <r>
    <x v="8"/>
    <x v="28"/>
    <x v="502"/>
    <x v="565"/>
    <x v="0"/>
    <n v="5106"/>
    <n v="1787"/>
    <n v="0"/>
    <n v="0"/>
    <n v="0"/>
    <n v="0"/>
    <n v="0"/>
    <n v="0"/>
    <n v="1787"/>
    <n v="1787"/>
    <n v="0"/>
    <n v="0"/>
    <n v="0"/>
    <n v="0"/>
    <n v="1787"/>
  </r>
  <r>
    <x v="8"/>
    <x v="28"/>
    <x v="503"/>
    <x v="566"/>
    <x v="0"/>
    <n v="17720"/>
    <n v="6202"/>
    <n v="0"/>
    <n v="0"/>
    <n v="0"/>
    <n v="0"/>
    <n v="0"/>
    <n v="0"/>
    <n v="6202"/>
    <n v="6202"/>
    <n v="0"/>
    <n v="0"/>
    <n v="0"/>
    <n v="0"/>
    <n v="6202"/>
  </r>
  <r>
    <x v="8"/>
    <x v="28"/>
    <x v="504"/>
    <x v="567"/>
    <x v="0"/>
    <n v="9246"/>
    <n v="3236"/>
    <n v="0"/>
    <n v="14.5"/>
    <n v="0"/>
    <n v="0"/>
    <n v="0"/>
    <n v="0"/>
    <n v="3236"/>
    <n v="3236"/>
    <n v="0"/>
    <n v="0"/>
    <n v="0"/>
    <n v="0"/>
    <n v="3221.5"/>
  </r>
  <r>
    <x v="8"/>
    <x v="28"/>
    <x v="505"/>
    <x v="568"/>
    <x v="0"/>
    <n v="21699"/>
    <n v="7595"/>
    <n v="260.38799999999998"/>
    <n v="34"/>
    <n v="0"/>
    <n v="0"/>
    <n v="0"/>
    <n v="91.139999999999986"/>
    <n v="7595"/>
    <n v="7595"/>
    <n v="0.01"/>
    <n v="0"/>
    <n v="2.68"/>
    <n v="0"/>
    <n v="7561"/>
  </r>
  <r>
    <x v="8"/>
    <x v="28"/>
    <x v="506"/>
    <x v="569"/>
    <x v="0"/>
    <n v="12595"/>
    <n v="4408"/>
    <n v="0"/>
    <n v="0"/>
    <n v="0"/>
    <n v="0"/>
    <n v="0"/>
    <n v="0"/>
    <n v="4408"/>
    <n v="4408"/>
    <n v="0"/>
    <n v="0"/>
    <n v="0"/>
    <n v="0"/>
    <n v="4408"/>
  </r>
  <r>
    <x v="8"/>
    <x v="29"/>
    <x v="293"/>
    <x v="570"/>
    <x v="0"/>
    <n v="41"/>
    <n v="7842.2999999999993"/>
    <n v="0"/>
    <n v="0"/>
    <n v="0"/>
    <n v="0"/>
    <n v="0"/>
    <n v="0"/>
    <n v="7842.2999999999993"/>
    <n v="7842.2999999999993"/>
    <n v="0"/>
    <n v="0"/>
    <n v="0"/>
    <n v="0"/>
    <n v="7842.2999999999993"/>
  </r>
  <r>
    <x v="8"/>
    <x v="29"/>
    <x v="507"/>
    <x v="571"/>
    <x v="0"/>
    <n v="4"/>
    <n v="368"/>
    <n v="0.91200000000000003"/>
    <n v="20"/>
    <n v="0"/>
    <n v="0"/>
    <n v="0"/>
    <n v="83.903999999999996"/>
    <n v="368"/>
    <n v="368"/>
    <n v="0.23"/>
    <n v="0"/>
    <n v="4.2"/>
    <n v="0"/>
    <n v="348"/>
  </r>
  <r>
    <x v="8"/>
    <x v="29"/>
    <x v="508"/>
    <x v="572"/>
    <x v="0"/>
    <n v="11"/>
    <n v="1012"/>
    <n v="0"/>
    <n v="0"/>
    <n v="0"/>
    <n v="0"/>
    <n v="0"/>
    <n v="0"/>
    <n v="1012"/>
    <n v="1012"/>
    <n v="0"/>
    <n v="0"/>
    <n v="0"/>
    <n v="0"/>
    <n v="1012"/>
  </r>
  <r>
    <x v="8"/>
    <x v="29"/>
    <x v="509"/>
    <x v="573"/>
    <x v="0"/>
    <n v="6"/>
    <n v="552"/>
    <n v="1.8240000000000001"/>
    <n v="40.5"/>
    <n v="0"/>
    <n v="0"/>
    <n v="0"/>
    <n v="167.80799999999999"/>
    <n v="552"/>
    <n v="133.22368421052633"/>
    <n v="0.3"/>
    <n v="0"/>
    <n v="4.1399999999999997"/>
    <n v="0"/>
    <n v="511.5"/>
  </r>
  <r>
    <x v="8"/>
    <x v="29"/>
    <x v="510"/>
    <x v="574"/>
    <x v="0"/>
    <n v="8"/>
    <n v="736"/>
    <n v="1.8880000000000001"/>
    <n v="50.5"/>
    <n v="0"/>
    <n v="0"/>
    <n v="0"/>
    <n v="173.696"/>
    <n v="736"/>
    <n v="736"/>
    <n v="0.24"/>
    <n v="0"/>
    <n v="3.44"/>
    <n v="0"/>
    <n v="685.5"/>
  </r>
  <r>
    <x v="8"/>
    <x v="29"/>
    <x v="511"/>
    <x v="575"/>
    <x v="3"/>
    <n v="12"/>
    <n v="1104"/>
    <n v="1.3680000000000001"/>
    <n v="49.5"/>
    <n v="1.3680000000000001"/>
    <n v="40"/>
    <n v="125.85600000000001"/>
    <n v="125.85600000000001"/>
    <n v="1104"/>
    <n v="1104"/>
    <n v="0.11"/>
    <n v="3.15"/>
    <n v="2.54"/>
    <n v="41"/>
    <n v="1013.5"/>
  </r>
  <r>
    <x v="8"/>
    <x v="29"/>
    <x v="512"/>
    <x v="576"/>
    <x v="0"/>
    <n v="12"/>
    <n v="1104"/>
    <n v="1.8959999999999999"/>
    <n v="71.5"/>
    <n v="0"/>
    <n v="0"/>
    <n v="0"/>
    <n v="174.43199999999999"/>
    <n v="1104"/>
    <n v="1104"/>
    <n v="0.16"/>
    <n v="0"/>
    <n v="2.44"/>
    <n v="0"/>
    <n v="1032.5"/>
  </r>
  <r>
    <x v="8"/>
    <x v="29"/>
    <x v="513"/>
    <x v="577"/>
    <x v="0"/>
    <n v="4"/>
    <n v="368"/>
    <n v="0"/>
    <n v="0"/>
    <n v="0"/>
    <n v="0"/>
    <n v="0"/>
    <n v="0"/>
    <n v="368"/>
    <n v="368"/>
    <n v="0"/>
    <n v="0"/>
    <n v="0"/>
    <n v="0"/>
    <n v="368"/>
  </r>
  <r>
    <x v="8"/>
    <x v="29"/>
    <x v="514"/>
    <x v="578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15"/>
    <x v="579"/>
    <x v="0"/>
    <n v="10"/>
    <n v="920"/>
    <n v="0"/>
    <n v="0"/>
    <n v="0"/>
    <n v="0"/>
    <n v="0"/>
    <n v="0"/>
    <n v="920"/>
    <n v="920"/>
    <n v="0"/>
    <n v="0"/>
    <n v="0"/>
    <n v="0"/>
    <n v="920"/>
  </r>
  <r>
    <x v="8"/>
    <x v="29"/>
    <x v="516"/>
    <x v="580"/>
    <x v="0"/>
    <n v="21"/>
    <n v="1932"/>
    <n v="1.8900000000000001"/>
    <n v="120"/>
    <n v="0"/>
    <n v="0"/>
    <n v="0"/>
    <n v="173.88000000000002"/>
    <n v="1932"/>
    <n v="1932"/>
    <n v="0.09"/>
    <n v="0"/>
    <n v="1.45"/>
    <n v="0"/>
    <n v="1812"/>
  </r>
  <r>
    <x v="8"/>
    <x v="29"/>
    <x v="517"/>
    <x v="581"/>
    <x v="0"/>
    <n v="22"/>
    <n v="2024"/>
    <n v="0"/>
    <n v="0"/>
    <n v="0"/>
    <n v="0"/>
    <n v="0"/>
    <n v="0"/>
    <n v="2024"/>
    <n v="2024"/>
    <n v="0"/>
    <n v="0"/>
    <n v="0"/>
    <n v="0"/>
    <n v="2024"/>
  </r>
  <r>
    <x v="8"/>
    <x v="29"/>
    <x v="518"/>
    <x v="582"/>
    <x v="0"/>
    <n v="4"/>
    <n v="368"/>
    <n v="0"/>
    <n v="0"/>
    <n v="0"/>
    <n v="0"/>
    <n v="0"/>
    <n v="0"/>
    <n v="368"/>
    <n v="368"/>
    <n v="0"/>
    <n v="0"/>
    <n v="0"/>
    <n v="0"/>
    <n v="368"/>
  </r>
  <r>
    <x v="8"/>
    <x v="29"/>
    <x v="519"/>
    <x v="583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20"/>
    <x v="584"/>
    <x v="0"/>
    <n v="31"/>
    <n v="2852"/>
    <n v="2.8519999999999999"/>
    <n v="48.5"/>
    <n v="0"/>
    <n v="0"/>
    <n v="0"/>
    <n v="262.38400000000001"/>
    <n v="2852"/>
    <n v="2852"/>
    <n v="0.09"/>
    <n v="0"/>
    <n v="5.41"/>
    <n v="0"/>
    <n v="2803.5"/>
  </r>
  <r>
    <x v="8"/>
    <x v="29"/>
    <x v="521"/>
    <x v="585"/>
    <x v="0"/>
    <n v="10"/>
    <n v="920"/>
    <n v="0.45"/>
    <n v="50.5"/>
    <n v="0"/>
    <n v="0"/>
    <n v="0"/>
    <n v="41.4"/>
    <n v="920"/>
    <n v="920"/>
    <n v="0.05"/>
    <n v="0"/>
    <n v="0.82"/>
    <n v="0"/>
    <n v="869.5"/>
  </r>
  <r>
    <x v="8"/>
    <x v="29"/>
    <x v="522"/>
    <x v="586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23"/>
    <x v="587"/>
    <x v="3"/>
    <n v="29"/>
    <n v="2668"/>
    <n v="3.2770000000000001"/>
    <n v="95"/>
    <n v="1.3919999999999999"/>
    <n v="62"/>
    <n v="128.06399999999999"/>
    <n v="301.48399999999998"/>
    <n v="2668"/>
    <n v="2668"/>
    <n v="0.11"/>
    <n v="2.0699999999999998"/>
    <n v="3.17"/>
    <n v="62.5"/>
    <n v="2510.5"/>
  </r>
  <r>
    <x v="8"/>
    <x v="29"/>
    <x v="524"/>
    <x v="588"/>
    <x v="0"/>
    <n v="4"/>
    <n v="368"/>
    <n v="0"/>
    <n v="0"/>
    <n v="0"/>
    <n v="0"/>
    <n v="0"/>
    <n v="0"/>
    <n v="368"/>
    <n v="368"/>
    <n v="0"/>
    <n v="0"/>
    <n v="0"/>
    <n v="0"/>
    <n v="368"/>
  </r>
  <r>
    <x v="8"/>
    <x v="29"/>
    <x v="525"/>
    <x v="589"/>
    <x v="0"/>
    <n v="10"/>
    <n v="920"/>
    <n v="0"/>
    <n v="0"/>
    <n v="0"/>
    <n v="0"/>
    <n v="0"/>
    <n v="0"/>
    <n v="920"/>
    <n v="920"/>
    <n v="0"/>
    <n v="0"/>
    <n v="0"/>
    <n v="0"/>
    <n v="920"/>
  </r>
  <r>
    <x v="8"/>
    <x v="29"/>
    <x v="526"/>
    <x v="590"/>
    <x v="0"/>
    <n v="8"/>
    <n v="736"/>
    <n v="0"/>
    <n v="0"/>
    <n v="0"/>
    <n v="0"/>
    <n v="0"/>
    <n v="0"/>
    <n v="736"/>
    <n v="736"/>
    <n v="0"/>
    <n v="0"/>
    <n v="0"/>
    <n v="0"/>
    <n v="736"/>
  </r>
  <r>
    <x v="8"/>
    <x v="29"/>
    <x v="527"/>
    <x v="591"/>
    <x v="0"/>
    <n v="22"/>
    <n v="2024"/>
    <n v="0"/>
    <n v="0"/>
    <n v="0"/>
    <n v="0"/>
    <n v="0"/>
    <n v="0"/>
    <n v="2024"/>
    <n v="2024"/>
    <n v="0"/>
    <n v="0"/>
    <n v="0"/>
    <n v="0"/>
    <n v="2024"/>
  </r>
  <r>
    <x v="8"/>
    <x v="29"/>
    <x v="528"/>
    <x v="592"/>
    <x v="0"/>
    <n v="10"/>
    <n v="920"/>
    <n v="0"/>
    <n v="0"/>
    <n v="0"/>
    <n v="0"/>
    <n v="0"/>
    <n v="0"/>
    <n v="920"/>
    <n v="920"/>
    <n v="0"/>
    <n v="0"/>
    <n v="0"/>
    <n v="0"/>
    <n v="920"/>
  </r>
  <r>
    <x v="8"/>
    <x v="29"/>
    <x v="529"/>
    <x v="593"/>
    <x v="6"/>
    <n v="89"/>
    <n v="178"/>
    <n v="24.03"/>
    <n v="97"/>
    <n v="14.061999999999999"/>
    <n v="60"/>
    <n v="28.123999999999999"/>
    <n v="48.06"/>
    <n v="178"/>
    <n v="359.25925925925924"/>
    <n v="0.27"/>
    <n v="0.47"/>
    <n v="0.5"/>
    <n v="60"/>
    <n v="21"/>
  </r>
  <r>
    <x v="8"/>
    <x v="29"/>
    <x v="530"/>
    <x v="594"/>
    <x v="0"/>
    <n v="86"/>
    <n v="172"/>
    <n v="6.9660000000000002"/>
    <n v="15.5"/>
    <n v="0"/>
    <n v="0"/>
    <n v="0"/>
    <n v="13.932"/>
    <n v="172"/>
    <n v="172"/>
    <n v="0.08"/>
    <n v="0"/>
    <n v="0.9"/>
    <n v="0"/>
    <n v="156.5"/>
  </r>
  <r>
    <x v="8"/>
    <x v="29"/>
    <x v="531"/>
    <x v="595"/>
    <x v="0"/>
    <n v="87"/>
    <n v="174"/>
    <n v="0"/>
    <n v="0"/>
    <n v="0"/>
    <n v="0"/>
    <n v="0"/>
    <n v="0"/>
    <n v="174"/>
    <n v="174"/>
    <n v="0"/>
    <n v="0"/>
    <n v="0"/>
    <n v="0"/>
    <n v="174"/>
  </r>
  <r>
    <x v="8"/>
    <x v="30"/>
    <x v="314"/>
    <x v="596"/>
    <x v="0"/>
    <n v="295520"/>
    <n v="9382.6999999999989"/>
    <n v="0"/>
    <n v="0"/>
    <n v="0"/>
    <n v="0"/>
    <n v="0"/>
    <n v="0"/>
    <n v="9382.6999999999989"/>
    <n v="9382.6999999999989"/>
    <n v="0"/>
    <n v="0"/>
    <n v="0"/>
    <n v="0"/>
    <n v="9382.6999999999989"/>
  </r>
  <r>
    <x v="8"/>
    <x v="30"/>
    <x v="532"/>
    <x v="59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3"/>
    <x v="59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4"/>
    <x v="59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5"/>
    <x v="60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6"/>
    <x v="60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7"/>
    <x v="60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8"/>
    <x v="60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39"/>
    <x v="60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0"/>
    <x v="60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1"/>
    <x v="60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2"/>
    <x v="60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3"/>
    <x v="60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4"/>
    <x v="60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5"/>
    <x v="61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6"/>
    <x v="61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7"/>
    <x v="61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8"/>
    <x v="61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49"/>
    <x v="61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0"/>
    <x v="61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1"/>
    <x v="61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2"/>
    <x v="61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553"/>
    <x v="61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4"/>
    <x v="619"/>
    <x v="0"/>
    <n v="73880"/>
    <n v="1340.9999999999998"/>
    <n v="0"/>
    <n v="0"/>
    <n v="0"/>
    <n v="0"/>
    <n v="0"/>
    <n v="0"/>
    <n v="1340.9999999999998"/>
    <n v="1340.9999999999998"/>
    <n v="0"/>
    <n v="0"/>
    <n v="0"/>
    <n v="0"/>
    <n v="1340.9999999999998"/>
  </r>
  <r>
    <x v="8"/>
    <x v="39"/>
    <x v="555"/>
    <x v="62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6"/>
    <x v="62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7"/>
    <x v="62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8"/>
    <x v="62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59"/>
    <x v="62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0"/>
    <x v="62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1"/>
    <x v="62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2"/>
    <x v="62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3"/>
    <x v="62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4"/>
    <x v="62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5"/>
    <x v="63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6"/>
    <x v="63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7"/>
    <x v="632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8"/>
    <x v="633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69"/>
    <x v="63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0"/>
    <x v="635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1"/>
    <x v="636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2"/>
    <x v="637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3"/>
    <x v="638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4"/>
    <x v="639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5"/>
    <x v="64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9"/>
    <x v="576"/>
    <x v="641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32"/>
    <x v="337"/>
    <x v="642"/>
    <x v="0"/>
    <n v="219.89999999999964"/>
    <n v="1198.0999999999985"/>
    <n v="0"/>
    <n v="0"/>
    <n v="0"/>
    <n v="0"/>
    <n v="0"/>
    <n v="0"/>
    <n v="1198.0999999999985"/>
    <n v="1198.0999999999985"/>
    <n v="0"/>
    <n v="0"/>
    <n v="0"/>
    <n v="0"/>
    <n v="1198.0999999999985"/>
  </r>
  <r>
    <x v="8"/>
    <x v="32"/>
    <x v="577"/>
    <x v="643"/>
    <x v="0"/>
    <n v="743"/>
    <n v="1697.25"/>
    <n v="0"/>
    <n v="0"/>
    <n v="0"/>
    <n v="0"/>
    <n v="0"/>
    <n v="0"/>
    <n v="1697.25"/>
    <n v="1697.25"/>
    <n v="0"/>
    <n v="0"/>
    <n v="0"/>
    <n v="0"/>
    <n v="1697.25"/>
  </r>
  <r>
    <x v="8"/>
    <x v="32"/>
    <x v="578"/>
    <x v="644"/>
    <x v="0"/>
    <n v="1144"/>
    <n v="2625"/>
    <n v="0"/>
    <n v="0"/>
    <n v="0"/>
    <n v="0"/>
    <n v="0"/>
    <n v="0"/>
    <n v="2625"/>
    <n v="2625"/>
    <n v="0"/>
    <n v="0"/>
    <n v="0"/>
    <n v="0"/>
    <n v="2625"/>
  </r>
  <r>
    <x v="8"/>
    <x v="32"/>
    <x v="579"/>
    <x v="645"/>
    <x v="0"/>
    <n v="600"/>
    <n v="1376.25"/>
    <n v="0"/>
    <n v="0"/>
    <n v="0"/>
    <n v="0"/>
    <n v="0"/>
    <n v="0"/>
    <n v="1376.25"/>
    <n v="1376.25"/>
    <n v="0"/>
    <n v="0"/>
    <n v="0"/>
    <n v="0"/>
    <n v="1376.25"/>
  </r>
  <r>
    <x v="8"/>
    <x v="32"/>
    <x v="580"/>
    <x v="646"/>
    <x v="0"/>
    <n v="669"/>
    <n v="1557.5"/>
    <n v="0"/>
    <n v="0"/>
    <n v="0"/>
    <n v="0"/>
    <n v="0"/>
    <n v="0"/>
    <n v="1557.5"/>
    <n v="1557.5"/>
    <n v="0"/>
    <n v="0"/>
    <n v="0"/>
    <n v="0"/>
    <n v="1557.5"/>
  </r>
  <r>
    <x v="8"/>
    <x v="32"/>
    <x v="581"/>
    <x v="647"/>
    <x v="0"/>
    <n v="58"/>
    <n v="130.5"/>
    <n v="0"/>
    <n v="0"/>
    <n v="0"/>
    <n v="0"/>
    <n v="0"/>
    <n v="0"/>
    <n v="130.5"/>
    <n v="130.5"/>
    <n v="0"/>
    <n v="0"/>
    <n v="0"/>
    <n v="0"/>
    <n v="130.5"/>
  </r>
  <r>
    <x v="8"/>
    <x v="32"/>
    <x v="582"/>
    <x v="648"/>
    <x v="0"/>
    <n v="653"/>
    <n v="1599.25"/>
    <n v="0"/>
    <n v="0"/>
    <n v="0"/>
    <n v="0"/>
    <n v="0"/>
    <n v="0"/>
    <n v="1599.25"/>
    <n v="1599.25"/>
    <n v="0"/>
    <n v="0"/>
    <n v="0"/>
    <n v="0"/>
    <n v="1599.25"/>
  </r>
  <r>
    <x v="8"/>
    <x v="32"/>
    <x v="583"/>
    <x v="649"/>
    <x v="0"/>
    <n v="882"/>
    <n v="1987"/>
    <n v="0"/>
    <n v="0"/>
    <n v="0"/>
    <n v="0"/>
    <n v="0"/>
    <n v="0"/>
    <n v="1987"/>
    <n v="1987"/>
    <n v="0"/>
    <n v="0"/>
    <n v="0"/>
    <n v="0"/>
    <n v="1987"/>
  </r>
  <r>
    <x v="8"/>
    <x v="32"/>
    <x v="584"/>
    <x v="650"/>
    <x v="0"/>
    <n v="386"/>
    <n v="922"/>
    <n v="0"/>
    <n v="0"/>
    <n v="0"/>
    <n v="0"/>
    <n v="0"/>
    <n v="0"/>
    <n v="922"/>
    <n v="922"/>
    <n v="0"/>
    <n v="0"/>
    <n v="0"/>
    <n v="0"/>
    <n v="922"/>
  </r>
  <r>
    <x v="8"/>
    <x v="32"/>
    <x v="585"/>
    <x v="651"/>
    <x v="0"/>
    <n v="731"/>
    <n v="1646"/>
    <n v="0"/>
    <n v="0"/>
    <n v="0"/>
    <n v="0"/>
    <n v="0"/>
    <n v="0"/>
    <n v="1646"/>
    <n v="1646"/>
    <n v="0"/>
    <n v="0"/>
    <n v="0"/>
    <n v="0"/>
    <n v="1646"/>
  </r>
  <r>
    <x v="8"/>
    <x v="32"/>
    <x v="586"/>
    <x v="652"/>
    <x v="0"/>
    <n v="29"/>
    <n v="65.25"/>
    <n v="0"/>
    <n v="0"/>
    <n v="0"/>
    <n v="0"/>
    <n v="0"/>
    <n v="0"/>
    <n v="65.25"/>
    <n v="65.25"/>
    <n v="0"/>
    <n v="0"/>
    <n v="0"/>
    <n v="0"/>
    <n v="65.25"/>
  </r>
  <r>
    <x v="8"/>
    <x v="32"/>
    <x v="587"/>
    <x v="653"/>
    <x v="0"/>
    <n v="388"/>
    <n v="926.25"/>
    <n v="0"/>
    <n v="0"/>
    <n v="0"/>
    <n v="0"/>
    <n v="0"/>
    <n v="0"/>
    <n v="926.25"/>
    <n v="926.25"/>
    <n v="0"/>
    <n v="0"/>
    <n v="0"/>
    <n v="0"/>
    <n v="926.25"/>
  </r>
  <r>
    <x v="8"/>
    <x v="32"/>
    <x v="588"/>
    <x v="654"/>
    <x v="0"/>
    <n v="377"/>
    <n v="925.25"/>
    <n v="0"/>
    <n v="0"/>
    <n v="0"/>
    <n v="0"/>
    <n v="0"/>
    <n v="0"/>
    <n v="925.25"/>
    <n v="925.25"/>
    <n v="0"/>
    <n v="0"/>
    <n v="0"/>
    <n v="0"/>
    <n v="925.25"/>
  </r>
  <r>
    <x v="8"/>
    <x v="32"/>
    <x v="589"/>
    <x v="655"/>
    <x v="0"/>
    <n v="579"/>
    <n v="1329.75"/>
    <n v="0"/>
    <n v="0"/>
    <n v="0"/>
    <n v="0"/>
    <n v="0"/>
    <n v="0"/>
    <n v="1329.75"/>
    <n v="1329.75"/>
    <n v="0"/>
    <n v="0"/>
    <n v="0"/>
    <n v="0"/>
    <n v="1329.75"/>
  </r>
  <r>
    <x v="8"/>
    <x v="32"/>
    <x v="590"/>
    <x v="656"/>
    <x v="0"/>
    <n v="40"/>
    <n v="90"/>
    <n v="0"/>
    <n v="0"/>
    <n v="0"/>
    <n v="0"/>
    <n v="0"/>
    <n v="0"/>
    <n v="90"/>
    <n v="90"/>
    <n v="0"/>
    <n v="0"/>
    <n v="0"/>
    <n v="0"/>
    <n v="90"/>
  </r>
  <r>
    <x v="8"/>
    <x v="32"/>
    <x v="591"/>
    <x v="657"/>
    <x v="0"/>
    <n v="559"/>
    <n v="1284.5"/>
    <n v="0"/>
    <n v="0"/>
    <n v="0"/>
    <n v="0"/>
    <n v="0"/>
    <n v="0"/>
    <n v="1284.5"/>
    <n v="1284.5"/>
    <n v="0"/>
    <n v="0"/>
    <n v="0"/>
    <n v="0"/>
    <n v="1284.5"/>
  </r>
  <r>
    <x v="8"/>
    <x v="32"/>
    <x v="592"/>
    <x v="658"/>
    <x v="0"/>
    <n v="656"/>
    <n v="1501.25"/>
    <n v="0"/>
    <n v="0"/>
    <n v="0"/>
    <n v="0"/>
    <n v="0"/>
    <n v="0"/>
    <n v="1501.25"/>
    <n v="1501.25"/>
    <n v="0"/>
    <n v="0"/>
    <n v="0"/>
    <n v="0"/>
    <n v="1501.25"/>
  </r>
  <r>
    <x v="8"/>
    <x v="32"/>
    <x v="593"/>
    <x v="659"/>
    <x v="0"/>
    <n v="573"/>
    <n v="1316.75"/>
    <n v="0"/>
    <n v="0"/>
    <n v="0"/>
    <n v="0"/>
    <n v="0"/>
    <n v="0"/>
    <n v="1316.75"/>
    <n v="1316.75"/>
    <n v="0"/>
    <n v="0"/>
    <n v="0"/>
    <n v="0"/>
    <n v="1316.75"/>
  </r>
  <r>
    <x v="8"/>
    <x v="32"/>
    <x v="594"/>
    <x v="660"/>
    <x v="0"/>
    <n v="731"/>
    <n v="1646"/>
    <n v="0"/>
    <n v="0"/>
    <n v="0"/>
    <n v="0"/>
    <n v="0"/>
    <n v="0"/>
    <n v="1646"/>
    <n v="1646"/>
    <n v="0"/>
    <n v="0"/>
    <n v="0"/>
    <n v="0"/>
    <n v="1646"/>
  </r>
  <r>
    <x v="8"/>
    <x v="32"/>
    <x v="595"/>
    <x v="661"/>
    <x v="0"/>
    <n v="29"/>
    <n v="65.25"/>
    <n v="0"/>
    <n v="0"/>
    <n v="0"/>
    <n v="0"/>
    <n v="0"/>
    <n v="0"/>
    <n v="65.25"/>
    <n v="65.25"/>
    <n v="0"/>
    <n v="0"/>
    <n v="0"/>
    <n v="0"/>
    <n v="65.25"/>
  </r>
  <r>
    <x v="8"/>
    <x v="32"/>
    <x v="596"/>
    <x v="662"/>
    <x v="0"/>
    <n v="143"/>
    <n v="347.25"/>
    <n v="0"/>
    <n v="0"/>
    <n v="0"/>
    <n v="0"/>
    <n v="0"/>
    <n v="0"/>
    <n v="347.25"/>
    <n v="347.25"/>
    <n v="0"/>
    <n v="0"/>
    <n v="0"/>
    <n v="0"/>
    <n v="347.25"/>
  </r>
  <r>
    <x v="8"/>
    <x v="32"/>
    <x v="597"/>
    <x v="663"/>
    <x v="0"/>
    <n v="635"/>
    <n v="1453.5"/>
    <n v="0"/>
    <n v="0"/>
    <n v="0"/>
    <n v="0"/>
    <n v="0"/>
    <n v="0"/>
    <n v="1453.5"/>
    <n v="1453.5"/>
    <n v="0"/>
    <n v="0"/>
    <n v="0"/>
    <n v="0"/>
    <n v="1453.5"/>
  </r>
  <r>
    <x v="8"/>
    <x v="32"/>
    <x v="598"/>
    <x v="664"/>
    <x v="0"/>
    <n v="965"/>
    <n v="2224"/>
    <n v="0"/>
    <n v="0"/>
    <n v="0"/>
    <n v="0"/>
    <n v="0"/>
    <n v="0"/>
    <n v="2224"/>
    <n v="2224"/>
    <n v="0"/>
    <n v="0"/>
    <n v="0"/>
    <n v="0"/>
    <n v="2224"/>
  </r>
  <r>
    <x v="8"/>
    <x v="32"/>
    <x v="599"/>
    <x v="665"/>
    <x v="0"/>
    <n v="874"/>
    <n v="1966.75"/>
    <n v="0"/>
    <n v="0"/>
    <n v="0"/>
    <n v="0"/>
    <n v="0"/>
    <n v="0"/>
    <n v="1966.75"/>
    <n v="1966.75"/>
    <n v="0"/>
    <n v="0"/>
    <n v="0"/>
    <n v="0"/>
    <n v="1966.75"/>
  </r>
  <r>
    <x v="8"/>
    <x v="32"/>
    <x v="600"/>
    <x v="666"/>
    <x v="0"/>
    <n v="618"/>
    <n v="1444.5"/>
    <n v="0"/>
    <n v="0"/>
    <n v="0"/>
    <n v="0"/>
    <n v="0"/>
    <n v="0"/>
    <n v="1444.5"/>
    <n v="1444.5"/>
    <n v="0"/>
    <n v="0"/>
    <n v="0"/>
    <n v="0"/>
    <n v="1444.5"/>
  </r>
  <r>
    <x v="8"/>
    <x v="33"/>
    <x v="339"/>
    <x v="667"/>
    <x v="0"/>
    <n v="0.39999999999781721"/>
    <n v="-2.0000000000436557E-2"/>
    <n v="0"/>
    <n v="0"/>
    <n v="0"/>
    <n v="0"/>
    <n v="0"/>
    <n v="0"/>
    <n v="5137"/>
    <n v="5137"/>
    <n v="0"/>
    <n v="0"/>
    <n v="0"/>
    <n v="0"/>
    <n v="-2.0000000000436557E-2"/>
  </r>
  <r>
    <x v="8"/>
    <x v="33"/>
    <x v="601"/>
    <x v="668"/>
    <x v="2"/>
    <n v="3904"/>
    <n v="642"/>
    <n v="0"/>
    <n v="0"/>
    <n v="0"/>
    <n v="0"/>
    <n v="0"/>
    <n v="0"/>
    <n v="0"/>
    <n v="0"/>
    <n v="0"/>
    <n v="0"/>
    <n v="0"/>
    <n v="0"/>
    <n v="642"/>
  </r>
  <r>
    <x v="8"/>
    <x v="33"/>
    <x v="602"/>
    <x v="669"/>
    <x v="2"/>
    <n v="1520"/>
    <n v="296"/>
    <n v="0"/>
    <n v="0"/>
    <n v="0"/>
    <n v="0"/>
    <n v="0"/>
    <n v="0"/>
    <n v="0"/>
    <n v="0"/>
    <n v="0"/>
    <n v="0"/>
    <n v="0"/>
    <n v="0"/>
    <n v="296"/>
  </r>
  <r>
    <x v="8"/>
    <x v="33"/>
    <x v="603"/>
    <x v="670"/>
    <x v="2"/>
    <n v="638"/>
    <n v="129"/>
    <n v="0"/>
    <n v="0"/>
    <n v="0"/>
    <n v="0"/>
    <n v="0"/>
    <n v="0"/>
    <n v="0"/>
    <n v="0"/>
    <n v="0"/>
    <n v="0"/>
    <n v="0"/>
    <n v="0"/>
    <n v="129"/>
  </r>
  <r>
    <x v="8"/>
    <x v="33"/>
    <x v="604"/>
    <x v="671"/>
    <x v="2"/>
    <n v="513"/>
    <n v="111"/>
    <n v="0"/>
    <n v="0"/>
    <n v="0"/>
    <n v="0"/>
    <n v="0"/>
    <n v="0"/>
    <n v="0"/>
    <n v="0"/>
    <n v="0"/>
    <n v="0"/>
    <n v="0"/>
    <n v="0"/>
    <n v="111"/>
  </r>
  <r>
    <x v="8"/>
    <x v="33"/>
    <x v="605"/>
    <x v="672"/>
    <x v="2"/>
    <n v="42"/>
    <n v="9"/>
    <n v="0"/>
    <n v="0"/>
    <n v="0"/>
    <n v="0"/>
    <n v="0"/>
    <n v="0"/>
    <n v="0"/>
    <n v="0"/>
    <n v="0"/>
    <n v="0"/>
    <n v="0"/>
    <n v="0"/>
    <n v="9"/>
  </r>
  <r>
    <x v="8"/>
    <x v="33"/>
    <x v="606"/>
    <x v="673"/>
    <x v="2"/>
    <n v="3990"/>
    <n v="668"/>
    <n v="0"/>
    <n v="0"/>
    <n v="0"/>
    <n v="0"/>
    <n v="0"/>
    <n v="0"/>
    <n v="0"/>
    <n v="0"/>
    <n v="0"/>
    <n v="0"/>
    <n v="0"/>
    <n v="0"/>
    <n v="668"/>
  </r>
  <r>
    <x v="8"/>
    <x v="33"/>
    <x v="607"/>
    <x v="674"/>
    <x v="2"/>
    <n v="3624"/>
    <n v="617"/>
    <n v="0"/>
    <n v="0"/>
    <n v="0"/>
    <n v="0"/>
    <n v="0"/>
    <n v="0"/>
    <n v="0"/>
    <n v="0"/>
    <n v="0"/>
    <n v="0"/>
    <n v="0"/>
    <n v="0"/>
    <n v="617"/>
  </r>
  <r>
    <x v="8"/>
    <x v="33"/>
    <x v="608"/>
    <x v="675"/>
    <x v="2"/>
    <n v="381"/>
    <n v="82"/>
    <n v="0"/>
    <n v="0"/>
    <n v="0"/>
    <n v="0"/>
    <n v="0"/>
    <n v="0"/>
    <n v="0"/>
    <n v="0"/>
    <n v="0"/>
    <n v="0"/>
    <n v="0"/>
    <n v="0"/>
    <n v="82"/>
  </r>
  <r>
    <x v="8"/>
    <x v="33"/>
    <x v="609"/>
    <x v="676"/>
    <x v="2"/>
    <n v="677"/>
    <n v="148"/>
    <n v="0"/>
    <n v="0"/>
    <n v="0"/>
    <n v="0"/>
    <n v="0"/>
    <n v="0"/>
    <n v="0"/>
    <n v="0"/>
    <n v="0"/>
    <n v="0"/>
    <n v="0"/>
    <n v="0"/>
    <n v="148"/>
  </r>
  <r>
    <x v="8"/>
    <x v="33"/>
    <x v="610"/>
    <x v="677"/>
    <x v="2"/>
    <n v="22"/>
    <n v="5"/>
    <n v="0"/>
    <n v="0"/>
    <n v="0"/>
    <n v="0"/>
    <n v="0"/>
    <n v="0"/>
    <n v="0"/>
    <n v="0"/>
    <n v="0"/>
    <n v="0"/>
    <n v="0"/>
    <n v="0"/>
    <n v="5"/>
  </r>
  <r>
    <x v="8"/>
    <x v="33"/>
    <x v="611"/>
    <x v="678"/>
    <x v="2"/>
    <n v="2833"/>
    <n v="476"/>
    <n v="0"/>
    <n v="0"/>
    <n v="0"/>
    <n v="0"/>
    <n v="0"/>
    <n v="0"/>
    <n v="0"/>
    <n v="0"/>
    <n v="0"/>
    <n v="0"/>
    <n v="0"/>
    <n v="0"/>
    <n v="476"/>
  </r>
  <r>
    <x v="8"/>
    <x v="33"/>
    <x v="612"/>
    <x v="679"/>
    <x v="2"/>
    <n v="367"/>
    <n v="79"/>
    <n v="0"/>
    <n v="0"/>
    <n v="0"/>
    <n v="0"/>
    <n v="0"/>
    <n v="0"/>
    <n v="0"/>
    <n v="0"/>
    <n v="0"/>
    <n v="0"/>
    <n v="0"/>
    <n v="0"/>
    <n v="79"/>
  </r>
  <r>
    <x v="8"/>
    <x v="33"/>
    <x v="613"/>
    <x v="680"/>
    <x v="2"/>
    <n v="515"/>
    <n v="111"/>
    <n v="0"/>
    <n v="0"/>
    <n v="0"/>
    <n v="0"/>
    <n v="0"/>
    <n v="0"/>
    <n v="0"/>
    <n v="0"/>
    <n v="0"/>
    <n v="0"/>
    <n v="0"/>
    <n v="0"/>
    <n v="111"/>
  </r>
  <r>
    <x v="8"/>
    <x v="33"/>
    <x v="614"/>
    <x v="681"/>
    <x v="2"/>
    <n v="2253"/>
    <n v="361"/>
    <n v="0"/>
    <n v="0"/>
    <n v="0"/>
    <n v="0"/>
    <n v="0"/>
    <n v="0"/>
    <n v="0"/>
    <n v="0"/>
    <n v="0"/>
    <n v="0"/>
    <n v="0"/>
    <n v="0"/>
    <n v="361"/>
  </r>
  <r>
    <x v="8"/>
    <x v="33"/>
    <x v="615"/>
    <x v="682"/>
    <x v="2"/>
    <n v="28"/>
    <n v="6"/>
    <n v="0"/>
    <n v="0"/>
    <n v="0"/>
    <n v="0"/>
    <n v="0"/>
    <n v="0"/>
    <n v="0"/>
    <n v="0"/>
    <n v="0"/>
    <n v="0"/>
    <n v="0"/>
    <n v="0"/>
    <n v="6"/>
  </r>
  <r>
    <x v="8"/>
    <x v="33"/>
    <x v="616"/>
    <x v="683"/>
    <x v="2"/>
    <n v="3340"/>
    <n v="522"/>
    <n v="0"/>
    <n v="0"/>
    <n v="0"/>
    <n v="0"/>
    <n v="0"/>
    <n v="0"/>
    <n v="0"/>
    <n v="0"/>
    <n v="0"/>
    <n v="0"/>
    <n v="0"/>
    <n v="0"/>
    <n v="522"/>
  </r>
  <r>
    <x v="8"/>
    <x v="33"/>
    <x v="617"/>
    <x v="684"/>
    <x v="2"/>
    <n v="850"/>
    <n v="175"/>
    <n v="0"/>
    <n v="0"/>
    <n v="0"/>
    <n v="0"/>
    <n v="0"/>
    <n v="0"/>
    <n v="0"/>
    <n v="0"/>
    <n v="0"/>
    <n v="0"/>
    <n v="0"/>
    <n v="0"/>
    <n v="175"/>
  </r>
  <r>
    <x v="8"/>
    <x v="33"/>
    <x v="618"/>
    <x v="685"/>
    <x v="2"/>
    <n v="18"/>
    <n v="3"/>
    <n v="0"/>
    <n v="0"/>
    <n v="0"/>
    <n v="0"/>
    <n v="0"/>
    <n v="0"/>
    <n v="0"/>
    <n v="0"/>
    <n v="0"/>
    <n v="0"/>
    <n v="0"/>
    <n v="0"/>
    <n v="3"/>
  </r>
  <r>
    <x v="8"/>
    <x v="33"/>
    <x v="619"/>
    <x v="686"/>
    <x v="2"/>
    <n v="469"/>
    <n v="103"/>
    <n v="0"/>
    <n v="0"/>
    <n v="0"/>
    <n v="0"/>
    <n v="0"/>
    <n v="0"/>
    <n v="0"/>
    <n v="0"/>
    <n v="0"/>
    <n v="0"/>
    <n v="0"/>
    <n v="0"/>
    <n v="103"/>
  </r>
  <r>
    <x v="8"/>
    <x v="33"/>
    <x v="620"/>
    <x v="687"/>
    <x v="2"/>
    <n v="2591"/>
    <n v="439"/>
    <n v="0"/>
    <n v="0"/>
    <n v="0"/>
    <n v="0"/>
    <n v="0"/>
    <n v="0"/>
    <n v="0"/>
    <n v="0"/>
    <n v="0"/>
    <n v="0"/>
    <n v="0"/>
    <n v="0"/>
    <n v="439"/>
  </r>
  <r>
    <x v="8"/>
    <x v="33"/>
    <x v="621"/>
    <x v="688"/>
    <x v="2"/>
    <n v="696"/>
    <n v="151"/>
    <n v="0"/>
    <n v="0"/>
    <n v="0"/>
    <n v="0"/>
    <n v="0"/>
    <n v="0"/>
    <n v="0"/>
    <n v="0"/>
    <n v="0"/>
    <n v="0"/>
    <n v="0"/>
    <n v="0"/>
    <n v="151"/>
  </r>
  <r>
    <x v="8"/>
    <x v="33"/>
    <x v="622"/>
    <x v="689"/>
    <x v="2"/>
    <n v="21"/>
    <n v="5"/>
    <n v="0"/>
    <n v="0"/>
    <n v="0"/>
    <n v="0"/>
    <n v="0"/>
    <n v="0"/>
    <n v="0"/>
    <n v="0"/>
    <n v="0"/>
    <n v="0"/>
    <n v="0"/>
    <n v="0"/>
    <n v="5"/>
  </r>
  <r>
    <x v="8"/>
    <x v="33"/>
    <x v="623"/>
    <x v="690"/>
    <x v="2"/>
    <n v="2651"/>
    <n v="415"/>
    <n v="0"/>
    <n v="0"/>
    <n v="0"/>
    <n v="0"/>
    <n v="0"/>
    <n v="0"/>
    <n v="0"/>
    <n v="0"/>
    <n v="0"/>
    <n v="0"/>
    <n v="0"/>
    <n v="0"/>
    <n v="415"/>
  </r>
  <r>
    <x v="8"/>
    <x v="33"/>
    <x v="624"/>
    <x v="691"/>
    <x v="2"/>
    <n v="197"/>
    <n v="42"/>
    <n v="0"/>
    <n v="0"/>
    <n v="0"/>
    <n v="0"/>
    <n v="0"/>
    <n v="0"/>
    <n v="0"/>
    <n v="0"/>
    <n v="0"/>
    <n v="0"/>
    <n v="0"/>
    <n v="0"/>
    <n v="42"/>
  </r>
  <r>
    <x v="8"/>
    <x v="33"/>
    <x v="625"/>
    <x v="692"/>
    <x v="2"/>
    <n v="647"/>
    <n v="140"/>
    <n v="0"/>
    <n v="0"/>
    <n v="0"/>
    <n v="0"/>
    <n v="0"/>
    <n v="0"/>
    <n v="0"/>
    <n v="0"/>
    <n v="0"/>
    <n v="0"/>
    <n v="0"/>
    <n v="0"/>
    <n v="140"/>
  </r>
  <r>
    <x v="8"/>
    <x v="33"/>
    <x v="626"/>
    <x v="693"/>
    <x v="2"/>
    <n v="3436"/>
    <n v="589"/>
    <n v="0"/>
    <n v="0"/>
    <n v="0"/>
    <n v="0"/>
    <n v="0"/>
    <n v="0"/>
    <n v="0"/>
    <n v="0"/>
    <n v="0"/>
    <n v="0"/>
    <n v="0"/>
    <n v="0"/>
    <n v="589"/>
  </r>
  <r>
    <x v="8"/>
    <x v="33"/>
    <x v="627"/>
    <x v="694"/>
    <x v="2"/>
    <n v="591"/>
    <n v="131"/>
    <n v="0"/>
    <n v="0"/>
    <n v="0"/>
    <n v="0"/>
    <n v="0"/>
    <n v="0"/>
    <n v="0"/>
    <n v="0"/>
    <n v="0"/>
    <n v="0"/>
    <n v="0"/>
    <n v="0"/>
    <n v="131"/>
  </r>
  <r>
    <x v="8"/>
    <x v="33"/>
    <x v="628"/>
    <x v="695"/>
    <x v="2"/>
    <n v="2301"/>
    <n v="363"/>
    <n v="0"/>
    <n v="0"/>
    <n v="0"/>
    <n v="0"/>
    <n v="0"/>
    <n v="0"/>
    <n v="0"/>
    <n v="0"/>
    <n v="0"/>
    <n v="0"/>
    <n v="0"/>
    <n v="0"/>
    <n v="363"/>
  </r>
  <r>
    <x v="8"/>
    <x v="33"/>
    <x v="629"/>
    <x v="696"/>
    <x v="2"/>
    <n v="611"/>
    <n v="129"/>
    <n v="0"/>
    <n v="0"/>
    <n v="0"/>
    <n v="0"/>
    <n v="0"/>
    <n v="0"/>
    <n v="0"/>
    <n v="0"/>
    <n v="0"/>
    <n v="0"/>
    <n v="0"/>
    <n v="0"/>
    <n v="129"/>
  </r>
  <r>
    <x v="8"/>
    <x v="33"/>
    <x v="630"/>
    <x v="697"/>
    <x v="2"/>
    <n v="7837"/>
    <n v="1215"/>
    <n v="0"/>
    <n v="0"/>
    <n v="0"/>
    <n v="0"/>
    <n v="0"/>
    <n v="0"/>
    <n v="0"/>
    <n v="0"/>
    <n v="0"/>
    <n v="0"/>
    <n v="0"/>
    <n v="0"/>
    <n v="1215"/>
  </r>
  <r>
    <x v="8"/>
    <x v="33"/>
    <x v="631"/>
    <x v="698"/>
    <x v="2"/>
    <n v="573"/>
    <n v="88"/>
    <n v="0"/>
    <n v="0"/>
    <n v="0"/>
    <n v="0"/>
    <n v="0"/>
    <n v="0"/>
    <n v="0"/>
    <n v="0"/>
    <n v="0"/>
    <n v="0"/>
    <n v="0"/>
    <n v="0"/>
    <n v="88"/>
  </r>
  <r>
    <x v="8"/>
    <x v="33"/>
    <x v="632"/>
    <x v="699"/>
    <x v="2"/>
    <n v="2445"/>
    <n v="384"/>
    <n v="0"/>
    <n v="0"/>
    <n v="0"/>
    <n v="0"/>
    <n v="0"/>
    <n v="0"/>
    <n v="0"/>
    <n v="0"/>
    <n v="0"/>
    <n v="0"/>
    <n v="0"/>
    <n v="0"/>
    <n v="384"/>
  </r>
  <r>
    <x v="8"/>
    <x v="33"/>
    <x v="633"/>
    <x v="700"/>
    <x v="2"/>
    <n v="1708"/>
    <n v="270"/>
    <n v="0"/>
    <n v="0"/>
    <n v="0"/>
    <n v="0"/>
    <n v="0"/>
    <n v="0"/>
    <n v="0"/>
    <n v="0"/>
    <n v="0"/>
    <n v="0"/>
    <n v="0"/>
    <n v="0"/>
    <n v="270"/>
  </r>
  <r>
    <x v="8"/>
    <x v="33"/>
    <x v="634"/>
    <x v="701"/>
    <x v="2"/>
    <n v="1709"/>
    <n v="270"/>
    <n v="0"/>
    <n v="0"/>
    <n v="0"/>
    <n v="0"/>
    <n v="0"/>
    <n v="0"/>
    <n v="0"/>
    <n v="0"/>
    <n v="0"/>
    <n v="0"/>
    <n v="0"/>
    <n v="0"/>
    <n v="270"/>
  </r>
  <r>
    <x v="8"/>
    <x v="33"/>
    <x v="635"/>
    <x v="702"/>
    <x v="2"/>
    <n v="1089"/>
    <n v="168"/>
    <n v="0"/>
    <n v="0"/>
    <n v="0"/>
    <n v="0"/>
    <n v="0"/>
    <n v="0"/>
    <n v="0"/>
    <n v="0"/>
    <n v="0"/>
    <n v="0"/>
    <n v="0"/>
    <n v="0"/>
    <n v="168"/>
  </r>
  <r>
    <x v="8"/>
    <x v="33"/>
    <x v="636"/>
    <x v="703"/>
    <x v="2"/>
    <n v="2031"/>
    <n v="318"/>
    <n v="0"/>
    <n v="0"/>
    <n v="0"/>
    <n v="0"/>
    <n v="0"/>
    <n v="0"/>
    <n v="0"/>
    <n v="0"/>
    <n v="0"/>
    <n v="0"/>
    <n v="0"/>
    <n v="0"/>
    <n v="318"/>
  </r>
  <r>
    <x v="8"/>
    <x v="34"/>
    <x v="346"/>
    <x v="704"/>
    <x v="0"/>
    <n v="-0.2000000000007276"/>
    <n v="44.069999999999709"/>
    <n v="0"/>
    <n v="0"/>
    <n v="0"/>
    <n v="0"/>
    <n v="0"/>
    <n v="0"/>
    <n v="23281.9"/>
    <n v="23281.9"/>
    <n v="0"/>
    <n v="0"/>
    <n v="0"/>
    <n v="0"/>
    <n v="44.069999999999709"/>
  </r>
  <r>
    <x v="8"/>
    <x v="34"/>
    <x v="637"/>
    <x v="705"/>
    <x v="2"/>
    <n v="4314"/>
    <n v="1788"/>
    <n v="0"/>
    <n v="0"/>
    <n v="0"/>
    <n v="0"/>
    <n v="0"/>
    <n v="0"/>
    <n v="0"/>
    <n v="0"/>
    <n v="0"/>
    <n v="0"/>
    <n v="0"/>
    <n v="0"/>
    <n v="1788"/>
  </r>
  <r>
    <x v="8"/>
    <x v="34"/>
    <x v="638"/>
    <x v="706"/>
    <x v="2"/>
    <n v="1233"/>
    <n v="583"/>
    <n v="0"/>
    <n v="0"/>
    <n v="0"/>
    <n v="0"/>
    <n v="0"/>
    <n v="0"/>
    <n v="0"/>
    <n v="0"/>
    <n v="0"/>
    <n v="0"/>
    <n v="0"/>
    <n v="0"/>
    <n v="583"/>
  </r>
  <r>
    <x v="8"/>
    <x v="34"/>
    <x v="639"/>
    <x v="707"/>
    <x v="2"/>
    <n v="468"/>
    <n v="233"/>
    <n v="0"/>
    <n v="0"/>
    <n v="0"/>
    <n v="0"/>
    <n v="0"/>
    <n v="0"/>
    <n v="0"/>
    <n v="0"/>
    <n v="0"/>
    <n v="0"/>
    <n v="0"/>
    <n v="0"/>
    <n v="233"/>
  </r>
  <r>
    <x v="8"/>
    <x v="34"/>
    <x v="640"/>
    <x v="708"/>
    <x v="2"/>
    <n v="314"/>
    <n v="174"/>
    <n v="0"/>
    <n v="0"/>
    <n v="0"/>
    <n v="0"/>
    <n v="0"/>
    <n v="0"/>
    <n v="0"/>
    <n v="0"/>
    <n v="0"/>
    <n v="0"/>
    <n v="0"/>
    <n v="0"/>
    <n v="174"/>
  </r>
  <r>
    <x v="8"/>
    <x v="34"/>
    <x v="641"/>
    <x v="709"/>
    <x v="2"/>
    <n v="24"/>
    <n v="14"/>
    <n v="0"/>
    <n v="0"/>
    <n v="0"/>
    <n v="0"/>
    <n v="0"/>
    <n v="0"/>
    <n v="0"/>
    <n v="0"/>
    <n v="0"/>
    <n v="0"/>
    <n v="0"/>
    <n v="0"/>
    <n v="14"/>
  </r>
  <r>
    <x v="8"/>
    <x v="34"/>
    <x v="642"/>
    <x v="710"/>
    <x v="2"/>
    <n v="4201"/>
    <n v="1738"/>
    <n v="0"/>
    <n v="0"/>
    <n v="0"/>
    <n v="0"/>
    <n v="0"/>
    <n v="0"/>
    <n v="0"/>
    <n v="0"/>
    <n v="0"/>
    <n v="0"/>
    <n v="0"/>
    <n v="0"/>
    <n v="1738"/>
  </r>
  <r>
    <x v="8"/>
    <x v="34"/>
    <x v="643"/>
    <x v="711"/>
    <x v="2"/>
    <n v="3734"/>
    <n v="1564"/>
    <n v="0"/>
    <n v="0"/>
    <n v="0"/>
    <n v="0"/>
    <n v="0"/>
    <n v="0"/>
    <n v="0"/>
    <n v="0"/>
    <n v="0"/>
    <n v="0"/>
    <n v="0"/>
    <n v="0"/>
    <n v="1564"/>
  </r>
  <r>
    <x v="8"/>
    <x v="34"/>
    <x v="644"/>
    <x v="712"/>
    <x v="2"/>
    <n v="220"/>
    <n v="120"/>
    <n v="0"/>
    <n v="0"/>
    <n v="0"/>
    <n v="0"/>
    <n v="0"/>
    <n v="0"/>
    <n v="0"/>
    <n v="0"/>
    <n v="0"/>
    <n v="0"/>
    <n v="0"/>
    <n v="0"/>
    <n v="120"/>
  </r>
  <r>
    <x v="8"/>
    <x v="34"/>
    <x v="645"/>
    <x v="713"/>
    <x v="2"/>
    <n v="358"/>
    <n v="205"/>
    <n v="0"/>
    <n v="0"/>
    <n v="0"/>
    <n v="0"/>
    <n v="0"/>
    <n v="0"/>
    <n v="0"/>
    <n v="0"/>
    <n v="0"/>
    <n v="0"/>
    <n v="0"/>
    <n v="0"/>
    <n v="205"/>
  </r>
  <r>
    <x v="8"/>
    <x v="34"/>
    <x v="646"/>
    <x v="714"/>
    <x v="2"/>
    <n v="13"/>
    <n v="7"/>
    <n v="0"/>
    <n v="0"/>
    <n v="0"/>
    <n v="0"/>
    <n v="0"/>
    <n v="0"/>
    <n v="0"/>
    <n v="0"/>
    <n v="0"/>
    <n v="0"/>
    <n v="0"/>
    <n v="0"/>
    <n v="7"/>
  </r>
  <r>
    <x v="8"/>
    <x v="34"/>
    <x v="647"/>
    <x v="715"/>
    <x v="2"/>
    <n v="2954"/>
    <n v="1223"/>
    <n v="0"/>
    <n v="0"/>
    <n v="0"/>
    <n v="0"/>
    <n v="0"/>
    <n v="0"/>
    <n v="0"/>
    <n v="0"/>
    <n v="0"/>
    <n v="0"/>
    <n v="0"/>
    <n v="0"/>
    <n v="1223"/>
  </r>
  <r>
    <x v="8"/>
    <x v="34"/>
    <x v="648"/>
    <x v="716"/>
    <x v="2"/>
    <n v="211"/>
    <n v="115"/>
    <n v="0"/>
    <n v="0"/>
    <n v="0"/>
    <n v="0"/>
    <n v="0"/>
    <n v="0"/>
    <n v="0"/>
    <n v="0"/>
    <n v="0"/>
    <n v="0"/>
    <n v="0"/>
    <n v="0"/>
    <n v="115"/>
  </r>
  <r>
    <x v="8"/>
    <x v="34"/>
    <x v="649"/>
    <x v="717"/>
    <x v="2"/>
    <n v="303"/>
    <n v="167"/>
    <n v="0"/>
    <n v="0"/>
    <n v="0"/>
    <n v="0"/>
    <n v="0"/>
    <n v="0"/>
    <n v="0"/>
    <n v="0"/>
    <n v="0"/>
    <n v="0"/>
    <n v="0"/>
    <n v="0"/>
    <n v="167"/>
  </r>
  <r>
    <x v="8"/>
    <x v="34"/>
    <x v="650"/>
    <x v="718"/>
    <x v="2"/>
    <n v="2536"/>
    <n v="1019"/>
    <n v="0"/>
    <n v="0"/>
    <n v="0"/>
    <n v="0"/>
    <n v="0"/>
    <n v="0"/>
    <n v="0"/>
    <n v="0"/>
    <n v="0"/>
    <n v="0"/>
    <n v="0"/>
    <n v="0"/>
    <n v="1019"/>
  </r>
  <r>
    <x v="8"/>
    <x v="34"/>
    <x v="651"/>
    <x v="719"/>
    <x v="2"/>
    <n v="16"/>
    <n v="9"/>
    <n v="0"/>
    <n v="0"/>
    <n v="0"/>
    <n v="0"/>
    <n v="0"/>
    <n v="0"/>
    <n v="0"/>
    <n v="0"/>
    <n v="0"/>
    <n v="0"/>
    <n v="0"/>
    <n v="0"/>
    <n v="9"/>
  </r>
  <r>
    <x v="8"/>
    <x v="34"/>
    <x v="652"/>
    <x v="720"/>
    <x v="2"/>
    <n v="3880"/>
    <n v="1556"/>
    <n v="0"/>
    <n v="0"/>
    <n v="0"/>
    <n v="0"/>
    <n v="0"/>
    <n v="0"/>
    <n v="0"/>
    <n v="0"/>
    <n v="0"/>
    <n v="0"/>
    <n v="0"/>
    <n v="0"/>
    <n v="1556"/>
  </r>
  <r>
    <x v="8"/>
    <x v="34"/>
    <x v="653"/>
    <x v="721"/>
    <x v="2"/>
    <n v="512"/>
    <n v="265"/>
    <n v="0"/>
    <n v="0"/>
    <n v="0"/>
    <n v="0"/>
    <n v="0"/>
    <n v="0"/>
    <n v="0"/>
    <n v="0"/>
    <n v="0"/>
    <n v="0"/>
    <n v="0"/>
    <n v="0"/>
    <n v="265"/>
  </r>
  <r>
    <x v="8"/>
    <x v="34"/>
    <x v="654"/>
    <x v="722"/>
    <x v="2"/>
    <n v="20"/>
    <n v="8"/>
    <n v="0"/>
    <n v="0"/>
    <n v="0"/>
    <n v="0"/>
    <n v="0"/>
    <n v="0"/>
    <n v="0"/>
    <n v="0"/>
    <n v="0"/>
    <n v="0"/>
    <n v="0"/>
    <n v="0"/>
    <n v="8"/>
  </r>
  <r>
    <x v="8"/>
    <x v="34"/>
    <x v="655"/>
    <x v="723"/>
    <x v="2"/>
    <n v="278"/>
    <n v="158"/>
    <n v="0"/>
    <n v="0"/>
    <n v="0"/>
    <n v="0"/>
    <n v="0"/>
    <n v="0"/>
    <n v="0"/>
    <n v="0"/>
    <n v="0"/>
    <n v="0"/>
    <n v="0"/>
    <n v="0"/>
    <n v="158"/>
  </r>
  <r>
    <x v="8"/>
    <x v="34"/>
    <x v="656"/>
    <x v="724"/>
    <x v="2"/>
    <n v="2685"/>
    <n v="1124"/>
    <n v="0"/>
    <n v="0"/>
    <n v="0"/>
    <n v="0"/>
    <n v="0"/>
    <n v="0"/>
    <n v="0"/>
    <n v="0"/>
    <n v="0"/>
    <n v="0"/>
    <n v="0"/>
    <n v="0"/>
    <n v="1124"/>
  </r>
  <r>
    <x v="8"/>
    <x v="34"/>
    <x v="657"/>
    <x v="725"/>
    <x v="2"/>
    <n v="380"/>
    <n v="214"/>
    <n v="0"/>
    <n v="0"/>
    <n v="0"/>
    <n v="0"/>
    <n v="0"/>
    <n v="0"/>
    <n v="0"/>
    <n v="0"/>
    <n v="0"/>
    <n v="0"/>
    <n v="0"/>
    <n v="0"/>
    <n v="214"/>
  </r>
  <r>
    <x v="8"/>
    <x v="34"/>
    <x v="658"/>
    <x v="726"/>
    <x v="2"/>
    <n v="12"/>
    <n v="7"/>
    <n v="0"/>
    <n v="0"/>
    <n v="0"/>
    <n v="0"/>
    <n v="0"/>
    <n v="0"/>
    <n v="0"/>
    <n v="0"/>
    <n v="0"/>
    <n v="0"/>
    <n v="0"/>
    <n v="0"/>
    <n v="7"/>
  </r>
  <r>
    <x v="8"/>
    <x v="34"/>
    <x v="659"/>
    <x v="727"/>
    <x v="2"/>
    <n v="3085"/>
    <n v="1239"/>
    <n v="0"/>
    <n v="0"/>
    <n v="0"/>
    <n v="0"/>
    <n v="0"/>
    <n v="0"/>
    <n v="0"/>
    <n v="0"/>
    <n v="0"/>
    <n v="0"/>
    <n v="0"/>
    <n v="0"/>
    <n v="1239"/>
  </r>
  <r>
    <x v="8"/>
    <x v="34"/>
    <x v="660"/>
    <x v="728"/>
    <x v="2"/>
    <n v="103"/>
    <n v="56"/>
    <n v="0"/>
    <n v="0"/>
    <n v="0"/>
    <n v="0"/>
    <n v="0"/>
    <n v="0"/>
    <n v="0"/>
    <n v="0"/>
    <n v="0"/>
    <n v="0"/>
    <n v="0"/>
    <n v="0"/>
    <n v="56"/>
  </r>
  <r>
    <x v="8"/>
    <x v="34"/>
    <x v="661"/>
    <x v="729"/>
    <x v="2"/>
    <n v="347"/>
    <n v="195"/>
    <n v="0"/>
    <n v="0"/>
    <n v="0"/>
    <n v="0"/>
    <n v="0"/>
    <n v="0"/>
    <n v="0"/>
    <n v="0"/>
    <n v="0"/>
    <n v="0"/>
    <n v="0"/>
    <n v="0"/>
    <n v="195"/>
  </r>
  <r>
    <x v="8"/>
    <x v="34"/>
    <x v="662"/>
    <x v="730"/>
    <x v="2"/>
    <n v="3518"/>
    <n v="1487"/>
    <n v="0"/>
    <n v="0"/>
    <n v="0"/>
    <n v="0"/>
    <n v="0"/>
    <n v="0"/>
    <n v="0"/>
    <n v="0"/>
    <n v="0"/>
    <n v="0"/>
    <n v="0"/>
    <n v="0"/>
    <n v="1487"/>
  </r>
  <r>
    <x v="8"/>
    <x v="34"/>
    <x v="663"/>
    <x v="731"/>
    <x v="2"/>
    <n v="345"/>
    <n v="199"/>
    <n v="0"/>
    <n v="0"/>
    <n v="0"/>
    <n v="0"/>
    <n v="0"/>
    <n v="0"/>
    <n v="0"/>
    <n v="0"/>
    <n v="0"/>
    <n v="0"/>
    <n v="0"/>
    <n v="0"/>
    <n v="199"/>
  </r>
  <r>
    <x v="8"/>
    <x v="34"/>
    <x v="664"/>
    <x v="732"/>
    <x v="2"/>
    <n v="2684"/>
    <n v="1078"/>
    <n v="0"/>
    <n v="0"/>
    <n v="0"/>
    <n v="0"/>
    <n v="0"/>
    <n v="0"/>
    <n v="0"/>
    <n v="0"/>
    <n v="0"/>
    <n v="0"/>
    <n v="0"/>
    <n v="0"/>
    <n v="1078"/>
  </r>
  <r>
    <x v="8"/>
    <x v="34"/>
    <x v="665"/>
    <x v="733"/>
    <x v="2"/>
    <n v="379"/>
    <n v="202"/>
    <n v="0"/>
    <n v="0"/>
    <n v="0"/>
    <n v="0"/>
    <n v="0"/>
    <n v="0"/>
    <n v="0"/>
    <n v="0"/>
    <n v="0"/>
    <n v="0"/>
    <n v="0"/>
    <n v="0"/>
    <n v="202"/>
  </r>
  <r>
    <x v="8"/>
    <x v="34"/>
    <x v="666"/>
    <x v="734"/>
    <x v="2"/>
    <n v="9376"/>
    <n v="3765"/>
    <n v="0"/>
    <n v="0"/>
    <n v="0"/>
    <n v="0"/>
    <n v="0"/>
    <n v="0"/>
    <n v="0"/>
    <n v="0"/>
    <n v="0"/>
    <n v="0"/>
    <n v="0"/>
    <n v="0"/>
    <n v="3765"/>
  </r>
  <r>
    <x v="8"/>
    <x v="34"/>
    <x v="667"/>
    <x v="735"/>
    <x v="2"/>
    <n v="691"/>
    <n v="277"/>
    <n v="0"/>
    <n v="0"/>
    <n v="0"/>
    <n v="0"/>
    <n v="0"/>
    <n v="0"/>
    <n v="0"/>
    <n v="0"/>
    <n v="0"/>
    <n v="0"/>
    <n v="0"/>
    <n v="0"/>
    <n v="277"/>
  </r>
  <r>
    <x v="8"/>
    <x v="34"/>
    <x v="668"/>
    <x v="736"/>
    <x v="2"/>
    <n v="2882"/>
    <n v="1158"/>
    <n v="0"/>
    <n v="0"/>
    <n v="0"/>
    <n v="0"/>
    <n v="0"/>
    <n v="0"/>
    <n v="0"/>
    <n v="0"/>
    <n v="0"/>
    <n v="0"/>
    <n v="0"/>
    <n v="0"/>
    <n v="1158"/>
  </r>
  <r>
    <x v="8"/>
    <x v="34"/>
    <x v="669"/>
    <x v="737"/>
    <x v="2"/>
    <n v="2001"/>
    <n v="805"/>
    <n v="0"/>
    <n v="0"/>
    <n v="0"/>
    <n v="0"/>
    <n v="0"/>
    <n v="0"/>
    <n v="0"/>
    <n v="0"/>
    <n v="0"/>
    <n v="0"/>
    <n v="0"/>
    <n v="0"/>
    <n v="805"/>
  </r>
  <r>
    <x v="8"/>
    <x v="34"/>
    <x v="670"/>
    <x v="738"/>
    <x v="2"/>
    <n v="2002"/>
    <n v="805"/>
    <n v="0"/>
    <n v="0"/>
    <n v="0"/>
    <n v="0"/>
    <n v="0"/>
    <n v="0"/>
    <n v="0"/>
    <n v="0"/>
    <n v="0"/>
    <n v="0"/>
    <n v="0"/>
    <n v="0"/>
    <n v="805"/>
  </r>
  <r>
    <x v="8"/>
    <x v="34"/>
    <x v="671"/>
    <x v="739"/>
    <x v="2"/>
    <n v="1316"/>
    <n v="527"/>
    <n v="0"/>
    <n v="0"/>
    <n v="0"/>
    <n v="0"/>
    <n v="0"/>
    <n v="0"/>
    <n v="0"/>
    <n v="0"/>
    <n v="0"/>
    <n v="0"/>
    <n v="0"/>
    <n v="0"/>
    <n v="527"/>
  </r>
  <r>
    <x v="8"/>
    <x v="34"/>
    <x v="672"/>
    <x v="740"/>
    <x v="2"/>
    <n v="2404"/>
    <n v="966"/>
    <n v="0"/>
    <n v="0"/>
    <n v="0"/>
    <n v="0"/>
    <n v="0"/>
    <n v="0"/>
    <n v="0"/>
    <n v="0"/>
    <n v="0"/>
    <n v="0"/>
    <n v="0"/>
    <n v="0"/>
    <n v="966"/>
  </r>
  <r>
    <x v="8"/>
    <x v="35"/>
    <x v="353"/>
    <x v="741"/>
    <x v="2"/>
    <n v="0"/>
    <n v="0.36000000000012733"/>
    <n v="0"/>
    <n v="0"/>
    <n v="0"/>
    <n v="0"/>
    <n v="0"/>
    <n v="0"/>
    <n v="2159.7000000000003"/>
    <n v="2159.7000000000003"/>
    <n v="0"/>
    <n v="0"/>
    <n v="0"/>
    <n v="0"/>
    <n v="0.36000000000012733"/>
  </r>
  <r>
    <x v="8"/>
    <x v="35"/>
    <x v="673"/>
    <x v="742"/>
    <x v="2"/>
    <n v="4"/>
    <n v="276"/>
    <n v="0"/>
    <n v="0"/>
    <n v="0"/>
    <n v="0"/>
    <n v="0"/>
    <n v="0"/>
    <n v="0"/>
    <n v="0"/>
    <n v="0"/>
    <n v="0"/>
    <n v="0"/>
    <n v="0"/>
    <n v="276"/>
  </r>
  <r>
    <x v="8"/>
    <x v="35"/>
    <x v="674"/>
    <x v="743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75"/>
    <x v="744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76"/>
    <x v="745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77"/>
    <x v="746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78"/>
    <x v="747"/>
    <x v="2"/>
    <n v="3"/>
    <n v="207"/>
    <n v="0"/>
    <n v="0"/>
    <n v="0"/>
    <n v="0"/>
    <n v="0"/>
    <n v="0"/>
    <n v="0"/>
    <n v="0"/>
    <n v="0"/>
    <n v="0"/>
    <n v="0"/>
    <n v="0"/>
    <n v="207"/>
  </r>
  <r>
    <x v="8"/>
    <x v="35"/>
    <x v="679"/>
    <x v="748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0"/>
    <x v="749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1"/>
    <x v="750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2"/>
    <x v="751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3"/>
    <x v="752"/>
    <x v="2"/>
    <n v="9"/>
    <n v="621"/>
    <n v="0"/>
    <n v="0"/>
    <n v="0"/>
    <n v="0"/>
    <n v="0"/>
    <n v="0"/>
    <n v="0"/>
    <n v="0"/>
    <n v="0"/>
    <n v="0"/>
    <n v="0"/>
    <n v="0"/>
    <n v="621"/>
  </r>
  <r>
    <x v="8"/>
    <x v="35"/>
    <x v="684"/>
    <x v="753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5"/>
    <x v="754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6"/>
    <x v="755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7"/>
    <x v="756"/>
    <x v="2"/>
    <n v="1"/>
    <n v="69"/>
    <n v="0"/>
    <n v="0"/>
    <n v="0"/>
    <n v="0"/>
    <n v="0"/>
    <n v="0"/>
    <n v="0"/>
    <n v="0"/>
    <n v="0"/>
    <n v="0"/>
    <n v="0"/>
    <n v="0"/>
    <n v="69"/>
  </r>
  <r>
    <x v="8"/>
    <x v="35"/>
    <x v="688"/>
    <x v="757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35"/>
    <x v="689"/>
    <x v="758"/>
    <x v="2"/>
    <n v="2"/>
    <n v="138"/>
    <n v="0"/>
    <n v="0"/>
    <n v="0"/>
    <n v="0"/>
    <n v="0"/>
    <n v="0"/>
    <n v="0"/>
    <n v="0"/>
    <n v="0"/>
    <n v="0"/>
    <n v="0"/>
    <n v="0"/>
    <n v="138"/>
  </r>
  <r>
    <x v="8"/>
    <x v="11"/>
    <x v="25"/>
    <x v="759"/>
    <x v="2"/>
    <n v="0"/>
    <n v="31.860000000000582"/>
    <n v="0"/>
    <n v="0"/>
    <n v="0"/>
    <n v="0"/>
    <n v="0"/>
    <n v="0"/>
    <n v="6893.8"/>
    <n v="6893.8"/>
    <n v="0"/>
    <n v="0"/>
    <n v="0"/>
    <n v="0"/>
    <n v="31.860000000000582"/>
  </r>
  <r>
    <x v="8"/>
    <x v="11"/>
    <x v="690"/>
    <x v="760"/>
    <x v="2"/>
    <n v="10555"/>
    <n v="479"/>
    <n v="0"/>
    <n v="0"/>
    <n v="0"/>
    <n v="0"/>
    <n v="0"/>
    <n v="0"/>
    <n v="0"/>
    <n v="0"/>
    <n v="0"/>
    <n v="0"/>
    <n v="0"/>
    <n v="0"/>
    <n v="479"/>
  </r>
  <r>
    <x v="8"/>
    <x v="11"/>
    <x v="691"/>
    <x v="761"/>
    <x v="2"/>
    <n v="2590"/>
    <n v="122"/>
    <n v="0"/>
    <n v="0"/>
    <n v="0"/>
    <n v="0"/>
    <n v="0"/>
    <n v="0"/>
    <n v="0"/>
    <n v="0"/>
    <n v="0"/>
    <n v="0"/>
    <n v="0"/>
    <n v="0"/>
    <n v="122"/>
  </r>
  <r>
    <x v="8"/>
    <x v="11"/>
    <x v="692"/>
    <x v="762"/>
    <x v="2"/>
    <n v="740"/>
    <n v="35"/>
    <n v="0"/>
    <n v="0"/>
    <n v="0"/>
    <n v="0"/>
    <n v="0"/>
    <n v="0"/>
    <n v="0"/>
    <n v="0"/>
    <n v="0"/>
    <n v="0"/>
    <n v="0"/>
    <n v="0"/>
    <n v="35"/>
  </r>
  <r>
    <x v="8"/>
    <x v="11"/>
    <x v="693"/>
    <x v="763"/>
    <x v="2"/>
    <n v="33155"/>
    <n v="1437"/>
    <n v="0"/>
    <n v="0"/>
    <n v="0"/>
    <n v="0"/>
    <n v="0"/>
    <n v="0"/>
    <n v="0"/>
    <n v="0"/>
    <n v="0"/>
    <n v="0"/>
    <n v="0"/>
    <n v="0"/>
    <n v="1437"/>
  </r>
  <r>
    <x v="8"/>
    <x v="11"/>
    <x v="694"/>
    <x v="764"/>
    <x v="2"/>
    <n v="29580"/>
    <n v="1280"/>
    <n v="0"/>
    <n v="0"/>
    <n v="0"/>
    <n v="0"/>
    <n v="0"/>
    <n v="0"/>
    <n v="0"/>
    <n v="0"/>
    <n v="0"/>
    <n v="0"/>
    <n v="0"/>
    <n v="0"/>
    <n v="1280"/>
  </r>
  <r>
    <x v="8"/>
    <x v="11"/>
    <x v="695"/>
    <x v="765"/>
    <x v="2"/>
    <n v="23990"/>
    <n v="1045"/>
    <n v="0"/>
    <n v="0"/>
    <n v="0"/>
    <n v="0"/>
    <n v="0"/>
    <n v="0"/>
    <n v="0"/>
    <n v="0"/>
    <n v="0"/>
    <n v="0"/>
    <n v="0"/>
    <n v="0"/>
    <n v="1045"/>
  </r>
  <r>
    <x v="8"/>
    <x v="11"/>
    <x v="696"/>
    <x v="766"/>
    <x v="2"/>
    <n v="26460"/>
    <n v="1146"/>
    <n v="0"/>
    <n v="0"/>
    <n v="0"/>
    <n v="0"/>
    <n v="0"/>
    <n v="0"/>
    <n v="0"/>
    <n v="0"/>
    <n v="0"/>
    <n v="0"/>
    <n v="0"/>
    <n v="0"/>
    <n v="1146"/>
  </r>
  <r>
    <x v="8"/>
    <x v="11"/>
    <x v="697"/>
    <x v="767"/>
    <x v="2"/>
    <n v="19285"/>
    <n v="842"/>
    <n v="0"/>
    <n v="0"/>
    <n v="0"/>
    <n v="0"/>
    <n v="0"/>
    <n v="0"/>
    <n v="0"/>
    <n v="0"/>
    <n v="0"/>
    <n v="0"/>
    <n v="0"/>
    <n v="0"/>
    <n v="842"/>
  </r>
  <r>
    <x v="8"/>
    <x v="11"/>
    <x v="698"/>
    <x v="768"/>
    <x v="2"/>
    <n v="465"/>
    <n v="22"/>
    <n v="0"/>
    <n v="0"/>
    <n v="0"/>
    <n v="0"/>
    <n v="0"/>
    <n v="0"/>
    <n v="0"/>
    <n v="0"/>
    <n v="0"/>
    <n v="0"/>
    <n v="0"/>
    <n v="0"/>
    <n v="22"/>
  </r>
  <r>
    <x v="8"/>
    <x v="11"/>
    <x v="699"/>
    <x v="769"/>
    <x v="2"/>
    <n v="18025"/>
    <n v="788"/>
    <n v="0"/>
    <n v="0"/>
    <n v="0"/>
    <n v="0"/>
    <n v="0"/>
    <n v="0"/>
    <n v="0"/>
    <n v="0"/>
    <n v="0"/>
    <n v="0"/>
    <n v="0"/>
    <n v="0"/>
    <n v="788"/>
  </r>
  <r>
    <x v="8"/>
    <x v="11"/>
    <x v="700"/>
    <x v="770"/>
    <x v="2"/>
    <n v="15385"/>
    <n v="675"/>
    <n v="0"/>
    <n v="0"/>
    <n v="0"/>
    <n v="0"/>
    <n v="0"/>
    <n v="0"/>
    <n v="0"/>
    <n v="0"/>
    <n v="0"/>
    <n v="0"/>
    <n v="0"/>
    <n v="0"/>
    <n v="675"/>
  </r>
  <r>
    <x v="8"/>
    <x v="11"/>
    <x v="701"/>
    <x v="771"/>
    <x v="2"/>
    <n v="21290"/>
    <n v="936"/>
    <n v="0"/>
    <n v="0"/>
    <n v="0"/>
    <n v="0"/>
    <n v="0"/>
    <n v="0"/>
    <n v="0"/>
    <n v="0"/>
    <n v="0"/>
    <n v="0"/>
    <n v="0"/>
    <n v="0"/>
    <n v="936"/>
  </r>
  <r>
    <x v="8"/>
    <x v="11"/>
    <x v="702"/>
    <x v="772"/>
    <x v="2"/>
    <n v="16295"/>
    <n v="715"/>
    <n v="0"/>
    <n v="0"/>
    <n v="0"/>
    <n v="0"/>
    <n v="0"/>
    <n v="0"/>
    <n v="0"/>
    <n v="0"/>
    <n v="0"/>
    <n v="0"/>
    <n v="0"/>
    <n v="0"/>
    <n v="715"/>
  </r>
  <r>
    <x v="8"/>
    <x v="11"/>
    <x v="703"/>
    <x v="773"/>
    <x v="2"/>
    <n v="275"/>
    <n v="13"/>
    <n v="0"/>
    <n v="0"/>
    <n v="0"/>
    <n v="0"/>
    <n v="0"/>
    <n v="0"/>
    <n v="0"/>
    <n v="0"/>
    <n v="0"/>
    <n v="0"/>
    <n v="0"/>
    <n v="0"/>
    <n v="13"/>
  </r>
  <r>
    <x v="8"/>
    <x v="11"/>
    <x v="704"/>
    <x v="774"/>
    <x v="2"/>
    <n v="23560"/>
    <n v="1073"/>
    <n v="0"/>
    <n v="0"/>
    <n v="0"/>
    <n v="0"/>
    <n v="0"/>
    <n v="0"/>
    <n v="0"/>
    <n v="0"/>
    <n v="0"/>
    <n v="0"/>
    <n v="0"/>
    <n v="0"/>
    <n v="1073"/>
  </r>
  <r>
    <x v="8"/>
    <x v="11"/>
    <x v="705"/>
    <x v="775"/>
    <x v="2"/>
    <n v="1330"/>
    <n v="60"/>
    <n v="0"/>
    <n v="0"/>
    <n v="0"/>
    <n v="0"/>
    <n v="0"/>
    <n v="0"/>
    <n v="0"/>
    <n v="0"/>
    <n v="0"/>
    <n v="0"/>
    <n v="0"/>
    <n v="0"/>
    <n v="60"/>
  </r>
  <r>
    <x v="8"/>
    <x v="11"/>
    <x v="706"/>
    <x v="776"/>
    <x v="2"/>
    <n v="13515"/>
    <n v="602"/>
    <n v="0"/>
    <n v="0"/>
    <n v="0"/>
    <n v="0"/>
    <n v="0"/>
    <n v="0"/>
    <n v="0"/>
    <n v="0"/>
    <n v="0"/>
    <n v="0"/>
    <n v="0"/>
    <n v="0"/>
    <n v="602"/>
  </r>
  <r>
    <x v="8"/>
    <x v="11"/>
    <x v="707"/>
    <x v="777"/>
    <x v="2"/>
    <n v="10815"/>
    <n v="481"/>
    <n v="0"/>
    <n v="0"/>
    <n v="0"/>
    <n v="0"/>
    <n v="0"/>
    <n v="0"/>
    <n v="0"/>
    <n v="0"/>
    <n v="0"/>
    <n v="0"/>
    <n v="0"/>
    <n v="0"/>
    <n v="481"/>
  </r>
  <r>
    <x v="8"/>
    <x v="11"/>
    <x v="708"/>
    <x v="778"/>
    <x v="2"/>
    <n v="10820"/>
    <n v="482"/>
    <n v="0"/>
    <n v="0"/>
    <n v="0"/>
    <n v="0"/>
    <n v="0"/>
    <n v="0"/>
    <n v="0"/>
    <n v="0"/>
    <n v="0"/>
    <n v="0"/>
    <n v="0"/>
    <n v="0"/>
    <n v="482"/>
  </r>
  <r>
    <x v="8"/>
    <x v="11"/>
    <x v="709"/>
    <x v="779"/>
    <x v="2"/>
    <n v="2160"/>
    <n v="96"/>
    <n v="0"/>
    <n v="0"/>
    <n v="0"/>
    <n v="0"/>
    <n v="0"/>
    <n v="0"/>
    <n v="0"/>
    <n v="0"/>
    <n v="0"/>
    <n v="0"/>
    <n v="0"/>
    <n v="0"/>
    <n v="96"/>
  </r>
  <r>
    <x v="8"/>
    <x v="11"/>
    <x v="710"/>
    <x v="780"/>
    <x v="2"/>
    <n v="10045"/>
    <n v="447"/>
    <n v="0"/>
    <n v="0"/>
    <n v="0"/>
    <n v="0"/>
    <n v="0"/>
    <n v="0"/>
    <n v="0"/>
    <n v="0"/>
    <n v="0"/>
    <n v="0"/>
    <n v="0"/>
    <n v="0"/>
    <n v="447"/>
  </r>
  <r>
    <x v="8"/>
    <x v="36"/>
    <x v="711"/>
    <x v="781"/>
    <x v="2"/>
    <n v="0"/>
    <n v="580.72000000000025"/>
    <n v="0"/>
    <n v="0"/>
    <n v="0"/>
    <n v="0"/>
    <n v="0"/>
    <n v="0"/>
    <n v="5525"/>
    <n v="5525"/>
    <n v="0"/>
    <n v="0"/>
    <n v="0"/>
    <n v="0"/>
    <n v="580.72000000000025"/>
  </r>
  <r>
    <x v="8"/>
    <x v="36"/>
    <x v="712"/>
    <x v="782"/>
    <x v="2"/>
    <n v="453"/>
    <n v="154"/>
    <n v="0"/>
    <n v="0"/>
    <n v="0"/>
    <n v="0"/>
    <n v="0"/>
    <n v="0"/>
    <n v="0"/>
    <n v="0"/>
    <n v="0"/>
    <n v="0"/>
    <n v="0"/>
    <n v="0"/>
    <n v="154"/>
  </r>
  <r>
    <x v="8"/>
    <x v="36"/>
    <x v="713"/>
    <x v="783"/>
    <x v="2"/>
    <n v="837"/>
    <n v="286"/>
    <n v="0"/>
    <n v="0"/>
    <n v="0"/>
    <n v="0"/>
    <n v="0"/>
    <n v="0"/>
    <n v="0"/>
    <n v="0"/>
    <n v="0"/>
    <n v="0"/>
    <n v="0"/>
    <n v="0"/>
    <n v="286"/>
  </r>
  <r>
    <x v="8"/>
    <x v="36"/>
    <x v="714"/>
    <x v="784"/>
    <x v="2"/>
    <n v="300"/>
    <n v="102"/>
    <n v="0"/>
    <n v="0"/>
    <n v="0"/>
    <n v="0"/>
    <n v="0"/>
    <n v="0"/>
    <n v="0"/>
    <n v="0"/>
    <n v="0"/>
    <n v="0"/>
    <n v="0"/>
    <n v="0"/>
    <n v="102"/>
  </r>
  <r>
    <x v="8"/>
    <x v="36"/>
    <x v="715"/>
    <x v="785"/>
    <x v="2"/>
    <n v="399"/>
    <n v="135"/>
    <n v="0"/>
    <n v="0"/>
    <n v="0"/>
    <n v="0"/>
    <n v="0"/>
    <n v="0"/>
    <n v="0"/>
    <n v="0"/>
    <n v="0"/>
    <n v="0"/>
    <n v="0"/>
    <n v="0"/>
    <n v="135"/>
  </r>
  <r>
    <x v="8"/>
    <x v="36"/>
    <x v="716"/>
    <x v="786"/>
    <x v="2"/>
    <n v="540"/>
    <n v="184"/>
    <n v="0"/>
    <n v="0"/>
    <n v="0"/>
    <n v="0"/>
    <n v="0"/>
    <n v="0"/>
    <n v="0"/>
    <n v="0"/>
    <n v="0"/>
    <n v="0"/>
    <n v="0"/>
    <n v="0"/>
    <n v="184"/>
  </r>
  <r>
    <x v="8"/>
    <x v="36"/>
    <x v="717"/>
    <x v="787"/>
    <x v="2"/>
    <n v="540"/>
    <n v="184"/>
    <n v="0"/>
    <n v="0"/>
    <n v="0"/>
    <n v="0"/>
    <n v="0"/>
    <n v="0"/>
    <n v="0"/>
    <n v="0"/>
    <n v="0"/>
    <n v="0"/>
    <n v="0"/>
    <n v="0"/>
    <n v="184"/>
  </r>
  <r>
    <x v="8"/>
    <x v="36"/>
    <x v="718"/>
    <x v="788"/>
    <x v="2"/>
    <n v="1462"/>
    <n v="494"/>
    <n v="0"/>
    <n v="0"/>
    <n v="0"/>
    <n v="0"/>
    <n v="0"/>
    <n v="0"/>
    <n v="0"/>
    <n v="0"/>
    <n v="0"/>
    <n v="0"/>
    <n v="0"/>
    <n v="0"/>
    <n v="494"/>
  </r>
  <r>
    <x v="8"/>
    <x v="36"/>
    <x v="719"/>
    <x v="789"/>
    <x v="2"/>
    <n v="1033"/>
    <n v="351"/>
    <n v="0"/>
    <n v="0"/>
    <n v="0"/>
    <n v="0"/>
    <n v="0"/>
    <n v="0"/>
    <n v="0"/>
    <n v="0"/>
    <n v="0"/>
    <n v="0"/>
    <n v="0"/>
    <n v="0"/>
    <n v="351"/>
  </r>
  <r>
    <x v="8"/>
    <x v="36"/>
    <x v="720"/>
    <x v="790"/>
    <x v="2"/>
    <n v="402"/>
    <n v="136"/>
    <n v="0"/>
    <n v="0"/>
    <n v="0"/>
    <n v="0"/>
    <n v="0"/>
    <n v="0"/>
    <n v="0"/>
    <n v="0"/>
    <n v="0"/>
    <n v="0"/>
    <n v="0"/>
    <n v="0"/>
    <n v="136"/>
  </r>
  <r>
    <x v="8"/>
    <x v="36"/>
    <x v="721"/>
    <x v="791"/>
    <x v="2"/>
    <n v="540"/>
    <n v="184"/>
    <n v="0"/>
    <n v="0"/>
    <n v="0"/>
    <n v="0"/>
    <n v="0"/>
    <n v="0"/>
    <n v="0"/>
    <n v="0"/>
    <n v="0"/>
    <n v="0"/>
    <n v="0"/>
    <n v="0"/>
    <n v="184"/>
  </r>
  <r>
    <x v="8"/>
    <x v="36"/>
    <x v="722"/>
    <x v="792"/>
    <x v="2"/>
    <n v="2648"/>
    <n v="895"/>
    <n v="0"/>
    <n v="0"/>
    <n v="0"/>
    <n v="0"/>
    <n v="0"/>
    <n v="0"/>
    <n v="0"/>
    <n v="0"/>
    <n v="0"/>
    <n v="0"/>
    <n v="0"/>
    <n v="0"/>
    <n v="895"/>
  </r>
  <r>
    <x v="8"/>
    <x v="36"/>
    <x v="723"/>
    <x v="793"/>
    <x v="2"/>
    <n v="567"/>
    <n v="193"/>
    <n v="0"/>
    <n v="0"/>
    <n v="0"/>
    <n v="0"/>
    <n v="0"/>
    <n v="0"/>
    <n v="0"/>
    <n v="0"/>
    <n v="0"/>
    <n v="0"/>
    <n v="0"/>
    <n v="0"/>
    <n v="193"/>
  </r>
  <r>
    <x v="8"/>
    <x v="36"/>
    <x v="724"/>
    <x v="794"/>
    <x v="2"/>
    <n v="1453"/>
    <n v="491"/>
    <n v="0"/>
    <n v="0"/>
    <n v="0"/>
    <n v="0"/>
    <n v="0"/>
    <n v="0"/>
    <n v="0"/>
    <n v="0"/>
    <n v="0"/>
    <n v="0"/>
    <n v="0"/>
    <n v="0"/>
    <n v="491"/>
  </r>
  <r>
    <x v="8"/>
    <x v="36"/>
    <x v="725"/>
    <x v="795"/>
    <x v="2"/>
    <n v="603"/>
    <n v="204"/>
    <n v="0"/>
    <n v="0"/>
    <n v="0"/>
    <n v="0"/>
    <n v="0"/>
    <n v="0"/>
    <n v="0"/>
    <n v="0"/>
    <n v="0"/>
    <n v="0"/>
    <n v="0"/>
    <n v="0"/>
    <n v="204"/>
  </r>
  <r>
    <x v="8"/>
    <x v="36"/>
    <x v="726"/>
    <x v="796"/>
    <x v="2"/>
    <n v="1509"/>
    <n v="513"/>
    <n v="0"/>
    <n v="0"/>
    <n v="0"/>
    <n v="0"/>
    <n v="0"/>
    <n v="0"/>
    <n v="0"/>
    <n v="0"/>
    <n v="0"/>
    <n v="0"/>
    <n v="0"/>
    <n v="0"/>
    <n v="513"/>
  </r>
  <r>
    <x v="8"/>
    <x v="36"/>
    <x v="727"/>
    <x v="797"/>
    <x v="2"/>
    <n v="521"/>
    <n v="177"/>
    <n v="0"/>
    <n v="0"/>
    <n v="0"/>
    <n v="0"/>
    <n v="0"/>
    <n v="0"/>
    <n v="0"/>
    <n v="0"/>
    <n v="0"/>
    <n v="0"/>
    <n v="0"/>
    <n v="0"/>
    <n v="177"/>
  </r>
  <r>
    <x v="8"/>
    <x v="36"/>
    <x v="728"/>
    <x v="798"/>
    <x v="2"/>
    <n v="760"/>
    <n v="259"/>
    <n v="0"/>
    <n v="0"/>
    <n v="0"/>
    <n v="0"/>
    <n v="0"/>
    <n v="0"/>
    <n v="0"/>
    <n v="0"/>
    <n v="0"/>
    <n v="0"/>
    <n v="0"/>
    <n v="0"/>
    <n v="259"/>
  </r>
  <r>
    <x v="8"/>
    <x v="37"/>
    <x v="729"/>
    <x v="799"/>
    <x v="0"/>
    <n v="19946"/>
    <n v="6786.4999999999982"/>
    <n v="0"/>
    <n v="0"/>
    <n v="0"/>
    <n v="0"/>
    <n v="0"/>
    <n v="0"/>
    <n v="6786.4999999999982"/>
    <n v="6786.4999999999982"/>
    <n v="0"/>
    <n v="0"/>
    <n v="0"/>
    <n v="0"/>
    <n v="6786.4999999999982"/>
  </r>
  <r>
    <x v="8"/>
    <x v="12"/>
    <x v="26"/>
    <x v="131"/>
    <x v="5"/>
    <n v="0"/>
    <n v="6472.8"/>
    <n v="0"/>
    <n v="1625"/>
    <n v="0"/>
    <n v="345"/>
    <n v="0"/>
    <n v="0"/>
    <n v="6472.8"/>
    <n v="6472.8"/>
    <n v="0"/>
    <n v="0"/>
    <n v="0"/>
    <n v="0"/>
    <n v="4847.8"/>
  </r>
  <r>
    <x v="8"/>
    <x v="12"/>
    <x v="27"/>
    <x v="27"/>
    <x v="5"/>
    <n v="0"/>
    <n v="26733"/>
    <n v="0"/>
    <n v="5058"/>
    <n v="0"/>
    <n v="710"/>
    <n v="0"/>
    <n v="0"/>
    <n v="26733"/>
    <n v="26733"/>
    <n v="0"/>
    <n v="0"/>
    <n v="0"/>
    <n v="50.5"/>
    <n v="21624.5"/>
  </r>
  <r>
    <x v="8"/>
    <x v="12"/>
    <x v="28"/>
    <x v="28"/>
    <x v="5"/>
    <n v="0"/>
    <n v="5700"/>
    <n v="0"/>
    <n v="472.5"/>
    <n v="0"/>
    <n v="48"/>
    <n v="0"/>
    <n v="0"/>
    <n v="5700"/>
    <n v="5700"/>
    <n v="0"/>
    <n v="0"/>
    <n v="0"/>
    <n v="48"/>
    <n v="5179.5"/>
  </r>
  <r>
    <x v="8"/>
    <x v="12"/>
    <x v="29"/>
    <x v="29"/>
    <x v="5"/>
    <n v="0"/>
    <n v="22230"/>
    <n v="0"/>
    <n v="604"/>
    <n v="0"/>
    <n v="148"/>
    <n v="0"/>
    <n v="0"/>
    <n v="22230"/>
    <n v="22230"/>
    <n v="0"/>
    <n v="0"/>
    <n v="0"/>
    <n v="48"/>
    <n v="21578"/>
  </r>
  <r>
    <x v="8"/>
    <x v="12"/>
    <x v="30"/>
    <x v="30"/>
    <x v="2"/>
    <n v="0"/>
    <n v="2736"/>
    <n v="0"/>
    <n v="0"/>
    <n v="0"/>
    <n v="0"/>
    <n v="0"/>
    <n v="0"/>
    <n v="2736"/>
    <n v="2736"/>
    <n v="0"/>
    <n v="0"/>
    <n v="0"/>
    <n v="0"/>
    <n v="2736"/>
  </r>
  <r>
    <x v="8"/>
    <x v="12"/>
    <x v="31"/>
    <x v="375"/>
    <x v="2"/>
    <n v="0"/>
    <n v="649.5"/>
    <n v="0"/>
    <n v="225"/>
    <n v="0"/>
    <n v="0"/>
    <n v="0"/>
    <n v="0"/>
    <n v="649.5"/>
    <n v="649.5"/>
    <n v="0"/>
    <n v="0"/>
    <n v="0"/>
    <n v="0"/>
    <n v="424.5"/>
  </r>
  <r>
    <x v="8"/>
    <x v="13"/>
    <x v="33"/>
    <x v="33"/>
    <x v="5"/>
    <n v="0"/>
    <n v="8580"/>
    <n v="0"/>
    <n v="278"/>
    <n v="0"/>
    <n v="46"/>
    <n v="0"/>
    <n v="0"/>
    <n v="8580"/>
    <n v="8580"/>
    <n v="0"/>
    <n v="0"/>
    <n v="0"/>
    <n v="46.5"/>
    <n v="8255.5"/>
  </r>
  <r>
    <x v="8"/>
    <x v="13"/>
    <x v="34"/>
    <x v="34"/>
    <x v="5"/>
    <n v="0"/>
    <n v="17160"/>
    <n v="0"/>
    <n v="1892.5"/>
    <n v="0"/>
    <n v="265"/>
    <n v="0"/>
    <n v="0"/>
    <n v="17160"/>
    <n v="17160"/>
    <n v="0"/>
    <n v="0"/>
    <n v="0"/>
    <n v="265"/>
    <n v="15002.5"/>
  </r>
  <r>
    <x v="8"/>
    <x v="13"/>
    <x v="35"/>
    <x v="35"/>
    <x v="5"/>
    <n v="0"/>
    <n v="20100"/>
    <n v="0"/>
    <n v="3209"/>
    <n v="0"/>
    <n v="490"/>
    <n v="0"/>
    <n v="0"/>
    <n v="20100"/>
    <n v="20100"/>
    <n v="0"/>
    <n v="0"/>
    <n v="0"/>
    <n v="490.5"/>
    <n v="16400.5"/>
  </r>
  <r>
    <x v="8"/>
    <x v="13"/>
    <x v="36"/>
    <x v="71"/>
    <x v="5"/>
    <n v="0"/>
    <n v="20040"/>
    <n v="0"/>
    <n v="483"/>
    <n v="0"/>
    <n v="96"/>
    <n v="0"/>
    <n v="0"/>
    <n v="20040"/>
    <n v="20040"/>
    <n v="0"/>
    <n v="0"/>
    <n v="0"/>
    <n v="96"/>
    <n v="19461"/>
  </r>
  <r>
    <x v="8"/>
    <x v="13"/>
    <x v="89"/>
    <x v="132"/>
    <x v="5"/>
    <n v="0"/>
    <n v="28560"/>
    <n v="0"/>
    <n v="891"/>
    <n v="0"/>
    <n v="252"/>
    <n v="0"/>
    <n v="0"/>
    <n v="28560"/>
    <n v="28560"/>
    <n v="0"/>
    <n v="0"/>
    <n v="0"/>
    <n v="251.5"/>
    <n v="27417.5"/>
  </r>
  <r>
    <x v="8"/>
    <x v="13"/>
    <x v="38"/>
    <x v="38"/>
    <x v="5"/>
    <n v="0"/>
    <n v="6992"/>
    <n v="0"/>
    <n v="776"/>
    <n v="0"/>
    <n v="284"/>
    <n v="0"/>
    <n v="0"/>
    <n v="6992"/>
    <n v="6992"/>
    <n v="0"/>
    <n v="0"/>
    <n v="0"/>
    <n v="283.5"/>
    <n v="5932.5"/>
  </r>
  <r>
    <x v="8"/>
    <x v="14"/>
    <x v="43"/>
    <x v="43"/>
    <x v="2"/>
    <n v="0"/>
    <n v="1600"/>
    <n v="0"/>
    <n v="1254"/>
    <n v="0"/>
    <n v="0"/>
    <n v="0"/>
    <n v="0"/>
    <n v="1600"/>
    <n v="1600"/>
    <n v="0"/>
    <n v="0"/>
    <n v="0"/>
    <n v="0"/>
    <n v="346"/>
  </r>
  <r>
    <x v="8"/>
    <x v="14"/>
    <x v="730"/>
    <x v="800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8"/>
    <x v="17"/>
    <x v="731"/>
    <x v="801"/>
    <x v="2"/>
    <n v="0"/>
    <n v="4500"/>
    <n v="0"/>
    <n v="886.5"/>
    <n v="0"/>
    <n v="0"/>
    <n v="0"/>
    <n v="0"/>
    <n v="4500"/>
    <n v="4500"/>
    <n v="0"/>
    <n v="0"/>
    <n v="0"/>
    <n v="0"/>
    <n v="3613.5"/>
  </r>
  <r>
    <x v="8"/>
    <x v="17"/>
    <x v="732"/>
    <x v="802"/>
    <x v="2"/>
    <n v="0"/>
    <n v="-60657"/>
    <n v="0"/>
    <n v="0"/>
    <n v="0"/>
    <n v="0"/>
    <n v="0"/>
    <n v="0"/>
    <n v="-60657"/>
    <n v="-60657"/>
    <n v="0"/>
    <n v="0"/>
    <n v="0"/>
    <n v="0"/>
    <n v="-60657"/>
  </r>
  <r>
    <x v="8"/>
    <x v="17"/>
    <x v="733"/>
    <x v="803"/>
    <x v="2"/>
    <n v="0"/>
    <n v="-12566.6"/>
    <n v="0"/>
    <n v="0"/>
    <n v="0"/>
    <n v="0"/>
    <n v="0"/>
    <n v="0"/>
    <n v="0"/>
    <n v="0"/>
    <n v="0"/>
    <n v="0"/>
    <n v="0"/>
    <n v="0"/>
    <n v="-12566.6"/>
  </r>
  <r>
    <x v="9"/>
    <x v="19"/>
    <x v="90"/>
    <x v="100"/>
    <x v="3"/>
    <n v="64530"/>
    <n v="21142.58"/>
    <n v="5162.3999999999996"/>
    <n v="2102.5"/>
    <n v="1290.5999999999999"/>
    <n v="522"/>
    <n v="422.85159999999996"/>
    <n v="1691.4063999999998"/>
    <n v="21142.58"/>
    <n v="21142.58"/>
    <n v="0.08"/>
    <n v="0.81"/>
    <n v="0.8"/>
    <n v="522.5"/>
    <n v="18517.580000000002"/>
  </r>
  <r>
    <x v="9"/>
    <x v="21"/>
    <x v="91"/>
    <x v="804"/>
    <x v="3"/>
    <n v="45585.66"/>
    <n v="31264.959999999999"/>
    <n v="2735.14"/>
    <n v="2160"/>
    <n v="911.71400000000006"/>
    <n v="813"/>
    <n v="625.29974868061583"/>
    <n v="1875.8978743403075"/>
    <n v="31264.959999999999"/>
    <n v="31264.959999999999"/>
    <n v="0.06"/>
    <n v="0.77"/>
    <n v="0.87"/>
    <n v="812"/>
    <n v="28292.959999999999"/>
  </r>
  <r>
    <x v="9"/>
    <x v="22"/>
    <x v="92"/>
    <x v="394"/>
    <x v="0"/>
    <n v="5928"/>
    <n v="6179.09"/>
    <n v="0"/>
    <n v="0"/>
    <n v="0"/>
    <n v="0"/>
    <n v="0"/>
    <n v="0"/>
    <n v="6179.09"/>
    <n v="6179.09"/>
    <n v="0"/>
    <n v="0"/>
    <n v="0"/>
    <n v="0"/>
    <n v="6179.09"/>
  </r>
  <r>
    <x v="9"/>
    <x v="20"/>
    <x v="95"/>
    <x v="805"/>
    <x v="3"/>
    <n v="4295"/>
    <n v="44684.04"/>
    <n v="300.65000000000003"/>
    <n v="3111"/>
    <n v="64.425000000000011"/>
    <n v="838"/>
    <n v="670.26060000000018"/>
    <n v="3127.8828000000003"/>
    <n v="44684.04"/>
    <n v="44684.04"/>
    <n v="7.0000000000000007E-2"/>
    <n v="0.8"/>
    <n v="1.01"/>
    <n v="836"/>
    <n v="40737.040000000001"/>
  </r>
  <r>
    <x v="9"/>
    <x v="20"/>
    <x v="97"/>
    <x v="806"/>
    <x v="3"/>
    <n v="7465.6"/>
    <n v="18222.740000000002"/>
    <n v="1119.8399999999999"/>
    <n v="3951"/>
    <n v="485.26400000000001"/>
    <n v="1501"/>
    <n v="1184.4781"/>
    <n v="2733.4110000000001"/>
    <n v="18222.740000000002"/>
    <n v="18222.740000000002"/>
    <n v="0.15"/>
    <n v="0.79"/>
    <n v="0.69"/>
    <n v="1504.5"/>
    <n v="12767.240000000002"/>
  </r>
  <r>
    <x v="9"/>
    <x v="20"/>
    <x v="375"/>
    <x v="807"/>
    <x v="7"/>
    <n v="150"/>
    <n v="5439.2"/>
    <n v="6"/>
    <n v="203.5"/>
    <n v="0"/>
    <n v="39"/>
    <n v="0"/>
    <n v="217.56799999999998"/>
    <n v="5439.2"/>
    <n v="5439.2"/>
    <n v="0.04"/>
    <n v="0"/>
    <n v="1.07"/>
    <n v="39"/>
    <n v="5196.7"/>
  </r>
  <r>
    <x v="9"/>
    <x v="18"/>
    <x v="56"/>
    <x v="90"/>
    <x v="13"/>
    <n v="0.32000000000005002"/>
    <n v="2.430000000000291"/>
    <n v="11.926"/>
    <n v="316"/>
    <n v="0"/>
    <n v="0"/>
    <n v="0"/>
    <n v="90.563062500000001"/>
    <n v="2.430000000000291"/>
    <n v="8.4789535468737043"/>
    <n v="37.270000000000003"/>
    <n v="0"/>
    <n v="0.28999999999999998"/>
    <n v="0"/>
    <n v="-313.56999999999971"/>
  </r>
  <r>
    <x v="9"/>
    <x v="18"/>
    <x v="734"/>
    <x v="808"/>
    <x v="0"/>
    <n v="195"/>
    <n v="2377.0500000000002"/>
    <n v="0"/>
    <n v="0"/>
    <n v="0"/>
    <n v="0"/>
    <n v="0"/>
    <n v="0"/>
    <n v="2377.0500000000002"/>
    <n v="2377.0500000000002"/>
    <n v="0"/>
    <n v="0"/>
    <n v="0"/>
    <n v="0"/>
    <n v="2377.0500000000002"/>
  </r>
  <r>
    <x v="9"/>
    <x v="18"/>
    <x v="735"/>
    <x v="809"/>
    <x v="0"/>
    <n v="50"/>
    <n v="609.5"/>
    <n v="0"/>
    <n v="0"/>
    <n v="0"/>
    <n v="0"/>
    <n v="0"/>
    <n v="0"/>
    <n v="609.5"/>
    <n v="609.5"/>
    <n v="0"/>
    <n v="0"/>
    <n v="0"/>
    <n v="0"/>
    <n v="609.5"/>
  </r>
  <r>
    <x v="9"/>
    <x v="18"/>
    <x v="736"/>
    <x v="810"/>
    <x v="3"/>
    <n v="200"/>
    <n v="2438"/>
    <n v="40"/>
    <n v="514"/>
    <n v="40"/>
    <n v="131"/>
    <n v="487.6"/>
    <n v="487.6"/>
    <n v="2438"/>
    <n v="2438"/>
    <n v="0.2"/>
    <n v="3.72"/>
    <n v="0.95"/>
    <n v="130.5"/>
    <n v="1793.5"/>
  </r>
  <r>
    <x v="9"/>
    <x v="18"/>
    <x v="737"/>
    <x v="811"/>
    <x v="0"/>
    <n v="151"/>
    <n v="1840.69"/>
    <n v="0"/>
    <n v="0"/>
    <n v="0"/>
    <n v="0"/>
    <n v="0"/>
    <n v="0"/>
    <n v="1840.69"/>
    <n v="1840.69"/>
    <n v="0"/>
    <n v="0"/>
    <n v="0"/>
    <n v="0"/>
    <n v="1840.69"/>
  </r>
  <r>
    <x v="9"/>
    <x v="24"/>
    <x v="102"/>
    <x v="112"/>
    <x v="0"/>
    <n v="5400"/>
    <n v="9450"/>
    <n v="27"/>
    <n v="47.5"/>
    <n v="0"/>
    <n v="0"/>
    <n v="0"/>
    <n v="47.25"/>
    <n v="9450"/>
    <n v="9450"/>
    <n v="0.01"/>
    <n v="0"/>
    <n v="0.99"/>
    <n v="0"/>
    <n v="9402.5"/>
  </r>
  <r>
    <x v="9"/>
    <x v="24"/>
    <x v="738"/>
    <x v="812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0"/>
    <x v="0"/>
    <x v="91"/>
    <x v="0"/>
    <n v="1933.3000000000002"/>
    <n v="36302.370000000003"/>
    <n v="0"/>
    <n v="0"/>
    <n v="0"/>
    <n v="0"/>
    <n v="0"/>
    <n v="0"/>
    <n v="36302.370000000003"/>
    <n v="36302.370000000003"/>
    <n v="0"/>
    <n v="0"/>
    <n v="0"/>
    <n v="0"/>
    <n v="36302.370000000003"/>
  </r>
  <r>
    <x v="9"/>
    <x v="0"/>
    <x v="108"/>
    <x v="405"/>
    <x v="3"/>
    <n v="742"/>
    <n v="14840"/>
    <n v="667.8"/>
    <n v="6131"/>
    <n v="667.8"/>
    <n v="5975"/>
    <n v="13355.999999999998"/>
    <n v="13355.999999999998"/>
    <n v="14840"/>
    <n v="6812.2222222222226"/>
    <n v="0.9"/>
    <n v="2.2400000000000002"/>
    <n v="2.1800000000000002"/>
    <n v="0"/>
    <n v="8709"/>
  </r>
  <r>
    <x v="9"/>
    <x v="0"/>
    <x v="376"/>
    <x v="406"/>
    <x v="7"/>
    <n v="567"/>
    <n v="11340"/>
    <n v="0"/>
    <n v="267.5"/>
    <n v="0"/>
    <n v="263"/>
    <n v="0"/>
    <n v="0"/>
    <n v="11340"/>
    <n v="11340"/>
    <n v="0"/>
    <n v="0"/>
    <n v="0"/>
    <n v="267.5"/>
    <n v="10805"/>
  </r>
  <r>
    <x v="9"/>
    <x v="2"/>
    <x v="87"/>
    <x v="93"/>
    <x v="0"/>
    <n v="1566"/>
    <n v="25112"/>
    <n v="0"/>
    <n v="0"/>
    <n v="0"/>
    <n v="0"/>
    <n v="0"/>
    <n v="0"/>
    <n v="25112"/>
    <n v="25112"/>
    <n v="0"/>
    <n v="0"/>
    <n v="0"/>
    <n v="0"/>
    <n v="25112"/>
  </r>
  <r>
    <x v="9"/>
    <x v="2"/>
    <x v="377"/>
    <x v="813"/>
    <x v="0"/>
    <n v="1052"/>
    <n v="10520"/>
    <n v="0"/>
    <n v="0"/>
    <n v="0"/>
    <n v="0"/>
    <n v="0"/>
    <n v="0"/>
    <n v="10520"/>
    <n v="10520"/>
    <n v="0"/>
    <n v="0"/>
    <n v="0"/>
    <n v="0"/>
    <n v="10520"/>
  </r>
  <r>
    <x v="9"/>
    <x v="2"/>
    <x v="378"/>
    <x v="814"/>
    <x v="0"/>
    <n v="96"/>
    <n v="17760"/>
    <n v="0"/>
    <n v="0"/>
    <n v="0"/>
    <n v="0"/>
    <n v="0"/>
    <n v="0"/>
    <n v="17760"/>
    <n v="17760"/>
    <n v="0"/>
    <n v="0"/>
    <n v="0"/>
    <n v="0"/>
    <n v="17760"/>
  </r>
  <r>
    <x v="9"/>
    <x v="3"/>
    <x v="9"/>
    <x v="119"/>
    <x v="2"/>
    <n v="0"/>
    <n v="-0.30999999999767169"/>
    <n v="0"/>
    <n v="0"/>
    <n v="0"/>
    <n v="0"/>
    <n v="0"/>
    <n v="0"/>
    <n v="0"/>
    <n v="0"/>
    <n v="0"/>
    <n v="0"/>
    <n v="0"/>
    <n v="0"/>
    <n v="-0.30999999999767169"/>
  </r>
  <r>
    <x v="9"/>
    <x v="3"/>
    <x v="111"/>
    <x v="815"/>
    <x v="3"/>
    <n v="63983"/>
    <n v="50341.5"/>
    <n v="15995.75"/>
    <n v="12692.5"/>
    <n v="15995.75"/>
    <n v="1956"/>
    <n v="12585.375"/>
    <n v="12585.375"/>
    <n v="50341.5"/>
    <n v="50341.5"/>
    <n v="0.25"/>
    <n v="6.43"/>
    <n v="0.99"/>
    <n v="1955"/>
    <n v="35694"/>
  </r>
  <r>
    <x v="9"/>
    <x v="3"/>
    <x v="112"/>
    <x v="816"/>
    <x v="7"/>
    <n v="63983"/>
    <n v="113392.9"/>
    <n v="0"/>
    <n v="13"/>
    <n v="0"/>
    <n v="13"/>
    <n v="0"/>
    <n v="0"/>
    <n v="113392.9"/>
    <n v="113392.9"/>
    <n v="0"/>
    <n v="0"/>
    <n v="0"/>
    <n v="13"/>
    <n v="113366.9"/>
  </r>
  <r>
    <x v="9"/>
    <x v="3"/>
    <x v="739"/>
    <x v="817"/>
    <x v="0"/>
    <n v="60267"/>
    <n v="47318.15"/>
    <n v="0"/>
    <n v="0"/>
    <n v="0"/>
    <n v="0"/>
    <n v="0"/>
    <n v="0"/>
    <n v="47318.15"/>
    <n v="47318.15"/>
    <n v="0"/>
    <n v="0"/>
    <n v="0"/>
    <n v="0"/>
    <n v="47318.15"/>
  </r>
  <r>
    <x v="9"/>
    <x v="3"/>
    <x v="740"/>
    <x v="818"/>
    <x v="0"/>
    <n v="60267"/>
    <n v="106753.7"/>
    <n v="0"/>
    <n v="0"/>
    <n v="0"/>
    <n v="0"/>
    <n v="0"/>
    <n v="0"/>
    <n v="106753.7"/>
    <n v="106753.7"/>
    <n v="0"/>
    <n v="0"/>
    <n v="0"/>
    <n v="0"/>
    <n v="106753.7"/>
  </r>
  <r>
    <x v="9"/>
    <x v="4"/>
    <x v="114"/>
    <x v="125"/>
    <x v="2"/>
    <n v="0"/>
    <n v="9.9999999991268851E-2"/>
    <n v="0"/>
    <n v="0"/>
    <n v="0"/>
    <n v="0"/>
    <n v="0"/>
    <n v="0"/>
    <n v="9.9999999991268851E-2"/>
    <n v="9.9999999991268851E-2"/>
    <n v="0"/>
    <n v="0"/>
    <n v="0"/>
    <n v="0"/>
    <n v="9.9999999991268851E-2"/>
  </r>
  <r>
    <x v="9"/>
    <x v="4"/>
    <x v="115"/>
    <x v="819"/>
    <x v="0"/>
    <n v="15409"/>
    <n v="56175.65"/>
    <n v="0"/>
    <n v="0"/>
    <n v="0"/>
    <n v="0"/>
    <n v="0"/>
    <n v="0"/>
    <n v="56175.65"/>
    <n v="56175.65"/>
    <n v="0"/>
    <n v="0"/>
    <n v="0"/>
    <n v="0"/>
    <n v="56175.65"/>
  </r>
  <r>
    <x v="9"/>
    <x v="4"/>
    <x v="741"/>
    <x v="820"/>
    <x v="0"/>
    <n v="15409"/>
    <n v="53553.39"/>
    <n v="0"/>
    <n v="0"/>
    <n v="0"/>
    <n v="0"/>
    <n v="0"/>
    <n v="0"/>
    <n v="53553.39"/>
    <n v="53553.39"/>
    <n v="0"/>
    <n v="0"/>
    <n v="0"/>
    <n v="0"/>
    <n v="53553.39"/>
  </r>
  <r>
    <x v="9"/>
    <x v="5"/>
    <x v="14"/>
    <x v="821"/>
    <x v="0"/>
    <n v="52"/>
    <n v="2444"/>
    <n v="0"/>
    <n v="0"/>
    <n v="0"/>
    <n v="0"/>
    <n v="0"/>
    <n v="0"/>
    <n v="2444"/>
    <n v="2444"/>
    <n v="0"/>
    <n v="0"/>
    <n v="0"/>
    <n v="0"/>
    <n v="2444"/>
  </r>
  <r>
    <x v="9"/>
    <x v="7"/>
    <x v="18"/>
    <x v="128"/>
    <x v="0"/>
    <n v="9715"/>
    <n v="36613.18"/>
    <n v="0"/>
    <n v="0"/>
    <n v="0"/>
    <n v="0"/>
    <n v="0"/>
    <n v="0"/>
    <n v="36613.18"/>
    <n v="36613.18"/>
    <n v="0"/>
    <n v="0"/>
    <n v="0"/>
    <n v="0"/>
    <n v="36613.18"/>
  </r>
  <r>
    <x v="9"/>
    <x v="7"/>
    <x v="117"/>
    <x v="822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9"/>
    <x v="118"/>
    <x v="823"/>
    <x v="0"/>
    <n v="11491.8"/>
    <n v="9480.74"/>
    <n v="0"/>
    <n v="0"/>
    <n v="0"/>
    <n v="0"/>
    <n v="0"/>
    <n v="0"/>
    <n v="9480.74"/>
    <n v="9480.74"/>
    <n v="0"/>
    <n v="0"/>
    <n v="0"/>
    <n v="0"/>
    <n v="9480.74"/>
  </r>
  <r>
    <x v="9"/>
    <x v="11"/>
    <x v="742"/>
    <x v="195"/>
    <x v="2"/>
    <n v="0"/>
    <n v="31491.3"/>
    <n v="0"/>
    <n v="0"/>
    <n v="0"/>
    <n v="0"/>
    <n v="0"/>
    <n v="0"/>
    <n v="31491.3"/>
    <n v="31491.3"/>
    <n v="0"/>
    <n v="0"/>
    <n v="0"/>
    <n v="0"/>
    <n v="31491.3"/>
  </r>
  <r>
    <x v="9"/>
    <x v="11"/>
    <x v="743"/>
    <x v="824"/>
    <x v="2"/>
    <n v="0"/>
    <n v="6912"/>
    <n v="0"/>
    <n v="0"/>
    <n v="0"/>
    <n v="0"/>
    <n v="0"/>
    <n v="0"/>
    <n v="6912"/>
    <n v="6912"/>
    <n v="0"/>
    <n v="0"/>
    <n v="0"/>
    <n v="0"/>
    <n v="6912"/>
  </r>
  <r>
    <x v="9"/>
    <x v="12"/>
    <x v="26"/>
    <x v="131"/>
    <x v="5"/>
    <n v="0"/>
    <n v="10097.68"/>
    <n v="0"/>
    <n v="520"/>
    <n v="0"/>
    <n v="260"/>
    <n v="0"/>
    <n v="0"/>
    <n v="10097.68"/>
    <n v="10097.68"/>
    <n v="0"/>
    <n v="0"/>
    <n v="0"/>
    <n v="0"/>
    <n v="9577.68"/>
  </r>
  <r>
    <x v="9"/>
    <x v="12"/>
    <x v="27"/>
    <x v="27"/>
    <x v="5"/>
    <n v="0"/>
    <n v="36054"/>
    <n v="0"/>
    <n v="537"/>
    <n v="0"/>
    <n v="280"/>
    <n v="0"/>
    <n v="0"/>
    <n v="36054"/>
    <n v="36054"/>
    <n v="0"/>
    <n v="0"/>
    <n v="0"/>
    <n v="0"/>
    <n v="35517"/>
  </r>
  <r>
    <x v="9"/>
    <x v="12"/>
    <x v="28"/>
    <x v="28"/>
    <x v="2"/>
    <n v="0"/>
    <n v="15016"/>
    <n v="0"/>
    <n v="102"/>
    <n v="0"/>
    <n v="0"/>
    <n v="0"/>
    <n v="0"/>
    <n v="15016"/>
    <n v="15016"/>
    <n v="0"/>
    <n v="0"/>
    <n v="0"/>
    <n v="0"/>
    <n v="14914"/>
  </r>
  <r>
    <x v="9"/>
    <x v="12"/>
    <x v="29"/>
    <x v="29"/>
    <x v="5"/>
    <n v="0"/>
    <n v="50688"/>
    <n v="0"/>
    <n v="2153"/>
    <n v="0"/>
    <n v="656"/>
    <n v="0"/>
    <n v="0"/>
    <n v="50688"/>
    <n v="50688"/>
    <n v="0"/>
    <n v="0"/>
    <n v="0"/>
    <n v="181.5"/>
    <n v="48353.5"/>
  </r>
  <r>
    <x v="9"/>
    <x v="12"/>
    <x v="30"/>
    <x v="30"/>
    <x v="5"/>
    <n v="0"/>
    <n v="4770"/>
    <n v="0"/>
    <n v="50"/>
    <n v="0"/>
    <n v="25"/>
    <n v="0"/>
    <n v="0"/>
    <n v="4770"/>
    <n v="4770"/>
    <n v="0"/>
    <n v="0"/>
    <n v="0"/>
    <n v="0"/>
    <n v="4720"/>
  </r>
  <r>
    <x v="9"/>
    <x v="13"/>
    <x v="33"/>
    <x v="33"/>
    <x v="5"/>
    <n v="0"/>
    <n v="20340"/>
    <n v="0"/>
    <n v="682"/>
    <n v="0"/>
    <n v="221"/>
    <n v="0"/>
    <n v="0"/>
    <n v="20340"/>
    <n v="20340"/>
    <n v="0"/>
    <n v="0"/>
    <n v="0"/>
    <n v="221"/>
    <n v="19437"/>
  </r>
  <r>
    <x v="9"/>
    <x v="13"/>
    <x v="34"/>
    <x v="34"/>
    <x v="5"/>
    <n v="0"/>
    <n v="8820"/>
    <n v="0"/>
    <n v="1111.5"/>
    <n v="0"/>
    <n v="428"/>
    <n v="0"/>
    <n v="0"/>
    <n v="8820"/>
    <n v="8820"/>
    <n v="0"/>
    <n v="0"/>
    <n v="0"/>
    <n v="425.5"/>
    <n v="7283"/>
  </r>
  <r>
    <x v="9"/>
    <x v="13"/>
    <x v="35"/>
    <x v="35"/>
    <x v="5"/>
    <n v="0"/>
    <n v="23520"/>
    <n v="0"/>
    <n v="4762.5"/>
    <n v="0"/>
    <n v="2276"/>
    <n v="0"/>
    <n v="0"/>
    <n v="23520"/>
    <n v="23520"/>
    <n v="0"/>
    <n v="0"/>
    <n v="0"/>
    <n v="2276.5"/>
    <n v="16481"/>
  </r>
  <r>
    <x v="9"/>
    <x v="13"/>
    <x v="36"/>
    <x v="71"/>
    <x v="5"/>
    <n v="0"/>
    <n v="22080"/>
    <n v="0"/>
    <n v="2575"/>
    <n v="0"/>
    <n v="426"/>
    <n v="0"/>
    <n v="0"/>
    <n v="22080"/>
    <n v="22080"/>
    <n v="0"/>
    <n v="0"/>
    <n v="0"/>
    <n v="428"/>
    <n v="19077"/>
  </r>
  <r>
    <x v="9"/>
    <x v="13"/>
    <x v="89"/>
    <x v="825"/>
    <x v="5"/>
    <n v="0"/>
    <n v="4920"/>
    <n v="0"/>
    <n v="1293.5"/>
    <n v="0"/>
    <n v="41"/>
    <n v="0"/>
    <n v="0"/>
    <n v="4920"/>
    <n v="4920"/>
    <n v="0"/>
    <n v="0"/>
    <n v="0"/>
    <n v="42"/>
    <n v="3584.5"/>
  </r>
  <r>
    <x v="9"/>
    <x v="13"/>
    <x v="37"/>
    <x v="37"/>
    <x v="5"/>
    <n v="0"/>
    <n v="5160"/>
    <n v="0"/>
    <n v="519.5"/>
    <n v="0"/>
    <n v="211"/>
    <n v="0"/>
    <n v="0"/>
    <n v="5160"/>
    <n v="5160"/>
    <n v="0"/>
    <n v="0"/>
    <n v="0"/>
    <n v="212"/>
    <n v="4428.5"/>
  </r>
  <r>
    <x v="9"/>
    <x v="13"/>
    <x v="38"/>
    <x v="133"/>
    <x v="5"/>
    <n v="0"/>
    <n v="0"/>
    <n v="0"/>
    <n v="150"/>
    <n v="0"/>
    <n v="70"/>
    <n v="0"/>
    <n v="0"/>
    <n v="0"/>
    <n v="0"/>
    <n v="0"/>
    <n v="0"/>
    <n v="0"/>
    <n v="70"/>
    <n v="-220"/>
  </r>
  <r>
    <x v="9"/>
    <x v="13"/>
    <x v="39"/>
    <x v="39"/>
    <x v="5"/>
    <n v="0"/>
    <n v="350"/>
    <n v="0"/>
    <n v="50"/>
    <n v="0"/>
    <n v="10"/>
    <n v="0"/>
    <n v="0"/>
    <n v="350"/>
    <n v="350"/>
    <n v="0"/>
    <n v="0"/>
    <n v="0"/>
    <n v="10"/>
    <n v="290"/>
  </r>
  <r>
    <x v="9"/>
    <x v="14"/>
    <x v="43"/>
    <x v="826"/>
    <x v="2"/>
    <n v="0"/>
    <n v="9959.93"/>
    <n v="0"/>
    <n v="0"/>
    <n v="0"/>
    <n v="0"/>
    <n v="0"/>
    <n v="0"/>
    <n v="9959.93"/>
    <n v="9959.93"/>
    <n v="0"/>
    <n v="0"/>
    <n v="0"/>
    <n v="0"/>
    <n v="9959.93"/>
  </r>
  <r>
    <x v="9"/>
    <x v="15"/>
    <x v="44"/>
    <x v="134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16"/>
    <x v="48"/>
    <x v="827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16"/>
    <x v="119"/>
    <x v="136"/>
    <x v="2"/>
    <n v="0"/>
    <n v="0"/>
    <n v="0"/>
    <n v="0"/>
    <n v="0"/>
    <n v="0"/>
    <n v="0"/>
    <n v="0"/>
    <n v="0"/>
    <n v="0"/>
    <n v="0"/>
    <n v="0"/>
    <n v="0"/>
    <n v="0"/>
    <n v="0"/>
  </r>
  <r>
    <x v="9"/>
    <x v="16"/>
    <x v="385"/>
    <x v="828"/>
    <x v="2"/>
    <n v="0"/>
    <n v="600"/>
    <n v="0"/>
    <n v="0"/>
    <n v="0"/>
    <n v="0"/>
    <n v="0"/>
    <n v="0"/>
    <n v="600"/>
    <n v="600"/>
    <n v="0"/>
    <n v="0"/>
    <n v="0"/>
    <n v="0"/>
    <n v="600"/>
  </r>
  <r>
    <x v="9"/>
    <x v="16"/>
    <x v="744"/>
    <x v="829"/>
    <x v="2"/>
    <n v="0"/>
    <n v="59838.87"/>
    <n v="0"/>
    <n v="0"/>
    <n v="0"/>
    <n v="0"/>
    <n v="0"/>
    <n v="0"/>
    <n v="59838.87"/>
    <n v="59838.87"/>
    <n v="0"/>
    <n v="0"/>
    <n v="0"/>
    <n v="0"/>
    <n v="59838.87"/>
  </r>
  <r>
    <x v="9"/>
    <x v="16"/>
    <x v="745"/>
    <x v="830"/>
    <x v="2"/>
    <n v="0"/>
    <n v="14506.56"/>
    <n v="0"/>
    <n v="0"/>
    <n v="0"/>
    <n v="0"/>
    <n v="0"/>
    <n v="0"/>
    <n v="14506.56"/>
    <n v="14506.56"/>
    <n v="0"/>
    <n v="0"/>
    <n v="0"/>
    <n v="0"/>
    <n v="14506.56"/>
  </r>
  <r>
    <x v="9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  <r>
    <x v="10"/>
    <x v="18"/>
    <x v="56"/>
    <x v="90"/>
    <x v="2"/>
    <n v="118"/>
    <n v="1697"/>
    <n v="0"/>
    <n v="0"/>
    <n v="0"/>
    <n v="0"/>
    <n v="0"/>
    <n v="0"/>
    <n v="0"/>
    <n v="0"/>
    <n v="0"/>
    <n v="0"/>
    <n v="0"/>
    <n v="0"/>
    <n v="1697"/>
  </r>
  <r>
    <x v="10"/>
    <x v="0"/>
    <x v="0"/>
    <x v="91"/>
    <x v="2"/>
    <n v="1368"/>
    <n v="33097"/>
    <n v="0"/>
    <n v="0"/>
    <n v="0"/>
    <n v="0"/>
    <n v="0"/>
    <n v="0"/>
    <n v="0"/>
    <n v="0"/>
    <n v="0"/>
    <n v="0"/>
    <n v="0"/>
    <n v="0"/>
    <n v="33097"/>
  </r>
  <r>
    <x v="10"/>
    <x v="2"/>
    <x v="87"/>
    <x v="93"/>
    <x v="2"/>
    <n v="322"/>
    <n v="19992"/>
    <n v="0"/>
    <n v="0"/>
    <n v="0"/>
    <n v="0"/>
    <n v="0"/>
    <n v="0"/>
    <n v="0"/>
    <n v="0"/>
    <n v="0"/>
    <n v="0"/>
    <n v="0"/>
    <n v="0"/>
    <n v="19992"/>
  </r>
  <r>
    <x v="10"/>
    <x v="3"/>
    <x v="9"/>
    <x v="119"/>
    <x v="2"/>
    <n v="24190"/>
    <n v="83355"/>
    <n v="0"/>
    <n v="0"/>
    <n v="0"/>
    <n v="0"/>
    <n v="0"/>
    <n v="0"/>
    <n v="0"/>
    <n v="0"/>
    <n v="0"/>
    <n v="0"/>
    <n v="0"/>
    <n v="0"/>
    <n v="83355"/>
  </r>
  <r>
    <x v="10"/>
    <x v="3"/>
    <x v="746"/>
    <x v="831"/>
    <x v="2"/>
    <n v="26208"/>
    <n v="49140"/>
    <n v="0"/>
    <n v="0"/>
    <n v="0"/>
    <n v="0"/>
    <n v="0"/>
    <n v="0"/>
    <n v="0"/>
    <n v="0"/>
    <n v="0"/>
    <n v="0"/>
    <n v="0"/>
    <n v="0"/>
    <n v="49140"/>
  </r>
  <r>
    <x v="10"/>
    <x v="5"/>
    <x v="14"/>
    <x v="14"/>
    <x v="2"/>
    <n v="50398"/>
    <n v="23331"/>
    <n v="0"/>
    <n v="0"/>
    <n v="0"/>
    <n v="0"/>
    <n v="0"/>
    <n v="0"/>
    <n v="0"/>
    <n v="0"/>
    <n v="0"/>
    <n v="0"/>
    <n v="0"/>
    <n v="0"/>
    <n v="23331"/>
  </r>
  <r>
    <x v="10"/>
    <x v="11"/>
    <x v="67"/>
    <x v="67"/>
    <x v="2"/>
    <n v="13258"/>
    <n v="13258"/>
    <n v="0"/>
    <n v="0"/>
    <n v="0"/>
    <n v="0"/>
    <n v="0"/>
    <n v="0"/>
    <n v="0"/>
    <n v="0"/>
    <n v="0"/>
    <n v="0"/>
    <n v="0"/>
    <n v="0"/>
    <n v="13258"/>
  </r>
  <r>
    <x v="10"/>
    <x v="12"/>
    <x v="26"/>
    <x v="131"/>
    <x v="5"/>
    <n v="0"/>
    <n v="8205"/>
    <n v="0"/>
    <n v="480"/>
    <n v="0"/>
    <n v="240"/>
    <n v="0"/>
    <n v="0"/>
    <n v="0"/>
    <n v="0"/>
    <n v="0"/>
    <n v="0"/>
    <n v="0"/>
    <n v="0"/>
    <n v="7725"/>
  </r>
  <r>
    <x v="10"/>
    <x v="12"/>
    <x v="27"/>
    <x v="27"/>
    <x v="2"/>
    <n v="0"/>
    <n v="29220"/>
    <n v="0"/>
    <n v="0"/>
    <n v="0"/>
    <n v="0"/>
    <n v="0"/>
    <n v="0"/>
    <n v="0"/>
    <n v="0"/>
    <n v="0"/>
    <n v="0"/>
    <n v="0"/>
    <n v="0"/>
    <n v="29220"/>
  </r>
  <r>
    <x v="10"/>
    <x v="12"/>
    <x v="28"/>
    <x v="28"/>
    <x v="2"/>
    <n v="0"/>
    <n v="8880"/>
    <n v="0"/>
    <n v="0"/>
    <n v="0"/>
    <n v="0"/>
    <n v="0"/>
    <n v="0"/>
    <n v="0"/>
    <n v="0"/>
    <n v="0"/>
    <n v="0"/>
    <n v="0"/>
    <n v="0"/>
    <n v="8880"/>
  </r>
  <r>
    <x v="10"/>
    <x v="12"/>
    <x v="29"/>
    <x v="29"/>
    <x v="2"/>
    <n v="0"/>
    <n v="24480"/>
    <n v="0"/>
    <n v="0"/>
    <n v="0"/>
    <n v="0"/>
    <n v="0"/>
    <n v="0"/>
    <n v="0"/>
    <n v="0"/>
    <n v="0"/>
    <n v="0"/>
    <n v="0"/>
    <n v="0"/>
    <n v="24480"/>
  </r>
  <r>
    <x v="10"/>
    <x v="12"/>
    <x v="30"/>
    <x v="30"/>
    <x v="2"/>
    <n v="0"/>
    <n v="2880"/>
    <n v="0"/>
    <n v="0"/>
    <n v="0"/>
    <n v="0"/>
    <n v="0"/>
    <n v="0"/>
    <n v="0"/>
    <n v="0"/>
    <n v="0"/>
    <n v="0"/>
    <n v="0"/>
    <n v="0"/>
    <n v="2880"/>
  </r>
  <r>
    <x v="10"/>
    <x v="13"/>
    <x v="33"/>
    <x v="33"/>
    <x v="2"/>
    <n v="0"/>
    <n v="12480"/>
    <n v="0"/>
    <n v="0"/>
    <n v="0"/>
    <n v="0"/>
    <n v="0"/>
    <n v="0"/>
    <n v="0"/>
    <n v="0"/>
    <n v="0"/>
    <n v="0"/>
    <n v="0"/>
    <n v="0"/>
    <n v="12480"/>
  </r>
  <r>
    <x v="10"/>
    <x v="13"/>
    <x v="34"/>
    <x v="34"/>
    <x v="2"/>
    <n v="0"/>
    <n v="5460"/>
    <n v="0"/>
    <n v="0"/>
    <n v="0"/>
    <n v="0"/>
    <n v="0"/>
    <n v="0"/>
    <n v="0"/>
    <n v="0"/>
    <n v="0"/>
    <n v="0"/>
    <n v="0"/>
    <n v="0"/>
    <n v="5460"/>
  </r>
  <r>
    <x v="10"/>
    <x v="13"/>
    <x v="35"/>
    <x v="35"/>
    <x v="2"/>
    <n v="0"/>
    <n v="17700"/>
    <n v="0"/>
    <n v="0"/>
    <n v="0"/>
    <n v="0"/>
    <n v="0"/>
    <n v="0"/>
    <n v="0"/>
    <n v="0"/>
    <n v="0"/>
    <n v="0"/>
    <n v="0"/>
    <n v="0"/>
    <n v="17700"/>
  </r>
  <r>
    <x v="10"/>
    <x v="13"/>
    <x v="36"/>
    <x v="71"/>
    <x v="2"/>
    <n v="0"/>
    <n v="8340"/>
    <n v="0"/>
    <n v="0"/>
    <n v="0"/>
    <n v="0"/>
    <n v="0"/>
    <n v="0"/>
    <n v="0"/>
    <n v="0"/>
    <n v="0"/>
    <n v="0"/>
    <n v="0"/>
    <n v="0"/>
    <n v="8340"/>
  </r>
  <r>
    <x v="10"/>
    <x v="13"/>
    <x v="89"/>
    <x v="832"/>
    <x v="2"/>
    <n v="0"/>
    <n v="2880"/>
    <n v="0"/>
    <n v="0"/>
    <n v="0"/>
    <n v="0"/>
    <n v="0"/>
    <n v="0"/>
    <n v="0"/>
    <n v="0"/>
    <n v="0"/>
    <n v="0"/>
    <n v="0"/>
    <n v="0"/>
    <n v="2880"/>
  </r>
  <r>
    <x v="10"/>
    <x v="13"/>
    <x v="37"/>
    <x v="37"/>
    <x v="2"/>
    <n v="0"/>
    <n v="2880"/>
    <n v="0"/>
    <n v="0"/>
    <n v="0"/>
    <n v="0"/>
    <n v="0"/>
    <n v="0"/>
    <n v="0"/>
    <n v="0"/>
    <n v="0"/>
    <n v="0"/>
    <n v="0"/>
    <n v="0"/>
    <n v="2880"/>
  </r>
  <r>
    <x v="10"/>
    <x v="13"/>
    <x v="38"/>
    <x v="38"/>
    <x v="2"/>
    <n v="0"/>
    <n v="1170"/>
    <n v="0"/>
    <n v="0"/>
    <n v="0"/>
    <n v="0"/>
    <n v="0"/>
    <n v="0"/>
    <n v="0"/>
    <n v="0"/>
    <n v="0"/>
    <n v="0"/>
    <n v="0"/>
    <n v="0"/>
    <n v="1170"/>
  </r>
  <r>
    <x v="10"/>
    <x v="13"/>
    <x v="39"/>
    <x v="39"/>
    <x v="2"/>
    <n v="0"/>
    <n v="240"/>
    <n v="0"/>
    <n v="0"/>
    <n v="0"/>
    <n v="0"/>
    <n v="0"/>
    <n v="0"/>
    <n v="0"/>
    <n v="0"/>
    <n v="0"/>
    <n v="0"/>
    <n v="0"/>
    <n v="0"/>
    <n v="240"/>
  </r>
  <r>
    <x v="10"/>
    <x v="14"/>
    <x v="43"/>
    <x v="99"/>
    <x v="2"/>
    <n v="0"/>
    <n v="1000"/>
    <n v="0"/>
    <n v="0"/>
    <n v="0"/>
    <n v="0"/>
    <n v="0"/>
    <n v="0"/>
    <n v="0"/>
    <n v="0"/>
    <n v="0"/>
    <n v="0"/>
    <n v="0"/>
    <n v="0"/>
    <n v="1000"/>
  </r>
  <r>
    <x v="10"/>
    <x v="15"/>
    <x v="44"/>
    <x v="44"/>
    <x v="2"/>
    <n v="0"/>
    <n v="0"/>
    <n v="0"/>
    <n v="0"/>
    <n v="0"/>
    <n v="0"/>
    <n v="0"/>
    <n v="0"/>
    <n v="0"/>
    <n v="0"/>
    <n v="0"/>
    <n v="0"/>
    <n v="0"/>
    <n v="0"/>
    <n v="0"/>
  </r>
  <r>
    <x v="10"/>
    <x v="17"/>
    <x v="54"/>
    <x v="54"/>
    <x v="2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68F00-1C60-495F-B185-8E14363311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278" firstHeaderRow="1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x="2"/>
        <item h="1" x="1"/>
        <item h="1" x="4"/>
        <item h="1" x="3"/>
        <item h="1" x="7"/>
        <item h="1" x="8"/>
        <item h="1" x="12"/>
        <item h="1" x="5"/>
        <item h="1"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4" outline="0" showAll="0" defaultSubtotal="0"/>
    <pivotField compact="0" numFmtId="164" outline="0" showAll="0" defaultSubtotal="0"/>
    <pivotField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274">
    <i>
      <x/>
      <x v="77"/>
      <x v="316"/>
    </i>
    <i r="1">
      <x v="89"/>
      <x v="531"/>
    </i>
    <i r="1">
      <x v="112"/>
      <x v="5"/>
    </i>
    <i r="1">
      <x v="117"/>
      <x v="536"/>
    </i>
    <i r="1">
      <x v="451"/>
      <x v="552"/>
    </i>
    <i>
      <x v="1"/>
      <x/>
      <x v="303"/>
    </i>
    <i r="1">
      <x v="2"/>
      <x v="593"/>
    </i>
    <i r="1">
      <x v="3"/>
      <x v="160"/>
    </i>
    <i>
      <x v="2"/>
      <x v="54"/>
      <x v="629"/>
    </i>
    <i r="1">
      <x v="59"/>
      <x v="630"/>
    </i>
    <i r="1">
      <x v="60"/>
      <x v="630"/>
    </i>
    <i r="1">
      <x v="89"/>
      <x v="118"/>
    </i>
    <i r="1">
      <x v="95"/>
      <x v="119"/>
    </i>
    <i r="1">
      <x v="107"/>
      <x v="582"/>
    </i>
    <i r="1">
      <x v="112"/>
      <x v="5"/>
    </i>
    <i r="1">
      <x v="117"/>
      <x v="537"/>
    </i>
    <i r="1">
      <x v="121"/>
      <x v="529"/>
    </i>
    <i>
      <x v="3"/>
      <x v="53"/>
      <x v="590"/>
    </i>
    <i r="1">
      <x v="69"/>
      <x v="611"/>
    </i>
    <i r="1">
      <x v="75"/>
      <x v="572"/>
    </i>
    <i r="1">
      <x v="89"/>
      <x v="539"/>
    </i>
    <i r="1">
      <x v="172"/>
      <x v="126"/>
    </i>
    <i r="1">
      <x v="451"/>
      <x v="510"/>
    </i>
    <i r="1">
      <x v="590"/>
      <x v="669"/>
    </i>
    <i>
      <x v="4"/>
      <x v="9"/>
      <x v="564"/>
    </i>
    <i r="1">
      <x v="126"/>
      <x v="554"/>
    </i>
    <i r="1">
      <x v="127"/>
      <x v="325"/>
    </i>
    <i r="1">
      <x v="129"/>
      <x v="629"/>
    </i>
    <i r="1">
      <x v="130"/>
      <x v="629"/>
    </i>
    <i r="1">
      <x v="154"/>
      <x v="629"/>
    </i>
    <i r="1">
      <x v="155"/>
      <x v="629"/>
    </i>
    <i r="1">
      <x v="156"/>
      <x v="629"/>
    </i>
    <i r="1">
      <x v="157"/>
      <x v="629"/>
    </i>
    <i r="1">
      <x v="158"/>
      <x v="629"/>
    </i>
    <i r="1">
      <x v="159"/>
      <x v="629"/>
    </i>
    <i r="1">
      <x v="160"/>
      <x v="629"/>
    </i>
    <i r="1">
      <x v="161"/>
      <x v="629"/>
    </i>
    <i r="1">
      <x v="162"/>
      <x v="629"/>
    </i>
    <i r="1">
      <x v="163"/>
      <x v="629"/>
    </i>
    <i r="1">
      <x v="164"/>
      <x v="629"/>
    </i>
    <i r="1">
      <x v="165"/>
      <x v="629"/>
    </i>
    <i r="1">
      <x v="166"/>
      <x v="629"/>
    </i>
    <i r="1">
      <x v="167"/>
      <x v="629"/>
    </i>
    <i r="1">
      <x v="168"/>
      <x v="629"/>
    </i>
    <i r="1">
      <x v="173"/>
      <x v="324"/>
    </i>
    <i r="1">
      <x v="217"/>
      <x v="629"/>
    </i>
    <i r="1">
      <x v="218"/>
      <x v="629"/>
    </i>
    <i r="1">
      <x v="219"/>
      <x v="629"/>
    </i>
    <i r="1">
      <x v="220"/>
      <x v="629"/>
    </i>
    <i r="1">
      <x v="221"/>
      <x v="629"/>
    </i>
    <i r="1">
      <x v="225"/>
      <x v="326"/>
    </i>
    <i r="1">
      <x v="269"/>
      <x v="318"/>
    </i>
    <i r="1">
      <x v="313"/>
      <x v="328"/>
    </i>
    <i r="1">
      <x v="359"/>
      <x v="327"/>
    </i>
    <i r="1">
      <x v="426"/>
      <x v="595"/>
    </i>
    <i r="1">
      <x v="427"/>
      <x v="287"/>
    </i>
    <i r="1">
      <x v="434"/>
      <x v="295"/>
    </i>
    <i r="1">
      <x v="436"/>
      <x v="286"/>
    </i>
    <i r="1">
      <x v="441"/>
      <x v="293"/>
    </i>
    <i r="1">
      <x v="443"/>
      <x v="290"/>
    </i>
    <i r="1">
      <x v="448"/>
      <x v="296"/>
    </i>
    <i r="1">
      <x v="458"/>
      <x v="297"/>
    </i>
    <i r="1">
      <x v="459"/>
      <x v="595"/>
    </i>
    <i r="1">
      <x v="464"/>
      <x v="672"/>
    </i>
    <i r="1">
      <x v="467"/>
      <x v="294"/>
    </i>
    <i>
      <x v="5"/>
      <x v="53"/>
      <x v="252"/>
    </i>
    <i r="1">
      <x v="60"/>
      <x v="257"/>
    </i>
    <i r="1">
      <x v="61"/>
      <x v="263"/>
    </i>
    <i r="1">
      <x v="89"/>
      <x v="219"/>
    </i>
    <i r="1">
      <x v="107"/>
      <x v="249"/>
    </i>
    <i r="1">
      <x v="114"/>
      <x v="224"/>
    </i>
    <i r="1">
      <x v="454"/>
      <x v="251"/>
    </i>
    <i>
      <x v="6"/>
      <x/>
      <x v="580"/>
    </i>
    <i r="1">
      <x v="5"/>
      <x v="134"/>
    </i>
    <i r="1">
      <x v="380"/>
      <x v="457"/>
    </i>
    <i r="1">
      <x v="381"/>
      <x v="458"/>
    </i>
    <i r="1">
      <x v="382"/>
      <x v="459"/>
    </i>
    <i r="1">
      <x v="383"/>
      <x v="460"/>
    </i>
    <i r="1">
      <x v="384"/>
      <x v="461"/>
    </i>
    <i r="1">
      <x v="385"/>
      <x v="462"/>
    </i>
    <i r="1">
      <x v="386"/>
      <x v="463"/>
    </i>
    <i r="1">
      <x v="387"/>
      <x v="464"/>
    </i>
    <i r="1">
      <x v="388"/>
      <x v="465"/>
    </i>
    <i r="1">
      <x v="389"/>
      <x v="466"/>
    </i>
    <i r="1">
      <x v="390"/>
      <x v="467"/>
    </i>
    <i r="1">
      <x v="391"/>
      <x v="468"/>
    </i>
    <i r="1">
      <x v="392"/>
      <x v="469"/>
    </i>
    <i r="1">
      <x v="393"/>
      <x v="470"/>
    </i>
    <i r="1">
      <x v="394"/>
      <x v="471"/>
    </i>
    <i r="1">
      <x v="395"/>
      <x v="472"/>
    </i>
    <i r="1">
      <x v="396"/>
      <x v="473"/>
    </i>
    <i r="1">
      <x v="397"/>
      <x v="474"/>
    </i>
    <i r="1">
      <x v="398"/>
      <x v="475"/>
    </i>
    <i r="1">
      <x v="399"/>
      <x v="476"/>
    </i>
    <i r="1">
      <x v="400"/>
      <x v="477"/>
    </i>
    <i r="1">
      <x v="401"/>
      <x v="478"/>
    </i>
    <i r="1">
      <x v="403"/>
      <x v="412"/>
    </i>
    <i r="1">
      <x v="404"/>
      <x v="413"/>
    </i>
    <i r="1">
      <x v="405"/>
      <x v="414"/>
    </i>
    <i r="1">
      <x v="406"/>
      <x v="415"/>
    </i>
    <i r="1">
      <x v="407"/>
      <x v="416"/>
    </i>
    <i r="1">
      <x v="408"/>
      <x v="417"/>
    </i>
    <i r="1">
      <x v="409"/>
      <x v="418"/>
    </i>
    <i r="1">
      <x v="410"/>
      <x v="419"/>
    </i>
    <i r="1">
      <x v="411"/>
      <x v="420"/>
    </i>
    <i r="1">
      <x v="412"/>
      <x v="421"/>
    </i>
    <i r="1">
      <x v="413"/>
      <x v="422"/>
    </i>
    <i r="1">
      <x v="414"/>
      <x v="423"/>
    </i>
    <i r="1">
      <x v="415"/>
      <x v="424"/>
    </i>
    <i r="1">
      <x v="416"/>
      <x v="425"/>
    </i>
    <i r="1">
      <x v="417"/>
      <x v="426"/>
    </i>
    <i r="1">
      <x v="418"/>
      <x v="427"/>
    </i>
    <i r="1">
      <x v="419"/>
      <x v="428"/>
    </i>
    <i r="1">
      <x v="420"/>
      <x v="429"/>
    </i>
    <i r="1">
      <x v="421"/>
      <x v="430"/>
    </i>
    <i r="1">
      <x v="422"/>
      <x v="431"/>
    </i>
    <i r="1">
      <x v="423"/>
      <x v="432"/>
    </i>
    <i r="1">
      <x v="424"/>
      <x v="433"/>
    </i>
    <i r="1">
      <x v="443"/>
      <x v="601"/>
    </i>
    <i r="1">
      <x v="451"/>
      <x v="603"/>
    </i>
    <i r="1">
      <x v="462"/>
      <x v="598"/>
    </i>
    <i r="1">
      <x v="615"/>
      <x v="697"/>
    </i>
    <i r="1">
      <x v="616"/>
      <x v="698"/>
    </i>
    <i r="1">
      <x v="617"/>
      <x v="699"/>
    </i>
    <i r="1">
      <x v="618"/>
      <x v="700"/>
    </i>
    <i r="1">
      <x v="619"/>
      <x v="701"/>
    </i>
    <i r="1">
      <x v="620"/>
      <x v="702"/>
    </i>
    <i r="1">
      <x v="621"/>
      <x v="703"/>
    </i>
    <i r="1">
      <x v="622"/>
      <x v="704"/>
    </i>
    <i r="1">
      <x v="623"/>
      <x v="705"/>
    </i>
    <i r="1">
      <x v="624"/>
      <x v="706"/>
    </i>
    <i r="1">
      <x v="625"/>
      <x v="707"/>
    </i>
    <i r="1">
      <x v="626"/>
      <x v="708"/>
    </i>
    <i r="1">
      <x v="627"/>
      <x v="709"/>
    </i>
    <i r="1">
      <x v="628"/>
      <x v="710"/>
    </i>
    <i r="1">
      <x v="629"/>
      <x v="711"/>
    </i>
    <i r="1">
      <x v="630"/>
      <x v="712"/>
    </i>
    <i r="1">
      <x v="631"/>
      <x v="713"/>
    </i>
    <i r="1">
      <x v="632"/>
      <x v="714"/>
    </i>
    <i r="1">
      <x v="633"/>
      <x v="715"/>
    </i>
    <i r="1">
      <x v="634"/>
      <x v="716"/>
    </i>
    <i r="1">
      <x v="635"/>
      <x v="717"/>
    </i>
    <i r="1">
      <x v="636"/>
      <x v="718"/>
    </i>
    <i r="1">
      <x v="637"/>
      <x v="719"/>
    </i>
    <i r="1">
      <x v="638"/>
      <x v="720"/>
    </i>
    <i r="1">
      <x v="639"/>
      <x v="721"/>
    </i>
    <i r="1">
      <x v="640"/>
      <x v="722"/>
    </i>
    <i r="1">
      <x v="641"/>
      <x v="723"/>
    </i>
    <i r="1">
      <x v="642"/>
      <x v="724"/>
    </i>
    <i r="1">
      <x v="643"/>
      <x v="725"/>
    </i>
    <i r="1">
      <x v="644"/>
      <x v="726"/>
    </i>
    <i r="1">
      <x v="645"/>
      <x v="727"/>
    </i>
    <i r="1">
      <x v="646"/>
      <x v="728"/>
    </i>
    <i r="1">
      <x v="647"/>
      <x v="729"/>
    </i>
    <i r="1">
      <x v="648"/>
      <x v="730"/>
    </i>
    <i r="1">
      <x v="649"/>
      <x v="731"/>
    </i>
    <i r="1">
      <x v="650"/>
      <x v="732"/>
    </i>
    <i r="1">
      <x v="651"/>
      <x v="733"/>
    </i>
    <i r="1">
      <x v="652"/>
      <x v="734"/>
    </i>
    <i r="1">
      <x v="653"/>
      <x v="735"/>
    </i>
    <i r="1">
      <x v="654"/>
      <x v="736"/>
    </i>
    <i r="1">
      <x v="655"/>
      <x v="737"/>
    </i>
    <i r="1">
      <x v="656"/>
      <x v="738"/>
    </i>
    <i r="1">
      <x v="657"/>
      <x v="739"/>
    </i>
    <i r="1">
      <x v="658"/>
      <x v="740"/>
    </i>
    <i r="1">
      <x v="659"/>
      <x v="741"/>
    </i>
    <i r="1">
      <x v="660"/>
      <x v="742"/>
    </i>
    <i r="1">
      <x v="661"/>
      <x v="743"/>
    </i>
    <i r="1">
      <x v="662"/>
      <x v="744"/>
    </i>
    <i r="1">
      <x v="663"/>
      <x v="745"/>
    </i>
    <i r="1">
      <x v="664"/>
      <x v="746"/>
    </i>
    <i r="1">
      <x v="665"/>
      <x v="747"/>
    </i>
    <i r="1">
      <x v="666"/>
      <x v="748"/>
    </i>
    <i r="1">
      <x v="667"/>
      <x v="749"/>
    </i>
    <i r="1">
      <x v="668"/>
      <x v="750"/>
    </i>
    <i r="1">
      <x v="669"/>
      <x v="751"/>
    </i>
    <i r="1">
      <x v="670"/>
      <x v="752"/>
    </i>
    <i r="1">
      <x v="671"/>
      <x v="753"/>
    </i>
    <i r="1">
      <x v="672"/>
      <x v="754"/>
    </i>
    <i r="1">
      <x v="673"/>
      <x v="755"/>
    </i>
    <i r="1">
      <x v="674"/>
      <x v="756"/>
    </i>
    <i r="1">
      <x v="675"/>
      <x v="757"/>
    </i>
    <i r="1">
      <x v="676"/>
      <x v="758"/>
    </i>
    <i r="1">
      <x v="677"/>
      <x v="759"/>
    </i>
    <i r="1">
      <x v="678"/>
      <x v="760"/>
    </i>
    <i r="1">
      <x v="679"/>
      <x v="761"/>
    </i>
    <i r="1">
      <x v="680"/>
      <x v="762"/>
    </i>
    <i r="1">
      <x v="681"/>
      <x v="763"/>
    </i>
    <i r="1">
      <x v="682"/>
      <x v="764"/>
    </i>
    <i r="1">
      <x v="683"/>
      <x v="765"/>
    </i>
    <i r="1">
      <x v="684"/>
      <x v="766"/>
    </i>
    <i r="1">
      <x v="685"/>
      <x v="767"/>
    </i>
    <i r="1">
      <x v="686"/>
      <x v="768"/>
    </i>
    <i r="1">
      <x v="687"/>
      <x v="769"/>
    </i>
    <i r="1">
      <x v="688"/>
      <x v="770"/>
    </i>
    <i r="1">
      <x v="689"/>
      <x v="771"/>
    </i>
    <i r="1">
      <x v="690"/>
      <x v="772"/>
    </i>
    <i r="1">
      <x v="691"/>
      <x v="773"/>
    </i>
    <i r="1">
      <x v="692"/>
      <x v="774"/>
    </i>
    <i r="1">
      <x v="693"/>
      <x v="775"/>
    </i>
    <i r="1">
      <x v="694"/>
      <x v="776"/>
    </i>
    <i r="1">
      <x v="695"/>
      <x v="777"/>
    </i>
    <i r="1">
      <x v="696"/>
      <x v="778"/>
    </i>
    <i r="1">
      <x v="697"/>
      <x v="779"/>
    </i>
    <i r="1">
      <x v="698"/>
      <x v="780"/>
    </i>
    <i r="1">
      <x v="699"/>
      <x v="781"/>
    </i>
    <i r="1">
      <x v="700"/>
      <x v="782"/>
    </i>
    <i r="1">
      <x v="701"/>
      <x v="783"/>
    </i>
    <i r="1">
      <x v="702"/>
      <x v="784"/>
    </i>
    <i r="1">
      <x v="703"/>
      <x v="785"/>
    </i>
    <i r="1">
      <x v="704"/>
      <x v="786"/>
    </i>
    <i r="1">
      <x v="705"/>
      <x v="787"/>
    </i>
    <i r="1">
      <x v="706"/>
      <x v="788"/>
    </i>
    <i r="1">
      <x v="707"/>
      <x v="789"/>
    </i>
    <i r="1">
      <x v="708"/>
      <x v="790"/>
    </i>
    <i r="1">
      <x v="709"/>
      <x v="791"/>
    </i>
    <i r="1">
      <x v="710"/>
      <x v="792"/>
    </i>
    <i r="1">
      <x v="711"/>
      <x v="793"/>
    </i>
    <i r="1">
      <x v="712"/>
      <x v="794"/>
    </i>
    <i r="1">
      <x v="713"/>
      <x v="795"/>
    </i>
    <i r="1">
      <x v="714"/>
      <x v="796"/>
    </i>
    <i r="1">
      <x v="715"/>
      <x v="797"/>
    </i>
    <i r="1">
      <x v="716"/>
      <x v="798"/>
    </i>
    <i r="1">
      <x v="717"/>
      <x v="799"/>
    </i>
    <i r="1">
      <x v="718"/>
      <x v="800"/>
    </i>
    <i r="1">
      <x v="719"/>
      <x v="801"/>
    </i>
    <i r="1">
      <x v="720"/>
      <x v="802"/>
    </i>
    <i r="1">
      <x v="721"/>
      <x v="803"/>
    </i>
    <i r="1">
      <x v="722"/>
      <x v="804"/>
    </i>
    <i r="1">
      <x v="723"/>
      <x v="805"/>
    </i>
    <i r="1">
      <x v="724"/>
      <x v="806"/>
    </i>
    <i r="1">
      <x v="725"/>
      <x v="807"/>
    </i>
    <i r="1">
      <x v="726"/>
      <x v="808"/>
    </i>
    <i r="1">
      <x v="727"/>
      <x v="809"/>
    </i>
    <i r="1">
      <x v="728"/>
      <x v="810"/>
    </i>
    <i r="1">
      <x v="729"/>
      <x v="811"/>
    </i>
    <i r="1">
      <x v="730"/>
      <x v="812"/>
    </i>
    <i r="1">
      <x v="731"/>
      <x v="813"/>
    </i>
    <i r="1">
      <x v="732"/>
      <x v="814"/>
    </i>
    <i r="1">
      <x v="733"/>
      <x v="815"/>
    </i>
    <i r="1">
      <x v="734"/>
      <x v="816"/>
    </i>
    <i r="1">
      <x v="735"/>
      <x v="817"/>
    </i>
    <i r="1">
      <x v="736"/>
      <x v="818"/>
    </i>
    <i r="1">
      <x v="737"/>
      <x v="819"/>
    </i>
    <i r="1">
      <x v="738"/>
      <x v="820"/>
    </i>
    <i r="1">
      <x v="739"/>
      <x v="821"/>
    </i>
    <i r="1">
      <x v="740"/>
      <x v="822"/>
    </i>
    <i r="1">
      <x v="741"/>
      <x v="823"/>
    </i>
    <i>
      <x v="7"/>
      <x v="51"/>
      <x v="259"/>
    </i>
    <i r="1">
      <x v="89"/>
      <x v="118"/>
    </i>
    <i r="1">
      <x v="107"/>
      <x v="582"/>
    </i>
    <i r="1">
      <x v="118"/>
      <x v="260"/>
    </i>
    <i r="1">
      <x v="455"/>
      <x v="553"/>
    </i>
    <i r="1">
      <x v="456"/>
      <x v="585"/>
    </i>
    <i>
      <x v="8"/>
      <x v="17"/>
      <x v="644"/>
    </i>
    <i r="1">
      <x v="90"/>
      <x v="646"/>
    </i>
    <i r="1">
      <x v="91"/>
      <x v="647"/>
    </i>
    <i r="1">
      <x v="452"/>
      <x v="584"/>
    </i>
    <i r="1">
      <x v="570"/>
      <x v="645"/>
    </i>
    <i r="1">
      <x v="571"/>
      <x v="648"/>
    </i>
    <i r="1">
      <x v="572"/>
      <x v="649"/>
    </i>
    <i r="1">
      <x v="573"/>
      <x v="650"/>
    </i>
    <i r="1">
      <x v="574"/>
      <x v="651"/>
    </i>
    <i r="1">
      <x v="575"/>
      <x v="652"/>
    </i>
    <i r="1">
      <x v="576"/>
      <x v="653"/>
    </i>
    <i r="1">
      <x v="577"/>
      <x v="654"/>
    </i>
    <i>
      <x v="10"/>
      <x v="17"/>
      <x v="206"/>
    </i>
    <i r="1">
      <x v="53"/>
      <x v="590"/>
    </i>
    <i r="1">
      <x v="75"/>
      <x v="299"/>
    </i>
    <i r="1">
      <x v="89"/>
      <x v="118"/>
    </i>
    <i r="1">
      <x v="112"/>
      <x v="5"/>
    </i>
    <i r="1">
      <x v="452"/>
      <x v="584"/>
    </i>
    <i r="1">
      <x v="746"/>
      <x v="831"/>
    </i>
    <i t="grand">
      <x/>
    </i>
  </rowItems>
  <colItems count="1">
    <i/>
  </colItems>
  <pageFields count="2">
    <pageField fld="4" hier="-1"/>
    <pageField fld="1" hier="-1"/>
  </pageFields>
  <dataFields count="1">
    <dataField name="Sum of ACT MH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34289-7852-43FE-B6C2-FE94709CBD6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0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h="1" x="2"/>
        <item h="1" x="1"/>
        <item h="1" x="4"/>
        <item h="1" x="3"/>
        <item x="7"/>
        <item x="8"/>
        <item x="12"/>
        <item x="5"/>
        <item h="1"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4" outline="0" showAll="0" defaultSubtotal="0"/>
    <pivotField compact="0" numFmtId="164" outline="0" showAll="0" defaultSubtotal="0"/>
    <pivotField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15">
    <i>
      <x v="2"/>
      <x v="75"/>
      <x v="299"/>
    </i>
    <i>
      <x v="3"/>
      <x v="47"/>
      <x v="279"/>
    </i>
    <i r="1">
      <x v="48"/>
      <x v="276"/>
    </i>
    <i>
      <x v="4"/>
      <x v="177"/>
      <x v="21"/>
    </i>
    <i r="1">
      <x v="241"/>
      <x v="77"/>
    </i>
    <i r="1">
      <x v="332"/>
      <x v="336"/>
    </i>
    <i r="1">
      <x v="435"/>
      <x v="567"/>
    </i>
    <i r="1">
      <x v="463"/>
      <x v="671"/>
    </i>
    <i>
      <x v="5"/>
      <x v="16"/>
      <x v="217"/>
    </i>
    <i r="1">
      <x v="58"/>
      <x v="223"/>
    </i>
    <i r="1">
      <x v="118"/>
      <x v="242"/>
    </i>
    <i>
      <x v="7"/>
      <x v="16"/>
      <x v="100"/>
    </i>
    <i r="1">
      <x v="61"/>
      <x v="263"/>
    </i>
    <i r="1">
      <x v="94"/>
      <x v="826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1" hier="-1"/>
  </pageFields>
  <dataFields count="2">
    <dataField name="Sum of Wk ACT MH" fld="10" baseField="0" baseItem="0" numFmtId="164"/>
    <dataField name="Sum of Wk ERN MH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15A91-35ED-4299-9AAD-0C45CF80056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9" firstHeaderRow="0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h="1" x="2"/>
        <item x="1"/>
        <item h="1" x="4"/>
        <item h="1" x="3"/>
        <item h="1" x="7"/>
        <item h="1" x="8"/>
        <item h="1" x="12"/>
        <item h="1" x="5"/>
        <item h="1"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4" outline="0" showAll="0" defaultSubtotal="0"/>
    <pivotField compact="0" numFmtId="164" outline="0" showAll="0" defaultSubtotal="0"/>
    <pivotField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5">
    <i>
      <x/>
      <x v="66"/>
      <x v="624"/>
    </i>
    <i r="1">
      <x v="74"/>
      <x v="622"/>
    </i>
    <i>
      <x v="2"/>
      <x v="50"/>
      <x v="16"/>
    </i>
    <i>
      <x v="5"/>
      <x v="75"/>
      <x v="236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1" hier="-1"/>
  </pageFields>
  <dataFields count="2">
    <dataField name="Sum of Wk ACT MH" fld="10" baseField="0" baseItem="0" numFmtId="164"/>
    <dataField name="Sum of Wk ERN MH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86B2F-6153-446D-B06D-E2B8F185FB7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43" firstHeaderRow="0" firstDataRow="1" firstDataCol="3" rowPageCount="2" colPageCount="1"/>
  <pivotFields count="20">
    <pivotField axis="axisRow" compact="0" outline="0" showAll="0" defaultSubtotal="0">
      <items count="11">
        <item x="0"/>
        <item x="3"/>
        <item x="4"/>
        <item x="5"/>
        <item x="6"/>
        <item x="7"/>
        <item x="8"/>
        <item x="9"/>
        <item x="1"/>
        <item x="2"/>
        <item x="10"/>
      </items>
    </pivotField>
    <pivotField axis="axisPage" compact="0" outline="0" multipleItemSelectionAllowed="1" showAll="0" defaultSubtotal="0">
      <items count="40">
        <item x="19"/>
        <item x="21"/>
        <item x="22"/>
        <item x="23"/>
        <item x="20"/>
        <item x="18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x="26"/>
        <item x="27"/>
        <item x="28"/>
        <item x="29"/>
        <item x="30"/>
        <item x="39"/>
        <item x="31"/>
        <item x="32"/>
        <item x="33"/>
        <item x="34"/>
        <item x="35"/>
        <item x="11"/>
        <item x="36"/>
        <item x="37"/>
        <item h="1" x="12"/>
        <item h="1" x="13"/>
        <item h="1" x="14"/>
        <item h="1" x="15"/>
        <item h="1" x="38"/>
        <item h="1" x="16"/>
        <item h="1" x="17"/>
      </items>
    </pivotField>
    <pivotField axis="axisRow" compact="0" outline="0" showAll="0" defaultSubtotal="0">
      <items count="747">
        <item x="82"/>
        <item x="90"/>
        <item x="83"/>
        <item x="84"/>
        <item x="91"/>
        <item x="386"/>
        <item x="92"/>
        <item x="93"/>
        <item x="94"/>
        <item x="204"/>
        <item x="85"/>
        <item x="95"/>
        <item x="96"/>
        <item x="97"/>
        <item x="98"/>
        <item x="99"/>
        <item x="375"/>
        <item x="56"/>
        <item x="100"/>
        <item x="734"/>
        <item x="735"/>
        <item x="101"/>
        <item x="736"/>
        <item x="737"/>
        <item x="388"/>
        <item x="389"/>
        <item x="390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140"/>
        <item x="141"/>
        <item x="142"/>
        <item x="139"/>
        <item x="102"/>
        <item x="738"/>
        <item x="3"/>
        <item x="0"/>
        <item x="103"/>
        <item x="104"/>
        <item x="105"/>
        <item x="109"/>
        <item x="106"/>
        <item x="107"/>
        <item x="108"/>
        <item x="376"/>
        <item x="86"/>
        <item x="1"/>
        <item x="143"/>
        <item x="144"/>
        <item x="2"/>
        <item x="145"/>
        <item x="146"/>
        <item x="147"/>
        <item x="148"/>
        <item x="149"/>
        <item x="6"/>
        <item x="4"/>
        <item x="5"/>
        <item x="87"/>
        <item x="7"/>
        <item x="8"/>
        <item x="377"/>
        <item x="378"/>
        <item x="150"/>
        <item x="151"/>
        <item x="152"/>
        <item x="153"/>
        <item x="154"/>
        <item x="155"/>
        <item x="156"/>
        <item x="157"/>
        <item x="158"/>
        <item x="9"/>
        <item x="58"/>
        <item x="59"/>
        <item x="110"/>
        <item x="111"/>
        <item x="112"/>
        <item x="113"/>
        <item x="88"/>
        <item x="10"/>
        <item x="159"/>
        <item x="162"/>
        <item x="160"/>
        <item x="163"/>
        <item x="161"/>
        <item x="164"/>
        <item x="166"/>
        <item x="165"/>
        <item x="13"/>
        <item x="114"/>
        <item x="115"/>
        <item x="11"/>
        <item x="12"/>
        <item x="168"/>
        <item x="14"/>
        <item x="17"/>
        <item x="116"/>
        <item x="15"/>
        <item x="16"/>
        <item x="18"/>
        <item x="117"/>
        <item x="19"/>
        <item x="20"/>
        <item x="118"/>
        <item x="21"/>
        <item x="23"/>
        <item x="22"/>
        <item x="24"/>
        <item x="224"/>
        <item x="205"/>
        <item x="206"/>
        <item x="207"/>
        <item x="212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210"/>
        <item x="208"/>
        <item x="213"/>
        <item x="211"/>
        <item x="209"/>
        <item x="214"/>
        <item x="215"/>
        <item x="216"/>
        <item x="217"/>
        <item x="218"/>
        <item x="219"/>
        <item x="220"/>
        <item x="221"/>
        <item x="222"/>
        <item x="223"/>
        <item x="432"/>
        <item x="433"/>
        <item x="434"/>
        <item x="169"/>
        <item x="226"/>
        <item x="225"/>
        <item x="227"/>
        <item x="239"/>
        <item x="240"/>
        <item x="241"/>
        <item x="242"/>
        <item x="243"/>
        <item x="244"/>
        <item x="228"/>
        <item x="245"/>
        <item x="229"/>
        <item x="236"/>
        <item x="237"/>
        <item x="246"/>
        <item x="247"/>
        <item x="238"/>
        <item x="248"/>
        <item x="249"/>
        <item x="230"/>
        <item x="250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231"/>
        <item x="232"/>
        <item x="233"/>
        <item x="234"/>
        <item x="235"/>
        <item x="458"/>
        <item x="459"/>
        <item x="460"/>
        <item x="251"/>
        <item x="252"/>
        <item x="253"/>
        <item x="260"/>
        <item x="261"/>
        <item x="262"/>
        <item x="263"/>
        <item x="264"/>
        <item x="265"/>
        <item x="254"/>
        <item x="266"/>
        <item x="255"/>
        <item x="257"/>
        <item x="258"/>
        <item x="267"/>
        <item x="268"/>
        <item x="259"/>
        <item x="269"/>
        <item x="270"/>
        <item x="256"/>
        <item x="2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272"/>
        <item x="273"/>
        <item x="274"/>
        <item x="281"/>
        <item x="282"/>
        <item x="283"/>
        <item x="284"/>
        <item x="285"/>
        <item x="286"/>
        <item x="275"/>
        <item x="287"/>
        <item x="276"/>
        <item x="278"/>
        <item x="279"/>
        <item x="288"/>
        <item x="289"/>
        <item x="280"/>
        <item x="290"/>
        <item x="291"/>
        <item x="277"/>
        <item x="29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293"/>
        <item x="294"/>
        <item x="295"/>
        <item x="302"/>
        <item x="303"/>
        <item x="304"/>
        <item x="305"/>
        <item x="306"/>
        <item x="307"/>
        <item x="296"/>
        <item x="308"/>
        <item x="297"/>
        <item x="299"/>
        <item x="300"/>
        <item x="309"/>
        <item x="310"/>
        <item x="301"/>
        <item x="311"/>
        <item x="312"/>
        <item x="298"/>
        <item x="313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314"/>
        <item x="315"/>
        <item x="316"/>
        <item x="323"/>
        <item x="324"/>
        <item x="325"/>
        <item x="326"/>
        <item x="327"/>
        <item x="328"/>
        <item x="317"/>
        <item x="329"/>
        <item x="318"/>
        <item x="320"/>
        <item x="321"/>
        <item x="330"/>
        <item x="331"/>
        <item x="322"/>
        <item x="332"/>
        <item x="333"/>
        <item x="319"/>
        <item x="334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335"/>
        <item x="336"/>
        <item x="337"/>
        <item x="338"/>
        <item x="339"/>
        <item x="341"/>
        <item x="342"/>
        <item x="343"/>
        <item x="344"/>
        <item x="345"/>
        <item x="340"/>
        <item x="346"/>
        <item x="348"/>
        <item x="349"/>
        <item x="350"/>
        <item x="351"/>
        <item x="352"/>
        <item x="347"/>
        <item x="353"/>
        <item x="355"/>
        <item x="356"/>
        <item x="357"/>
        <item x="358"/>
        <item x="360"/>
        <item x="354"/>
        <item x="359"/>
        <item x="25"/>
        <item x="67"/>
        <item x="379"/>
        <item x="380"/>
        <item x="742"/>
        <item x="743"/>
        <item x="362"/>
        <item x="363"/>
        <item x="361"/>
        <item x="170"/>
        <item x="171"/>
        <item x="711"/>
        <item x="364"/>
        <item x="365"/>
        <item x="729"/>
        <item x="366"/>
        <item x="367"/>
        <item x="26"/>
        <item x="27"/>
        <item x="28"/>
        <item x="29"/>
        <item x="30"/>
        <item x="172"/>
        <item x="368"/>
        <item x="31"/>
        <item x="32"/>
        <item x="381"/>
        <item x="33"/>
        <item x="34"/>
        <item x="35"/>
        <item x="36"/>
        <item x="173"/>
        <item x="174"/>
        <item x="175"/>
        <item x="89"/>
        <item x="37"/>
        <item x="38"/>
        <item x="42"/>
        <item x="39"/>
        <item x="40"/>
        <item x="41"/>
        <item x="176"/>
        <item x="730"/>
        <item x="43"/>
        <item x="177"/>
        <item x="44"/>
        <item x="382"/>
        <item x="383"/>
        <item x="384"/>
        <item x="369"/>
        <item x="370"/>
        <item x="51"/>
        <item x="52"/>
        <item x="371"/>
        <item x="178"/>
        <item x="45"/>
        <item x="46"/>
        <item x="47"/>
        <item x="49"/>
        <item x="48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0"/>
        <item x="119"/>
        <item x="126"/>
        <item x="385"/>
        <item x="180"/>
        <item x="179"/>
        <item x="53"/>
        <item x="181"/>
        <item x="744"/>
        <item x="745"/>
        <item x="731"/>
        <item x="55"/>
        <item x="182"/>
        <item x="183"/>
        <item x="189"/>
        <item x="184"/>
        <item x="190"/>
        <item x="191"/>
        <item x="192"/>
        <item x="193"/>
        <item x="194"/>
        <item x="188"/>
        <item x="195"/>
        <item x="196"/>
        <item x="197"/>
        <item x="198"/>
        <item x="187"/>
        <item x="185"/>
        <item x="199"/>
        <item x="68"/>
        <item x="71"/>
        <item x="186"/>
        <item x="373"/>
        <item x="374"/>
        <item x="372"/>
        <item x="54"/>
        <item x="732"/>
        <item x="200"/>
        <item x="201"/>
        <item x="202"/>
        <item x="203"/>
        <item x="57"/>
        <item x="60"/>
        <item x="61"/>
        <item x="62"/>
        <item x="63"/>
        <item x="64"/>
        <item x="65"/>
        <item x="66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167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3"/>
        <item x="739"/>
        <item x="740"/>
        <item x="741"/>
        <item x="746"/>
      </items>
    </pivotField>
    <pivotField axis="axisRow" compact="0" outline="0" showAll="0" defaultSubtotal="0">
      <items count="833">
        <item x="48"/>
        <item x="210"/>
        <item x="216"/>
        <item x="215"/>
        <item x="217"/>
        <item x="14"/>
        <item x="97"/>
        <item x="54"/>
        <item x="206"/>
        <item x="158"/>
        <item x="177"/>
        <item x="190"/>
        <item x="196"/>
        <item x="168"/>
        <item x="114"/>
        <item x="109"/>
        <item x="112"/>
        <item x="391"/>
        <item x="386"/>
        <item x="42"/>
        <item x="291"/>
        <item x="249"/>
        <item x="270"/>
        <item x="331"/>
        <item x="311"/>
        <item x="292"/>
        <item x="250"/>
        <item x="271"/>
        <item x="332"/>
        <item x="312"/>
        <item x="293"/>
        <item x="251"/>
        <item x="272"/>
        <item x="333"/>
        <item x="313"/>
        <item x="294"/>
        <item x="252"/>
        <item x="273"/>
        <item x="334"/>
        <item x="314"/>
        <item x="295"/>
        <item x="253"/>
        <item x="274"/>
        <item x="335"/>
        <item x="315"/>
        <item x="284"/>
        <item x="242"/>
        <item x="263"/>
        <item x="325"/>
        <item x="305"/>
        <item x="296"/>
        <item x="254"/>
        <item x="275"/>
        <item x="336"/>
        <item x="316"/>
        <item x="285"/>
        <item x="243"/>
        <item x="264"/>
        <item x="326"/>
        <item x="306"/>
        <item x="287"/>
        <item x="245"/>
        <item x="266"/>
        <item x="327"/>
        <item x="307"/>
        <item x="288"/>
        <item x="246"/>
        <item x="267"/>
        <item x="328"/>
        <item x="308"/>
        <item x="297"/>
        <item x="255"/>
        <item x="276"/>
        <item x="337"/>
        <item x="317"/>
        <item x="289"/>
        <item x="247"/>
        <item x="268"/>
        <item x="329"/>
        <item x="309"/>
        <item x="299"/>
        <item x="257"/>
        <item x="278"/>
        <item x="339"/>
        <item x="319"/>
        <item x="300"/>
        <item x="258"/>
        <item x="279"/>
        <item x="340"/>
        <item x="320"/>
        <item x="380"/>
        <item x="233"/>
        <item x="231"/>
        <item x="120"/>
        <item x="101"/>
        <item x="804"/>
        <item x="806"/>
        <item x="107"/>
        <item x="100"/>
        <item x="805"/>
        <item x="807"/>
        <item x="140"/>
        <item x="394"/>
        <item x="102"/>
        <item x="103"/>
        <item x="104"/>
        <item x="139"/>
        <item x="800"/>
        <item x="248"/>
        <item x="290"/>
        <item x="269"/>
        <item x="330"/>
        <item x="310"/>
        <item x="118"/>
        <item x="26"/>
        <item x="131"/>
        <item x="68"/>
        <item x="36"/>
        <item x="119"/>
        <item x="124"/>
        <item x="122"/>
        <item x="123"/>
        <item x="186"/>
        <item x="172"/>
        <item x="183"/>
        <item x="163"/>
        <item x="193"/>
        <item x="171"/>
        <item x="182"/>
        <item x="162"/>
        <item x="4"/>
        <item x="1"/>
        <item x="116"/>
        <item x="138"/>
        <item x="445"/>
        <item x="127"/>
        <item x="200"/>
        <item x="375"/>
        <item x="31"/>
        <item x="301"/>
        <item x="259"/>
        <item x="280"/>
        <item x="341"/>
        <item x="321"/>
        <item x="813"/>
        <item x="115"/>
        <item x="11"/>
        <item x="22"/>
        <item x="15"/>
        <item x="19"/>
        <item x="13"/>
        <item x="23"/>
        <item x="17"/>
        <item x="28"/>
        <item x="70"/>
        <item x="199"/>
        <item x="20"/>
        <item x="12"/>
        <item x="24"/>
        <item x="16"/>
        <item x="88"/>
        <item x="92"/>
        <item x="207"/>
        <item x="106"/>
        <item x="105"/>
        <item x="89"/>
        <item x="33"/>
        <item x="201"/>
        <item x="132"/>
        <item x="825"/>
        <item x="98"/>
        <item x="377"/>
        <item x="388"/>
        <item x="234"/>
        <item x="390"/>
        <item x="121"/>
        <item x="447"/>
        <item x="448"/>
        <item x="449"/>
        <item x="446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399"/>
        <item x="400"/>
        <item x="808"/>
        <item x="810"/>
        <item x="809"/>
        <item x="811"/>
        <item x="110"/>
        <item x="111"/>
        <item x="90"/>
        <item x="151"/>
        <item x="155"/>
        <item x="153"/>
        <item x="152"/>
        <item x="443"/>
        <item x="401"/>
        <item x="393"/>
        <item x="396"/>
        <item x="392"/>
        <item x="395"/>
        <item x="397"/>
        <item x="422"/>
        <item x="410"/>
        <item x="411"/>
        <item x="412"/>
        <item x="145"/>
        <item x="404"/>
        <item x="416"/>
        <item x="408"/>
        <item x="403"/>
        <item x="424"/>
        <item x="428"/>
        <item x="432"/>
        <item x="438"/>
        <item x="398"/>
        <item x="426"/>
        <item x="436"/>
        <item x="441"/>
        <item x="440"/>
        <item x="407"/>
        <item x="415"/>
        <item x="431"/>
        <item x="434"/>
        <item x="442"/>
        <item x="419"/>
        <item x="418"/>
        <item x="417"/>
        <item x="420"/>
        <item x="427"/>
        <item x="409"/>
        <item x="425"/>
        <item x="423"/>
        <item x="413"/>
        <item x="414"/>
        <item x="421"/>
        <item x="402"/>
        <item x="429"/>
        <item x="433"/>
        <item x="430"/>
        <item x="435"/>
        <item x="405"/>
        <item x="439"/>
        <item x="812"/>
        <item x="822"/>
        <item x="829"/>
        <item x="830"/>
        <item x="406"/>
        <item x="137"/>
        <item x="383"/>
        <item x="30"/>
        <item x="232"/>
        <item x="230"/>
        <item x="225"/>
        <item x="437"/>
        <item x="379"/>
        <item x="376"/>
        <item x="43"/>
        <item x="826"/>
        <item x="99"/>
        <item x="161"/>
        <item x="209"/>
        <item x="159"/>
        <item x="160"/>
        <item x="108"/>
        <item x="358"/>
        <item x="373"/>
        <item x="351"/>
        <item x="365"/>
        <item x="369"/>
        <item x="353"/>
        <item x="344"/>
        <item x="342"/>
        <item x="346"/>
        <item x="360"/>
        <item x="368"/>
        <item x="384"/>
        <item x="359"/>
        <item x="374"/>
        <item x="352"/>
        <item x="367"/>
        <item x="370"/>
        <item x="94"/>
        <item x="93"/>
        <item x="821"/>
        <item x="149"/>
        <item x="142"/>
        <item x="86"/>
        <item x="801"/>
        <item x="220"/>
        <item x="212"/>
        <item x="211"/>
        <item x="224"/>
        <item x="222"/>
        <item x="221"/>
        <item x="213"/>
        <item x="227"/>
        <item x="229"/>
        <item x="226"/>
        <item x="7"/>
        <item x="8"/>
        <item x="237"/>
        <item x="281"/>
        <item x="298"/>
        <item x="256"/>
        <item x="277"/>
        <item x="338"/>
        <item x="318"/>
        <item x="240"/>
        <item x="236"/>
        <item x="260"/>
        <item x="322"/>
        <item x="302"/>
        <item x="286"/>
        <item x="244"/>
        <item x="265"/>
        <item x="282"/>
        <item x="239"/>
        <item x="261"/>
        <item x="323"/>
        <item x="303"/>
        <item x="283"/>
        <item x="241"/>
        <item x="262"/>
        <item x="324"/>
        <item x="304"/>
        <item x="38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46"/>
        <item x="468"/>
        <item x="522"/>
        <item x="619"/>
        <item x="495"/>
        <item x="570"/>
        <item x="596"/>
        <item x="827"/>
        <item x="150"/>
        <item x="194"/>
        <item x="32"/>
        <item x="71"/>
        <item x="203"/>
        <item x="205"/>
        <item x="204"/>
        <item x="41"/>
        <item x="133"/>
        <item x="38"/>
        <item x="135"/>
        <item x="49"/>
        <item x="202"/>
        <item x="40"/>
        <item x="143"/>
        <item x="136"/>
        <item x="828"/>
        <item x="148"/>
        <item x="47"/>
        <item x="144"/>
        <item x="130"/>
        <item x="823"/>
        <item x="9"/>
        <item x="95"/>
        <item x="51"/>
        <item x="129"/>
        <item x="181"/>
        <item x="18"/>
        <item x="128"/>
        <item x="50"/>
        <item x="180"/>
        <item x="96"/>
        <item x="6"/>
        <item x="3"/>
        <item x="187"/>
        <item x="173"/>
        <item x="184"/>
        <item x="164"/>
        <item x="45"/>
        <item x="492"/>
        <item x="493"/>
        <item x="494"/>
        <item x="381"/>
        <item x="25"/>
        <item x="195"/>
        <item x="238"/>
        <item x="593"/>
        <item x="594"/>
        <item x="595"/>
        <item x="519"/>
        <item x="520"/>
        <item x="521"/>
        <item x="55"/>
        <item x="134"/>
        <item x="44"/>
        <item x="235"/>
        <item x="354"/>
        <item x="345"/>
        <item x="347"/>
        <item x="366"/>
        <item x="361"/>
        <item x="141"/>
        <item x="814"/>
        <item x="170"/>
        <item x="10"/>
        <item x="21"/>
        <item x="154"/>
        <item x="29"/>
        <item x="27"/>
        <item x="69"/>
        <item x="198"/>
        <item x="444"/>
        <item x="218"/>
        <item x="125"/>
        <item x="126"/>
        <item x="67"/>
        <item x="824"/>
        <item x="46"/>
        <item x="157"/>
        <item x="214"/>
        <item x="0"/>
        <item x="91"/>
        <item x="156"/>
        <item x="34"/>
        <item x="87"/>
        <item x="146"/>
        <item x="343"/>
        <item x="378"/>
        <item x="704"/>
        <item x="781"/>
        <item x="667"/>
        <item x="799"/>
        <item x="741"/>
        <item x="642"/>
        <item x="759"/>
        <item x="389"/>
        <item x="382"/>
        <item x="219"/>
        <item x="223"/>
        <item x="188"/>
        <item x="175"/>
        <item x="166"/>
        <item x="167"/>
        <item x="176"/>
        <item x="189"/>
        <item x="174"/>
        <item x="185"/>
        <item x="165"/>
        <item x="169"/>
        <item x="192"/>
        <item x="197"/>
        <item x="179"/>
        <item x="178"/>
        <item x="5"/>
        <item x="228"/>
        <item x="2"/>
        <item x="37"/>
        <item x="802"/>
        <item x="53"/>
        <item x="147"/>
        <item x="113"/>
        <item x="117"/>
        <item x="35"/>
        <item x="387"/>
        <item x="39"/>
        <item x="355"/>
        <item x="348"/>
        <item x="362"/>
        <item x="356"/>
        <item x="349"/>
        <item x="363"/>
        <item x="357"/>
        <item x="350"/>
        <item x="364"/>
        <item x="52"/>
        <item x="56"/>
        <item x="57"/>
        <item x="58"/>
        <item x="59"/>
        <item x="60"/>
        <item x="61"/>
        <item x="62"/>
        <item x="63"/>
        <item x="64"/>
        <item x="65"/>
        <item x="6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91"/>
        <item x="208"/>
        <item x="371"/>
        <item x="37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3"/>
        <item x="815"/>
        <item x="816"/>
        <item x="817"/>
        <item x="818"/>
        <item x="819"/>
        <item x="820"/>
        <item x="831"/>
        <item x="832"/>
      </items>
    </pivotField>
    <pivotField axis="axisPage" compact="0" outline="0" multipleItemSelectionAllowed="1" showAll="0" defaultSubtotal="0">
      <items count="14">
        <item h="1" x="10"/>
        <item h="1" x="2"/>
        <item h="1" x="1"/>
        <item x="4"/>
        <item h="1" x="3"/>
        <item h="1" x="7"/>
        <item h="1" x="8"/>
        <item h="1" x="12"/>
        <item h="1" x="5"/>
        <item x="6"/>
        <item h="1" x="0"/>
        <item h="1" x="9"/>
        <item h="1" x="11"/>
        <item h="1" x="13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3">
    <field x="0"/>
    <field x="2"/>
    <field x="3"/>
  </rowFields>
  <rowItems count="39">
    <i>
      <x/>
      <x v="106"/>
      <x v="150"/>
    </i>
    <i r="1">
      <x v="113"/>
      <x v="152"/>
    </i>
    <i r="1">
      <x v="119"/>
      <x v="149"/>
    </i>
    <i r="1">
      <x v="120"/>
      <x v="156"/>
    </i>
    <i r="1">
      <x v="123"/>
      <x v="151"/>
    </i>
    <i>
      <x v="2"/>
      <x v="7"/>
      <x v="104"/>
    </i>
    <i r="1">
      <x v="18"/>
      <x v="204"/>
    </i>
    <i r="1">
      <x v="56"/>
      <x v="145"/>
    </i>
    <i r="1">
      <x v="108"/>
      <x v="583"/>
    </i>
    <i r="1">
      <x v="114"/>
      <x v="135"/>
    </i>
    <i r="1">
      <x v="118"/>
      <x v="534"/>
    </i>
    <i r="1">
      <x v="452"/>
      <x v="584"/>
    </i>
    <i>
      <x v="3"/>
      <x v="46"/>
      <x v="278"/>
    </i>
    <i r="1">
      <x v="63"/>
      <x v="129"/>
    </i>
    <i r="1">
      <x v="68"/>
      <x v="610"/>
    </i>
    <i r="1">
      <x v="70"/>
      <x v="13"/>
    </i>
    <i r="1">
      <x v="80"/>
      <x v="127"/>
    </i>
    <i r="1">
      <x v="98"/>
      <x v="124"/>
    </i>
    <i r="1">
      <x v="452"/>
      <x v="553"/>
    </i>
    <i>
      <x v="4"/>
      <x v="193"/>
      <x v="140"/>
    </i>
    <i r="1">
      <x v="239"/>
      <x v="72"/>
    </i>
    <i r="1">
      <x v="245"/>
      <x v="141"/>
    </i>
    <i r="1">
      <x v="271"/>
      <x v="337"/>
    </i>
    <i r="1">
      <x v="285"/>
      <x v="75"/>
    </i>
    <i r="1">
      <x v="288"/>
      <x v="329"/>
    </i>
    <i r="1">
      <x v="289"/>
      <x v="139"/>
    </i>
    <i r="1">
      <x v="324"/>
      <x v="59"/>
    </i>
    <i r="1">
      <x v="430"/>
      <x v="635"/>
    </i>
    <i r="1">
      <x v="431"/>
      <x v="638"/>
    </i>
    <i r="1">
      <x v="438"/>
      <x v="637"/>
    </i>
    <i r="1">
      <x v="466"/>
      <x v="282"/>
    </i>
    <i>
      <x v="5"/>
      <x v="13"/>
      <x v="214"/>
    </i>
    <i r="1">
      <x v="18"/>
      <x v="198"/>
    </i>
    <i r="1">
      <x v="50"/>
      <x v="212"/>
    </i>
    <i r="1">
      <x v="93"/>
      <x v="220"/>
    </i>
    <i>
      <x v="6"/>
      <x v="133"/>
      <x v="368"/>
    </i>
    <i r="1">
      <x v="134"/>
      <x v="369"/>
    </i>
    <i r="1">
      <x v="356"/>
      <x v="555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1" hier="-1"/>
  </pageFields>
  <dataFields count="2">
    <dataField name="Sum of PJTD HR" fld="13" baseField="0" baseItem="0" numFmtId="164"/>
    <dataField name="Sum of EXTP HR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4ED6-7A9E-47D8-8C1B-69E31EDE0F21}">
  <dimension ref="B1:V1306"/>
  <sheetViews>
    <sheetView tabSelected="1" zoomScale="60" zoomScaleNormal="60" workbookViewId="0">
      <selection activeCell="B10" sqref="B10"/>
    </sheetView>
  </sheetViews>
  <sheetFormatPr defaultColWidth="9.140625" defaultRowHeight="15.75" x14ac:dyDescent="0.25"/>
  <cols>
    <col min="1" max="1" width="2.140625" style="3" customWidth="1"/>
    <col min="2" max="2" width="14.5703125" style="3" bestFit="1" customWidth="1"/>
    <col min="3" max="3" width="18.5703125" style="3" bestFit="1" customWidth="1"/>
    <col min="4" max="4" width="20.42578125" style="3" bestFit="1" customWidth="1"/>
    <col min="5" max="5" width="72.7109375" style="4" bestFit="1" customWidth="1"/>
    <col min="6" max="6" width="70.42578125" style="5" bestFit="1" customWidth="1"/>
    <col min="7" max="8" width="17.5703125" style="6" bestFit="1" customWidth="1"/>
    <col min="9" max="10" width="17.140625" style="6" bestFit="1" customWidth="1"/>
    <col min="11" max="11" width="14" style="6" bestFit="1" customWidth="1"/>
    <col min="12" max="13" width="16.140625" style="6" bestFit="1" customWidth="1"/>
    <col min="14" max="14" width="18.85546875" style="7" bestFit="1" customWidth="1"/>
    <col min="15" max="15" width="17.5703125" style="8" bestFit="1" customWidth="1"/>
    <col min="16" max="16" width="17.5703125" style="3" bestFit="1" customWidth="1"/>
    <col min="17" max="17" width="9.85546875" style="3" bestFit="1" customWidth="1"/>
    <col min="18" max="18" width="9.28515625" style="3" bestFit="1" customWidth="1"/>
    <col min="19" max="19" width="10.7109375" style="3" bestFit="1" customWidth="1"/>
    <col min="20" max="20" width="14.7109375" style="9" bestFit="1" customWidth="1"/>
    <col min="21" max="21" width="17.140625" style="3" bestFit="1" customWidth="1"/>
    <col min="22" max="22" width="23.28515625" style="3" bestFit="1" customWidth="1"/>
    <col min="23" max="23" width="23.85546875" style="3" bestFit="1" customWidth="1"/>
    <col min="24" max="24" width="19.85546875" style="3" bestFit="1" customWidth="1"/>
    <col min="25" max="25" width="25.28515625" style="3" bestFit="1" customWidth="1"/>
    <col min="26" max="26" width="27.42578125" style="3" bestFit="1" customWidth="1"/>
    <col min="27" max="27" width="29" style="3" bestFit="1" customWidth="1"/>
    <col min="28" max="16384" width="9.140625" style="3"/>
  </cols>
  <sheetData>
    <row r="1" spans="2:22" ht="16.5" thickBot="1" x14ac:dyDescent="0.3">
      <c r="B1" s="11" t="s">
        <v>0</v>
      </c>
      <c r="C1" s="11" t="s">
        <v>1</v>
      </c>
      <c r="D1" s="11" t="s">
        <v>2</v>
      </c>
      <c r="E1" s="11" t="s">
        <v>3</v>
      </c>
      <c r="F1" s="12" t="s">
        <v>4</v>
      </c>
      <c r="G1" s="13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5" t="s">
        <v>10</v>
      </c>
      <c r="M1" s="16" t="s">
        <v>11</v>
      </c>
      <c r="N1" s="17" t="s">
        <v>12</v>
      </c>
      <c r="O1" s="14" t="s">
        <v>29</v>
      </c>
      <c r="P1" s="14" t="s">
        <v>30</v>
      </c>
      <c r="Q1" s="18" t="s">
        <v>13</v>
      </c>
      <c r="R1" s="19" t="s">
        <v>14</v>
      </c>
      <c r="S1" s="19" t="s">
        <v>15</v>
      </c>
      <c r="T1" s="20" t="s">
        <v>16</v>
      </c>
      <c r="U1" s="21" t="s">
        <v>17</v>
      </c>
    </row>
    <row r="2" spans="2:22" x14ac:dyDescent="0.25">
      <c r="B2" s="22" t="s">
        <v>18</v>
      </c>
      <c r="C2" s="22">
        <v>30</v>
      </c>
      <c r="D2" s="22" t="s">
        <v>57</v>
      </c>
      <c r="E2" s="22" t="s">
        <v>135</v>
      </c>
      <c r="F2" s="22"/>
      <c r="G2" s="23">
        <v>93.999999999999602</v>
      </c>
      <c r="H2" s="24">
        <v>2493.00000000002</v>
      </c>
      <c r="I2" s="24">
        <v>0</v>
      </c>
      <c r="J2" s="24">
        <v>0</v>
      </c>
      <c r="K2" s="24">
        <v>0</v>
      </c>
      <c r="L2" s="25">
        <v>0</v>
      </c>
      <c r="M2" s="26">
        <v>0</v>
      </c>
      <c r="N2" s="27">
        <v>0</v>
      </c>
      <c r="O2" s="24">
        <v>2.0008883439004421E-11</v>
      </c>
      <c r="P2" s="24">
        <v>2.0008883439004421E-11</v>
      </c>
      <c r="Q2" s="28">
        <v>0</v>
      </c>
      <c r="R2" s="29">
        <v>0</v>
      </c>
      <c r="S2" s="29">
        <v>0</v>
      </c>
      <c r="T2" s="29">
        <v>0</v>
      </c>
      <c r="U2" s="30">
        <v>2493.00000000002</v>
      </c>
      <c r="V2" s="9"/>
    </row>
    <row r="3" spans="2:22" x14ac:dyDescent="0.25">
      <c r="B3" s="31" t="s">
        <v>18</v>
      </c>
      <c r="C3" s="31">
        <v>30</v>
      </c>
      <c r="D3" s="22" t="s">
        <v>136</v>
      </c>
      <c r="E3" s="22" t="s">
        <v>137</v>
      </c>
      <c r="F3" s="22"/>
      <c r="G3" s="23">
        <v>952</v>
      </c>
      <c r="H3" s="24">
        <v>16255</v>
      </c>
      <c r="I3" s="24">
        <v>951.99999999999977</v>
      </c>
      <c r="J3" s="24">
        <v>11157.5</v>
      </c>
      <c r="K3" s="24">
        <v>0</v>
      </c>
      <c r="L3" s="32">
        <v>0</v>
      </c>
      <c r="M3" s="33">
        <v>0</v>
      </c>
      <c r="N3" s="27">
        <v>16254.999999999996</v>
      </c>
      <c r="O3" s="24">
        <v>11157.5</v>
      </c>
      <c r="P3" s="24">
        <v>11157.500000000002</v>
      </c>
      <c r="Q3" s="28">
        <v>1</v>
      </c>
      <c r="R3" s="29">
        <v>0</v>
      </c>
      <c r="S3" s="29">
        <v>1.46</v>
      </c>
      <c r="T3" s="29">
        <v>0</v>
      </c>
      <c r="U3" s="30">
        <v>5097.5</v>
      </c>
      <c r="V3" s="9"/>
    </row>
    <row r="4" spans="2:22" x14ac:dyDescent="0.25">
      <c r="B4" s="31" t="s">
        <v>18</v>
      </c>
      <c r="C4" s="31">
        <v>30</v>
      </c>
      <c r="D4" s="22" t="s">
        <v>138</v>
      </c>
      <c r="E4" s="22" t="s">
        <v>139</v>
      </c>
      <c r="F4" s="22" t="s">
        <v>54</v>
      </c>
      <c r="G4" s="23">
        <v>5368</v>
      </c>
      <c r="H4" s="24">
        <v>88558</v>
      </c>
      <c r="I4" s="24">
        <v>5368</v>
      </c>
      <c r="J4" s="24">
        <v>48440.5</v>
      </c>
      <c r="K4" s="24">
        <v>755.27800000000002</v>
      </c>
      <c r="L4" s="32">
        <v>0</v>
      </c>
      <c r="M4" s="33">
        <v>12460.117198956781</v>
      </c>
      <c r="N4" s="27">
        <v>88558</v>
      </c>
      <c r="O4" s="24">
        <v>50000</v>
      </c>
      <c r="P4" s="24">
        <v>48440.5</v>
      </c>
      <c r="Q4" s="28">
        <v>1</v>
      </c>
      <c r="R4" s="29">
        <v>0</v>
      </c>
      <c r="S4" s="29">
        <v>1.83</v>
      </c>
      <c r="T4" s="29">
        <v>0</v>
      </c>
      <c r="U4" s="30">
        <v>40117.5</v>
      </c>
      <c r="V4" s="9"/>
    </row>
    <row r="5" spans="2:22" x14ac:dyDescent="0.25">
      <c r="B5" s="31" t="s">
        <v>18</v>
      </c>
      <c r="C5" s="31">
        <v>30</v>
      </c>
      <c r="D5" s="22" t="s">
        <v>141</v>
      </c>
      <c r="E5" s="22" t="s">
        <v>142</v>
      </c>
      <c r="F5" s="22"/>
      <c r="G5" s="23">
        <v>113</v>
      </c>
      <c r="H5" s="24">
        <v>1729</v>
      </c>
      <c r="I5" s="24">
        <v>113</v>
      </c>
      <c r="J5" s="24">
        <v>863.75</v>
      </c>
      <c r="K5" s="24">
        <v>0</v>
      </c>
      <c r="L5" s="32">
        <v>0</v>
      </c>
      <c r="M5" s="33">
        <v>0</v>
      </c>
      <c r="N5" s="27">
        <v>1729</v>
      </c>
      <c r="O5" s="24">
        <v>863.75</v>
      </c>
      <c r="P5" s="24">
        <v>863.75</v>
      </c>
      <c r="Q5" s="28">
        <v>1</v>
      </c>
      <c r="R5" s="29">
        <v>0</v>
      </c>
      <c r="S5" s="29">
        <v>2</v>
      </c>
      <c r="T5" s="29">
        <v>0</v>
      </c>
      <c r="U5" s="30">
        <v>865.25</v>
      </c>
      <c r="V5" s="9"/>
    </row>
    <row r="6" spans="2:22" x14ac:dyDescent="0.25">
      <c r="B6" s="31" t="s">
        <v>18</v>
      </c>
      <c r="C6" s="22">
        <v>31</v>
      </c>
      <c r="D6" s="22" t="s">
        <v>143</v>
      </c>
      <c r="E6" s="22" t="s">
        <v>144</v>
      </c>
      <c r="F6" s="22"/>
      <c r="G6" s="23">
        <v>48</v>
      </c>
      <c r="H6" s="24">
        <v>1143</v>
      </c>
      <c r="I6" s="24">
        <v>48</v>
      </c>
      <c r="J6" s="24">
        <v>402.5</v>
      </c>
      <c r="K6" s="24">
        <v>0</v>
      </c>
      <c r="L6" s="32">
        <v>0</v>
      </c>
      <c r="M6" s="33">
        <v>0</v>
      </c>
      <c r="N6" s="27">
        <v>1143</v>
      </c>
      <c r="O6" s="24">
        <v>402.5</v>
      </c>
      <c r="P6" s="24">
        <v>402.5</v>
      </c>
      <c r="Q6" s="28">
        <v>1</v>
      </c>
      <c r="R6" s="29">
        <v>0</v>
      </c>
      <c r="S6" s="29">
        <v>2.84</v>
      </c>
      <c r="T6" s="29">
        <v>0</v>
      </c>
      <c r="U6" s="30">
        <v>740.5</v>
      </c>
      <c r="V6" s="9"/>
    </row>
    <row r="7" spans="2:22" x14ac:dyDescent="0.25">
      <c r="B7" s="31" t="s">
        <v>18</v>
      </c>
      <c r="C7" s="31">
        <v>31</v>
      </c>
      <c r="D7" s="22" t="s">
        <v>145</v>
      </c>
      <c r="E7" s="22" t="s">
        <v>146</v>
      </c>
      <c r="F7" s="22" t="s">
        <v>54</v>
      </c>
      <c r="G7" s="23">
        <v>3.04</v>
      </c>
      <c r="H7" s="24">
        <v>9671</v>
      </c>
      <c r="I7" s="24">
        <v>3.04</v>
      </c>
      <c r="J7" s="24">
        <v>1371.75</v>
      </c>
      <c r="K7" s="24">
        <v>1.7350000000000001</v>
      </c>
      <c r="L7" s="32">
        <v>0</v>
      </c>
      <c r="M7" s="33">
        <v>5519.46875</v>
      </c>
      <c r="N7" s="27">
        <v>9671</v>
      </c>
      <c r="O7" s="24">
        <v>1371.75</v>
      </c>
      <c r="P7" s="24">
        <v>1371.75</v>
      </c>
      <c r="Q7" s="28">
        <v>1</v>
      </c>
      <c r="R7" s="29">
        <v>0</v>
      </c>
      <c r="S7" s="29">
        <v>7.05</v>
      </c>
      <c r="T7" s="29">
        <v>0</v>
      </c>
      <c r="U7" s="30">
        <v>8299.25</v>
      </c>
      <c r="V7" s="9"/>
    </row>
    <row r="8" spans="2:22" x14ac:dyDescent="0.25">
      <c r="B8" s="31" t="s">
        <v>18</v>
      </c>
      <c r="C8" s="31">
        <v>31</v>
      </c>
      <c r="D8" s="22" t="s">
        <v>147</v>
      </c>
      <c r="E8" s="22" t="s">
        <v>148</v>
      </c>
      <c r="F8" s="22"/>
      <c r="G8" s="23">
        <v>1</v>
      </c>
      <c r="H8" s="24">
        <v>10</v>
      </c>
      <c r="I8" s="24">
        <v>0.99999999999999978</v>
      </c>
      <c r="J8" s="24">
        <v>12</v>
      </c>
      <c r="K8" s="24">
        <v>0</v>
      </c>
      <c r="L8" s="32">
        <v>0</v>
      </c>
      <c r="M8" s="33">
        <v>0</v>
      </c>
      <c r="N8" s="27">
        <v>9.9999999999999982</v>
      </c>
      <c r="O8" s="24">
        <v>12</v>
      </c>
      <c r="P8" s="24">
        <v>12.000000000000004</v>
      </c>
      <c r="Q8" s="28">
        <v>1</v>
      </c>
      <c r="R8" s="29">
        <v>0</v>
      </c>
      <c r="S8" s="29">
        <v>0.83</v>
      </c>
      <c r="T8" s="29">
        <v>0</v>
      </c>
      <c r="U8" s="30">
        <v>-2</v>
      </c>
      <c r="V8" s="9"/>
    </row>
    <row r="9" spans="2:22" x14ac:dyDescent="0.25">
      <c r="B9" s="31" t="s">
        <v>18</v>
      </c>
      <c r="C9" s="22">
        <v>45</v>
      </c>
      <c r="D9" s="22" t="s">
        <v>149</v>
      </c>
      <c r="E9" s="22" t="s">
        <v>150</v>
      </c>
      <c r="F9" s="22"/>
      <c r="G9" s="23">
        <v>4</v>
      </c>
      <c r="H9" s="24">
        <v>180</v>
      </c>
      <c r="I9" s="24">
        <v>0</v>
      </c>
      <c r="J9" s="24">
        <v>182.5</v>
      </c>
      <c r="K9" s="24">
        <v>0</v>
      </c>
      <c r="L9" s="32">
        <v>0</v>
      </c>
      <c r="M9" s="33">
        <v>0</v>
      </c>
      <c r="N9" s="27">
        <v>0</v>
      </c>
      <c r="O9" s="24">
        <v>182.5</v>
      </c>
      <c r="P9" s="24">
        <v>182.5</v>
      </c>
      <c r="Q9" s="28">
        <v>0</v>
      </c>
      <c r="R9" s="29">
        <v>0</v>
      </c>
      <c r="S9" s="29">
        <v>0</v>
      </c>
      <c r="T9" s="29">
        <v>0</v>
      </c>
      <c r="U9" s="30">
        <v>-2.5</v>
      </c>
      <c r="V9" s="9"/>
    </row>
    <row r="10" spans="2:22" x14ac:dyDescent="0.25">
      <c r="B10" s="31" t="s">
        <v>18</v>
      </c>
      <c r="C10" s="31">
        <v>45</v>
      </c>
      <c r="D10" s="22" t="s">
        <v>151</v>
      </c>
      <c r="E10" s="22" t="s">
        <v>152</v>
      </c>
      <c r="F10" s="22" t="s">
        <v>44</v>
      </c>
      <c r="G10" s="23">
        <v>0</v>
      </c>
      <c r="H10" s="24">
        <v>0</v>
      </c>
      <c r="I10" s="24">
        <v>0</v>
      </c>
      <c r="J10" s="24">
        <v>0</v>
      </c>
      <c r="K10" s="24">
        <v>0</v>
      </c>
      <c r="L10" s="32">
        <v>0</v>
      </c>
      <c r="M10" s="33">
        <v>0</v>
      </c>
      <c r="N10" s="27">
        <v>0</v>
      </c>
      <c r="O10" s="24">
        <v>0</v>
      </c>
      <c r="P10" s="24">
        <v>0</v>
      </c>
      <c r="Q10" s="28">
        <v>0</v>
      </c>
      <c r="R10" s="29">
        <v>0</v>
      </c>
      <c r="S10" s="29">
        <v>0</v>
      </c>
      <c r="T10" s="29">
        <v>0</v>
      </c>
      <c r="U10" s="30">
        <v>0</v>
      </c>
      <c r="V10" s="9"/>
    </row>
    <row r="11" spans="2:22" x14ac:dyDescent="0.25">
      <c r="B11" s="31" t="s">
        <v>18</v>
      </c>
      <c r="C11" s="22">
        <v>50</v>
      </c>
      <c r="D11" s="22" t="s">
        <v>69</v>
      </c>
      <c r="E11" s="22" t="s">
        <v>153</v>
      </c>
      <c r="F11" s="22" t="s">
        <v>44</v>
      </c>
      <c r="G11" s="23">
        <v>0</v>
      </c>
      <c r="H11" s="24">
        <v>-1.0913936421275139E-11</v>
      </c>
      <c r="I11" s="24">
        <v>0</v>
      </c>
      <c r="J11" s="24">
        <v>0</v>
      </c>
      <c r="K11" s="24">
        <v>0</v>
      </c>
      <c r="L11" s="32">
        <v>0</v>
      </c>
      <c r="M11" s="33">
        <v>0</v>
      </c>
      <c r="N11" s="27">
        <v>0</v>
      </c>
      <c r="O11" s="24">
        <v>-1.0913936421275139E-11</v>
      </c>
      <c r="P11" s="24">
        <v>-1.0913936421275139E-11</v>
      </c>
      <c r="Q11" s="28">
        <v>0</v>
      </c>
      <c r="R11" s="29">
        <v>0</v>
      </c>
      <c r="S11" s="29">
        <v>0</v>
      </c>
      <c r="T11" s="29">
        <v>0</v>
      </c>
      <c r="U11" s="30">
        <v>-1.0913936421275139E-11</v>
      </c>
      <c r="V11" s="9"/>
    </row>
    <row r="12" spans="2:22" x14ac:dyDescent="0.25">
      <c r="B12" s="31" t="s">
        <v>18</v>
      </c>
      <c r="C12" s="31">
        <v>50</v>
      </c>
      <c r="D12" s="22" t="s">
        <v>154</v>
      </c>
      <c r="E12" s="22" t="s">
        <v>155</v>
      </c>
      <c r="F12" s="22"/>
      <c r="G12" s="23">
        <v>13077</v>
      </c>
      <c r="H12" s="24">
        <v>14103</v>
      </c>
      <c r="I12" s="24">
        <v>13077</v>
      </c>
      <c r="J12" s="24">
        <v>13750.5</v>
      </c>
      <c r="K12" s="24">
        <v>0</v>
      </c>
      <c r="L12" s="32">
        <v>0</v>
      </c>
      <c r="M12" s="33">
        <v>0</v>
      </c>
      <c r="N12" s="27">
        <v>14103</v>
      </c>
      <c r="O12" s="24">
        <v>13750.5</v>
      </c>
      <c r="P12" s="24">
        <v>13750.5</v>
      </c>
      <c r="Q12" s="28">
        <v>1</v>
      </c>
      <c r="R12" s="29">
        <v>0</v>
      </c>
      <c r="S12" s="29">
        <v>1.03</v>
      </c>
      <c r="T12" s="29">
        <v>0</v>
      </c>
      <c r="U12" s="30">
        <v>352.5</v>
      </c>
      <c r="V12" s="9"/>
    </row>
    <row r="13" spans="2:22" x14ac:dyDescent="0.25">
      <c r="B13" s="31" t="s">
        <v>18</v>
      </c>
      <c r="C13" s="22">
        <v>51</v>
      </c>
      <c r="D13" s="22" t="s">
        <v>156</v>
      </c>
      <c r="E13" s="22" t="s">
        <v>157</v>
      </c>
      <c r="F13" s="22"/>
      <c r="G13" s="23">
        <v>12870</v>
      </c>
      <c r="H13" s="24">
        <v>18126</v>
      </c>
      <c r="I13" s="24">
        <v>12869.999999999998</v>
      </c>
      <c r="J13" s="24">
        <v>19704</v>
      </c>
      <c r="K13" s="24">
        <v>0</v>
      </c>
      <c r="L13" s="32">
        <v>0</v>
      </c>
      <c r="M13" s="33">
        <v>0</v>
      </c>
      <c r="N13" s="27">
        <v>18125.999999999996</v>
      </c>
      <c r="O13" s="24">
        <v>19704</v>
      </c>
      <c r="P13" s="24">
        <v>19704.000000000004</v>
      </c>
      <c r="Q13" s="28">
        <v>1</v>
      </c>
      <c r="R13" s="29">
        <v>0</v>
      </c>
      <c r="S13" s="29">
        <v>0.92</v>
      </c>
      <c r="T13" s="29">
        <v>0</v>
      </c>
      <c r="U13" s="30">
        <v>-1578</v>
      </c>
      <c r="V13" s="9"/>
    </row>
    <row r="14" spans="2:22" x14ac:dyDescent="0.25">
      <c r="B14" s="31" t="s">
        <v>18</v>
      </c>
      <c r="C14" s="31">
        <v>51</v>
      </c>
      <c r="D14" s="22" t="s">
        <v>158</v>
      </c>
      <c r="E14" s="22" t="s">
        <v>159</v>
      </c>
      <c r="F14" s="22" t="s">
        <v>33</v>
      </c>
      <c r="G14" s="23">
        <v>25527</v>
      </c>
      <c r="H14" s="24">
        <v>34249</v>
      </c>
      <c r="I14" s="24">
        <v>23295.940000000006</v>
      </c>
      <c r="J14" s="24">
        <v>25269.25</v>
      </c>
      <c r="K14" s="24">
        <v>291.00799999999998</v>
      </c>
      <c r="L14" s="32">
        <v>95</v>
      </c>
      <c r="M14" s="33">
        <v>390.43886833548788</v>
      </c>
      <c r="N14" s="27">
        <v>31255.637131664524</v>
      </c>
      <c r="O14" s="24">
        <v>34249</v>
      </c>
      <c r="P14" s="24">
        <v>27689.294561627466</v>
      </c>
      <c r="Q14" s="28">
        <v>0.91</v>
      </c>
      <c r="R14" s="29">
        <v>4.1100000000000003</v>
      </c>
      <c r="S14" s="29">
        <v>1.24</v>
      </c>
      <c r="T14" s="29">
        <v>95</v>
      </c>
      <c r="U14" s="30">
        <v>8884.75</v>
      </c>
      <c r="V14" s="9"/>
    </row>
    <row r="15" spans="2:22" x14ac:dyDescent="0.25">
      <c r="B15" s="31" t="s">
        <v>18</v>
      </c>
      <c r="C15" s="31">
        <v>51</v>
      </c>
      <c r="D15" s="22" t="s">
        <v>160</v>
      </c>
      <c r="E15" s="22" t="s">
        <v>161</v>
      </c>
      <c r="F15" s="22" t="s">
        <v>140</v>
      </c>
      <c r="G15" s="23">
        <v>2486</v>
      </c>
      <c r="H15" s="24">
        <v>1474</v>
      </c>
      <c r="I15" s="24">
        <v>1657.1679999999999</v>
      </c>
      <c r="J15" s="24">
        <v>711.75</v>
      </c>
      <c r="K15" s="24">
        <v>0</v>
      </c>
      <c r="L15" s="32">
        <v>0</v>
      </c>
      <c r="M15" s="33">
        <v>0</v>
      </c>
      <c r="N15" s="27">
        <v>982.56863716814155</v>
      </c>
      <c r="O15" s="24">
        <v>711.75</v>
      </c>
      <c r="P15" s="24">
        <v>1067.7315154528692</v>
      </c>
      <c r="Q15" s="28">
        <v>0.67</v>
      </c>
      <c r="R15" s="29">
        <v>0</v>
      </c>
      <c r="S15" s="29">
        <v>1.38</v>
      </c>
      <c r="T15" s="29">
        <v>0</v>
      </c>
      <c r="U15" s="30">
        <v>762.25</v>
      </c>
      <c r="V15" s="9"/>
    </row>
    <row r="16" spans="2:22" x14ac:dyDescent="0.25">
      <c r="B16" s="31" t="s">
        <v>18</v>
      </c>
      <c r="C16" s="22">
        <v>52</v>
      </c>
      <c r="D16" s="22" t="s">
        <v>76</v>
      </c>
      <c r="E16" s="22" t="s">
        <v>162</v>
      </c>
      <c r="F16" s="22" t="s">
        <v>44</v>
      </c>
      <c r="G16" s="23">
        <v>0</v>
      </c>
      <c r="H16" s="24">
        <v>0</v>
      </c>
      <c r="I16" s="24">
        <v>0</v>
      </c>
      <c r="J16" s="24">
        <v>0</v>
      </c>
      <c r="K16" s="24">
        <v>0</v>
      </c>
      <c r="L16" s="32">
        <v>0</v>
      </c>
      <c r="M16" s="33">
        <v>0</v>
      </c>
      <c r="N16" s="27">
        <v>0</v>
      </c>
      <c r="O16" s="24">
        <v>0</v>
      </c>
      <c r="P16" s="24">
        <v>0</v>
      </c>
      <c r="Q16" s="28">
        <v>0</v>
      </c>
      <c r="R16" s="29">
        <v>0</v>
      </c>
      <c r="S16" s="29">
        <v>0</v>
      </c>
      <c r="T16" s="29">
        <v>0</v>
      </c>
      <c r="U16" s="30">
        <v>0</v>
      </c>
      <c r="V16" s="9"/>
    </row>
    <row r="17" spans="2:21" x14ac:dyDescent="0.25">
      <c r="B17" s="31" t="s">
        <v>18</v>
      </c>
      <c r="C17" s="22">
        <v>53</v>
      </c>
      <c r="D17" s="22" t="s">
        <v>163</v>
      </c>
      <c r="E17" s="22" t="s">
        <v>164</v>
      </c>
      <c r="F17" s="22"/>
      <c r="G17" s="23">
        <v>4813</v>
      </c>
      <c r="H17" s="24">
        <v>3176</v>
      </c>
      <c r="I17" s="24">
        <v>4813</v>
      </c>
      <c r="J17" s="24">
        <v>2987.5</v>
      </c>
      <c r="K17" s="24">
        <v>0</v>
      </c>
      <c r="L17" s="32">
        <v>0</v>
      </c>
      <c r="M17" s="33">
        <v>0</v>
      </c>
      <c r="N17" s="27">
        <v>3176</v>
      </c>
      <c r="O17" s="24">
        <v>2987.5</v>
      </c>
      <c r="P17" s="24">
        <v>2987.5</v>
      </c>
      <c r="Q17" s="28">
        <v>1</v>
      </c>
      <c r="R17" s="29">
        <v>0</v>
      </c>
      <c r="S17" s="29">
        <v>1.06</v>
      </c>
      <c r="T17" s="29">
        <v>0</v>
      </c>
      <c r="U17" s="30">
        <v>188.5</v>
      </c>
    </row>
    <row r="18" spans="2:21" x14ac:dyDescent="0.25">
      <c r="B18" s="31" t="s">
        <v>18</v>
      </c>
      <c r="C18" s="31">
        <v>53</v>
      </c>
      <c r="D18" s="22" t="s">
        <v>165</v>
      </c>
      <c r="E18" s="22" t="s">
        <v>166</v>
      </c>
      <c r="F18" s="22" t="s">
        <v>33</v>
      </c>
      <c r="G18" s="23">
        <v>101368</v>
      </c>
      <c r="H18" s="24">
        <v>68680</v>
      </c>
      <c r="I18" s="24">
        <v>83821.199000000008</v>
      </c>
      <c r="J18" s="24">
        <v>50024.25</v>
      </c>
      <c r="K18" s="24">
        <v>2149.0010000000002</v>
      </c>
      <c r="L18" s="32">
        <v>257</v>
      </c>
      <c r="M18" s="33">
        <v>1456.0155934811776</v>
      </c>
      <c r="N18" s="27">
        <v>56791.491864493735</v>
      </c>
      <c r="O18" s="24">
        <v>68680</v>
      </c>
      <c r="P18" s="24">
        <v>60496.130268907262</v>
      </c>
      <c r="Q18" s="28">
        <v>0.83</v>
      </c>
      <c r="R18" s="29">
        <v>5.67</v>
      </c>
      <c r="S18" s="29">
        <v>1.1399999999999999</v>
      </c>
      <c r="T18" s="29">
        <v>257</v>
      </c>
      <c r="U18" s="30">
        <v>18398.75</v>
      </c>
    </row>
    <row r="19" spans="2:21" x14ac:dyDescent="0.25">
      <c r="B19" s="31" t="s">
        <v>18</v>
      </c>
      <c r="C19" s="31">
        <v>53</v>
      </c>
      <c r="D19" s="22" t="s">
        <v>167</v>
      </c>
      <c r="E19" s="22" t="s">
        <v>168</v>
      </c>
      <c r="F19" s="22" t="s">
        <v>140</v>
      </c>
      <c r="G19" s="23">
        <v>3052</v>
      </c>
      <c r="H19" s="24">
        <v>1676</v>
      </c>
      <c r="I19" s="24">
        <v>2567.6480000000006</v>
      </c>
      <c r="J19" s="24">
        <v>1082.5</v>
      </c>
      <c r="K19" s="24">
        <v>0</v>
      </c>
      <c r="L19" s="32">
        <v>0</v>
      </c>
      <c r="M19" s="33">
        <v>0</v>
      </c>
      <c r="N19" s="27">
        <v>1410.0190196592403</v>
      </c>
      <c r="O19" s="24">
        <v>1082.5</v>
      </c>
      <c r="P19" s="24">
        <v>1286.6989556200847</v>
      </c>
      <c r="Q19" s="28">
        <v>0.84</v>
      </c>
      <c r="R19" s="29">
        <v>0</v>
      </c>
      <c r="S19" s="29">
        <v>1.3</v>
      </c>
      <c r="T19" s="29">
        <v>0</v>
      </c>
      <c r="U19" s="30">
        <v>593.5</v>
      </c>
    </row>
    <row r="20" spans="2:21" x14ac:dyDescent="0.25">
      <c r="B20" s="31" t="s">
        <v>18</v>
      </c>
      <c r="C20" s="22">
        <v>55</v>
      </c>
      <c r="D20" s="22" t="s">
        <v>78</v>
      </c>
      <c r="E20" s="22" t="s">
        <v>169</v>
      </c>
      <c r="F20" s="22" t="s">
        <v>44</v>
      </c>
      <c r="G20" s="23">
        <v>0</v>
      </c>
      <c r="H20" s="24">
        <v>0</v>
      </c>
      <c r="I20" s="24">
        <v>0</v>
      </c>
      <c r="J20" s="24">
        <v>0</v>
      </c>
      <c r="K20" s="24">
        <v>0</v>
      </c>
      <c r="L20" s="32">
        <v>0</v>
      </c>
      <c r="M20" s="33">
        <v>0</v>
      </c>
      <c r="N20" s="27">
        <v>0</v>
      </c>
      <c r="O20" s="24">
        <v>0</v>
      </c>
      <c r="P20" s="24">
        <v>0</v>
      </c>
      <c r="Q20" s="28">
        <v>0</v>
      </c>
      <c r="R20" s="29">
        <v>0</v>
      </c>
      <c r="S20" s="29">
        <v>0</v>
      </c>
      <c r="T20" s="29">
        <v>0</v>
      </c>
      <c r="U20" s="30">
        <v>0</v>
      </c>
    </row>
    <row r="21" spans="2:21" x14ac:dyDescent="0.25">
      <c r="B21" s="31" t="s">
        <v>18</v>
      </c>
      <c r="C21" s="22">
        <v>57</v>
      </c>
      <c r="D21" s="22" t="s">
        <v>212</v>
      </c>
      <c r="E21" s="22" t="s">
        <v>213</v>
      </c>
      <c r="F21" s="22" t="s">
        <v>140</v>
      </c>
      <c r="G21" s="23">
        <v>196</v>
      </c>
      <c r="H21" s="24">
        <v>139</v>
      </c>
      <c r="I21" s="24">
        <v>83.181999999999988</v>
      </c>
      <c r="J21" s="24">
        <v>23</v>
      </c>
      <c r="K21" s="24">
        <v>0</v>
      </c>
      <c r="L21" s="32">
        <v>0</v>
      </c>
      <c r="M21" s="33">
        <v>0</v>
      </c>
      <c r="N21" s="27">
        <v>58.991316326530601</v>
      </c>
      <c r="O21" s="24">
        <v>23</v>
      </c>
      <c r="P21" s="24">
        <v>54.194417061383483</v>
      </c>
      <c r="Q21" s="28">
        <v>0.42</v>
      </c>
      <c r="R21" s="29">
        <v>0</v>
      </c>
      <c r="S21" s="29">
        <v>2.56</v>
      </c>
      <c r="T21" s="29">
        <v>0</v>
      </c>
      <c r="U21" s="30">
        <v>116</v>
      </c>
    </row>
    <row r="22" spans="2:21" x14ac:dyDescent="0.25">
      <c r="B22" s="31" t="s">
        <v>18</v>
      </c>
      <c r="C22" s="31">
        <v>57</v>
      </c>
      <c r="D22" s="22" t="s">
        <v>214</v>
      </c>
      <c r="E22" s="22" t="s">
        <v>215</v>
      </c>
      <c r="F22" s="22" t="s">
        <v>140</v>
      </c>
      <c r="G22" s="23">
        <v>1127</v>
      </c>
      <c r="H22" s="24">
        <v>412</v>
      </c>
      <c r="I22" s="24">
        <v>1007.9889999999998</v>
      </c>
      <c r="J22" s="24">
        <v>314.75</v>
      </c>
      <c r="K22" s="24">
        <v>0</v>
      </c>
      <c r="L22" s="32">
        <v>0</v>
      </c>
      <c r="M22" s="33">
        <v>0</v>
      </c>
      <c r="N22" s="27">
        <v>368.49287311446307</v>
      </c>
      <c r="O22" s="24">
        <v>314.75</v>
      </c>
      <c r="P22" s="24">
        <v>351.91182641874076</v>
      </c>
      <c r="Q22" s="28">
        <v>0.89</v>
      </c>
      <c r="R22" s="29">
        <v>0</v>
      </c>
      <c r="S22" s="29">
        <v>1.17</v>
      </c>
      <c r="T22" s="29">
        <v>0</v>
      </c>
      <c r="U22" s="30">
        <v>97.25</v>
      </c>
    </row>
    <row r="23" spans="2:21" x14ac:dyDescent="0.25">
      <c r="B23" s="31" t="s">
        <v>18</v>
      </c>
      <c r="C23" s="22">
        <v>58</v>
      </c>
      <c r="D23" s="22" t="s">
        <v>210</v>
      </c>
      <c r="E23" s="22" t="s">
        <v>211</v>
      </c>
      <c r="F23" s="22"/>
      <c r="G23" s="23">
        <v>86</v>
      </c>
      <c r="H23" s="24">
        <v>130</v>
      </c>
      <c r="I23" s="24">
        <v>86.000000000000014</v>
      </c>
      <c r="J23" s="24">
        <v>78</v>
      </c>
      <c r="K23" s="24">
        <v>0</v>
      </c>
      <c r="L23" s="32">
        <v>0</v>
      </c>
      <c r="M23" s="33">
        <v>0</v>
      </c>
      <c r="N23" s="27">
        <v>130.00000000000003</v>
      </c>
      <c r="O23" s="24">
        <v>78</v>
      </c>
      <c r="P23" s="24">
        <v>77.999999999999986</v>
      </c>
      <c r="Q23" s="28">
        <v>1</v>
      </c>
      <c r="R23" s="29">
        <v>0</v>
      </c>
      <c r="S23" s="29">
        <v>1.67</v>
      </c>
      <c r="T23" s="29">
        <v>0</v>
      </c>
      <c r="U23" s="30">
        <v>52</v>
      </c>
    </row>
    <row r="24" spans="2:21" x14ac:dyDescent="0.25">
      <c r="B24" s="31" t="s">
        <v>18</v>
      </c>
      <c r="C24" s="22">
        <v>59</v>
      </c>
      <c r="D24" s="22" t="s">
        <v>170</v>
      </c>
      <c r="E24" s="22" t="s">
        <v>171</v>
      </c>
      <c r="F24" s="22"/>
      <c r="G24" s="23">
        <v>1468</v>
      </c>
      <c r="H24" s="24">
        <v>5490</v>
      </c>
      <c r="I24" s="24">
        <v>1468</v>
      </c>
      <c r="J24" s="24">
        <v>5664</v>
      </c>
      <c r="K24" s="24">
        <v>0</v>
      </c>
      <c r="L24" s="32">
        <v>0</v>
      </c>
      <c r="M24" s="33">
        <v>0</v>
      </c>
      <c r="N24" s="27">
        <v>5490</v>
      </c>
      <c r="O24" s="24">
        <v>5664</v>
      </c>
      <c r="P24" s="24">
        <v>5664</v>
      </c>
      <c r="Q24" s="28">
        <v>1</v>
      </c>
      <c r="R24" s="29">
        <v>0</v>
      </c>
      <c r="S24" s="29">
        <v>0.97</v>
      </c>
      <c r="T24" s="29">
        <v>0</v>
      </c>
      <c r="U24" s="30">
        <v>-174</v>
      </c>
    </row>
    <row r="25" spans="2:21" x14ac:dyDescent="0.25">
      <c r="B25" s="31" t="s">
        <v>18</v>
      </c>
      <c r="C25" s="31">
        <v>59</v>
      </c>
      <c r="D25" s="22" t="s">
        <v>172</v>
      </c>
      <c r="E25" s="22" t="s">
        <v>173</v>
      </c>
      <c r="F25" s="22" t="s">
        <v>140</v>
      </c>
      <c r="G25" s="23">
        <v>460</v>
      </c>
      <c r="H25" s="24">
        <v>1312</v>
      </c>
      <c r="I25" s="24">
        <v>388.70000000000005</v>
      </c>
      <c r="J25" s="24">
        <v>807</v>
      </c>
      <c r="K25" s="24">
        <v>0</v>
      </c>
      <c r="L25" s="32">
        <v>0</v>
      </c>
      <c r="M25" s="33">
        <v>0</v>
      </c>
      <c r="N25" s="27">
        <v>1108.6400000000001</v>
      </c>
      <c r="O25" s="24">
        <v>807</v>
      </c>
      <c r="P25" s="24">
        <v>955.02958579881647</v>
      </c>
      <c r="Q25" s="28">
        <v>0.85</v>
      </c>
      <c r="R25" s="29">
        <v>0</v>
      </c>
      <c r="S25" s="29">
        <v>1.37</v>
      </c>
      <c r="T25" s="29">
        <v>0</v>
      </c>
      <c r="U25" s="30">
        <v>505</v>
      </c>
    </row>
    <row r="26" spans="2:21" x14ac:dyDescent="0.25">
      <c r="B26" s="31" t="s">
        <v>18</v>
      </c>
      <c r="C26" s="31">
        <v>59</v>
      </c>
      <c r="D26" s="22" t="s">
        <v>174</v>
      </c>
      <c r="E26" s="22" t="s">
        <v>175</v>
      </c>
      <c r="F26" s="22" t="s">
        <v>33</v>
      </c>
      <c r="G26" s="23">
        <v>14989</v>
      </c>
      <c r="H26" s="24">
        <v>41113</v>
      </c>
      <c r="I26" s="24">
        <v>13343.208000000001</v>
      </c>
      <c r="J26" s="24">
        <v>30590.25</v>
      </c>
      <c r="K26" s="24">
        <v>391.21300000000002</v>
      </c>
      <c r="L26" s="32">
        <v>23</v>
      </c>
      <c r="M26" s="33">
        <v>1073.0495742878111</v>
      </c>
      <c r="N26" s="27">
        <v>36598.79314857562</v>
      </c>
      <c r="O26" s="24">
        <v>41113</v>
      </c>
      <c r="P26" s="24">
        <v>34363.344800590683</v>
      </c>
      <c r="Q26" s="28">
        <v>0.89</v>
      </c>
      <c r="R26" s="29">
        <v>46.65</v>
      </c>
      <c r="S26" s="29">
        <v>1.2</v>
      </c>
      <c r="T26" s="29">
        <v>23</v>
      </c>
      <c r="U26" s="30">
        <v>10499.75</v>
      </c>
    </row>
    <row r="27" spans="2:21" x14ac:dyDescent="0.25">
      <c r="B27" s="31" t="s">
        <v>18</v>
      </c>
      <c r="C27" s="22">
        <v>75</v>
      </c>
      <c r="D27" s="22" t="s">
        <v>176</v>
      </c>
      <c r="E27" s="22" t="s">
        <v>177</v>
      </c>
      <c r="F27" s="22" t="s">
        <v>44</v>
      </c>
      <c r="G27" s="23">
        <v>0</v>
      </c>
      <c r="H27" s="24">
        <v>0</v>
      </c>
      <c r="I27" s="24">
        <v>0</v>
      </c>
      <c r="J27" s="24">
        <v>0</v>
      </c>
      <c r="K27" s="24">
        <v>0</v>
      </c>
      <c r="L27" s="32">
        <v>0</v>
      </c>
      <c r="M27" s="33">
        <v>0</v>
      </c>
      <c r="N27" s="27">
        <v>0</v>
      </c>
      <c r="O27" s="24">
        <v>0</v>
      </c>
      <c r="P27" s="24">
        <v>0</v>
      </c>
      <c r="Q27" s="28">
        <v>0</v>
      </c>
      <c r="R27" s="29">
        <v>0</v>
      </c>
      <c r="S27" s="29">
        <v>0</v>
      </c>
      <c r="T27" s="29">
        <v>0</v>
      </c>
      <c r="U27" s="30">
        <v>0</v>
      </c>
    </row>
    <row r="28" spans="2:21" x14ac:dyDescent="0.25">
      <c r="B28" s="31" t="s">
        <v>18</v>
      </c>
      <c r="C28" s="22">
        <v>90</v>
      </c>
      <c r="D28" s="22" t="s">
        <v>86</v>
      </c>
      <c r="E28" s="22" t="s">
        <v>178</v>
      </c>
      <c r="F28" s="22" t="s">
        <v>49</v>
      </c>
      <c r="G28" s="23">
        <v>0</v>
      </c>
      <c r="H28" s="24">
        <v>12389.7</v>
      </c>
      <c r="I28" s="24">
        <v>0</v>
      </c>
      <c r="J28" s="24">
        <v>15379.5</v>
      </c>
      <c r="K28" s="24">
        <v>0</v>
      </c>
      <c r="L28" s="32">
        <v>420</v>
      </c>
      <c r="M28" s="33">
        <v>0</v>
      </c>
      <c r="N28" s="27">
        <v>0</v>
      </c>
      <c r="O28" s="24">
        <v>14263</v>
      </c>
      <c r="P28" s="24">
        <v>14263</v>
      </c>
      <c r="Q28" s="28">
        <v>0</v>
      </c>
      <c r="R28" s="29">
        <v>0</v>
      </c>
      <c r="S28" s="29">
        <v>0</v>
      </c>
      <c r="T28" s="29">
        <v>0</v>
      </c>
      <c r="U28" s="30">
        <v>-2989.7999999999993</v>
      </c>
    </row>
    <row r="29" spans="2:21" x14ac:dyDescent="0.25">
      <c r="B29" s="31" t="s">
        <v>18</v>
      </c>
      <c r="C29" s="31">
        <v>90</v>
      </c>
      <c r="D29" s="22" t="s">
        <v>88</v>
      </c>
      <c r="E29" s="22" t="s">
        <v>89</v>
      </c>
      <c r="F29" s="22" t="s">
        <v>49</v>
      </c>
      <c r="G29" s="23">
        <v>0</v>
      </c>
      <c r="H29" s="24">
        <v>45942</v>
      </c>
      <c r="I29" s="24">
        <v>0</v>
      </c>
      <c r="J29" s="24">
        <v>52285.25</v>
      </c>
      <c r="K29" s="24">
        <v>0</v>
      </c>
      <c r="L29" s="32">
        <v>781</v>
      </c>
      <c r="M29" s="33">
        <v>0</v>
      </c>
      <c r="N29" s="27">
        <v>0</v>
      </c>
      <c r="O29" s="24">
        <v>53519</v>
      </c>
      <c r="P29" s="24">
        <v>53519</v>
      </c>
      <c r="Q29" s="28">
        <v>0</v>
      </c>
      <c r="R29" s="29">
        <v>0</v>
      </c>
      <c r="S29" s="29">
        <v>0</v>
      </c>
      <c r="T29" s="29">
        <v>61</v>
      </c>
      <c r="U29" s="30">
        <v>-6404.25</v>
      </c>
    </row>
    <row r="30" spans="2:21" x14ac:dyDescent="0.25">
      <c r="B30" s="31" t="s">
        <v>18</v>
      </c>
      <c r="C30" s="31">
        <v>90</v>
      </c>
      <c r="D30" s="22" t="s">
        <v>90</v>
      </c>
      <c r="E30" s="22" t="s">
        <v>91</v>
      </c>
      <c r="F30" s="22" t="s">
        <v>49</v>
      </c>
      <c r="G30" s="23">
        <v>0</v>
      </c>
      <c r="H30" s="24">
        <v>21888</v>
      </c>
      <c r="I30" s="24">
        <v>0</v>
      </c>
      <c r="J30" s="24">
        <v>20900.5</v>
      </c>
      <c r="K30" s="24">
        <v>0</v>
      </c>
      <c r="L30" s="32">
        <v>126</v>
      </c>
      <c r="M30" s="33">
        <v>0</v>
      </c>
      <c r="N30" s="27">
        <v>0</v>
      </c>
      <c r="O30" s="24">
        <v>23063</v>
      </c>
      <c r="P30" s="24">
        <v>23063</v>
      </c>
      <c r="Q30" s="28">
        <v>0</v>
      </c>
      <c r="R30" s="29">
        <v>0</v>
      </c>
      <c r="S30" s="29">
        <v>0</v>
      </c>
      <c r="T30" s="29">
        <v>126</v>
      </c>
      <c r="U30" s="30">
        <v>861.5</v>
      </c>
    </row>
    <row r="31" spans="2:21" x14ac:dyDescent="0.25">
      <c r="B31" s="31" t="s">
        <v>18</v>
      </c>
      <c r="C31" s="31">
        <v>90</v>
      </c>
      <c r="D31" s="22" t="s">
        <v>92</v>
      </c>
      <c r="E31" s="22" t="s">
        <v>93</v>
      </c>
      <c r="F31" s="22" t="s">
        <v>49</v>
      </c>
      <c r="G31" s="23">
        <v>0</v>
      </c>
      <c r="H31" s="24">
        <v>51375</v>
      </c>
      <c r="I31" s="24">
        <v>0</v>
      </c>
      <c r="J31" s="24">
        <v>32977.25</v>
      </c>
      <c r="K31" s="24">
        <v>0</v>
      </c>
      <c r="L31" s="32">
        <v>473</v>
      </c>
      <c r="M31" s="33">
        <v>0</v>
      </c>
      <c r="N31" s="27">
        <v>0</v>
      </c>
      <c r="O31" s="24">
        <v>63821</v>
      </c>
      <c r="P31" s="24">
        <v>63821</v>
      </c>
      <c r="Q31" s="28">
        <v>0</v>
      </c>
      <c r="R31" s="29">
        <v>0</v>
      </c>
      <c r="S31" s="29">
        <v>0</v>
      </c>
      <c r="T31" s="29">
        <v>60</v>
      </c>
      <c r="U31" s="30">
        <v>18337.75</v>
      </c>
    </row>
    <row r="32" spans="2:21" x14ac:dyDescent="0.25">
      <c r="B32" s="31" t="s">
        <v>18</v>
      </c>
      <c r="C32" s="31">
        <v>90</v>
      </c>
      <c r="D32" s="22" t="s">
        <v>94</v>
      </c>
      <c r="E32" s="22" t="s">
        <v>95</v>
      </c>
      <c r="F32" s="22" t="s">
        <v>49</v>
      </c>
      <c r="G32" s="23">
        <v>0</v>
      </c>
      <c r="H32" s="24">
        <v>4218</v>
      </c>
      <c r="I32" s="24">
        <v>0</v>
      </c>
      <c r="J32" s="24">
        <v>4567.5</v>
      </c>
      <c r="K32" s="24">
        <v>0</v>
      </c>
      <c r="L32" s="32">
        <v>140</v>
      </c>
      <c r="M32" s="33">
        <v>0</v>
      </c>
      <c r="N32" s="27">
        <v>0</v>
      </c>
      <c r="O32" s="24">
        <v>7151</v>
      </c>
      <c r="P32" s="24">
        <v>7151</v>
      </c>
      <c r="Q32" s="28">
        <v>0</v>
      </c>
      <c r="R32" s="29">
        <v>0</v>
      </c>
      <c r="S32" s="29">
        <v>0</v>
      </c>
      <c r="T32" s="29">
        <v>40</v>
      </c>
      <c r="U32" s="30">
        <v>-389.5</v>
      </c>
    </row>
    <row r="33" spans="2:21" x14ac:dyDescent="0.25">
      <c r="B33" s="31" t="s">
        <v>18</v>
      </c>
      <c r="C33" s="31">
        <v>90</v>
      </c>
      <c r="D33" s="22" t="s">
        <v>179</v>
      </c>
      <c r="E33" s="22" t="s">
        <v>180</v>
      </c>
      <c r="F33" s="22" t="s">
        <v>44</v>
      </c>
      <c r="G33" s="23">
        <v>0</v>
      </c>
      <c r="H33" s="24">
        <v>300</v>
      </c>
      <c r="I33" s="24">
        <v>0</v>
      </c>
      <c r="J33" s="24">
        <v>300</v>
      </c>
      <c r="K33" s="24">
        <v>0</v>
      </c>
      <c r="L33" s="32">
        <v>0</v>
      </c>
      <c r="M33" s="33">
        <v>0</v>
      </c>
      <c r="N33" s="27">
        <v>0</v>
      </c>
      <c r="O33" s="24">
        <v>300</v>
      </c>
      <c r="P33" s="24">
        <v>300</v>
      </c>
      <c r="Q33" s="28">
        <v>0</v>
      </c>
      <c r="R33" s="29">
        <v>0</v>
      </c>
      <c r="S33" s="29">
        <v>0</v>
      </c>
      <c r="T33" s="29">
        <v>0</v>
      </c>
      <c r="U33" s="30">
        <v>0</v>
      </c>
    </row>
    <row r="34" spans="2:21" x14ac:dyDescent="0.25">
      <c r="B34" s="31" t="s">
        <v>18</v>
      </c>
      <c r="C34" s="31">
        <v>90</v>
      </c>
      <c r="D34" s="22" t="s">
        <v>181</v>
      </c>
      <c r="E34" s="22" t="s">
        <v>182</v>
      </c>
      <c r="F34" s="22" t="s">
        <v>44</v>
      </c>
      <c r="G34" s="23">
        <v>0</v>
      </c>
      <c r="H34" s="24">
        <v>308</v>
      </c>
      <c r="I34" s="24">
        <v>0</v>
      </c>
      <c r="J34" s="24">
        <v>308</v>
      </c>
      <c r="K34" s="24">
        <v>0</v>
      </c>
      <c r="L34" s="32">
        <v>0</v>
      </c>
      <c r="M34" s="33">
        <v>0</v>
      </c>
      <c r="N34" s="27">
        <v>0</v>
      </c>
      <c r="O34" s="24">
        <v>308</v>
      </c>
      <c r="P34" s="24">
        <v>308</v>
      </c>
      <c r="Q34" s="28">
        <v>0</v>
      </c>
      <c r="R34" s="29">
        <v>0</v>
      </c>
      <c r="S34" s="29">
        <v>0</v>
      </c>
      <c r="T34" s="29">
        <v>0</v>
      </c>
      <c r="U34" s="30">
        <v>0</v>
      </c>
    </row>
    <row r="35" spans="2:21" x14ac:dyDescent="0.25">
      <c r="B35" s="31" t="s">
        <v>18</v>
      </c>
      <c r="C35" s="22">
        <v>91</v>
      </c>
      <c r="D35" s="22" t="s">
        <v>96</v>
      </c>
      <c r="E35" s="22" t="s">
        <v>97</v>
      </c>
      <c r="F35" s="22" t="s">
        <v>44</v>
      </c>
      <c r="G35" s="23">
        <v>0</v>
      </c>
      <c r="H35" s="24">
        <v>0</v>
      </c>
      <c r="I35" s="24">
        <v>0</v>
      </c>
      <c r="J35" s="24">
        <v>0</v>
      </c>
      <c r="K35" s="24">
        <v>0</v>
      </c>
      <c r="L35" s="32">
        <v>0</v>
      </c>
      <c r="M35" s="33">
        <v>0</v>
      </c>
      <c r="N35" s="27">
        <v>0</v>
      </c>
      <c r="O35" s="24">
        <v>0</v>
      </c>
      <c r="P35" s="24">
        <v>0</v>
      </c>
      <c r="Q35" s="28">
        <v>0</v>
      </c>
      <c r="R35" s="29">
        <v>0</v>
      </c>
      <c r="S35" s="29">
        <v>0</v>
      </c>
      <c r="T35" s="29">
        <v>0</v>
      </c>
      <c r="U35" s="30">
        <v>0</v>
      </c>
    </row>
    <row r="36" spans="2:21" x14ac:dyDescent="0.25">
      <c r="B36" s="31" t="s">
        <v>18</v>
      </c>
      <c r="C36" s="31">
        <v>91</v>
      </c>
      <c r="D36" s="22" t="s">
        <v>98</v>
      </c>
      <c r="E36" s="22" t="s">
        <v>99</v>
      </c>
      <c r="F36" s="22" t="s">
        <v>44</v>
      </c>
      <c r="G36" s="23">
        <v>0</v>
      </c>
      <c r="H36" s="24">
        <v>2565</v>
      </c>
      <c r="I36" s="24">
        <v>0</v>
      </c>
      <c r="J36" s="24">
        <v>1618.5</v>
      </c>
      <c r="K36" s="24">
        <v>0</v>
      </c>
      <c r="L36" s="32">
        <v>0</v>
      </c>
      <c r="M36" s="33">
        <v>0</v>
      </c>
      <c r="N36" s="27">
        <v>0</v>
      </c>
      <c r="O36" s="24">
        <v>1618.5</v>
      </c>
      <c r="P36" s="24">
        <v>1618.5</v>
      </c>
      <c r="Q36" s="28">
        <v>0</v>
      </c>
      <c r="R36" s="29">
        <v>0</v>
      </c>
      <c r="S36" s="29">
        <v>0</v>
      </c>
      <c r="T36" s="29">
        <v>0</v>
      </c>
      <c r="U36" s="30">
        <v>946.5</v>
      </c>
    </row>
    <row r="37" spans="2:21" x14ac:dyDescent="0.25">
      <c r="B37" s="31" t="s">
        <v>18</v>
      </c>
      <c r="C37" s="31">
        <v>91</v>
      </c>
      <c r="D37" s="22" t="s">
        <v>100</v>
      </c>
      <c r="E37" s="22" t="s">
        <v>101</v>
      </c>
      <c r="F37" s="22" t="s">
        <v>49</v>
      </c>
      <c r="G37" s="23">
        <v>0</v>
      </c>
      <c r="H37" s="24">
        <v>19038</v>
      </c>
      <c r="I37" s="24">
        <v>0</v>
      </c>
      <c r="J37" s="24">
        <v>32862.25</v>
      </c>
      <c r="K37" s="24">
        <v>0</v>
      </c>
      <c r="L37" s="32">
        <v>513</v>
      </c>
      <c r="M37" s="33">
        <v>0</v>
      </c>
      <c r="N37" s="27">
        <v>0</v>
      </c>
      <c r="O37" s="24">
        <v>25232</v>
      </c>
      <c r="P37" s="24">
        <v>25232</v>
      </c>
      <c r="Q37" s="28">
        <v>0</v>
      </c>
      <c r="R37" s="29">
        <v>0</v>
      </c>
      <c r="S37" s="29">
        <v>0</v>
      </c>
      <c r="T37" s="29">
        <v>512.75</v>
      </c>
      <c r="U37" s="30">
        <v>-14337</v>
      </c>
    </row>
    <row r="38" spans="2:21" x14ac:dyDescent="0.25">
      <c r="B38" s="31" t="s">
        <v>18</v>
      </c>
      <c r="C38" s="31">
        <v>91</v>
      </c>
      <c r="D38" s="22" t="s">
        <v>102</v>
      </c>
      <c r="E38" s="22" t="s">
        <v>183</v>
      </c>
      <c r="F38" s="22" t="s">
        <v>49</v>
      </c>
      <c r="G38" s="23">
        <v>0</v>
      </c>
      <c r="H38" s="24">
        <v>21261</v>
      </c>
      <c r="I38" s="24">
        <v>0</v>
      </c>
      <c r="J38" s="24">
        <v>23987.25</v>
      </c>
      <c r="K38" s="24">
        <v>0</v>
      </c>
      <c r="L38" s="32">
        <v>70</v>
      </c>
      <c r="M38" s="33">
        <v>0</v>
      </c>
      <c r="N38" s="27">
        <v>0</v>
      </c>
      <c r="O38" s="24">
        <v>29526</v>
      </c>
      <c r="P38" s="24">
        <v>29526</v>
      </c>
      <c r="Q38" s="28">
        <v>0</v>
      </c>
      <c r="R38" s="29">
        <v>0</v>
      </c>
      <c r="S38" s="29">
        <v>0</v>
      </c>
      <c r="T38" s="29">
        <v>70</v>
      </c>
      <c r="U38" s="30">
        <v>-2796.25</v>
      </c>
    </row>
    <row r="39" spans="2:21" x14ac:dyDescent="0.25">
      <c r="B39" s="31" t="s">
        <v>18</v>
      </c>
      <c r="C39" s="31">
        <v>91</v>
      </c>
      <c r="D39" s="22" t="s">
        <v>106</v>
      </c>
      <c r="E39" s="22" t="s">
        <v>107</v>
      </c>
      <c r="F39" s="22" t="s">
        <v>49</v>
      </c>
      <c r="G39" s="23">
        <v>0</v>
      </c>
      <c r="H39" s="24">
        <v>3192</v>
      </c>
      <c r="I39" s="24">
        <v>0</v>
      </c>
      <c r="J39" s="24">
        <v>4229</v>
      </c>
      <c r="K39" s="24">
        <v>0</v>
      </c>
      <c r="L39" s="32">
        <v>55</v>
      </c>
      <c r="M39" s="33">
        <v>0</v>
      </c>
      <c r="N39" s="27">
        <v>0</v>
      </c>
      <c r="O39" s="24">
        <v>3814</v>
      </c>
      <c r="P39" s="24">
        <v>3814</v>
      </c>
      <c r="Q39" s="28">
        <v>0</v>
      </c>
      <c r="R39" s="29">
        <v>0</v>
      </c>
      <c r="S39" s="29">
        <v>0</v>
      </c>
      <c r="T39" s="29">
        <v>55</v>
      </c>
      <c r="U39" s="30">
        <v>-1092</v>
      </c>
    </row>
    <row r="40" spans="2:21" x14ac:dyDescent="0.25">
      <c r="B40" s="31" t="s">
        <v>18</v>
      </c>
      <c r="C40" s="31">
        <v>91</v>
      </c>
      <c r="D40" s="22" t="s">
        <v>108</v>
      </c>
      <c r="E40" s="22" t="s">
        <v>184</v>
      </c>
      <c r="F40" s="22" t="s">
        <v>44</v>
      </c>
      <c r="G40" s="23">
        <v>0</v>
      </c>
      <c r="H40" s="24">
        <v>3408</v>
      </c>
      <c r="I40" s="24">
        <v>0</v>
      </c>
      <c r="J40" s="24">
        <v>3006.75</v>
      </c>
      <c r="K40" s="24">
        <v>0</v>
      </c>
      <c r="L40" s="32">
        <v>0</v>
      </c>
      <c r="M40" s="33">
        <v>0</v>
      </c>
      <c r="N40" s="27">
        <v>0</v>
      </c>
      <c r="O40" s="24">
        <v>3006.75</v>
      </c>
      <c r="P40" s="24">
        <v>3006.75</v>
      </c>
      <c r="Q40" s="28">
        <v>0</v>
      </c>
      <c r="R40" s="29">
        <v>0</v>
      </c>
      <c r="S40" s="29">
        <v>0</v>
      </c>
      <c r="T40" s="29">
        <v>0</v>
      </c>
      <c r="U40" s="30">
        <v>401.25</v>
      </c>
    </row>
    <row r="41" spans="2:21" x14ac:dyDescent="0.25">
      <c r="B41" s="31" t="s">
        <v>18</v>
      </c>
      <c r="C41" s="31">
        <v>91</v>
      </c>
      <c r="D41" s="22" t="s">
        <v>110</v>
      </c>
      <c r="E41" s="22" t="s">
        <v>111</v>
      </c>
      <c r="F41" s="22" t="s">
        <v>44</v>
      </c>
      <c r="G41" s="23">
        <v>0</v>
      </c>
      <c r="H41" s="24">
        <v>205</v>
      </c>
      <c r="I41" s="24">
        <v>0</v>
      </c>
      <c r="J41" s="24">
        <v>108</v>
      </c>
      <c r="K41" s="24">
        <v>0</v>
      </c>
      <c r="L41" s="32">
        <v>0</v>
      </c>
      <c r="M41" s="33">
        <v>0</v>
      </c>
      <c r="N41" s="27">
        <v>0</v>
      </c>
      <c r="O41" s="24">
        <v>108</v>
      </c>
      <c r="P41" s="24">
        <v>108</v>
      </c>
      <c r="Q41" s="28">
        <v>0</v>
      </c>
      <c r="R41" s="29">
        <v>0</v>
      </c>
      <c r="S41" s="29">
        <v>0</v>
      </c>
      <c r="T41" s="29">
        <v>0</v>
      </c>
      <c r="U41" s="30">
        <v>97</v>
      </c>
    </row>
    <row r="42" spans="2:21" x14ac:dyDescent="0.25">
      <c r="B42" s="31" t="s">
        <v>18</v>
      </c>
      <c r="C42" s="31">
        <v>91</v>
      </c>
      <c r="D42" s="22" t="s">
        <v>185</v>
      </c>
      <c r="E42" s="22" t="s">
        <v>186</v>
      </c>
      <c r="F42" s="22" t="s">
        <v>44</v>
      </c>
      <c r="G42" s="23">
        <v>0</v>
      </c>
      <c r="H42" s="24">
        <v>1300</v>
      </c>
      <c r="I42" s="24">
        <v>0</v>
      </c>
      <c r="J42" s="24">
        <v>1007</v>
      </c>
      <c r="K42" s="24">
        <v>0</v>
      </c>
      <c r="L42" s="32">
        <v>0</v>
      </c>
      <c r="M42" s="33">
        <v>0</v>
      </c>
      <c r="N42" s="27">
        <v>0</v>
      </c>
      <c r="O42" s="24">
        <v>1007</v>
      </c>
      <c r="P42" s="24">
        <v>1007</v>
      </c>
      <c r="Q42" s="28">
        <v>0</v>
      </c>
      <c r="R42" s="29">
        <v>0</v>
      </c>
      <c r="S42" s="29">
        <v>0</v>
      </c>
      <c r="T42" s="29">
        <v>0</v>
      </c>
      <c r="U42" s="30">
        <v>293</v>
      </c>
    </row>
    <row r="43" spans="2:21" x14ac:dyDescent="0.25">
      <c r="B43" s="31" t="s">
        <v>18</v>
      </c>
      <c r="C43" s="31">
        <v>91</v>
      </c>
      <c r="D43" s="22" t="s">
        <v>187</v>
      </c>
      <c r="E43" s="22" t="s">
        <v>188</v>
      </c>
      <c r="F43" s="22" t="s">
        <v>44</v>
      </c>
      <c r="G43" s="23">
        <v>0</v>
      </c>
      <c r="H43" s="24">
        <v>0</v>
      </c>
      <c r="I43" s="24">
        <v>0</v>
      </c>
      <c r="J43" s="24">
        <v>0</v>
      </c>
      <c r="K43" s="24">
        <v>0</v>
      </c>
      <c r="L43" s="32">
        <v>0</v>
      </c>
      <c r="M43" s="33">
        <v>0</v>
      </c>
      <c r="N43" s="27">
        <v>0</v>
      </c>
      <c r="O43" s="24">
        <v>0</v>
      </c>
      <c r="P43" s="24">
        <v>0</v>
      </c>
      <c r="Q43" s="28">
        <v>0</v>
      </c>
      <c r="R43" s="29">
        <v>0</v>
      </c>
      <c r="S43" s="29">
        <v>0</v>
      </c>
      <c r="T43" s="29">
        <v>0</v>
      </c>
      <c r="U43" s="30">
        <v>0</v>
      </c>
    </row>
    <row r="44" spans="2:21" x14ac:dyDescent="0.25">
      <c r="B44" s="31" t="s">
        <v>18</v>
      </c>
      <c r="C44" s="31">
        <v>91</v>
      </c>
      <c r="D44" s="22" t="s">
        <v>189</v>
      </c>
      <c r="E44" s="22" t="s">
        <v>190</v>
      </c>
      <c r="F44" s="22" t="s">
        <v>44</v>
      </c>
      <c r="G44" s="23">
        <v>0</v>
      </c>
      <c r="H44" s="24">
        <v>0</v>
      </c>
      <c r="I44" s="24">
        <v>0</v>
      </c>
      <c r="J44" s="24">
        <v>0</v>
      </c>
      <c r="K44" s="24">
        <v>0</v>
      </c>
      <c r="L44" s="32">
        <v>0</v>
      </c>
      <c r="M44" s="33">
        <v>0</v>
      </c>
      <c r="N44" s="27">
        <v>0</v>
      </c>
      <c r="O44" s="24">
        <v>0</v>
      </c>
      <c r="P44" s="24">
        <v>0</v>
      </c>
      <c r="Q44" s="28">
        <v>0</v>
      </c>
      <c r="R44" s="29">
        <v>0</v>
      </c>
      <c r="S44" s="29">
        <v>0</v>
      </c>
      <c r="T44" s="29">
        <v>0</v>
      </c>
      <c r="U44" s="30">
        <v>0</v>
      </c>
    </row>
    <row r="45" spans="2:21" x14ac:dyDescent="0.25">
      <c r="B45" s="31" t="s">
        <v>18</v>
      </c>
      <c r="C45" s="22">
        <v>92</v>
      </c>
      <c r="D45" s="22" t="s">
        <v>112</v>
      </c>
      <c r="E45" s="22" t="s">
        <v>191</v>
      </c>
      <c r="F45" s="22" t="s">
        <v>49</v>
      </c>
      <c r="G45" s="23">
        <v>0</v>
      </c>
      <c r="H45" s="24">
        <v>4500</v>
      </c>
      <c r="I45" s="24">
        <v>0</v>
      </c>
      <c r="J45" s="24">
        <v>4462</v>
      </c>
      <c r="K45" s="24">
        <v>0</v>
      </c>
      <c r="L45" s="32">
        <v>64</v>
      </c>
      <c r="M45" s="33">
        <v>0</v>
      </c>
      <c r="N45" s="27">
        <v>0</v>
      </c>
      <c r="O45" s="24">
        <v>5000</v>
      </c>
      <c r="P45" s="24">
        <v>5000</v>
      </c>
      <c r="Q45" s="28">
        <v>0</v>
      </c>
      <c r="R45" s="29">
        <v>0</v>
      </c>
      <c r="S45" s="29">
        <v>0</v>
      </c>
      <c r="T45" s="29">
        <v>64</v>
      </c>
      <c r="U45" s="30">
        <v>-26</v>
      </c>
    </row>
    <row r="46" spans="2:21" x14ac:dyDescent="0.25">
      <c r="B46" s="31" t="s">
        <v>18</v>
      </c>
      <c r="C46" s="22">
        <v>93</v>
      </c>
      <c r="D46" s="22" t="s">
        <v>114</v>
      </c>
      <c r="E46" s="22" t="s">
        <v>192</v>
      </c>
      <c r="F46" s="22" t="s">
        <v>44</v>
      </c>
      <c r="G46" s="23">
        <v>0</v>
      </c>
      <c r="H46" s="24">
        <v>0</v>
      </c>
      <c r="I46" s="24">
        <v>0</v>
      </c>
      <c r="J46" s="24">
        <v>0</v>
      </c>
      <c r="K46" s="24">
        <v>0</v>
      </c>
      <c r="L46" s="32">
        <v>0</v>
      </c>
      <c r="M46" s="33">
        <v>0</v>
      </c>
      <c r="N46" s="27">
        <v>0</v>
      </c>
      <c r="O46" s="24">
        <v>0</v>
      </c>
      <c r="P46" s="24">
        <v>0</v>
      </c>
      <c r="Q46" s="28">
        <v>0</v>
      </c>
      <c r="R46" s="29">
        <v>0</v>
      </c>
      <c r="S46" s="29">
        <v>0</v>
      </c>
      <c r="T46" s="29">
        <v>0</v>
      </c>
      <c r="U46" s="30">
        <v>0</v>
      </c>
    </row>
    <row r="47" spans="2:21" x14ac:dyDescent="0.25">
      <c r="B47" s="31" t="s">
        <v>18</v>
      </c>
      <c r="C47" s="22">
        <v>98</v>
      </c>
      <c r="D47" s="22" t="s">
        <v>193</v>
      </c>
      <c r="E47" s="22" t="s">
        <v>194</v>
      </c>
      <c r="F47" s="22" t="s">
        <v>44</v>
      </c>
      <c r="G47" s="23">
        <v>0</v>
      </c>
      <c r="H47" s="24">
        <v>3005</v>
      </c>
      <c r="I47" s="24">
        <v>0</v>
      </c>
      <c r="J47" s="24">
        <v>3005</v>
      </c>
      <c r="K47" s="24">
        <v>0</v>
      </c>
      <c r="L47" s="32">
        <v>0</v>
      </c>
      <c r="M47" s="33">
        <v>0</v>
      </c>
      <c r="N47" s="27">
        <v>0</v>
      </c>
      <c r="O47" s="24">
        <v>3005</v>
      </c>
      <c r="P47" s="24">
        <v>3005</v>
      </c>
      <c r="Q47" s="28">
        <v>0</v>
      </c>
      <c r="R47" s="29">
        <v>0</v>
      </c>
      <c r="S47" s="29">
        <v>0</v>
      </c>
      <c r="T47" s="29">
        <v>0</v>
      </c>
      <c r="U47" s="30">
        <v>0</v>
      </c>
    </row>
    <row r="48" spans="2:21" x14ac:dyDescent="0.25">
      <c r="B48" s="31" t="s">
        <v>18</v>
      </c>
      <c r="C48" s="31">
        <v>98</v>
      </c>
      <c r="D48" s="22" t="s">
        <v>195</v>
      </c>
      <c r="E48" s="22" t="s">
        <v>196</v>
      </c>
      <c r="F48" s="22" t="s">
        <v>44</v>
      </c>
      <c r="G48" s="23">
        <v>0</v>
      </c>
      <c r="H48" s="24">
        <v>0</v>
      </c>
      <c r="I48" s="24">
        <v>0</v>
      </c>
      <c r="J48" s="24">
        <v>376.5</v>
      </c>
      <c r="K48" s="24">
        <v>0</v>
      </c>
      <c r="L48" s="32">
        <v>0</v>
      </c>
      <c r="M48" s="33">
        <v>0</v>
      </c>
      <c r="N48" s="27">
        <v>0</v>
      </c>
      <c r="O48" s="24">
        <v>376.5</v>
      </c>
      <c r="P48" s="24">
        <v>376.5</v>
      </c>
      <c r="Q48" s="28">
        <v>0</v>
      </c>
      <c r="R48" s="29">
        <v>0</v>
      </c>
      <c r="S48" s="29">
        <v>0</v>
      </c>
      <c r="T48" s="29">
        <v>0</v>
      </c>
      <c r="U48" s="30">
        <v>-376.5</v>
      </c>
    </row>
    <row r="49" spans="2:21" x14ac:dyDescent="0.25">
      <c r="B49" s="31" t="s">
        <v>18</v>
      </c>
      <c r="C49" s="31">
        <v>98</v>
      </c>
      <c r="D49" s="22" t="s">
        <v>197</v>
      </c>
      <c r="E49" s="22" t="s">
        <v>198</v>
      </c>
      <c r="F49" s="22" t="s">
        <v>44</v>
      </c>
      <c r="G49" s="23">
        <v>0</v>
      </c>
      <c r="H49" s="24">
        <v>0</v>
      </c>
      <c r="I49" s="24">
        <v>0</v>
      </c>
      <c r="J49" s="24">
        <v>3658.75</v>
      </c>
      <c r="K49" s="24">
        <v>0</v>
      </c>
      <c r="L49" s="32">
        <v>0</v>
      </c>
      <c r="M49" s="33">
        <v>0</v>
      </c>
      <c r="N49" s="27">
        <v>0</v>
      </c>
      <c r="O49" s="24">
        <v>3658.75</v>
      </c>
      <c r="P49" s="24">
        <v>3658.75</v>
      </c>
      <c r="Q49" s="28">
        <v>0</v>
      </c>
      <c r="R49" s="29">
        <v>0</v>
      </c>
      <c r="S49" s="29">
        <v>0</v>
      </c>
      <c r="T49" s="29">
        <v>0</v>
      </c>
      <c r="U49" s="30">
        <v>-3658.75</v>
      </c>
    </row>
    <row r="50" spans="2:21" x14ac:dyDescent="0.25">
      <c r="B50" s="31" t="s">
        <v>18</v>
      </c>
      <c r="C50" s="31">
        <v>98</v>
      </c>
      <c r="D50" s="22" t="s">
        <v>116</v>
      </c>
      <c r="E50" s="22" t="s">
        <v>199</v>
      </c>
      <c r="F50" s="22" t="s">
        <v>44</v>
      </c>
      <c r="G50" s="23">
        <v>0</v>
      </c>
      <c r="H50" s="24">
        <v>0</v>
      </c>
      <c r="I50" s="24">
        <v>0</v>
      </c>
      <c r="J50" s="24">
        <v>0</v>
      </c>
      <c r="K50" s="24">
        <v>0</v>
      </c>
      <c r="L50" s="32">
        <v>0</v>
      </c>
      <c r="M50" s="33">
        <v>0</v>
      </c>
      <c r="N50" s="27">
        <v>0</v>
      </c>
      <c r="O50" s="24">
        <v>0</v>
      </c>
      <c r="P50" s="24">
        <v>0</v>
      </c>
      <c r="Q50" s="28">
        <v>0</v>
      </c>
      <c r="R50" s="29">
        <v>0</v>
      </c>
      <c r="S50" s="29">
        <v>0</v>
      </c>
      <c r="T50" s="29">
        <v>0</v>
      </c>
      <c r="U50" s="30">
        <v>0</v>
      </c>
    </row>
    <row r="51" spans="2:21" x14ac:dyDescent="0.25">
      <c r="B51" s="31" t="s">
        <v>18</v>
      </c>
      <c r="C51" s="31">
        <v>98</v>
      </c>
      <c r="D51" s="22" t="s">
        <v>200</v>
      </c>
      <c r="E51" s="22" t="s">
        <v>201</v>
      </c>
      <c r="F51" s="22" t="s">
        <v>44</v>
      </c>
      <c r="G51" s="23">
        <v>0</v>
      </c>
      <c r="H51" s="24">
        <v>416</v>
      </c>
      <c r="I51" s="24">
        <v>0</v>
      </c>
      <c r="J51" s="24">
        <v>674</v>
      </c>
      <c r="K51" s="24">
        <v>0</v>
      </c>
      <c r="L51" s="32">
        <v>0</v>
      </c>
      <c r="M51" s="33">
        <v>0</v>
      </c>
      <c r="N51" s="27">
        <v>0</v>
      </c>
      <c r="O51" s="24">
        <v>674</v>
      </c>
      <c r="P51" s="24">
        <v>674</v>
      </c>
      <c r="Q51" s="28">
        <v>0</v>
      </c>
      <c r="R51" s="29">
        <v>0</v>
      </c>
      <c r="S51" s="29">
        <v>0</v>
      </c>
      <c r="T51" s="29">
        <v>0</v>
      </c>
      <c r="U51" s="30">
        <v>-258</v>
      </c>
    </row>
    <row r="52" spans="2:21" x14ac:dyDescent="0.25">
      <c r="B52" s="31" t="s">
        <v>18</v>
      </c>
      <c r="C52" s="31">
        <v>98</v>
      </c>
      <c r="D52" s="22" t="s">
        <v>202</v>
      </c>
      <c r="E52" s="22" t="s">
        <v>203</v>
      </c>
      <c r="F52" s="22" t="s">
        <v>44</v>
      </c>
      <c r="G52" s="23">
        <v>0</v>
      </c>
      <c r="H52" s="24">
        <v>220</v>
      </c>
      <c r="I52" s="24">
        <v>0</v>
      </c>
      <c r="J52" s="24">
        <v>220</v>
      </c>
      <c r="K52" s="24">
        <v>0</v>
      </c>
      <c r="L52" s="32">
        <v>0</v>
      </c>
      <c r="M52" s="33">
        <v>0</v>
      </c>
      <c r="N52" s="27">
        <v>0</v>
      </c>
      <c r="O52" s="24">
        <v>220</v>
      </c>
      <c r="P52" s="24">
        <v>220</v>
      </c>
      <c r="Q52" s="28">
        <v>0</v>
      </c>
      <c r="R52" s="29">
        <v>0</v>
      </c>
      <c r="S52" s="29">
        <v>0</v>
      </c>
      <c r="T52" s="29">
        <v>0</v>
      </c>
      <c r="U52" s="30">
        <v>0</v>
      </c>
    </row>
    <row r="53" spans="2:21" x14ac:dyDescent="0.25">
      <c r="B53" s="31" t="s">
        <v>18</v>
      </c>
      <c r="C53" s="31">
        <v>98</v>
      </c>
      <c r="D53" s="22" t="s">
        <v>204</v>
      </c>
      <c r="E53" s="22" t="s">
        <v>205</v>
      </c>
      <c r="F53" s="22" t="s">
        <v>44</v>
      </c>
      <c r="G53" s="23">
        <v>0</v>
      </c>
      <c r="H53" s="24">
        <v>13628</v>
      </c>
      <c r="I53" s="24">
        <v>0</v>
      </c>
      <c r="J53" s="24">
        <v>0</v>
      </c>
      <c r="K53" s="24">
        <v>0</v>
      </c>
      <c r="L53" s="32">
        <v>0</v>
      </c>
      <c r="M53" s="33">
        <v>0</v>
      </c>
      <c r="N53" s="27">
        <v>0</v>
      </c>
      <c r="O53" s="24">
        <v>0</v>
      </c>
      <c r="P53" s="24">
        <v>0</v>
      </c>
      <c r="Q53" s="28">
        <v>0</v>
      </c>
      <c r="R53" s="29">
        <v>0</v>
      </c>
      <c r="S53" s="29">
        <v>0</v>
      </c>
      <c r="T53" s="29">
        <v>0</v>
      </c>
      <c r="U53" s="30">
        <v>13628</v>
      </c>
    </row>
    <row r="54" spans="2:21" x14ac:dyDescent="0.25">
      <c r="B54" s="31" t="s">
        <v>18</v>
      </c>
      <c r="C54" s="31">
        <v>98</v>
      </c>
      <c r="D54" s="22" t="s">
        <v>556</v>
      </c>
      <c r="E54" s="22" t="s">
        <v>1311</v>
      </c>
      <c r="F54" s="22" t="s">
        <v>44</v>
      </c>
      <c r="G54" s="23">
        <v>0</v>
      </c>
      <c r="H54" s="24">
        <v>0</v>
      </c>
      <c r="I54" s="24">
        <v>0</v>
      </c>
      <c r="J54" s="24">
        <v>0</v>
      </c>
      <c r="K54" s="24">
        <v>0</v>
      </c>
      <c r="L54" s="32">
        <v>0</v>
      </c>
      <c r="M54" s="33">
        <v>0</v>
      </c>
      <c r="N54" s="27">
        <v>0</v>
      </c>
      <c r="O54" s="24">
        <v>0</v>
      </c>
      <c r="P54" s="24">
        <v>0</v>
      </c>
      <c r="Q54" s="28">
        <v>0</v>
      </c>
      <c r="R54" s="29">
        <v>0</v>
      </c>
      <c r="S54" s="29">
        <v>0</v>
      </c>
      <c r="T54" s="29">
        <v>0</v>
      </c>
      <c r="U54" s="30">
        <v>0</v>
      </c>
    </row>
    <row r="55" spans="2:21" x14ac:dyDescent="0.25">
      <c r="B55" s="31" t="s">
        <v>18</v>
      </c>
      <c r="C55" s="31">
        <v>98</v>
      </c>
      <c r="D55" s="22" t="s">
        <v>206</v>
      </c>
      <c r="E55" s="22" t="s">
        <v>207</v>
      </c>
      <c r="F55" s="22" t="s">
        <v>44</v>
      </c>
      <c r="G55" s="23">
        <v>0</v>
      </c>
      <c r="H55" s="24">
        <v>0</v>
      </c>
      <c r="I55" s="24">
        <v>0</v>
      </c>
      <c r="J55" s="24">
        <v>128</v>
      </c>
      <c r="K55" s="24">
        <v>0</v>
      </c>
      <c r="L55" s="32">
        <v>0</v>
      </c>
      <c r="M55" s="33">
        <v>0</v>
      </c>
      <c r="N55" s="27">
        <v>0</v>
      </c>
      <c r="O55" s="24">
        <v>128</v>
      </c>
      <c r="P55" s="24">
        <v>128</v>
      </c>
      <c r="Q55" s="28">
        <v>0</v>
      </c>
      <c r="R55" s="29">
        <v>0</v>
      </c>
      <c r="S55" s="29">
        <v>0</v>
      </c>
      <c r="T55" s="29">
        <v>0</v>
      </c>
      <c r="U55" s="30">
        <v>-128</v>
      </c>
    </row>
    <row r="56" spans="2:21" x14ac:dyDescent="0.25">
      <c r="B56" s="31" t="s">
        <v>18</v>
      </c>
      <c r="C56" s="22">
        <v>99</v>
      </c>
      <c r="D56" s="22" t="s">
        <v>126</v>
      </c>
      <c r="E56" s="22" t="s">
        <v>127</v>
      </c>
      <c r="F56" s="22" t="s">
        <v>44</v>
      </c>
      <c r="G56" s="23">
        <v>0</v>
      </c>
      <c r="H56" s="24">
        <v>0</v>
      </c>
      <c r="I56" s="24">
        <v>0</v>
      </c>
      <c r="J56" s="24">
        <v>0</v>
      </c>
      <c r="K56" s="24">
        <v>0</v>
      </c>
      <c r="L56" s="32">
        <v>0</v>
      </c>
      <c r="M56" s="33">
        <v>0</v>
      </c>
      <c r="N56" s="27">
        <v>0</v>
      </c>
      <c r="O56" s="24">
        <v>0</v>
      </c>
      <c r="P56" s="24">
        <v>0</v>
      </c>
      <c r="Q56" s="28">
        <v>0</v>
      </c>
      <c r="R56" s="29">
        <v>0</v>
      </c>
      <c r="S56" s="29">
        <v>0</v>
      </c>
      <c r="T56" s="29">
        <v>0</v>
      </c>
      <c r="U56" s="30">
        <v>0</v>
      </c>
    </row>
    <row r="57" spans="2:21" x14ac:dyDescent="0.25">
      <c r="B57" s="31" t="s">
        <v>18</v>
      </c>
      <c r="C57" s="31">
        <v>99</v>
      </c>
      <c r="D57" s="22" t="s">
        <v>208</v>
      </c>
      <c r="E57" s="22" t="s">
        <v>209</v>
      </c>
      <c r="F57" s="22" t="s">
        <v>44</v>
      </c>
      <c r="G57" s="23">
        <v>0</v>
      </c>
      <c r="H57" s="24">
        <v>102</v>
      </c>
      <c r="I57" s="24">
        <v>0</v>
      </c>
      <c r="J57" s="24">
        <v>102</v>
      </c>
      <c r="K57" s="24">
        <v>0</v>
      </c>
      <c r="L57" s="32">
        <v>0</v>
      </c>
      <c r="M57" s="33">
        <v>0</v>
      </c>
      <c r="N57" s="27">
        <v>0</v>
      </c>
      <c r="O57" s="24">
        <v>102</v>
      </c>
      <c r="P57" s="24">
        <v>102</v>
      </c>
      <c r="Q57" s="28">
        <v>0</v>
      </c>
      <c r="R57" s="29">
        <v>0</v>
      </c>
      <c r="S57" s="29">
        <v>0</v>
      </c>
      <c r="T57" s="29">
        <v>0</v>
      </c>
      <c r="U57" s="30">
        <v>0</v>
      </c>
    </row>
    <row r="58" spans="2:21" x14ac:dyDescent="0.25">
      <c r="B58" s="22" t="s">
        <v>19</v>
      </c>
      <c r="C58" s="22">
        <v>26</v>
      </c>
      <c r="D58" s="22" t="s">
        <v>40</v>
      </c>
      <c r="E58" s="22" t="s">
        <v>1260</v>
      </c>
      <c r="F58" s="22" t="s">
        <v>44</v>
      </c>
      <c r="G58" s="23">
        <v>204</v>
      </c>
      <c r="H58" s="24">
        <v>0</v>
      </c>
      <c r="I58" s="24">
        <v>0</v>
      </c>
      <c r="J58" s="24">
        <v>0</v>
      </c>
      <c r="K58" s="24">
        <v>0</v>
      </c>
      <c r="L58" s="32">
        <v>0</v>
      </c>
      <c r="M58" s="33">
        <v>0</v>
      </c>
      <c r="N58" s="27">
        <v>0</v>
      </c>
      <c r="O58" s="24">
        <v>0</v>
      </c>
      <c r="P58" s="24">
        <v>0</v>
      </c>
      <c r="Q58" s="28">
        <v>0</v>
      </c>
      <c r="R58" s="29">
        <v>0</v>
      </c>
      <c r="S58" s="29">
        <v>0</v>
      </c>
      <c r="T58" s="29">
        <v>0</v>
      </c>
      <c r="U58" s="30">
        <v>0</v>
      </c>
    </row>
    <row r="59" spans="2:21" x14ac:dyDescent="0.25">
      <c r="B59" s="31" t="s">
        <v>19</v>
      </c>
      <c r="C59" s="22">
        <v>45</v>
      </c>
      <c r="D59" s="22" t="s">
        <v>1261</v>
      </c>
      <c r="E59" s="22" t="s">
        <v>1262</v>
      </c>
      <c r="F59" s="22" t="s">
        <v>44</v>
      </c>
      <c r="G59" s="23">
        <v>30</v>
      </c>
      <c r="H59" s="24">
        <v>0</v>
      </c>
      <c r="I59" s="24">
        <v>0</v>
      </c>
      <c r="J59" s="24">
        <v>0</v>
      </c>
      <c r="K59" s="24">
        <v>0</v>
      </c>
      <c r="L59" s="32">
        <v>0</v>
      </c>
      <c r="M59" s="33">
        <v>0</v>
      </c>
      <c r="N59" s="27">
        <v>0</v>
      </c>
      <c r="O59" s="24">
        <v>0</v>
      </c>
      <c r="P59" s="24">
        <v>0</v>
      </c>
      <c r="Q59" s="28">
        <v>0</v>
      </c>
      <c r="R59" s="29">
        <v>0</v>
      </c>
      <c r="S59" s="29">
        <v>0</v>
      </c>
      <c r="T59" s="29">
        <v>0</v>
      </c>
      <c r="U59" s="30">
        <v>0</v>
      </c>
    </row>
    <row r="60" spans="2:21" x14ac:dyDescent="0.25">
      <c r="B60" s="31" t="s">
        <v>19</v>
      </c>
      <c r="C60" s="22">
        <v>50</v>
      </c>
      <c r="D60" s="22" t="s">
        <v>369</v>
      </c>
      <c r="E60" s="22" t="s">
        <v>1263</v>
      </c>
      <c r="F60" s="22" t="s">
        <v>44</v>
      </c>
      <c r="G60" s="23">
        <v>6123</v>
      </c>
      <c r="H60" s="24">
        <v>0</v>
      </c>
      <c r="I60" s="24">
        <v>0</v>
      </c>
      <c r="J60" s="24">
        <v>0</v>
      </c>
      <c r="K60" s="24">
        <v>0</v>
      </c>
      <c r="L60" s="32">
        <v>0</v>
      </c>
      <c r="M60" s="33">
        <v>0</v>
      </c>
      <c r="N60" s="27">
        <v>0</v>
      </c>
      <c r="O60" s="24">
        <v>0</v>
      </c>
      <c r="P60" s="24">
        <v>0</v>
      </c>
      <c r="Q60" s="28">
        <v>0</v>
      </c>
      <c r="R60" s="29">
        <v>0</v>
      </c>
      <c r="S60" s="29">
        <v>0</v>
      </c>
      <c r="T60" s="29">
        <v>0</v>
      </c>
      <c r="U60" s="30">
        <v>0</v>
      </c>
    </row>
    <row r="61" spans="2:21" x14ac:dyDescent="0.25">
      <c r="B61" s="31" t="s">
        <v>19</v>
      </c>
      <c r="C61" s="31">
        <v>50</v>
      </c>
      <c r="D61" s="22" t="s">
        <v>262</v>
      </c>
      <c r="E61" s="22" t="s">
        <v>1264</v>
      </c>
      <c r="F61" s="22" t="s">
        <v>44</v>
      </c>
      <c r="G61" s="23">
        <v>10158</v>
      </c>
      <c r="H61" s="24">
        <v>0</v>
      </c>
      <c r="I61" s="24">
        <v>0</v>
      </c>
      <c r="J61" s="24">
        <v>0</v>
      </c>
      <c r="K61" s="24">
        <v>0</v>
      </c>
      <c r="L61" s="32">
        <v>0</v>
      </c>
      <c r="M61" s="33">
        <v>0</v>
      </c>
      <c r="N61" s="27">
        <v>0</v>
      </c>
      <c r="O61" s="24">
        <v>0</v>
      </c>
      <c r="P61" s="24">
        <v>0</v>
      </c>
      <c r="Q61" s="28">
        <v>0</v>
      </c>
      <c r="R61" s="29">
        <v>0</v>
      </c>
      <c r="S61" s="29">
        <v>0</v>
      </c>
      <c r="T61" s="29">
        <v>0</v>
      </c>
      <c r="U61" s="30">
        <v>0</v>
      </c>
    </row>
    <row r="62" spans="2:21" x14ac:dyDescent="0.25">
      <c r="B62" s="31" t="s">
        <v>19</v>
      </c>
      <c r="C62" s="22">
        <v>51</v>
      </c>
      <c r="D62" s="22" t="s">
        <v>1265</v>
      </c>
      <c r="E62" s="22" t="s">
        <v>1266</v>
      </c>
      <c r="F62" s="22" t="s">
        <v>44</v>
      </c>
      <c r="G62" s="23">
        <v>4749.22</v>
      </c>
      <c r="H62" s="24">
        <v>0</v>
      </c>
      <c r="I62" s="24">
        <v>0</v>
      </c>
      <c r="J62" s="24">
        <v>0</v>
      </c>
      <c r="K62" s="24">
        <v>0</v>
      </c>
      <c r="L62" s="32">
        <v>0</v>
      </c>
      <c r="M62" s="33">
        <v>0</v>
      </c>
      <c r="N62" s="27">
        <v>0</v>
      </c>
      <c r="O62" s="24">
        <v>0</v>
      </c>
      <c r="P62" s="24">
        <v>0</v>
      </c>
      <c r="Q62" s="28">
        <v>0</v>
      </c>
      <c r="R62" s="29">
        <v>0</v>
      </c>
      <c r="S62" s="29">
        <v>0</v>
      </c>
      <c r="T62" s="29">
        <v>0</v>
      </c>
      <c r="U62" s="30">
        <v>0</v>
      </c>
    </row>
    <row r="63" spans="2:21" x14ac:dyDescent="0.25">
      <c r="B63" s="31" t="s">
        <v>19</v>
      </c>
      <c r="C63" s="22">
        <v>52</v>
      </c>
      <c r="D63" s="22" t="s">
        <v>1267</v>
      </c>
      <c r="E63" s="22" t="s">
        <v>1268</v>
      </c>
      <c r="F63" s="22" t="s">
        <v>44</v>
      </c>
      <c r="G63" s="23">
        <v>1085</v>
      </c>
      <c r="H63" s="24">
        <v>0</v>
      </c>
      <c r="I63" s="24">
        <v>0</v>
      </c>
      <c r="J63" s="24">
        <v>0</v>
      </c>
      <c r="K63" s="24">
        <v>0</v>
      </c>
      <c r="L63" s="32">
        <v>0</v>
      </c>
      <c r="M63" s="33">
        <v>0</v>
      </c>
      <c r="N63" s="27">
        <v>0</v>
      </c>
      <c r="O63" s="24">
        <v>0</v>
      </c>
      <c r="P63" s="24">
        <v>0</v>
      </c>
      <c r="Q63" s="28">
        <v>0</v>
      </c>
      <c r="R63" s="29">
        <v>0</v>
      </c>
      <c r="S63" s="29">
        <v>0</v>
      </c>
      <c r="T63" s="29">
        <v>0</v>
      </c>
      <c r="U63" s="30">
        <v>0</v>
      </c>
    </row>
    <row r="64" spans="2:21" x14ac:dyDescent="0.25">
      <c r="B64" s="31" t="s">
        <v>19</v>
      </c>
      <c r="C64" s="31">
        <v>52</v>
      </c>
      <c r="D64" s="22" t="s">
        <v>1269</v>
      </c>
      <c r="E64" s="22" t="s">
        <v>1270</v>
      </c>
      <c r="F64" s="22" t="s">
        <v>44</v>
      </c>
      <c r="G64" s="23">
        <v>360</v>
      </c>
      <c r="H64" s="24">
        <v>0</v>
      </c>
      <c r="I64" s="24">
        <v>0</v>
      </c>
      <c r="J64" s="24">
        <v>0</v>
      </c>
      <c r="K64" s="24">
        <v>0</v>
      </c>
      <c r="L64" s="32">
        <v>0</v>
      </c>
      <c r="M64" s="33">
        <v>0</v>
      </c>
      <c r="N64" s="27">
        <v>0</v>
      </c>
      <c r="O64" s="24">
        <v>0</v>
      </c>
      <c r="P64" s="24">
        <v>0</v>
      </c>
      <c r="Q64" s="28">
        <v>0</v>
      </c>
      <c r="R64" s="29">
        <v>0</v>
      </c>
      <c r="S64" s="29">
        <v>0</v>
      </c>
      <c r="T64" s="29">
        <v>0</v>
      </c>
      <c r="U64" s="30">
        <v>0</v>
      </c>
    </row>
    <row r="65" spans="2:21" x14ac:dyDescent="0.25">
      <c r="B65" s="31" t="s">
        <v>19</v>
      </c>
      <c r="C65" s="31">
        <v>52</v>
      </c>
      <c r="D65" s="22" t="s">
        <v>1271</v>
      </c>
      <c r="E65" s="22" t="s">
        <v>1272</v>
      </c>
      <c r="F65" s="22" t="s">
        <v>44</v>
      </c>
      <c r="G65" s="23">
        <v>40</v>
      </c>
      <c r="H65" s="24">
        <v>0</v>
      </c>
      <c r="I65" s="24">
        <v>0</v>
      </c>
      <c r="J65" s="24">
        <v>0</v>
      </c>
      <c r="K65" s="24">
        <v>0</v>
      </c>
      <c r="L65" s="32">
        <v>0</v>
      </c>
      <c r="M65" s="33">
        <v>0</v>
      </c>
      <c r="N65" s="27">
        <v>0</v>
      </c>
      <c r="O65" s="24">
        <v>0</v>
      </c>
      <c r="P65" s="24">
        <v>0</v>
      </c>
      <c r="Q65" s="28">
        <v>0</v>
      </c>
      <c r="R65" s="29">
        <v>0</v>
      </c>
      <c r="S65" s="29">
        <v>0</v>
      </c>
      <c r="T65" s="29">
        <v>0</v>
      </c>
      <c r="U65" s="30">
        <v>0</v>
      </c>
    </row>
    <row r="66" spans="2:21" x14ac:dyDescent="0.25">
      <c r="B66" s="31" t="s">
        <v>19</v>
      </c>
      <c r="C66" s="31">
        <v>52</v>
      </c>
      <c r="D66" s="22" t="s">
        <v>1273</v>
      </c>
      <c r="E66" s="22" t="s">
        <v>1274</v>
      </c>
      <c r="F66" s="22" t="s">
        <v>44</v>
      </c>
      <c r="G66" s="23">
        <v>200</v>
      </c>
      <c r="H66" s="24">
        <v>0</v>
      </c>
      <c r="I66" s="24">
        <v>0</v>
      </c>
      <c r="J66" s="24">
        <v>0</v>
      </c>
      <c r="K66" s="24">
        <v>0</v>
      </c>
      <c r="L66" s="32">
        <v>0</v>
      </c>
      <c r="M66" s="33">
        <v>0</v>
      </c>
      <c r="N66" s="27">
        <v>0</v>
      </c>
      <c r="O66" s="24">
        <v>0</v>
      </c>
      <c r="P66" s="24">
        <v>0</v>
      </c>
      <c r="Q66" s="28">
        <v>0</v>
      </c>
      <c r="R66" s="29">
        <v>0</v>
      </c>
      <c r="S66" s="29">
        <v>0</v>
      </c>
      <c r="T66" s="29">
        <v>0</v>
      </c>
      <c r="U66" s="30">
        <v>0</v>
      </c>
    </row>
    <row r="67" spans="2:21" x14ac:dyDescent="0.25">
      <c r="B67" s="31" t="s">
        <v>19</v>
      </c>
      <c r="C67" s="22">
        <v>59</v>
      </c>
      <c r="D67" s="22" t="s">
        <v>1275</v>
      </c>
      <c r="E67" s="22" t="s">
        <v>1276</v>
      </c>
      <c r="F67" s="22" t="s">
        <v>44</v>
      </c>
      <c r="G67" s="23">
        <v>1085.4000000000001</v>
      </c>
      <c r="H67" s="24">
        <v>0</v>
      </c>
      <c r="I67" s="24">
        <v>0</v>
      </c>
      <c r="J67" s="24">
        <v>0</v>
      </c>
      <c r="K67" s="24">
        <v>0</v>
      </c>
      <c r="L67" s="32">
        <v>0</v>
      </c>
      <c r="M67" s="33">
        <v>0</v>
      </c>
      <c r="N67" s="27">
        <v>0</v>
      </c>
      <c r="O67" s="24">
        <v>0</v>
      </c>
      <c r="P67" s="24">
        <v>0</v>
      </c>
      <c r="Q67" s="28">
        <v>0</v>
      </c>
      <c r="R67" s="29">
        <v>0</v>
      </c>
      <c r="S67" s="29">
        <v>0</v>
      </c>
      <c r="T67" s="29">
        <v>0</v>
      </c>
      <c r="U67" s="30">
        <v>0</v>
      </c>
    </row>
    <row r="68" spans="2:21" x14ac:dyDescent="0.25">
      <c r="B68" s="31" t="s">
        <v>19</v>
      </c>
      <c r="C68" s="31">
        <v>59</v>
      </c>
      <c r="D68" s="22" t="s">
        <v>1277</v>
      </c>
      <c r="E68" s="22" t="s">
        <v>1278</v>
      </c>
      <c r="F68" s="22" t="s">
        <v>44</v>
      </c>
      <c r="G68" s="23">
        <v>652</v>
      </c>
      <c r="H68" s="24">
        <v>0</v>
      </c>
      <c r="I68" s="24">
        <v>0</v>
      </c>
      <c r="J68" s="24">
        <v>0</v>
      </c>
      <c r="K68" s="24">
        <v>0</v>
      </c>
      <c r="L68" s="32">
        <v>0</v>
      </c>
      <c r="M68" s="33">
        <v>0</v>
      </c>
      <c r="N68" s="27">
        <v>0</v>
      </c>
      <c r="O68" s="24">
        <v>0</v>
      </c>
      <c r="P68" s="24">
        <v>0</v>
      </c>
      <c r="Q68" s="28">
        <v>0</v>
      </c>
      <c r="R68" s="29">
        <v>0</v>
      </c>
      <c r="S68" s="29">
        <v>0</v>
      </c>
      <c r="T68" s="29">
        <v>0</v>
      </c>
      <c r="U68" s="30">
        <v>0</v>
      </c>
    </row>
    <row r="69" spans="2:21" x14ac:dyDescent="0.25">
      <c r="B69" s="31" t="s">
        <v>19</v>
      </c>
      <c r="C69" s="22">
        <v>75</v>
      </c>
      <c r="D69" s="22" t="s">
        <v>231</v>
      </c>
      <c r="E69" s="22" t="s">
        <v>232</v>
      </c>
      <c r="F69" s="22" t="s">
        <v>44</v>
      </c>
      <c r="G69" s="23">
        <v>600</v>
      </c>
      <c r="H69" s="24">
        <v>0</v>
      </c>
      <c r="I69" s="24">
        <v>0</v>
      </c>
      <c r="J69" s="24">
        <v>0</v>
      </c>
      <c r="K69" s="24">
        <v>0</v>
      </c>
      <c r="L69" s="32">
        <v>0</v>
      </c>
      <c r="M69" s="33">
        <v>0</v>
      </c>
      <c r="N69" s="27">
        <v>0</v>
      </c>
      <c r="O69" s="24">
        <v>0</v>
      </c>
      <c r="P69" s="24">
        <v>0</v>
      </c>
      <c r="Q69" s="28">
        <v>0</v>
      </c>
      <c r="R69" s="29">
        <v>0</v>
      </c>
      <c r="S69" s="29">
        <v>0</v>
      </c>
      <c r="T69" s="29">
        <v>0</v>
      </c>
      <c r="U69" s="30">
        <v>0</v>
      </c>
    </row>
    <row r="70" spans="2:21" x14ac:dyDescent="0.25">
      <c r="B70" s="31" t="s">
        <v>19</v>
      </c>
      <c r="C70" s="22">
        <v>90</v>
      </c>
      <c r="D70" s="22" t="s">
        <v>86</v>
      </c>
      <c r="E70" s="22" t="s">
        <v>233</v>
      </c>
      <c r="F70" s="22" t="s">
        <v>44</v>
      </c>
      <c r="G70" s="23">
        <v>0</v>
      </c>
      <c r="H70" s="24">
        <v>0</v>
      </c>
      <c r="I70" s="24">
        <v>0</v>
      </c>
      <c r="J70" s="24">
        <v>0</v>
      </c>
      <c r="K70" s="24">
        <v>0</v>
      </c>
      <c r="L70" s="32">
        <v>0</v>
      </c>
      <c r="M70" s="33">
        <v>0</v>
      </c>
      <c r="N70" s="27">
        <v>0</v>
      </c>
      <c r="O70" s="24">
        <v>0</v>
      </c>
      <c r="P70" s="24">
        <v>0</v>
      </c>
      <c r="Q70" s="28">
        <v>0</v>
      </c>
      <c r="R70" s="29">
        <v>0</v>
      </c>
      <c r="S70" s="29">
        <v>0</v>
      </c>
      <c r="T70" s="29">
        <v>0</v>
      </c>
      <c r="U70" s="30">
        <v>0</v>
      </c>
    </row>
    <row r="71" spans="2:21" x14ac:dyDescent="0.25">
      <c r="B71" s="31" t="s">
        <v>19</v>
      </c>
      <c r="C71" s="31">
        <v>90</v>
      </c>
      <c r="D71" s="22" t="s">
        <v>88</v>
      </c>
      <c r="E71" s="22" t="s">
        <v>234</v>
      </c>
      <c r="F71" s="22" t="s">
        <v>44</v>
      </c>
      <c r="G71" s="23">
        <v>0</v>
      </c>
      <c r="H71" s="24">
        <v>0</v>
      </c>
      <c r="I71" s="24">
        <v>0</v>
      </c>
      <c r="J71" s="24">
        <v>0</v>
      </c>
      <c r="K71" s="24">
        <v>0</v>
      </c>
      <c r="L71" s="32">
        <v>0</v>
      </c>
      <c r="M71" s="33">
        <v>0</v>
      </c>
      <c r="N71" s="27">
        <v>0</v>
      </c>
      <c r="O71" s="24">
        <v>0</v>
      </c>
      <c r="P71" s="24">
        <v>0</v>
      </c>
      <c r="Q71" s="28">
        <v>0</v>
      </c>
      <c r="R71" s="29">
        <v>0</v>
      </c>
      <c r="S71" s="29">
        <v>0</v>
      </c>
      <c r="T71" s="29">
        <v>0</v>
      </c>
      <c r="U71" s="30">
        <v>0</v>
      </c>
    </row>
    <row r="72" spans="2:21" x14ac:dyDescent="0.25">
      <c r="B72" s="31" t="s">
        <v>19</v>
      </c>
      <c r="C72" s="31">
        <v>90</v>
      </c>
      <c r="D72" s="22" t="s">
        <v>90</v>
      </c>
      <c r="E72" s="22" t="s">
        <v>235</v>
      </c>
      <c r="F72" s="22" t="s">
        <v>44</v>
      </c>
      <c r="G72" s="23">
        <v>0</v>
      </c>
      <c r="H72" s="24">
        <v>22</v>
      </c>
      <c r="I72" s="24">
        <v>0</v>
      </c>
      <c r="J72" s="24">
        <v>22</v>
      </c>
      <c r="K72" s="24">
        <v>0</v>
      </c>
      <c r="L72" s="32">
        <v>0</v>
      </c>
      <c r="M72" s="33">
        <v>0</v>
      </c>
      <c r="N72" s="27">
        <v>0</v>
      </c>
      <c r="O72" s="24">
        <v>22</v>
      </c>
      <c r="P72" s="24">
        <v>22</v>
      </c>
      <c r="Q72" s="28">
        <v>0</v>
      </c>
      <c r="R72" s="29">
        <v>0</v>
      </c>
      <c r="S72" s="29">
        <v>0</v>
      </c>
      <c r="T72" s="29">
        <v>0</v>
      </c>
      <c r="U72" s="30">
        <v>0</v>
      </c>
    </row>
    <row r="73" spans="2:21" x14ac:dyDescent="0.25">
      <c r="B73" s="31" t="s">
        <v>19</v>
      </c>
      <c r="C73" s="31">
        <v>90</v>
      </c>
      <c r="D73" s="22" t="s">
        <v>92</v>
      </c>
      <c r="E73" s="22" t="s">
        <v>93</v>
      </c>
      <c r="F73" s="22" t="s">
        <v>44</v>
      </c>
      <c r="G73" s="23">
        <v>0</v>
      </c>
      <c r="H73" s="24">
        <v>0</v>
      </c>
      <c r="I73" s="24">
        <v>0</v>
      </c>
      <c r="J73" s="24">
        <v>0</v>
      </c>
      <c r="K73" s="24">
        <v>0</v>
      </c>
      <c r="L73" s="32">
        <v>0</v>
      </c>
      <c r="M73" s="33">
        <v>0</v>
      </c>
      <c r="N73" s="27">
        <v>0</v>
      </c>
      <c r="O73" s="24">
        <v>0</v>
      </c>
      <c r="P73" s="24">
        <v>0</v>
      </c>
      <c r="Q73" s="28">
        <v>0</v>
      </c>
      <c r="R73" s="29">
        <v>0</v>
      </c>
      <c r="S73" s="29">
        <v>0</v>
      </c>
      <c r="T73" s="29">
        <v>0</v>
      </c>
      <c r="U73" s="30">
        <v>0</v>
      </c>
    </row>
    <row r="74" spans="2:21" x14ac:dyDescent="0.25">
      <c r="B74" s="31" t="s">
        <v>19</v>
      </c>
      <c r="C74" s="31">
        <v>90</v>
      </c>
      <c r="D74" s="22" t="s">
        <v>94</v>
      </c>
      <c r="E74" s="22" t="s">
        <v>95</v>
      </c>
      <c r="F74" s="22" t="s">
        <v>44</v>
      </c>
      <c r="G74" s="23">
        <v>0</v>
      </c>
      <c r="H74" s="24">
        <v>0</v>
      </c>
      <c r="I74" s="24">
        <v>0</v>
      </c>
      <c r="J74" s="24">
        <v>0</v>
      </c>
      <c r="K74" s="24">
        <v>0</v>
      </c>
      <c r="L74" s="32">
        <v>0</v>
      </c>
      <c r="M74" s="33">
        <v>0</v>
      </c>
      <c r="N74" s="27">
        <v>0</v>
      </c>
      <c r="O74" s="24">
        <v>0</v>
      </c>
      <c r="P74" s="24">
        <v>0</v>
      </c>
      <c r="Q74" s="28">
        <v>0</v>
      </c>
      <c r="R74" s="29">
        <v>0</v>
      </c>
      <c r="S74" s="29">
        <v>0</v>
      </c>
      <c r="T74" s="29">
        <v>0</v>
      </c>
      <c r="U74" s="30">
        <v>0</v>
      </c>
    </row>
    <row r="75" spans="2:21" x14ac:dyDescent="0.25">
      <c r="B75" s="31" t="s">
        <v>19</v>
      </c>
      <c r="C75" s="22">
        <v>91</v>
      </c>
      <c r="D75" s="22" t="s">
        <v>96</v>
      </c>
      <c r="E75" s="22" t="s">
        <v>97</v>
      </c>
      <c r="F75" s="22" t="s">
        <v>44</v>
      </c>
      <c r="G75" s="23">
        <v>0</v>
      </c>
      <c r="H75" s="24">
        <v>0</v>
      </c>
      <c r="I75" s="24">
        <v>0</v>
      </c>
      <c r="J75" s="24">
        <v>0</v>
      </c>
      <c r="K75" s="24">
        <v>0</v>
      </c>
      <c r="L75" s="32">
        <v>0</v>
      </c>
      <c r="M75" s="33">
        <v>0</v>
      </c>
      <c r="N75" s="27">
        <v>0</v>
      </c>
      <c r="O75" s="24">
        <v>0</v>
      </c>
      <c r="P75" s="24">
        <v>0</v>
      </c>
      <c r="Q75" s="28">
        <v>0</v>
      </c>
      <c r="R75" s="29">
        <v>0</v>
      </c>
      <c r="S75" s="29">
        <v>0</v>
      </c>
      <c r="T75" s="29">
        <v>0</v>
      </c>
      <c r="U75" s="30">
        <v>0</v>
      </c>
    </row>
    <row r="76" spans="2:21" x14ac:dyDescent="0.25">
      <c r="B76" s="31" t="s">
        <v>19</v>
      </c>
      <c r="C76" s="31">
        <v>91</v>
      </c>
      <c r="D76" s="22" t="s">
        <v>98</v>
      </c>
      <c r="E76" s="22" t="s">
        <v>99</v>
      </c>
      <c r="F76" s="22" t="s">
        <v>44</v>
      </c>
      <c r="G76" s="23">
        <v>0</v>
      </c>
      <c r="H76" s="24">
        <v>0</v>
      </c>
      <c r="I76" s="24">
        <v>0</v>
      </c>
      <c r="J76" s="24">
        <v>0</v>
      </c>
      <c r="K76" s="24">
        <v>0</v>
      </c>
      <c r="L76" s="32">
        <v>0</v>
      </c>
      <c r="M76" s="33">
        <v>0</v>
      </c>
      <c r="N76" s="27">
        <v>0</v>
      </c>
      <c r="O76" s="24">
        <v>0</v>
      </c>
      <c r="P76" s="24">
        <v>0</v>
      </c>
      <c r="Q76" s="28">
        <v>0</v>
      </c>
      <c r="R76" s="29">
        <v>0</v>
      </c>
      <c r="S76" s="29">
        <v>0</v>
      </c>
      <c r="T76" s="29">
        <v>0</v>
      </c>
      <c r="U76" s="30">
        <v>0</v>
      </c>
    </row>
    <row r="77" spans="2:21" x14ac:dyDescent="0.25">
      <c r="B77" s="31" t="s">
        <v>19</v>
      </c>
      <c r="C77" s="31">
        <v>91</v>
      </c>
      <c r="D77" s="22" t="s">
        <v>100</v>
      </c>
      <c r="E77" s="22" t="s">
        <v>101</v>
      </c>
      <c r="F77" s="22" t="s">
        <v>44</v>
      </c>
      <c r="G77" s="23">
        <v>0</v>
      </c>
      <c r="H77" s="24">
        <v>0</v>
      </c>
      <c r="I77" s="24">
        <v>0</v>
      </c>
      <c r="J77" s="24">
        <v>0</v>
      </c>
      <c r="K77" s="24">
        <v>0</v>
      </c>
      <c r="L77" s="32">
        <v>0</v>
      </c>
      <c r="M77" s="33">
        <v>0</v>
      </c>
      <c r="N77" s="27">
        <v>0</v>
      </c>
      <c r="O77" s="24">
        <v>0</v>
      </c>
      <c r="P77" s="24">
        <v>0</v>
      </c>
      <c r="Q77" s="28">
        <v>0</v>
      </c>
      <c r="R77" s="29">
        <v>0</v>
      </c>
      <c r="S77" s="29">
        <v>0</v>
      </c>
      <c r="T77" s="29">
        <v>0</v>
      </c>
      <c r="U77" s="30">
        <v>0</v>
      </c>
    </row>
    <row r="78" spans="2:21" x14ac:dyDescent="0.25">
      <c r="B78" s="31" t="s">
        <v>19</v>
      </c>
      <c r="C78" s="31">
        <v>91</v>
      </c>
      <c r="D78" s="22" t="s">
        <v>102</v>
      </c>
      <c r="E78" s="22" t="s">
        <v>103</v>
      </c>
      <c r="F78" s="22" t="s">
        <v>44</v>
      </c>
      <c r="G78" s="23">
        <v>0</v>
      </c>
      <c r="H78" s="24">
        <v>0</v>
      </c>
      <c r="I78" s="24">
        <v>0</v>
      </c>
      <c r="J78" s="24">
        <v>0</v>
      </c>
      <c r="K78" s="24">
        <v>0</v>
      </c>
      <c r="L78" s="32">
        <v>0</v>
      </c>
      <c r="M78" s="33">
        <v>0</v>
      </c>
      <c r="N78" s="27">
        <v>0</v>
      </c>
      <c r="O78" s="24">
        <v>0</v>
      </c>
      <c r="P78" s="24">
        <v>0</v>
      </c>
      <c r="Q78" s="28">
        <v>0</v>
      </c>
      <c r="R78" s="29">
        <v>0</v>
      </c>
      <c r="S78" s="29">
        <v>0</v>
      </c>
      <c r="T78" s="29">
        <v>0</v>
      </c>
      <c r="U78" s="30">
        <v>0</v>
      </c>
    </row>
    <row r="79" spans="2:21" x14ac:dyDescent="0.25">
      <c r="B79" s="31" t="s">
        <v>19</v>
      </c>
      <c r="C79" s="31">
        <v>91</v>
      </c>
      <c r="D79" s="22" t="s">
        <v>106</v>
      </c>
      <c r="E79" s="22" t="s">
        <v>107</v>
      </c>
      <c r="F79" s="22" t="s">
        <v>44</v>
      </c>
      <c r="G79" s="23">
        <v>0</v>
      </c>
      <c r="H79" s="24">
        <v>0</v>
      </c>
      <c r="I79" s="24">
        <v>0</v>
      </c>
      <c r="J79" s="24">
        <v>0</v>
      </c>
      <c r="K79" s="24">
        <v>0</v>
      </c>
      <c r="L79" s="32">
        <v>0</v>
      </c>
      <c r="M79" s="33">
        <v>0</v>
      </c>
      <c r="N79" s="27">
        <v>0</v>
      </c>
      <c r="O79" s="24">
        <v>0</v>
      </c>
      <c r="P79" s="24">
        <v>0</v>
      </c>
      <c r="Q79" s="28">
        <v>0</v>
      </c>
      <c r="R79" s="29">
        <v>0</v>
      </c>
      <c r="S79" s="29">
        <v>0</v>
      </c>
      <c r="T79" s="29">
        <v>0</v>
      </c>
      <c r="U79" s="30">
        <v>0</v>
      </c>
    </row>
    <row r="80" spans="2:21" x14ac:dyDescent="0.25">
      <c r="B80" s="31" t="s">
        <v>19</v>
      </c>
      <c r="C80" s="31">
        <v>91</v>
      </c>
      <c r="D80" s="22" t="s">
        <v>108</v>
      </c>
      <c r="E80" s="22" t="s">
        <v>184</v>
      </c>
      <c r="F80" s="22" t="s">
        <v>44</v>
      </c>
      <c r="G80" s="23">
        <v>0</v>
      </c>
      <c r="H80" s="24">
        <v>0</v>
      </c>
      <c r="I80" s="24">
        <v>0</v>
      </c>
      <c r="J80" s="24">
        <v>0</v>
      </c>
      <c r="K80" s="24">
        <v>0</v>
      </c>
      <c r="L80" s="32">
        <v>0</v>
      </c>
      <c r="M80" s="33">
        <v>0</v>
      </c>
      <c r="N80" s="27">
        <v>0</v>
      </c>
      <c r="O80" s="24">
        <v>0</v>
      </c>
      <c r="P80" s="24">
        <v>0</v>
      </c>
      <c r="Q80" s="28">
        <v>0</v>
      </c>
      <c r="R80" s="29">
        <v>0</v>
      </c>
      <c r="S80" s="29">
        <v>0</v>
      </c>
      <c r="T80" s="29">
        <v>0</v>
      </c>
      <c r="U80" s="30">
        <v>0</v>
      </c>
    </row>
    <row r="81" spans="2:21" x14ac:dyDescent="0.25">
      <c r="B81" s="31" t="s">
        <v>19</v>
      </c>
      <c r="C81" s="31">
        <v>91</v>
      </c>
      <c r="D81" s="22" t="s">
        <v>110</v>
      </c>
      <c r="E81" s="22" t="s">
        <v>111</v>
      </c>
      <c r="F81" s="22" t="s">
        <v>44</v>
      </c>
      <c r="G81" s="23">
        <v>0</v>
      </c>
      <c r="H81" s="24">
        <v>0</v>
      </c>
      <c r="I81" s="24">
        <v>0</v>
      </c>
      <c r="J81" s="24">
        <v>0</v>
      </c>
      <c r="K81" s="24">
        <v>0</v>
      </c>
      <c r="L81" s="32">
        <v>0</v>
      </c>
      <c r="M81" s="33">
        <v>0</v>
      </c>
      <c r="N81" s="27">
        <v>0</v>
      </c>
      <c r="O81" s="24">
        <v>0</v>
      </c>
      <c r="P81" s="24">
        <v>0</v>
      </c>
      <c r="Q81" s="28">
        <v>0</v>
      </c>
      <c r="R81" s="29">
        <v>0</v>
      </c>
      <c r="S81" s="29">
        <v>0</v>
      </c>
      <c r="T81" s="29">
        <v>0</v>
      </c>
      <c r="U81" s="30">
        <v>0</v>
      </c>
    </row>
    <row r="82" spans="2:21" x14ac:dyDescent="0.25">
      <c r="B82" s="31" t="s">
        <v>19</v>
      </c>
      <c r="C82" s="22">
        <v>92</v>
      </c>
      <c r="D82" s="22" t="s">
        <v>112</v>
      </c>
      <c r="E82" s="22" t="s">
        <v>191</v>
      </c>
      <c r="F82" s="22" t="s">
        <v>44</v>
      </c>
      <c r="G82" s="23">
        <v>0</v>
      </c>
      <c r="H82" s="24">
        <v>0</v>
      </c>
      <c r="I82" s="24">
        <v>0</v>
      </c>
      <c r="J82" s="24">
        <v>0</v>
      </c>
      <c r="K82" s="24">
        <v>0</v>
      </c>
      <c r="L82" s="32">
        <v>0</v>
      </c>
      <c r="M82" s="33">
        <v>0</v>
      </c>
      <c r="N82" s="27">
        <v>0</v>
      </c>
      <c r="O82" s="24">
        <v>0</v>
      </c>
      <c r="P82" s="24">
        <v>0</v>
      </c>
      <c r="Q82" s="28">
        <v>0</v>
      </c>
      <c r="R82" s="29">
        <v>0</v>
      </c>
      <c r="S82" s="29">
        <v>0</v>
      </c>
      <c r="T82" s="29">
        <v>0</v>
      </c>
      <c r="U82" s="30">
        <v>0</v>
      </c>
    </row>
    <row r="83" spans="2:21" x14ac:dyDescent="0.25">
      <c r="B83" s="31" t="s">
        <v>19</v>
      </c>
      <c r="C83" s="22">
        <v>99</v>
      </c>
      <c r="D83" s="22" t="s">
        <v>126</v>
      </c>
      <c r="E83" s="22" t="s">
        <v>127</v>
      </c>
      <c r="F83" s="22" t="s">
        <v>44</v>
      </c>
      <c r="G83" s="23">
        <v>0</v>
      </c>
      <c r="H83" s="24">
        <v>0</v>
      </c>
      <c r="I83" s="24">
        <v>0</v>
      </c>
      <c r="J83" s="24">
        <v>0</v>
      </c>
      <c r="K83" s="24">
        <v>0</v>
      </c>
      <c r="L83" s="32">
        <v>0</v>
      </c>
      <c r="M83" s="33">
        <v>0</v>
      </c>
      <c r="N83" s="27">
        <v>0</v>
      </c>
      <c r="O83" s="24">
        <v>0</v>
      </c>
      <c r="P83" s="24">
        <v>0</v>
      </c>
      <c r="Q83" s="28">
        <v>0</v>
      </c>
      <c r="R83" s="29">
        <v>0</v>
      </c>
      <c r="S83" s="29">
        <v>0</v>
      </c>
      <c r="T83" s="29">
        <v>0</v>
      </c>
      <c r="U83" s="30">
        <v>0</v>
      </c>
    </row>
    <row r="84" spans="2:21" x14ac:dyDescent="0.25">
      <c r="B84" s="22" t="s">
        <v>28</v>
      </c>
      <c r="C84" s="22">
        <v>99</v>
      </c>
      <c r="D84" s="22" t="s">
        <v>315</v>
      </c>
      <c r="E84" s="22" t="s">
        <v>1279</v>
      </c>
      <c r="F84" s="22" t="s">
        <v>44</v>
      </c>
      <c r="G84" s="23">
        <v>9015.5</v>
      </c>
      <c r="H84" s="24">
        <v>9015.5</v>
      </c>
      <c r="I84" s="24">
        <v>0</v>
      </c>
      <c r="J84" s="24">
        <v>9015.5</v>
      </c>
      <c r="K84" s="24">
        <v>0</v>
      </c>
      <c r="L84" s="32">
        <v>0</v>
      </c>
      <c r="M84" s="33">
        <v>0</v>
      </c>
      <c r="N84" s="27">
        <v>0</v>
      </c>
      <c r="O84" s="24">
        <v>9015.5</v>
      </c>
      <c r="P84" s="24">
        <v>9015.5</v>
      </c>
      <c r="Q84" s="28">
        <v>0</v>
      </c>
      <c r="R84" s="29">
        <v>0</v>
      </c>
      <c r="S84" s="29">
        <v>0</v>
      </c>
      <c r="T84" s="29">
        <v>0</v>
      </c>
      <c r="U84" s="30">
        <v>0</v>
      </c>
    </row>
    <row r="85" spans="2:21" x14ac:dyDescent="0.25">
      <c r="B85" s="31" t="s">
        <v>28</v>
      </c>
      <c r="C85" s="31">
        <v>99</v>
      </c>
      <c r="D85" s="22" t="s">
        <v>1280</v>
      </c>
      <c r="E85" s="22" t="s">
        <v>1281</v>
      </c>
      <c r="F85" s="22" t="s">
        <v>44</v>
      </c>
      <c r="G85" s="23">
        <v>2525.5</v>
      </c>
      <c r="H85" s="24">
        <v>2525.5</v>
      </c>
      <c r="I85" s="24">
        <v>0</v>
      </c>
      <c r="J85" s="24">
        <v>2525.5</v>
      </c>
      <c r="K85" s="24">
        <v>0</v>
      </c>
      <c r="L85" s="32">
        <v>0</v>
      </c>
      <c r="M85" s="33">
        <v>0</v>
      </c>
      <c r="N85" s="27">
        <v>0</v>
      </c>
      <c r="O85" s="24">
        <v>2525.5</v>
      </c>
      <c r="P85" s="24">
        <v>2525.5</v>
      </c>
      <c r="Q85" s="28">
        <v>0</v>
      </c>
      <c r="R85" s="29">
        <v>0</v>
      </c>
      <c r="S85" s="29">
        <v>0</v>
      </c>
      <c r="T85" s="29">
        <v>0</v>
      </c>
      <c r="U85" s="30">
        <v>0</v>
      </c>
    </row>
    <row r="86" spans="2:21" x14ac:dyDescent="0.25">
      <c r="B86" s="31" t="s">
        <v>28</v>
      </c>
      <c r="C86" s="31">
        <v>99</v>
      </c>
      <c r="D86" s="22" t="s">
        <v>1282</v>
      </c>
      <c r="E86" s="22" t="s">
        <v>1283</v>
      </c>
      <c r="F86" s="22" t="s">
        <v>44</v>
      </c>
      <c r="G86" s="23">
        <v>4450.75</v>
      </c>
      <c r="H86" s="24">
        <v>4450.75</v>
      </c>
      <c r="I86" s="24">
        <v>0</v>
      </c>
      <c r="J86" s="24">
        <v>4450.75</v>
      </c>
      <c r="K86" s="24">
        <v>0</v>
      </c>
      <c r="L86" s="32">
        <v>0</v>
      </c>
      <c r="M86" s="33">
        <v>0</v>
      </c>
      <c r="N86" s="27">
        <v>0</v>
      </c>
      <c r="O86" s="24">
        <v>4450.75</v>
      </c>
      <c r="P86" s="24">
        <v>4450.75</v>
      </c>
      <c r="Q86" s="28">
        <v>0</v>
      </c>
      <c r="R86" s="29">
        <v>0</v>
      </c>
      <c r="S86" s="29">
        <v>0</v>
      </c>
      <c r="T86" s="29">
        <v>0</v>
      </c>
      <c r="U86" s="30">
        <v>0</v>
      </c>
    </row>
    <row r="87" spans="2:21" x14ac:dyDescent="0.25">
      <c r="B87" s="31" t="s">
        <v>28</v>
      </c>
      <c r="C87" s="31">
        <v>99</v>
      </c>
      <c r="D87" s="22" t="s">
        <v>126</v>
      </c>
      <c r="E87" s="22" t="s">
        <v>127</v>
      </c>
      <c r="F87" s="22" t="s">
        <v>44</v>
      </c>
      <c r="G87" s="23">
        <v>0</v>
      </c>
      <c r="H87" s="24">
        <v>0</v>
      </c>
      <c r="I87" s="24">
        <v>0</v>
      </c>
      <c r="J87" s="24">
        <v>0</v>
      </c>
      <c r="K87" s="24">
        <v>0</v>
      </c>
      <c r="L87" s="32">
        <v>0</v>
      </c>
      <c r="M87" s="33">
        <v>0</v>
      </c>
      <c r="N87" s="27">
        <v>0</v>
      </c>
      <c r="O87" s="24">
        <v>0</v>
      </c>
      <c r="P87" s="24">
        <v>0</v>
      </c>
      <c r="Q87" s="28">
        <v>0</v>
      </c>
      <c r="R87" s="29">
        <v>0</v>
      </c>
      <c r="S87" s="29">
        <v>0</v>
      </c>
      <c r="T87" s="29">
        <v>0</v>
      </c>
      <c r="U87" s="30">
        <v>0</v>
      </c>
    </row>
    <row r="88" spans="2:21" x14ac:dyDescent="0.25">
      <c r="B88" s="31" t="s">
        <v>28</v>
      </c>
      <c r="C88" s="31">
        <v>99</v>
      </c>
      <c r="D88" s="22" t="s">
        <v>317</v>
      </c>
      <c r="E88" s="22" t="s">
        <v>1284</v>
      </c>
      <c r="F88" s="22" t="s">
        <v>44</v>
      </c>
      <c r="G88" s="23">
        <v>152.5</v>
      </c>
      <c r="H88" s="24">
        <v>152.5</v>
      </c>
      <c r="I88" s="24">
        <v>0</v>
      </c>
      <c r="J88" s="24">
        <v>152.5</v>
      </c>
      <c r="K88" s="24">
        <v>0</v>
      </c>
      <c r="L88" s="32">
        <v>0</v>
      </c>
      <c r="M88" s="33">
        <v>0</v>
      </c>
      <c r="N88" s="27">
        <v>0</v>
      </c>
      <c r="O88" s="24">
        <v>152.5</v>
      </c>
      <c r="P88" s="24">
        <v>152.5</v>
      </c>
      <c r="Q88" s="28">
        <v>0</v>
      </c>
      <c r="R88" s="29">
        <v>0</v>
      </c>
      <c r="S88" s="29">
        <v>0</v>
      </c>
      <c r="T88" s="29">
        <v>0</v>
      </c>
      <c r="U88" s="30">
        <v>0</v>
      </c>
    </row>
    <row r="89" spans="2:21" x14ac:dyDescent="0.25">
      <c r="B89" s="31" t="s">
        <v>28</v>
      </c>
      <c r="C89" s="31">
        <v>99</v>
      </c>
      <c r="D89" s="22" t="s">
        <v>1285</v>
      </c>
      <c r="E89" s="22" t="s">
        <v>1286</v>
      </c>
      <c r="F89" s="22" t="s">
        <v>44</v>
      </c>
      <c r="G89" s="23">
        <v>3762.75</v>
      </c>
      <c r="H89" s="24">
        <v>3762.75</v>
      </c>
      <c r="I89" s="24">
        <v>0</v>
      </c>
      <c r="J89" s="24">
        <v>3762.75</v>
      </c>
      <c r="K89" s="24">
        <v>0</v>
      </c>
      <c r="L89" s="32">
        <v>0</v>
      </c>
      <c r="M89" s="33">
        <v>0</v>
      </c>
      <c r="N89" s="27">
        <v>0</v>
      </c>
      <c r="O89" s="24">
        <v>3762.75</v>
      </c>
      <c r="P89" s="24">
        <v>3762.75</v>
      </c>
      <c r="Q89" s="28">
        <v>0</v>
      </c>
      <c r="R89" s="29">
        <v>0</v>
      </c>
      <c r="S89" s="29">
        <v>0</v>
      </c>
      <c r="T89" s="29">
        <v>0</v>
      </c>
      <c r="U89" s="30">
        <v>0</v>
      </c>
    </row>
    <row r="90" spans="2:21" x14ac:dyDescent="0.25">
      <c r="B90" s="31" t="s">
        <v>28</v>
      </c>
      <c r="C90" s="31">
        <v>99</v>
      </c>
      <c r="D90" s="22" t="s">
        <v>1287</v>
      </c>
      <c r="E90" s="22" t="s">
        <v>1288</v>
      </c>
      <c r="F90" s="22" t="s">
        <v>44</v>
      </c>
      <c r="G90" s="23">
        <v>2263.75</v>
      </c>
      <c r="H90" s="24">
        <v>2263.75</v>
      </c>
      <c r="I90" s="24">
        <v>0</v>
      </c>
      <c r="J90" s="24">
        <v>2263.75</v>
      </c>
      <c r="K90" s="24">
        <v>0</v>
      </c>
      <c r="L90" s="32">
        <v>0</v>
      </c>
      <c r="M90" s="33">
        <v>0</v>
      </c>
      <c r="N90" s="27">
        <v>0</v>
      </c>
      <c r="O90" s="24">
        <v>2263.75</v>
      </c>
      <c r="P90" s="24">
        <v>2263.75</v>
      </c>
      <c r="Q90" s="28">
        <v>0</v>
      </c>
      <c r="R90" s="29">
        <v>0</v>
      </c>
      <c r="S90" s="29">
        <v>0</v>
      </c>
      <c r="T90" s="29">
        <v>0</v>
      </c>
      <c r="U90" s="30">
        <v>0</v>
      </c>
    </row>
    <row r="91" spans="2:21" x14ac:dyDescent="0.25">
      <c r="B91" s="31" t="s">
        <v>28</v>
      </c>
      <c r="C91" s="31">
        <v>99</v>
      </c>
      <c r="D91" s="22" t="s">
        <v>1289</v>
      </c>
      <c r="E91" s="22" t="s">
        <v>1290</v>
      </c>
      <c r="F91" s="22" t="s">
        <v>44</v>
      </c>
      <c r="G91" s="23">
        <v>0</v>
      </c>
      <c r="H91" s="24">
        <v>0</v>
      </c>
      <c r="I91" s="24">
        <v>0</v>
      </c>
      <c r="J91" s="24">
        <v>0</v>
      </c>
      <c r="K91" s="24">
        <v>0</v>
      </c>
      <c r="L91" s="32">
        <v>0</v>
      </c>
      <c r="M91" s="33">
        <v>0</v>
      </c>
      <c r="N91" s="27">
        <v>0</v>
      </c>
      <c r="O91" s="24">
        <v>0</v>
      </c>
      <c r="P91" s="24">
        <v>0</v>
      </c>
      <c r="Q91" s="28">
        <v>0</v>
      </c>
      <c r="R91" s="29">
        <v>0</v>
      </c>
      <c r="S91" s="29">
        <v>0</v>
      </c>
      <c r="T91" s="29">
        <v>0</v>
      </c>
      <c r="U91" s="30">
        <v>0</v>
      </c>
    </row>
    <row r="92" spans="2:21" x14ac:dyDescent="0.25">
      <c r="B92" s="31" t="s">
        <v>28</v>
      </c>
      <c r="C92" s="31">
        <v>99</v>
      </c>
      <c r="D92" s="22" t="s">
        <v>1291</v>
      </c>
      <c r="E92" s="22" t="s">
        <v>1292</v>
      </c>
      <c r="F92" s="22" t="s">
        <v>44</v>
      </c>
      <c r="G92" s="23">
        <v>328.5</v>
      </c>
      <c r="H92" s="24">
        <v>328.5</v>
      </c>
      <c r="I92" s="24">
        <v>0</v>
      </c>
      <c r="J92" s="24">
        <v>328.5</v>
      </c>
      <c r="K92" s="24">
        <v>0</v>
      </c>
      <c r="L92" s="32">
        <v>0</v>
      </c>
      <c r="M92" s="33">
        <v>0</v>
      </c>
      <c r="N92" s="27">
        <v>0</v>
      </c>
      <c r="O92" s="24">
        <v>328.5</v>
      </c>
      <c r="P92" s="24">
        <v>328.5</v>
      </c>
      <c r="Q92" s="28">
        <v>0</v>
      </c>
      <c r="R92" s="29">
        <v>0</v>
      </c>
      <c r="S92" s="29">
        <v>0</v>
      </c>
      <c r="T92" s="29">
        <v>0</v>
      </c>
      <c r="U92" s="30">
        <v>0</v>
      </c>
    </row>
    <row r="93" spans="2:21" x14ac:dyDescent="0.25">
      <c r="B93" s="31" t="s">
        <v>28</v>
      </c>
      <c r="C93" s="31">
        <v>99</v>
      </c>
      <c r="D93" s="22" t="s">
        <v>1293</v>
      </c>
      <c r="E93" s="22" t="s">
        <v>1294</v>
      </c>
      <c r="F93" s="22" t="s">
        <v>44</v>
      </c>
      <c r="G93" s="23">
        <v>1458.25</v>
      </c>
      <c r="H93" s="24">
        <v>1458.25</v>
      </c>
      <c r="I93" s="24">
        <v>0</v>
      </c>
      <c r="J93" s="24">
        <v>1458.25</v>
      </c>
      <c r="K93" s="24">
        <v>0</v>
      </c>
      <c r="L93" s="32">
        <v>0</v>
      </c>
      <c r="M93" s="33">
        <v>0</v>
      </c>
      <c r="N93" s="27">
        <v>0</v>
      </c>
      <c r="O93" s="24">
        <v>1458.25</v>
      </c>
      <c r="P93" s="24">
        <v>1458.25</v>
      </c>
      <c r="Q93" s="28">
        <v>0</v>
      </c>
      <c r="R93" s="29">
        <v>0</v>
      </c>
      <c r="S93" s="29">
        <v>0</v>
      </c>
      <c r="T93" s="29">
        <v>0</v>
      </c>
      <c r="U93" s="30">
        <v>0</v>
      </c>
    </row>
    <row r="94" spans="2:21" x14ac:dyDescent="0.25">
      <c r="B94" s="31" t="s">
        <v>28</v>
      </c>
      <c r="C94" s="31">
        <v>99</v>
      </c>
      <c r="D94" s="22" t="s">
        <v>1295</v>
      </c>
      <c r="E94" s="22" t="s">
        <v>1296</v>
      </c>
      <c r="F94" s="22" t="s">
        <v>44</v>
      </c>
      <c r="G94" s="23">
        <v>7107.25</v>
      </c>
      <c r="H94" s="24">
        <v>7107.25</v>
      </c>
      <c r="I94" s="24">
        <v>0</v>
      </c>
      <c r="J94" s="24">
        <v>7107.25</v>
      </c>
      <c r="K94" s="24">
        <v>0</v>
      </c>
      <c r="L94" s="32">
        <v>0</v>
      </c>
      <c r="M94" s="33">
        <v>0</v>
      </c>
      <c r="N94" s="27">
        <v>0</v>
      </c>
      <c r="O94" s="24">
        <v>7107.25</v>
      </c>
      <c r="P94" s="24">
        <v>7107.25</v>
      </c>
      <c r="Q94" s="28">
        <v>0</v>
      </c>
      <c r="R94" s="29">
        <v>0</v>
      </c>
      <c r="S94" s="29">
        <v>0</v>
      </c>
      <c r="T94" s="29">
        <v>0</v>
      </c>
      <c r="U94" s="30">
        <v>0</v>
      </c>
    </row>
    <row r="95" spans="2:21" x14ac:dyDescent="0.25">
      <c r="B95" s="31" t="s">
        <v>28</v>
      </c>
      <c r="C95" s="31">
        <v>99</v>
      </c>
      <c r="D95" s="22" t="s">
        <v>1297</v>
      </c>
      <c r="E95" s="22" t="s">
        <v>1298</v>
      </c>
      <c r="F95" s="22" t="s">
        <v>44</v>
      </c>
      <c r="G95" s="23">
        <v>4244.25</v>
      </c>
      <c r="H95" s="24">
        <v>4244.25</v>
      </c>
      <c r="I95" s="24">
        <v>0</v>
      </c>
      <c r="J95" s="24">
        <v>4244.25</v>
      </c>
      <c r="K95" s="24">
        <v>0</v>
      </c>
      <c r="L95" s="32">
        <v>0</v>
      </c>
      <c r="M95" s="33">
        <v>0</v>
      </c>
      <c r="N95" s="27">
        <v>0</v>
      </c>
      <c r="O95" s="24">
        <v>4244.25</v>
      </c>
      <c r="P95" s="24">
        <v>4244.25</v>
      </c>
      <c r="Q95" s="28">
        <v>0</v>
      </c>
      <c r="R95" s="29">
        <v>0</v>
      </c>
      <c r="S95" s="29">
        <v>0</v>
      </c>
      <c r="T95" s="29">
        <v>0</v>
      </c>
      <c r="U95" s="30">
        <v>0</v>
      </c>
    </row>
    <row r="96" spans="2:21" x14ac:dyDescent="0.25">
      <c r="B96" s="31" t="s">
        <v>28</v>
      </c>
      <c r="C96" s="31">
        <v>99</v>
      </c>
      <c r="D96" s="22" t="s">
        <v>1299</v>
      </c>
      <c r="E96" s="22" t="s">
        <v>1300</v>
      </c>
      <c r="F96" s="22" t="s">
        <v>44</v>
      </c>
      <c r="G96" s="23">
        <v>0</v>
      </c>
      <c r="H96" s="24">
        <v>0</v>
      </c>
      <c r="I96" s="24">
        <v>0</v>
      </c>
      <c r="J96" s="24">
        <v>0</v>
      </c>
      <c r="K96" s="24">
        <v>0</v>
      </c>
      <c r="L96" s="32">
        <v>0</v>
      </c>
      <c r="M96" s="33">
        <v>0</v>
      </c>
      <c r="N96" s="27">
        <v>0</v>
      </c>
      <c r="O96" s="24">
        <v>0</v>
      </c>
      <c r="P96" s="24">
        <v>0</v>
      </c>
      <c r="Q96" s="28">
        <v>0</v>
      </c>
      <c r="R96" s="29">
        <v>0</v>
      </c>
      <c r="S96" s="29">
        <v>0</v>
      </c>
      <c r="T96" s="29">
        <v>0</v>
      </c>
      <c r="U96" s="30">
        <v>0</v>
      </c>
    </row>
    <row r="97" spans="2:21" x14ac:dyDescent="0.25">
      <c r="B97" s="31" t="s">
        <v>28</v>
      </c>
      <c r="C97" s="31">
        <v>99</v>
      </c>
      <c r="D97" s="22" t="s">
        <v>1301</v>
      </c>
      <c r="E97" s="22" t="s">
        <v>1302</v>
      </c>
      <c r="F97" s="22" t="s">
        <v>44</v>
      </c>
      <c r="G97" s="23">
        <v>0</v>
      </c>
      <c r="H97" s="24">
        <v>37502</v>
      </c>
      <c r="I97" s="24">
        <v>0</v>
      </c>
      <c r="J97" s="24">
        <v>0</v>
      </c>
      <c r="K97" s="24">
        <v>0</v>
      </c>
      <c r="L97" s="32">
        <v>0</v>
      </c>
      <c r="M97" s="33">
        <v>0</v>
      </c>
      <c r="N97" s="27">
        <v>0</v>
      </c>
      <c r="O97" s="24">
        <v>0</v>
      </c>
      <c r="P97" s="24">
        <v>0</v>
      </c>
      <c r="Q97" s="28">
        <v>0</v>
      </c>
      <c r="R97" s="29">
        <v>0</v>
      </c>
      <c r="S97" s="29">
        <v>0</v>
      </c>
      <c r="T97" s="29">
        <v>0</v>
      </c>
      <c r="U97" s="30">
        <v>37502</v>
      </c>
    </row>
    <row r="98" spans="2:21" x14ac:dyDescent="0.25">
      <c r="B98" s="31" t="s">
        <v>28</v>
      </c>
      <c r="C98" s="31">
        <v>99</v>
      </c>
      <c r="D98" s="22" t="s">
        <v>1303</v>
      </c>
      <c r="E98" s="22" t="s">
        <v>1304</v>
      </c>
      <c r="F98" s="22" t="s">
        <v>44</v>
      </c>
      <c r="G98" s="23">
        <v>0</v>
      </c>
      <c r="H98" s="24">
        <v>0</v>
      </c>
      <c r="I98" s="24">
        <v>0</v>
      </c>
      <c r="J98" s="24">
        <v>0</v>
      </c>
      <c r="K98" s="24">
        <v>0</v>
      </c>
      <c r="L98" s="32">
        <v>0</v>
      </c>
      <c r="M98" s="33">
        <v>0</v>
      </c>
      <c r="N98" s="27">
        <v>0</v>
      </c>
      <c r="O98" s="24">
        <v>0</v>
      </c>
      <c r="P98" s="24">
        <v>0</v>
      </c>
      <c r="Q98" s="28">
        <v>0</v>
      </c>
      <c r="R98" s="29">
        <v>0</v>
      </c>
      <c r="S98" s="29">
        <v>0</v>
      </c>
      <c r="T98" s="29">
        <v>0</v>
      </c>
      <c r="U98" s="30">
        <v>0</v>
      </c>
    </row>
    <row r="99" spans="2:21" x14ac:dyDescent="0.25">
      <c r="B99" s="22" t="s">
        <v>20</v>
      </c>
      <c r="C99" s="22">
        <v>20</v>
      </c>
      <c r="D99" s="22" t="s">
        <v>216</v>
      </c>
      <c r="E99" s="22" t="s">
        <v>217</v>
      </c>
      <c r="F99" s="22" t="s">
        <v>44</v>
      </c>
      <c r="G99" s="23">
        <v>0</v>
      </c>
      <c r="H99" s="24">
        <v>1000</v>
      </c>
      <c r="I99" s="24">
        <v>0</v>
      </c>
      <c r="J99" s="24">
        <v>0</v>
      </c>
      <c r="K99" s="24">
        <v>0</v>
      </c>
      <c r="L99" s="32">
        <v>0</v>
      </c>
      <c r="M99" s="33">
        <v>0</v>
      </c>
      <c r="N99" s="27">
        <v>0</v>
      </c>
      <c r="O99" s="24">
        <v>1000</v>
      </c>
      <c r="P99" s="24">
        <v>1000</v>
      </c>
      <c r="Q99" s="28">
        <v>0</v>
      </c>
      <c r="R99" s="29">
        <v>0</v>
      </c>
      <c r="S99" s="29">
        <v>0</v>
      </c>
      <c r="T99" s="29">
        <v>0</v>
      </c>
      <c r="U99" s="30">
        <v>1000</v>
      </c>
    </row>
    <row r="100" spans="2:21" x14ac:dyDescent="0.25">
      <c r="B100" s="31" t="s">
        <v>20</v>
      </c>
      <c r="C100" s="31">
        <v>20</v>
      </c>
      <c r="D100" s="22" t="s">
        <v>218</v>
      </c>
      <c r="E100" s="22" t="s">
        <v>219</v>
      </c>
      <c r="F100" s="22" t="s">
        <v>44</v>
      </c>
      <c r="G100" s="23">
        <v>0</v>
      </c>
      <c r="H100" s="24">
        <v>1300</v>
      </c>
      <c r="I100" s="24">
        <v>0</v>
      </c>
      <c r="J100" s="24">
        <v>0</v>
      </c>
      <c r="K100" s="24">
        <v>0</v>
      </c>
      <c r="L100" s="32">
        <v>0</v>
      </c>
      <c r="M100" s="33">
        <v>0</v>
      </c>
      <c r="N100" s="27">
        <v>0</v>
      </c>
      <c r="O100" s="24">
        <v>1300</v>
      </c>
      <c r="P100" s="24">
        <v>1300</v>
      </c>
      <c r="Q100" s="28">
        <v>0</v>
      </c>
      <c r="R100" s="29">
        <v>0</v>
      </c>
      <c r="S100" s="29">
        <v>0</v>
      </c>
      <c r="T100" s="29">
        <v>0</v>
      </c>
      <c r="U100" s="30">
        <v>1300</v>
      </c>
    </row>
    <row r="101" spans="2:21" x14ac:dyDescent="0.25">
      <c r="B101" s="31" t="s">
        <v>20</v>
      </c>
      <c r="C101" s="31">
        <v>20</v>
      </c>
      <c r="D101" s="22" t="s">
        <v>220</v>
      </c>
      <c r="E101" s="22" t="s">
        <v>221</v>
      </c>
      <c r="F101" s="22" t="s">
        <v>44</v>
      </c>
      <c r="G101" s="23">
        <v>0</v>
      </c>
      <c r="H101" s="24">
        <v>1131.69</v>
      </c>
      <c r="I101" s="24">
        <v>0</v>
      </c>
      <c r="J101" s="24">
        <v>0</v>
      </c>
      <c r="K101" s="24">
        <v>0</v>
      </c>
      <c r="L101" s="32">
        <v>0</v>
      </c>
      <c r="M101" s="33">
        <v>0</v>
      </c>
      <c r="N101" s="27">
        <v>0</v>
      </c>
      <c r="O101" s="24">
        <v>1131.69</v>
      </c>
      <c r="P101" s="24">
        <v>1131.69</v>
      </c>
      <c r="Q101" s="28">
        <v>0</v>
      </c>
      <c r="R101" s="29">
        <v>0</v>
      </c>
      <c r="S101" s="29">
        <v>0</v>
      </c>
      <c r="T101" s="29">
        <v>0</v>
      </c>
      <c r="U101" s="30">
        <v>1131.69</v>
      </c>
    </row>
    <row r="102" spans="2:21" x14ac:dyDescent="0.25">
      <c r="B102" s="31" t="s">
        <v>20</v>
      </c>
      <c r="C102" s="22">
        <v>25</v>
      </c>
      <c r="D102" s="22" t="s">
        <v>222</v>
      </c>
      <c r="E102" s="22" t="s">
        <v>223</v>
      </c>
      <c r="F102" s="22"/>
      <c r="G102" s="23">
        <v>5392</v>
      </c>
      <c r="H102" s="24">
        <v>38870.74</v>
      </c>
      <c r="I102" s="24">
        <v>0</v>
      </c>
      <c r="J102" s="24">
        <v>0</v>
      </c>
      <c r="K102" s="24">
        <v>0</v>
      </c>
      <c r="L102" s="32">
        <v>0</v>
      </c>
      <c r="M102" s="33">
        <v>0</v>
      </c>
      <c r="N102" s="27">
        <v>0</v>
      </c>
      <c r="O102" s="24">
        <v>38870.74</v>
      </c>
      <c r="P102" s="24">
        <v>38870.74</v>
      </c>
      <c r="Q102" s="28">
        <v>0</v>
      </c>
      <c r="R102" s="29">
        <v>0</v>
      </c>
      <c r="S102" s="29">
        <v>0</v>
      </c>
      <c r="T102" s="29">
        <v>0</v>
      </c>
      <c r="U102" s="30">
        <v>38870.74</v>
      </c>
    </row>
    <row r="103" spans="2:21" x14ac:dyDescent="0.25">
      <c r="B103" s="31" t="s">
        <v>20</v>
      </c>
      <c r="C103" s="22">
        <v>26</v>
      </c>
      <c r="D103" s="22" t="s">
        <v>40</v>
      </c>
      <c r="E103" s="22" t="s">
        <v>41</v>
      </c>
      <c r="F103" s="22"/>
      <c r="G103" s="23">
        <v>129</v>
      </c>
      <c r="H103" s="24">
        <v>1548</v>
      </c>
      <c r="I103" s="24">
        <v>0</v>
      </c>
      <c r="J103" s="24">
        <v>0</v>
      </c>
      <c r="K103" s="24">
        <v>0</v>
      </c>
      <c r="L103" s="32">
        <v>0</v>
      </c>
      <c r="M103" s="33">
        <v>0</v>
      </c>
      <c r="N103" s="27">
        <v>0</v>
      </c>
      <c r="O103" s="24">
        <v>1548</v>
      </c>
      <c r="P103" s="24">
        <v>1548</v>
      </c>
      <c r="Q103" s="28">
        <v>0</v>
      </c>
      <c r="R103" s="29">
        <v>0</v>
      </c>
      <c r="S103" s="29">
        <v>0</v>
      </c>
      <c r="T103" s="29">
        <v>0</v>
      </c>
      <c r="U103" s="30">
        <v>1548</v>
      </c>
    </row>
    <row r="104" spans="2:21" x14ac:dyDescent="0.25">
      <c r="B104" s="31" t="s">
        <v>20</v>
      </c>
      <c r="C104" s="22">
        <v>30</v>
      </c>
      <c r="D104" s="22" t="s">
        <v>57</v>
      </c>
      <c r="E104" s="22" t="s">
        <v>58</v>
      </c>
      <c r="F104" s="22"/>
      <c r="G104" s="23">
        <v>193.357</v>
      </c>
      <c r="H104" s="24">
        <v>11280.84</v>
      </c>
      <c r="I104" s="24">
        <v>0</v>
      </c>
      <c r="J104" s="24">
        <v>0</v>
      </c>
      <c r="K104" s="24">
        <v>0</v>
      </c>
      <c r="L104" s="32">
        <v>0</v>
      </c>
      <c r="M104" s="33">
        <v>0</v>
      </c>
      <c r="N104" s="27">
        <v>0</v>
      </c>
      <c r="O104" s="24">
        <v>11280.84</v>
      </c>
      <c r="P104" s="24">
        <v>11280.84</v>
      </c>
      <c r="Q104" s="28">
        <v>0</v>
      </c>
      <c r="R104" s="29">
        <v>0</v>
      </c>
      <c r="S104" s="29">
        <v>0</v>
      </c>
      <c r="T104" s="29">
        <v>0</v>
      </c>
      <c r="U104" s="30">
        <v>11280.84</v>
      </c>
    </row>
    <row r="105" spans="2:21" x14ac:dyDescent="0.25">
      <c r="B105" s="31" t="s">
        <v>20</v>
      </c>
      <c r="C105" s="31">
        <v>30</v>
      </c>
      <c r="D105" s="22" t="s">
        <v>224</v>
      </c>
      <c r="E105" s="22" t="s">
        <v>225</v>
      </c>
      <c r="F105" s="22"/>
      <c r="G105" s="23">
        <v>1</v>
      </c>
      <c r="H105" s="24">
        <v>240</v>
      </c>
      <c r="I105" s="24">
        <v>0</v>
      </c>
      <c r="J105" s="24">
        <v>0</v>
      </c>
      <c r="K105" s="24">
        <v>0</v>
      </c>
      <c r="L105" s="32">
        <v>0</v>
      </c>
      <c r="M105" s="33">
        <v>0</v>
      </c>
      <c r="N105" s="27">
        <v>0</v>
      </c>
      <c r="O105" s="24">
        <v>240</v>
      </c>
      <c r="P105" s="24">
        <v>240</v>
      </c>
      <c r="Q105" s="28">
        <v>0</v>
      </c>
      <c r="R105" s="29">
        <v>0</v>
      </c>
      <c r="S105" s="29">
        <v>0</v>
      </c>
      <c r="T105" s="29">
        <v>0</v>
      </c>
      <c r="U105" s="30">
        <v>240</v>
      </c>
    </row>
    <row r="106" spans="2:21" x14ac:dyDescent="0.25">
      <c r="B106" s="31" t="s">
        <v>20</v>
      </c>
      <c r="C106" s="22">
        <v>45</v>
      </c>
      <c r="D106" s="22" t="s">
        <v>63</v>
      </c>
      <c r="E106" s="22" t="s">
        <v>64</v>
      </c>
      <c r="F106" s="22"/>
      <c r="G106" s="23">
        <v>10</v>
      </c>
      <c r="H106" s="24">
        <v>3300</v>
      </c>
      <c r="I106" s="24">
        <v>0</v>
      </c>
      <c r="J106" s="24">
        <v>0</v>
      </c>
      <c r="K106" s="24">
        <v>0</v>
      </c>
      <c r="L106" s="32">
        <v>0</v>
      </c>
      <c r="M106" s="33">
        <v>0</v>
      </c>
      <c r="N106" s="27">
        <v>0</v>
      </c>
      <c r="O106" s="24">
        <v>3300</v>
      </c>
      <c r="P106" s="24">
        <v>3300</v>
      </c>
      <c r="Q106" s="28">
        <v>0</v>
      </c>
      <c r="R106" s="29">
        <v>0</v>
      </c>
      <c r="S106" s="29">
        <v>0</v>
      </c>
      <c r="T106" s="29">
        <v>0</v>
      </c>
      <c r="U106" s="30">
        <v>3300</v>
      </c>
    </row>
    <row r="107" spans="2:21" x14ac:dyDescent="0.25">
      <c r="B107" s="31" t="s">
        <v>20</v>
      </c>
      <c r="C107" s="31">
        <v>45</v>
      </c>
      <c r="D107" s="22" t="s">
        <v>149</v>
      </c>
      <c r="E107" s="22" t="s">
        <v>226</v>
      </c>
      <c r="F107" s="22"/>
      <c r="G107" s="23">
        <v>186</v>
      </c>
      <c r="H107" s="24">
        <v>9520</v>
      </c>
      <c r="I107" s="24">
        <v>0</v>
      </c>
      <c r="J107" s="24">
        <v>0</v>
      </c>
      <c r="K107" s="24">
        <v>0</v>
      </c>
      <c r="L107" s="32">
        <v>0</v>
      </c>
      <c r="M107" s="33">
        <v>0</v>
      </c>
      <c r="N107" s="27">
        <v>0</v>
      </c>
      <c r="O107" s="24">
        <v>9520</v>
      </c>
      <c r="P107" s="24">
        <v>9520</v>
      </c>
      <c r="Q107" s="28">
        <v>0</v>
      </c>
      <c r="R107" s="29">
        <v>0</v>
      </c>
      <c r="S107" s="29">
        <v>0</v>
      </c>
      <c r="T107" s="29">
        <v>0</v>
      </c>
      <c r="U107" s="30">
        <v>9520</v>
      </c>
    </row>
    <row r="108" spans="2:21" x14ac:dyDescent="0.25">
      <c r="B108" s="31" t="s">
        <v>20</v>
      </c>
      <c r="C108" s="22">
        <v>50</v>
      </c>
      <c r="D108" s="22" t="s">
        <v>69</v>
      </c>
      <c r="E108" s="22" t="s">
        <v>227</v>
      </c>
      <c r="F108" s="22"/>
      <c r="G108" s="23">
        <v>12059.25</v>
      </c>
      <c r="H108" s="24">
        <v>24666.93</v>
      </c>
      <c r="I108" s="24">
        <v>0</v>
      </c>
      <c r="J108" s="24">
        <v>0</v>
      </c>
      <c r="K108" s="24">
        <v>0</v>
      </c>
      <c r="L108" s="32">
        <v>0</v>
      </c>
      <c r="M108" s="33">
        <v>0</v>
      </c>
      <c r="N108" s="27">
        <v>0</v>
      </c>
      <c r="O108" s="24">
        <v>24666.93</v>
      </c>
      <c r="P108" s="24">
        <v>24666.93</v>
      </c>
      <c r="Q108" s="28">
        <v>0</v>
      </c>
      <c r="R108" s="29">
        <v>0</v>
      </c>
      <c r="S108" s="29">
        <v>0</v>
      </c>
      <c r="T108" s="29">
        <v>0</v>
      </c>
      <c r="U108" s="30">
        <v>24666.93</v>
      </c>
    </row>
    <row r="109" spans="2:21" x14ac:dyDescent="0.25">
      <c r="B109" s="31" t="s">
        <v>20</v>
      </c>
      <c r="C109" s="31">
        <v>50</v>
      </c>
      <c r="D109" s="22" t="s">
        <v>228</v>
      </c>
      <c r="E109" s="22" t="s">
        <v>229</v>
      </c>
      <c r="F109" s="22"/>
      <c r="G109" s="23">
        <v>2009.875</v>
      </c>
      <c r="H109" s="24">
        <v>6532.09</v>
      </c>
      <c r="I109" s="24">
        <v>0</v>
      </c>
      <c r="J109" s="24">
        <v>0</v>
      </c>
      <c r="K109" s="24">
        <v>0</v>
      </c>
      <c r="L109" s="32">
        <v>0</v>
      </c>
      <c r="M109" s="33">
        <v>0</v>
      </c>
      <c r="N109" s="27">
        <v>0</v>
      </c>
      <c r="O109" s="24">
        <v>6532.09</v>
      </c>
      <c r="P109" s="24">
        <v>6532.09</v>
      </c>
      <c r="Q109" s="28">
        <v>0</v>
      </c>
      <c r="R109" s="29">
        <v>0</v>
      </c>
      <c r="S109" s="29">
        <v>0</v>
      </c>
      <c r="T109" s="29">
        <v>0</v>
      </c>
      <c r="U109" s="30">
        <v>6532.09</v>
      </c>
    </row>
    <row r="110" spans="2:21" x14ac:dyDescent="0.25">
      <c r="B110" s="31" t="s">
        <v>20</v>
      </c>
      <c r="C110" s="22">
        <v>52</v>
      </c>
      <c r="D110" s="22" t="s">
        <v>76</v>
      </c>
      <c r="E110" s="22" t="s">
        <v>230</v>
      </c>
      <c r="F110" s="22"/>
      <c r="G110" s="23">
        <v>12059.25</v>
      </c>
      <c r="H110" s="24">
        <v>2887.68</v>
      </c>
      <c r="I110" s="24">
        <v>0</v>
      </c>
      <c r="J110" s="24">
        <v>0</v>
      </c>
      <c r="K110" s="24">
        <v>0</v>
      </c>
      <c r="L110" s="32">
        <v>0</v>
      </c>
      <c r="M110" s="33">
        <v>0</v>
      </c>
      <c r="N110" s="27">
        <v>0</v>
      </c>
      <c r="O110" s="24">
        <v>2887.68</v>
      </c>
      <c r="P110" s="24">
        <v>2887.68</v>
      </c>
      <c r="Q110" s="28">
        <v>0</v>
      </c>
      <c r="R110" s="29">
        <v>0</v>
      </c>
      <c r="S110" s="29">
        <v>0</v>
      </c>
      <c r="T110" s="29">
        <v>0</v>
      </c>
      <c r="U110" s="30">
        <v>2887.68</v>
      </c>
    </row>
    <row r="111" spans="2:21" x14ac:dyDescent="0.25">
      <c r="B111" s="31" t="s">
        <v>20</v>
      </c>
      <c r="C111" s="22">
        <v>75</v>
      </c>
      <c r="D111" s="22" t="s">
        <v>231</v>
      </c>
      <c r="E111" s="22" t="s">
        <v>232</v>
      </c>
      <c r="F111" s="22"/>
      <c r="G111" s="23">
        <v>1440</v>
      </c>
      <c r="H111" s="24">
        <v>1440</v>
      </c>
      <c r="I111" s="24">
        <v>0</v>
      </c>
      <c r="J111" s="24">
        <v>0</v>
      </c>
      <c r="K111" s="24">
        <v>0</v>
      </c>
      <c r="L111" s="32">
        <v>0</v>
      </c>
      <c r="M111" s="33">
        <v>0</v>
      </c>
      <c r="N111" s="27">
        <v>0</v>
      </c>
      <c r="O111" s="24">
        <v>1440</v>
      </c>
      <c r="P111" s="24">
        <v>1440</v>
      </c>
      <c r="Q111" s="28">
        <v>0</v>
      </c>
      <c r="R111" s="29">
        <v>0</v>
      </c>
      <c r="S111" s="29">
        <v>0</v>
      </c>
      <c r="T111" s="29">
        <v>0</v>
      </c>
      <c r="U111" s="30">
        <v>1440</v>
      </c>
    </row>
    <row r="112" spans="2:21" x14ac:dyDescent="0.25">
      <c r="B112" s="31" t="s">
        <v>20</v>
      </c>
      <c r="C112" s="22">
        <v>90</v>
      </c>
      <c r="D112" s="22" t="s">
        <v>86</v>
      </c>
      <c r="E112" s="22" t="s">
        <v>233</v>
      </c>
      <c r="F112" s="22" t="s">
        <v>49</v>
      </c>
      <c r="G112" s="23">
        <v>0</v>
      </c>
      <c r="H112" s="24">
        <v>7028.7</v>
      </c>
      <c r="I112" s="24">
        <v>0</v>
      </c>
      <c r="J112" s="24">
        <v>2443</v>
      </c>
      <c r="K112" s="24">
        <v>0</v>
      </c>
      <c r="L112" s="32">
        <v>225</v>
      </c>
      <c r="M112" s="33">
        <v>0</v>
      </c>
      <c r="N112" s="27">
        <v>0</v>
      </c>
      <c r="O112" s="24">
        <v>7028.7</v>
      </c>
      <c r="P112" s="24">
        <v>7028.7</v>
      </c>
      <c r="Q112" s="28">
        <v>0</v>
      </c>
      <c r="R112" s="29">
        <v>0</v>
      </c>
      <c r="S112" s="29">
        <v>0</v>
      </c>
      <c r="T112" s="29">
        <v>0</v>
      </c>
      <c r="U112" s="30">
        <v>4585.7</v>
      </c>
    </row>
    <row r="113" spans="2:21" x14ac:dyDescent="0.25">
      <c r="B113" s="31" t="s">
        <v>20</v>
      </c>
      <c r="C113" s="31">
        <v>90</v>
      </c>
      <c r="D113" s="22" t="s">
        <v>88</v>
      </c>
      <c r="E113" s="22" t="s">
        <v>234</v>
      </c>
      <c r="F113" s="22" t="s">
        <v>49</v>
      </c>
      <c r="G113" s="23">
        <v>0</v>
      </c>
      <c r="H113" s="24">
        <v>19680</v>
      </c>
      <c r="I113" s="24">
        <v>0</v>
      </c>
      <c r="J113" s="24">
        <v>450</v>
      </c>
      <c r="K113" s="24">
        <v>0</v>
      </c>
      <c r="L113" s="32">
        <v>25</v>
      </c>
      <c r="M113" s="33">
        <v>0</v>
      </c>
      <c r="N113" s="27">
        <v>0</v>
      </c>
      <c r="O113" s="24">
        <v>19680</v>
      </c>
      <c r="P113" s="24">
        <v>19680</v>
      </c>
      <c r="Q113" s="28">
        <v>0</v>
      </c>
      <c r="R113" s="29">
        <v>0</v>
      </c>
      <c r="S113" s="29">
        <v>0</v>
      </c>
      <c r="T113" s="29">
        <v>0</v>
      </c>
      <c r="U113" s="30">
        <v>19230</v>
      </c>
    </row>
    <row r="114" spans="2:21" x14ac:dyDescent="0.25">
      <c r="B114" s="31" t="s">
        <v>20</v>
      </c>
      <c r="C114" s="31">
        <v>90</v>
      </c>
      <c r="D114" s="22" t="s">
        <v>90</v>
      </c>
      <c r="E114" s="22" t="s">
        <v>235</v>
      </c>
      <c r="F114" s="22" t="s">
        <v>44</v>
      </c>
      <c r="G114" s="23">
        <v>0</v>
      </c>
      <c r="H114" s="24">
        <v>12180</v>
      </c>
      <c r="I114" s="24">
        <v>0</v>
      </c>
      <c r="J114" s="24">
        <v>0</v>
      </c>
      <c r="K114" s="24">
        <v>0</v>
      </c>
      <c r="L114" s="32">
        <v>0</v>
      </c>
      <c r="M114" s="33">
        <v>0</v>
      </c>
      <c r="N114" s="27">
        <v>0</v>
      </c>
      <c r="O114" s="24">
        <v>12180</v>
      </c>
      <c r="P114" s="24">
        <v>12180</v>
      </c>
      <c r="Q114" s="28">
        <v>0</v>
      </c>
      <c r="R114" s="29">
        <v>0</v>
      </c>
      <c r="S114" s="29">
        <v>0</v>
      </c>
      <c r="T114" s="29">
        <v>0</v>
      </c>
      <c r="U114" s="30">
        <v>12180</v>
      </c>
    </row>
    <row r="115" spans="2:21" x14ac:dyDescent="0.25">
      <c r="B115" s="31" t="s">
        <v>20</v>
      </c>
      <c r="C115" s="31">
        <v>90</v>
      </c>
      <c r="D115" s="22" t="s">
        <v>92</v>
      </c>
      <c r="E115" s="22" t="s">
        <v>93</v>
      </c>
      <c r="F115" s="22" t="s">
        <v>44</v>
      </c>
      <c r="G115" s="23">
        <v>0</v>
      </c>
      <c r="H115" s="24">
        <v>10920</v>
      </c>
      <c r="I115" s="24">
        <v>0</v>
      </c>
      <c r="J115" s="24">
        <v>0</v>
      </c>
      <c r="K115" s="24">
        <v>0</v>
      </c>
      <c r="L115" s="32">
        <v>0</v>
      </c>
      <c r="M115" s="33">
        <v>0</v>
      </c>
      <c r="N115" s="27">
        <v>0</v>
      </c>
      <c r="O115" s="24">
        <v>10920</v>
      </c>
      <c r="P115" s="24">
        <v>10920</v>
      </c>
      <c r="Q115" s="28">
        <v>0</v>
      </c>
      <c r="R115" s="29">
        <v>0</v>
      </c>
      <c r="S115" s="29">
        <v>0</v>
      </c>
      <c r="T115" s="29">
        <v>0</v>
      </c>
      <c r="U115" s="30">
        <v>10920</v>
      </c>
    </row>
    <row r="116" spans="2:21" x14ac:dyDescent="0.25">
      <c r="B116" s="31" t="s">
        <v>20</v>
      </c>
      <c r="C116" s="31">
        <v>90</v>
      </c>
      <c r="D116" s="22" t="s">
        <v>94</v>
      </c>
      <c r="E116" s="22" t="s">
        <v>95</v>
      </c>
      <c r="F116" s="22" t="s">
        <v>44</v>
      </c>
      <c r="G116" s="23">
        <v>0</v>
      </c>
      <c r="H116" s="24">
        <v>1920</v>
      </c>
      <c r="I116" s="24">
        <v>0</v>
      </c>
      <c r="J116" s="24">
        <v>0</v>
      </c>
      <c r="K116" s="24">
        <v>0</v>
      </c>
      <c r="L116" s="32">
        <v>0</v>
      </c>
      <c r="M116" s="33">
        <v>0</v>
      </c>
      <c r="N116" s="27">
        <v>0</v>
      </c>
      <c r="O116" s="24">
        <v>1920</v>
      </c>
      <c r="P116" s="24">
        <v>1920</v>
      </c>
      <c r="Q116" s="28">
        <v>0</v>
      </c>
      <c r="R116" s="29">
        <v>0</v>
      </c>
      <c r="S116" s="29">
        <v>0</v>
      </c>
      <c r="T116" s="29">
        <v>0</v>
      </c>
      <c r="U116" s="30">
        <v>1920</v>
      </c>
    </row>
    <row r="117" spans="2:21" x14ac:dyDescent="0.25">
      <c r="B117" s="31" t="s">
        <v>20</v>
      </c>
      <c r="C117" s="22">
        <v>91</v>
      </c>
      <c r="D117" s="22" t="s">
        <v>96</v>
      </c>
      <c r="E117" s="22" t="s">
        <v>97</v>
      </c>
      <c r="F117" s="22" t="s">
        <v>44</v>
      </c>
      <c r="G117" s="23">
        <v>0</v>
      </c>
      <c r="H117" s="24">
        <v>2100</v>
      </c>
      <c r="I117" s="24">
        <v>0</v>
      </c>
      <c r="J117" s="24">
        <v>0</v>
      </c>
      <c r="K117" s="24">
        <v>0</v>
      </c>
      <c r="L117" s="32">
        <v>0</v>
      </c>
      <c r="M117" s="33">
        <v>0</v>
      </c>
      <c r="N117" s="27">
        <v>0</v>
      </c>
      <c r="O117" s="24">
        <v>2100</v>
      </c>
      <c r="P117" s="24">
        <v>2100</v>
      </c>
      <c r="Q117" s="28">
        <v>0</v>
      </c>
      <c r="R117" s="29">
        <v>0</v>
      </c>
      <c r="S117" s="29">
        <v>0</v>
      </c>
      <c r="T117" s="29">
        <v>0</v>
      </c>
      <c r="U117" s="30">
        <v>2100</v>
      </c>
    </row>
    <row r="118" spans="2:21" x14ac:dyDescent="0.25">
      <c r="B118" s="31" t="s">
        <v>20</v>
      </c>
      <c r="C118" s="31">
        <v>91</v>
      </c>
      <c r="D118" s="22" t="s">
        <v>98</v>
      </c>
      <c r="E118" s="22" t="s">
        <v>99</v>
      </c>
      <c r="F118" s="22" t="s">
        <v>44</v>
      </c>
      <c r="G118" s="23">
        <v>0</v>
      </c>
      <c r="H118" s="24">
        <v>5460</v>
      </c>
      <c r="I118" s="24">
        <v>0</v>
      </c>
      <c r="J118" s="24">
        <v>0</v>
      </c>
      <c r="K118" s="24">
        <v>0</v>
      </c>
      <c r="L118" s="32">
        <v>0</v>
      </c>
      <c r="M118" s="33">
        <v>0</v>
      </c>
      <c r="N118" s="27">
        <v>0</v>
      </c>
      <c r="O118" s="24">
        <v>5460</v>
      </c>
      <c r="P118" s="24">
        <v>5460</v>
      </c>
      <c r="Q118" s="28">
        <v>0</v>
      </c>
      <c r="R118" s="29">
        <v>0</v>
      </c>
      <c r="S118" s="29">
        <v>0</v>
      </c>
      <c r="T118" s="29">
        <v>0</v>
      </c>
      <c r="U118" s="30">
        <v>5460</v>
      </c>
    </row>
    <row r="119" spans="2:21" x14ac:dyDescent="0.25">
      <c r="B119" s="31" t="s">
        <v>20</v>
      </c>
      <c r="C119" s="31">
        <v>91</v>
      </c>
      <c r="D119" s="22" t="s">
        <v>100</v>
      </c>
      <c r="E119" s="22" t="s">
        <v>101</v>
      </c>
      <c r="F119" s="22" t="s">
        <v>44</v>
      </c>
      <c r="G119" s="23">
        <v>0</v>
      </c>
      <c r="H119" s="24">
        <v>12240</v>
      </c>
      <c r="I119" s="24">
        <v>0</v>
      </c>
      <c r="J119" s="24">
        <v>0</v>
      </c>
      <c r="K119" s="24">
        <v>0</v>
      </c>
      <c r="L119" s="32">
        <v>0</v>
      </c>
      <c r="M119" s="33">
        <v>0</v>
      </c>
      <c r="N119" s="27">
        <v>0</v>
      </c>
      <c r="O119" s="24">
        <v>12240</v>
      </c>
      <c r="P119" s="24">
        <v>12240</v>
      </c>
      <c r="Q119" s="28">
        <v>0</v>
      </c>
      <c r="R119" s="29">
        <v>0</v>
      </c>
      <c r="S119" s="29">
        <v>0</v>
      </c>
      <c r="T119" s="29">
        <v>0</v>
      </c>
      <c r="U119" s="30">
        <v>12240</v>
      </c>
    </row>
    <row r="120" spans="2:21" x14ac:dyDescent="0.25">
      <c r="B120" s="31" t="s">
        <v>20</v>
      </c>
      <c r="C120" s="31">
        <v>91</v>
      </c>
      <c r="D120" s="22" t="s">
        <v>102</v>
      </c>
      <c r="E120" s="22" t="s">
        <v>103</v>
      </c>
      <c r="F120" s="22" t="s">
        <v>44</v>
      </c>
      <c r="G120" s="23">
        <v>0</v>
      </c>
      <c r="H120" s="24">
        <v>12000</v>
      </c>
      <c r="I120" s="24">
        <v>0</v>
      </c>
      <c r="J120" s="24">
        <v>0</v>
      </c>
      <c r="K120" s="24">
        <v>0</v>
      </c>
      <c r="L120" s="32">
        <v>0</v>
      </c>
      <c r="M120" s="33">
        <v>0</v>
      </c>
      <c r="N120" s="27">
        <v>0</v>
      </c>
      <c r="O120" s="24">
        <v>12000</v>
      </c>
      <c r="P120" s="24">
        <v>12000</v>
      </c>
      <c r="Q120" s="28">
        <v>0</v>
      </c>
      <c r="R120" s="29">
        <v>0</v>
      </c>
      <c r="S120" s="29">
        <v>0</v>
      </c>
      <c r="T120" s="29">
        <v>0</v>
      </c>
      <c r="U120" s="30">
        <v>12000</v>
      </c>
    </row>
    <row r="121" spans="2:21" x14ac:dyDescent="0.25">
      <c r="B121" s="31" t="s">
        <v>20</v>
      </c>
      <c r="C121" s="31">
        <v>91</v>
      </c>
      <c r="D121" s="22" t="s">
        <v>104</v>
      </c>
      <c r="E121" s="22" t="s">
        <v>236</v>
      </c>
      <c r="F121" s="22" t="s">
        <v>44</v>
      </c>
      <c r="G121" s="23">
        <v>0</v>
      </c>
      <c r="H121" s="24">
        <v>1920</v>
      </c>
      <c r="I121" s="24">
        <v>0</v>
      </c>
      <c r="J121" s="24">
        <v>0</v>
      </c>
      <c r="K121" s="24">
        <v>0</v>
      </c>
      <c r="L121" s="32">
        <v>0</v>
      </c>
      <c r="M121" s="33">
        <v>0</v>
      </c>
      <c r="N121" s="27">
        <v>0</v>
      </c>
      <c r="O121" s="24">
        <v>1920</v>
      </c>
      <c r="P121" s="24">
        <v>1920</v>
      </c>
      <c r="Q121" s="28">
        <v>0</v>
      </c>
      <c r="R121" s="29">
        <v>0</v>
      </c>
      <c r="S121" s="29">
        <v>0</v>
      </c>
      <c r="T121" s="29">
        <v>0</v>
      </c>
      <c r="U121" s="30">
        <v>1920</v>
      </c>
    </row>
    <row r="122" spans="2:21" x14ac:dyDescent="0.25">
      <c r="B122" s="31" t="s">
        <v>20</v>
      </c>
      <c r="C122" s="31">
        <v>91</v>
      </c>
      <c r="D122" s="22" t="s">
        <v>106</v>
      </c>
      <c r="E122" s="22" t="s">
        <v>107</v>
      </c>
      <c r="F122" s="22" t="s">
        <v>44</v>
      </c>
      <c r="G122" s="23">
        <v>0</v>
      </c>
      <c r="H122" s="24">
        <v>3900</v>
      </c>
      <c r="I122" s="24">
        <v>0</v>
      </c>
      <c r="J122" s="24">
        <v>0</v>
      </c>
      <c r="K122" s="24">
        <v>0</v>
      </c>
      <c r="L122" s="32">
        <v>0</v>
      </c>
      <c r="M122" s="33">
        <v>0</v>
      </c>
      <c r="N122" s="27">
        <v>0</v>
      </c>
      <c r="O122" s="24">
        <v>3900</v>
      </c>
      <c r="P122" s="24">
        <v>3900</v>
      </c>
      <c r="Q122" s="28">
        <v>0</v>
      </c>
      <c r="R122" s="29">
        <v>0</v>
      </c>
      <c r="S122" s="29">
        <v>0</v>
      </c>
      <c r="T122" s="29">
        <v>0</v>
      </c>
      <c r="U122" s="30">
        <v>3900</v>
      </c>
    </row>
    <row r="123" spans="2:21" x14ac:dyDescent="0.25">
      <c r="B123" s="31" t="s">
        <v>20</v>
      </c>
      <c r="C123" s="31">
        <v>91</v>
      </c>
      <c r="D123" s="22" t="s">
        <v>110</v>
      </c>
      <c r="E123" s="22" t="s">
        <v>111</v>
      </c>
      <c r="F123" s="22" t="s">
        <v>44</v>
      </c>
      <c r="G123" s="23">
        <v>0</v>
      </c>
      <c r="H123" s="24">
        <v>120</v>
      </c>
      <c r="I123" s="24">
        <v>0</v>
      </c>
      <c r="J123" s="24">
        <v>0</v>
      </c>
      <c r="K123" s="24">
        <v>0</v>
      </c>
      <c r="L123" s="32">
        <v>0</v>
      </c>
      <c r="M123" s="33">
        <v>0</v>
      </c>
      <c r="N123" s="27">
        <v>0</v>
      </c>
      <c r="O123" s="24">
        <v>120</v>
      </c>
      <c r="P123" s="24">
        <v>120</v>
      </c>
      <c r="Q123" s="28">
        <v>0</v>
      </c>
      <c r="R123" s="29">
        <v>0</v>
      </c>
      <c r="S123" s="29">
        <v>0</v>
      </c>
      <c r="T123" s="29">
        <v>0</v>
      </c>
      <c r="U123" s="30">
        <v>120</v>
      </c>
    </row>
    <row r="124" spans="2:21" x14ac:dyDescent="0.25">
      <c r="B124" s="31" t="s">
        <v>20</v>
      </c>
      <c r="C124" s="22">
        <v>92</v>
      </c>
      <c r="D124" s="22" t="s">
        <v>112</v>
      </c>
      <c r="E124" s="22" t="s">
        <v>237</v>
      </c>
      <c r="F124" s="22" t="s">
        <v>44</v>
      </c>
      <c r="G124" s="23">
        <v>0</v>
      </c>
      <c r="H124" s="24">
        <v>1440</v>
      </c>
      <c r="I124" s="24">
        <v>0</v>
      </c>
      <c r="J124" s="24">
        <v>0</v>
      </c>
      <c r="K124" s="24">
        <v>0</v>
      </c>
      <c r="L124" s="32">
        <v>0</v>
      </c>
      <c r="M124" s="33">
        <v>0</v>
      </c>
      <c r="N124" s="27">
        <v>0</v>
      </c>
      <c r="O124" s="24">
        <v>1440</v>
      </c>
      <c r="P124" s="24">
        <v>1440</v>
      </c>
      <c r="Q124" s="28">
        <v>0</v>
      </c>
      <c r="R124" s="29">
        <v>0</v>
      </c>
      <c r="S124" s="29">
        <v>0</v>
      </c>
      <c r="T124" s="29">
        <v>0</v>
      </c>
      <c r="U124" s="30">
        <v>1440</v>
      </c>
    </row>
    <row r="125" spans="2:21" x14ac:dyDescent="0.25">
      <c r="B125" s="31" t="s">
        <v>20</v>
      </c>
      <c r="C125" s="22">
        <v>99</v>
      </c>
      <c r="D125" s="22" t="s">
        <v>126</v>
      </c>
      <c r="E125" s="22" t="s">
        <v>127</v>
      </c>
      <c r="F125" s="22" t="s">
        <v>44</v>
      </c>
      <c r="G125" s="23">
        <v>0</v>
      </c>
      <c r="H125" s="24">
        <v>0</v>
      </c>
      <c r="I125" s="24">
        <v>0</v>
      </c>
      <c r="J125" s="24">
        <v>0</v>
      </c>
      <c r="K125" s="24">
        <v>0</v>
      </c>
      <c r="L125" s="32">
        <v>0</v>
      </c>
      <c r="M125" s="33">
        <v>0</v>
      </c>
      <c r="N125" s="27">
        <v>0</v>
      </c>
      <c r="O125" s="24">
        <v>0</v>
      </c>
      <c r="P125" s="24">
        <v>0</v>
      </c>
      <c r="Q125" s="28">
        <v>0</v>
      </c>
      <c r="R125" s="29">
        <v>0</v>
      </c>
      <c r="S125" s="29">
        <v>0</v>
      </c>
      <c r="T125" s="29">
        <v>0</v>
      </c>
      <c r="U125" s="30">
        <v>0</v>
      </c>
    </row>
    <row r="126" spans="2:21" x14ac:dyDescent="0.25">
      <c r="B126" s="22" t="s">
        <v>21</v>
      </c>
      <c r="C126" s="22">
        <v>20</v>
      </c>
      <c r="D126" s="22" t="s">
        <v>31</v>
      </c>
      <c r="E126" s="22" t="s">
        <v>32</v>
      </c>
      <c r="F126" s="22" t="s">
        <v>33</v>
      </c>
      <c r="G126" s="23">
        <v>71981</v>
      </c>
      <c r="H126" s="24">
        <v>18444</v>
      </c>
      <c r="I126" s="24">
        <v>65862.614999999976</v>
      </c>
      <c r="J126" s="24">
        <v>14499</v>
      </c>
      <c r="K126" s="24">
        <v>1079.7149999999999</v>
      </c>
      <c r="L126" s="32">
        <v>325</v>
      </c>
      <c r="M126" s="33">
        <v>276.65999999999997</v>
      </c>
      <c r="N126" s="27">
        <v>16876.259999999995</v>
      </c>
      <c r="O126" s="24">
        <v>18444</v>
      </c>
      <c r="P126" s="24">
        <v>15845.901639344267</v>
      </c>
      <c r="Q126" s="28">
        <v>0.92</v>
      </c>
      <c r="R126" s="29">
        <v>0.85</v>
      </c>
      <c r="S126" s="29">
        <v>1.1599999999999999</v>
      </c>
      <c r="T126" s="29">
        <v>326</v>
      </c>
      <c r="U126" s="30">
        <v>3619</v>
      </c>
    </row>
    <row r="127" spans="2:21" x14ac:dyDescent="0.25">
      <c r="B127" s="31" t="s">
        <v>21</v>
      </c>
      <c r="C127" s="22">
        <v>21</v>
      </c>
      <c r="D127" s="22" t="s">
        <v>130</v>
      </c>
      <c r="E127" s="22" t="s">
        <v>320</v>
      </c>
      <c r="F127" s="22" t="s">
        <v>33</v>
      </c>
      <c r="G127" s="23">
        <v>73212</v>
      </c>
      <c r="H127" s="24">
        <v>33125</v>
      </c>
      <c r="I127" s="24">
        <v>44476.290000000008</v>
      </c>
      <c r="J127" s="24">
        <v>15381.25</v>
      </c>
      <c r="K127" s="24">
        <v>549.09</v>
      </c>
      <c r="L127" s="32">
        <v>271</v>
      </c>
      <c r="M127" s="33">
        <v>248.43750000000003</v>
      </c>
      <c r="N127" s="27">
        <v>20123.437500000004</v>
      </c>
      <c r="O127" s="24">
        <v>33125</v>
      </c>
      <c r="P127" s="24">
        <v>25318.930041152256</v>
      </c>
      <c r="Q127" s="28">
        <v>0.61</v>
      </c>
      <c r="R127" s="29">
        <v>0.92</v>
      </c>
      <c r="S127" s="29">
        <v>1.31</v>
      </c>
      <c r="T127" s="29">
        <v>271.5</v>
      </c>
      <c r="U127" s="30">
        <v>17472.25</v>
      </c>
    </row>
    <row r="128" spans="2:21" x14ac:dyDescent="0.25">
      <c r="B128" s="31" t="s">
        <v>21</v>
      </c>
      <c r="C128" s="22">
        <v>22</v>
      </c>
      <c r="D128" s="22" t="s">
        <v>133</v>
      </c>
      <c r="E128" s="22" t="s">
        <v>321</v>
      </c>
      <c r="F128" s="22" t="s">
        <v>33</v>
      </c>
      <c r="G128" s="23">
        <v>3061</v>
      </c>
      <c r="H128" s="24">
        <v>2342</v>
      </c>
      <c r="I128" s="24">
        <v>2280.4449999999997</v>
      </c>
      <c r="J128" s="24">
        <v>685</v>
      </c>
      <c r="K128" s="24">
        <v>45.914999999999999</v>
      </c>
      <c r="L128" s="32">
        <v>41</v>
      </c>
      <c r="M128" s="33">
        <v>35.129999999999995</v>
      </c>
      <c r="N128" s="27">
        <v>1744.7899999999997</v>
      </c>
      <c r="O128" s="24">
        <v>2342</v>
      </c>
      <c r="P128" s="24">
        <v>919.46308724832227</v>
      </c>
      <c r="Q128" s="28">
        <v>0.75</v>
      </c>
      <c r="R128" s="29">
        <v>0.86</v>
      </c>
      <c r="S128" s="29">
        <v>2.5499999999999998</v>
      </c>
      <c r="T128" s="29">
        <v>42</v>
      </c>
      <c r="U128" s="30">
        <v>1615</v>
      </c>
    </row>
    <row r="129" spans="2:21" x14ac:dyDescent="0.25">
      <c r="B129" s="31" t="s">
        <v>21</v>
      </c>
      <c r="C129" s="22">
        <v>23</v>
      </c>
      <c r="D129" s="22" t="s">
        <v>322</v>
      </c>
      <c r="E129" s="22" t="s">
        <v>323</v>
      </c>
      <c r="F129" s="22" t="s">
        <v>788</v>
      </c>
      <c r="G129" s="23">
        <v>18</v>
      </c>
      <c r="H129" s="24">
        <v>486</v>
      </c>
      <c r="I129" s="24">
        <v>17.64</v>
      </c>
      <c r="J129" s="24">
        <v>681.5</v>
      </c>
      <c r="K129" s="24">
        <v>1.08</v>
      </c>
      <c r="L129" s="32">
        <v>104</v>
      </c>
      <c r="M129" s="33">
        <v>29.160000000000004</v>
      </c>
      <c r="N129" s="27">
        <v>476.28</v>
      </c>
      <c r="O129" s="24">
        <v>603</v>
      </c>
      <c r="P129" s="24">
        <v>695.40816326530614</v>
      </c>
      <c r="Q129" s="28">
        <v>0.98</v>
      </c>
      <c r="R129" s="29">
        <v>0.28000000000000003</v>
      </c>
      <c r="S129" s="29">
        <v>0.7</v>
      </c>
      <c r="T129" s="29">
        <v>107</v>
      </c>
      <c r="U129" s="30">
        <v>-302.5</v>
      </c>
    </row>
    <row r="130" spans="2:21" x14ac:dyDescent="0.25">
      <c r="B130" s="31" t="s">
        <v>21</v>
      </c>
      <c r="C130" s="31">
        <v>23</v>
      </c>
      <c r="D130" s="22" t="s">
        <v>324</v>
      </c>
      <c r="E130" s="22" t="s">
        <v>325</v>
      </c>
      <c r="F130" s="22"/>
      <c r="G130" s="23">
        <v>45</v>
      </c>
      <c r="H130" s="24">
        <v>900</v>
      </c>
      <c r="I130" s="24">
        <v>24.3</v>
      </c>
      <c r="J130" s="24">
        <v>403</v>
      </c>
      <c r="K130" s="24">
        <v>0</v>
      </c>
      <c r="L130" s="32">
        <v>0</v>
      </c>
      <c r="M130" s="33">
        <v>0</v>
      </c>
      <c r="N130" s="27">
        <v>486.00000000000006</v>
      </c>
      <c r="O130" s="24">
        <v>900</v>
      </c>
      <c r="P130" s="24">
        <v>746.29629629629619</v>
      </c>
      <c r="Q130" s="28">
        <v>0.54</v>
      </c>
      <c r="R130" s="29">
        <v>0</v>
      </c>
      <c r="S130" s="29">
        <v>1.21</v>
      </c>
      <c r="T130" s="29">
        <v>0</v>
      </c>
      <c r="U130" s="30">
        <v>497</v>
      </c>
    </row>
    <row r="131" spans="2:21" x14ac:dyDescent="0.25">
      <c r="B131" s="31" t="s">
        <v>21</v>
      </c>
      <c r="C131" s="22">
        <v>25</v>
      </c>
      <c r="D131" s="22" t="s">
        <v>222</v>
      </c>
      <c r="E131" s="22" t="s">
        <v>223</v>
      </c>
      <c r="F131" s="22"/>
      <c r="G131" s="23">
        <v>0.22000000000002728</v>
      </c>
      <c r="H131" s="24">
        <v>47.290000000000873</v>
      </c>
      <c r="I131" s="24">
        <v>0</v>
      </c>
      <c r="J131" s="24">
        <v>0</v>
      </c>
      <c r="K131" s="24">
        <v>0</v>
      </c>
      <c r="L131" s="32">
        <v>0</v>
      </c>
      <c r="M131" s="33">
        <v>0</v>
      </c>
      <c r="N131" s="27">
        <v>0</v>
      </c>
      <c r="O131" s="24">
        <v>8.7396756498492323E-13</v>
      </c>
      <c r="P131" s="24">
        <v>8.7396756498492323E-13</v>
      </c>
      <c r="Q131" s="28">
        <v>0</v>
      </c>
      <c r="R131" s="29">
        <v>0</v>
      </c>
      <c r="S131" s="29">
        <v>0</v>
      </c>
      <c r="T131" s="29">
        <v>0</v>
      </c>
      <c r="U131" s="30">
        <v>47.290000000000873</v>
      </c>
    </row>
    <row r="132" spans="2:21" x14ac:dyDescent="0.25">
      <c r="B132" s="31" t="s">
        <v>21</v>
      </c>
      <c r="C132" s="31">
        <v>25</v>
      </c>
      <c r="D132" s="22" t="s">
        <v>34</v>
      </c>
      <c r="E132" s="22" t="s">
        <v>238</v>
      </c>
      <c r="F132" s="22"/>
      <c r="G132" s="23">
        <v>2704</v>
      </c>
      <c r="H132" s="24">
        <v>11396</v>
      </c>
      <c r="I132" s="24">
        <v>2704</v>
      </c>
      <c r="J132" s="24">
        <v>12802.5</v>
      </c>
      <c r="K132" s="24">
        <v>0</v>
      </c>
      <c r="L132" s="32">
        <v>0</v>
      </c>
      <c r="M132" s="33">
        <v>0</v>
      </c>
      <c r="N132" s="27">
        <v>11396</v>
      </c>
      <c r="O132" s="24">
        <v>13554</v>
      </c>
      <c r="P132" s="24">
        <v>12802.5</v>
      </c>
      <c r="Q132" s="28">
        <v>1</v>
      </c>
      <c r="R132" s="29">
        <v>0</v>
      </c>
      <c r="S132" s="29">
        <v>0.89</v>
      </c>
      <c r="T132" s="29">
        <v>0</v>
      </c>
      <c r="U132" s="30">
        <v>-1406.5</v>
      </c>
    </row>
    <row r="133" spans="2:21" x14ac:dyDescent="0.25">
      <c r="B133" s="31" t="s">
        <v>21</v>
      </c>
      <c r="C133" s="31">
        <v>25</v>
      </c>
      <c r="D133" s="22" t="s">
        <v>239</v>
      </c>
      <c r="E133" s="22" t="s">
        <v>240</v>
      </c>
      <c r="F133" s="22"/>
      <c r="G133" s="23">
        <v>40</v>
      </c>
      <c r="H133" s="24">
        <v>4284</v>
      </c>
      <c r="I133" s="24">
        <v>40</v>
      </c>
      <c r="J133" s="24">
        <v>2296.5</v>
      </c>
      <c r="K133" s="24">
        <v>0</v>
      </c>
      <c r="L133" s="32">
        <v>0</v>
      </c>
      <c r="M133" s="33">
        <v>0</v>
      </c>
      <c r="N133" s="27">
        <v>4284</v>
      </c>
      <c r="O133" s="24">
        <v>2296.5</v>
      </c>
      <c r="P133" s="24">
        <v>2296.5</v>
      </c>
      <c r="Q133" s="28">
        <v>1</v>
      </c>
      <c r="R133" s="29">
        <v>0</v>
      </c>
      <c r="S133" s="29">
        <v>1.87</v>
      </c>
      <c r="T133" s="29">
        <v>0</v>
      </c>
      <c r="U133" s="30">
        <v>1987.5</v>
      </c>
    </row>
    <row r="134" spans="2:21" x14ac:dyDescent="0.25">
      <c r="B134" s="31" t="s">
        <v>21</v>
      </c>
      <c r="C134" s="31">
        <v>25</v>
      </c>
      <c r="D134" s="22" t="s">
        <v>36</v>
      </c>
      <c r="E134" s="22" t="s">
        <v>241</v>
      </c>
      <c r="F134" s="22"/>
      <c r="G134" s="23">
        <v>7216</v>
      </c>
      <c r="H134" s="24">
        <v>22601</v>
      </c>
      <c r="I134" s="24">
        <v>7215.9999999999991</v>
      </c>
      <c r="J134" s="24">
        <v>24155.9</v>
      </c>
      <c r="K134" s="24">
        <v>0</v>
      </c>
      <c r="L134" s="32">
        <v>0</v>
      </c>
      <c r="M134" s="33">
        <v>0</v>
      </c>
      <c r="N134" s="27">
        <v>22600.999999999996</v>
      </c>
      <c r="O134" s="24">
        <v>24256</v>
      </c>
      <c r="P134" s="24">
        <v>24155.900000000005</v>
      </c>
      <c r="Q134" s="28">
        <v>1</v>
      </c>
      <c r="R134" s="29">
        <v>0</v>
      </c>
      <c r="S134" s="29">
        <v>0.94</v>
      </c>
      <c r="T134" s="29">
        <v>0</v>
      </c>
      <c r="U134" s="30">
        <v>-1554.9000000000015</v>
      </c>
    </row>
    <row r="135" spans="2:21" x14ac:dyDescent="0.25">
      <c r="B135" s="31" t="s">
        <v>21</v>
      </c>
      <c r="C135" s="31">
        <v>25</v>
      </c>
      <c r="D135" s="22" t="s">
        <v>242</v>
      </c>
      <c r="E135" s="22" t="s">
        <v>243</v>
      </c>
      <c r="F135" s="22"/>
      <c r="G135" s="23">
        <v>1503</v>
      </c>
      <c r="H135" s="24">
        <v>5336.01</v>
      </c>
      <c r="I135" s="24">
        <v>1503</v>
      </c>
      <c r="J135" s="24">
        <v>5156.8999999999996</v>
      </c>
      <c r="K135" s="24">
        <v>0</v>
      </c>
      <c r="L135" s="32">
        <v>0</v>
      </c>
      <c r="M135" s="33">
        <v>0</v>
      </c>
      <c r="N135" s="27">
        <v>5336.01</v>
      </c>
      <c r="O135" s="24">
        <v>5156.9000000000005</v>
      </c>
      <c r="P135" s="24">
        <v>5156.8999999999996</v>
      </c>
      <c r="Q135" s="28">
        <v>1</v>
      </c>
      <c r="R135" s="29">
        <v>0</v>
      </c>
      <c r="S135" s="29">
        <v>1.03</v>
      </c>
      <c r="T135" s="29">
        <v>0</v>
      </c>
      <c r="U135" s="30">
        <v>179.11000000000058</v>
      </c>
    </row>
    <row r="136" spans="2:21" x14ac:dyDescent="0.25">
      <c r="B136" s="31" t="s">
        <v>21</v>
      </c>
      <c r="C136" s="31">
        <v>25</v>
      </c>
      <c r="D136" s="22" t="s">
        <v>244</v>
      </c>
      <c r="E136" s="22" t="s">
        <v>245</v>
      </c>
      <c r="F136" s="22"/>
      <c r="G136" s="23">
        <v>12</v>
      </c>
      <c r="H136" s="24">
        <v>720</v>
      </c>
      <c r="I136" s="24">
        <v>0</v>
      </c>
      <c r="J136" s="24">
        <v>0</v>
      </c>
      <c r="K136" s="24">
        <v>0</v>
      </c>
      <c r="L136" s="32">
        <v>0</v>
      </c>
      <c r="M136" s="33">
        <v>0</v>
      </c>
      <c r="N136" s="27">
        <v>0</v>
      </c>
      <c r="O136" s="24">
        <v>720</v>
      </c>
      <c r="P136" s="24">
        <v>720</v>
      </c>
      <c r="Q136" s="28">
        <v>0</v>
      </c>
      <c r="R136" s="29">
        <v>0</v>
      </c>
      <c r="S136" s="29">
        <v>0</v>
      </c>
      <c r="T136" s="29">
        <v>0</v>
      </c>
      <c r="U136" s="30">
        <v>720</v>
      </c>
    </row>
    <row r="137" spans="2:21" x14ac:dyDescent="0.25">
      <c r="B137" s="31" t="s">
        <v>21</v>
      </c>
      <c r="C137" s="22">
        <v>26</v>
      </c>
      <c r="D137" s="22" t="s">
        <v>40</v>
      </c>
      <c r="E137" s="22" t="s">
        <v>41</v>
      </c>
      <c r="F137" s="22"/>
      <c r="G137" s="23">
        <v>13.699999999999989</v>
      </c>
      <c r="H137" s="24">
        <v>0</v>
      </c>
      <c r="I137" s="24">
        <v>0</v>
      </c>
      <c r="J137" s="24">
        <v>0</v>
      </c>
      <c r="K137" s="24">
        <v>0</v>
      </c>
      <c r="L137" s="32">
        <v>0</v>
      </c>
      <c r="M137" s="33">
        <v>0</v>
      </c>
      <c r="N137" s="27">
        <v>0</v>
      </c>
      <c r="O137" s="24">
        <v>0</v>
      </c>
      <c r="P137" s="24">
        <v>0</v>
      </c>
      <c r="Q137" s="28">
        <v>0</v>
      </c>
      <c r="R137" s="29">
        <v>0</v>
      </c>
      <c r="S137" s="29">
        <v>0</v>
      </c>
      <c r="T137" s="29">
        <v>0</v>
      </c>
      <c r="U137" s="30">
        <v>0</v>
      </c>
    </row>
    <row r="138" spans="2:21" x14ac:dyDescent="0.25">
      <c r="B138" s="31" t="s">
        <v>21</v>
      </c>
      <c r="C138" s="31">
        <v>26</v>
      </c>
      <c r="D138" s="22" t="s">
        <v>246</v>
      </c>
      <c r="E138" s="22" t="s">
        <v>247</v>
      </c>
      <c r="F138" s="22" t="s">
        <v>140</v>
      </c>
      <c r="G138" s="23">
        <v>227.34</v>
      </c>
      <c r="H138" s="24">
        <v>2866</v>
      </c>
      <c r="I138" s="24">
        <v>181.87200000000001</v>
      </c>
      <c r="J138" s="24">
        <v>4044</v>
      </c>
      <c r="K138" s="24">
        <v>0</v>
      </c>
      <c r="L138" s="32">
        <v>0</v>
      </c>
      <c r="M138" s="33">
        <v>0</v>
      </c>
      <c r="N138" s="27">
        <v>2292.8000000000002</v>
      </c>
      <c r="O138" s="24">
        <v>4963</v>
      </c>
      <c r="P138" s="24">
        <v>5055</v>
      </c>
      <c r="Q138" s="28">
        <v>0.8</v>
      </c>
      <c r="R138" s="29">
        <v>0</v>
      </c>
      <c r="S138" s="29">
        <v>0.56999999999999995</v>
      </c>
      <c r="T138" s="29">
        <v>0</v>
      </c>
      <c r="U138" s="30">
        <v>-1178</v>
      </c>
    </row>
    <row r="139" spans="2:21" x14ac:dyDescent="0.25">
      <c r="B139" s="31" t="s">
        <v>21</v>
      </c>
      <c r="C139" s="31">
        <v>26</v>
      </c>
      <c r="D139" s="22" t="s">
        <v>248</v>
      </c>
      <c r="E139" s="22" t="s">
        <v>249</v>
      </c>
      <c r="F139" s="22"/>
      <c r="G139" s="23">
        <v>195.66</v>
      </c>
      <c r="H139" s="24">
        <v>2565</v>
      </c>
      <c r="I139" s="24">
        <v>195.65999999999997</v>
      </c>
      <c r="J139" s="24">
        <v>2650</v>
      </c>
      <c r="K139" s="24">
        <v>0</v>
      </c>
      <c r="L139" s="32">
        <v>0</v>
      </c>
      <c r="M139" s="33">
        <v>0</v>
      </c>
      <c r="N139" s="27">
        <v>2564.9999999999995</v>
      </c>
      <c r="O139" s="24">
        <v>2650</v>
      </c>
      <c r="P139" s="24">
        <v>2650.0000000000005</v>
      </c>
      <c r="Q139" s="28">
        <v>1</v>
      </c>
      <c r="R139" s="29">
        <v>0</v>
      </c>
      <c r="S139" s="29">
        <v>0.97</v>
      </c>
      <c r="T139" s="29">
        <v>0</v>
      </c>
      <c r="U139" s="30">
        <v>-85</v>
      </c>
    </row>
    <row r="140" spans="2:21" x14ac:dyDescent="0.25">
      <c r="B140" s="31" t="s">
        <v>21</v>
      </c>
      <c r="C140" s="22">
        <v>27</v>
      </c>
      <c r="D140" s="22" t="s">
        <v>52</v>
      </c>
      <c r="E140" s="22" t="s">
        <v>53</v>
      </c>
      <c r="F140" s="22" t="s">
        <v>54</v>
      </c>
      <c r="G140" s="23">
        <v>2704</v>
      </c>
      <c r="H140" s="24">
        <v>15267</v>
      </c>
      <c r="I140" s="24">
        <v>554.31999999999994</v>
      </c>
      <c r="J140" s="24">
        <v>1326.5</v>
      </c>
      <c r="K140" s="24">
        <v>13.52</v>
      </c>
      <c r="L140" s="32">
        <v>0</v>
      </c>
      <c r="M140" s="33">
        <v>76.335000000000008</v>
      </c>
      <c r="N140" s="27">
        <v>3129.7349999999997</v>
      </c>
      <c r="O140" s="24">
        <v>1550</v>
      </c>
      <c r="P140" s="24">
        <v>1550</v>
      </c>
      <c r="Q140" s="28">
        <v>0.21</v>
      </c>
      <c r="R140" s="29">
        <v>0</v>
      </c>
      <c r="S140" s="29">
        <v>2.36</v>
      </c>
      <c r="T140" s="29">
        <v>0</v>
      </c>
      <c r="U140" s="30">
        <v>13940.5</v>
      </c>
    </row>
    <row r="141" spans="2:21" x14ac:dyDescent="0.25">
      <c r="B141" s="31" t="s">
        <v>21</v>
      </c>
      <c r="C141" s="22">
        <v>30</v>
      </c>
      <c r="D141" s="22" t="s">
        <v>57</v>
      </c>
      <c r="E141" s="22" t="s">
        <v>58</v>
      </c>
      <c r="F141" s="22"/>
      <c r="G141" s="23">
        <v>23.989999999999782</v>
      </c>
      <c r="H141" s="24">
        <v>464.40000000000146</v>
      </c>
      <c r="I141" s="24">
        <v>0</v>
      </c>
      <c r="J141" s="24">
        <v>0</v>
      </c>
      <c r="K141" s="24">
        <v>0</v>
      </c>
      <c r="L141" s="32">
        <v>0</v>
      </c>
      <c r="M141" s="33">
        <v>0</v>
      </c>
      <c r="N141" s="27">
        <v>0</v>
      </c>
      <c r="O141" s="24">
        <v>1.4779288903810084E-12</v>
      </c>
      <c r="P141" s="24">
        <v>1.4779288903810084E-12</v>
      </c>
      <c r="Q141" s="28">
        <v>0</v>
      </c>
      <c r="R141" s="29">
        <v>0</v>
      </c>
      <c r="S141" s="29">
        <v>0</v>
      </c>
      <c r="T141" s="29">
        <v>0</v>
      </c>
      <c r="U141" s="30">
        <v>464.40000000000146</v>
      </c>
    </row>
    <row r="142" spans="2:21" x14ac:dyDescent="0.25">
      <c r="B142" s="31" t="s">
        <v>21</v>
      </c>
      <c r="C142" s="31">
        <v>30</v>
      </c>
      <c r="D142" s="22" t="s">
        <v>250</v>
      </c>
      <c r="E142" s="22" t="s">
        <v>251</v>
      </c>
      <c r="F142" s="22" t="s">
        <v>44</v>
      </c>
      <c r="G142" s="23">
        <v>0</v>
      </c>
      <c r="H142" s="24">
        <v>0</v>
      </c>
      <c r="I142" s="24">
        <v>0</v>
      </c>
      <c r="J142" s="24">
        <v>0</v>
      </c>
      <c r="K142" s="24">
        <v>0</v>
      </c>
      <c r="L142" s="32">
        <v>0</v>
      </c>
      <c r="M142" s="33">
        <v>0</v>
      </c>
      <c r="N142" s="27">
        <v>0</v>
      </c>
      <c r="O142" s="24">
        <v>0</v>
      </c>
      <c r="P142" s="24">
        <v>0</v>
      </c>
      <c r="Q142" s="28">
        <v>0</v>
      </c>
      <c r="R142" s="29">
        <v>0</v>
      </c>
      <c r="S142" s="29">
        <v>0</v>
      </c>
      <c r="T142" s="29">
        <v>0</v>
      </c>
      <c r="U142" s="30">
        <v>0</v>
      </c>
    </row>
    <row r="143" spans="2:21" x14ac:dyDescent="0.25">
      <c r="B143" s="31" t="s">
        <v>21</v>
      </c>
      <c r="C143" s="31">
        <v>30</v>
      </c>
      <c r="D143" s="22" t="s">
        <v>252</v>
      </c>
      <c r="E143" s="22" t="s">
        <v>253</v>
      </c>
      <c r="F143" s="22"/>
      <c r="G143" s="23">
        <v>12</v>
      </c>
      <c r="H143" s="24">
        <v>360</v>
      </c>
      <c r="I143" s="24">
        <v>12</v>
      </c>
      <c r="J143" s="24">
        <v>394</v>
      </c>
      <c r="K143" s="24">
        <v>0</v>
      </c>
      <c r="L143" s="32">
        <v>0</v>
      </c>
      <c r="M143" s="33">
        <v>0</v>
      </c>
      <c r="N143" s="27">
        <v>360</v>
      </c>
      <c r="O143" s="24">
        <v>394</v>
      </c>
      <c r="P143" s="24">
        <v>394</v>
      </c>
      <c r="Q143" s="28">
        <v>1</v>
      </c>
      <c r="R143" s="29">
        <v>0</v>
      </c>
      <c r="S143" s="29">
        <v>0.91</v>
      </c>
      <c r="T143" s="29">
        <v>0</v>
      </c>
      <c r="U143" s="30">
        <v>-34</v>
      </c>
    </row>
    <row r="144" spans="2:21" x14ac:dyDescent="0.25">
      <c r="B144" s="31" t="s">
        <v>21</v>
      </c>
      <c r="C144" s="31">
        <v>30</v>
      </c>
      <c r="D144" s="22" t="s">
        <v>254</v>
      </c>
      <c r="E144" s="22" t="s">
        <v>255</v>
      </c>
      <c r="F144" s="22" t="s">
        <v>788</v>
      </c>
      <c r="G144" s="23">
        <v>1242.1500000000001</v>
      </c>
      <c r="H144" s="24">
        <v>24214</v>
      </c>
      <c r="I144" s="24">
        <v>1242.1500000000001</v>
      </c>
      <c r="J144" s="24">
        <v>18068.5</v>
      </c>
      <c r="K144" s="24">
        <v>6.2110000000000003</v>
      </c>
      <c r="L144" s="32">
        <v>328</v>
      </c>
      <c r="M144" s="33">
        <v>121.07487340498329</v>
      </c>
      <c r="N144" s="27">
        <v>24214</v>
      </c>
      <c r="O144" s="24">
        <v>17325</v>
      </c>
      <c r="P144" s="24">
        <v>18068.5</v>
      </c>
      <c r="Q144" s="28">
        <v>1</v>
      </c>
      <c r="R144" s="29">
        <v>0.37</v>
      </c>
      <c r="S144" s="29">
        <v>1.34</v>
      </c>
      <c r="T144" s="29">
        <v>328.5</v>
      </c>
      <c r="U144" s="30">
        <v>5817</v>
      </c>
    </row>
    <row r="145" spans="2:21" x14ac:dyDescent="0.25">
      <c r="B145" s="31" t="s">
        <v>21</v>
      </c>
      <c r="C145" s="31">
        <v>30</v>
      </c>
      <c r="D145" s="22" t="s">
        <v>256</v>
      </c>
      <c r="E145" s="22" t="s">
        <v>257</v>
      </c>
      <c r="F145" s="22"/>
      <c r="G145" s="23">
        <v>589.45000000000005</v>
      </c>
      <c r="H145" s="24">
        <v>11885.39</v>
      </c>
      <c r="I145" s="24">
        <v>589.45000000000005</v>
      </c>
      <c r="J145" s="24">
        <v>9200.5</v>
      </c>
      <c r="K145" s="24">
        <v>0</v>
      </c>
      <c r="L145" s="32">
        <v>0</v>
      </c>
      <c r="M145" s="33">
        <v>0</v>
      </c>
      <c r="N145" s="27">
        <v>11885.39</v>
      </c>
      <c r="O145" s="24">
        <v>9200.5</v>
      </c>
      <c r="P145" s="24">
        <v>9200.5</v>
      </c>
      <c r="Q145" s="28">
        <v>1</v>
      </c>
      <c r="R145" s="29">
        <v>0</v>
      </c>
      <c r="S145" s="29">
        <v>1.29</v>
      </c>
      <c r="T145" s="29">
        <v>0</v>
      </c>
      <c r="U145" s="30">
        <v>2684.8899999999994</v>
      </c>
    </row>
    <row r="146" spans="2:21" x14ac:dyDescent="0.25">
      <c r="B146" s="31" t="s">
        <v>21</v>
      </c>
      <c r="C146" s="31">
        <v>30</v>
      </c>
      <c r="D146" s="22" t="s">
        <v>258</v>
      </c>
      <c r="E146" s="22" t="s">
        <v>259</v>
      </c>
      <c r="F146" s="22" t="s">
        <v>44</v>
      </c>
      <c r="G146" s="23">
        <v>0</v>
      </c>
      <c r="H146" s="24">
        <v>0</v>
      </c>
      <c r="I146" s="24">
        <v>0</v>
      </c>
      <c r="J146" s="24">
        <v>0</v>
      </c>
      <c r="K146" s="24">
        <v>0</v>
      </c>
      <c r="L146" s="32">
        <v>0</v>
      </c>
      <c r="M146" s="33">
        <v>0</v>
      </c>
      <c r="N146" s="27">
        <v>0</v>
      </c>
      <c r="O146" s="24">
        <v>0</v>
      </c>
      <c r="P146" s="24">
        <v>0</v>
      </c>
      <c r="Q146" s="28">
        <v>0</v>
      </c>
      <c r="R146" s="29">
        <v>0</v>
      </c>
      <c r="S146" s="29">
        <v>0</v>
      </c>
      <c r="T146" s="29">
        <v>0</v>
      </c>
      <c r="U146" s="30">
        <v>0</v>
      </c>
    </row>
    <row r="147" spans="2:21" x14ac:dyDescent="0.25">
      <c r="B147" s="31" t="s">
        <v>21</v>
      </c>
      <c r="C147" s="31">
        <v>30</v>
      </c>
      <c r="D147" s="22" t="s">
        <v>59</v>
      </c>
      <c r="E147" s="22" t="s">
        <v>259</v>
      </c>
      <c r="F147" s="22" t="s">
        <v>44</v>
      </c>
      <c r="G147" s="23">
        <v>0</v>
      </c>
      <c r="H147" s="24">
        <v>0</v>
      </c>
      <c r="I147" s="24">
        <v>0</v>
      </c>
      <c r="J147" s="24">
        <v>0</v>
      </c>
      <c r="K147" s="24">
        <v>0</v>
      </c>
      <c r="L147" s="32">
        <v>0</v>
      </c>
      <c r="M147" s="33">
        <v>0</v>
      </c>
      <c r="N147" s="27">
        <v>0</v>
      </c>
      <c r="O147" s="24">
        <v>0</v>
      </c>
      <c r="P147" s="24">
        <v>0</v>
      </c>
      <c r="Q147" s="28">
        <v>0</v>
      </c>
      <c r="R147" s="29">
        <v>0</v>
      </c>
      <c r="S147" s="29">
        <v>0</v>
      </c>
      <c r="T147" s="29">
        <v>0</v>
      </c>
      <c r="U147" s="30">
        <v>0</v>
      </c>
    </row>
    <row r="148" spans="2:21" x14ac:dyDescent="0.25">
      <c r="B148" s="31" t="s">
        <v>21</v>
      </c>
      <c r="C148" s="31">
        <v>30</v>
      </c>
      <c r="D148" s="22" t="s">
        <v>260</v>
      </c>
      <c r="E148" s="22" t="s">
        <v>261</v>
      </c>
      <c r="F148" s="22"/>
      <c r="G148" s="23">
        <v>194</v>
      </c>
      <c r="H148" s="24">
        <v>3752</v>
      </c>
      <c r="I148" s="24">
        <v>0</v>
      </c>
      <c r="J148" s="24">
        <v>0</v>
      </c>
      <c r="K148" s="24">
        <v>0</v>
      </c>
      <c r="L148" s="32">
        <v>0</v>
      </c>
      <c r="M148" s="33">
        <v>0</v>
      </c>
      <c r="N148" s="27">
        <v>0</v>
      </c>
      <c r="O148" s="24">
        <v>0</v>
      </c>
      <c r="P148" s="24">
        <v>0</v>
      </c>
      <c r="Q148" s="28">
        <v>0</v>
      </c>
      <c r="R148" s="29">
        <v>0</v>
      </c>
      <c r="S148" s="29">
        <v>0</v>
      </c>
      <c r="T148" s="29">
        <v>0</v>
      </c>
      <c r="U148" s="30">
        <v>3752</v>
      </c>
    </row>
    <row r="149" spans="2:21" x14ac:dyDescent="0.25">
      <c r="B149" s="31" t="s">
        <v>21</v>
      </c>
      <c r="C149" s="22">
        <v>45</v>
      </c>
      <c r="D149" s="22" t="s">
        <v>63</v>
      </c>
      <c r="E149" s="22" t="s">
        <v>64</v>
      </c>
      <c r="F149" s="22" t="s">
        <v>132</v>
      </c>
      <c r="G149" s="23">
        <v>951</v>
      </c>
      <c r="H149" s="24">
        <v>13803</v>
      </c>
      <c r="I149" s="24">
        <v>475.49999999999989</v>
      </c>
      <c r="J149" s="24">
        <v>1774</v>
      </c>
      <c r="K149" s="24">
        <v>0</v>
      </c>
      <c r="L149" s="32">
        <v>74</v>
      </c>
      <c r="M149" s="33">
        <v>0</v>
      </c>
      <c r="N149" s="27">
        <v>6901.4999999999982</v>
      </c>
      <c r="O149" s="24">
        <v>5303</v>
      </c>
      <c r="P149" s="24">
        <v>3548.0000000000009</v>
      </c>
      <c r="Q149" s="28">
        <v>0.5</v>
      </c>
      <c r="R149" s="29">
        <v>0</v>
      </c>
      <c r="S149" s="29">
        <v>3.89</v>
      </c>
      <c r="T149" s="29">
        <v>74.5</v>
      </c>
      <c r="U149" s="30">
        <v>11954.5</v>
      </c>
    </row>
    <row r="150" spans="2:21" x14ac:dyDescent="0.25">
      <c r="B150" s="31" t="s">
        <v>21</v>
      </c>
      <c r="C150" s="22">
        <v>50</v>
      </c>
      <c r="D150" s="22" t="s">
        <v>69</v>
      </c>
      <c r="E150" s="22" t="s">
        <v>70</v>
      </c>
      <c r="F150" s="22" t="s">
        <v>44</v>
      </c>
      <c r="G150" s="23">
        <v>0</v>
      </c>
      <c r="H150" s="24">
        <v>0</v>
      </c>
      <c r="I150" s="24">
        <v>0</v>
      </c>
      <c r="J150" s="24">
        <v>0</v>
      </c>
      <c r="K150" s="24">
        <v>0</v>
      </c>
      <c r="L150" s="32">
        <v>0</v>
      </c>
      <c r="M150" s="33">
        <v>0</v>
      </c>
      <c r="N150" s="27">
        <v>0</v>
      </c>
      <c r="O150" s="24">
        <v>0</v>
      </c>
      <c r="P150" s="24">
        <v>0</v>
      </c>
      <c r="Q150" s="28">
        <v>0</v>
      </c>
      <c r="R150" s="29">
        <v>0</v>
      </c>
      <c r="S150" s="29">
        <v>0</v>
      </c>
      <c r="T150" s="29">
        <v>0</v>
      </c>
      <c r="U150" s="30">
        <v>0</v>
      </c>
    </row>
    <row r="151" spans="2:21" x14ac:dyDescent="0.25">
      <c r="B151" s="31" t="s">
        <v>21</v>
      </c>
      <c r="C151" s="31">
        <v>50</v>
      </c>
      <c r="D151" s="22" t="s">
        <v>262</v>
      </c>
      <c r="E151" s="22" t="s">
        <v>263</v>
      </c>
      <c r="F151" s="22"/>
      <c r="G151" s="23">
        <v>540</v>
      </c>
      <c r="H151" s="24">
        <v>1260</v>
      </c>
      <c r="I151" s="24">
        <v>0</v>
      </c>
      <c r="J151" s="24">
        <v>0</v>
      </c>
      <c r="K151" s="24">
        <v>0</v>
      </c>
      <c r="L151" s="32">
        <v>0</v>
      </c>
      <c r="M151" s="33">
        <v>0</v>
      </c>
      <c r="N151" s="27">
        <v>0</v>
      </c>
      <c r="O151" s="24">
        <v>1260</v>
      </c>
      <c r="P151" s="24">
        <v>1260</v>
      </c>
      <c r="Q151" s="28">
        <v>0</v>
      </c>
      <c r="R151" s="29">
        <v>0</v>
      </c>
      <c r="S151" s="29">
        <v>0</v>
      </c>
      <c r="T151" s="29">
        <v>0</v>
      </c>
      <c r="U151" s="30">
        <v>1260</v>
      </c>
    </row>
    <row r="152" spans="2:21" x14ac:dyDescent="0.25">
      <c r="B152" s="31" t="s">
        <v>21</v>
      </c>
      <c r="C152" s="31">
        <v>50</v>
      </c>
      <c r="D152" s="22" t="s">
        <v>264</v>
      </c>
      <c r="E152" s="22" t="s">
        <v>265</v>
      </c>
      <c r="F152" s="22"/>
      <c r="G152" s="23">
        <v>528</v>
      </c>
      <c r="H152" s="24">
        <v>2640</v>
      </c>
      <c r="I152" s="24">
        <v>0</v>
      </c>
      <c r="J152" s="24">
        <v>0</v>
      </c>
      <c r="K152" s="24">
        <v>0</v>
      </c>
      <c r="L152" s="32">
        <v>0</v>
      </c>
      <c r="M152" s="33">
        <v>0</v>
      </c>
      <c r="N152" s="27">
        <v>0</v>
      </c>
      <c r="O152" s="24">
        <v>2640</v>
      </c>
      <c r="P152" s="24">
        <v>2640</v>
      </c>
      <c r="Q152" s="28">
        <v>0</v>
      </c>
      <c r="R152" s="29">
        <v>0</v>
      </c>
      <c r="S152" s="29">
        <v>0</v>
      </c>
      <c r="T152" s="29">
        <v>0</v>
      </c>
      <c r="U152" s="30">
        <v>2640</v>
      </c>
    </row>
    <row r="153" spans="2:21" x14ac:dyDescent="0.25">
      <c r="B153" s="31" t="s">
        <v>21</v>
      </c>
      <c r="C153" s="31">
        <v>50</v>
      </c>
      <c r="D153" s="22" t="s">
        <v>71</v>
      </c>
      <c r="E153" s="22" t="s">
        <v>266</v>
      </c>
      <c r="F153" s="22"/>
      <c r="G153" s="23">
        <v>43957</v>
      </c>
      <c r="H153" s="24">
        <v>73919</v>
      </c>
      <c r="I153" s="24">
        <v>43956.999999999993</v>
      </c>
      <c r="J153" s="24">
        <v>59268.5</v>
      </c>
      <c r="K153" s="24">
        <v>0</v>
      </c>
      <c r="L153" s="32">
        <v>0</v>
      </c>
      <c r="M153" s="33">
        <v>0</v>
      </c>
      <c r="N153" s="27">
        <v>73918.999999999985</v>
      </c>
      <c r="O153" s="24">
        <v>59268.5</v>
      </c>
      <c r="P153" s="24">
        <v>59268.500000000007</v>
      </c>
      <c r="Q153" s="28">
        <v>1</v>
      </c>
      <c r="R153" s="29">
        <v>0</v>
      </c>
      <c r="S153" s="29">
        <v>1.25</v>
      </c>
      <c r="T153" s="29">
        <v>0</v>
      </c>
      <c r="U153" s="30">
        <v>14650.5</v>
      </c>
    </row>
    <row r="154" spans="2:21" x14ac:dyDescent="0.25">
      <c r="B154" s="31" t="s">
        <v>21</v>
      </c>
      <c r="C154" s="31">
        <v>50</v>
      </c>
      <c r="D154" s="22" t="s">
        <v>72</v>
      </c>
      <c r="E154" s="22" t="s">
        <v>267</v>
      </c>
      <c r="F154" s="22" t="s">
        <v>33</v>
      </c>
      <c r="G154" s="23">
        <v>43957</v>
      </c>
      <c r="H154" s="24">
        <v>83691</v>
      </c>
      <c r="I154" s="24">
        <v>40440.44</v>
      </c>
      <c r="J154" s="24">
        <v>66172.5</v>
      </c>
      <c r="K154" s="24">
        <v>2197.85</v>
      </c>
      <c r="L154" s="32">
        <v>7261</v>
      </c>
      <c r="M154" s="33">
        <v>4184.5499999999993</v>
      </c>
      <c r="N154" s="27">
        <v>76995.72</v>
      </c>
      <c r="O154" s="24">
        <v>83691</v>
      </c>
      <c r="P154" s="24">
        <v>71926.630434782608</v>
      </c>
      <c r="Q154" s="28">
        <v>0.92</v>
      </c>
      <c r="R154" s="29">
        <v>0.57999999999999996</v>
      </c>
      <c r="S154" s="29">
        <v>1.1599999999999999</v>
      </c>
      <c r="T154" s="29">
        <v>7256</v>
      </c>
      <c r="U154" s="30">
        <v>10262.5</v>
      </c>
    </row>
    <row r="155" spans="2:21" x14ac:dyDescent="0.25">
      <c r="B155" s="31" t="s">
        <v>21</v>
      </c>
      <c r="C155" s="31">
        <v>50</v>
      </c>
      <c r="D155" s="22" t="s">
        <v>268</v>
      </c>
      <c r="E155" s="22" t="s">
        <v>269</v>
      </c>
      <c r="F155" s="22" t="s">
        <v>44</v>
      </c>
      <c r="G155" s="23">
        <v>542</v>
      </c>
      <c r="H155" s="24">
        <v>9000</v>
      </c>
      <c r="I155" s="24">
        <v>0</v>
      </c>
      <c r="J155" s="24">
        <v>0</v>
      </c>
      <c r="K155" s="24">
        <v>0</v>
      </c>
      <c r="L155" s="32">
        <v>0</v>
      </c>
      <c r="M155" s="33">
        <v>0</v>
      </c>
      <c r="N155" s="27">
        <v>0</v>
      </c>
      <c r="O155" s="24">
        <v>0</v>
      </c>
      <c r="P155" s="24">
        <v>0</v>
      </c>
      <c r="Q155" s="28">
        <v>0</v>
      </c>
      <c r="R155" s="29">
        <v>0</v>
      </c>
      <c r="S155" s="29">
        <v>0</v>
      </c>
      <c r="T155" s="29">
        <v>0</v>
      </c>
      <c r="U155" s="30">
        <v>9000</v>
      </c>
    </row>
    <row r="156" spans="2:21" x14ac:dyDescent="0.25">
      <c r="B156" s="31" t="s">
        <v>21</v>
      </c>
      <c r="C156" s="22">
        <v>51</v>
      </c>
      <c r="D156" s="22" t="s">
        <v>73</v>
      </c>
      <c r="E156" s="22" t="s">
        <v>74</v>
      </c>
      <c r="F156" s="22" t="s">
        <v>44</v>
      </c>
      <c r="G156" s="23">
        <v>0</v>
      </c>
      <c r="H156" s="24">
        <v>0</v>
      </c>
      <c r="I156" s="24">
        <v>0</v>
      </c>
      <c r="J156" s="24">
        <v>0</v>
      </c>
      <c r="K156" s="24">
        <v>0</v>
      </c>
      <c r="L156" s="32">
        <v>0</v>
      </c>
      <c r="M156" s="33">
        <v>0</v>
      </c>
      <c r="N156" s="27">
        <v>0</v>
      </c>
      <c r="O156" s="24">
        <v>-3910</v>
      </c>
      <c r="P156" s="24">
        <v>-3910</v>
      </c>
      <c r="Q156" s="28">
        <v>0</v>
      </c>
      <c r="R156" s="29">
        <v>0</v>
      </c>
      <c r="S156" s="29">
        <v>0</v>
      </c>
      <c r="T156" s="29">
        <v>0</v>
      </c>
      <c r="U156" s="30">
        <v>0</v>
      </c>
    </row>
    <row r="157" spans="2:21" x14ac:dyDescent="0.25">
      <c r="B157" s="31" t="s">
        <v>21</v>
      </c>
      <c r="C157" s="31">
        <v>51</v>
      </c>
      <c r="D157" s="22" t="s">
        <v>75</v>
      </c>
      <c r="E157" s="22" t="s">
        <v>270</v>
      </c>
      <c r="F157" s="22" t="s">
        <v>788</v>
      </c>
      <c r="G157" s="23">
        <v>12972</v>
      </c>
      <c r="H157" s="24">
        <v>24919</v>
      </c>
      <c r="I157" s="24">
        <v>12193.680000000002</v>
      </c>
      <c r="J157" s="24">
        <v>27654</v>
      </c>
      <c r="K157" s="24">
        <v>1167.48</v>
      </c>
      <c r="L157" s="32">
        <v>3043</v>
      </c>
      <c r="M157" s="33">
        <v>2242.71</v>
      </c>
      <c r="N157" s="27">
        <v>23423.860000000004</v>
      </c>
      <c r="O157" s="24">
        <v>24919</v>
      </c>
      <c r="P157" s="24">
        <v>29419.148936170208</v>
      </c>
      <c r="Q157" s="28">
        <v>0.94</v>
      </c>
      <c r="R157" s="29">
        <v>0.74</v>
      </c>
      <c r="S157" s="29">
        <v>0.85</v>
      </c>
      <c r="T157" s="29">
        <v>3046</v>
      </c>
      <c r="U157" s="30">
        <v>-5781</v>
      </c>
    </row>
    <row r="158" spans="2:21" x14ac:dyDescent="0.25">
      <c r="B158" s="31" t="s">
        <v>21</v>
      </c>
      <c r="C158" s="22">
        <v>52</v>
      </c>
      <c r="D158" s="22" t="s">
        <v>76</v>
      </c>
      <c r="E158" s="22" t="s">
        <v>162</v>
      </c>
      <c r="F158" s="22" t="s">
        <v>44</v>
      </c>
      <c r="G158" s="23">
        <v>0</v>
      </c>
      <c r="H158" s="24">
        <v>-0.2000000000007276</v>
      </c>
      <c r="I158" s="24">
        <v>0</v>
      </c>
      <c r="J158" s="24">
        <v>0</v>
      </c>
      <c r="K158" s="24">
        <v>0</v>
      </c>
      <c r="L158" s="32">
        <v>0</v>
      </c>
      <c r="M158" s="33">
        <v>0</v>
      </c>
      <c r="N158" s="27">
        <v>0</v>
      </c>
      <c r="O158" s="24">
        <v>0</v>
      </c>
      <c r="P158" s="24">
        <v>0</v>
      </c>
      <c r="Q158" s="28">
        <v>0</v>
      </c>
      <c r="R158" s="29">
        <v>0</v>
      </c>
      <c r="S158" s="29">
        <v>0</v>
      </c>
      <c r="T158" s="29">
        <v>0</v>
      </c>
      <c r="U158" s="30">
        <v>-0.2000000000007276</v>
      </c>
    </row>
    <row r="159" spans="2:21" x14ac:dyDescent="0.25">
      <c r="B159" s="31" t="s">
        <v>21</v>
      </c>
      <c r="C159" s="22">
        <v>53</v>
      </c>
      <c r="D159" s="22" t="s">
        <v>271</v>
      </c>
      <c r="E159" s="34" t="s">
        <v>272</v>
      </c>
      <c r="F159" s="22" t="s">
        <v>140</v>
      </c>
      <c r="G159" s="23">
        <v>71863</v>
      </c>
      <c r="H159" s="24">
        <v>12490</v>
      </c>
      <c r="I159" s="24">
        <v>44914.375</v>
      </c>
      <c r="J159" s="24">
        <v>2941</v>
      </c>
      <c r="K159" s="24">
        <v>0</v>
      </c>
      <c r="L159" s="32">
        <v>0</v>
      </c>
      <c r="M159" s="33">
        <v>0</v>
      </c>
      <c r="N159" s="27">
        <v>7806.25</v>
      </c>
      <c r="O159" s="35">
        <v>2941</v>
      </c>
      <c r="P159" s="35">
        <v>4705.6000000000004</v>
      </c>
      <c r="Q159" s="36">
        <v>0.63</v>
      </c>
      <c r="R159" s="29">
        <v>0</v>
      </c>
      <c r="S159" s="29">
        <v>2.65</v>
      </c>
      <c r="T159" s="29">
        <v>0</v>
      </c>
      <c r="U159" s="30">
        <v>9549</v>
      </c>
    </row>
    <row r="160" spans="2:21" x14ac:dyDescent="0.25">
      <c r="B160" s="31" t="s">
        <v>21</v>
      </c>
      <c r="C160" s="22">
        <v>55</v>
      </c>
      <c r="D160" s="22" t="s">
        <v>78</v>
      </c>
      <c r="E160" s="22" t="s">
        <v>79</v>
      </c>
      <c r="F160" s="22" t="s">
        <v>44</v>
      </c>
      <c r="G160" s="23">
        <v>3189</v>
      </c>
      <c r="H160" s="24">
        <v>1697.5</v>
      </c>
      <c r="I160" s="24">
        <v>0</v>
      </c>
      <c r="J160" s="24">
        <v>0</v>
      </c>
      <c r="K160" s="24">
        <v>0</v>
      </c>
      <c r="L160" s="32">
        <v>0</v>
      </c>
      <c r="M160" s="33">
        <v>0</v>
      </c>
      <c r="N160" s="27">
        <v>0</v>
      </c>
      <c r="O160" s="24">
        <v>0</v>
      </c>
      <c r="P160" s="24">
        <v>0</v>
      </c>
      <c r="Q160" s="28">
        <v>0</v>
      </c>
      <c r="R160" s="29">
        <v>0</v>
      </c>
      <c r="S160" s="29">
        <v>0</v>
      </c>
      <c r="T160" s="29">
        <v>0</v>
      </c>
      <c r="U160" s="30">
        <v>1697.5</v>
      </c>
    </row>
    <row r="161" spans="2:21" x14ac:dyDescent="0.25">
      <c r="B161" s="31" t="s">
        <v>21</v>
      </c>
      <c r="C161" s="31">
        <v>55</v>
      </c>
      <c r="D161" s="22" t="s">
        <v>80</v>
      </c>
      <c r="E161" s="22" t="s">
        <v>273</v>
      </c>
      <c r="F161" s="22" t="s">
        <v>788</v>
      </c>
      <c r="G161" s="23">
        <v>4686</v>
      </c>
      <c r="H161" s="24">
        <v>18500</v>
      </c>
      <c r="I161" s="24">
        <v>4639.1400000000003</v>
      </c>
      <c r="J161" s="24">
        <v>20968</v>
      </c>
      <c r="K161" s="24">
        <v>164.01</v>
      </c>
      <c r="L161" s="32">
        <v>721</v>
      </c>
      <c r="M161" s="33">
        <v>647.49999999999989</v>
      </c>
      <c r="N161" s="27">
        <v>18315.000000000004</v>
      </c>
      <c r="O161" s="24">
        <v>20500</v>
      </c>
      <c r="P161" s="24">
        <v>21179.797979797979</v>
      </c>
      <c r="Q161" s="28">
        <v>0.99</v>
      </c>
      <c r="R161" s="29">
        <v>0.9</v>
      </c>
      <c r="S161" s="29">
        <v>0.87</v>
      </c>
      <c r="T161" s="29">
        <v>722.5</v>
      </c>
      <c r="U161" s="30">
        <v>-3190.5</v>
      </c>
    </row>
    <row r="162" spans="2:21" x14ac:dyDescent="0.25">
      <c r="B162" s="31" t="s">
        <v>21</v>
      </c>
      <c r="C162" s="22">
        <v>58</v>
      </c>
      <c r="D162" s="22" t="s">
        <v>128</v>
      </c>
      <c r="E162" s="22" t="s">
        <v>319</v>
      </c>
      <c r="F162" s="22" t="s">
        <v>44</v>
      </c>
      <c r="G162" s="23">
        <v>3071</v>
      </c>
      <c r="H162" s="24">
        <v>2533</v>
      </c>
      <c r="I162" s="24">
        <v>0</v>
      </c>
      <c r="J162" s="24">
        <v>0</v>
      </c>
      <c r="K162" s="24">
        <v>0</v>
      </c>
      <c r="L162" s="32">
        <v>0</v>
      </c>
      <c r="M162" s="33">
        <v>0</v>
      </c>
      <c r="N162" s="27">
        <v>0</v>
      </c>
      <c r="O162" s="24">
        <v>0</v>
      </c>
      <c r="P162" s="24">
        <v>0</v>
      </c>
      <c r="Q162" s="28">
        <v>0</v>
      </c>
      <c r="R162" s="29">
        <v>0</v>
      </c>
      <c r="S162" s="29">
        <v>0</v>
      </c>
      <c r="T162" s="29">
        <v>0</v>
      </c>
      <c r="U162" s="30">
        <v>2533</v>
      </c>
    </row>
    <row r="163" spans="2:21" x14ac:dyDescent="0.25">
      <c r="B163" s="31" t="s">
        <v>21</v>
      </c>
      <c r="C163" s="22">
        <v>75</v>
      </c>
      <c r="D163" s="22" t="s">
        <v>231</v>
      </c>
      <c r="E163" s="22" t="s">
        <v>232</v>
      </c>
      <c r="F163" s="22" t="s">
        <v>788</v>
      </c>
      <c r="G163" s="23">
        <v>61412</v>
      </c>
      <c r="H163" s="24">
        <v>26026</v>
      </c>
      <c r="I163" s="24">
        <v>45444.88</v>
      </c>
      <c r="J163" s="24">
        <v>22208</v>
      </c>
      <c r="K163" s="24">
        <v>8597.68</v>
      </c>
      <c r="L163" s="32">
        <v>3777</v>
      </c>
      <c r="M163" s="33">
        <v>3643.6400000000003</v>
      </c>
      <c r="N163" s="27">
        <v>19259.239999999998</v>
      </c>
      <c r="O163" s="24">
        <v>26026</v>
      </c>
      <c r="P163" s="24">
        <v>30010.81081081081</v>
      </c>
      <c r="Q163" s="28">
        <v>0.74</v>
      </c>
      <c r="R163" s="29">
        <v>0.96</v>
      </c>
      <c r="S163" s="29">
        <v>0.87</v>
      </c>
      <c r="T163" s="29">
        <v>3776.5</v>
      </c>
      <c r="U163" s="30">
        <v>41.5</v>
      </c>
    </row>
    <row r="164" spans="2:21" x14ac:dyDescent="0.25">
      <c r="B164" s="31" t="s">
        <v>21</v>
      </c>
      <c r="C164" s="22">
        <v>90</v>
      </c>
      <c r="D164" s="22" t="s">
        <v>86</v>
      </c>
      <c r="E164" s="22" t="s">
        <v>87</v>
      </c>
      <c r="F164" s="22" t="s">
        <v>49</v>
      </c>
      <c r="G164" s="23">
        <v>0</v>
      </c>
      <c r="H164" s="24">
        <v>6832.2000000000007</v>
      </c>
      <c r="I164" s="24">
        <v>0</v>
      </c>
      <c r="J164" s="24">
        <v>7318</v>
      </c>
      <c r="K164" s="24">
        <v>0</v>
      </c>
      <c r="L164" s="32">
        <v>210</v>
      </c>
      <c r="M164" s="33">
        <v>0</v>
      </c>
      <c r="N164" s="27">
        <v>0</v>
      </c>
      <c r="O164" s="24">
        <v>7000.0000000000009</v>
      </c>
      <c r="P164" s="24">
        <v>7000.0000000000009</v>
      </c>
      <c r="Q164" s="28">
        <v>0</v>
      </c>
      <c r="R164" s="29">
        <v>0</v>
      </c>
      <c r="S164" s="29">
        <v>0</v>
      </c>
      <c r="T164" s="29">
        <v>0</v>
      </c>
      <c r="U164" s="30">
        <v>-485.79999999999927</v>
      </c>
    </row>
    <row r="165" spans="2:21" x14ac:dyDescent="0.25">
      <c r="B165" s="31" t="s">
        <v>21</v>
      </c>
      <c r="C165" s="31">
        <v>90</v>
      </c>
      <c r="D165" s="22" t="s">
        <v>88</v>
      </c>
      <c r="E165" s="22" t="s">
        <v>89</v>
      </c>
      <c r="F165" s="22" t="s">
        <v>49</v>
      </c>
      <c r="G165" s="23">
        <v>0</v>
      </c>
      <c r="H165" s="24">
        <v>49346</v>
      </c>
      <c r="I165" s="24">
        <v>0</v>
      </c>
      <c r="J165" s="24">
        <v>27462</v>
      </c>
      <c r="K165" s="24">
        <v>0</v>
      </c>
      <c r="L165" s="32">
        <v>405</v>
      </c>
      <c r="M165" s="33">
        <v>0</v>
      </c>
      <c r="N165" s="27">
        <v>0</v>
      </c>
      <c r="O165" s="24">
        <v>27160</v>
      </c>
      <c r="P165" s="24">
        <v>27160</v>
      </c>
      <c r="Q165" s="28">
        <v>0</v>
      </c>
      <c r="R165" s="29">
        <v>0</v>
      </c>
      <c r="S165" s="29">
        <v>0</v>
      </c>
      <c r="T165" s="29">
        <v>212</v>
      </c>
      <c r="U165" s="30">
        <v>21672</v>
      </c>
    </row>
    <row r="166" spans="2:21" x14ac:dyDescent="0.25">
      <c r="B166" s="31" t="s">
        <v>21</v>
      </c>
      <c r="C166" s="31">
        <v>90</v>
      </c>
      <c r="D166" s="22" t="s">
        <v>90</v>
      </c>
      <c r="E166" s="22" t="s">
        <v>91</v>
      </c>
      <c r="F166" s="22" t="s">
        <v>49</v>
      </c>
      <c r="G166" s="23">
        <v>0</v>
      </c>
      <c r="H166" s="24">
        <v>10920</v>
      </c>
      <c r="I166" s="24">
        <v>0</v>
      </c>
      <c r="J166" s="24">
        <v>11384</v>
      </c>
      <c r="K166" s="24">
        <v>0</v>
      </c>
      <c r="L166" s="32">
        <v>472</v>
      </c>
      <c r="M166" s="33">
        <v>0</v>
      </c>
      <c r="N166" s="27">
        <v>0</v>
      </c>
      <c r="O166" s="24">
        <v>10550</v>
      </c>
      <c r="P166" s="24">
        <v>10550</v>
      </c>
      <c r="Q166" s="28">
        <v>0</v>
      </c>
      <c r="R166" s="29">
        <v>0</v>
      </c>
      <c r="S166" s="29">
        <v>0</v>
      </c>
      <c r="T166" s="29">
        <v>473</v>
      </c>
      <c r="U166" s="30">
        <v>-937</v>
      </c>
    </row>
    <row r="167" spans="2:21" x14ac:dyDescent="0.25">
      <c r="B167" s="31" t="s">
        <v>21</v>
      </c>
      <c r="C167" s="31">
        <v>90</v>
      </c>
      <c r="D167" s="22" t="s">
        <v>92</v>
      </c>
      <c r="E167" s="22" t="s">
        <v>93</v>
      </c>
      <c r="F167" s="22" t="s">
        <v>49</v>
      </c>
      <c r="G167" s="23">
        <v>0</v>
      </c>
      <c r="H167" s="24">
        <v>49560</v>
      </c>
      <c r="I167" s="24">
        <v>0</v>
      </c>
      <c r="J167" s="24">
        <v>37929</v>
      </c>
      <c r="K167" s="24">
        <v>0</v>
      </c>
      <c r="L167" s="32">
        <v>2655</v>
      </c>
      <c r="M167" s="33">
        <v>0</v>
      </c>
      <c r="N167" s="27">
        <v>0</v>
      </c>
      <c r="O167" s="24">
        <v>30837</v>
      </c>
      <c r="P167" s="24">
        <v>30837</v>
      </c>
      <c r="Q167" s="28">
        <v>0</v>
      </c>
      <c r="R167" s="29">
        <v>0</v>
      </c>
      <c r="S167" s="29">
        <v>0</v>
      </c>
      <c r="T167" s="29">
        <v>1909</v>
      </c>
      <c r="U167" s="30">
        <v>9722</v>
      </c>
    </row>
    <row r="168" spans="2:21" x14ac:dyDescent="0.25">
      <c r="B168" s="31" t="s">
        <v>21</v>
      </c>
      <c r="C168" s="31">
        <v>90</v>
      </c>
      <c r="D168" s="22" t="s">
        <v>94</v>
      </c>
      <c r="E168" s="22" t="s">
        <v>95</v>
      </c>
      <c r="F168" s="22" t="s">
        <v>49</v>
      </c>
      <c r="G168" s="23">
        <v>0</v>
      </c>
      <c r="H168" s="24">
        <v>2940</v>
      </c>
      <c r="I168" s="24">
        <v>0</v>
      </c>
      <c r="J168" s="24">
        <v>892.5</v>
      </c>
      <c r="K168" s="24">
        <v>0</v>
      </c>
      <c r="L168" s="32">
        <v>25</v>
      </c>
      <c r="M168" s="33">
        <v>0</v>
      </c>
      <c r="N168" s="27">
        <v>0</v>
      </c>
      <c r="O168" s="24">
        <v>900</v>
      </c>
      <c r="P168" s="24">
        <v>900</v>
      </c>
      <c r="Q168" s="28">
        <v>0</v>
      </c>
      <c r="R168" s="29">
        <v>0</v>
      </c>
      <c r="S168" s="29">
        <v>0</v>
      </c>
      <c r="T168" s="29">
        <v>0</v>
      </c>
      <c r="U168" s="30">
        <v>2047.5</v>
      </c>
    </row>
    <row r="169" spans="2:21" x14ac:dyDescent="0.25">
      <c r="B169" s="31" t="s">
        <v>21</v>
      </c>
      <c r="C169" s="22">
        <v>91</v>
      </c>
      <c r="D169" s="22" t="s">
        <v>96</v>
      </c>
      <c r="E169" s="22" t="s">
        <v>97</v>
      </c>
      <c r="F169" s="22" t="s">
        <v>49</v>
      </c>
      <c r="G169" s="23">
        <v>0</v>
      </c>
      <c r="H169" s="24">
        <v>28644</v>
      </c>
      <c r="I169" s="24">
        <v>0</v>
      </c>
      <c r="J169" s="24">
        <v>8978.5</v>
      </c>
      <c r="K169" s="24">
        <v>0</v>
      </c>
      <c r="L169" s="32">
        <v>117</v>
      </c>
      <c r="M169" s="33">
        <v>0</v>
      </c>
      <c r="N169" s="27">
        <v>0</v>
      </c>
      <c r="O169" s="24">
        <v>9730</v>
      </c>
      <c r="P169" s="24">
        <v>9730</v>
      </c>
      <c r="Q169" s="28">
        <v>0</v>
      </c>
      <c r="R169" s="29">
        <v>0</v>
      </c>
      <c r="S169" s="29">
        <v>0</v>
      </c>
      <c r="T169" s="29">
        <v>117.5</v>
      </c>
      <c r="U169" s="30">
        <v>19548</v>
      </c>
    </row>
    <row r="170" spans="2:21" x14ac:dyDescent="0.25">
      <c r="B170" s="31" t="s">
        <v>21</v>
      </c>
      <c r="C170" s="31">
        <v>91</v>
      </c>
      <c r="D170" s="22" t="s">
        <v>98</v>
      </c>
      <c r="E170" s="22" t="s">
        <v>99</v>
      </c>
      <c r="F170" s="22" t="s">
        <v>44</v>
      </c>
      <c r="G170" s="23">
        <v>0</v>
      </c>
      <c r="H170" s="24">
        <v>11676</v>
      </c>
      <c r="I170" s="24">
        <v>0</v>
      </c>
      <c r="J170" s="24">
        <v>7360.5</v>
      </c>
      <c r="K170" s="24">
        <v>0</v>
      </c>
      <c r="L170" s="32">
        <v>0</v>
      </c>
      <c r="M170" s="33">
        <v>0</v>
      </c>
      <c r="N170" s="27">
        <v>0</v>
      </c>
      <c r="O170" s="24">
        <v>8116</v>
      </c>
      <c r="P170" s="24">
        <v>8116</v>
      </c>
      <c r="Q170" s="28">
        <v>0</v>
      </c>
      <c r="R170" s="29">
        <v>0</v>
      </c>
      <c r="S170" s="29">
        <v>0</v>
      </c>
      <c r="T170" s="29">
        <v>0</v>
      </c>
      <c r="U170" s="30">
        <v>4315.5</v>
      </c>
    </row>
    <row r="171" spans="2:21" x14ac:dyDescent="0.25">
      <c r="B171" s="31" t="s">
        <v>21</v>
      </c>
      <c r="C171" s="31">
        <v>91</v>
      </c>
      <c r="D171" s="22" t="s">
        <v>100</v>
      </c>
      <c r="E171" s="22" t="s">
        <v>101</v>
      </c>
      <c r="F171" s="22" t="s">
        <v>44</v>
      </c>
      <c r="G171" s="23">
        <v>0</v>
      </c>
      <c r="H171" s="24">
        <v>21168</v>
      </c>
      <c r="I171" s="24">
        <v>0</v>
      </c>
      <c r="J171" s="24">
        <v>28732</v>
      </c>
      <c r="K171" s="24">
        <v>0</v>
      </c>
      <c r="L171" s="32">
        <v>0</v>
      </c>
      <c r="M171" s="33">
        <v>0</v>
      </c>
      <c r="N171" s="27">
        <v>0</v>
      </c>
      <c r="O171" s="24">
        <v>30175</v>
      </c>
      <c r="P171" s="24">
        <v>30175</v>
      </c>
      <c r="Q171" s="28">
        <v>0</v>
      </c>
      <c r="R171" s="29">
        <v>0</v>
      </c>
      <c r="S171" s="29">
        <v>0</v>
      </c>
      <c r="T171" s="29">
        <v>0</v>
      </c>
      <c r="U171" s="30">
        <v>-7564</v>
      </c>
    </row>
    <row r="172" spans="2:21" x14ac:dyDescent="0.25">
      <c r="B172" s="31" t="s">
        <v>21</v>
      </c>
      <c r="C172" s="31">
        <v>91</v>
      </c>
      <c r="D172" s="22" t="s">
        <v>102</v>
      </c>
      <c r="E172" s="22" t="s">
        <v>103</v>
      </c>
      <c r="F172" s="22" t="s">
        <v>49</v>
      </c>
      <c r="G172" s="23">
        <v>0</v>
      </c>
      <c r="H172" s="24">
        <v>15204</v>
      </c>
      <c r="I172" s="24">
        <v>0</v>
      </c>
      <c r="J172" s="24">
        <v>27568</v>
      </c>
      <c r="K172" s="24">
        <v>0</v>
      </c>
      <c r="L172" s="32">
        <v>320</v>
      </c>
      <c r="M172" s="33">
        <v>0</v>
      </c>
      <c r="N172" s="27">
        <v>0</v>
      </c>
      <c r="O172" s="24">
        <v>30535</v>
      </c>
      <c r="P172" s="24">
        <v>30535</v>
      </c>
      <c r="Q172" s="28">
        <v>0</v>
      </c>
      <c r="R172" s="29">
        <v>0</v>
      </c>
      <c r="S172" s="29">
        <v>0</v>
      </c>
      <c r="T172" s="29">
        <v>321.5</v>
      </c>
      <c r="U172" s="30">
        <v>-12685.5</v>
      </c>
    </row>
    <row r="173" spans="2:21" x14ac:dyDescent="0.25">
      <c r="B173" s="31" t="s">
        <v>21</v>
      </c>
      <c r="C173" s="31">
        <v>91</v>
      </c>
      <c r="D173" s="22" t="s">
        <v>104</v>
      </c>
      <c r="E173" s="22" t="s">
        <v>274</v>
      </c>
      <c r="F173" s="22" t="s">
        <v>49</v>
      </c>
      <c r="G173" s="23">
        <v>0</v>
      </c>
      <c r="H173" s="24">
        <v>14364</v>
      </c>
      <c r="I173" s="24">
        <v>0</v>
      </c>
      <c r="J173" s="24">
        <v>15534.5</v>
      </c>
      <c r="K173" s="24">
        <v>0</v>
      </c>
      <c r="L173" s="32">
        <v>2</v>
      </c>
      <c r="M173" s="33">
        <v>0</v>
      </c>
      <c r="N173" s="27">
        <v>0</v>
      </c>
      <c r="O173" s="24">
        <v>14364</v>
      </c>
      <c r="P173" s="24">
        <v>14364</v>
      </c>
      <c r="Q173" s="28">
        <v>0</v>
      </c>
      <c r="R173" s="29">
        <v>0</v>
      </c>
      <c r="S173" s="29">
        <v>0</v>
      </c>
      <c r="T173" s="29">
        <v>2</v>
      </c>
      <c r="U173" s="30">
        <v>-1172.5</v>
      </c>
    </row>
    <row r="174" spans="2:21" x14ac:dyDescent="0.25">
      <c r="B174" s="31" t="s">
        <v>21</v>
      </c>
      <c r="C174" s="31">
        <v>91</v>
      </c>
      <c r="D174" s="22" t="s">
        <v>106</v>
      </c>
      <c r="E174" s="22" t="s">
        <v>107</v>
      </c>
      <c r="F174" s="22" t="s">
        <v>44</v>
      </c>
      <c r="G174" s="23">
        <v>0</v>
      </c>
      <c r="H174" s="24">
        <v>4704</v>
      </c>
      <c r="I174" s="24">
        <v>0</v>
      </c>
      <c r="J174" s="24">
        <v>3668.5</v>
      </c>
      <c r="K174" s="24">
        <v>0</v>
      </c>
      <c r="L174" s="32">
        <v>0</v>
      </c>
      <c r="M174" s="33">
        <v>0</v>
      </c>
      <c r="N174" s="27">
        <v>0</v>
      </c>
      <c r="O174" s="24">
        <v>4660</v>
      </c>
      <c r="P174" s="24">
        <v>4660</v>
      </c>
      <c r="Q174" s="28">
        <v>0</v>
      </c>
      <c r="R174" s="29">
        <v>0</v>
      </c>
      <c r="S174" s="29">
        <v>0</v>
      </c>
      <c r="T174" s="29">
        <v>0</v>
      </c>
      <c r="U174" s="30">
        <v>1035.5</v>
      </c>
    </row>
    <row r="175" spans="2:21" x14ac:dyDescent="0.25">
      <c r="B175" s="31" t="s">
        <v>21</v>
      </c>
      <c r="C175" s="31">
        <v>91</v>
      </c>
      <c r="D175" s="22" t="s">
        <v>108</v>
      </c>
      <c r="E175" s="22" t="s">
        <v>109</v>
      </c>
      <c r="F175" s="22" t="s">
        <v>44</v>
      </c>
      <c r="G175" s="23">
        <v>0</v>
      </c>
      <c r="H175" s="24">
        <v>460</v>
      </c>
      <c r="I175" s="24">
        <v>0</v>
      </c>
      <c r="J175" s="24">
        <v>853.5</v>
      </c>
      <c r="K175" s="24">
        <v>0</v>
      </c>
      <c r="L175" s="32">
        <v>0</v>
      </c>
      <c r="M175" s="33">
        <v>0</v>
      </c>
      <c r="N175" s="27">
        <v>0</v>
      </c>
      <c r="O175" s="24">
        <v>620</v>
      </c>
      <c r="P175" s="24">
        <v>620</v>
      </c>
      <c r="Q175" s="28">
        <v>0</v>
      </c>
      <c r="R175" s="29">
        <v>0</v>
      </c>
      <c r="S175" s="29">
        <v>0</v>
      </c>
      <c r="T175" s="29">
        <v>0</v>
      </c>
      <c r="U175" s="30">
        <v>-393.5</v>
      </c>
    </row>
    <row r="176" spans="2:21" x14ac:dyDescent="0.25">
      <c r="B176" s="31" t="s">
        <v>21</v>
      </c>
      <c r="C176" s="31">
        <v>91</v>
      </c>
      <c r="D176" s="22" t="s">
        <v>110</v>
      </c>
      <c r="E176" s="22" t="s">
        <v>111</v>
      </c>
      <c r="F176" s="22" t="s">
        <v>44</v>
      </c>
      <c r="G176" s="23">
        <v>0</v>
      </c>
      <c r="H176" s="24">
        <v>350</v>
      </c>
      <c r="I176" s="24">
        <v>0</v>
      </c>
      <c r="J176" s="24">
        <v>214</v>
      </c>
      <c r="K176" s="24">
        <v>0</v>
      </c>
      <c r="L176" s="32">
        <v>0</v>
      </c>
      <c r="M176" s="33">
        <v>0</v>
      </c>
      <c r="N176" s="27">
        <v>0</v>
      </c>
      <c r="O176" s="24">
        <v>350</v>
      </c>
      <c r="P176" s="24">
        <v>350</v>
      </c>
      <c r="Q176" s="28">
        <v>0</v>
      </c>
      <c r="R176" s="29">
        <v>0</v>
      </c>
      <c r="S176" s="29">
        <v>0</v>
      </c>
      <c r="T176" s="29">
        <v>0</v>
      </c>
      <c r="U176" s="30">
        <v>136</v>
      </c>
    </row>
    <row r="177" spans="2:21" x14ac:dyDescent="0.25">
      <c r="B177" s="31" t="s">
        <v>21</v>
      </c>
      <c r="C177" s="22">
        <v>92</v>
      </c>
      <c r="D177" s="22" t="s">
        <v>112</v>
      </c>
      <c r="E177" s="22" t="s">
        <v>237</v>
      </c>
      <c r="F177" s="22" t="s">
        <v>44</v>
      </c>
      <c r="G177" s="23">
        <v>0</v>
      </c>
      <c r="H177" s="24">
        <v>1400</v>
      </c>
      <c r="I177" s="24">
        <v>0</v>
      </c>
      <c r="J177" s="24">
        <v>181.5</v>
      </c>
      <c r="K177" s="24">
        <v>0</v>
      </c>
      <c r="L177" s="32">
        <v>0</v>
      </c>
      <c r="M177" s="33">
        <v>0</v>
      </c>
      <c r="N177" s="27">
        <v>0</v>
      </c>
      <c r="O177" s="24">
        <v>200</v>
      </c>
      <c r="P177" s="24">
        <v>200</v>
      </c>
      <c r="Q177" s="28">
        <v>0</v>
      </c>
      <c r="R177" s="29">
        <v>0</v>
      </c>
      <c r="S177" s="29">
        <v>0</v>
      </c>
      <c r="T177" s="29">
        <v>0</v>
      </c>
      <c r="U177" s="30">
        <v>1218.5</v>
      </c>
    </row>
    <row r="178" spans="2:21" x14ac:dyDescent="0.25">
      <c r="B178" s="31" t="s">
        <v>21</v>
      </c>
      <c r="C178" s="22">
        <v>93</v>
      </c>
      <c r="D178" s="22" t="s">
        <v>114</v>
      </c>
      <c r="E178" s="22" t="s">
        <v>115</v>
      </c>
      <c r="F178" s="22" t="s">
        <v>44</v>
      </c>
      <c r="G178" s="23">
        <v>0</v>
      </c>
      <c r="H178" s="24">
        <v>0</v>
      </c>
      <c r="I178" s="24">
        <v>0</v>
      </c>
      <c r="J178" s="24">
        <v>0</v>
      </c>
      <c r="K178" s="24">
        <v>0</v>
      </c>
      <c r="L178" s="32">
        <v>0</v>
      </c>
      <c r="M178" s="33">
        <v>0</v>
      </c>
      <c r="N178" s="27">
        <v>0</v>
      </c>
      <c r="O178" s="24">
        <v>0</v>
      </c>
      <c r="P178" s="24">
        <v>0</v>
      </c>
      <c r="Q178" s="28">
        <v>0</v>
      </c>
      <c r="R178" s="29">
        <v>0</v>
      </c>
      <c r="S178" s="29">
        <v>0</v>
      </c>
      <c r="T178" s="29">
        <v>0</v>
      </c>
      <c r="U178" s="30">
        <v>0</v>
      </c>
    </row>
    <row r="179" spans="2:21" x14ac:dyDescent="0.25">
      <c r="B179" s="31" t="s">
        <v>21</v>
      </c>
      <c r="C179" s="22">
        <v>98</v>
      </c>
      <c r="D179" s="22" t="s">
        <v>116</v>
      </c>
      <c r="E179" s="22" t="s">
        <v>275</v>
      </c>
      <c r="F179" s="22" t="s">
        <v>44</v>
      </c>
      <c r="G179" s="23">
        <v>0</v>
      </c>
      <c r="H179" s="24">
        <v>0</v>
      </c>
      <c r="I179" s="24">
        <v>0</v>
      </c>
      <c r="J179" s="24">
        <v>0</v>
      </c>
      <c r="K179" s="24">
        <v>0</v>
      </c>
      <c r="L179" s="32">
        <v>0</v>
      </c>
      <c r="M179" s="33">
        <v>0</v>
      </c>
      <c r="N179" s="27">
        <v>0</v>
      </c>
      <c r="O179" s="24">
        <v>0</v>
      </c>
      <c r="P179" s="24">
        <v>0</v>
      </c>
      <c r="Q179" s="28">
        <v>0</v>
      </c>
      <c r="R179" s="29">
        <v>0</v>
      </c>
      <c r="S179" s="29">
        <v>0</v>
      </c>
      <c r="T179" s="29">
        <v>0</v>
      </c>
      <c r="U179" s="30">
        <v>0</v>
      </c>
    </row>
    <row r="180" spans="2:21" x14ac:dyDescent="0.25">
      <c r="B180" s="31" t="s">
        <v>21</v>
      </c>
      <c r="C180" s="31">
        <v>98</v>
      </c>
      <c r="D180" s="22" t="s">
        <v>118</v>
      </c>
      <c r="E180" s="22" t="s">
        <v>119</v>
      </c>
      <c r="F180" s="22" t="s">
        <v>44</v>
      </c>
      <c r="G180" s="23">
        <v>0</v>
      </c>
      <c r="H180" s="24">
        <v>2626</v>
      </c>
      <c r="I180" s="24">
        <v>0</v>
      </c>
      <c r="J180" s="24">
        <v>6525</v>
      </c>
      <c r="K180" s="24">
        <v>0</v>
      </c>
      <c r="L180" s="32">
        <v>0</v>
      </c>
      <c r="M180" s="33">
        <v>0</v>
      </c>
      <c r="N180" s="27">
        <v>0</v>
      </c>
      <c r="O180" s="24">
        <v>6525</v>
      </c>
      <c r="P180" s="24">
        <v>6525</v>
      </c>
      <c r="Q180" s="28">
        <v>0</v>
      </c>
      <c r="R180" s="29">
        <v>0</v>
      </c>
      <c r="S180" s="29">
        <v>0</v>
      </c>
      <c r="T180" s="29">
        <v>0</v>
      </c>
      <c r="U180" s="30">
        <v>-3899</v>
      </c>
    </row>
    <row r="181" spans="2:21" x14ac:dyDescent="0.25">
      <c r="B181" s="31" t="s">
        <v>21</v>
      </c>
      <c r="C181" s="31">
        <v>98</v>
      </c>
      <c r="D181" s="22" t="s">
        <v>276</v>
      </c>
      <c r="E181" s="22" t="s">
        <v>277</v>
      </c>
      <c r="F181" s="22" t="s">
        <v>44</v>
      </c>
      <c r="G181" s="23">
        <v>0</v>
      </c>
      <c r="H181" s="24">
        <v>0</v>
      </c>
      <c r="I181" s="24">
        <v>0</v>
      </c>
      <c r="J181" s="24">
        <v>0</v>
      </c>
      <c r="K181" s="24">
        <v>0</v>
      </c>
      <c r="L181" s="32">
        <v>0</v>
      </c>
      <c r="M181" s="33">
        <v>0</v>
      </c>
      <c r="N181" s="27">
        <v>0</v>
      </c>
      <c r="O181" s="24">
        <v>0</v>
      </c>
      <c r="P181" s="24">
        <v>0</v>
      </c>
      <c r="Q181" s="28">
        <v>0</v>
      </c>
      <c r="R181" s="29">
        <v>0</v>
      </c>
      <c r="S181" s="29">
        <v>0</v>
      </c>
      <c r="T181" s="29">
        <v>0</v>
      </c>
      <c r="U181" s="30">
        <v>0</v>
      </c>
    </row>
    <row r="182" spans="2:21" x14ac:dyDescent="0.25">
      <c r="B182" s="31" t="s">
        <v>21</v>
      </c>
      <c r="C182" s="31">
        <v>98</v>
      </c>
      <c r="D182" s="22" t="s">
        <v>278</v>
      </c>
      <c r="E182" s="22" t="s">
        <v>279</v>
      </c>
      <c r="F182" s="22"/>
      <c r="G182" s="23">
        <v>26</v>
      </c>
      <c r="H182" s="24">
        <v>8320</v>
      </c>
      <c r="I182" s="24">
        <v>26</v>
      </c>
      <c r="J182" s="24">
        <v>4288.5</v>
      </c>
      <c r="K182" s="24">
        <v>0</v>
      </c>
      <c r="L182" s="32">
        <v>0</v>
      </c>
      <c r="M182" s="33">
        <v>0</v>
      </c>
      <c r="N182" s="27">
        <v>8320</v>
      </c>
      <c r="O182" s="24">
        <v>4288.5</v>
      </c>
      <c r="P182" s="24">
        <v>4288.5</v>
      </c>
      <c r="Q182" s="28">
        <v>1</v>
      </c>
      <c r="R182" s="29">
        <v>0</v>
      </c>
      <c r="S182" s="29">
        <v>1.94</v>
      </c>
      <c r="T182" s="29">
        <v>0</v>
      </c>
      <c r="U182" s="30">
        <v>4031.5</v>
      </c>
    </row>
    <row r="183" spans="2:21" x14ac:dyDescent="0.25">
      <c r="B183" s="31" t="s">
        <v>21</v>
      </c>
      <c r="C183" s="31">
        <v>98</v>
      </c>
      <c r="D183" s="22" t="s">
        <v>280</v>
      </c>
      <c r="E183" s="22" t="s">
        <v>281</v>
      </c>
      <c r="F183" s="22" t="s">
        <v>44</v>
      </c>
      <c r="G183" s="23">
        <v>0</v>
      </c>
      <c r="H183" s="24">
        <v>0</v>
      </c>
      <c r="I183" s="24">
        <v>0</v>
      </c>
      <c r="J183" s="24">
        <v>588.5</v>
      </c>
      <c r="K183" s="24">
        <v>0</v>
      </c>
      <c r="L183" s="32">
        <v>0</v>
      </c>
      <c r="M183" s="33">
        <v>0</v>
      </c>
      <c r="N183" s="27">
        <v>0</v>
      </c>
      <c r="O183" s="24">
        <v>588.5</v>
      </c>
      <c r="P183" s="24">
        <v>588.5</v>
      </c>
      <c r="Q183" s="28">
        <v>0</v>
      </c>
      <c r="R183" s="29">
        <v>0</v>
      </c>
      <c r="S183" s="29">
        <v>0</v>
      </c>
      <c r="T183" s="29">
        <v>0</v>
      </c>
      <c r="U183" s="30">
        <v>-588.5</v>
      </c>
    </row>
    <row r="184" spans="2:21" x14ac:dyDescent="0.25">
      <c r="B184" s="31" t="s">
        <v>21</v>
      </c>
      <c r="C184" s="31">
        <v>98</v>
      </c>
      <c r="D184" s="22" t="s">
        <v>282</v>
      </c>
      <c r="E184" s="22" t="s">
        <v>283</v>
      </c>
      <c r="F184" s="22" t="s">
        <v>44</v>
      </c>
      <c r="G184" s="23">
        <v>0</v>
      </c>
      <c r="H184" s="24">
        <v>0</v>
      </c>
      <c r="I184" s="24">
        <v>0</v>
      </c>
      <c r="J184" s="24">
        <v>0</v>
      </c>
      <c r="K184" s="24">
        <v>0</v>
      </c>
      <c r="L184" s="32">
        <v>0</v>
      </c>
      <c r="M184" s="33">
        <v>0</v>
      </c>
      <c r="N184" s="27">
        <v>0</v>
      </c>
      <c r="O184" s="24">
        <v>0</v>
      </c>
      <c r="P184" s="24">
        <v>0</v>
      </c>
      <c r="Q184" s="28">
        <v>0</v>
      </c>
      <c r="R184" s="29">
        <v>0</v>
      </c>
      <c r="S184" s="29">
        <v>0</v>
      </c>
      <c r="T184" s="29">
        <v>0</v>
      </c>
      <c r="U184" s="30">
        <v>0</v>
      </c>
    </row>
    <row r="185" spans="2:21" x14ac:dyDescent="0.25">
      <c r="B185" s="31" t="s">
        <v>21</v>
      </c>
      <c r="C185" s="31">
        <v>98</v>
      </c>
      <c r="D185" s="22" t="s">
        <v>284</v>
      </c>
      <c r="E185" s="22" t="s">
        <v>285</v>
      </c>
      <c r="F185" s="22" t="s">
        <v>44</v>
      </c>
      <c r="G185" s="23">
        <v>0</v>
      </c>
      <c r="H185" s="24">
        <v>0</v>
      </c>
      <c r="I185" s="24">
        <v>0</v>
      </c>
      <c r="J185" s="24">
        <v>30</v>
      </c>
      <c r="K185" s="24">
        <v>0</v>
      </c>
      <c r="L185" s="32">
        <v>0</v>
      </c>
      <c r="M185" s="33">
        <v>0</v>
      </c>
      <c r="N185" s="27">
        <v>0</v>
      </c>
      <c r="O185" s="24">
        <v>30</v>
      </c>
      <c r="P185" s="24">
        <v>30</v>
      </c>
      <c r="Q185" s="28">
        <v>0</v>
      </c>
      <c r="R185" s="29">
        <v>0</v>
      </c>
      <c r="S185" s="29">
        <v>0</v>
      </c>
      <c r="T185" s="29">
        <v>0</v>
      </c>
      <c r="U185" s="30">
        <v>-30</v>
      </c>
    </row>
    <row r="186" spans="2:21" x14ac:dyDescent="0.25">
      <c r="B186" s="31" t="s">
        <v>21</v>
      </c>
      <c r="C186" s="31">
        <v>98</v>
      </c>
      <c r="D186" s="22" t="s">
        <v>286</v>
      </c>
      <c r="E186" s="22" t="s">
        <v>287</v>
      </c>
      <c r="F186" s="22"/>
      <c r="G186" s="23">
        <v>28</v>
      </c>
      <c r="H186" s="24">
        <v>1400</v>
      </c>
      <c r="I186" s="24">
        <v>28</v>
      </c>
      <c r="J186" s="24">
        <v>1597</v>
      </c>
      <c r="K186" s="24">
        <v>0</v>
      </c>
      <c r="L186" s="32">
        <v>0</v>
      </c>
      <c r="M186" s="33">
        <v>0</v>
      </c>
      <c r="N186" s="27">
        <v>1400</v>
      </c>
      <c r="O186" s="24">
        <v>1597</v>
      </c>
      <c r="P186" s="24">
        <v>1597</v>
      </c>
      <c r="Q186" s="28">
        <v>1</v>
      </c>
      <c r="R186" s="29">
        <v>0</v>
      </c>
      <c r="S186" s="29">
        <v>0.88</v>
      </c>
      <c r="T186" s="29">
        <v>0</v>
      </c>
      <c r="U186" s="30">
        <v>-197</v>
      </c>
    </row>
    <row r="187" spans="2:21" x14ac:dyDescent="0.25">
      <c r="B187" s="31" t="s">
        <v>21</v>
      </c>
      <c r="C187" s="31">
        <v>98</v>
      </c>
      <c r="D187" s="22" t="s">
        <v>288</v>
      </c>
      <c r="E187" s="22" t="s">
        <v>289</v>
      </c>
      <c r="F187" s="22" t="s">
        <v>44</v>
      </c>
      <c r="G187" s="23">
        <v>0</v>
      </c>
      <c r="H187" s="24">
        <v>0</v>
      </c>
      <c r="I187" s="24">
        <v>0</v>
      </c>
      <c r="J187" s="24">
        <v>5751.5</v>
      </c>
      <c r="K187" s="24">
        <v>0</v>
      </c>
      <c r="L187" s="32">
        <v>0</v>
      </c>
      <c r="M187" s="33">
        <v>0</v>
      </c>
      <c r="N187" s="27">
        <v>0</v>
      </c>
      <c r="O187" s="24">
        <v>5751.5</v>
      </c>
      <c r="P187" s="24">
        <v>5751.5</v>
      </c>
      <c r="Q187" s="28">
        <v>0</v>
      </c>
      <c r="R187" s="29">
        <v>0</v>
      </c>
      <c r="S187" s="29">
        <v>0</v>
      </c>
      <c r="T187" s="29">
        <v>0</v>
      </c>
      <c r="U187" s="30">
        <v>-5751.5</v>
      </c>
    </row>
    <row r="188" spans="2:21" x14ac:dyDescent="0.25">
      <c r="B188" s="31" t="s">
        <v>21</v>
      </c>
      <c r="C188" s="31">
        <v>98</v>
      </c>
      <c r="D188" s="22" t="s">
        <v>290</v>
      </c>
      <c r="E188" s="22" t="s">
        <v>291</v>
      </c>
      <c r="F188" s="22" t="s">
        <v>44</v>
      </c>
      <c r="G188" s="23">
        <v>0</v>
      </c>
      <c r="H188" s="24">
        <v>0</v>
      </c>
      <c r="I188" s="24">
        <v>0</v>
      </c>
      <c r="J188" s="24">
        <v>390.5</v>
      </c>
      <c r="K188" s="24">
        <v>0</v>
      </c>
      <c r="L188" s="32">
        <v>0</v>
      </c>
      <c r="M188" s="33">
        <v>0</v>
      </c>
      <c r="N188" s="27">
        <v>0</v>
      </c>
      <c r="O188" s="24">
        <v>390.5</v>
      </c>
      <c r="P188" s="24">
        <v>390.5</v>
      </c>
      <c r="Q188" s="28">
        <v>0</v>
      </c>
      <c r="R188" s="29">
        <v>0</v>
      </c>
      <c r="S188" s="29">
        <v>0</v>
      </c>
      <c r="T188" s="29">
        <v>0</v>
      </c>
      <c r="U188" s="30">
        <v>-390.5</v>
      </c>
    </row>
    <row r="189" spans="2:21" x14ac:dyDescent="0.25">
      <c r="B189" s="31" t="s">
        <v>21</v>
      </c>
      <c r="C189" s="31">
        <v>98</v>
      </c>
      <c r="D189" s="22" t="s">
        <v>292</v>
      </c>
      <c r="E189" s="22" t="s">
        <v>293</v>
      </c>
      <c r="F189" s="22" t="s">
        <v>44</v>
      </c>
      <c r="G189" s="23">
        <v>0</v>
      </c>
      <c r="H189" s="24">
        <v>0</v>
      </c>
      <c r="I189" s="24">
        <v>0</v>
      </c>
      <c r="J189" s="24">
        <v>0</v>
      </c>
      <c r="K189" s="24">
        <v>0</v>
      </c>
      <c r="L189" s="32">
        <v>0</v>
      </c>
      <c r="M189" s="33">
        <v>0</v>
      </c>
      <c r="N189" s="27">
        <v>0</v>
      </c>
      <c r="O189" s="24">
        <v>0</v>
      </c>
      <c r="P189" s="24">
        <v>0</v>
      </c>
      <c r="Q189" s="28">
        <v>0</v>
      </c>
      <c r="R189" s="29">
        <v>0</v>
      </c>
      <c r="S189" s="29">
        <v>0</v>
      </c>
      <c r="T189" s="29">
        <v>0</v>
      </c>
      <c r="U189" s="30">
        <v>0</v>
      </c>
    </row>
    <row r="190" spans="2:21" x14ac:dyDescent="0.25">
      <c r="B190" s="31" t="s">
        <v>21</v>
      </c>
      <c r="C190" s="31">
        <v>98</v>
      </c>
      <c r="D190" s="22" t="s">
        <v>294</v>
      </c>
      <c r="E190" s="22" t="s">
        <v>295</v>
      </c>
      <c r="F190" s="22" t="s">
        <v>44</v>
      </c>
      <c r="G190" s="23">
        <v>700</v>
      </c>
      <c r="H190" s="24">
        <v>2275</v>
      </c>
      <c r="I190" s="24">
        <v>0</v>
      </c>
      <c r="J190" s="24">
        <v>2114</v>
      </c>
      <c r="K190" s="24">
        <v>0</v>
      </c>
      <c r="L190" s="32">
        <v>0</v>
      </c>
      <c r="M190" s="33">
        <v>0</v>
      </c>
      <c r="N190" s="27">
        <v>0</v>
      </c>
      <c r="O190" s="24">
        <v>2275</v>
      </c>
      <c r="P190" s="24">
        <v>2275</v>
      </c>
      <c r="Q190" s="28">
        <v>0</v>
      </c>
      <c r="R190" s="29">
        <v>0</v>
      </c>
      <c r="S190" s="29">
        <v>0</v>
      </c>
      <c r="T190" s="29">
        <v>0</v>
      </c>
      <c r="U190" s="30">
        <v>161</v>
      </c>
    </row>
    <row r="191" spans="2:21" x14ac:dyDescent="0.25">
      <c r="B191" s="31" t="s">
        <v>21</v>
      </c>
      <c r="C191" s="31">
        <v>98</v>
      </c>
      <c r="D191" s="22" t="s">
        <v>296</v>
      </c>
      <c r="E191" s="22" t="s">
        <v>297</v>
      </c>
      <c r="F191" s="22" t="s">
        <v>44</v>
      </c>
      <c r="G191" s="23">
        <v>0</v>
      </c>
      <c r="H191" s="24">
        <v>0</v>
      </c>
      <c r="I191" s="24">
        <v>0</v>
      </c>
      <c r="J191" s="24">
        <v>12</v>
      </c>
      <c r="K191" s="24">
        <v>0</v>
      </c>
      <c r="L191" s="32">
        <v>0</v>
      </c>
      <c r="M191" s="33">
        <v>0</v>
      </c>
      <c r="N191" s="27">
        <v>0</v>
      </c>
      <c r="O191" s="24">
        <v>12</v>
      </c>
      <c r="P191" s="24">
        <v>12</v>
      </c>
      <c r="Q191" s="28">
        <v>0</v>
      </c>
      <c r="R191" s="29">
        <v>0</v>
      </c>
      <c r="S191" s="29">
        <v>0</v>
      </c>
      <c r="T191" s="29">
        <v>0</v>
      </c>
      <c r="U191" s="30">
        <v>-12</v>
      </c>
    </row>
    <row r="192" spans="2:21" x14ac:dyDescent="0.25">
      <c r="B192" s="31" t="s">
        <v>21</v>
      </c>
      <c r="C192" s="31">
        <v>98</v>
      </c>
      <c r="D192" s="22" t="s">
        <v>298</v>
      </c>
      <c r="E192" s="22" t="s">
        <v>299</v>
      </c>
      <c r="F192" s="22" t="s">
        <v>44</v>
      </c>
      <c r="G192" s="23">
        <v>0</v>
      </c>
      <c r="H192" s="24">
        <v>0</v>
      </c>
      <c r="I192" s="24">
        <v>0</v>
      </c>
      <c r="J192" s="24">
        <v>353.5</v>
      </c>
      <c r="K192" s="24">
        <v>0</v>
      </c>
      <c r="L192" s="32">
        <v>0</v>
      </c>
      <c r="M192" s="33">
        <v>0</v>
      </c>
      <c r="N192" s="27">
        <v>0</v>
      </c>
      <c r="O192" s="24">
        <v>353.5</v>
      </c>
      <c r="P192" s="24">
        <v>353.5</v>
      </c>
      <c r="Q192" s="28">
        <v>0</v>
      </c>
      <c r="R192" s="29">
        <v>0</v>
      </c>
      <c r="S192" s="29">
        <v>0</v>
      </c>
      <c r="T192" s="29">
        <v>0</v>
      </c>
      <c r="U192" s="30">
        <v>-353.5</v>
      </c>
    </row>
    <row r="193" spans="2:21" x14ac:dyDescent="0.25">
      <c r="B193" s="31" t="s">
        <v>21</v>
      </c>
      <c r="C193" s="31">
        <v>98</v>
      </c>
      <c r="D193" s="22" t="s">
        <v>300</v>
      </c>
      <c r="E193" s="22" t="s">
        <v>301</v>
      </c>
      <c r="F193" s="22" t="s">
        <v>302</v>
      </c>
      <c r="G193" s="23">
        <v>0</v>
      </c>
      <c r="H193" s="24">
        <v>5440</v>
      </c>
      <c r="I193" s="24">
        <v>12.5</v>
      </c>
      <c r="J193" s="24">
        <v>2114.5</v>
      </c>
      <c r="K193" s="24">
        <v>3.75</v>
      </c>
      <c r="L193" s="32">
        <v>104</v>
      </c>
      <c r="M193" s="33">
        <v>0</v>
      </c>
      <c r="N193" s="27">
        <v>0</v>
      </c>
      <c r="O193" s="24">
        <v>2968</v>
      </c>
      <c r="P193" s="24">
        <v>2968</v>
      </c>
      <c r="Q193" s="28">
        <v>0</v>
      </c>
      <c r="R193" s="29">
        <v>0</v>
      </c>
      <c r="S193" s="29">
        <v>0</v>
      </c>
      <c r="T193" s="29">
        <v>103.5</v>
      </c>
      <c r="U193" s="30">
        <v>3222</v>
      </c>
    </row>
    <row r="194" spans="2:21" x14ac:dyDescent="0.25">
      <c r="B194" s="31" t="s">
        <v>21</v>
      </c>
      <c r="C194" s="31">
        <v>98</v>
      </c>
      <c r="D194" s="22" t="s">
        <v>303</v>
      </c>
      <c r="E194" s="22" t="s">
        <v>304</v>
      </c>
      <c r="F194" s="22" t="s">
        <v>44</v>
      </c>
      <c r="G194" s="23">
        <v>0</v>
      </c>
      <c r="H194" s="24">
        <v>0</v>
      </c>
      <c r="I194" s="24">
        <v>0</v>
      </c>
      <c r="J194" s="24">
        <v>0</v>
      </c>
      <c r="K194" s="24">
        <v>0</v>
      </c>
      <c r="L194" s="32">
        <v>0</v>
      </c>
      <c r="M194" s="33">
        <v>0</v>
      </c>
      <c r="N194" s="27">
        <v>0</v>
      </c>
      <c r="O194" s="24">
        <v>0</v>
      </c>
      <c r="P194" s="24">
        <v>0</v>
      </c>
      <c r="Q194" s="28">
        <v>0</v>
      </c>
      <c r="R194" s="29">
        <v>0</v>
      </c>
      <c r="S194" s="29">
        <v>0</v>
      </c>
      <c r="T194" s="29">
        <v>0</v>
      </c>
      <c r="U194" s="30">
        <v>0</v>
      </c>
    </row>
    <row r="195" spans="2:21" x14ac:dyDescent="0.25">
      <c r="B195" s="31" t="s">
        <v>21</v>
      </c>
      <c r="C195" s="31">
        <v>98</v>
      </c>
      <c r="D195" s="22" t="s">
        <v>305</v>
      </c>
      <c r="E195" s="22" t="s">
        <v>306</v>
      </c>
      <c r="F195" s="22" t="s">
        <v>49</v>
      </c>
      <c r="G195" s="23">
        <v>398</v>
      </c>
      <c r="H195" s="24">
        <v>4300</v>
      </c>
      <c r="I195" s="24">
        <v>0</v>
      </c>
      <c r="J195" s="24">
        <v>3402.5</v>
      </c>
      <c r="K195" s="24">
        <v>0</v>
      </c>
      <c r="L195" s="32">
        <v>354</v>
      </c>
      <c r="M195" s="33">
        <v>0</v>
      </c>
      <c r="N195" s="27">
        <v>0</v>
      </c>
      <c r="O195" s="24">
        <v>4300</v>
      </c>
      <c r="P195" s="24">
        <v>4300</v>
      </c>
      <c r="Q195" s="28">
        <v>0</v>
      </c>
      <c r="R195" s="29">
        <v>0</v>
      </c>
      <c r="S195" s="29">
        <v>0</v>
      </c>
      <c r="T195" s="29">
        <v>353.5</v>
      </c>
      <c r="U195" s="30">
        <v>544</v>
      </c>
    </row>
    <row r="196" spans="2:21" x14ac:dyDescent="0.25">
      <c r="B196" s="31" t="s">
        <v>21</v>
      </c>
      <c r="C196" s="31">
        <v>98</v>
      </c>
      <c r="D196" s="22" t="s">
        <v>307</v>
      </c>
      <c r="E196" s="22" t="s">
        <v>308</v>
      </c>
      <c r="F196" s="22" t="s">
        <v>44</v>
      </c>
      <c r="G196" s="23">
        <v>195</v>
      </c>
      <c r="H196" s="24">
        <v>1154</v>
      </c>
      <c r="I196" s="24">
        <v>0</v>
      </c>
      <c r="J196" s="24">
        <v>521.5</v>
      </c>
      <c r="K196" s="24">
        <v>0</v>
      </c>
      <c r="L196" s="32">
        <v>0</v>
      </c>
      <c r="M196" s="33">
        <v>0</v>
      </c>
      <c r="N196" s="27">
        <v>0</v>
      </c>
      <c r="O196" s="24">
        <v>521.5</v>
      </c>
      <c r="P196" s="24">
        <v>521.5</v>
      </c>
      <c r="Q196" s="28">
        <v>0</v>
      </c>
      <c r="R196" s="29">
        <v>0</v>
      </c>
      <c r="S196" s="29">
        <v>0</v>
      </c>
      <c r="T196" s="29">
        <v>0</v>
      </c>
      <c r="U196" s="30">
        <v>632.5</v>
      </c>
    </row>
    <row r="197" spans="2:21" x14ac:dyDescent="0.25">
      <c r="B197" s="31" t="s">
        <v>21</v>
      </c>
      <c r="C197" s="31">
        <v>98</v>
      </c>
      <c r="D197" s="22" t="s">
        <v>309</v>
      </c>
      <c r="E197" s="22" t="s">
        <v>310</v>
      </c>
      <c r="F197" s="22" t="s">
        <v>49</v>
      </c>
      <c r="G197" s="23">
        <v>14</v>
      </c>
      <c r="H197" s="24">
        <v>3250</v>
      </c>
      <c r="I197" s="24">
        <v>0</v>
      </c>
      <c r="J197" s="24">
        <v>909.5</v>
      </c>
      <c r="K197" s="24">
        <v>0</v>
      </c>
      <c r="L197" s="32">
        <v>384</v>
      </c>
      <c r="M197" s="33">
        <v>0</v>
      </c>
      <c r="N197" s="27">
        <v>0</v>
      </c>
      <c r="O197" s="24">
        <v>3520</v>
      </c>
      <c r="P197" s="24">
        <v>3520</v>
      </c>
      <c r="Q197" s="28">
        <v>0</v>
      </c>
      <c r="R197" s="29">
        <v>0</v>
      </c>
      <c r="S197" s="29">
        <v>0</v>
      </c>
      <c r="T197" s="29">
        <v>384</v>
      </c>
      <c r="U197" s="30">
        <v>1956.5</v>
      </c>
    </row>
    <row r="198" spans="2:21" x14ac:dyDescent="0.25">
      <c r="B198" s="31" t="s">
        <v>21</v>
      </c>
      <c r="C198" s="31">
        <v>98</v>
      </c>
      <c r="D198" s="22" t="s">
        <v>311</v>
      </c>
      <c r="E198" s="22" t="s">
        <v>312</v>
      </c>
      <c r="F198" s="22" t="s">
        <v>44</v>
      </c>
      <c r="G198" s="23">
        <v>0</v>
      </c>
      <c r="H198" s="24">
        <v>0</v>
      </c>
      <c r="I198" s="24">
        <v>0</v>
      </c>
      <c r="J198" s="24">
        <v>819</v>
      </c>
      <c r="K198" s="24">
        <v>0</v>
      </c>
      <c r="L198" s="32">
        <v>0</v>
      </c>
      <c r="M198" s="33">
        <v>0</v>
      </c>
      <c r="N198" s="27">
        <v>0</v>
      </c>
      <c r="O198" s="24">
        <v>819</v>
      </c>
      <c r="P198" s="24">
        <v>819</v>
      </c>
      <c r="Q198" s="28">
        <v>0</v>
      </c>
      <c r="R198" s="29">
        <v>0</v>
      </c>
      <c r="S198" s="29">
        <v>0</v>
      </c>
      <c r="T198" s="29">
        <v>0</v>
      </c>
      <c r="U198" s="30">
        <v>-819</v>
      </c>
    </row>
    <row r="199" spans="2:21" x14ac:dyDescent="0.25">
      <c r="B199" s="31" t="s">
        <v>21</v>
      </c>
      <c r="C199" s="31">
        <v>98</v>
      </c>
      <c r="D199" s="22" t="s">
        <v>313</v>
      </c>
      <c r="E199" s="22" t="s">
        <v>314</v>
      </c>
      <c r="F199" s="22" t="s">
        <v>49</v>
      </c>
      <c r="G199" s="23">
        <v>0</v>
      </c>
      <c r="H199" s="24">
        <v>0</v>
      </c>
      <c r="I199" s="24">
        <v>0</v>
      </c>
      <c r="J199" s="24">
        <v>1289.5</v>
      </c>
      <c r="K199" s="24">
        <v>0</v>
      </c>
      <c r="L199" s="32">
        <v>601</v>
      </c>
      <c r="M199" s="33">
        <v>0</v>
      </c>
      <c r="N199" s="27">
        <v>0</v>
      </c>
      <c r="O199" s="24">
        <v>0</v>
      </c>
      <c r="P199" s="24">
        <v>0</v>
      </c>
      <c r="Q199" s="28">
        <v>0</v>
      </c>
      <c r="R199" s="29">
        <v>0</v>
      </c>
      <c r="S199" s="29">
        <v>0</v>
      </c>
      <c r="T199" s="29">
        <v>601</v>
      </c>
      <c r="U199" s="30">
        <v>-1890.5</v>
      </c>
    </row>
    <row r="200" spans="2:21" x14ac:dyDescent="0.25">
      <c r="B200" s="31" t="s">
        <v>21</v>
      </c>
      <c r="C200" s="22">
        <v>99</v>
      </c>
      <c r="D200" s="22" t="s">
        <v>315</v>
      </c>
      <c r="E200" s="22" t="s">
        <v>316</v>
      </c>
      <c r="F200" s="22" t="s">
        <v>44</v>
      </c>
      <c r="G200" s="23">
        <v>0</v>
      </c>
      <c r="H200" s="24">
        <v>0</v>
      </c>
      <c r="I200" s="24">
        <v>0</v>
      </c>
      <c r="J200" s="24">
        <v>2163.5</v>
      </c>
      <c r="K200" s="24">
        <v>0</v>
      </c>
      <c r="L200" s="32">
        <v>0</v>
      </c>
      <c r="M200" s="33">
        <v>0</v>
      </c>
      <c r="N200" s="27">
        <v>0</v>
      </c>
      <c r="O200" s="24">
        <v>2163.5</v>
      </c>
      <c r="P200" s="24">
        <v>2163.5</v>
      </c>
      <c r="Q200" s="28">
        <v>0</v>
      </c>
      <c r="R200" s="29">
        <v>0</v>
      </c>
      <c r="S200" s="29">
        <v>0</v>
      </c>
      <c r="T200" s="29">
        <v>0</v>
      </c>
      <c r="U200" s="30">
        <v>-2163.5</v>
      </c>
    </row>
    <row r="201" spans="2:21" x14ac:dyDescent="0.25">
      <c r="B201" s="31" t="s">
        <v>21</v>
      </c>
      <c r="C201" s="31">
        <v>99</v>
      </c>
      <c r="D201" s="22" t="s">
        <v>126</v>
      </c>
      <c r="E201" s="22" t="s">
        <v>127</v>
      </c>
      <c r="F201" s="22" t="s">
        <v>44</v>
      </c>
      <c r="G201" s="23">
        <v>0</v>
      </c>
      <c r="H201" s="24">
        <v>0</v>
      </c>
      <c r="I201" s="24">
        <v>0</v>
      </c>
      <c r="J201" s="24">
        <v>0</v>
      </c>
      <c r="K201" s="24">
        <v>0</v>
      </c>
      <c r="L201" s="32">
        <v>0</v>
      </c>
      <c r="M201" s="33">
        <v>0</v>
      </c>
      <c r="N201" s="27">
        <v>0</v>
      </c>
      <c r="O201" s="24">
        <v>0</v>
      </c>
      <c r="P201" s="24">
        <v>0</v>
      </c>
      <c r="Q201" s="28">
        <v>0</v>
      </c>
      <c r="R201" s="29">
        <v>0</v>
      </c>
      <c r="S201" s="29">
        <v>0</v>
      </c>
      <c r="T201" s="29">
        <v>0</v>
      </c>
      <c r="U201" s="30">
        <v>0</v>
      </c>
    </row>
    <row r="202" spans="2:21" x14ac:dyDescent="0.25">
      <c r="B202" s="31" t="s">
        <v>21</v>
      </c>
      <c r="C202" s="31">
        <v>99</v>
      </c>
      <c r="D202" s="22" t="s">
        <v>317</v>
      </c>
      <c r="E202" s="22" t="s">
        <v>318</v>
      </c>
      <c r="F202" s="22" t="s">
        <v>44</v>
      </c>
      <c r="G202" s="23">
        <v>0</v>
      </c>
      <c r="H202" s="24">
        <v>0</v>
      </c>
      <c r="I202" s="24">
        <v>0</v>
      </c>
      <c r="J202" s="24">
        <v>2565.5</v>
      </c>
      <c r="K202" s="24">
        <v>0</v>
      </c>
      <c r="L202" s="32">
        <v>0</v>
      </c>
      <c r="M202" s="33">
        <v>0</v>
      </c>
      <c r="N202" s="27">
        <v>0</v>
      </c>
      <c r="O202" s="24">
        <v>2565.5</v>
      </c>
      <c r="P202" s="24">
        <v>2565.5</v>
      </c>
      <c r="Q202" s="28">
        <v>0</v>
      </c>
      <c r="R202" s="29">
        <v>0</v>
      </c>
      <c r="S202" s="29">
        <v>0</v>
      </c>
      <c r="T202" s="29">
        <v>0</v>
      </c>
      <c r="U202" s="30">
        <v>-2565.5</v>
      </c>
    </row>
    <row r="203" spans="2:21" x14ac:dyDescent="0.25">
      <c r="B203" s="22" t="s">
        <v>22</v>
      </c>
      <c r="C203" s="22">
        <v>26</v>
      </c>
      <c r="D203" s="22" t="s">
        <v>40</v>
      </c>
      <c r="E203" s="22" t="s">
        <v>41</v>
      </c>
      <c r="F203" s="22"/>
      <c r="G203" s="23">
        <v>820</v>
      </c>
      <c r="H203" s="24">
        <v>10820.47</v>
      </c>
      <c r="I203" s="24">
        <v>0</v>
      </c>
      <c r="J203" s="24">
        <v>0</v>
      </c>
      <c r="K203" s="24">
        <v>0</v>
      </c>
      <c r="L203" s="32">
        <v>0</v>
      </c>
      <c r="M203" s="33">
        <v>0</v>
      </c>
      <c r="N203" s="27">
        <v>0</v>
      </c>
      <c r="O203" s="24">
        <v>10820.47</v>
      </c>
      <c r="P203" s="24">
        <v>10820.47</v>
      </c>
      <c r="Q203" s="28">
        <v>0</v>
      </c>
      <c r="R203" s="29">
        <v>0</v>
      </c>
      <c r="S203" s="29">
        <v>0</v>
      </c>
      <c r="T203" s="29">
        <v>0</v>
      </c>
      <c r="U203" s="30">
        <v>10820.47</v>
      </c>
    </row>
    <row r="204" spans="2:21" x14ac:dyDescent="0.25">
      <c r="B204" s="31" t="s">
        <v>22</v>
      </c>
      <c r="C204" s="31">
        <v>26</v>
      </c>
      <c r="D204" s="22" t="s">
        <v>326</v>
      </c>
      <c r="E204" s="22" t="s">
        <v>327</v>
      </c>
      <c r="F204" s="22"/>
      <c r="G204" s="23">
        <v>25</v>
      </c>
      <c r="H204" s="24">
        <v>410</v>
      </c>
      <c r="I204" s="24">
        <v>0</v>
      </c>
      <c r="J204" s="24">
        <v>0</v>
      </c>
      <c r="K204" s="24">
        <v>0</v>
      </c>
      <c r="L204" s="32">
        <v>0</v>
      </c>
      <c r="M204" s="33">
        <v>0</v>
      </c>
      <c r="N204" s="27">
        <v>0</v>
      </c>
      <c r="O204" s="24">
        <v>410</v>
      </c>
      <c r="P204" s="24">
        <v>410</v>
      </c>
      <c r="Q204" s="28">
        <v>0</v>
      </c>
      <c r="R204" s="29">
        <v>0</v>
      </c>
      <c r="S204" s="29">
        <v>0</v>
      </c>
      <c r="T204" s="29">
        <v>0</v>
      </c>
      <c r="U204" s="30">
        <v>410</v>
      </c>
    </row>
    <row r="205" spans="2:21" x14ac:dyDescent="0.25">
      <c r="B205" s="31" t="s">
        <v>22</v>
      </c>
      <c r="C205" s="31">
        <v>26</v>
      </c>
      <c r="D205" s="22" t="s">
        <v>328</v>
      </c>
      <c r="E205" s="22" t="s">
        <v>329</v>
      </c>
      <c r="F205" s="22" t="s">
        <v>788</v>
      </c>
      <c r="G205" s="23">
        <v>135</v>
      </c>
      <c r="H205" s="24">
        <v>1909</v>
      </c>
      <c r="I205" s="24">
        <v>51.058</v>
      </c>
      <c r="J205" s="24">
        <v>722</v>
      </c>
      <c r="K205" s="24">
        <v>11.173999999999999</v>
      </c>
      <c r="L205" s="32">
        <v>157</v>
      </c>
      <c r="M205" s="33">
        <v>158.00863703703703</v>
      </c>
      <c r="N205" s="27">
        <v>721.99794074074066</v>
      </c>
      <c r="O205" s="24">
        <v>1909</v>
      </c>
      <c r="P205" s="24">
        <v>1909.0054447882801</v>
      </c>
      <c r="Q205" s="28">
        <v>0.38</v>
      </c>
      <c r="R205" s="29">
        <v>1.01</v>
      </c>
      <c r="S205" s="29">
        <v>1</v>
      </c>
      <c r="T205" s="29">
        <v>158</v>
      </c>
      <c r="U205" s="30">
        <v>1029</v>
      </c>
    </row>
    <row r="206" spans="2:21" x14ac:dyDescent="0.25">
      <c r="B206" s="31" t="s">
        <v>22</v>
      </c>
      <c r="C206" s="31">
        <v>26</v>
      </c>
      <c r="D206" s="22" t="s">
        <v>330</v>
      </c>
      <c r="E206" s="22" t="s">
        <v>331</v>
      </c>
      <c r="F206" s="22" t="s">
        <v>49</v>
      </c>
      <c r="G206" s="23">
        <v>0</v>
      </c>
      <c r="H206" s="24">
        <v>0</v>
      </c>
      <c r="I206" s="24">
        <v>0</v>
      </c>
      <c r="J206" s="24">
        <v>371.5</v>
      </c>
      <c r="K206" s="24">
        <v>0</v>
      </c>
      <c r="L206" s="32">
        <v>371</v>
      </c>
      <c r="M206" s="33">
        <v>0</v>
      </c>
      <c r="N206" s="27">
        <v>0</v>
      </c>
      <c r="O206" s="24">
        <v>0</v>
      </c>
      <c r="P206" s="24">
        <v>0</v>
      </c>
      <c r="Q206" s="28">
        <v>0</v>
      </c>
      <c r="R206" s="29">
        <v>0</v>
      </c>
      <c r="S206" s="29">
        <v>0</v>
      </c>
      <c r="T206" s="29">
        <v>371.5</v>
      </c>
      <c r="U206" s="30">
        <v>-743</v>
      </c>
    </row>
    <row r="207" spans="2:21" x14ac:dyDescent="0.25">
      <c r="B207" s="31" t="s">
        <v>22</v>
      </c>
      <c r="C207" s="31">
        <v>26</v>
      </c>
      <c r="D207" s="22" t="s">
        <v>332</v>
      </c>
      <c r="E207" s="22" t="s">
        <v>333</v>
      </c>
      <c r="F207" s="22" t="s">
        <v>49</v>
      </c>
      <c r="G207" s="23">
        <v>0</v>
      </c>
      <c r="H207" s="24">
        <v>0</v>
      </c>
      <c r="I207" s="24">
        <v>0</v>
      </c>
      <c r="J207" s="24">
        <v>51</v>
      </c>
      <c r="K207" s="24">
        <v>0</v>
      </c>
      <c r="L207" s="32">
        <v>50</v>
      </c>
      <c r="M207" s="33">
        <v>0</v>
      </c>
      <c r="N207" s="27">
        <v>0</v>
      </c>
      <c r="O207" s="24">
        <v>0</v>
      </c>
      <c r="P207" s="24">
        <v>0</v>
      </c>
      <c r="Q207" s="28">
        <v>0</v>
      </c>
      <c r="R207" s="29">
        <v>0</v>
      </c>
      <c r="S207" s="29">
        <v>0</v>
      </c>
      <c r="T207" s="29">
        <v>51</v>
      </c>
      <c r="U207" s="30">
        <v>-102</v>
      </c>
    </row>
    <row r="208" spans="2:21" x14ac:dyDescent="0.25">
      <c r="B208" s="31" t="s">
        <v>22</v>
      </c>
      <c r="C208" s="22">
        <v>30</v>
      </c>
      <c r="D208" s="22" t="s">
        <v>57</v>
      </c>
      <c r="E208" s="22" t="s">
        <v>58</v>
      </c>
      <c r="F208" s="22" t="s">
        <v>44</v>
      </c>
      <c r="G208" s="23">
        <v>0</v>
      </c>
      <c r="H208" s="24">
        <v>0</v>
      </c>
      <c r="I208" s="24">
        <v>0</v>
      </c>
      <c r="J208" s="24">
        <v>0</v>
      </c>
      <c r="K208" s="24">
        <v>0</v>
      </c>
      <c r="L208" s="32">
        <v>0</v>
      </c>
      <c r="M208" s="33">
        <v>0</v>
      </c>
      <c r="N208" s="27">
        <v>0</v>
      </c>
      <c r="O208" s="24">
        <v>0</v>
      </c>
      <c r="P208" s="24">
        <v>0</v>
      </c>
      <c r="Q208" s="28">
        <v>0</v>
      </c>
      <c r="R208" s="29">
        <v>0</v>
      </c>
      <c r="S208" s="29">
        <v>0</v>
      </c>
      <c r="T208" s="29">
        <v>0</v>
      </c>
      <c r="U208" s="30">
        <v>0</v>
      </c>
    </row>
    <row r="209" spans="2:21" x14ac:dyDescent="0.25">
      <c r="B209" s="31" t="s">
        <v>22</v>
      </c>
      <c r="C209" s="31">
        <v>30</v>
      </c>
      <c r="D209" s="22" t="s">
        <v>136</v>
      </c>
      <c r="E209" s="22" t="s">
        <v>334</v>
      </c>
      <c r="F209" s="22" t="s">
        <v>140</v>
      </c>
      <c r="G209" s="23">
        <v>55</v>
      </c>
      <c r="H209" s="24">
        <v>1380</v>
      </c>
      <c r="I209" s="24">
        <v>47.616000000000007</v>
      </c>
      <c r="J209" s="24">
        <v>1551.75</v>
      </c>
      <c r="K209" s="24">
        <v>0</v>
      </c>
      <c r="L209" s="32">
        <v>0</v>
      </c>
      <c r="M209" s="33">
        <v>0</v>
      </c>
      <c r="N209" s="27">
        <v>1194.7287272727274</v>
      </c>
      <c r="O209" s="24">
        <v>1380</v>
      </c>
      <c r="P209" s="24">
        <v>1792.3859627016125</v>
      </c>
      <c r="Q209" s="28">
        <v>0.87</v>
      </c>
      <c r="R209" s="29">
        <v>0</v>
      </c>
      <c r="S209" s="29">
        <v>0.77</v>
      </c>
      <c r="T209" s="29">
        <v>0</v>
      </c>
      <c r="U209" s="30">
        <v>-171.75</v>
      </c>
    </row>
    <row r="210" spans="2:21" x14ac:dyDescent="0.25">
      <c r="B210" s="31" t="s">
        <v>22</v>
      </c>
      <c r="C210" s="31">
        <v>30</v>
      </c>
      <c r="D210" s="22" t="s">
        <v>335</v>
      </c>
      <c r="E210" s="22" t="s">
        <v>336</v>
      </c>
      <c r="F210" s="22"/>
      <c r="G210" s="23">
        <v>166</v>
      </c>
      <c r="H210" s="24">
        <v>5077</v>
      </c>
      <c r="I210" s="24">
        <v>92.396000000000015</v>
      </c>
      <c r="J210" s="24">
        <v>2350.5</v>
      </c>
      <c r="K210" s="24">
        <v>0</v>
      </c>
      <c r="L210" s="32">
        <v>0</v>
      </c>
      <c r="M210" s="33">
        <v>0</v>
      </c>
      <c r="N210" s="27">
        <v>2825.8704337349404</v>
      </c>
      <c r="O210" s="24">
        <v>5077</v>
      </c>
      <c r="P210" s="24">
        <v>4222.9425516256106</v>
      </c>
      <c r="Q210" s="28">
        <v>0.56000000000000005</v>
      </c>
      <c r="R210" s="29">
        <v>0</v>
      </c>
      <c r="S210" s="29">
        <v>1.2</v>
      </c>
      <c r="T210" s="29">
        <v>0</v>
      </c>
      <c r="U210" s="30">
        <v>2726.5</v>
      </c>
    </row>
    <row r="211" spans="2:21" x14ac:dyDescent="0.25">
      <c r="B211" s="31" t="s">
        <v>22</v>
      </c>
      <c r="C211" s="31">
        <v>30</v>
      </c>
      <c r="D211" s="22" t="s">
        <v>337</v>
      </c>
      <c r="E211" s="22" t="s">
        <v>338</v>
      </c>
      <c r="F211" s="22"/>
      <c r="G211" s="23">
        <v>50</v>
      </c>
      <c r="H211" s="24">
        <v>1512</v>
      </c>
      <c r="I211" s="24">
        <v>18.092000000000002</v>
      </c>
      <c r="J211" s="24">
        <v>547</v>
      </c>
      <c r="K211" s="24">
        <v>0</v>
      </c>
      <c r="L211" s="32">
        <v>0</v>
      </c>
      <c r="M211" s="33">
        <v>0</v>
      </c>
      <c r="N211" s="27">
        <v>547.10208000000011</v>
      </c>
      <c r="O211" s="24">
        <v>1512</v>
      </c>
      <c r="P211" s="24">
        <v>1511.7178863586114</v>
      </c>
      <c r="Q211" s="28">
        <v>0.36</v>
      </c>
      <c r="R211" s="29">
        <v>0</v>
      </c>
      <c r="S211" s="29">
        <v>1</v>
      </c>
      <c r="T211" s="29">
        <v>0</v>
      </c>
      <c r="U211" s="30">
        <v>965</v>
      </c>
    </row>
    <row r="212" spans="2:21" x14ac:dyDescent="0.25">
      <c r="B212" s="31" t="s">
        <v>22</v>
      </c>
      <c r="C212" s="31">
        <v>30</v>
      </c>
      <c r="D212" s="22" t="s">
        <v>339</v>
      </c>
      <c r="E212" s="22" t="s">
        <v>340</v>
      </c>
      <c r="F212" s="22" t="s">
        <v>33</v>
      </c>
      <c r="G212" s="23">
        <v>1229</v>
      </c>
      <c r="H212" s="24">
        <v>37673</v>
      </c>
      <c r="I212" s="24">
        <v>829.26800000000003</v>
      </c>
      <c r="J212" s="24">
        <v>24807</v>
      </c>
      <c r="K212" s="24">
        <v>53.670999999999999</v>
      </c>
      <c r="L212" s="32">
        <v>1830</v>
      </c>
      <c r="M212" s="33">
        <v>1645.1973824247355</v>
      </c>
      <c r="N212" s="27">
        <v>25419.864413344181</v>
      </c>
      <c r="O212" s="24">
        <v>37673</v>
      </c>
      <c r="P212" s="24">
        <v>36764.716593429388</v>
      </c>
      <c r="Q212" s="28">
        <v>0.67</v>
      </c>
      <c r="R212" s="29">
        <v>0.9</v>
      </c>
      <c r="S212" s="29">
        <v>1.02</v>
      </c>
      <c r="T212" s="29">
        <v>1828</v>
      </c>
      <c r="U212" s="30">
        <v>11038</v>
      </c>
    </row>
    <row r="213" spans="2:21" x14ac:dyDescent="0.25">
      <c r="B213" s="31" t="s">
        <v>22</v>
      </c>
      <c r="C213" s="31">
        <v>30</v>
      </c>
      <c r="D213" s="22" t="s">
        <v>341</v>
      </c>
      <c r="E213" s="22" t="s">
        <v>342</v>
      </c>
      <c r="F213" s="22" t="s">
        <v>788</v>
      </c>
      <c r="G213" s="23">
        <v>784</v>
      </c>
      <c r="H213" s="24">
        <v>21677.360000000001</v>
      </c>
      <c r="I213" s="24">
        <v>301.87099999999998</v>
      </c>
      <c r="J213" s="24">
        <v>8346.75</v>
      </c>
      <c r="K213" s="24">
        <v>44.295999999999999</v>
      </c>
      <c r="L213" s="32">
        <v>1224</v>
      </c>
      <c r="M213" s="33">
        <v>1224.7708400000001</v>
      </c>
      <c r="N213" s="27">
        <v>8346.6407405102036</v>
      </c>
      <c r="O213" s="24">
        <v>21677.360000000001</v>
      </c>
      <c r="P213" s="24">
        <v>21677.643761739288</v>
      </c>
      <c r="Q213" s="28">
        <v>0.39</v>
      </c>
      <c r="R213" s="29">
        <v>1</v>
      </c>
      <c r="S213" s="29">
        <v>1</v>
      </c>
      <c r="T213" s="29">
        <v>1224.75</v>
      </c>
      <c r="U213" s="30">
        <v>12105.86</v>
      </c>
    </row>
    <row r="214" spans="2:21" x14ac:dyDescent="0.25">
      <c r="B214" s="31" t="s">
        <v>22</v>
      </c>
      <c r="C214" s="31">
        <v>30</v>
      </c>
      <c r="D214" s="22" t="s">
        <v>343</v>
      </c>
      <c r="E214" s="22" t="s">
        <v>344</v>
      </c>
      <c r="F214" s="22" t="s">
        <v>44</v>
      </c>
      <c r="G214" s="23">
        <v>0</v>
      </c>
      <c r="H214" s="24">
        <v>0</v>
      </c>
      <c r="I214" s="24">
        <v>0</v>
      </c>
      <c r="J214" s="24">
        <v>0</v>
      </c>
      <c r="K214" s="24">
        <v>0</v>
      </c>
      <c r="L214" s="32">
        <v>0</v>
      </c>
      <c r="M214" s="33">
        <v>0</v>
      </c>
      <c r="N214" s="27">
        <v>0</v>
      </c>
      <c r="O214" s="24">
        <v>0</v>
      </c>
      <c r="P214" s="24">
        <v>0</v>
      </c>
      <c r="Q214" s="28">
        <v>0</v>
      </c>
      <c r="R214" s="29">
        <v>0</v>
      </c>
      <c r="S214" s="29">
        <v>0</v>
      </c>
      <c r="T214" s="29">
        <v>0</v>
      </c>
      <c r="U214" s="30">
        <v>0</v>
      </c>
    </row>
    <row r="215" spans="2:21" x14ac:dyDescent="0.25">
      <c r="B215" s="31" t="s">
        <v>22</v>
      </c>
      <c r="C215" s="31">
        <v>30</v>
      </c>
      <c r="D215" s="22" t="s">
        <v>345</v>
      </c>
      <c r="E215" s="22" t="s">
        <v>346</v>
      </c>
      <c r="F215" s="22" t="s">
        <v>788</v>
      </c>
      <c r="G215" s="23">
        <v>38</v>
      </c>
      <c r="H215" s="24">
        <v>7185</v>
      </c>
      <c r="I215" s="24">
        <v>10.793000000000001</v>
      </c>
      <c r="J215" s="24">
        <v>2040.75</v>
      </c>
      <c r="K215" s="24">
        <v>2.8000000000000001E-2</v>
      </c>
      <c r="L215" s="32">
        <v>5</v>
      </c>
      <c r="M215" s="33">
        <v>5.2942105263157897</v>
      </c>
      <c r="N215" s="27">
        <v>2040.7290789473689</v>
      </c>
      <c r="O215" s="24">
        <v>7185</v>
      </c>
      <c r="P215" s="24">
        <v>7185.0736588529589</v>
      </c>
      <c r="Q215" s="28">
        <v>0.28000000000000003</v>
      </c>
      <c r="R215" s="29">
        <v>1.06</v>
      </c>
      <c r="S215" s="29">
        <v>1</v>
      </c>
      <c r="T215" s="29">
        <v>5</v>
      </c>
      <c r="U215" s="30">
        <v>5139.25</v>
      </c>
    </row>
    <row r="216" spans="2:21" x14ac:dyDescent="0.25">
      <c r="B216" s="31" t="s">
        <v>22</v>
      </c>
      <c r="C216" s="31">
        <v>30</v>
      </c>
      <c r="D216" s="22" t="s">
        <v>347</v>
      </c>
      <c r="E216" s="22" t="s">
        <v>348</v>
      </c>
      <c r="F216" s="22"/>
      <c r="G216" s="23">
        <v>48</v>
      </c>
      <c r="H216" s="24">
        <v>1920</v>
      </c>
      <c r="I216" s="24">
        <v>0</v>
      </c>
      <c r="J216" s="24">
        <v>0</v>
      </c>
      <c r="K216" s="24">
        <v>0</v>
      </c>
      <c r="L216" s="32">
        <v>0</v>
      </c>
      <c r="M216" s="33">
        <v>0</v>
      </c>
      <c r="N216" s="27">
        <v>0</v>
      </c>
      <c r="O216" s="24">
        <v>1920</v>
      </c>
      <c r="P216" s="24">
        <v>1920</v>
      </c>
      <c r="Q216" s="28">
        <v>0</v>
      </c>
      <c r="R216" s="29">
        <v>0</v>
      </c>
      <c r="S216" s="29">
        <v>0</v>
      </c>
      <c r="T216" s="29">
        <v>0</v>
      </c>
      <c r="U216" s="30">
        <v>1920</v>
      </c>
    </row>
    <row r="217" spans="2:21" x14ac:dyDescent="0.25">
      <c r="B217" s="31" t="s">
        <v>22</v>
      </c>
      <c r="C217" s="22">
        <v>45</v>
      </c>
      <c r="D217" s="22" t="s">
        <v>63</v>
      </c>
      <c r="E217" s="22" t="s">
        <v>349</v>
      </c>
      <c r="F217" s="22" t="s">
        <v>44</v>
      </c>
      <c r="G217" s="23">
        <v>0</v>
      </c>
      <c r="H217" s="24">
        <v>0</v>
      </c>
      <c r="I217" s="24">
        <v>0</v>
      </c>
      <c r="J217" s="24">
        <v>0</v>
      </c>
      <c r="K217" s="24">
        <v>0</v>
      </c>
      <c r="L217" s="32">
        <v>0</v>
      </c>
      <c r="M217" s="33">
        <v>0</v>
      </c>
      <c r="N217" s="27">
        <v>0</v>
      </c>
      <c r="O217" s="24">
        <v>0</v>
      </c>
      <c r="P217" s="24">
        <v>0</v>
      </c>
      <c r="Q217" s="28">
        <v>0</v>
      </c>
      <c r="R217" s="29">
        <v>0</v>
      </c>
      <c r="S217" s="29">
        <v>0</v>
      </c>
      <c r="T217" s="29">
        <v>0</v>
      </c>
      <c r="U217" s="30">
        <v>0</v>
      </c>
    </row>
    <row r="218" spans="2:21" x14ac:dyDescent="0.25">
      <c r="B218" s="31" t="s">
        <v>22</v>
      </c>
      <c r="C218" s="31">
        <v>45</v>
      </c>
      <c r="D218" s="22" t="s">
        <v>350</v>
      </c>
      <c r="E218" s="22" t="s">
        <v>351</v>
      </c>
      <c r="F218" s="22" t="s">
        <v>140</v>
      </c>
      <c r="G218" s="23">
        <v>11</v>
      </c>
      <c r="H218" s="24">
        <v>1386</v>
      </c>
      <c r="I218" s="24">
        <v>11</v>
      </c>
      <c r="J218" s="24">
        <v>1472</v>
      </c>
      <c r="K218" s="24">
        <v>0</v>
      </c>
      <c r="L218" s="32">
        <v>0</v>
      </c>
      <c r="M218" s="33">
        <v>0</v>
      </c>
      <c r="N218" s="27">
        <v>1386</v>
      </c>
      <c r="O218" s="24">
        <v>1386</v>
      </c>
      <c r="P218" s="24">
        <v>1472</v>
      </c>
      <c r="Q218" s="28">
        <v>1</v>
      </c>
      <c r="R218" s="29">
        <v>0</v>
      </c>
      <c r="S218" s="29">
        <v>0.94</v>
      </c>
      <c r="T218" s="29">
        <v>0</v>
      </c>
      <c r="U218" s="30">
        <v>-86</v>
      </c>
    </row>
    <row r="219" spans="2:21" x14ac:dyDescent="0.25">
      <c r="B219" s="31" t="s">
        <v>22</v>
      </c>
      <c r="C219" s="31">
        <v>45</v>
      </c>
      <c r="D219" s="22" t="s">
        <v>352</v>
      </c>
      <c r="E219" s="22" t="s">
        <v>353</v>
      </c>
      <c r="F219" s="22" t="s">
        <v>1312</v>
      </c>
      <c r="G219" s="23">
        <v>19</v>
      </c>
      <c r="H219" s="24">
        <v>1111</v>
      </c>
      <c r="I219" s="24">
        <v>18.999999999999996</v>
      </c>
      <c r="J219" s="24">
        <v>1355.5</v>
      </c>
      <c r="K219" s="24">
        <v>0</v>
      </c>
      <c r="L219" s="32">
        <v>245</v>
      </c>
      <c r="M219" s="33">
        <v>0</v>
      </c>
      <c r="N219" s="27">
        <v>1110.9999999999998</v>
      </c>
      <c r="O219" s="24">
        <v>1111</v>
      </c>
      <c r="P219" s="24">
        <v>1355.5000000000002</v>
      </c>
      <c r="Q219" s="28">
        <v>1</v>
      </c>
      <c r="R219" s="29">
        <v>0</v>
      </c>
      <c r="S219" s="29">
        <v>0.82</v>
      </c>
      <c r="T219" s="29">
        <v>244.5</v>
      </c>
      <c r="U219" s="30">
        <v>-489</v>
      </c>
    </row>
    <row r="220" spans="2:21" x14ac:dyDescent="0.25">
      <c r="B220" s="31" t="s">
        <v>22</v>
      </c>
      <c r="C220" s="31">
        <v>45</v>
      </c>
      <c r="D220" s="22" t="s">
        <v>354</v>
      </c>
      <c r="E220" s="22" t="s">
        <v>355</v>
      </c>
      <c r="F220" s="22"/>
      <c r="G220" s="23">
        <v>4</v>
      </c>
      <c r="H220" s="24">
        <v>234</v>
      </c>
      <c r="I220" s="24">
        <v>2.12</v>
      </c>
      <c r="J220" s="24">
        <v>124</v>
      </c>
      <c r="K220" s="24">
        <v>0</v>
      </c>
      <c r="L220" s="32">
        <v>0</v>
      </c>
      <c r="M220" s="33">
        <v>0</v>
      </c>
      <c r="N220" s="27">
        <v>124.02000000000001</v>
      </c>
      <c r="O220" s="24">
        <v>234</v>
      </c>
      <c r="P220" s="24">
        <v>233.96226415094338</v>
      </c>
      <c r="Q220" s="28">
        <v>0.53</v>
      </c>
      <c r="R220" s="29">
        <v>0</v>
      </c>
      <c r="S220" s="29">
        <v>1</v>
      </c>
      <c r="T220" s="29">
        <v>0</v>
      </c>
      <c r="U220" s="30">
        <v>110</v>
      </c>
    </row>
    <row r="221" spans="2:21" x14ac:dyDescent="0.25">
      <c r="B221" s="31" t="s">
        <v>22</v>
      </c>
      <c r="C221" s="31">
        <v>45</v>
      </c>
      <c r="D221" s="22" t="s">
        <v>356</v>
      </c>
      <c r="E221" s="22" t="s">
        <v>357</v>
      </c>
      <c r="F221" s="22" t="s">
        <v>33</v>
      </c>
      <c r="G221" s="23">
        <v>89</v>
      </c>
      <c r="H221" s="24">
        <v>5204</v>
      </c>
      <c r="I221" s="24">
        <v>78.369000000000014</v>
      </c>
      <c r="J221" s="24">
        <v>4582.3799999999992</v>
      </c>
      <c r="K221" s="24">
        <v>2.2109999999999999</v>
      </c>
      <c r="L221" s="32">
        <v>130</v>
      </c>
      <c r="M221" s="33">
        <v>129.28139325842696</v>
      </c>
      <c r="N221" s="27">
        <v>4582.3851235955062</v>
      </c>
      <c r="O221" s="24">
        <v>5204</v>
      </c>
      <c r="P221" s="24">
        <v>5203.9941813727346</v>
      </c>
      <c r="Q221" s="28">
        <v>0.88</v>
      </c>
      <c r="R221" s="29">
        <v>0.99</v>
      </c>
      <c r="S221" s="29">
        <v>1</v>
      </c>
      <c r="T221" s="29">
        <v>129.25</v>
      </c>
      <c r="U221" s="30">
        <v>492.3700000000008</v>
      </c>
    </row>
    <row r="222" spans="2:21" x14ac:dyDescent="0.25">
      <c r="B222" s="31" t="s">
        <v>22</v>
      </c>
      <c r="C222" s="31">
        <v>45</v>
      </c>
      <c r="D222" s="22" t="s">
        <v>358</v>
      </c>
      <c r="E222" s="22" t="s">
        <v>359</v>
      </c>
      <c r="F222" s="22"/>
      <c r="G222" s="23">
        <v>178</v>
      </c>
      <c r="H222" s="24">
        <v>10502</v>
      </c>
      <c r="I222" s="24">
        <v>46.402999999999992</v>
      </c>
      <c r="J222" s="24">
        <v>2491</v>
      </c>
      <c r="K222" s="24">
        <v>0</v>
      </c>
      <c r="L222" s="32">
        <v>0</v>
      </c>
      <c r="M222" s="33">
        <v>0</v>
      </c>
      <c r="N222" s="27">
        <v>2737.7769999999996</v>
      </c>
      <c r="O222" s="24">
        <v>10502</v>
      </c>
      <c r="P222" s="24">
        <v>9555.3735749843781</v>
      </c>
      <c r="Q222" s="28">
        <v>0.26</v>
      </c>
      <c r="R222" s="29">
        <v>0</v>
      </c>
      <c r="S222" s="29">
        <v>1.1000000000000001</v>
      </c>
      <c r="T222" s="29">
        <v>0</v>
      </c>
      <c r="U222" s="30">
        <v>8011</v>
      </c>
    </row>
    <row r="223" spans="2:21" x14ac:dyDescent="0.25">
      <c r="B223" s="31" t="s">
        <v>22</v>
      </c>
      <c r="C223" s="31">
        <v>45</v>
      </c>
      <c r="D223" s="22" t="s">
        <v>360</v>
      </c>
      <c r="E223" s="22" t="s">
        <v>361</v>
      </c>
      <c r="F223" s="22"/>
      <c r="G223" s="23">
        <v>8</v>
      </c>
      <c r="H223" s="24">
        <v>900</v>
      </c>
      <c r="I223" s="24">
        <v>6.9999999999999991</v>
      </c>
      <c r="J223" s="24">
        <v>620</v>
      </c>
      <c r="K223" s="24">
        <v>0</v>
      </c>
      <c r="L223" s="32">
        <v>0</v>
      </c>
      <c r="M223" s="33">
        <v>0</v>
      </c>
      <c r="N223" s="27">
        <v>787.49999999999989</v>
      </c>
      <c r="O223" s="24">
        <v>900</v>
      </c>
      <c r="P223" s="24">
        <v>708.57142857142867</v>
      </c>
      <c r="Q223" s="28">
        <v>0.88</v>
      </c>
      <c r="R223" s="29">
        <v>0</v>
      </c>
      <c r="S223" s="29">
        <v>1.27</v>
      </c>
      <c r="T223" s="29">
        <v>0</v>
      </c>
      <c r="U223" s="30">
        <v>280</v>
      </c>
    </row>
    <row r="224" spans="2:21" x14ac:dyDescent="0.25">
      <c r="B224" s="31" t="s">
        <v>22</v>
      </c>
      <c r="C224" s="31">
        <v>45</v>
      </c>
      <c r="D224" s="22" t="s">
        <v>362</v>
      </c>
      <c r="E224" s="22" t="s">
        <v>363</v>
      </c>
      <c r="F224" s="22"/>
      <c r="G224" s="23">
        <v>6</v>
      </c>
      <c r="H224" s="24">
        <v>2570</v>
      </c>
      <c r="I224" s="24">
        <v>0.70100000000000007</v>
      </c>
      <c r="J224" s="24">
        <v>299.25</v>
      </c>
      <c r="K224" s="24">
        <v>0</v>
      </c>
      <c r="L224" s="32">
        <v>0</v>
      </c>
      <c r="M224" s="33">
        <v>0</v>
      </c>
      <c r="N224" s="27">
        <v>300.26166666666671</v>
      </c>
      <c r="O224" s="24">
        <v>2570</v>
      </c>
      <c r="P224" s="24">
        <v>2570</v>
      </c>
      <c r="Q224" s="28">
        <v>0.12</v>
      </c>
      <c r="R224" s="29">
        <v>0</v>
      </c>
      <c r="S224" s="29">
        <v>1</v>
      </c>
      <c r="T224" s="29">
        <v>0</v>
      </c>
      <c r="U224" s="30">
        <v>2270.75</v>
      </c>
    </row>
    <row r="225" spans="2:21" x14ac:dyDescent="0.25">
      <c r="B225" s="31" t="s">
        <v>22</v>
      </c>
      <c r="C225" s="31">
        <v>45</v>
      </c>
      <c r="D225" s="22" t="s">
        <v>364</v>
      </c>
      <c r="E225" s="22" t="s">
        <v>365</v>
      </c>
      <c r="F225" s="22"/>
      <c r="G225" s="23">
        <v>6</v>
      </c>
      <c r="H225" s="24">
        <v>4800</v>
      </c>
      <c r="I225" s="24">
        <v>0</v>
      </c>
      <c r="J225" s="24">
        <v>0</v>
      </c>
      <c r="K225" s="24">
        <v>0</v>
      </c>
      <c r="L225" s="32">
        <v>0</v>
      </c>
      <c r="M225" s="33">
        <v>0</v>
      </c>
      <c r="N225" s="27">
        <v>0</v>
      </c>
      <c r="O225" s="24">
        <v>4800</v>
      </c>
      <c r="P225" s="24">
        <v>4800</v>
      </c>
      <c r="Q225" s="28">
        <v>0</v>
      </c>
      <c r="R225" s="29">
        <v>0</v>
      </c>
      <c r="S225" s="29">
        <v>0</v>
      </c>
      <c r="T225" s="29">
        <v>0</v>
      </c>
      <c r="U225" s="30">
        <v>4800</v>
      </c>
    </row>
    <row r="226" spans="2:21" x14ac:dyDescent="0.25">
      <c r="B226" s="31" t="s">
        <v>22</v>
      </c>
      <c r="C226" s="31">
        <v>45</v>
      </c>
      <c r="D226" s="22" t="s">
        <v>366</v>
      </c>
      <c r="E226" s="22" t="s">
        <v>367</v>
      </c>
      <c r="F226" s="22"/>
      <c r="G226" s="23">
        <v>157</v>
      </c>
      <c r="H226" s="24">
        <v>5071</v>
      </c>
      <c r="I226" s="24">
        <v>0</v>
      </c>
      <c r="J226" s="24">
        <v>0</v>
      </c>
      <c r="K226" s="24">
        <v>0</v>
      </c>
      <c r="L226" s="32">
        <v>0</v>
      </c>
      <c r="M226" s="33">
        <v>0</v>
      </c>
      <c r="N226" s="27">
        <v>0</v>
      </c>
      <c r="O226" s="24">
        <v>5071</v>
      </c>
      <c r="P226" s="24">
        <v>5071</v>
      </c>
      <c r="Q226" s="28">
        <v>0</v>
      </c>
      <c r="R226" s="29">
        <v>0</v>
      </c>
      <c r="S226" s="29">
        <v>0</v>
      </c>
      <c r="T226" s="29">
        <v>0</v>
      </c>
      <c r="U226" s="30">
        <v>5071</v>
      </c>
    </row>
    <row r="227" spans="2:21" x14ac:dyDescent="0.25">
      <c r="B227" s="31" t="s">
        <v>22</v>
      </c>
      <c r="C227" s="22">
        <v>50</v>
      </c>
      <c r="D227" s="22" t="s">
        <v>69</v>
      </c>
      <c r="E227" s="22" t="s">
        <v>368</v>
      </c>
      <c r="F227" s="22" t="s">
        <v>44</v>
      </c>
      <c r="G227" s="23">
        <v>0</v>
      </c>
      <c r="H227" s="24">
        <v>0</v>
      </c>
      <c r="I227" s="24">
        <v>0</v>
      </c>
      <c r="J227" s="24">
        <v>0</v>
      </c>
      <c r="K227" s="24">
        <v>0</v>
      </c>
      <c r="L227" s="32">
        <v>0</v>
      </c>
      <c r="M227" s="33">
        <v>0</v>
      </c>
      <c r="N227" s="27">
        <v>0</v>
      </c>
      <c r="O227" s="24">
        <v>0</v>
      </c>
      <c r="P227" s="24">
        <v>0</v>
      </c>
      <c r="Q227" s="28">
        <v>0</v>
      </c>
      <c r="R227" s="29">
        <v>0</v>
      </c>
      <c r="S227" s="29">
        <v>0</v>
      </c>
      <c r="T227" s="29">
        <v>0</v>
      </c>
      <c r="U227" s="30">
        <v>0</v>
      </c>
    </row>
    <row r="228" spans="2:21" x14ac:dyDescent="0.25">
      <c r="B228" s="31" t="s">
        <v>22</v>
      </c>
      <c r="C228" s="31">
        <v>50</v>
      </c>
      <c r="D228" s="22" t="s">
        <v>369</v>
      </c>
      <c r="E228" s="22" t="s">
        <v>370</v>
      </c>
      <c r="F228" s="22"/>
      <c r="G228" s="23">
        <v>135</v>
      </c>
      <c r="H228" s="24">
        <v>529.35</v>
      </c>
      <c r="I228" s="24">
        <v>0</v>
      </c>
      <c r="J228" s="24">
        <v>0</v>
      </c>
      <c r="K228" s="24">
        <v>0</v>
      </c>
      <c r="L228" s="32">
        <v>0</v>
      </c>
      <c r="M228" s="33">
        <v>0</v>
      </c>
      <c r="N228" s="27">
        <v>0</v>
      </c>
      <c r="O228" s="24">
        <v>529.35</v>
      </c>
      <c r="P228" s="24">
        <v>529.35</v>
      </c>
      <c r="Q228" s="28">
        <v>0</v>
      </c>
      <c r="R228" s="29">
        <v>0</v>
      </c>
      <c r="S228" s="29">
        <v>0</v>
      </c>
      <c r="T228" s="29">
        <v>0</v>
      </c>
      <c r="U228" s="30">
        <v>529.35</v>
      </c>
    </row>
    <row r="229" spans="2:21" x14ac:dyDescent="0.25">
      <c r="B229" s="31" t="s">
        <v>22</v>
      </c>
      <c r="C229" s="31">
        <v>50</v>
      </c>
      <c r="D229" s="22" t="s">
        <v>154</v>
      </c>
      <c r="E229" s="22" t="s">
        <v>371</v>
      </c>
      <c r="F229" s="22"/>
      <c r="G229" s="23">
        <v>73</v>
      </c>
      <c r="H229" s="24">
        <v>16825</v>
      </c>
      <c r="I229" s="24">
        <v>64.26700000000001</v>
      </c>
      <c r="J229" s="24">
        <v>14559</v>
      </c>
      <c r="K229" s="24">
        <v>0</v>
      </c>
      <c r="L229" s="32">
        <v>0</v>
      </c>
      <c r="M229" s="33">
        <v>0</v>
      </c>
      <c r="N229" s="27">
        <v>14812.222945205482</v>
      </c>
      <c r="O229" s="24">
        <v>16825</v>
      </c>
      <c r="P229" s="24">
        <v>16537.367544774141</v>
      </c>
      <c r="Q229" s="28">
        <v>0.88</v>
      </c>
      <c r="R229" s="29">
        <v>0</v>
      </c>
      <c r="S229" s="29">
        <v>1.02</v>
      </c>
      <c r="T229" s="29">
        <v>0</v>
      </c>
      <c r="U229" s="30">
        <v>2266</v>
      </c>
    </row>
    <row r="230" spans="2:21" x14ac:dyDescent="0.25">
      <c r="B230" s="31" t="s">
        <v>22</v>
      </c>
      <c r="C230" s="31">
        <v>50</v>
      </c>
      <c r="D230" s="22" t="s">
        <v>372</v>
      </c>
      <c r="E230" s="22" t="s">
        <v>373</v>
      </c>
      <c r="F230" s="22" t="s">
        <v>140</v>
      </c>
      <c r="G230" s="23">
        <v>46</v>
      </c>
      <c r="H230" s="24">
        <v>8258</v>
      </c>
      <c r="I230" s="24">
        <v>22.928999999999998</v>
      </c>
      <c r="J230" s="24">
        <v>4188.5</v>
      </c>
      <c r="K230" s="24">
        <v>0</v>
      </c>
      <c r="L230" s="32">
        <v>0</v>
      </c>
      <c r="M230" s="33">
        <v>0</v>
      </c>
      <c r="N230" s="27">
        <v>4116.2539565217385</v>
      </c>
      <c r="O230" s="24">
        <v>8258</v>
      </c>
      <c r="P230" s="24">
        <v>8402.9395089188365</v>
      </c>
      <c r="Q230" s="28">
        <v>0.5</v>
      </c>
      <c r="R230" s="29">
        <v>0</v>
      </c>
      <c r="S230" s="29">
        <v>0.98</v>
      </c>
      <c r="T230" s="29">
        <v>0</v>
      </c>
      <c r="U230" s="30">
        <v>4069.5</v>
      </c>
    </row>
    <row r="231" spans="2:21" x14ac:dyDescent="0.25">
      <c r="B231" s="31" t="s">
        <v>22</v>
      </c>
      <c r="C231" s="31">
        <v>50</v>
      </c>
      <c r="D231" s="22" t="s">
        <v>374</v>
      </c>
      <c r="E231" s="22" t="s">
        <v>375</v>
      </c>
      <c r="F231" s="22"/>
      <c r="G231" s="23">
        <v>2</v>
      </c>
      <c r="H231" s="24">
        <v>419</v>
      </c>
      <c r="I231" s="24">
        <v>0</v>
      </c>
      <c r="J231" s="24">
        <v>0</v>
      </c>
      <c r="K231" s="24">
        <v>0</v>
      </c>
      <c r="L231" s="32">
        <v>0</v>
      </c>
      <c r="M231" s="33">
        <v>0</v>
      </c>
      <c r="N231" s="27">
        <v>0</v>
      </c>
      <c r="O231" s="24">
        <v>419</v>
      </c>
      <c r="P231" s="24">
        <v>419</v>
      </c>
      <c r="Q231" s="28">
        <v>0</v>
      </c>
      <c r="R231" s="29">
        <v>0</v>
      </c>
      <c r="S231" s="29">
        <v>0</v>
      </c>
      <c r="T231" s="29">
        <v>0</v>
      </c>
      <c r="U231" s="30">
        <v>419</v>
      </c>
    </row>
    <row r="232" spans="2:21" x14ac:dyDescent="0.25">
      <c r="B232" s="31" t="s">
        <v>22</v>
      </c>
      <c r="C232" s="31">
        <v>50</v>
      </c>
      <c r="D232" s="22" t="s">
        <v>376</v>
      </c>
      <c r="E232" s="22" t="s">
        <v>377</v>
      </c>
      <c r="F232" s="22" t="s">
        <v>33</v>
      </c>
      <c r="G232" s="23">
        <v>73</v>
      </c>
      <c r="H232" s="24">
        <v>9426</v>
      </c>
      <c r="I232" s="24">
        <v>51.792000000000002</v>
      </c>
      <c r="J232" s="24">
        <v>6687.5</v>
      </c>
      <c r="K232" s="24">
        <v>11.753</v>
      </c>
      <c r="L232" s="32">
        <v>1517</v>
      </c>
      <c r="M232" s="33">
        <v>1517.586</v>
      </c>
      <c r="N232" s="27">
        <v>6687.5533150684932</v>
      </c>
      <c r="O232" s="24">
        <v>9426</v>
      </c>
      <c r="P232" s="24">
        <v>9425.9248532591901</v>
      </c>
      <c r="Q232" s="28">
        <v>0.71</v>
      </c>
      <c r="R232" s="29">
        <v>1</v>
      </c>
      <c r="S232" s="29">
        <v>1</v>
      </c>
      <c r="T232" s="29">
        <v>1477.5</v>
      </c>
      <c r="U232" s="30">
        <v>1261</v>
      </c>
    </row>
    <row r="233" spans="2:21" x14ac:dyDescent="0.25">
      <c r="B233" s="31" t="s">
        <v>22</v>
      </c>
      <c r="C233" s="31">
        <v>50</v>
      </c>
      <c r="D233" s="22" t="s">
        <v>378</v>
      </c>
      <c r="E233" s="22" t="s">
        <v>379</v>
      </c>
      <c r="F233" s="22"/>
      <c r="G233" s="23">
        <v>153</v>
      </c>
      <c r="H233" s="24">
        <v>10877</v>
      </c>
      <c r="I233" s="24">
        <v>61.638999999999989</v>
      </c>
      <c r="J233" s="24">
        <v>4382</v>
      </c>
      <c r="K233" s="24">
        <v>0</v>
      </c>
      <c r="L233" s="32">
        <v>0</v>
      </c>
      <c r="M233" s="33">
        <v>0</v>
      </c>
      <c r="N233" s="27">
        <v>4382.0091699346394</v>
      </c>
      <c r="O233" s="24">
        <v>10877</v>
      </c>
      <c r="P233" s="24">
        <v>10876.977238436706</v>
      </c>
      <c r="Q233" s="28">
        <v>0.4</v>
      </c>
      <c r="R233" s="29">
        <v>0</v>
      </c>
      <c r="S233" s="29">
        <v>1</v>
      </c>
      <c r="T233" s="29">
        <v>0</v>
      </c>
      <c r="U233" s="30">
        <v>6495</v>
      </c>
    </row>
    <row r="234" spans="2:21" x14ac:dyDescent="0.25">
      <c r="B234" s="31" t="s">
        <v>22</v>
      </c>
      <c r="C234" s="31">
        <v>50</v>
      </c>
      <c r="D234" s="22" t="s">
        <v>380</v>
      </c>
      <c r="E234" s="22" t="s">
        <v>381</v>
      </c>
      <c r="F234" s="22"/>
      <c r="G234" s="23">
        <v>13</v>
      </c>
      <c r="H234" s="24">
        <v>507</v>
      </c>
      <c r="I234" s="24">
        <v>2.3849999999999998</v>
      </c>
      <c r="J234" s="24">
        <v>93</v>
      </c>
      <c r="K234" s="24">
        <v>0</v>
      </c>
      <c r="L234" s="32">
        <v>0</v>
      </c>
      <c r="M234" s="33">
        <v>0</v>
      </c>
      <c r="N234" s="27">
        <v>93.015000000000001</v>
      </c>
      <c r="O234" s="24">
        <v>507</v>
      </c>
      <c r="P234" s="24">
        <v>507</v>
      </c>
      <c r="Q234" s="28">
        <v>0.18</v>
      </c>
      <c r="R234" s="29">
        <v>0</v>
      </c>
      <c r="S234" s="29">
        <v>1</v>
      </c>
      <c r="T234" s="29">
        <v>0</v>
      </c>
      <c r="U234" s="30">
        <v>414</v>
      </c>
    </row>
    <row r="235" spans="2:21" x14ac:dyDescent="0.25">
      <c r="B235" s="31" t="s">
        <v>22</v>
      </c>
      <c r="C235" s="31">
        <v>50</v>
      </c>
      <c r="D235" s="22" t="s">
        <v>382</v>
      </c>
      <c r="E235" s="22" t="s">
        <v>383</v>
      </c>
      <c r="F235" s="22" t="s">
        <v>33</v>
      </c>
      <c r="G235" s="23">
        <v>256</v>
      </c>
      <c r="H235" s="24">
        <v>47010</v>
      </c>
      <c r="I235" s="24">
        <v>26.542000000000002</v>
      </c>
      <c r="J235" s="24">
        <v>4874</v>
      </c>
      <c r="K235" s="24">
        <v>3.927</v>
      </c>
      <c r="L235" s="32">
        <v>720</v>
      </c>
      <c r="M235" s="33">
        <v>721.12605468749996</v>
      </c>
      <c r="N235" s="27">
        <v>4873.9821093750006</v>
      </c>
      <c r="O235" s="24">
        <v>47010</v>
      </c>
      <c r="P235" s="24">
        <v>47010</v>
      </c>
      <c r="Q235" s="28">
        <v>0.1</v>
      </c>
      <c r="R235" s="29">
        <v>1</v>
      </c>
      <c r="S235" s="29">
        <v>1</v>
      </c>
      <c r="T235" s="29">
        <v>720.75</v>
      </c>
      <c r="U235" s="30">
        <v>41415.25</v>
      </c>
    </row>
    <row r="236" spans="2:21" x14ac:dyDescent="0.25">
      <c r="B236" s="31" t="s">
        <v>22</v>
      </c>
      <c r="C236" s="31">
        <v>50</v>
      </c>
      <c r="D236" s="22" t="s">
        <v>384</v>
      </c>
      <c r="E236" s="22" t="s">
        <v>385</v>
      </c>
      <c r="F236" s="22" t="s">
        <v>33</v>
      </c>
      <c r="G236" s="23">
        <v>782</v>
      </c>
      <c r="H236" s="24">
        <v>25756</v>
      </c>
      <c r="I236" s="24">
        <v>488.64400000000001</v>
      </c>
      <c r="J236" s="24">
        <v>16094</v>
      </c>
      <c r="K236" s="24">
        <v>65.174999999999997</v>
      </c>
      <c r="L236" s="32">
        <v>2146</v>
      </c>
      <c r="M236" s="33">
        <v>2146.6078005115087</v>
      </c>
      <c r="N236" s="27">
        <v>16094.008777493607</v>
      </c>
      <c r="O236" s="24">
        <v>25756</v>
      </c>
      <c r="P236" s="24">
        <v>25755.985952963711</v>
      </c>
      <c r="Q236" s="28">
        <v>0.62</v>
      </c>
      <c r="R236" s="29">
        <v>1</v>
      </c>
      <c r="S236" s="29">
        <v>1</v>
      </c>
      <c r="T236" s="29">
        <v>2146.5</v>
      </c>
      <c r="U236" s="30">
        <v>7515.5</v>
      </c>
    </row>
    <row r="237" spans="2:21" x14ac:dyDescent="0.25">
      <c r="B237" s="31" t="s">
        <v>22</v>
      </c>
      <c r="C237" s="31">
        <v>50</v>
      </c>
      <c r="D237" s="22" t="s">
        <v>386</v>
      </c>
      <c r="E237" s="22" t="s">
        <v>387</v>
      </c>
      <c r="F237" s="22"/>
      <c r="G237" s="23">
        <v>476</v>
      </c>
      <c r="H237" s="24">
        <v>2354</v>
      </c>
      <c r="I237" s="24">
        <v>273.27099999999996</v>
      </c>
      <c r="J237" s="24">
        <v>1351.25</v>
      </c>
      <c r="K237" s="24">
        <v>0</v>
      </c>
      <c r="L237" s="32">
        <v>0</v>
      </c>
      <c r="M237" s="33">
        <v>0</v>
      </c>
      <c r="N237" s="27">
        <v>1351.4284327731091</v>
      </c>
      <c r="O237" s="24">
        <v>2354</v>
      </c>
      <c r="P237" s="24">
        <v>2353.689194974952</v>
      </c>
      <c r="Q237" s="28">
        <v>0.56999999999999995</v>
      </c>
      <c r="R237" s="29">
        <v>0</v>
      </c>
      <c r="S237" s="29">
        <v>1</v>
      </c>
      <c r="T237" s="29">
        <v>0</v>
      </c>
      <c r="U237" s="30">
        <v>1002.75</v>
      </c>
    </row>
    <row r="238" spans="2:21" x14ac:dyDescent="0.25">
      <c r="B238" s="31" t="s">
        <v>22</v>
      </c>
      <c r="C238" s="31">
        <v>50</v>
      </c>
      <c r="D238" s="22" t="s">
        <v>1313</v>
      </c>
      <c r="E238" s="22" t="s">
        <v>1314</v>
      </c>
      <c r="F238" s="22" t="s">
        <v>44</v>
      </c>
      <c r="G238" s="23">
        <v>0</v>
      </c>
      <c r="H238" s="24">
        <v>0</v>
      </c>
      <c r="I238" s="24">
        <v>0</v>
      </c>
      <c r="J238" s="24">
        <v>0</v>
      </c>
      <c r="K238" s="24">
        <v>0</v>
      </c>
      <c r="L238" s="32">
        <v>0</v>
      </c>
      <c r="M238" s="33">
        <v>0</v>
      </c>
      <c r="N238" s="27">
        <v>0</v>
      </c>
      <c r="O238" s="24">
        <v>0</v>
      </c>
      <c r="P238" s="24">
        <v>0</v>
      </c>
      <c r="Q238" s="28">
        <v>0</v>
      </c>
      <c r="R238" s="29">
        <v>0</v>
      </c>
      <c r="S238" s="29">
        <v>0</v>
      </c>
      <c r="T238" s="29">
        <v>0</v>
      </c>
      <c r="U238" s="30">
        <v>0</v>
      </c>
    </row>
    <row r="239" spans="2:21" x14ac:dyDescent="0.25">
      <c r="B239" s="31" t="s">
        <v>22</v>
      </c>
      <c r="C239" s="22">
        <v>51</v>
      </c>
      <c r="D239" s="22" t="s">
        <v>388</v>
      </c>
      <c r="E239" s="22" t="s">
        <v>389</v>
      </c>
      <c r="F239" s="22"/>
      <c r="G239" s="23">
        <v>60073</v>
      </c>
      <c r="H239" s="24">
        <v>163339</v>
      </c>
      <c r="I239" s="24">
        <v>0</v>
      </c>
      <c r="J239" s="24">
        <v>0</v>
      </c>
      <c r="K239" s="24">
        <v>0</v>
      </c>
      <c r="L239" s="32">
        <v>0</v>
      </c>
      <c r="M239" s="33">
        <v>0</v>
      </c>
      <c r="N239" s="27">
        <v>0</v>
      </c>
      <c r="O239" s="24">
        <v>163339</v>
      </c>
      <c r="P239" s="24">
        <v>163339</v>
      </c>
      <c r="Q239" s="28">
        <v>0</v>
      </c>
      <c r="R239" s="29">
        <v>0</v>
      </c>
      <c r="S239" s="29">
        <v>0</v>
      </c>
      <c r="T239" s="29">
        <v>0</v>
      </c>
      <c r="U239" s="30">
        <v>163339</v>
      </c>
    </row>
    <row r="240" spans="2:21" x14ac:dyDescent="0.25">
      <c r="B240" s="31" t="s">
        <v>22</v>
      </c>
      <c r="C240" s="22">
        <v>60</v>
      </c>
      <c r="D240" s="22" t="s">
        <v>390</v>
      </c>
      <c r="E240" s="22" t="s">
        <v>391</v>
      </c>
      <c r="F240" s="22" t="s">
        <v>44</v>
      </c>
      <c r="G240" s="23">
        <v>0</v>
      </c>
      <c r="H240" s="24">
        <v>271.75</v>
      </c>
      <c r="I240" s="24">
        <v>0</v>
      </c>
      <c r="J240" s="24">
        <v>271.75</v>
      </c>
      <c r="K240" s="24">
        <v>0</v>
      </c>
      <c r="L240" s="32">
        <v>0</v>
      </c>
      <c r="M240" s="33">
        <v>0</v>
      </c>
      <c r="N240" s="27">
        <v>0</v>
      </c>
      <c r="O240" s="24">
        <v>271.75</v>
      </c>
      <c r="P240" s="24">
        <v>271.75</v>
      </c>
      <c r="Q240" s="28">
        <v>0</v>
      </c>
      <c r="R240" s="29">
        <v>0</v>
      </c>
      <c r="S240" s="29">
        <v>0</v>
      </c>
      <c r="T240" s="29">
        <v>0</v>
      </c>
      <c r="U240" s="30">
        <v>0</v>
      </c>
    </row>
    <row r="241" spans="2:21" x14ac:dyDescent="0.25">
      <c r="B241" s="31" t="s">
        <v>22</v>
      </c>
      <c r="C241" s="22">
        <v>75</v>
      </c>
      <c r="D241" s="22" t="s">
        <v>176</v>
      </c>
      <c r="E241" s="22" t="s">
        <v>392</v>
      </c>
      <c r="F241" s="22" t="s">
        <v>44</v>
      </c>
      <c r="G241" s="23">
        <v>0</v>
      </c>
      <c r="H241" s="24">
        <v>0</v>
      </c>
      <c r="I241" s="24">
        <v>0</v>
      </c>
      <c r="J241" s="24">
        <v>0</v>
      </c>
      <c r="K241" s="24">
        <v>0</v>
      </c>
      <c r="L241" s="32">
        <v>0</v>
      </c>
      <c r="M241" s="33">
        <v>0</v>
      </c>
      <c r="N241" s="27">
        <v>0</v>
      </c>
      <c r="O241" s="24">
        <v>0</v>
      </c>
      <c r="P241" s="24">
        <v>0</v>
      </c>
      <c r="Q241" s="28">
        <v>0</v>
      </c>
      <c r="R241" s="29">
        <v>0</v>
      </c>
      <c r="S241" s="29">
        <v>0</v>
      </c>
      <c r="T241" s="29">
        <v>0</v>
      </c>
      <c r="U241" s="30">
        <v>0</v>
      </c>
    </row>
    <row r="242" spans="2:21" x14ac:dyDescent="0.25">
      <c r="B242" s="31" t="s">
        <v>22</v>
      </c>
      <c r="C242" s="31">
        <v>75</v>
      </c>
      <c r="D242" s="22" t="s">
        <v>231</v>
      </c>
      <c r="E242" s="34" t="s">
        <v>83</v>
      </c>
      <c r="F242" s="22" t="s">
        <v>140</v>
      </c>
      <c r="G242" s="23">
        <v>151375</v>
      </c>
      <c r="H242" s="24">
        <v>69496</v>
      </c>
      <c r="I242" s="24">
        <v>54888.575000000019</v>
      </c>
      <c r="J242" s="24">
        <v>25997.75</v>
      </c>
      <c r="K242" s="24">
        <v>0</v>
      </c>
      <c r="L242" s="32">
        <v>0</v>
      </c>
      <c r="M242" s="33">
        <v>0</v>
      </c>
      <c r="N242" s="27">
        <v>25199.24960000001</v>
      </c>
      <c r="O242" s="35">
        <v>69496</v>
      </c>
      <c r="P242" s="35">
        <v>71698.152233866494</v>
      </c>
      <c r="Q242" s="36">
        <v>0.36</v>
      </c>
      <c r="R242" s="29">
        <v>0</v>
      </c>
      <c r="S242" s="29">
        <v>0.97</v>
      </c>
      <c r="T242" s="29">
        <v>0</v>
      </c>
      <c r="U242" s="30">
        <v>43498.25</v>
      </c>
    </row>
    <row r="243" spans="2:21" x14ac:dyDescent="0.25">
      <c r="B243" s="31" t="s">
        <v>22</v>
      </c>
      <c r="C243" s="31">
        <v>75</v>
      </c>
      <c r="D243" s="22" t="s">
        <v>393</v>
      </c>
      <c r="E243" s="22" t="s">
        <v>394</v>
      </c>
      <c r="F243" s="22"/>
      <c r="G243" s="23">
        <v>2880</v>
      </c>
      <c r="H243" s="24">
        <v>2880</v>
      </c>
      <c r="I243" s="24">
        <v>0</v>
      </c>
      <c r="J243" s="24">
        <v>0</v>
      </c>
      <c r="K243" s="24">
        <v>0</v>
      </c>
      <c r="L243" s="32">
        <v>0</v>
      </c>
      <c r="M243" s="33">
        <v>0</v>
      </c>
      <c r="N243" s="27">
        <v>0</v>
      </c>
      <c r="O243" s="24">
        <v>2880</v>
      </c>
      <c r="P243" s="24">
        <v>2880</v>
      </c>
      <c r="Q243" s="28">
        <v>0</v>
      </c>
      <c r="R243" s="29">
        <v>0</v>
      </c>
      <c r="S243" s="29">
        <v>0</v>
      </c>
      <c r="T243" s="29">
        <v>0</v>
      </c>
      <c r="U243" s="30">
        <v>2880</v>
      </c>
    </row>
    <row r="244" spans="2:21" x14ac:dyDescent="0.25">
      <c r="B244" s="31" t="s">
        <v>22</v>
      </c>
      <c r="C244" s="31">
        <v>75</v>
      </c>
      <c r="D244" s="22" t="s">
        <v>395</v>
      </c>
      <c r="E244" s="22" t="s">
        <v>396</v>
      </c>
      <c r="F244" s="22"/>
      <c r="G244" s="23">
        <v>24999</v>
      </c>
      <c r="H244" s="24">
        <v>24999</v>
      </c>
      <c r="I244" s="24">
        <v>0</v>
      </c>
      <c r="J244" s="24">
        <v>0</v>
      </c>
      <c r="K244" s="24">
        <v>0</v>
      </c>
      <c r="L244" s="32">
        <v>0</v>
      </c>
      <c r="M244" s="33">
        <v>0</v>
      </c>
      <c r="N244" s="27">
        <v>0</v>
      </c>
      <c r="O244" s="24">
        <v>24999</v>
      </c>
      <c r="P244" s="24">
        <v>24999</v>
      </c>
      <c r="Q244" s="28">
        <v>0</v>
      </c>
      <c r="R244" s="29">
        <v>0</v>
      </c>
      <c r="S244" s="29">
        <v>0</v>
      </c>
      <c r="T244" s="29">
        <v>0</v>
      </c>
      <c r="U244" s="30">
        <v>24999</v>
      </c>
    </row>
    <row r="245" spans="2:21" x14ac:dyDescent="0.25">
      <c r="B245" s="31" t="s">
        <v>22</v>
      </c>
      <c r="C245" s="22">
        <v>90</v>
      </c>
      <c r="D245" s="22" t="s">
        <v>86</v>
      </c>
      <c r="E245" s="22" t="s">
        <v>178</v>
      </c>
      <c r="F245" s="22" t="s">
        <v>49</v>
      </c>
      <c r="G245" s="23">
        <v>0</v>
      </c>
      <c r="H245" s="24">
        <v>6686</v>
      </c>
      <c r="I245" s="24">
        <v>0</v>
      </c>
      <c r="J245" s="24">
        <v>3446.5</v>
      </c>
      <c r="K245" s="24">
        <v>0</v>
      </c>
      <c r="L245" s="32">
        <v>200</v>
      </c>
      <c r="M245" s="33">
        <v>0</v>
      </c>
      <c r="N245" s="27">
        <v>0</v>
      </c>
      <c r="O245" s="24">
        <v>6686</v>
      </c>
      <c r="P245" s="24">
        <v>6686</v>
      </c>
      <c r="Q245" s="28">
        <v>0</v>
      </c>
      <c r="R245" s="29">
        <v>0</v>
      </c>
      <c r="S245" s="29">
        <v>0</v>
      </c>
      <c r="T245" s="29">
        <v>0</v>
      </c>
      <c r="U245" s="30">
        <v>3239.5</v>
      </c>
    </row>
    <row r="246" spans="2:21" x14ac:dyDescent="0.25">
      <c r="B246" s="31" t="s">
        <v>22</v>
      </c>
      <c r="C246" s="31">
        <v>90</v>
      </c>
      <c r="D246" s="22" t="s">
        <v>88</v>
      </c>
      <c r="E246" s="22" t="s">
        <v>397</v>
      </c>
      <c r="F246" s="22" t="s">
        <v>49</v>
      </c>
      <c r="G246" s="23">
        <v>0</v>
      </c>
      <c r="H246" s="24">
        <v>69752</v>
      </c>
      <c r="I246" s="24">
        <v>0</v>
      </c>
      <c r="J246" s="24">
        <v>22955.5</v>
      </c>
      <c r="K246" s="24">
        <v>0</v>
      </c>
      <c r="L246" s="32">
        <v>1714</v>
      </c>
      <c r="M246" s="33">
        <v>0</v>
      </c>
      <c r="N246" s="27">
        <v>0</v>
      </c>
      <c r="O246" s="24">
        <v>69752</v>
      </c>
      <c r="P246" s="24">
        <v>69752</v>
      </c>
      <c r="Q246" s="28">
        <v>0</v>
      </c>
      <c r="R246" s="29">
        <v>0</v>
      </c>
      <c r="S246" s="29">
        <v>0</v>
      </c>
      <c r="T246" s="29">
        <v>259.25</v>
      </c>
      <c r="U246" s="30">
        <v>46537.25</v>
      </c>
    </row>
    <row r="247" spans="2:21" x14ac:dyDescent="0.25">
      <c r="B247" s="31" t="s">
        <v>22</v>
      </c>
      <c r="C247" s="31">
        <v>90</v>
      </c>
      <c r="D247" s="22" t="s">
        <v>90</v>
      </c>
      <c r="E247" s="22" t="s">
        <v>398</v>
      </c>
      <c r="F247" s="22" t="s">
        <v>49</v>
      </c>
      <c r="G247" s="23">
        <v>0</v>
      </c>
      <c r="H247" s="24">
        <v>20052</v>
      </c>
      <c r="I247" s="24">
        <v>0</v>
      </c>
      <c r="J247" s="24">
        <v>4386</v>
      </c>
      <c r="K247" s="24">
        <v>0</v>
      </c>
      <c r="L247" s="32">
        <v>221</v>
      </c>
      <c r="M247" s="33">
        <v>0</v>
      </c>
      <c r="N247" s="27">
        <v>0</v>
      </c>
      <c r="O247" s="24">
        <v>20052</v>
      </c>
      <c r="P247" s="24">
        <v>20052</v>
      </c>
      <c r="Q247" s="28">
        <v>0</v>
      </c>
      <c r="R247" s="29">
        <v>0</v>
      </c>
      <c r="S247" s="29">
        <v>0</v>
      </c>
      <c r="T247" s="29">
        <v>221</v>
      </c>
      <c r="U247" s="30">
        <v>15445</v>
      </c>
    </row>
    <row r="248" spans="2:21" x14ac:dyDescent="0.25">
      <c r="B248" s="31" t="s">
        <v>22</v>
      </c>
      <c r="C248" s="31">
        <v>90</v>
      </c>
      <c r="D248" s="22" t="s">
        <v>92</v>
      </c>
      <c r="E248" s="22" t="s">
        <v>93</v>
      </c>
      <c r="F248" s="22" t="s">
        <v>49</v>
      </c>
      <c r="G248" s="23">
        <v>0</v>
      </c>
      <c r="H248" s="24">
        <v>46901</v>
      </c>
      <c r="I248" s="24">
        <v>0</v>
      </c>
      <c r="J248" s="24">
        <v>11098</v>
      </c>
      <c r="K248" s="24">
        <v>0</v>
      </c>
      <c r="L248" s="32">
        <v>1253</v>
      </c>
      <c r="M248" s="33">
        <v>0</v>
      </c>
      <c r="N248" s="27">
        <v>0</v>
      </c>
      <c r="O248" s="24">
        <v>46901</v>
      </c>
      <c r="P248" s="24">
        <v>46901</v>
      </c>
      <c r="Q248" s="28">
        <v>0</v>
      </c>
      <c r="R248" s="29">
        <v>0</v>
      </c>
      <c r="S248" s="29">
        <v>0</v>
      </c>
      <c r="T248" s="29">
        <v>395</v>
      </c>
      <c r="U248" s="30">
        <v>35408</v>
      </c>
    </row>
    <row r="249" spans="2:21" x14ac:dyDescent="0.25">
      <c r="B249" s="31" t="s">
        <v>22</v>
      </c>
      <c r="C249" s="31">
        <v>90</v>
      </c>
      <c r="D249" s="22" t="s">
        <v>94</v>
      </c>
      <c r="E249" s="22" t="s">
        <v>95</v>
      </c>
      <c r="F249" s="22" t="s">
        <v>44</v>
      </c>
      <c r="G249" s="23">
        <v>0</v>
      </c>
      <c r="H249" s="24">
        <v>6840</v>
      </c>
      <c r="I249" s="24">
        <v>0</v>
      </c>
      <c r="J249" s="24">
        <v>6</v>
      </c>
      <c r="K249" s="24">
        <v>0</v>
      </c>
      <c r="L249" s="32">
        <v>0</v>
      </c>
      <c r="M249" s="33">
        <v>0</v>
      </c>
      <c r="N249" s="27">
        <v>0</v>
      </c>
      <c r="O249" s="24">
        <v>6840</v>
      </c>
      <c r="P249" s="24">
        <v>6840</v>
      </c>
      <c r="Q249" s="28">
        <v>0</v>
      </c>
      <c r="R249" s="29">
        <v>0</v>
      </c>
      <c r="S249" s="29">
        <v>0</v>
      </c>
      <c r="T249" s="29">
        <v>0</v>
      </c>
      <c r="U249" s="30">
        <v>6834</v>
      </c>
    </row>
    <row r="250" spans="2:21" x14ac:dyDescent="0.25">
      <c r="B250" s="31" t="s">
        <v>22</v>
      </c>
      <c r="C250" s="31">
        <v>90</v>
      </c>
      <c r="D250" s="22" t="s">
        <v>399</v>
      </c>
      <c r="E250" s="22" t="s">
        <v>400</v>
      </c>
      <c r="F250" s="22" t="s">
        <v>44</v>
      </c>
      <c r="G250" s="23">
        <v>0</v>
      </c>
      <c r="H250" s="24">
        <v>1728</v>
      </c>
      <c r="I250" s="24">
        <v>0</v>
      </c>
      <c r="J250" s="24">
        <v>0</v>
      </c>
      <c r="K250" s="24">
        <v>0</v>
      </c>
      <c r="L250" s="32">
        <v>0</v>
      </c>
      <c r="M250" s="33">
        <v>0</v>
      </c>
      <c r="N250" s="27">
        <v>0</v>
      </c>
      <c r="O250" s="24">
        <v>1728</v>
      </c>
      <c r="P250" s="24">
        <v>1728</v>
      </c>
      <c r="Q250" s="28">
        <v>0</v>
      </c>
      <c r="R250" s="29">
        <v>0</v>
      </c>
      <c r="S250" s="29">
        <v>0</v>
      </c>
      <c r="T250" s="29">
        <v>0</v>
      </c>
      <c r="U250" s="30">
        <v>1728</v>
      </c>
    </row>
    <row r="251" spans="2:21" x14ac:dyDescent="0.25">
      <c r="B251" s="31" t="s">
        <v>22</v>
      </c>
      <c r="C251" s="22">
        <v>91</v>
      </c>
      <c r="D251" s="22" t="s">
        <v>96</v>
      </c>
      <c r="E251" s="22" t="s">
        <v>97</v>
      </c>
      <c r="F251" s="22" t="s">
        <v>49</v>
      </c>
      <c r="G251" s="23">
        <v>0</v>
      </c>
      <c r="H251" s="24">
        <v>23721</v>
      </c>
      <c r="I251" s="24">
        <v>0</v>
      </c>
      <c r="J251" s="24">
        <v>3345.75</v>
      </c>
      <c r="K251" s="24">
        <v>0</v>
      </c>
      <c r="L251" s="32">
        <v>260</v>
      </c>
      <c r="M251" s="33">
        <v>0</v>
      </c>
      <c r="N251" s="27">
        <v>0</v>
      </c>
      <c r="O251" s="24">
        <v>23721</v>
      </c>
      <c r="P251" s="24">
        <v>23721</v>
      </c>
      <c r="Q251" s="28">
        <v>0</v>
      </c>
      <c r="R251" s="29">
        <v>0</v>
      </c>
      <c r="S251" s="29">
        <v>0</v>
      </c>
      <c r="T251" s="29">
        <v>260.25</v>
      </c>
      <c r="U251" s="30">
        <v>20115</v>
      </c>
    </row>
    <row r="252" spans="2:21" x14ac:dyDescent="0.25">
      <c r="B252" s="31" t="s">
        <v>22</v>
      </c>
      <c r="C252" s="31">
        <v>91</v>
      </c>
      <c r="D252" s="22" t="s">
        <v>98</v>
      </c>
      <c r="E252" s="22" t="s">
        <v>99</v>
      </c>
      <c r="F252" s="22" t="s">
        <v>44</v>
      </c>
      <c r="G252" s="23">
        <v>0</v>
      </c>
      <c r="H252" s="24">
        <v>5466</v>
      </c>
      <c r="I252" s="24">
        <v>0</v>
      </c>
      <c r="J252" s="24">
        <v>2089</v>
      </c>
      <c r="K252" s="24">
        <v>0</v>
      </c>
      <c r="L252" s="32">
        <v>0</v>
      </c>
      <c r="M252" s="33">
        <v>0</v>
      </c>
      <c r="N252" s="27">
        <v>0</v>
      </c>
      <c r="O252" s="24">
        <v>5466</v>
      </c>
      <c r="P252" s="24">
        <v>5466</v>
      </c>
      <c r="Q252" s="28">
        <v>0</v>
      </c>
      <c r="R252" s="29">
        <v>0</v>
      </c>
      <c r="S252" s="29">
        <v>0</v>
      </c>
      <c r="T252" s="29">
        <v>0</v>
      </c>
      <c r="U252" s="30">
        <v>3377</v>
      </c>
    </row>
    <row r="253" spans="2:21" x14ac:dyDescent="0.25">
      <c r="B253" s="31" t="s">
        <v>22</v>
      </c>
      <c r="C253" s="31">
        <v>91</v>
      </c>
      <c r="D253" s="22" t="s">
        <v>100</v>
      </c>
      <c r="E253" s="22" t="s">
        <v>101</v>
      </c>
      <c r="F253" s="22" t="s">
        <v>49</v>
      </c>
      <c r="G253" s="23">
        <v>0</v>
      </c>
      <c r="H253" s="24">
        <v>40236</v>
      </c>
      <c r="I253" s="24">
        <v>0</v>
      </c>
      <c r="J253" s="24">
        <v>7653</v>
      </c>
      <c r="K253" s="24">
        <v>0</v>
      </c>
      <c r="L253" s="32">
        <v>649</v>
      </c>
      <c r="M253" s="33">
        <v>0</v>
      </c>
      <c r="N253" s="27">
        <v>0</v>
      </c>
      <c r="O253" s="24">
        <v>40236</v>
      </c>
      <c r="P253" s="24">
        <v>40236</v>
      </c>
      <c r="Q253" s="28">
        <v>0</v>
      </c>
      <c r="R253" s="29">
        <v>0</v>
      </c>
      <c r="S253" s="29">
        <v>0</v>
      </c>
      <c r="T253" s="29">
        <v>647.5</v>
      </c>
      <c r="U253" s="30">
        <v>31935.5</v>
      </c>
    </row>
    <row r="254" spans="2:21" x14ac:dyDescent="0.25">
      <c r="B254" s="31" t="s">
        <v>22</v>
      </c>
      <c r="C254" s="31">
        <v>91</v>
      </c>
      <c r="D254" s="22" t="s">
        <v>102</v>
      </c>
      <c r="E254" s="22" t="s">
        <v>103</v>
      </c>
      <c r="F254" s="22" t="s">
        <v>44</v>
      </c>
      <c r="G254" s="23">
        <v>0</v>
      </c>
      <c r="H254" s="24">
        <v>901</v>
      </c>
      <c r="I254" s="24">
        <v>0</v>
      </c>
      <c r="J254" s="24">
        <v>190.5</v>
      </c>
      <c r="K254" s="24">
        <v>0</v>
      </c>
      <c r="L254" s="32">
        <v>0</v>
      </c>
      <c r="M254" s="33">
        <v>0</v>
      </c>
      <c r="N254" s="27">
        <v>0</v>
      </c>
      <c r="O254" s="24">
        <v>901</v>
      </c>
      <c r="P254" s="24">
        <v>901</v>
      </c>
      <c r="Q254" s="28">
        <v>0</v>
      </c>
      <c r="R254" s="29">
        <v>0</v>
      </c>
      <c r="S254" s="29">
        <v>0</v>
      </c>
      <c r="T254" s="29">
        <v>0</v>
      </c>
      <c r="U254" s="30">
        <v>710.5</v>
      </c>
    </row>
    <row r="255" spans="2:21" x14ac:dyDescent="0.25">
      <c r="B255" s="31" t="s">
        <v>22</v>
      </c>
      <c r="C255" s="31">
        <v>91</v>
      </c>
      <c r="D255" s="22" t="s">
        <v>104</v>
      </c>
      <c r="E255" s="22" t="s">
        <v>401</v>
      </c>
      <c r="F255" s="22" t="s">
        <v>44</v>
      </c>
      <c r="G255" s="23">
        <v>0</v>
      </c>
      <c r="H255" s="24">
        <v>1020</v>
      </c>
      <c r="I255" s="24">
        <v>0</v>
      </c>
      <c r="J255" s="24">
        <v>0</v>
      </c>
      <c r="K255" s="24">
        <v>0</v>
      </c>
      <c r="L255" s="32">
        <v>0</v>
      </c>
      <c r="M255" s="33">
        <v>0</v>
      </c>
      <c r="N255" s="27">
        <v>0</v>
      </c>
      <c r="O255" s="24">
        <v>1020</v>
      </c>
      <c r="P255" s="24">
        <v>1020</v>
      </c>
      <c r="Q255" s="28">
        <v>0</v>
      </c>
      <c r="R255" s="29">
        <v>0</v>
      </c>
      <c r="S255" s="29">
        <v>0</v>
      </c>
      <c r="T255" s="29">
        <v>0</v>
      </c>
      <c r="U255" s="30">
        <v>1020</v>
      </c>
    </row>
    <row r="256" spans="2:21" x14ac:dyDescent="0.25">
      <c r="B256" s="31" t="s">
        <v>22</v>
      </c>
      <c r="C256" s="31">
        <v>91</v>
      </c>
      <c r="D256" s="22" t="s">
        <v>106</v>
      </c>
      <c r="E256" s="22" t="s">
        <v>107</v>
      </c>
      <c r="F256" s="22" t="s">
        <v>49</v>
      </c>
      <c r="G256" s="23">
        <v>0</v>
      </c>
      <c r="H256" s="24">
        <v>11283</v>
      </c>
      <c r="I256" s="24">
        <v>0</v>
      </c>
      <c r="J256" s="24">
        <v>2185.5</v>
      </c>
      <c r="K256" s="24">
        <v>0</v>
      </c>
      <c r="L256" s="32">
        <v>99</v>
      </c>
      <c r="M256" s="33">
        <v>0</v>
      </c>
      <c r="N256" s="27">
        <v>0</v>
      </c>
      <c r="O256" s="24">
        <v>11283</v>
      </c>
      <c r="P256" s="24">
        <v>11283</v>
      </c>
      <c r="Q256" s="28">
        <v>0</v>
      </c>
      <c r="R256" s="29">
        <v>0</v>
      </c>
      <c r="S256" s="29">
        <v>0</v>
      </c>
      <c r="T256" s="29">
        <v>99</v>
      </c>
      <c r="U256" s="30">
        <v>8998.5</v>
      </c>
    </row>
    <row r="257" spans="2:21" x14ac:dyDescent="0.25">
      <c r="B257" s="31" t="s">
        <v>22</v>
      </c>
      <c r="C257" s="31">
        <v>91</v>
      </c>
      <c r="D257" s="22" t="s">
        <v>108</v>
      </c>
      <c r="E257" s="22" t="s">
        <v>109</v>
      </c>
      <c r="F257" s="22" t="s">
        <v>49</v>
      </c>
      <c r="G257" s="23">
        <v>0</v>
      </c>
      <c r="H257" s="24">
        <v>4602</v>
      </c>
      <c r="I257" s="24">
        <v>0</v>
      </c>
      <c r="J257" s="24">
        <v>3706</v>
      </c>
      <c r="K257" s="24">
        <v>0</v>
      </c>
      <c r="L257" s="32">
        <v>117</v>
      </c>
      <c r="M257" s="33">
        <v>0</v>
      </c>
      <c r="N257" s="27">
        <v>0</v>
      </c>
      <c r="O257" s="24">
        <v>4602</v>
      </c>
      <c r="P257" s="24">
        <v>4602</v>
      </c>
      <c r="Q257" s="28">
        <v>0</v>
      </c>
      <c r="R257" s="29">
        <v>0</v>
      </c>
      <c r="S257" s="29">
        <v>0</v>
      </c>
      <c r="T257" s="29">
        <v>117</v>
      </c>
      <c r="U257" s="30">
        <v>779</v>
      </c>
    </row>
    <row r="258" spans="2:21" x14ac:dyDescent="0.25">
      <c r="B258" s="31" t="s">
        <v>22</v>
      </c>
      <c r="C258" s="31">
        <v>91</v>
      </c>
      <c r="D258" s="22" t="s">
        <v>110</v>
      </c>
      <c r="E258" s="22" t="s">
        <v>111</v>
      </c>
      <c r="F258" s="22" t="s">
        <v>49</v>
      </c>
      <c r="G258" s="23">
        <v>0</v>
      </c>
      <c r="H258" s="24">
        <v>820</v>
      </c>
      <c r="I258" s="24">
        <v>0</v>
      </c>
      <c r="J258" s="24">
        <v>155.5</v>
      </c>
      <c r="K258" s="24">
        <v>0</v>
      </c>
      <c r="L258" s="32">
        <v>5</v>
      </c>
      <c r="M258" s="33">
        <v>0</v>
      </c>
      <c r="N258" s="27">
        <v>0</v>
      </c>
      <c r="O258" s="24">
        <v>820</v>
      </c>
      <c r="P258" s="24">
        <v>820</v>
      </c>
      <c r="Q258" s="28">
        <v>0</v>
      </c>
      <c r="R258" s="29">
        <v>0</v>
      </c>
      <c r="S258" s="29">
        <v>0</v>
      </c>
      <c r="T258" s="29">
        <v>5</v>
      </c>
      <c r="U258" s="30">
        <v>659.5</v>
      </c>
    </row>
    <row r="259" spans="2:21" x14ac:dyDescent="0.25">
      <c r="B259" s="31" t="s">
        <v>22</v>
      </c>
      <c r="C259" s="31">
        <v>91</v>
      </c>
      <c r="D259" s="22" t="s">
        <v>185</v>
      </c>
      <c r="E259" s="22" t="s">
        <v>402</v>
      </c>
      <c r="F259" s="22" t="s">
        <v>49</v>
      </c>
      <c r="G259" s="23">
        <v>0</v>
      </c>
      <c r="H259" s="24">
        <v>1960</v>
      </c>
      <c r="I259" s="24">
        <v>0</v>
      </c>
      <c r="J259" s="24">
        <v>1070</v>
      </c>
      <c r="K259" s="24">
        <v>0</v>
      </c>
      <c r="L259" s="32">
        <v>10</v>
      </c>
      <c r="M259" s="33">
        <v>0</v>
      </c>
      <c r="N259" s="27">
        <v>0</v>
      </c>
      <c r="O259" s="24">
        <v>1960</v>
      </c>
      <c r="P259" s="24">
        <v>1960</v>
      </c>
      <c r="Q259" s="28">
        <v>0</v>
      </c>
      <c r="R259" s="29">
        <v>0</v>
      </c>
      <c r="S259" s="29">
        <v>0</v>
      </c>
      <c r="T259" s="29">
        <v>10</v>
      </c>
      <c r="U259" s="30">
        <v>880</v>
      </c>
    </row>
    <row r="260" spans="2:21" x14ac:dyDescent="0.25">
      <c r="B260" s="31" t="s">
        <v>22</v>
      </c>
      <c r="C260" s="31">
        <v>91</v>
      </c>
      <c r="D260" s="22" t="s">
        <v>403</v>
      </c>
      <c r="E260" s="22" t="s">
        <v>404</v>
      </c>
      <c r="F260" s="22" t="s">
        <v>44</v>
      </c>
      <c r="G260" s="23">
        <v>0</v>
      </c>
      <c r="H260" s="24">
        <v>8379</v>
      </c>
      <c r="I260" s="24">
        <v>0</v>
      </c>
      <c r="J260" s="24">
        <v>1815.5</v>
      </c>
      <c r="K260" s="24">
        <v>0</v>
      </c>
      <c r="L260" s="32">
        <v>0</v>
      </c>
      <c r="M260" s="33">
        <v>0</v>
      </c>
      <c r="N260" s="27">
        <v>0</v>
      </c>
      <c r="O260" s="24">
        <v>8379</v>
      </c>
      <c r="P260" s="24">
        <v>8379</v>
      </c>
      <c r="Q260" s="28">
        <v>0</v>
      </c>
      <c r="R260" s="29">
        <v>0</v>
      </c>
      <c r="S260" s="29">
        <v>0</v>
      </c>
      <c r="T260" s="29">
        <v>0</v>
      </c>
      <c r="U260" s="30">
        <v>6563.5</v>
      </c>
    </row>
    <row r="261" spans="2:21" x14ac:dyDescent="0.25">
      <c r="B261" s="31" t="s">
        <v>22</v>
      </c>
      <c r="C261" s="31">
        <v>91</v>
      </c>
      <c r="D261" s="22" t="s">
        <v>405</v>
      </c>
      <c r="E261" s="22" t="s">
        <v>406</v>
      </c>
      <c r="F261" s="22" t="s">
        <v>49</v>
      </c>
      <c r="G261" s="23">
        <v>0</v>
      </c>
      <c r="H261" s="24">
        <v>21725</v>
      </c>
      <c r="I261" s="24">
        <v>0</v>
      </c>
      <c r="J261" s="24">
        <v>8746.25</v>
      </c>
      <c r="K261" s="24">
        <v>0</v>
      </c>
      <c r="L261" s="32">
        <v>574</v>
      </c>
      <c r="M261" s="33">
        <v>0</v>
      </c>
      <c r="N261" s="27">
        <v>0</v>
      </c>
      <c r="O261" s="24">
        <v>21725</v>
      </c>
      <c r="P261" s="24">
        <v>21725</v>
      </c>
      <c r="Q261" s="28">
        <v>0</v>
      </c>
      <c r="R261" s="29">
        <v>0</v>
      </c>
      <c r="S261" s="29">
        <v>0</v>
      </c>
      <c r="T261" s="29">
        <v>574.25</v>
      </c>
      <c r="U261" s="30">
        <v>12404.5</v>
      </c>
    </row>
    <row r="262" spans="2:21" x14ac:dyDescent="0.25">
      <c r="B262" s="31" t="s">
        <v>22</v>
      </c>
      <c r="C262" s="31">
        <v>91</v>
      </c>
      <c r="D262" s="22" t="s">
        <v>407</v>
      </c>
      <c r="E262" s="22" t="s">
        <v>408</v>
      </c>
      <c r="F262" s="22" t="s">
        <v>44</v>
      </c>
      <c r="G262" s="23">
        <v>0</v>
      </c>
      <c r="H262" s="24">
        <v>30</v>
      </c>
      <c r="I262" s="24">
        <v>0</v>
      </c>
      <c r="J262" s="24">
        <v>30</v>
      </c>
      <c r="K262" s="24">
        <v>0</v>
      </c>
      <c r="L262" s="32">
        <v>0</v>
      </c>
      <c r="M262" s="33">
        <v>0</v>
      </c>
      <c r="N262" s="27">
        <v>0</v>
      </c>
      <c r="O262" s="24">
        <v>30</v>
      </c>
      <c r="P262" s="24">
        <v>30</v>
      </c>
      <c r="Q262" s="28">
        <v>0</v>
      </c>
      <c r="R262" s="29">
        <v>0</v>
      </c>
      <c r="S262" s="29">
        <v>0</v>
      </c>
      <c r="T262" s="29">
        <v>0</v>
      </c>
      <c r="U262" s="30">
        <v>0</v>
      </c>
    </row>
    <row r="263" spans="2:21" x14ac:dyDescent="0.25">
      <c r="B263" s="31" t="s">
        <v>22</v>
      </c>
      <c r="C263" s="31">
        <v>91</v>
      </c>
      <c r="D263" s="22" t="s">
        <v>409</v>
      </c>
      <c r="E263" s="22" t="s">
        <v>410</v>
      </c>
      <c r="F263" s="22" t="s">
        <v>44</v>
      </c>
      <c r="G263" s="23">
        <v>0</v>
      </c>
      <c r="H263" s="24">
        <v>240</v>
      </c>
      <c r="I263" s="24">
        <v>0</v>
      </c>
      <c r="J263" s="24">
        <v>240</v>
      </c>
      <c r="K263" s="24">
        <v>0</v>
      </c>
      <c r="L263" s="32">
        <v>0</v>
      </c>
      <c r="M263" s="33">
        <v>0</v>
      </c>
      <c r="N263" s="27">
        <v>0</v>
      </c>
      <c r="O263" s="24">
        <v>240</v>
      </c>
      <c r="P263" s="24">
        <v>240</v>
      </c>
      <c r="Q263" s="28">
        <v>0</v>
      </c>
      <c r="R263" s="29">
        <v>0</v>
      </c>
      <c r="S263" s="29">
        <v>0</v>
      </c>
      <c r="T263" s="29">
        <v>0</v>
      </c>
      <c r="U263" s="30">
        <v>0</v>
      </c>
    </row>
    <row r="264" spans="2:21" x14ac:dyDescent="0.25">
      <c r="B264" s="31" t="s">
        <v>22</v>
      </c>
      <c r="C264" s="22">
        <v>92</v>
      </c>
      <c r="D264" s="22" t="s">
        <v>112</v>
      </c>
      <c r="E264" s="22" t="s">
        <v>191</v>
      </c>
      <c r="F264" s="22" t="s">
        <v>44</v>
      </c>
      <c r="G264" s="23">
        <v>0</v>
      </c>
      <c r="H264" s="24">
        <v>1600</v>
      </c>
      <c r="I264" s="24">
        <v>0</v>
      </c>
      <c r="J264" s="24">
        <v>0</v>
      </c>
      <c r="K264" s="24">
        <v>0</v>
      </c>
      <c r="L264" s="32">
        <v>0</v>
      </c>
      <c r="M264" s="33">
        <v>0</v>
      </c>
      <c r="N264" s="27">
        <v>0</v>
      </c>
      <c r="O264" s="24">
        <v>1600</v>
      </c>
      <c r="P264" s="24">
        <v>1600</v>
      </c>
      <c r="Q264" s="28">
        <v>0</v>
      </c>
      <c r="R264" s="29">
        <v>0</v>
      </c>
      <c r="S264" s="29">
        <v>0</v>
      </c>
      <c r="T264" s="29">
        <v>0</v>
      </c>
      <c r="U264" s="30">
        <v>1600</v>
      </c>
    </row>
    <row r="265" spans="2:21" x14ac:dyDescent="0.25">
      <c r="B265" s="31" t="s">
        <v>22</v>
      </c>
      <c r="C265" s="31">
        <v>92</v>
      </c>
      <c r="D265" s="22" t="s">
        <v>411</v>
      </c>
      <c r="E265" s="22" t="s">
        <v>191</v>
      </c>
      <c r="F265" s="22" t="s">
        <v>44</v>
      </c>
      <c r="G265" s="23">
        <v>0</v>
      </c>
      <c r="H265" s="24">
        <v>900</v>
      </c>
      <c r="I265" s="24">
        <v>0</v>
      </c>
      <c r="J265" s="24">
        <v>50</v>
      </c>
      <c r="K265" s="24">
        <v>0</v>
      </c>
      <c r="L265" s="32">
        <v>0</v>
      </c>
      <c r="M265" s="33">
        <v>0</v>
      </c>
      <c r="N265" s="27">
        <v>0</v>
      </c>
      <c r="O265" s="24">
        <v>900</v>
      </c>
      <c r="P265" s="24">
        <v>900</v>
      </c>
      <c r="Q265" s="28">
        <v>0</v>
      </c>
      <c r="R265" s="29">
        <v>0</v>
      </c>
      <c r="S265" s="29">
        <v>0</v>
      </c>
      <c r="T265" s="29">
        <v>0</v>
      </c>
      <c r="U265" s="30">
        <v>850</v>
      </c>
    </row>
    <row r="266" spans="2:21" x14ac:dyDescent="0.25">
      <c r="B266" s="31" t="s">
        <v>22</v>
      </c>
      <c r="C266" s="22">
        <v>98</v>
      </c>
      <c r="D266" s="22" t="s">
        <v>412</v>
      </c>
      <c r="E266" s="22" t="s">
        <v>413</v>
      </c>
      <c r="F266" s="22" t="s">
        <v>44</v>
      </c>
      <c r="G266" s="23">
        <v>0</v>
      </c>
      <c r="H266" s="24">
        <v>0</v>
      </c>
      <c r="I266" s="24">
        <v>0</v>
      </c>
      <c r="J266" s="24">
        <v>0</v>
      </c>
      <c r="K266" s="24">
        <v>0</v>
      </c>
      <c r="L266" s="32">
        <v>0</v>
      </c>
      <c r="M266" s="33">
        <v>0</v>
      </c>
      <c r="N266" s="27">
        <v>0</v>
      </c>
      <c r="O266" s="24">
        <v>0</v>
      </c>
      <c r="P266" s="24">
        <v>0</v>
      </c>
      <c r="Q266" s="28">
        <v>0</v>
      </c>
      <c r="R266" s="29">
        <v>0</v>
      </c>
      <c r="S266" s="29">
        <v>0</v>
      </c>
      <c r="T266" s="29">
        <v>0</v>
      </c>
      <c r="U266" s="30">
        <v>0</v>
      </c>
    </row>
    <row r="267" spans="2:21" x14ac:dyDescent="0.25">
      <c r="B267" s="31" t="s">
        <v>22</v>
      </c>
      <c r="C267" s="31">
        <v>98</v>
      </c>
      <c r="D267" s="22" t="s">
        <v>414</v>
      </c>
      <c r="E267" s="22" t="s">
        <v>1315</v>
      </c>
      <c r="F267" s="22" t="s">
        <v>49</v>
      </c>
      <c r="G267" s="23">
        <v>0</v>
      </c>
      <c r="H267" s="24">
        <v>479.75</v>
      </c>
      <c r="I267" s="24">
        <v>0</v>
      </c>
      <c r="J267" s="24">
        <v>832.5</v>
      </c>
      <c r="K267" s="24">
        <v>0</v>
      </c>
      <c r="L267" s="32">
        <v>65</v>
      </c>
      <c r="M267" s="33">
        <v>0</v>
      </c>
      <c r="N267" s="27">
        <v>0</v>
      </c>
      <c r="O267" s="24">
        <v>479.75</v>
      </c>
      <c r="P267" s="24">
        <v>479.75</v>
      </c>
      <c r="Q267" s="28">
        <v>0</v>
      </c>
      <c r="R267" s="29">
        <v>0</v>
      </c>
      <c r="S267" s="29">
        <v>0</v>
      </c>
      <c r="T267" s="29">
        <v>104.75</v>
      </c>
      <c r="U267" s="30">
        <v>-457.5</v>
      </c>
    </row>
    <row r="268" spans="2:21" x14ac:dyDescent="0.25">
      <c r="B268" s="31" t="s">
        <v>22</v>
      </c>
      <c r="C268" s="31">
        <v>98</v>
      </c>
      <c r="D268" s="22" t="s">
        <v>415</v>
      </c>
      <c r="E268" s="22" t="s">
        <v>416</v>
      </c>
      <c r="F268" s="22" t="s">
        <v>44</v>
      </c>
      <c r="G268" s="23">
        <v>0</v>
      </c>
      <c r="H268" s="24">
        <v>0</v>
      </c>
      <c r="I268" s="24">
        <v>0</v>
      </c>
      <c r="J268" s="24">
        <v>0</v>
      </c>
      <c r="K268" s="24">
        <v>0</v>
      </c>
      <c r="L268" s="32">
        <v>0</v>
      </c>
      <c r="M268" s="33">
        <v>0</v>
      </c>
      <c r="N268" s="27">
        <v>0</v>
      </c>
      <c r="O268" s="24">
        <v>0</v>
      </c>
      <c r="P268" s="24">
        <v>0</v>
      </c>
      <c r="Q268" s="28">
        <v>0</v>
      </c>
      <c r="R268" s="29">
        <v>0</v>
      </c>
      <c r="S268" s="29">
        <v>0</v>
      </c>
      <c r="T268" s="29">
        <v>0</v>
      </c>
      <c r="U268" s="30">
        <v>0</v>
      </c>
    </row>
    <row r="269" spans="2:21" x14ac:dyDescent="0.25">
      <c r="B269" s="31" t="s">
        <v>22</v>
      </c>
      <c r="C269" s="31">
        <v>98</v>
      </c>
      <c r="D269" s="22" t="s">
        <v>417</v>
      </c>
      <c r="E269" s="22" t="s">
        <v>418</v>
      </c>
      <c r="F269" s="22" t="s">
        <v>49</v>
      </c>
      <c r="G269" s="23">
        <v>0</v>
      </c>
      <c r="H269" s="24">
        <v>3451.25</v>
      </c>
      <c r="I269" s="24">
        <v>0</v>
      </c>
      <c r="J269" s="24">
        <v>3995.5</v>
      </c>
      <c r="K269" s="24">
        <v>0</v>
      </c>
      <c r="L269" s="32">
        <v>153</v>
      </c>
      <c r="M269" s="33">
        <v>0</v>
      </c>
      <c r="N269" s="27">
        <v>0</v>
      </c>
      <c r="O269" s="24">
        <v>3451.25</v>
      </c>
      <c r="P269" s="24">
        <v>3451.25</v>
      </c>
      <c r="Q269" s="28">
        <v>0</v>
      </c>
      <c r="R269" s="29">
        <v>0</v>
      </c>
      <c r="S269" s="29">
        <v>0</v>
      </c>
      <c r="T269" s="29">
        <v>153</v>
      </c>
      <c r="U269" s="30">
        <v>-697.25</v>
      </c>
    </row>
    <row r="270" spans="2:21" x14ac:dyDescent="0.25">
      <c r="B270" s="31" t="s">
        <v>22</v>
      </c>
      <c r="C270" s="22">
        <v>99</v>
      </c>
      <c r="D270" s="22" t="s">
        <v>419</v>
      </c>
      <c r="E270" s="22" t="s">
        <v>420</v>
      </c>
      <c r="F270" s="22" t="s">
        <v>44</v>
      </c>
      <c r="G270" s="23">
        <v>0</v>
      </c>
      <c r="H270" s="24">
        <v>261</v>
      </c>
      <c r="I270" s="24">
        <v>0</v>
      </c>
      <c r="J270" s="24">
        <v>261</v>
      </c>
      <c r="K270" s="24">
        <v>0</v>
      </c>
      <c r="L270" s="32">
        <v>0</v>
      </c>
      <c r="M270" s="33">
        <v>0</v>
      </c>
      <c r="N270" s="27">
        <v>0</v>
      </c>
      <c r="O270" s="24">
        <v>261</v>
      </c>
      <c r="P270" s="24">
        <v>261</v>
      </c>
      <c r="Q270" s="28">
        <v>0</v>
      </c>
      <c r="R270" s="29">
        <v>0</v>
      </c>
      <c r="S270" s="29">
        <v>0</v>
      </c>
      <c r="T270" s="29">
        <v>0</v>
      </c>
      <c r="U270" s="30">
        <v>0</v>
      </c>
    </row>
    <row r="271" spans="2:21" x14ac:dyDescent="0.25">
      <c r="B271" s="31" t="s">
        <v>22</v>
      </c>
      <c r="C271" s="31">
        <v>99</v>
      </c>
      <c r="D271" s="22" t="s">
        <v>421</v>
      </c>
      <c r="E271" s="22" t="s">
        <v>422</v>
      </c>
      <c r="F271" s="22" t="s">
        <v>44</v>
      </c>
      <c r="G271" s="23">
        <v>0</v>
      </c>
      <c r="H271" s="24">
        <v>719.75</v>
      </c>
      <c r="I271" s="24">
        <v>0</v>
      </c>
      <c r="J271" s="24">
        <v>719.75</v>
      </c>
      <c r="K271" s="24">
        <v>0</v>
      </c>
      <c r="L271" s="32">
        <v>0</v>
      </c>
      <c r="M271" s="33">
        <v>0</v>
      </c>
      <c r="N271" s="27">
        <v>0</v>
      </c>
      <c r="O271" s="24">
        <v>719.75</v>
      </c>
      <c r="P271" s="24">
        <v>719.75</v>
      </c>
      <c r="Q271" s="28">
        <v>0</v>
      </c>
      <c r="R271" s="29">
        <v>0</v>
      </c>
      <c r="S271" s="29">
        <v>0</v>
      </c>
      <c r="T271" s="29">
        <v>0</v>
      </c>
      <c r="U271" s="30">
        <v>0</v>
      </c>
    </row>
    <row r="272" spans="2:21" x14ac:dyDescent="0.25">
      <c r="B272" s="31" t="s">
        <v>22</v>
      </c>
      <c r="C272" s="31">
        <v>99</v>
      </c>
      <c r="D272" s="22" t="s">
        <v>423</v>
      </c>
      <c r="E272" s="22" t="s">
        <v>424</v>
      </c>
      <c r="F272" s="22" t="s">
        <v>49</v>
      </c>
      <c r="G272" s="23">
        <v>0</v>
      </c>
      <c r="H272" s="24">
        <v>836.25</v>
      </c>
      <c r="I272" s="24">
        <v>0</v>
      </c>
      <c r="J272" s="24">
        <v>957.25</v>
      </c>
      <c r="K272" s="24">
        <v>0</v>
      </c>
      <c r="L272" s="32">
        <v>33</v>
      </c>
      <c r="M272" s="33">
        <v>0</v>
      </c>
      <c r="N272" s="27">
        <v>0</v>
      </c>
      <c r="O272" s="24">
        <v>836.25</v>
      </c>
      <c r="P272" s="24">
        <v>836.25</v>
      </c>
      <c r="Q272" s="28">
        <v>0</v>
      </c>
      <c r="R272" s="29">
        <v>0</v>
      </c>
      <c r="S272" s="29">
        <v>0</v>
      </c>
      <c r="T272" s="29">
        <v>33</v>
      </c>
      <c r="U272" s="30">
        <v>-154</v>
      </c>
    </row>
    <row r="273" spans="2:21" x14ac:dyDescent="0.25">
      <c r="B273" s="31" t="s">
        <v>22</v>
      </c>
      <c r="C273" s="31">
        <v>99</v>
      </c>
      <c r="D273" s="22" t="s">
        <v>425</v>
      </c>
      <c r="E273" s="22" t="s">
        <v>426</v>
      </c>
      <c r="F273" s="22" t="s">
        <v>44</v>
      </c>
      <c r="G273" s="23">
        <v>0</v>
      </c>
      <c r="H273" s="24">
        <v>1094</v>
      </c>
      <c r="I273" s="24">
        <v>0</v>
      </c>
      <c r="J273" s="24">
        <v>1094</v>
      </c>
      <c r="K273" s="24">
        <v>0</v>
      </c>
      <c r="L273" s="32">
        <v>0</v>
      </c>
      <c r="M273" s="33">
        <v>0</v>
      </c>
      <c r="N273" s="27">
        <v>0</v>
      </c>
      <c r="O273" s="24">
        <v>1094</v>
      </c>
      <c r="P273" s="24">
        <v>1094</v>
      </c>
      <c r="Q273" s="28">
        <v>0</v>
      </c>
      <c r="R273" s="29">
        <v>0</v>
      </c>
      <c r="S273" s="29">
        <v>0</v>
      </c>
      <c r="T273" s="29">
        <v>0</v>
      </c>
      <c r="U273" s="30">
        <v>0</v>
      </c>
    </row>
    <row r="274" spans="2:21" x14ac:dyDescent="0.25">
      <c r="B274" s="31" t="s">
        <v>22</v>
      </c>
      <c r="C274" s="31">
        <v>99</v>
      </c>
      <c r="D274" s="22" t="s">
        <v>315</v>
      </c>
      <c r="E274" s="22" t="s">
        <v>427</v>
      </c>
      <c r="F274" s="22" t="s">
        <v>44</v>
      </c>
      <c r="G274" s="23">
        <v>0</v>
      </c>
      <c r="H274" s="24">
        <v>720</v>
      </c>
      <c r="I274" s="24">
        <v>0</v>
      </c>
      <c r="J274" s="24">
        <v>720</v>
      </c>
      <c r="K274" s="24">
        <v>0</v>
      </c>
      <c r="L274" s="32">
        <v>0</v>
      </c>
      <c r="M274" s="33">
        <v>0</v>
      </c>
      <c r="N274" s="27">
        <v>0</v>
      </c>
      <c r="O274" s="24">
        <v>720</v>
      </c>
      <c r="P274" s="24">
        <v>720</v>
      </c>
      <c r="Q274" s="28">
        <v>0</v>
      </c>
      <c r="R274" s="29">
        <v>0</v>
      </c>
      <c r="S274" s="29">
        <v>0</v>
      </c>
      <c r="T274" s="29">
        <v>0</v>
      </c>
      <c r="U274" s="30">
        <v>0</v>
      </c>
    </row>
    <row r="275" spans="2:21" x14ac:dyDescent="0.25">
      <c r="B275" s="31" t="s">
        <v>22</v>
      </c>
      <c r="C275" s="31">
        <v>99</v>
      </c>
      <c r="D275" s="22" t="s">
        <v>126</v>
      </c>
      <c r="E275" s="22" t="s">
        <v>127</v>
      </c>
      <c r="F275" s="22" t="s">
        <v>44</v>
      </c>
      <c r="G275" s="23">
        <v>0</v>
      </c>
      <c r="H275" s="24">
        <v>0</v>
      </c>
      <c r="I275" s="24">
        <v>0</v>
      </c>
      <c r="J275" s="24">
        <v>0</v>
      </c>
      <c r="K275" s="24">
        <v>0</v>
      </c>
      <c r="L275" s="32">
        <v>0</v>
      </c>
      <c r="M275" s="33">
        <v>0</v>
      </c>
      <c r="N275" s="27">
        <v>0</v>
      </c>
      <c r="O275" s="24">
        <v>0</v>
      </c>
      <c r="P275" s="24">
        <v>0</v>
      </c>
      <c r="Q275" s="28">
        <v>0</v>
      </c>
      <c r="R275" s="29">
        <v>0</v>
      </c>
      <c r="S275" s="29">
        <v>0</v>
      </c>
      <c r="T275" s="29">
        <v>0</v>
      </c>
      <c r="U275" s="30">
        <v>0</v>
      </c>
    </row>
    <row r="276" spans="2:21" x14ac:dyDescent="0.25">
      <c r="B276" s="31" t="s">
        <v>22</v>
      </c>
      <c r="C276" s="31">
        <v>99</v>
      </c>
      <c r="D276" s="22" t="s">
        <v>317</v>
      </c>
      <c r="E276" s="22" t="s">
        <v>428</v>
      </c>
      <c r="F276" s="22" t="s">
        <v>44</v>
      </c>
      <c r="G276" s="23">
        <v>0</v>
      </c>
      <c r="H276" s="24">
        <v>0</v>
      </c>
      <c r="I276" s="24">
        <v>0</v>
      </c>
      <c r="J276" s="24">
        <v>0</v>
      </c>
      <c r="K276" s="24">
        <v>0</v>
      </c>
      <c r="L276" s="32">
        <v>0</v>
      </c>
      <c r="M276" s="33">
        <v>0</v>
      </c>
      <c r="N276" s="27">
        <v>0</v>
      </c>
      <c r="O276" s="24">
        <v>0</v>
      </c>
      <c r="P276" s="24">
        <v>0</v>
      </c>
      <c r="Q276" s="28">
        <v>0</v>
      </c>
      <c r="R276" s="29">
        <v>0</v>
      </c>
      <c r="S276" s="29">
        <v>0</v>
      </c>
      <c r="T276" s="29">
        <v>0</v>
      </c>
      <c r="U276" s="30">
        <v>0</v>
      </c>
    </row>
    <row r="277" spans="2:21" x14ac:dyDescent="0.25">
      <c r="B277" s="31" t="s">
        <v>22</v>
      </c>
      <c r="C277" s="31">
        <v>99</v>
      </c>
      <c r="D277" s="22" t="s">
        <v>429</v>
      </c>
      <c r="E277" s="22" t="s">
        <v>430</v>
      </c>
      <c r="F277" s="22" t="s">
        <v>44</v>
      </c>
      <c r="G277" s="23">
        <v>0</v>
      </c>
      <c r="H277" s="24">
        <v>244</v>
      </c>
      <c r="I277" s="24">
        <v>0</v>
      </c>
      <c r="J277" s="24">
        <v>244</v>
      </c>
      <c r="K277" s="24">
        <v>0</v>
      </c>
      <c r="L277" s="32">
        <v>0</v>
      </c>
      <c r="M277" s="33">
        <v>0</v>
      </c>
      <c r="N277" s="27">
        <v>0</v>
      </c>
      <c r="O277" s="24">
        <v>244</v>
      </c>
      <c r="P277" s="24">
        <v>244</v>
      </c>
      <c r="Q277" s="28">
        <v>0</v>
      </c>
      <c r="R277" s="29">
        <v>0</v>
      </c>
      <c r="S277" s="29">
        <v>0</v>
      </c>
      <c r="T277" s="29">
        <v>0</v>
      </c>
      <c r="U277" s="30">
        <v>0</v>
      </c>
    </row>
    <row r="278" spans="2:21" x14ac:dyDescent="0.25">
      <c r="B278" s="31" t="s">
        <v>22</v>
      </c>
      <c r="C278" s="31">
        <v>99</v>
      </c>
      <c r="D278" s="22" t="s">
        <v>431</v>
      </c>
      <c r="E278" s="22" t="s">
        <v>432</v>
      </c>
      <c r="F278" s="22" t="s">
        <v>44</v>
      </c>
      <c r="G278" s="23">
        <v>0</v>
      </c>
      <c r="H278" s="24">
        <v>0</v>
      </c>
      <c r="I278" s="24">
        <v>0</v>
      </c>
      <c r="J278" s="24">
        <v>0</v>
      </c>
      <c r="K278" s="24">
        <v>0</v>
      </c>
      <c r="L278" s="32">
        <v>0</v>
      </c>
      <c r="M278" s="33">
        <v>0</v>
      </c>
      <c r="N278" s="27">
        <v>0</v>
      </c>
      <c r="O278" s="24">
        <v>0</v>
      </c>
      <c r="P278" s="24">
        <v>0</v>
      </c>
      <c r="Q278" s="28">
        <v>0</v>
      </c>
      <c r="R278" s="29">
        <v>0</v>
      </c>
      <c r="S278" s="29">
        <v>0</v>
      </c>
      <c r="T278" s="29">
        <v>0</v>
      </c>
      <c r="U278" s="30">
        <v>0</v>
      </c>
    </row>
    <row r="279" spans="2:21" x14ac:dyDescent="0.25">
      <c r="B279" s="31" t="s">
        <v>22</v>
      </c>
      <c r="C279" s="31">
        <v>99</v>
      </c>
      <c r="D279" s="22" t="s">
        <v>433</v>
      </c>
      <c r="E279" s="22" t="s">
        <v>434</v>
      </c>
      <c r="F279" s="22" t="s">
        <v>49</v>
      </c>
      <c r="G279" s="23">
        <v>0</v>
      </c>
      <c r="H279" s="24">
        <v>1868.5</v>
      </c>
      <c r="I279" s="24">
        <v>0</v>
      </c>
      <c r="J279" s="24">
        <v>2028.5</v>
      </c>
      <c r="K279" s="24">
        <v>0</v>
      </c>
      <c r="L279" s="32">
        <v>20</v>
      </c>
      <c r="M279" s="33">
        <v>0</v>
      </c>
      <c r="N279" s="27">
        <v>0</v>
      </c>
      <c r="O279" s="24">
        <v>1868.5</v>
      </c>
      <c r="P279" s="24">
        <v>1868.5</v>
      </c>
      <c r="Q279" s="28">
        <v>0</v>
      </c>
      <c r="R279" s="29">
        <v>0</v>
      </c>
      <c r="S279" s="29">
        <v>0</v>
      </c>
      <c r="T279" s="29">
        <v>20</v>
      </c>
      <c r="U279" s="30">
        <v>-180</v>
      </c>
    </row>
    <row r="280" spans="2:21" x14ac:dyDescent="0.25">
      <c r="B280" s="31" t="s">
        <v>22</v>
      </c>
      <c r="C280" s="31">
        <v>99</v>
      </c>
      <c r="D280" s="22" t="s">
        <v>435</v>
      </c>
      <c r="E280" s="22" t="s">
        <v>436</v>
      </c>
      <c r="F280" s="22" t="s">
        <v>44</v>
      </c>
      <c r="G280" s="23">
        <v>0</v>
      </c>
      <c r="H280" s="24">
        <v>1302.25</v>
      </c>
      <c r="I280" s="24">
        <v>0</v>
      </c>
      <c r="J280" s="24">
        <v>1302.25</v>
      </c>
      <c r="K280" s="24">
        <v>0</v>
      </c>
      <c r="L280" s="32">
        <v>0</v>
      </c>
      <c r="M280" s="33">
        <v>0</v>
      </c>
      <c r="N280" s="27">
        <v>0</v>
      </c>
      <c r="O280" s="24">
        <v>1302.25</v>
      </c>
      <c r="P280" s="24">
        <v>1302.25</v>
      </c>
      <c r="Q280" s="28">
        <v>0</v>
      </c>
      <c r="R280" s="29">
        <v>0</v>
      </c>
      <c r="S280" s="29">
        <v>0</v>
      </c>
      <c r="T280" s="29">
        <v>0</v>
      </c>
      <c r="U280" s="30">
        <v>0</v>
      </c>
    </row>
    <row r="281" spans="2:21" x14ac:dyDescent="0.25">
      <c r="B281" s="31" t="s">
        <v>22</v>
      </c>
      <c r="C281" s="31">
        <v>99</v>
      </c>
      <c r="D281" s="22" t="s">
        <v>437</v>
      </c>
      <c r="E281" s="22" t="s">
        <v>438</v>
      </c>
      <c r="F281" s="22" t="s">
        <v>49</v>
      </c>
      <c r="G281" s="23">
        <v>0</v>
      </c>
      <c r="H281" s="24">
        <v>1166.5</v>
      </c>
      <c r="I281" s="24">
        <v>0</v>
      </c>
      <c r="J281" s="24">
        <v>1263.5</v>
      </c>
      <c r="K281" s="24">
        <v>0</v>
      </c>
      <c r="L281" s="32">
        <v>33</v>
      </c>
      <c r="M281" s="33">
        <v>0</v>
      </c>
      <c r="N281" s="27">
        <v>0</v>
      </c>
      <c r="O281" s="24">
        <v>1166.5</v>
      </c>
      <c r="P281" s="24">
        <v>1166.5</v>
      </c>
      <c r="Q281" s="28">
        <v>0</v>
      </c>
      <c r="R281" s="29">
        <v>0</v>
      </c>
      <c r="S281" s="29">
        <v>0</v>
      </c>
      <c r="T281" s="29">
        <v>33</v>
      </c>
      <c r="U281" s="30">
        <v>-130</v>
      </c>
    </row>
    <row r="282" spans="2:21" x14ac:dyDescent="0.25">
      <c r="B282" s="31" t="s">
        <v>22</v>
      </c>
      <c r="C282" s="31">
        <v>99</v>
      </c>
      <c r="D282" s="22" t="s">
        <v>439</v>
      </c>
      <c r="E282" s="22" t="s">
        <v>440</v>
      </c>
      <c r="F282" s="22" t="s">
        <v>44</v>
      </c>
      <c r="G282" s="23">
        <v>0</v>
      </c>
      <c r="H282" s="24">
        <v>5447.87</v>
      </c>
      <c r="I282" s="24">
        <v>0</v>
      </c>
      <c r="J282" s="24">
        <v>5455.87</v>
      </c>
      <c r="K282" s="24">
        <v>0</v>
      </c>
      <c r="L282" s="32">
        <v>0</v>
      </c>
      <c r="M282" s="33">
        <v>0</v>
      </c>
      <c r="N282" s="27">
        <v>0</v>
      </c>
      <c r="O282" s="24">
        <v>5447.87</v>
      </c>
      <c r="P282" s="24">
        <v>5447.87</v>
      </c>
      <c r="Q282" s="28">
        <v>0</v>
      </c>
      <c r="R282" s="29">
        <v>0</v>
      </c>
      <c r="S282" s="29">
        <v>0</v>
      </c>
      <c r="T282" s="29">
        <v>0</v>
      </c>
      <c r="U282" s="30">
        <v>-8</v>
      </c>
    </row>
    <row r="283" spans="2:21" x14ac:dyDescent="0.25">
      <c r="B283" s="31" t="s">
        <v>22</v>
      </c>
      <c r="C283" s="31">
        <v>99</v>
      </c>
      <c r="D283" s="22" t="s">
        <v>441</v>
      </c>
      <c r="E283" s="22" t="s">
        <v>442</v>
      </c>
      <c r="F283" s="22" t="s">
        <v>44</v>
      </c>
      <c r="G283" s="23">
        <v>0</v>
      </c>
      <c r="H283" s="24">
        <v>2650.25</v>
      </c>
      <c r="I283" s="24">
        <v>0</v>
      </c>
      <c r="J283" s="24">
        <v>2650.25</v>
      </c>
      <c r="K283" s="24">
        <v>0</v>
      </c>
      <c r="L283" s="32">
        <v>0</v>
      </c>
      <c r="M283" s="33">
        <v>0</v>
      </c>
      <c r="N283" s="27">
        <v>0</v>
      </c>
      <c r="O283" s="24">
        <v>2650.25</v>
      </c>
      <c r="P283" s="24">
        <v>2650.25</v>
      </c>
      <c r="Q283" s="28">
        <v>0</v>
      </c>
      <c r="R283" s="29">
        <v>0</v>
      </c>
      <c r="S283" s="29">
        <v>0</v>
      </c>
      <c r="T283" s="29">
        <v>0</v>
      </c>
      <c r="U283" s="30">
        <v>0</v>
      </c>
    </row>
    <row r="284" spans="2:21" x14ac:dyDescent="0.25">
      <c r="B284" s="31" t="s">
        <v>22</v>
      </c>
      <c r="C284" s="31">
        <v>99</v>
      </c>
      <c r="D284" s="22" t="s">
        <v>443</v>
      </c>
      <c r="E284" s="22" t="s">
        <v>444</v>
      </c>
      <c r="F284" s="22" t="s">
        <v>49</v>
      </c>
      <c r="G284" s="23">
        <v>0</v>
      </c>
      <c r="H284" s="24">
        <v>4132.75</v>
      </c>
      <c r="I284" s="24">
        <v>0</v>
      </c>
      <c r="J284" s="24">
        <v>4531.75</v>
      </c>
      <c r="K284" s="24">
        <v>0</v>
      </c>
      <c r="L284" s="32">
        <v>173</v>
      </c>
      <c r="M284" s="33">
        <v>0</v>
      </c>
      <c r="N284" s="27">
        <v>0</v>
      </c>
      <c r="O284" s="24">
        <v>4132.75</v>
      </c>
      <c r="P284" s="24">
        <v>4132.75</v>
      </c>
      <c r="Q284" s="28">
        <v>0</v>
      </c>
      <c r="R284" s="29">
        <v>0</v>
      </c>
      <c r="S284" s="29">
        <v>0</v>
      </c>
      <c r="T284" s="29">
        <v>172.75</v>
      </c>
      <c r="U284" s="30">
        <v>-571.75</v>
      </c>
    </row>
    <row r="285" spans="2:21" x14ac:dyDescent="0.25">
      <c r="B285" s="31" t="s">
        <v>22</v>
      </c>
      <c r="C285" s="31">
        <v>99</v>
      </c>
      <c r="D285" s="22" t="s">
        <v>445</v>
      </c>
      <c r="E285" s="22" t="s">
        <v>446</v>
      </c>
      <c r="F285" s="22" t="s">
        <v>44</v>
      </c>
      <c r="G285" s="23">
        <v>0</v>
      </c>
      <c r="H285" s="24">
        <v>0</v>
      </c>
      <c r="I285" s="24">
        <v>0</v>
      </c>
      <c r="J285" s="24">
        <v>0</v>
      </c>
      <c r="K285" s="24">
        <v>0</v>
      </c>
      <c r="L285" s="32">
        <v>0</v>
      </c>
      <c r="M285" s="33">
        <v>0</v>
      </c>
      <c r="N285" s="27">
        <v>0</v>
      </c>
      <c r="O285" s="24">
        <v>0</v>
      </c>
      <c r="P285" s="24">
        <v>0</v>
      </c>
      <c r="Q285" s="28">
        <v>0</v>
      </c>
      <c r="R285" s="29">
        <v>0</v>
      </c>
      <c r="S285" s="29">
        <v>0</v>
      </c>
      <c r="T285" s="29">
        <v>0</v>
      </c>
      <c r="U285" s="30">
        <v>0</v>
      </c>
    </row>
    <row r="286" spans="2:21" x14ac:dyDescent="0.25">
      <c r="B286" s="31" t="s">
        <v>22</v>
      </c>
      <c r="C286" s="31">
        <v>99</v>
      </c>
      <c r="D286" s="22" t="s">
        <v>447</v>
      </c>
      <c r="E286" s="22" t="s">
        <v>448</v>
      </c>
      <c r="F286" s="22" t="s">
        <v>49</v>
      </c>
      <c r="G286" s="23">
        <v>0</v>
      </c>
      <c r="H286" s="24">
        <v>530.75</v>
      </c>
      <c r="I286" s="24">
        <v>0</v>
      </c>
      <c r="J286" s="24">
        <v>706.75</v>
      </c>
      <c r="K286" s="24">
        <v>0</v>
      </c>
      <c r="L286" s="32">
        <v>150</v>
      </c>
      <c r="M286" s="33">
        <v>0</v>
      </c>
      <c r="N286" s="27">
        <v>0</v>
      </c>
      <c r="O286" s="24">
        <v>530.75</v>
      </c>
      <c r="P286" s="24">
        <v>530.75</v>
      </c>
      <c r="Q286" s="28">
        <v>0</v>
      </c>
      <c r="R286" s="29">
        <v>0</v>
      </c>
      <c r="S286" s="29">
        <v>0</v>
      </c>
      <c r="T286" s="29">
        <v>150</v>
      </c>
      <c r="U286" s="30">
        <v>-326</v>
      </c>
    </row>
    <row r="287" spans="2:21" x14ac:dyDescent="0.25">
      <c r="B287" s="31" t="s">
        <v>22</v>
      </c>
      <c r="C287" s="31">
        <v>99</v>
      </c>
      <c r="D287" s="22" t="s">
        <v>449</v>
      </c>
      <c r="E287" s="22" t="s">
        <v>450</v>
      </c>
      <c r="F287" s="22" t="s">
        <v>49</v>
      </c>
      <c r="G287" s="23">
        <v>0</v>
      </c>
      <c r="H287" s="24">
        <v>3231</v>
      </c>
      <c r="I287" s="24">
        <v>0</v>
      </c>
      <c r="J287" s="24">
        <v>3708.25</v>
      </c>
      <c r="K287" s="24">
        <v>0</v>
      </c>
      <c r="L287" s="32">
        <v>411</v>
      </c>
      <c r="M287" s="33">
        <v>0</v>
      </c>
      <c r="N287" s="27">
        <v>0</v>
      </c>
      <c r="O287" s="24">
        <v>3231</v>
      </c>
      <c r="P287" s="24">
        <v>3231</v>
      </c>
      <c r="Q287" s="28">
        <v>0</v>
      </c>
      <c r="R287" s="29">
        <v>0</v>
      </c>
      <c r="S287" s="29">
        <v>0</v>
      </c>
      <c r="T287" s="29">
        <v>411.25</v>
      </c>
      <c r="U287" s="30">
        <v>-888.5</v>
      </c>
    </row>
    <row r="288" spans="2:21" x14ac:dyDescent="0.25">
      <c r="B288" s="31" t="s">
        <v>22</v>
      </c>
      <c r="C288" s="31">
        <v>99</v>
      </c>
      <c r="D288" s="22" t="s">
        <v>451</v>
      </c>
      <c r="E288" s="22" t="s">
        <v>452</v>
      </c>
      <c r="F288" s="22" t="s">
        <v>44</v>
      </c>
      <c r="G288" s="23">
        <v>0</v>
      </c>
      <c r="H288" s="24">
        <v>0</v>
      </c>
      <c r="I288" s="24">
        <v>0</v>
      </c>
      <c r="J288" s="24">
        <v>0</v>
      </c>
      <c r="K288" s="24">
        <v>0</v>
      </c>
      <c r="L288" s="32">
        <v>0</v>
      </c>
      <c r="M288" s="33">
        <v>0</v>
      </c>
      <c r="N288" s="27">
        <v>0</v>
      </c>
      <c r="O288" s="24">
        <v>0</v>
      </c>
      <c r="P288" s="24">
        <v>0</v>
      </c>
      <c r="Q288" s="28">
        <v>0</v>
      </c>
      <c r="R288" s="29">
        <v>0</v>
      </c>
      <c r="S288" s="29">
        <v>0</v>
      </c>
      <c r="T288" s="29">
        <v>0</v>
      </c>
      <c r="U288" s="30">
        <v>0</v>
      </c>
    </row>
    <row r="289" spans="2:21" x14ac:dyDescent="0.25">
      <c r="B289" s="31" t="s">
        <v>22</v>
      </c>
      <c r="C289" s="31">
        <v>99</v>
      </c>
      <c r="D289" s="22" t="s">
        <v>453</v>
      </c>
      <c r="E289" s="22" t="s">
        <v>454</v>
      </c>
      <c r="F289" s="22" t="s">
        <v>49</v>
      </c>
      <c r="G289" s="23">
        <v>0</v>
      </c>
      <c r="H289" s="24">
        <v>191</v>
      </c>
      <c r="I289" s="24">
        <v>0</v>
      </c>
      <c r="J289" s="24">
        <v>275</v>
      </c>
      <c r="K289" s="24">
        <v>0</v>
      </c>
      <c r="L289" s="32">
        <v>84</v>
      </c>
      <c r="M289" s="33">
        <v>0</v>
      </c>
      <c r="N289" s="27">
        <v>0</v>
      </c>
      <c r="O289" s="24">
        <v>191</v>
      </c>
      <c r="P289" s="24">
        <v>191</v>
      </c>
      <c r="Q289" s="28">
        <v>0</v>
      </c>
      <c r="R289" s="29">
        <v>0</v>
      </c>
      <c r="S289" s="29">
        <v>0</v>
      </c>
      <c r="T289" s="29">
        <v>84</v>
      </c>
      <c r="U289" s="30">
        <v>-168</v>
      </c>
    </row>
    <row r="290" spans="2:21" x14ac:dyDescent="0.25">
      <c r="B290" s="31" t="s">
        <v>22</v>
      </c>
      <c r="C290" s="31">
        <v>99</v>
      </c>
      <c r="D290" s="22" t="s">
        <v>455</v>
      </c>
      <c r="E290" s="22" t="s">
        <v>456</v>
      </c>
      <c r="F290" s="22" t="s">
        <v>44</v>
      </c>
      <c r="G290" s="23">
        <v>0</v>
      </c>
      <c r="H290" s="24">
        <v>60</v>
      </c>
      <c r="I290" s="24">
        <v>0</v>
      </c>
      <c r="J290" s="24">
        <v>60</v>
      </c>
      <c r="K290" s="24">
        <v>0</v>
      </c>
      <c r="L290" s="32">
        <v>0</v>
      </c>
      <c r="M290" s="33">
        <v>0</v>
      </c>
      <c r="N290" s="27">
        <v>0</v>
      </c>
      <c r="O290" s="24">
        <v>60</v>
      </c>
      <c r="P290" s="24">
        <v>60</v>
      </c>
      <c r="Q290" s="28">
        <v>0</v>
      </c>
      <c r="R290" s="29">
        <v>0</v>
      </c>
      <c r="S290" s="29">
        <v>0</v>
      </c>
      <c r="T290" s="29">
        <v>0</v>
      </c>
      <c r="U290" s="30">
        <v>0</v>
      </c>
    </row>
    <row r="291" spans="2:21" x14ac:dyDescent="0.25">
      <c r="B291" s="31" t="s">
        <v>22</v>
      </c>
      <c r="C291" s="31">
        <v>99</v>
      </c>
      <c r="D291" s="22" t="s">
        <v>457</v>
      </c>
      <c r="E291" s="22" t="s">
        <v>458</v>
      </c>
      <c r="F291" s="22" t="s">
        <v>44</v>
      </c>
      <c r="G291" s="23">
        <v>0</v>
      </c>
      <c r="H291" s="24">
        <v>0</v>
      </c>
      <c r="I291" s="24">
        <v>0</v>
      </c>
      <c r="J291" s="24">
        <v>74.5</v>
      </c>
      <c r="K291" s="24">
        <v>0</v>
      </c>
      <c r="L291" s="32">
        <v>0</v>
      </c>
      <c r="M291" s="33">
        <v>0</v>
      </c>
      <c r="N291" s="27">
        <v>0</v>
      </c>
      <c r="O291" s="24">
        <v>0</v>
      </c>
      <c r="P291" s="24">
        <v>0</v>
      </c>
      <c r="Q291" s="28">
        <v>0</v>
      </c>
      <c r="R291" s="29">
        <v>0</v>
      </c>
      <c r="S291" s="29">
        <v>0</v>
      </c>
      <c r="T291" s="29">
        <v>0</v>
      </c>
      <c r="U291" s="30">
        <v>-74.5</v>
      </c>
    </row>
    <row r="292" spans="2:21" x14ac:dyDescent="0.25">
      <c r="B292" s="31" t="s">
        <v>22</v>
      </c>
      <c r="C292" s="31">
        <v>99</v>
      </c>
      <c r="D292" s="22" t="s">
        <v>459</v>
      </c>
      <c r="E292" s="22" t="s">
        <v>460</v>
      </c>
      <c r="F292" s="22" t="s">
        <v>44</v>
      </c>
      <c r="G292" s="23">
        <v>0</v>
      </c>
      <c r="H292" s="24">
        <v>0</v>
      </c>
      <c r="I292" s="24">
        <v>0</v>
      </c>
      <c r="J292" s="24">
        <v>0</v>
      </c>
      <c r="K292" s="24">
        <v>0</v>
      </c>
      <c r="L292" s="32">
        <v>0</v>
      </c>
      <c r="M292" s="33">
        <v>0</v>
      </c>
      <c r="N292" s="27">
        <v>0</v>
      </c>
      <c r="O292" s="24">
        <v>0</v>
      </c>
      <c r="P292" s="24">
        <v>0</v>
      </c>
      <c r="Q292" s="28">
        <v>0</v>
      </c>
      <c r="R292" s="29">
        <v>0</v>
      </c>
      <c r="S292" s="29">
        <v>0</v>
      </c>
      <c r="T292" s="29">
        <v>0</v>
      </c>
      <c r="U292" s="30">
        <v>0</v>
      </c>
    </row>
    <row r="293" spans="2:21" x14ac:dyDescent="0.25">
      <c r="B293" s="31" t="s">
        <v>22</v>
      </c>
      <c r="C293" s="31">
        <v>99</v>
      </c>
      <c r="D293" s="22" t="s">
        <v>461</v>
      </c>
      <c r="E293" s="22" t="s">
        <v>460</v>
      </c>
      <c r="F293" s="22" t="s">
        <v>44</v>
      </c>
      <c r="G293" s="23">
        <v>0</v>
      </c>
      <c r="H293" s="24">
        <v>0</v>
      </c>
      <c r="I293" s="24">
        <v>0</v>
      </c>
      <c r="J293" s="24">
        <v>0</v>
      </c>
      <c r="K293" s="24">
        <v>0</v>
      </c>
      <c r="L293" s="32">
        <v>0</v>
      </c>
      <c r="M293" s="33">
        <v>0</v>
      </c>
      <c r="N293" s="27">
        <v>0</v>
      </c>
      <c r="O293" s="24">
        <v>0</v>
      </c>
      <c r="P293" s="24">
        <v>0</v>
      </c>
      <c r="Q293" s="28">
        <v>0</v>
      </c>
      <c r="R293" s="29">
        <v>0</v>
      </c>
      <c r="S293" s="29">
        <v>0</v>
      </c>
      <c r="T293" s="29">
        <v>0</v>
      </c>
      <c r="U293" s="30">
        <v>0</v>
      </c>
    </row>
    <row r="294" spans="2:21" x14ac:dyDescent="0.25">
      <c r="B294" s="31" t="s">
        <v>22</v>
      </c>
      <c r="C294" s="31">
        <v>99</v>
      </c>
      <c r="D294" s="22" t="s">
        <v>462</v>
      </c>
      <c r="E294" s="22" t="s">
        <v>460</v>
      </c>
      <c r="F294" s="22" t="s">
        <v>49</v>
      </c>
      <c r="G294" s="23">
        <v>0</v>
      </c>
      <c r="H294" s="24">
        <v>372.25</v>
      </c>
      <c r="I294" s="24">
        <v>0</v>
      </c>
      <c r="J294" s="24">
        <v>427.25</v>
      </c>
      <c r="K294" s="24">
        <v>0</v>
      </c>
      <c r="L294" s="32">
        <v>55</v>
      </c>
      <c r="M294" s="33">
        <v>0</v>
      </c>
      <c r="N294" s="27">
        <v>0</v>
      </c>
      <c r="O294" s="24">
        <v>372.25</v>
      </c>
      <c r="P294" s="24">
        <v>372.25</v>
      </c>
      <c r="Q294" s="28">
        <v>0</v>
      </c>
      <c r="R294" s="29">
        <v>0</v>
      </c>
      <c r="S294" s="29">
        <v>0</v>
      </c>
      <c r="T294" s="29">
        <v>55</v>
      </c>
      <c r="U294" s="30">
        <v>-110</v>
      </c>
    </row>
    <row r="295" spans="2:21" x14ac:dyDescent="0.25">
      <c r="B295" s="22" t="s">
        <v>23</v>
      </c>
      <c r="C295" s="22">
        <v>25</v>
      </c>
      <c r="D295" s="22" t="s">
        <v>34</v>
      </c>
      <c r="E295" s="22" t="s">
        <v>463</v>
      </c>
      <c r="F295" s="22"/>
      <c r="G295" s="23">
        <v>10</v>
      </c>
      <c r="H295" s="24">
        <v>2196.5</v>
      </c>
      <c r="I295" s="24">
        <v>10</v>
      </c>
      <c r="J295" s="24">
        <v>2196.5</v>
      </c>
      <c r="K295" s="24">
        <v>0</v>
      </c>
      <c r="L295" s="32">
        <v>0</v>
      </c>
      <c r="M295" s="33">
        <v>0</v>
      </c>
      <c r="N295" s="27">
        <v>2196.5</v>
      </c>
      <c r="O295" s="24">
        <v>2196.5</v>
      </c>
      <c r="P295" s="24">
        <v>2196.5</v>
      </c>
      <c r="Q295" s="28">
        <v>1</v>
      </c>
      <c r="R295" s="29">
        <v>0</v>
      </c>
      <c r="S295" s="29">
        <v>1</v>
      </c>
      <c r="T295" s="29">
        <v>0</v>
      </c>
      <c r="U295" s="30">
        <v>0</v>
      </c>
    </row>
    <row r="296" spans="2:21" x14ac:dyDescent="0.25">
      <c r="B296" s="31" t="s">
        <v>23</v>
      </c>
      <c r="C296" s="31">
        <v>25</v>
      </c>
      <c r="D296" s="22" t="s">
        <v>239</v>
      </c>
      <c r="E296" s="22" t="s">
        <v>464</v>
      </c>
      <c r="F296" s="22"/>
      <c r="G296" s="23">
        <v>16</v>
      </c>
      <c r="H296" s="24">
        <v>360</v>
      </c>
      <c r="I296" s="24">
        <v>16</v>
      </c>
      <c r="J296" s="24">
        <v>200.5</v>
      </c>
      <c r="K296" s="24">
        <v>0</v>
      </c>
      <c r="L296" s="32">
        <v>0</v>
      </c>
      <c r="M296" s="33">
        <v>0</v>
      </c>
      <c r="N296" s="27">
        <v>360</v>
      </c>
      <c r="O296" s="24">
        <v>360</v>
      </c>
      <c r="P296" s="24">
        <v>200.5</v>
      </c>
      <c r="Q296" s="28">
        <v>1</v>
      </c>
      <c r="R296" s="29">
        <v>0</v>
      </c>
      <c r="S296" s="29">
        <v>1.8</v>
      </c>
      <c r="T296" s="29">
        <v>0</v>
      </c>
      <c r="U296" s="30">
        <v>159.5</v>
      </c>
    </row>
    <row r="297" spans="2:21" x14ac:dyDescent="0.25">
      <c r="B297" s="31" t="s">
        <v>23</v>
      </c>
      <c r="C297" s="31">
        <v>25</v>
      </c>
      <c r="D297" s="22" t="s">
        <v>465</v>
      </c>
      <c r="E297" s="22" t="s">
        <v>466</v>
      </c>
      <c r="F297" s="22" t="s">
        <v>44</v>
      </c>
      <c r="G297" s="23">
        <v>0</v>
      </c>
      <c r="H297" s="24">
        <v>0</v>
      </c>
      <c r="I297" s="24">
        <v>0</v>
      </c>
      <c r="J297" s="24">
        <v>0</v>
      </c>
      <c r="K297" s="24">
        <v>0</v>
      </c>
      <c r="L297" s="32">
        <v>0</v>
      </c>
      <c r="M297" s="33">
        <v>0</v>
      </c>
      <c r="N297" s="27">
        <v>0</v>
      </c>
      <c r="O297" s="24">
        <v>0</v>
      </c>
      <c r="P297" s="24">
        <v>0</v>
      </c>
      <c r="Q297" s="28">
        <v>0</v>
      </c>
      <c r="R297" s="29">
        <v>0</v>
      </c>
      <c r="S297" s="29">
        <v>0</v>
      </c>
      <c r="T297" s="29">
        <v>0</v>
      </c>
      <c r="U297" s="30">
        <v>0</v>
      </c>
    </row>
    <row r="298" spans="2:21" x14ac:dyDescent="0.25">
      <c r="B298" s="31" t="s">
        <v>23</v>
      </c>
      <c r="C298" s="22">
        <v>60</v>
      </c>
      <c r="D298" s="22" t="s">
        <v>467</v>
      </c>
      <c r="E298" s="22" t="s">
        <v>468</v>
      </c>
      <c r="F298" s="22" t="s">
        <v>44</v>
      </c>
      <c r="G298" s="23">
        <v>0</v>
      </c>
      <c r="H298" s="24">
        <v>0</v>
      </c>
      <c r="I298" s="24">
        <v>0</v>
      </c>
      <c r="J298" s="24">
        <v>0</v>
      </c>
      <c r="K298" s="24">
        <v>0</v>
      </c>
      <c r="L298" s="32">
        <v>0</v>
      </c>
      <c r="M298" s="33">
        <v>0</v>
      </c>
      <c r="N298" s="27">
        <v>0</v>
      </c>
      <c r="O298" s="24">
        <v>0</v>
      </c>
      <c r="P298" s="24">
        <v>0</v>
      </c>
      <c r="Q298" s="28">
        <v>0</v>
      </c>
      <c r="R298" s="29">
        <v>0</v>
      </c>
      <c r="S298" s="29">
        <v>0</v>
      </c>
      <c r="T298" s="29">
        <v>0</v>
      </c>
      <c r="U298" s="30">
        <v>0</v>
      </c>
    </row>
    <row r="299" spans="2:21" x14ac:dyDescent="0.25">
      <c r="B299" s="31" t="s">
        <v>23</v>
      </c>
      <c r="C299" s="31">
        <v>60</v>
      </c>
      <c r="D299" s="22" t="s">
        <v>469</v>
      </c>
      <c r="E299" s="22" t="s">
        <v>470</v>
      </c>
      <c r="F299" s="22" t="s">
        <v>33</v>
      </c>
      <c r="G299" s="23">
        <v>7136</v>
      </c>
      <c r="H299" s="24">
        <v>71171</v>
      </c>
      <c r="I299" s="24">
        <v>3539.4559999999992</v>
      </c>
      <c r="J299" s="24">
        <v>28620</v>
      </c>
      <c r="K299" s="24">
        <v>135.584</v>
      </c>
      <c r="L299" s="32">
        <v>804</v>
      </c>
      <c r="M299" s="33">
        <v>1352.249</v>
      </c>
      <c r="N299" s="27">
        <v>35300.815999999992</v>
      </c>
      <c r="O299" s="24">
        <v>71171</v>
      </c>
      <c r="P299" s="24">
        <v>57701.612903225818</v>
      </c>
      <c r="Q299" s="28">
        <v>0.5</v>
      </c>
      <c r="R299" s="29">
        <v>1.68</v>
      </c>
      <c r="S299" s="29">
        <v>1.23</v>
      </c>
      <c r="T299" s="29">
        <v>803</v>
      </c>
      <c r="U299" s="30">
        <v>41748</v>
      </c>
    </row>
    <row r="300" spans="2:21" x14ac:dyDescent="0.25">
      <c r="B300" s="31" t="s">
        <v>23</v>
      </c>
      <c r="C300" s="31">
        <v>60</v>
      </c>
      <c r="D300" s="22" t="s">
        <v>471</v>
      </c>
      <c r="E300" s="22" t="s">
        <v>251</v>
      </c>
      <c r="F300" s="22" t="s">
        <v>44</v>
      </c>
      <c r="G300" s="23">
        <v>0</v>
      </c>
      <c r="H300" s="24">
        <v>0</v>
      </c>
      <c r="I300" s="24">
        <v>0</v>
      </c>
      <c r="J300" s="24">
        <v>0</v>
      </c>
      <c r="K300" s="24">
        <v>0</v>
      </c>
      <c r="L300" s="32">
        <v>0</v>
      </c>
      <c r="M300" s="33">
        <v>0</v>
      </c>
      <c r="N300" s="27">
        <v>0</v>
      </c>
      <c r="O300" s="24">
        <v>0</v>
      </c>
      <c r="P300" s="24">
        <v>0</v>
      </c>
      <c r="Q300" s="28">
        <v>0</v>
      </c>
      <c r="R300" s="29">
        <v>0</v>
      </c>
      <c r="S300" s="29">
        <v>0</v>
      </c>
      <c r="T300" s="29">
        <v>0</v>
      </c>
      <c r="U300" s="30">
        <v>0</v>
      </c>
    </row>
    <row r="301" spans="2:21" x14ac:dyDescent="0.25">
      <c r="B301" s="31" t="s">
        <v>23</v>
      </c>
      <c r="C301" s="31">
        <v>60</v>
      </c>
      <c r="D301" s="22" t="s">
        <v>472</v>
      </c>
      <c r="E301" s="22" t="s">
        <v>251</v>
      </c>
      <c r="F301" s="22" t="s">
        <v>44</v>
      </c>
      <c r="G301" s="23">
        <v>0</v>
      </c>
      <c r="H301" s="24">
        <v>0</v>
      </c>
      <c r="I301" s="24">
        <v>0</v>
      </c>
      <c r="J301" s="24">
        <v>0</v>
      </c>
      <c r="K301" s="24">
        <v>0</v>
      </c>
      <c r="L301" s="32">
        <v>0</v>
      </c>
      <c r="M301" s="33">
        <v>0</v>
      </c>
      <c r="N301" s="27">
        <v>0</v>
      </c>
      <c r="O301" s="24">
        <v>0</v>
      </c>
      <c r="P301" s="24">
        <v>0</v>
      </c>
      <c r="Q301" s="28">
        <v>0</v>
      </c>
      <c r="R301" s="29">
        <v>0</v>
      </c>
      <c r="S301" s="29">
        <v>0</v>
      </c>
      <c r="T301" s="29">
        <v>0</v>
      </c>
      <c r="U301" s="30">
        <v>0</v>
      </c>
    </row>
    <row r="302" spans="2:21" x14ac:dyDescent="0.25">
      <c r="B302" s="31" t="s">
        <v>23</v>
      </c>
      <c r="C302" s="31">
        <v>60</v>
      </c>
      <c r="D302" s="22" t="s">
        <v>473</v>
      </c>
      <c r="E302" s="22" t="s">
        <v>251</v>
      </c>
      <c r="F302" s="22" t="s">
        <v>44</v>
      </c>
      <c r="G302" s="23">
        <v>0</v>
      </c>
      <c r="H302" s="24">
        <v>0</v>
      </c>
      <c r="I302" s="24">
        <v>0</v>
      </c>
      <c r="J302" s="24">
        <v>0</v>
      </c>
      <c r="K302" s="24">
        <v>0</v>
      </c>
      <c r="L302" s="32">
        <v>0</v>
      </c>
      <c r="M302" s="33">
        <v>0</v>
      </c>
      <c r="N302" s="27">
        <v>0</v>
      </c>
      <c r="O302" s="24">
        <v>0</v>
      </c>
      <c r="P302" s="24">
        <v>0</v>
      </c>
      <c r="Q302" s="28">
        <v>0</v>
      </c>
      <c r="R302" s="29">
        <v>0</v>
      </c>
      <c r="S302" s="29">
        <v>0</v>
      </c>
      <c r="T302" s="29">
        <v>0</v>
      </c>
      <c r="U302" s="30">
        <v>0</v>
      </c>
    </row>
    <row r="303" spans="2:21" x14ac:dyDescent="0.25">
      <c r="B303" s="31" t="s">
        <v>23</v>
      </c>
      <c r="C303" s="31">
        <v>60</v>
      </c>
      <c r="D303" s="22" t="s">
        <v>474</v>
      </c>
      <c r="E303" s="22" t="s">
        <v>251</v>
      </c>
      <c r="F303" s="22" t="s">
        <v>44</v>
      </c>
      <c r="G303" s="23">
        <v>0</v>
      </c>
      <c r="H303" s="24">
        <v>0</v>
      </c>
      <c r="I303" s="24">
        <v>0</v>
      </c>
      <c r="J303" s="24">
        <v>0</v>
      </c>
      <c r="K303" s="24">
        <v>0</v>
      </c>
      <c r="L303" s="32">
        <v>0</v>
      </c>
      <c r="M303" s="33">
        <v>0</v>
      </c>
      <c r="N303" s="27">
        <v>0</v>
      </c>
      <c r="O303" s="24">
        <v>0</v>
      </c>
      <c r="P303" s="24">
        <v>0</v>
      </c>
      <c r="Q303" s="28">
        <v>0</v>
      </c>
      <c r="R303" s="29">
        <v>0</v>
      </c>
      <c r="S303" s="29">
        <v>0</v>
      </c>
      <c r="T303" s="29">
        <v>0</v>
      </c>
      <c r="U303" s="30">
        <v>0</v>
      </c>
    </row>
    <row r="304" spans="2:21" x14ac:dyDescent="0.25">
      <c r="B304" s="31" t="s">
        <v>23</v>
      </c>
      <c r="C304" s="31">
        <v>60</v>
      </c>
      <c r="D304" s="22" t="s">
        <v>475</v>
      </c>
      <c r="E304" s="22" t="s">
        <v>251</v>
      </c>
      <c r="F304" s="22" t="s">
        <v>44</v>
      </c>
      <c r="G304" s="23">
        <v>0</v>
      </c>
      <c r="H304" s="24">
        <v>0</v>
      </c>
      <c r="I304" s="24">
        <v>0</v>
      </c>
      <c r="J304" s="24">
        <v>0</v>
      </c>
      <c r="K304" s="24">
        <v>0</v>
      </c>
      <c r="L304" s="32">
        <v>0</v>
      </c>
      <c r="M304" s="33">
        <v>0</v>
      </c>
      <c r="N304" s="27">
        <v>0</v>
      </c>
      <c r="O304" s="24">
        <v>0</v>
      </c>
      <c r="P304" s="24">
        <v>0</v>
      </c>
      <c r="Q304" s="28">
        <v>0</v>
      </c>
      <c r="R304" s="29">
        <v>0</v>
      </c>
      <c r="S304" s="29">
        <v>0</v>
      </c>
      <c r="T304" s="29">
        <v>0</v>
      </c>
      <c r="U304" s="30">
        <v>0</v>
      </c>
    </row>
    <row r="305" spans="2:21" x14ac:dyDescent="0.25">
      <c r="B305" s="31" t="s">
        <v>23</v>
      </c>
      <c r="C305" s="31">
        <v>60</v>
      </c>
      <c r="D305" s="22" t="s">
        <v>476</v>
      </c>
      <c r="E305" s="22" t="s">
        <v>251</v>
      </c>
      <c r="F305" s="22" t="s">
        <v>44</v>
      </c>
      <c r="G305" s="23">
        <v>0</v>
      </c>
      <c r="H305" s="24">
        <v>0</v>
      </c>
      <c r="I305" s="24">
        <v>0</v>
      </c>
      <c r="J305" s="24">
        <v>0</v>
      </c>
      <c r="K305" s="24">
        <v>0</v>
      </c>
      <c r="L305" s="32">
        <v>0</v>
      </c>
      <c r="M305" s="33">
        <v>0</v>
      </c>
      <c r="N305" s="27">
        <v>0</v>
      </c>
      <c r="O305" s="24">
        <v>0</v>
      </c>
      <c r="P305" s="24">
        <v>0</v>
      </c>
      <c r="Q305" s="28">
        <v>0</v>
      </c>
      <c r="R305" s="29">
        <v>0</v>
      </c>
      <c r="S305" s="29">
        <v>0</v>
      </c>
      <c r="T305" s="29">
        <v>0</v>
      </c>
      <c r="U305" s="30">
        <v>0</v>
      </c>
    </row>
    <row r="306" spans="2:21" x14ac:dyDescent="0.25">
      <c r="B306" s="31" t="s">
        <v>23</v>
      </c>
      <c r="C306" s="31">
        <v>60</v>
      </c>
      <c r="D306" s="22" t="s">
        <v>477</v>
      </c>
      <c r="E306" s="22" t="s">
        <v>251</v>
      </c>
      <c r="F306" s="22" t="s">
        <v>44</v>
      </c>
      <c r="G306" s="23">
        <v>0</v>
      </c>
      <c r="H306" s="24">
        <v>0</v>
      </c>
      <c r="I306" s="24">
        <v>0</v>
      </c>
      <c r="J306" s="24">
        <v>0</v>
      </c>
      <c r="K306" s="24">
        <v>0</v>
      </c>
      <c r="L306" s="32">
        <v>0</v>
      </c>
      <c r="M306" s="33">
        <v>0</v>
      </c>
      <c r="N306" s="27">
        <v>0</v>
      </c>
      <c r="O306" s="24">
        <v>0</v>
      </c>
      <c r="P306" s="24">
        <v>0</v>
      </c>
      <c r="Q306" s="28">
        <v>0</v>
      </c>
      <c r="R306" s="29">
        <v>0</v>
      </c>
      <c r="S306" s="29">
        <v>0</v>
      </c>
      <c r="T306" s="29">
        <v>0</v>
      </c>
      <c r="U306" s="30">
        <v>0</v>
      </c>
    </row>
    <row r="307" spans="2:21" x14ac:dyDescent="0.25">
      <c r="B307" s="31" t="s">
        <v>23</v>
      </c>
      <c r="C307" s="31">
        <v>60</v>
      </c>
      <c r="D307" s="22" t="s">
        <v>478</v>
      </c>
      <c r="E307" s="22" t="s">
        <v>251</v>
      </c>
      <c r="F307" s="22" t="s">
        <v>44</v>
      </c>
      <c r="G307" s="23">
        <v>0</v>
      </c>
      <c r="H307" s="24">
        <v>0</v>
      </c>
      <c r="I307" s="24">
        <v>0</v>
      </c>
      <c r="J307" s="24">
        <v>0</v>
      </c>
      <c r="K307" s="24">
        <v>0</v>
      </c>
      <c r="L307" s="32">
        <v>0</v>
      </c>
      <c r="M307" s="33">
        <v>0</v>
      </c>
      <c r="N307" s="27">
        <v>0</v>
      </c>
      <c r="O307" s="24">
        <v>0</v>
      </c>
      <c r="P307" s="24">
        <v>0</v>
      </c>
      <c r="Q307" s="28">
        <v>0</v>
      </c>
      <c r="R307" s="29">
        <v>0</v>
      </c>
      <c r="S307" s="29">
        <v>0</v>
      </c>
      <c r="T307" s="29">
        <v>0</v>
      </c>
      <c r="U307" s="30">
        <v>0</v>
      </c>
    </row>
    <row r="308" spans="2:21" x14ac:dyDescent="0.25">
      <c r="B308" s="31" t="s">
        <v>23</v>
      </c>
      <c r="C308" s="31">
        <v>60</v>
      </c>
      <c r="D308" s="22" t="s">
        <v>479</v>
      </c>
      <c r="E308" s="22" t="s">
        <v>251</v>
      </c>
      <c r="F308" s="22" t="s">
        <v>44</v>
      </c>
      <c r="G308" s="23">
        <v>0</v>
      </c>
      <c r="H308" s="24">
        <v>0</v>
      </c>
      <c r="I308" s="24">
        <v>0</v>
      </c>
      <c r="J308" s="24">
        <v>0</v>
      </c>
      <c r="K308" s="24">
        <v>0</v>
      </c>
      <c r="L308" s="32">
        <v>0</v>
      </c>
      <c r="M308" s="33">
        <v>0</v>
      </c>
      <c r="N308" s="27">
        <v>0</v>
      </c>
      <c r="O308" s="24">
        <v>0</v>
      </c>
      <c r="P308" s="24">
        <v>0</v>
      </c>
      <c r="Q308" s="28">
        <v>0</v>
      </c>
      <c r="R308" s="29">
        <v>0</v>
      </c>
      <c r="S308" s="29">
        <v>0</v>
      </c>
      <c r="T308" s="29">
        <v>0</v>
      </c>
      <c r="U308" s="30">
        <v>0</v>
      </c>
    </row>
    <row r="309" spans="2:21" x14ac:dyDescent="0.25">
      <c r="B309" s="31" t="s">
        <v>23</v>
      </c>
      <c r="C309" s="31">
        <v>60</v>
      </c>
      <c r="D309" s="22" t="s">
        <v>480</v>
      </c>
      <c r="E309" s="22" t="s">
        <v>251</v>
      </c>
      <c r="F309" s="22" t="s">
        <v>44</v>
      </c>
      <c r="G309" s="23">
        <v>0</v>
      </c>
      <c r="H309" s="24">
        <v>0</v>
      </c>
      <c r="I309" s="24">
        <v>0</v>
      </c>
      <c r="J309" s="24">
        <v>0</v>
      </c>
      <c r="K309" s="24">
        <v>0</v>
      </c>
      <c r="L309" s="32">
        <v>0</v>
      </c>
      <c r="M309" s="33">
        <v>0</v>
      </c>
      <c r="N309" s="27">
        <v>0</v>
      </c>
      <c r="O309" s="24">
        <v>0</v>
      </c>
      <c r="P309" s="24">
        <v>0</v>
      </c>
      <c r="Q309" s="28">
        <v>0</v>
      </c>
      <c r="R309" s="29">
        <v>0</v>
      </c>
      <c r="S309" s="29">
        <v>0</v>
      </c>
      <c r="T309" s="29">
        <v>0</v>
      </c>
      <c r="U309" s="30">
        <v>0</v>
      </c>
    </row>
    <row r="310" spans="2:21" x14ac:dyDescent="0.25">
      <c r="B310" s="31" t="s">
        <v>23</v>
      </c>
      <c r="C310" s="31">
        <v>60</v>
      </c>
      <c r="D310" s="22" t="s">
        <v>481</v>
      </c>
      <c r="E310" s="22" t="s">
        <v>251</v>
      </c>
      <c r="F310" s="22" t="s">
        <v>44</v>
      </c>
      <c r="G310" s="23">
        <v>0</v>
      </c>
      <c r="H310" s="24">
        <v>0</v>
      </c>
      <c r="I310" s="24">
        <v>0</v>
      </c>
      <c r="J310" s="24">
        <v>0</v>
      </c>
      <c r="K310" s="24">
        <v>0</v>
      </c>
      <c r="L310" s="32">
        <v>0</v>
      </c>
      <c r="M310" s="33">
        <v>0</v>
      </c>
      <c r="N310" s="27">
        <v>0</v>
      </c>
      <c r="O310" s="24">
        <v>0</v>
      </c>
      <c r="P310" s="24">
        <v>0</v>
      </c>
      <c r="Q310" s="28">
        <v>0</v>
      </c>
      <c r="R310" s="29">
        <v>0</v>
      </c>
      <c r="S310" s="29">
        <v>0</v>
      </c>
      <c r="T310" s="29">
        <v>0</v>
      </c>
      <c r="U310" s="30">
        <v>0</v>
      </c>
    </row>
    <row r="311" spans="2:21" x14ac:dyDescent="0.25">
      <c r="B311" s="31" t="s">
        <v>23</v>
      </c>
      <c r="C311" s="31">
        <v>60</v>
      </c>
      <c r="D311" s="22" t="s">
        <v>482</v>
      </c>
      <c r="E311" s="22" t="s">
        <v>251</v>
      </c>
      <c r="F311" s="22" t="s">
        <v>44</v>
      </c>
      <c r="G311" s="23">
        <v>0</v>
      </c>
      <c r="H311" s="24">
        <v>0</v>
      </c>
      <c r="I311" s="24">
        <v>0</v>
      </c>
      <c r="J311" s="24">
        <v>0</v>
      </c>
      <c r="K311" s="24">
        <v>0</v>
      </c>
      <c r="L311" s="32">
        <v>0</v>
      </c>
      <c r="M311" s="33">
        <v>0</v>
      </c>
      <c r="N311" s="27">
        <v>0</v>
      </c>
      <c r="O311" s="24">
        <v>0</v>
      </c>
      <c r="P311" s="24">
        <v>0</v>
      </c>
      <c r="Q311" s="28">
        <v>0</v>
      </c>
      <c r="R311" s="29">
        <v>0</v>
      </c>
      <c r="S311" s="29">
        <v>0</v>
      </c>
      <c r="T311" s="29">
        <v>0</v>
      </c>
      <c r="U311" s="30">
        <v>0</v>
      </c>
    </row>
    <row r="312" spans="2:21" x14ac:dyDescent="0.25">
      <c r="B312" s="31" t="s">
        <v>23</v>
      </c>
      <c r="C312" s="31">
        <v>60</v>
      </c>
      <c r="D312" s="22" t="s">
        <v>483</v>
      </c>
      <c r="E312" s="22" t="s">
        <v>251</v>
      </c>
      <c r="F312" s="22" t="s">
        <v>44</v>
      </c>
      <c r="G312" s="23">
        <v>0</v>
      </c>
      <c r="H312" s="24">
        <v>0</v>
      </c>
      <c r="I312" s="24">
        <v>0</v>
      </c>
      <c r="J312" s="24">
        <v>0</v>
      </c>
      <c r="K312" s="24">
        <v>0</v>
      </c>
      <c r="L312" s="32">
        <v>0</v>
      </c>
      <c r="M312" s="33">
        <v>0</v>
      </c>
      <c r="N312" s="27">
        <v>0</v>
      </c>
      <c r="O312" s="24">
        <v>0</v>
      </c>
      <c r="P312" s="24">
        <v>0</v>
      </c>
      <c r="Q312" s="28">
        <v>0</v>
      </c>
      <c r="R312" s="29">
        <v>0</v>
      </c>
      <c r="S312" s="29">
        <v>0</v>
      </c>
      <c r="T312" s="29">
        <v>0</v>
      </c>
      <c r="U312" s="30">
        <v>0</v>
      </c>
    </row>
    <row r="313" spans="2:21" x14ac:dyDescent="0.25">
      <c r="B313" s="31" t="s">
        <v>23</v>
      </c>
      <c r="C313" s="31">
        <v>60</v>
      </c>
      <c r="D313" s="22" t="s">
        <v>484</v>
      </c>
      <c r="E313" s="22" t="s">
        <v>251</v>
      </c>
      <c r="F313" s="22" t="s">
        <v>44</v>
      </c>
      <c r="G313" s="23">
        <v>0</v>
      </c>
      <c r="H313" s="24">
        <v>0</v>
      </c>
      <c r="I313" s="24">
        <v>0</v>
      </c>
      <c r="J313" s="24">
        <v>0</v>
      </c>
      <c r="K313" s="24">
        <v>0</v>
      </c>
      <c r="L313" s="32">
        <v>0</v>
      </c>
      <c r="M313" s="33">
        <v>0</v>
      </c>
      <c r="N313" s="27">
        <v>0</v>
      </c>
      <c r="O313" s="24">
        <v>0</v>
      </c>
      <c r="P313" s="24">
        <v>0</v>
      </c>
      <c r="Q313" s="28">
        <v>0</v>
      </c>
      <c r="R313" s="29">
        <v>0</v>
      </c>
      <c r="S313" s="29">
        <v>0</v>
      </c>
      <c r="T313" s="29">
        <v>0</v>
      </c>
      <c r="U313" s="30">
        <v>0</v>
      </c>
    </row>
    <row r="314" spans="2:21" x14ac:dyDescent="0.25">
      <c r="B314" s="31" t="s">
        <v>23</v>
      </c>
      <c r="C314" s="31">
        <v>60</v>
      </c>
      <c r="D314" s="22" t="s">
        <v>485</v>
      </c>
      <c r="E314" s="22" t="s">
        <v>251</v>
      </c>
      <c r="F314" s="22" t="s">
        <v>44</v>
      </c>
      <c r="G314" s="23">
        <v>0</v>
      </c>
      <c r="H314" s="24">
        <v>0</v>
      </c>
      <c r="I314" s="24">
        <v>0</v>
      </c>
      <c r="J314" s="24">
        <v>0</v>
      </c>
      <c r="K314" s="24">
        <v>0</v>
      </c>
      <c r="L314" s="32">
        <v>0</v>
      </c>
      <c r="M314" s="33">
        <v>0</v>
      </c>
      <c r="N314" s="27">
        <v>0</v>
      </c>
      <c r="O314" s="24">
        <v>0</v>
      </c>
      <c r="P314" s="24">
        <v>0</v>
      </c>
      <c r="Q314" s="28">
        <v>0</v>
      </c>
      <c r="R314" s="29">
        <v>0</v>
      </c>
      <c r="S314" s="29">
        <v>0</v>
      </c>
      <c r="T314" s="29">
        <v>0</v>
      </c>
      <c r="U314" s="30">
        <v>0</v>
      </c>
    </row>
    <row r="315" spans="2:21" x14ac:dyDescent="0.25">
      <c r="B315" s="31" t="s">
        <v>23</v>
      </c>
      <c r="C315" s="31">
        <v>60</v>
      </c>
      <c r="D315" s="22" t="s">
        <v>486</v>
      </c>
      <c r="E315" s="22" t="s">
        <v>251</v>
      </c>
      <c r="F315" s="22" t="s">
        <v>44</v>
      </c>
      <c r="G315" s="23">
        <v>0</v>
      </c>
      <c r="H315" s="24">
        <v>0</v>
      </c>
      <c r="I315" s="24">
        <v>0</v>
      </c>
      <c r="J315" s="24">
        <v>0</v>
      </c>
      <c r="K315" s="24">
        <v>0</v>
      </c>
      <c r="L315" s="32">
        <v>0</v>
      </c>
      <c r="M315" s="33">
        <v>0</v>
      </c>
      <c r="N315" s="27">
        <v>0</v>
      </c>
      <c r="O315" s="24">
        <v>0</v>
      </c>
      <c r="P315" s="24">
        <v>0</v>
      </c>
      <c r="Q315" s="28">
        <v>0</v>
      </c>
      <c r="R315" s="29">
        <v>0</v>
      </c>
      <c r="S315" s="29">
        <v>0</v>
      </c>
      <c r="T315" s="29">
        <v>0</v>
      </c>
      <c r="U315" s="30">
        <v>0</v>
      </c>
    </row>
    <row r="316" spans="2:21" x14ac:dyDescent="0.25">
      <c r="B316" s="31" t="s">
        <v>23</v>
      </c>
      <c r="C316" s="31">
        <v>60</v>
      </c>
      <c r="D316" s="22" t="s">
        <v>487</v>
      </c>
      <c r="E316" s="22" t="s">
        <v>251</v>
      </c>
      <c r="F316" s="22" t="s">
        <v>44</v>
      </c>
      <c r="G316" s="23">
        <v>0</v>
      </c>
      <c r="H316" s="24">
        <v>0</v>
      </c>
      <c r="I316" s="24">
        <v>0</v>
      </c>
      <c r="J316" s="24">
        <v>0</v>
      </c>
      <c r="K316" s="24">
        <v>0</v>
      </c>
      <c r="L316" s="32">
        <v>0</v>
      </c>
      <c r="M316" s="33">
        <v>0</v>
      </c>
      <c r="N316" s="27">
        <v>0</v>
      </c>
      <c r="O316" s="24">
        <v>0</v>
      </c>
      <c r="P316" s="24">
        <v>0</v>
      </c>
      <c r="Q316" s="28">
        <v>0</v>
      </c>
      <c r="R316" s="29">
        <v>0</v>
      </c>
      <c r="S316" s="29">
        <v>0</v>
      </c>
      <c r="T316" s="29">
        <v>0</v>
      </c>
      <c r="U316" s="30">
        <v>0</v>
      </c>
    </row>
    <row r="317" spans="2:21" x14ac:dyDescent="0.25">
      <c r="B317" s="31" t="s">
        <v>23</v>
      </c>
      <c r="C317" s="31">
        <v>60</v>
      </c>
      <c r="D317" s="22" t="s">
        <v>488</v>
      </c>
      <c r="E317" s="22" t="s">
        <v>489</v>
      </c>
      <c r="F317" s="22" t="s">
        <v>44</v>
      </c>
      <c r="G317" s="23">
        <v>0</v>
      </c>
      <c r="H317" s="24">
        <v>0</v>
      </c>
      <c r="I317" s="24">
        <v>0</v>
      </c>
      <c r="J317" s="24">
        <v>0</v>
      </c>
      <c r="K317" s="24">
        <v>0</v>
      </c>
      <c r="L317" s="32">
        <v>0</v>
      </c>
      <c r="M317" s="33">
        <v>0</v>
      </c>
      <c r="N317" s="27">
        <v>0</v>
      </c>
      <c r="O317" s="24">
        <v>0</v>
      </c>
      <c r="P317" s="24">
        <v>0</v>
      </c>
      <c r="Q317" s="28">
        <v>0</v>
      </c>
      <c r="R317" s="29">
        <v>0</v>
      </c>
      <c r="S317" s="29">
        <v>0</v>
      </c>
      <c r="T317" s="29">
        <v>0</v>
      </c>
      <c r="U317" s="30">
        <v>0</v>
      </c>
    </row>
    <row r="318" spans="2:21" x14ac:dyDescent="0.25">
      <c r="B318" s="31" t="s">
        <v>23</v>
      </c>
      <c r="C318" s="22">
        <v>61</v>
      </c>
      <c r="D318" s="22" t="s">
        <v>490</v>
      </c>
      <c r="E318" s="22" t="s">
        <v>491</v>
      </c>
      <c r="F318" s="22"/>
      <c r="G318" s="23">
        <v>100</v>
      </c>
      <c r="H318" s="24">
        <v>2227</v>
      </c>
      <c r="I318" s="24">
        <v>100</v>
      </c>
      <c r="J318" s="24">
        <v>2104.5</v>
      </c>
      <c r="K318" s="24">
        <v>0</v>
      </c>
      <c r="L318" s="32">
        <v>0</v>
      </c>
      <c r="M318" s="33">
        <v>0</v>
      </c>
      <c r="N318" s="27">
        <v>2227</v>
      </c>
      <c r="O318" s="24">
        <v>2227</v>
      </c>
      <c r="P318" s="24">
        <v>2104.5</v>
      </c>
      <c r="Q318" s="28">
        <v>1</v>
      </c>
      <c r="R318" s="29">
        <v>0</v>
      </c>
      <c r="S318" s="29">
        <v>1.06</v>
      </c>
      <c r="T318" s="29">
        <v>0</v>
      </c>
      <c r="U318" s="30">
        <v>122.5</v>
      </c>
    </row>
    <row r="319" spans="2:21" x14ac:dyDescent="0.25">
      <c r="B319" s="31" t="s">
        <v>23</v>
      </c>
      <c r="C319" s="31">
        <v>61</v>
      </c>
      <c r="D319" s="22" t="s">
        <v>492</v>
      </c>
      <c r="E319" s="22" t="s">
        <v>493</v>
      </c>
      <c r="F319" s="22" t="s">
        <v>44</v>
      </c>
      <c r="G319" s="23">
        <v>0</v>
      </c>
      <c r="H319" s="24">
        <v>-2.3305801732931286E-12</v>
      </c>
      <c r="I319" s="24">
        <v>0</v>
      </c>
      <c r="J319" s="24">
        <v>0</v>
      </c>
      <c r="K319" s="24">
        <v>0</v>
      </c>
      <c r="L319" s="32">
        <v>0</v>
      </c>
      <c r="M319" s="33">
        <v>0</v>
      </c>
      <c r="N319" s="27">
        <v>0</v>
      </c>
      <c r="O319" s="24">
        <v>0</v>
      </c>
      <c r="P319" s="24">
        <v>0</v>
      </c>
      <c r="Q319" s="28">
        <v>0</v>
      </c>
      <c r="R319" s="29">
        <v>0</v>
      </c>
      <c r="S319" s="29">
        <v>0</v>
      </c>
      <c r="T319" s="29">
        <v>0</v>
      </c>
      <c r="U319" s="30">
        <v>-2.3305801732931286E-12</v>
      </c>
    </row>
    <row r="320" spans="2:21" x14ac:dyDescent="0.25">
      <c r="B320" s="31" t="s">
        <v>23</v>
      </c>
      <c r="C320" s="31">
        <v>61</v>
      </c>
      <c r="D320" s="22" t="s">
        <v>494</v>
      </c>
      <c r="E320" s="22" t="s">
        <v>495</v>
      </c>
      <c r="F320" s="22"/>
      <c r="G320" s="23">
        <v>150</v>
      </c>
      <c r="H320" s="24">
        <v>3352</v>
      </c>
      <c r="I320" s="24">
        <v>147.75</v>
      </c>
      <c r="J320" s="24">
        <v>2288</v>
      </c>
      <c r="K320" s="24">
        <v>0</v>
      </c>
      <c r="L320" s="32">
        <v>0</v>
      </c>
      <c r="M320" s="33">
        <v>0</v>
      </c>
      <c r="N320" s="27">
        <v>3301.72</v>
      </c>
      <c r="O320" s="24">
        <v>3352</v>
      </c>
      <c r="P320" s="24">
        <v>2322.8426395939086</v>
      </c>
      <c r="Q320" s="28">
        <v>0.99</v>
      </c>
      <c r="R320" s="29">
        <v>0</v>
      </c>
      <c r="S320" s="29">
        <v>1.44</v>
      </c>
      <c r="T320" s="29">
        <v>0</v>
      </c>
      <c r="U320" s="30">
        <v>1064</v>
      </c>
    </row>
    <row r="321" spans="2:21" x14ac:dyDescent="0.25">
      <c r="B321" s="31" t="s">
        <v>23</v>
      </c>
      <c r="C321" s="31">
        <v>61</v>
      </c>
      <c r="D321" s="22" t="s">
        <v>496</v>
      </c>
      <c r="E321" s="22" t="s">
        <v>497</v>
      </c>
      <c r="F321" s="22"/>
      <c r="G321" s="23">
        <v>207</v>
      </c>
      <c r="H321" s="24">
        <v>4606</v>
      </c>
      <c r="I321" s="24">
        <v>207.00000000000003</v>
      </c>
      <c r="J321" s="24">
        <v>4036</v>
      </c>
      <c r="K321" s="24">
        <v>0</v>
      </c>
      <c r="L321" s="32">
        <v>0</v>
      </c>
      <c r="M321" s="33">
        <v>0</v>
      </c>
      <c r="N321" s="27">
        <v>4606.0000000000009</v>
      </c>
      <c r="O321" s="24">
        <v>4606</v>
      </c>
      <c r="P321" s="24">
        <v>4035.9999999999991</v>
      </c>
      <c r="Q321" s="28">
        <v>1</v>
      </c>
      <c r="R321" s="29">
        <v>0</v>
      </c>
      <c r="S321" s="29">
        <v>1.1399999999999999</v>
      </c>
      <c r="T321" s="29">
        <v>0</v>
      </c>
      <c r="U321" s="30">
        <v>570</v>
      </c>
    </row>
    <row r="322" spans="2:21" x14ac:dyDescent="0.25">
      <c r="B322" s="31" t="s">
        <v>23</v>
      </c>
      <c r="C322" s="31">
        <v>61</v>
      </c>
      <c r="D322" s="22" t="s">
        <v>498</v>
      </c>
      <c r="E322" s="22" t="s">
        <v>499</v>
      </c>
      <c r="F322" s="22" t="s">
        <v>33</v>
      </c>
      <c r="G322" s="23">
        <v>1854</v>
      </c>
      <c r="H322" s="24">
        <v>42003</v>
      </c>
      <c r="I322" s="24">
        <v>1545.4939999999997</v>
      </c>
      <c r="J322" s="24">
        <v>29653.5</v>
      </c>
      <c r="K322" s="24">
        <v>90.103999999999999</v>
      </c>
      <c r="L322" s="32">
        <v>1966</v>
      </c>
      <c r="M322" s="33">
        <v>2041.3367378640776</v>
      </c>
      <c r="N322" s="27">
        <v>35013.691737864072</v>
      </c>
      <c r="O322" s="24">
        <v>42003</v>
      </c>
      <c r="P322" s="24">
        <v>35572.825905503363</v>
      </c>
      <c r="Q322" s="28">
        <v>0.83</v>
      </c>
      <c r="R322" s="29">
        <v>1.04</v>
      </c>
      <c r="S322" s="29">
        <v>1.18</v>
      </c>
      <c r="T322" s="29">
        <v>1962</v>
      </c>
      <c r="U322" s="30">
        <v>10387.5</v>
      </c>
    </row>
    <row r="323" spans="2:21" x14ac:dyDescent="0.25">
      <c r="B323" s="31" t="s">
        <v>23</v>
      </c>
      <c r="C323" s="31">
        <v>61</v>
      </c>
      <c r="D323" s="22" t="s">
        <v>500</v>
      </c>
      <c r="E323" s="22" t="s">
        <v>501</v>
      </c>
      <c r="F323" s="22"/>
      <c r="G323" s="23">
        <v>455</v>
      </c>
      <c r="H323" s="24">
        <v>10147</v>
      </c>
      <c r="I323" s="24">
        <v>454.99999999999994</v>
      </c>
      <c r="J323" s="24">
        <v>9915.5</v>
      </c>
      <c r="K323" s="24">
        <v>0</v>
      </c>
      <c r="L323" s="32">
        <v>0</v>
      </c>
      <c r="M323" s="33">
        <v>0</v>
      </c>
      <c r="N323" s="27">
        <v>10146.999999999998</v>
      </c>
      <c r="O323" s="24">
        <v>10147</v>
      </c>
      <c r="P323" s="24">
        <v>9915.5000000000018</v>
      </c>
      <c r="Q323" s="28">
        <v>1</v>
      </c>
      <c r="R323" s="29">
        <v>0</v>
      </c>
      <c r="S323" s="29">
        <v>1.02</v>
      </c>
      <c r="T323" s="29">
        <v>0</v>
      </c>
      <c r="U323" s="30">
        <v>231.5</v>
      </c>
    </row>
    <row r="324" spans="2:21" x14ac:dyDescent="0.25">
      <c r="B324" s="31" t="s">
        <v>23</v>
      </c>
      <c r="C324" s="31">
        <v>61</v>
      </c>
      <c r="D324" s="22" t="s">
        <v>502</v>
      </c>
      <c r="E324" s="22" t="s">
        <v>251</v>
      </c>
      <c r="F324" s="22" t="s">
        <v>44</v>
      </c>
      <c r="G324" s="23">
        <v>0</v>
      </c>
      <c r="H324" s="24">
        <v>0.12000000000261934</v>
      </c>
      <c r="I324" s="24">
        <v>0</v>
      </c>
      <c r="J324" s="24">
        <v>0</v>
      </c>
      <c r="K324" s="24">
        <v>0</v>
      </c>
      <c r="L324" s="32">
        <v>0</v>
      </c>
      <c r="M324" s="33">
        <v>0</v>
      </c>
      <c r="N324" s="27">
        <v>0</v>
      </c>
      <c r="O324" s="24">
        <v>0.12000000000261934</v>
      </c>
      <c r="P324" s="24">
        <v>0.12000000000261934</v>
      </c>
      <c r="Q324" s="28">
        <v>0</v>
      </c>
      <c r="R324" s="29">
        <v>0</v>
      </c>
      <c r="S324" s="29">
        <v>0</v>
      </c>
      <c r="T324" s="29">
        <v>0</v>
      </c>
      <c r="U324" s="30">
        <v>0.12000000000261934</v>
      </c>
    </row>
    <row r="325" spans="2:21" x14ac:dyDescent="0.25">
      <c r="B325" s="31" t="s">
        <v>23</v>
      </c>
      <c r="C325" s="31">
        <v>61</v>
      </c>
      <c r="D325" s="22" t="s">
        <v>503</v>
      </c>
      <c r="E325" s="22" t="s">
        <v>251</v>
      </c>
      <c r="F325" s="22" t="s">
        <v>44</v>
      </c>
      <c r="G325" s="23">
        <v>0</v>
      </c>
      <c r="H325" s="24">
        <v>0.1000000000003638</v>
      </c>
      <c r="I325" s="24">
        <v>0</v>
      </c>
      <c r="J325" s="24">
        <v>0</v>
      </c>
      <c r="K325" s="24">
        <v>0</v>
      </c>
      <c r="L325" s="32">
        <v>0</v>
      </c>
      <c r="M325" s="33">
        <v>0</v>
      </c>
      <c r="N325" s="27">
        <v>0</v>
      </c>
      <c r="O325" s="24">
        <v>0.1000000000003638</v>
      </c>
      <c r="P325" s="24">
        <v>0.1000000000003638</v>
      </c>
      <c r="Q325" s="28">
        <v>0</v>
      </c>
      <c r="R325" s="29">
        <v>0</v>
      </c>
      <c r="S325" s="29">
        <v>0</v>
      </c>
      <c r="T325" s="29">
        <v>0</v>
      </c>
      <c r="U325" s="30">
        <v>0.1000000000003638</v>
      </c>
    </row>
    <row r="326" spans="2:21" x14ac:dyDescent="0.25">
      <c r="B326" s="31" t="s">
        <v>23</v>
      </c>
      <c r="C326" s="31">
        <v>61</v>
      </c>
      <c r="D326" s="22" t="s">
        <v>504</v>
      </c>
      <c r="E326" s="22" t="s">
        <v>251</v>
      </c>
      <c r="F326" s="22" t="s">
        <v>44</v>
      </c>
      <c r="G326" s="23">
        <v>0</v>
      </c>
      <c r="H326" s="24">
        <v>0.5</v>
      </c>
      <c r="I326" s="24">
        <v>0</v>
      </c>
      <c r="J326" s="24">
        <v>0</v>
      </c>
      <c r="K326" s="24">
        <v>0</v>
      </c>
      <c r="L326" s="32">
        <v>0</v>
      </c>
      <c r="M326" s="33">
        <v>0</v>
      </c>
      <c r="N326" s="27">
        <v>0</v>
      </c>
      <c r="O326" s="24">
        <v>0.5</v>
      </c>
      <c r="P326" s="24">
        <v>0.5</v>
      </c>
      <c r="Q326" s="28">
        <v>0</v>
      </c>
      <c r="R326" s="29">
        <v>0</v>
      </c>
      <c r="S326" s="29">
        <v>0</v>
      </c>
      <c r="T326" s="29">
        <v>0</v>
      </c>
      <c r="U326" s="30">
        <v>0.5</v>
      </c>
    </row>
    <row r="327" spans="2:21" x14ac:dyDescent="0.25">
      <c r="B327" s="31" t="s">
        <v>23</v>
      </c>
      <c r="C327" s="31">
        <v>61</v>
      </c>
      <c r="D327" s="22" t="s">
        <v>505</v>
      </c>
      <c r="E327" s="22" t="s">
        <v>251</v>
      </c>
      <c r="F327" s="22" t="s">
        <v>44</v>
      </c>
      <c r="G327" s="23">
        <v>0</v>
      </c>
      <c r="H327" s="24">
        <v>0.5</v>
      </c>
      <c r="I327" s="24">
        <v>0</v>
      </c>
      <c r="J327" s="24">
        <v>0</v>
      </c>
      <c r="K327" s="24">
        <v>0</v>
      </c>
      <c r="L327" s="32">
        <v>0</v>
      </c>
      <c r="M327" s="33">
        <v>0</v>
      </c>
      <c r="N327" s="27">
        <v>0</v>
      </c>
      <c r="O327" s="24">
        <v>0.5</v>
      </c>
      <c r="P327" s="24">
        <v>0.5</v>
      </c>
      <c r="Q327" s="28">
        <v>0</v>
      </c>
      <c r="R327" s="29">
        <v>0</v>
      </c>
      <c r="S327" s="29">
        <v>0</v>
      </c>
      <c r="T327" s="29">
        <v>0</v>
      </c>
      <c r="U327" s="30">
        <v>0.5</v>
      </c>
    </row>
    <row r="328" spans="2:21" x14ac:dyDescent="0.25">
      <c r="B328" s="31" t="s">
        <v>23</v>
      </c>
      <c r="C328" s="31">
        <v>61</v>
      </c>
      <c r="D328" s="22" t="s">
        <v>506</v>
      </c>
      <c r="E328" s="22" t="s">
        <v>251</v>
      </c>
      <c r="F328" s="22" t="s">
        <v>44</v>
      </c>
      <c r="G328" s="23">
        <v>0</v>
      </c>
      <c r="H328" s="24">
        <v>-0.39000000000032742</v>
      </c>
      <c r="I328" s="24">
        <v>0</v>
      </c>
      <c r="J328" s="24">
        <v>0</v>
      </c>
      <c r="K328" s="24">
        <v>0</v>
      </c>
      <c r="L328" s="32">
        <v>0</v>
      </c>
      <c r="M328" s="33">
        <v>0</v>
      </c>
      <c r="N328" s="27">
        <v>0</v>
      </c>
      <c r="O328" s="24">
        <v>-0.39000000000032742</v>
      </c>
      <c r="P328" s="24">
        <v>-0.39000000000032742</v>
      </c>
      <c r="Q328" s="28">
        <v>0</v>
      </c>
      <c r="R328" s="29">
        <v>0</v>
      </c>
      <c r="S328" s="29">
        <v>0</v>
      </c>
      <c r="T328" s="29">
        <v>0</v>
      </c>
      <c r="U328" s="30">
        <v>-0.39000000000032742</v>
      </c>
    </row>
    <row r="329" spans="2:21" x14ac:dyDescent="0.25">
      <c r="B329" s="31" t="s">
        <v>23</v>
      </c>
      <c r="C329" s="31">
        <v>61</v>
      </c>
      <c r="D329" s="22" t="s">
        <v>507</v>
      </c>
      <c r="E329" s="22" t="s">
        <v>508</v>
      </c>
      <c r="F329" s="22"/>
      <c r="G329" s="23">
        <v>465</v>
      </c>
      <c r="H329" s="24">
        <v>10376</v>
      </c>
      <c r="I329" s="24">
        <v>442.30799999999988</v>
      </c>
      <c r="J329" s="24">
        <v>8838</v>
      </c>
      <c r="K329" s="24">
        <v>0</v>
      </c>
      <c r="L329" s="32">
        <v>0</v>
      </c>
      <c r="M329" s="33">
        <v>0</v>
      </c>
      <c r="N329" s="27">
        <v>9869.6511999999966</v>
      </c>
      <c r="O329" s="24">
        <v>10376</v>
      </c>
      <c r="P329" s="24">
        <v>9291.4213624894892</v>
      </c>
      <c r="Q329" s="28">
        <v>0.95</v>
      </c>
      <c r="R329" s="29">
        <v>0</v>
      </c>
      <c r="S329" s="29">
        <v>1.1200000000000001</v>
      </c>
      <c r="T329" s="29">
        <v>0</v>
      </c>
      <c r="U329" s="30">
        <v>1538</v>
      </c>
    </row>
    <row r="330" spans="2:21" x14ac:dyDescent="0.25">
      <c r="B330" s="31" t="s">
        <v>23</v>
      </c>
      <c r="C330" s="31">
        <v>61</v>
      </c>
      <c r="D330" s="22" t="s">
        <v>509</v>
      </c>
      <c r="E330" s="22" t="s">
        <v>510</v>
      </c>
      <c r="F330" s="22"/>
      <c r="G330" s="23">
        <v>114</v>
      </c>
      <c r="H330" s="24">
        <v>2542</v>
      </c>
      <c r="I330" s="24">
        <v>111.72000000000001</v>
      </c>
      <c r="J330" s="24">
        <v>2105</v>
      </c>
      <c r="K330" s="24">
        <v>0</v>
      </c>
      <c r="L330" s="32">
        <v>0</v>
      </c>
      <c r="M330" s="33">
        <v>0</v>
      </c>
      <c r="N330" s="27">
        <v>2491.1600000000003</v>
      </c>
      <c r="O330" s="24">
        <v>2542</v>
      </c>
      <c r="P330" s="24">
        <v>2147.9591836734694</v>
      </c>
      <c r="Q330" s="28">
        <v>0.98</v>
      </c>
      <c r="R330" s="29">
        <v>0</v>
      </c>
      <c r="S330" s="29">
        <v>1.18</v>
      </c>
      <c r="T330" s="29">
        <v>0</v>
      </c>
      <c r="U330" s="30">
        <v>437</v>
      </c>
    </row>
    <row r="331" spans="2:21" x14ac:dyDescent="0.25">
      <c r="B331" s="31" t="s">
        <v>23</v>
      </c>
      <c r="C331" s="31">
        <v>61</v>
      </c>
      <c r="D331" s="22" t="s">
        <v>511</v>
      </c>
      <c r="E331" s="22" t="s">
        <v>512</v>
      </c>
      <c r="F331" s="22"/>
      <c r="G331" s="23">
        <v>327</v>
      </c>
      <c r="H331" s="24">
        <v>7292</v>
      </c>
      <c r="I331" s="24">
        <v>327</v>
      </c>
      <c r="J331" s="24">
        <v>5296</v>
      </c>
      <c r="K331" s="24">
        <v>0</v>
      </c>
      <c r="L331" s="32">
        <v>0</v>
      </c>
      <c r="M331" s="33">
        <v>0</v>
      </c>
      <c r="N331" s="27">
        <v>7292</v>
      </c>
      <c r="O331" s="24">
        <v>7292</v>
      </c>
      <c r="P331" s="24">
        <v>5296</v>
      </c>
      <c r="Q331" s="28">
        <v>1</v>
      </c>
      <c r="R331" s="29">
        <v>0</v>
      </c>
      <c r="S331" s="29">
        <v>1.38</v>
      </c>
      <c r="T331" s="29">
        <v>0</v>
      </c>
      <c r="U331" s="30">
        <v>1996</v>
      </c>
    </row>
    <row r="332" spans="2:21" x14ac:dyDescent="0.25">
      <c r="B332" s="31" t="s">
        <v>23</v>
      </c>
      <c r="C332" s="31">
        <v>61</v>
      </c>
      <c r="D332" s="22" t="s">
        <v>513</v>
      </c>
      <c r="E332" s="22" t="s">
        <v>514</v>
      </c>
      <c r="F332" s="22"/>
      <c r="G332" s="23">
        <v>709</v>
      </c>
      <c r="H332" s="24">
        <v>15811</v>
      </c>
      <c r="I332" s="24">
        <v>0</v>
      </c>
      <c r="J332" s="24">
        <v>60</v>
      </c>
      <c r="K332" s="24">
        <v>0</v>
      </c>
      <c r="L332" s="32">
        <v>0</v>
      </c>
      <c r="M332" s="33">
        <v>0</v>
      </c>
      <c r="N332" s="27">
        <v>0</v>
      </c>
      <c r="O332" s="24">
        <v>15811</v>
      </c>
      <c r="P332" s="24">
        <v>15811</v>
      </c>
      <c r="Q332" s="28">
        <v>0</v>
      </c>
      <c r="R332" s="29">
        <v>0</v>
      </c>
      <c r="S332" s="29">
        <v>0</v>
      </c>
      <c r="T332" s="29">
        <v>0</v>
      </c>
      <c r="U332" s="30">
        <v>15751</v>
      </c>
    </row>
    <row r="333" spans="2:21" x14ac:dyDescent="0.25">
      <c r="B333" s="31" t="s">
        <v>23</v>
      </c>
      <c r="C333" s="31">
        <v>61</v>
      </c>
      <c r="D333" s="22" t="s">
        <v>515</v>
      </c>
      <c r="E333" s="22" t="s">
        <v>516</v>
      </c>
      <c r="F333" s="22" t="s">
        <v>132</v>
      </c>
      <c r="G333" s="23">
        <v>48</v>
      </c>
      <c r="H333" s="24">
        <v>1070</v>
      </c>
      <c r="I333" s="24">
        <v>0</v>
      </c>
      <c r="J333" s="24">
        <v>50</v>
      </c>
      <c r="K333" s="24">
        <v>0</v>
      </c>
      <c r="L333" s="32">
        <v>50</v>
      </c>
      <c r="M333" s="33">
        <v>0</v>
      </c>
      <c r="N333" s="27">
        <v>0</v>
      </c>
      <c r="O333" s="24">
        <v>1070</v>
      </c>
      <c r="P333" s="24">
        <v>1070</v>
      </c>
      <c r="Q333" s="28">
        <v>0</v>
      </c>
      <c r="R333" s="29">
        <v>0</v>
      </c>
      <c r="S333" s="29">
        <v>0</v>
      </c>
      <c r="T333" s="29">
        <v>50</v>
      </c>
      <c r="U333" s="30">
        <v>970</v>
      </c>
    </row>
    <row r="334" spans="2:21" x14ac:dyDescent="0.25">
      <c r="B334" s="31" t="s">
        <v>23</v>
      </c>
      <c r="C334" s="31">
        <v>61</v>
      </c>
      <c r="D334" s="22" t="s">
        <v>517</v>
      </c>
      <c r="E334" s="22" t="s">
        <v>518</v>
      </c>
      <c r="F334" s="22" t="s">
        <v>33</v>
      </c>
      <c r="G334" s="23">
        <v>648</v>
      </c>
      <c r="H334" s="24">
        <v>14451</v>
      </c>
      <c r="I334" s="24">
        <v>95.903999999999996</v>
      </c>
      <c r="J334" s="24">
        <v>2048.5</v>
      </c>
      <c r="K334" s="24">
        <v>38.101999999999997</v>
      </c>
      <c r="L334" s="32">
        <v>778</v>
      </c>
      <c r="M334" s="33">
        <v>849.70987962962954</v>
      </c>
      <c r="N334" s="27">
        <v>2138.748</v>
      </c>
      <c r="O334" s="24">
        <v>14451</v>
      </c>
      <c r="P334" s="24">
        <v>14451</v>
      </c>
      <c r="Q334" s="28">
        <v>0.15</v>
      </c>
      <c r="R334" s="29">
        <v>1.0900000000000001</v>
      </c>
      <c r="S334" s="29">
        <v>1.04</v>
      </c>
      <c r="T334" s="29">
        <v>781</v>
      </c>
      <c r="U334" s="30">
        <v>11621.5</v>
      </c>
    </row>
    <row r="335" spans="2:21" x14ac:dyDescent="0.25">
      <c r="B335" s="31" t="s">
        <v>23</v>
      </c>
      <c r="C335" s="31">
        <v>61</v>
      </c>
      <c r="D335" s="22" t="s">
        <v>519</v>
      </c>
      <c r="E335" s="22" t="s">
        <v>520</v>
      </c>
      <c r="F335" s="22"/>
      <c r="G335" s="23">
        <v>132</v>
      </c>
      <c r="H335" s="24">
        <v>2944</v>
      </c>
      <c r="I335" s="24">
        <v>0</v>
      </c>
      <c r="J335" s="24">
        <v>0</v>
      </c>
      <c r="K335" s="24">
        <v>0</v>
      </c>
      <c r="L335" s="32">
        <v>0</v>
      </c>
      <c r="M335" s="33">
        <v>0</v>
      </c>
      <c r="N335" s="27">
        <v>0</v>
      </c>
      <c r="O335" s="24">
        <v>2944</v>
      </c>
      <c r="P335" s="24">
        <v>2944</v>
      </c>
      <c r="Q335" s="28">
        <v>0</v>
      </c>
      <c r="R335" s="29">
        <v>0</v>
      </c>
      <c r="S335" s="29">
        <v>0</v>
      </c>
      <c r="T335" s="29">
        <v>0</v>
      </c>
      <c r="U335" s="30">
        <v>2944</v>
      </c>
    </row>
    <row r="336" spans="2:21" x14ac:dyDescent="0.25">
      <c r="B336" s="31" t="s">
        <v>23</v>
      </c>
      <c r="C336" s="31">
        <v>61</v>
      </c>
      <c r="D336" s="22" t="s">
        <v>521</v>
      </c>
      <c r="E336" s="22" t="s">
        <v>522</v>
      </c>
      <c r="F336" s="22"/>
      <c r="G336" s="23">
        <v>39</v>
      </c>
      <c r="H336" s="24">
        <v>870</v>
      </c>
      <c r="I336" s="24">
        <v>0</v>
      </c>
      <c r="J336" s="24">
        <v>0</v>
      </c>
      <c r="K336" s="24">
        <v>0</v>
      </c>
      <c r="L336" s="32">
        <v>0</v>
      </c>
      <c r="M336" s="33">
        <v>0</v>
      </c>
      <c r="N336" s="27">
        <v>0</v>
      </c>
      <c r="O336" s="24">
        <v>870</v>
      </c>
      <c r="P336" s="24">
        <v>870</v>
      </c>
      <c r="Q336" s="28">
        <v>0</v>
      </c>
      <c r="R336" s="29">
        <v>0</v>
      </c>
      <c r="S336" s="29">
        <v>0</v>
      </c>
      <c r="T336" s="29">
        <v>0</v>
      </c>
      <c r="U336" s="30">
        <v>870</v>
      </c>
    </row>
    <row r="337" spans="2:21" x14ac:dyDescent="0.25">
      <c r="B337" s="31" t="s">
        <v>23</v>
      </c>
      <c r="C337" s="31">
        <v>61</v>
      </c>
      <c r="D337" s="22" t="s">
        <v>523</v>
      </c>
      <c r="E337" s="22" t="s">
        <v>524</v>
      </c>
      <c r="F337" s="22"/>
      <c r="G337" s="23">
        <v>530</v>
      </c>
      <c r="H337" s="24">
        <v>11820</v>
      </c>
      <c r="I337" s="24">
        <v>0</v>
      </c>
      <c r="J337" s="24">
        <v>0</v>
      </c>
      <c r="K337" s="24">
        <v>0</v>
      </c>
      <c r="L337" s="32">
        <v>0</v>
      </c>
      <c r="M337" s="33">
        <v>0</v>
      </c>
      <c r="N337" s="27">
        <v>0</v>
      </c>
      <c r="O337" s="24">
        <v>11820</v>
      </c>
      <c r="P337" s="24">
        <v>11820</v>
      </c>
      <c r="Q337" s="28">
        <v>0</v>
      </c>
      <c r="R337" s="29">
        <v>0</v>
      </c>
      <c r="S337" s="29">
        <v>0</v>
      </c>
      <c r="T337" s="29">
        <v>0</v>
      </c>
      <c r="U337" s="30">
        <v>11820</v>
      </c>
    </row>
    <row r="338" spans="2:21" x14ac:dyDescent="0.25">
      <c r="B338" s="31" t="s">
        <v>23</v>
      </c>
      <c r="C338" s="31">
        <v>61</v>
      </c>
      <c r="D338" s="22" t="s">
        <v>525</v>
      </c>
      <c r="E338" s="22" t="s">
        <v>526</v>
      </c>
      <c r="F338" s="22"/>
      <c r="G338" s="23">
        <v>117</v>
      </c>
      <c r="H338" s="24">
        <v>2623</v>
      </c>
      <c r="I338" s="24">
        <v>0</v>
      </c>
      <c r="J338" s="24">
        <v>0</v>
      </c>
      <c r="K338" s="24">
        <v>0</v>
      </c>
      <c r="L338" s="32">
        <v>0</v>
      </c>
      <c r="M338" s="33">
        <v>0</v>
      </c>
      <c r="N338" s="27">
        <v>0</v>
      </c>
      <c r="O338" s="24">
        <v>2623</v>
      </c>
      <c r="P338" s="24">
        <v>2623</v>
      </c>
      <c r="Q338" s="28">
        <v>0</v>
      </c>
      <c r="R338" s="29">
        <v>0</v>
      </c>
      <c r="S338" s="29">
        <v>0</v>
      </c>
      <c r="T338" s="29">
        <v>0</v>
      </c>
      <c r="U338" s="30">
        <v>2623</v>
      </c>
    </row>
    <row r="339" spans="2:21" x14ac:dyDescent="0.25">
      <c r="B339" s="31" t="s">
        <v>23</v>
      </c>
      <c r="C339" s="31">
        <v>61</v>
      </c>
      <c r="D339" s="22" t="s">
        <v>527</v>
      </c>
      <c r="E339" s="22" t="s">
        <v>528</v>
      </c>
      <c r="F339" s="22" t="s">
        <v>33</v>
      </c>
      <c r="G339" s="23">
        <v>101</v>
      </c>
      <c r="H339" s="24">
        <v>2252</v>
      </c>
      <c r="I339" s="24">
        <v>58.58</v>
      </c>
      <c r="J339" s="24">
        <v>1148.5</v>
      </c>
      <c r="K339" s="24">
        <v>14.898</v>
      </c>
      <c r="L339" s="32">
        <v>289</v>
      </c>
      <c r="M339" s="33">
        <v>332.18114851485149</v>
      </c>
      <c r="N339" s="27">
        <v>1306.1599999999999</v>
      </c>
      <c r="O339" s="24">
        <v>2252</v>
      </c>
      <c r="P339" s="24">
        <v>1980.1724137931035</v>
      </c>
      <c r="Q339" s="28">
        <v>0.57999999999999996</v>
      </c>
      <c r="R339" s="29">
        <v>1.1499999999999999</v>
      </c>
      <c r="S339" s="29">
        <v>1.1399999999999999</v>
      </c>
      <c r="T339" s="29">
        <v>289</v>
      </c>
      <c r="U339" s="30">
        <v>814.5</v>
      </c>
    </row>
    <row r="340" spans="2:21" x14ac:dyDescent="0.25">
      <c r="B340" s="31" t="s">
        <v>23</v>
      </c>
      <c r="C340" s="31">
        <v>61</v>
      </c>
      <c r="D340" s="22" t="s">
        <v>529</v>
      </c>
      <c r="E340" s="22" t="s">
        <v>530</v>
      </c>
      <c r="F340" s="22"/>
      <c r="G340" s="23">
        <v>544</v>
      </c>
      <c r="H340" s="24">
        <v>12135</v>
      </c>
      <c r="I340" s="24">
        <v>337.28</v>
      </c>
      <c r="J340" s="24">
        <v>6975</v>
      </c>
      <c r="K340" s="24">
        <v>0</v>
      </c>
      <c r="L340" s="32">
        <v>0</v>
      </c>
      <c r="M340" s="33">
        <v>0</v>
      </c>
      <c r="N340" s="27">
        <v>7523.7</v>
      </c>
      <c r="O340" s="24">
        <v>12135</v>
      </c>
      <c r="P340" s="24">
        <v>11250</v>
      </c>
      <c r="Q340" s="28">
        <v>0.62</v>
      </c>
      <c r="R340" s="29">
        <v>0</v>
      </c>
      <c r="S340" s="29">
        <v>1.08</v>
      </c>
      <c r="T340" s="29">
        <v>0</v>
      </c>
      <c r="U340" s="30">
        <v>5160</v>
      </c>
    </row>
    <row r="341" spans="2:21" x14ac:dyDescent="0.25">
      <c r="B341" s="31" t="s">
        <v>23</v>
      </c>
      <c r="C341" s="31">
        <v>61</v>
      </c>
      <c r="D341" s="22" t="s">
        <v>531</v>
      </c>
      <c r="E341" s="22" t="s">
        <v>532</v>
      </c>
      <c r="F341" s="22"/>
      <c r="G341" s="23">
        <v>337</v>
      </c>
      <c r="H341" s="24">
        <v>7516</v>
      </c>
      <c r="I341" s="24">
        <v>0</v>
      </c>
      <c r="J341" s="24">
        <v>0</v>
      </c>
      <c r="K341" s="24">
        <v>0</v>
      </c>
      <c r="L341" s="32">
        <v>0</v>
      </c>
      <c r="M341" s="33">
        <v>0</v>
      </c>
      <c r="N341" s="27">
        <v>0</v>
      </c>
      <c r="O341" s="24">
        <v>7516</v>
      </c>
      <c r="P341" s="24">
        <v>7516</v>
      </c>
      <c r="Q341" s="28">
        <v>0</v>
      </c>
      <c r="R341" s="29">
        <v>0</v>
      </c>
      <c r="S341" s="29">
        <v>0</v>
      </c>
      <c r="T341" s="29">
        <v>0</v>
      </c>
      <c r="U341" s="30">
        <v>7516</v>
      </c>
    </row>
    <row r="342" spans="2:21" x14ac:dyDescent="0.25">
      <c r="B342" s="31" t="s">
        <v>23</v>
      </c>
      <c r="C342" s="31">
        <v>61</v>
      </c>
      <c r="D342" s="22" t="s">
        <v>533</v>
      </c>
      <c r="E342" s="22" t="s">
        <v>534</v>
      </c>
      <c r="F342" s="22"/>
      <c r="G342" s="23">
        <v>138</v>
      </c>
      <c r="H342" s="24">
        <v>3078</v>
      </c>
      <c r="I342" s="24">
        <v>0</v>
      </c>
      <c r="J342" s="24">
        <v>0</v>
      </c>
      <c r="K342" s="24">
        <v>0</v>
      </c>
      <c r="L342" s="32">
        <v>0</v>
      </c>
      <c r="M342" s="33">
        <v>0</v>
      </c>
      <c r="N342" s="27">
        <v>0</v>
      </c>
      <c r="O342" s="24">
        <v>3078</v>
      </c>
      <c r="P342" s="24">
        <v>3078</v>
      </c>
      <c r="Q342" s="28">
        <v>0</v>
      </c>
      <c r="R342" s="29">
        <v>0</v>
      </c>
      <c r="S342" s="29">
        <v>0</v>
      </c>
      <c r="T342" s="29">
        <v>0</v>
      </c>
      <c r="U342" s="30">
        <v>3078</v>
      </c>
    </row>
    <row r="343" spans="2:21" x14ac:dyDescent="0.25">
      <c r="B343" s="31" t="s">
        <v>23</v>
      </c>
      <c r="C343" s="31">
        <v>61</v>
      </c>
      <c r="D343" s="22" t="s">
        <v>535</v>
      </c>
      <c r="E343" s="22" t="s">
        <v>536</v>
      </c>
      <c r="F343" s="22" t="s">
        <v>140</v>
      </c>
      <c r="G343" s="23">
        <v>121</v>
      </c>
      <c r="H343" s="24">
        <v>2698</v>
      </c>
      <c r="I343" s="24">
        <v>121</v>
      </c>
      <c r="J343" s="24">
        <v>2821</v>
      </c>
      <c r="K343" s="24">
        <v>0</v>
      </c>
      <c r="L343" s="32">
        <v>0</v>
      </c>
      <c r="M343" s="33">
        <v>0</v>
      </c>
      <c r="N343" s="27">
        <v>2698</v>
      </c>
      <c r="O343" s="24">
        <v>2698</v>
      </c>
      <c r="P343" s="24">
        <v>2821</v>
      </c>
      <c r="Q343" s="28">
        <v>1</v>
      </c>
      <c r="R343" s="29">
        <v>0</v>
      </c>
      <c r="S343" s="29">
        <v>0.96</v>
      </c>
      <c r="T343" s="29">
        <v>0</v>
      </c>
      <c r="U343" s="30">
        <v>-123</v>
      </c>
    </row>
    <row r="344" spans="2:21" x14ac:dyDescent="0.25">
      <c r="B344" s="31" t="s">
        <v>23</v>
      </c>
      <c r="C344" s="22">
        <v>62</v>
      </c>
      <c r="D344" s="22" t="s">
        <v>569</v>
      </c>
      <c r="E344" s="22" t="s">
        <v>570</v>
      </c>
      <c r="F344" s="22" t="s">
        <v>44</v>
      </c>
      <c r="G344" s="23">
        <v>0</v>
      </c>
      <c r="H344" s="24">
        <v>0</v>
      </c>
      <c r="I344" s="24">
        <v>0</v>
      </c>
      <c r="J344" s="24">
        <v>0</v>
      </c>
      <c r="K344" s="24">
        <v>0</v>
      </c>
      <c r="L344" s="32">
        <v>0</v>
      </c>
      <c r="M344" s="33">
        <v>0</v>
      </c>
      <c r="N344" s="27">
        <v>0</v>
      </c>
      <c r="O344" s="24">
        <v>0</v>
      </c>
      <c r="P344" s="24">
        <v>0</v>
      </c>
      <c r="Q344" s="28">
        <v>0</v>
      </c>
      <c r="R344" s="29">
        <v>0</v>
      </c>
      <c r="S344" s="29">
        <v>0</v>
      </c>
      <c r="T344" s="29">
        <v>0</v>
      </c>
      <c r="U344" s="30">
        <v>0</v>
      </c>
    </row>
    <row r="345" spans="2:21" x14ac:dyDescent="0.25">
      <c r="B345" s="31" t="s">
        <v>23</v>
      </c>
      <c r="C345" s="31">
        <v>62</v>
      </c>
      <c r="D345" s="22" t="s">
        <v>571</v>
      </c>
      <c r="E345" s="22" t="s">
        <v>572</v>
      </c>
      <c r="F345" s="22"/>
      <c r="G345" s="23">
        <v>12885</v>
      </c>
      <c r="H345" s="24">
        <v>3633</v>
      </c>
      <c r="I345" s="24">
        <v>12885</v>
      </c>
      <c r="J345" s="24">
        <v>1717</v>
      </c>
      <c r="K345" s="24">
        <v>0</v>
      </c>
      <c r="L345" s="32">
        <v>0</v>
      </c>
      <c r="M345" s="33">
        <v>0</v>
      </c>
      <c r="N345" s="27">
        <v>3633</v>
      </c>
      <c r="O345" s="24">
        <v>3633</v>
      </c>
      <c r="P345" s="24">
        <v>1717</v>
      </c>
      <c r="Q345" s="28">
        <v>1</v>
      </c>
      <c r="R345" s="29">
        <v>0</v>
      </c>
      <c r="S345" s="29">
        <v>2.12</v>
      </c>
      <c r="T345" s="29">
        <v>0</v>
      </c>
      <c r="U345" s="30">
        <v>1916</v>
      </c>
    </row>
    <row r="346" spans="2:21" x14ac:dyDescent="0.25">
      <c r="B346" s="31" t="s">
        <v>23</v>
      </c>
      <c r="C346" s="31">
        <v>62</v>
      </c>
      <c r="D346" s="22" t="s">
        <v>573</v>
      </c>
      <c r="E346" s="22" t="s">
        <v>574</v>
      </c>
      <c r="F346" s="22"/>
      <c r="G346" s="23">
        <v>9983</v>
      </c>
      <c r="H346" s="24">
        <v>2815</v>
      </c>
      <c r="I346" s="24">
        <v>9983</v>
      </c>
      <c r="J346" s="24">
        <v>1026</v>
      </c>
      <c r="K346" s="24">
        <v>0</v>
      </c>
      <c r="L346" s="32">
        <v>0</v>
      </c>
      <c r="M346" s="33">
        <v>0</v>
      </c>
      <c r="N346" s="27">
        <v>2815</v>
      </c>
      <c r="O346" s="24">
        <v>2815</v>
      </c>
      <c r="P346" s="24">
        <v>1026</v>
      </c>
      <c r="Q346" s="28">
        <v>1</v>
      </c>
      <c r="R346" s="29">
        <v>0</v>
      </c>
      <c r="S346" s="29">
        <v>2.74</v>
      </c>
      <c r="T346" s="29">
        <v>0</v>
      </c>
      <c r="U346" s="30">
        <v>1789</v>
      </c>
    </row>
    <row r="347" spans="2:21" x14ac:dyDescent="0.25">
      <c r="B347" s="31" t="s">
        <v>23</v>
      </c>
      <c r="C347" s="31">
        <v>62</v>
      </c>
      <c r="D347" s="22" t="s">
        <v>575</v>
      </c>
      <c r="E347" s="22" t="s">
        <v>576</v>
      </c>
      <c r="F347" s="22"/>
      <c r="G347" s="23">
        <v>9903</v>
      </c>
      <c r="H347" s="24">
        <v>2792</v>
      </c>
      <c r="I347" s="24">
        <v>9903</v>
      </c>
      <c r="J347" s="24">
        <v>1072</v>
      </c>
      <c r="K347" s="24">
        <v>0</v>
      </c>
      <c r="L347" s="32">
        <v>0</v>
      </c>
      <c r="M347" s="33">
        <v>0</v>
      </c>
      <c r="N347" s="27">
        <v>2792</v>
      </c>
      <c r="O347" s="24">
        <v>2792</v>
      </c>
      <c r="P347" s="24">
        <v>1072</v>
      </c>
      <c r="Q347" s="28">
        <v>1</v>
      </c>
      <c r="R347" s="29">
        <v>0</v>
      </c>
      <c r="S347" s="29">
        <v>2.6</v>
      </c>
      <c r="T347" s="29">
        <v>0</v>
      </c>
      <c r="U347" s="30">
        <v>1720</v>
      </c>
    </row>
    <row r="348" spans="2:21" x14ac:dyDescent="0.25">
      <c r="B348" s="31" t="s">
        <v>23</v>
      </c>
      <c r="C348" s="31">
        <v>62</v>
      </c>
      <c r="D348" s="22" t="s">
        <v>577</v>
      </c>
      <c r="E348" s="22" t="s">
        <v>578</v>
      </c>
      <c r="F348" s="22" t="s">
        <v>33</v>
      </c>
      <c r="G348" s="23">
        <v>108252</v>
      </c>
      <c r="H348" s="24">
        <v>30675</v>
      </c>
      <c r="I348" s="24">
        <v>76296.009999999995</v>
      </c>
      <c r="J348" s="24">
        <v>17445.5</v>
      </c>
      <c r="K348" s="24">
        <v>2576.3980000000001</v>
      </c>
      <c r="L348" s="32">
        <v>648</v>
      </c>
      <c r="M348" s="33">
        <v>730.0651133466356</v>
      </c>
      <c r="N348" s="27">
        <v>21619.740113346634</v>
      </c>
      <c r="O348" s="24">
        <v>30675</v>
      </c>
      <c r="P348" s="24">
        <v>24752.411902011656</v>
      </c>
      <c r="Q348" s="28">
        <v>0.7</v>
      </c>
      <c r="R348" s="29">
        <v>1.1299999999999999</v>
      </c>
      <c r="S348" s="29">
        <v>1.24</v>
      </c>
      <c r="T348" s="29">
        <v>649.5</v>
      </c>
      <c r="U348" s="30">
        <v>12580</v>
      </c>
    </row>
    <row r="349" spans="2:21" x14ac:dyDescent="0.25">
      <c r="B349" s="31" t="s">
        <v>23</v>
      </c>
      <c r="C349" s="31">
        <v>62</v>
      </c>
      <c r="D349" s="22" t="s">
        <v>579</v>
      </c>
      <c r="E349" s="22" t="s">
        <v>580</v>
      </c>
      <c r="F349" s="22"/>
      <c r="G349" s="23">
        <v>23503</v>
      </c>
      <c r="H349" s="24">
        <v>6626</v>
      </c>
      <c r="I349" s="24">
        <v>23503.000000000004</v>
      </c>
      <c r="J349" s="24">
        <v>3032.5</v>
      </c>
      <c r="K349" s="24">
        <v>0</v>
      </c>
      <c r="L349" s="32">
        <v>0</v>
      </c>
      <c r="M349" s="33">
        <v>0</v>
      </c>
      <c r="N349" s="27">
        <v>6626.0000000000018</v>
      </c>
      <c r="O349" s="24">
        <v>6626</v>
      </c>
      <c r="P349" s="24">
        <v>3032.4999999999995</v>
      </c>
      <c r="Q349" s="28">
        <v>1</v>
      </c>
      <c r="R349" s="29">
        <v>0</v>
      </c>
      <c r="S349" s="29">
        <v>2.1800000000000002</v>
      </c>
      <c r="T349" s="29">
        <v>0</v>
      </c>
      <c r="U349" s="30">
        <v>3593.5</v>
      </c>
    </row>
    <row r="350" spans="2:21" x14ac:dyDescent="0.25">
      <c r="B350" s="31" t="s">
        <v>23</v>
      </c>
      <c r="C350" s="31">
        <v>62</v>
      </c>
      <c r="D350" s="22" t="s">
        <v>581</v>
      </c>
      <c r="E350" s="22" t="s">
        <v>582</v>
      </c>
      <c r="F350" s="22"/>
      <c r="G350" s="23">
        <v>25866</v>
      </c>
      <c r="H350" s="24">
        <v>7294</v>
      </c>
      <c r="I350" s="24">
        <v>24642.538000000004</v>
      </c>
      <c r="J350" s="24">
        <v>5324</v>
      </c>
      <c r="K350" s="24">
        <v>0</v>
      </c>
      <c r="L350" s="32">
        <v>0</v>
      </c>
      <c r="M350" s="33">
        <v>0</v>
      </c>
      <c r="N350" s="27">
        <v>6948.9937436016398</v>
      </c>
      <c r="O350" s="24">
        <v>7294</v>
      </c>
      <c r="P350" s="24">
        <v>5588.3279555052313</v>
      </c>
      <c r="Q350" s="28">
        <v>0.95</v>
      </c>
      <c r="R350" s="29">
        <v>0</v>
      </c>
      <c r="S350" s="29">
        <v>1.31</v>
      </c>
      <c r="T350" s="29">
        <v>0</v>
      </c>
      <c r="U350" s="30">
        <v>1970</v>
      </c>
    </row>
    <row r="351" spans="2:21" x14ac:dyDescent="0.25">
      <c r="B351" s="31" t="s">
        <v>23</v>
      </c>
      <c r="C351" s="31">
        <v>62</v>
      </c>
      <c r="D351" s="22" t="s">
        <v>583</v>
      </c>
      <c r="E351" s="22" t="s">
        <v>584</v>
      </c>
      <c r="F351" s="22"/>
      <c r="G351" s="23">
        <v>6162</v>
      </c>
      <c r="H351" s="24">
        <v>1738</v>
      </c>
      <c r="I351" s="24">
        <v>6162.0000000000009</v>
      </c>
      <c r="J351" s="24">
        <v>1684</v>
      </c>
      <c r="K351" s="24">
        <v>0</v>
      </c>
      <c r="L351" s="32">
        <v>0</v>
      </c>
      <c r="M351" s="33">
        <v>0</v>
      </c>
      <c r="N351" s="27">
        <v>1738.0000000000005</v>
      </c>
      <c r="O351" s="24">
        <v>1738</v>
      </c>
      <c r="P351" s="24">
        <v>1683.9999999999995</v>
      </c>
      <c r="Q351" s="28">
        <v>1</v>
      </c>
      <c r="R351" s="29">
        <v>0</v>
      </c>
      <c r="S351" s="29">
        <v>1.03</v>
      </c>
      <c r="T351" s="29">
        <v>0</v>
      </c>
      <c r="U351" s="30">
        <v>54</v>
      </c>
    </row>
    <row r="352" spans="2:21" x14ac:dyDescent="0.25">
      <c r="B352" s="31" t="s">
        <v>23</v>
      </c>
      <c r="C352" s="31">
        <v>62</v>
      </c>
      <c r="D352" s="22" t="s">
        <v>585</v>
      </c>
      <c r="E352" s="22" t="s">
        <v>586</v>
      </c>
      <c r="F352" s="22" t="s">
        <v>132</v>
      </c>
      <c r="G352" s="23">
        <v>13810</v>
      </c>
      <c r="H352" s="24">
        <v>3894</v>
      </c>
      <c r="I352" s="24">
        <v>13119.499999999998</v>
      </c>
      <c r="J352" s="24">
        <v>2145</v>
      </c>
      <c r="K352" s="24">
        <v>0</v>
      </c>
      <c r="L352" s="32">
        <v>48</v>
      </c>
      <c r="M352" s="33">
        <v>0</v>
      </c>
      <c r="N352" s="27">
        <v>3699.2999999999993</v>
      </c>
      <c r="O352" s="24">
        <v>3894</v>
      </c>
      <c r="P352" s="24">
        <v>2257.8947368421054</v>
      </c>
      <c r="Q352" s="28">
        <v>0.95</v>
      </c>
      <c r="R352" s="29">
        <v>0</v>
      </c>
      <c r="S352" s="29">
        <v>1.72</v>
      </c>
      <c r="T352" s="29">
        <v>48.5</v>
      </c>
      <c r="U352" s="30">
        <v>1700.5</v>
      </c>
    </row>
    <row r="353" spans="2:21" x14ac:dyDescent="0.25">
      <c r="B353" s="31" t="s">
        <v>23</v>
      </c>
      <c r="C353" s="31">
        <v>62</v>
      </c>
      <c r="D353" s="22" t="s">
        <v>587</v>
      </c>
      <c r="E353" s="22" t="s">
        <v>588</v>
      </c>
      <c r="F353" s="22"/>
      <c r="G353" s="23">
        <v>41672</v>
      </c>
      <c r="H353" s="24">
        <v>11751</v>
      </c>
      <c r="I353" s="24">
        <v>0</v>
      </c>
      <c r="J353" s="24">
        <v>0</v>
      </c>
      <c r="K353" s="24">
        <v>0</v>
      </c>
      <c r="L353" s="32">
        <v>0</v>
      </c>
      <c r="M353" s="33">
        <v>0</v>
      </c>
      <c r="N353" s="27">
        <v>0</v>
      </c>
      <c r="O353" s="24">
        <v>11751</v>
      </c>
      <c r="P353" s="24">
        <v>11751</v>
      </c>
      <c r="Q353" s="28">
        <v>0</v>
      </c>
      <c r="R353" s="29">
        <v>0</v>
      </c>
      <c r="S353" s="29">
        <v>0</v>
      </c>
      <c r="T353" s="29">
        <v>0</v>
      </c>
      <c r="U353" s="30">
        <v>11751</v>
      </c>
    </row>
    <row r="354" spans="2:21" x14ac:dyDescent="0.25">
      <c r="B354" s="31" t="s">
        <v>23</v>
      </c>
      <c r="C354" s="31">
        <v>62</v>
      </c>
      <c r="D354" s="22" t="s">
        <v>589</v>
      </c>
      <c r="E354" s="22" t="s">
        <v>590</v>
      </c>
      <c r="F354" s="22" t="s">
        <v>33</v>
      </c>
      <c r="G354" s="23">
        <v>5658</v>
      </c>
      <c r="H354" s="24">
        <v>1595</v>
      </c>
      <c r="I354" s="24">
        <v>1753.98</v>
      </c>
      <c r="J354" s="24">
        <v>415</v>
      </c>
      <c r="K354" s="24">
        <v>1527.66</v>
      </c>
      <c r="L354" s="32">
        <v>374</v>
      </c>
      <c r="M354" s="33">
        <v>430.65000000000003</v>
      </c>
      <c r="N354" s="27">
        <v>494.45</v>
      </c>
      <c r="O354" s="24">
        <v>1595</v>
      </c>
      <c r="P354" s="24">
        <v>1338.7096774193549</v>
      </c>
      <c r="Q354" s="28">
        <v>0.31</v>
      </c>
      <c r="R354" s="29">
        <v>1.1499999999999999</v>
      </c>
      <c r="S354" s="29">
        <v>1.19</v>
      </c>
      <c r="T354" s="29">
        <v>375</v>
      </c>
      <c r="U354" s="30">
        <v>805</v>
      </c>
    </row>
    <row r="355" spans="2:21" x14ac:dyDescent="0.25">
      <c r="B355" s="31" t="s">
        <v>23</v>
      </c>
      <c r="C355" s="31">
        <v>62</v>
      </c>
      <c r="D355" s="22" t="s">
        <v>591</v>
      </c>
      <c r="E355" s="22" t="s">
        <v>592</v>
      </c>
      <c r="F355" s="22" t="s">
        <v>33</v>
      </c>
      <c r="G355" s="23">
        <v>43263</v>
      </c>
      <c r="H355" s="24">
        <v>12199</v>
      </c>
      <c r="I355" s="24">
        <v>8933.8089999999993</v>
      </c>
      <c r="J355" s="24">
        <v>1842</v>
      </c>
      <c r="K355" s="24">
        <v>627.31299999999999</v>
      </c>
      <c r="L355" s="32">
        <v>171</v>
      </c>
      <c r="M355" s="33">
        <v>176.88535901347572</v>
      </c>
      <c r="N355" s="27">
        <v>2519.0933590134755</v>
      </c>
      <c r="O355" s="24">
        <v>12199</v>
      </c>
      <c r="P355" s="24">
        <v>12199</v>
      </c>
      <c r="Q355" s="28">
        <v>0.21</v>
      </c>
      <c r="R355" s="29">
        <v>1.03</v>
      </c>
      <c r="S355" s="29">
        <v>1.37</v>
      </c>
      <c r="T355" s="29">
        <v>171.5</v>
      </c>
      <c r="U355" s="30">
        <v>10185.5</v>
      </c>
    </row>
    <row r="356" spans="2:21" x14ac:dyDescent="0.25">
      <c r="B356" s="31" t="s">
        <v>23</v>
      </c>
      <c r="C356" s="31">
        <v>62</v>
      </c>
      <c r="D356" s="22" t="s">
        <v>593</v>
      </c>
      <c r="E356" s="22" t="s">
        <v>594</v>
      </c>
      <c r="F356" s="22"/>
      <c r="G356" s="23">
        <v>12341</v>
      </c>
      <c r="H356" s="24">
        <v>3480</v>
      </c>
      <c r="I356" s="24">
        <v>0</v>
      </c>
      <c r="J356" s="24">
        <v>0</v>
      </c>
      <c r="K356" s="24">
        <v>0</v>
      </c>
      <c r="L356" s="32">
        <v>0</v>
      </c>
      <c r="M356" s="33">
        <v>0</v>
      </c>
      <c r="N356" s="27">
        <v>0</v>
      </c>
      <c r="O356" s="24">
        <v>3480</v>
      </c>
      <c r="P356" s="24">
        <v>3480</v>
      </c>
      <c r="Q356" s="28">
        <v>0</v>
      </c>
      <c r="R356" s="29">
        <v>0</v>
      </c>
      <c r="S356" s="29">
        <v>0</v>
      </c>
      <c r="T356" s="29">
        <v>0</v>
      </c>
      <c r="U356" s="30">
        <v>3480</v>
      </c>
    </row>
    <row r="357" spans="2:21" x14ac:dyDescent="0.25">
      <c r="B357" s="31" t="s">
        <v>23</v>
      </c>
      <c r="C357" s="31">
        <v>62</v>
      </c>
      <c r="D357" s="22" t="s">
        <v>595</v>
      </c>
      <c r="E357" s="22" t="s">
        <v>596</v>
      </c>
      <c r="F357" s="22"/>
      <c r="G357" s="23">
        <v>4685</v>
      </c>
      <c r="H357" s="24">
        <v>1321</v>
      </c>
      <c r="I357" s="24">
        <v>0</v>
      </c>
      <c r="J357" s="24">
        <v>0</v>
      </c>
      <c r="K357" s="24">
        <v>0</v>
      </c>
      <c r="L357" s="32">
        <v>0</v>
      </c>
      <c r="M357" s="33">
        <v>0</v>
      </c>
      <c r="N357" s="27">
        <v>0</v>
      </c>
      <c r="O357" s="24">
        <v>1321</v>
      </c>
      <c r="P357" s="24">
        <v>1321</v>
      </c>
      <c r="Q357" s="28">
        <v>0</v>
      </c>
      <c r="R357" s="29">
        <v>0</v>
      </c>
      <c r="S357" s="29">
        <v>0</v>
      </c>
      <c r="T357" s="29">
        <v>0</v>
      </c>
      <c r="U357" s="30">
        <v>1321</v>
      </c>
    </row>
    <row r="358" spans="2:21" x14ac:dyDescent="0.25">
      <c r="B358" s="31" t="s">
        <v>23</v>
      </c>
      <c r="C358" s="31">
        <v>62</v>
      </c>
      <c r="D358" s="22" t="s">
        <v>597</v>
      </c>
      <c r="E358" s="22" t="s">
        <v>598</v>
      </c>
      <c r="F358" s="22"/>
      <c r="G358" s="23">
        <v>65966</v>
      </c>
      <c r="H358" s="24">
        <v>18601</v>
      </c>
      <c r="I358" s="24">
        <v>0</v>
      </c>
      <c r="J358" s="24">
        <v>0</v>
      </c>
      <c r="K358" s="24">
        <v>0</v>
      </c>
      <c r="L358" s="32">
        <v>0</v>
      </c>
      <c r="M358" s="33">
        <v>0</v>
      </c>
      <c r="N358" s="27">
        <v>0</v>
      </c>
      <c r="O358" s="24">
        <v>18601</v>
      </c>
      <c r="P358" s="24">
        <v>18601</v>
      </c>
      <c r="Q358" s="28">
        <v>0</v>
      </c>
      <c r="R358" s="29">
        <v>0</v>
      </c>
      <c r="S358" s="29">
        <v>0</v>
      </c>
      <c r="T358" s="29">
        <v>0</v>
      </c>
      <c r="U358" s="30">
        <v>18601</v>
      </c>
    </row>
    <row r="359" spans="2:21" x14ac:dyDescent="0.25">
      <c r="B359" s="31" t="s">
        <v>23</v>
      </c>
      <c r="C359" s="31">
        <v>62</v>
      </c>
      <c r="D359" s="22" t="s">
        <v>599</v>
      </c>
      <c r="E359" s="22" t="s">
        <v>600</v>
      </c>
      <c r="F359" s="22"/>
      <c r="G359" s="23">
        <v>12663</v>
      </c>
      <c r="H359" s="24">
        <v>3571</v>
      </c>
      <c r="I359" s="24">
        <v>0</v>
      </c>
      <c r="J359" s="24">
        <v>0</v>
      </c>
      <c r="K359" s="24">
        <v>0</v>
      </c>
      <c r="L359" s="32">
        <v>0</v>
      </c>
      <c r="M359" s="33">
        <v>0</v>
      </c>
      <c r="N359" s="27">
        <v>0</v>
      </c>
      <c r="O359" s="24">
        <v>3571</v>
      </c>
      <c r="P359" s="24">
        <v>3571</v>
      </c>
      <c r="Q359" s="28">
        <v>0</v>
      </c>
      <c r="R359" s="29">
        <v>0</v>
      </c>
      <c r="S359" s="29">
        <v>0</v>
      </c>
      <c r="T359" s="29">
        <v>0</v>
      </c>
      <c r="U359" s="30">
        <v>3571</v>
      </c>
    </row>
    <row r="360" spans="2:21" x14ac:dyDescent="0.25">
      <c r="B360" s="31" t="s">
        <v>23</v>
      </c>
      <c r="C360" s="31">
        <v>62</v>
      </c>
      <c r="D360" s="22" t="s">
        <v>601</v>
      </c>
      <c r="E360" s="22" t="s">
        <v>602</v>
      </c>
      <c r="F360" s="22" t="s">
        <v>788</v>
      </c>
      <c r="G360" s="23">
        <v>752</v>
      </c>
      <c r="H360" s="24">
        <v>212</v>
      </c>
      <c r="I360" s="24">
        <v>684.31999999999994</v>
      </c>
      <c r="J360" s="24">
        <v>922.5</v>
      </c>
      <c r="K360" s="24">
        <v>7.52</v>
      </c>
      <c r="L360" s="32">
        <v>372</v>
      </c>
      <c r="M360" s="33">
        <v>2.12</v>
      </c>
      <c r="N360" s="27">
        <v>192.92</v>
      </c>
      <c r="O360" s="24">
        <v>212</v>
      </c>
      <c r="P360" s="24">
        <v>1013.7362637362638</v>
      </c>
      <c r="Q360" s="28">
        <v>0.91</v>
      </c>
      <c r="R360" s="29">
        <v>0.01</v>
      </c>
      <c r="S360" s="29">
        <v>0.21</v>
      </c>
      <c r="T360" s="29">
        <v>372</v>
      </c>
      <c r="U360" s="30">
        <v>-1082.5</v>
      </c>
    </row>
    <row r="361" spans="2:21" x14ac:dyDescent="0.25">
      <c r="B361" s="31" t="s">
        <v>23</v>
      </c>
      <c r="C361" s="31">
        <v>62</v>
      </c>
      <c r="D361" s="22" t="s">
        <v>603</v>
      </c>
      <c r="E361" s="22" t="s">
        <v>604</v>
      </c>
      <c r="F361" s="22"/>
      <c r="G361" s="23">
        <v>25846</v>
      </c>
      <c r="H361" s="24">
        <v>7288</v>
      </c>
      <c r="I361" s="24">
        <v>6608.8220000000001</v>
      </c>
      <c r="J361" s="24">
        <v>1383.5</v>
      </c>
      <c r="K361" s="24">
        <v>0</v>
      </c>
      <c r="L361" s="32">
        <v>0</v>
      </c>
      <c r="M361" s="33">
        <v>0</v>
      </c>
      <c r="N361" s="27">
        <v>1863.5415436044261</v>
      </c>
      <c r="O361" s="24">
        <v>7288</v>
      </c>
      <c r="P361" s="24">
        <v>5410.6376295200571</v>
      </c>
      <c r="Q361" s="28">
        <v>0.26</v>
      </c>
      <c r="R361" s="29">
        <v>0</v>
      </c>
      <c r="S361" s="29">
        <v>1.35</v>
      </c>
      <c r="T361" s="29">
        <v>0</v>
      </c>
      <c r="U361" s="30">
        <v>5904.5</v>
      </c>
    </row>
    <row r="362" spans="2:21" x14ac:dyDescent="0.25">
      <c r="B362" s="31" t="s">
        <v>23</v>
      </c>
      <c r="C362" s="31">
        <v>62</v>
      </c>
      <c r="D362" s="22" t="s">
        <v>605</v>
      </c>
      <c r="E362" s="22" t="s">
        <v>606</v>
      </c>
      <c r="F362" s="22"/>
      <c r="G362" s="23">
        <v>24006</v>
      </c>
      <c r="H362" s="24">
        <v>6769</v>
      </c>
      <c r="I362" s="24">
        <v>0</v>
      </c>
      <c r="J362" s="24">
        <v>0</v>
      </c>
      <c r="K362" s="24">
        <v>0</v>
      </c>
      <c r="L362" s="32">
        <v>0</v>
      </c>
      <c r="M362" s="33">
        <v>0</v>
      </c>
      <c r="N362" s="27">
        <v>0</v>
      </c>
      <c r="O362" s="24">
        <v>6769</v>
      </c>
      <c r="P362" s="24">
        <v>6769</v>
      </c>
      <c r="Q362" s="28">
        <v>0</v>
      </c>
      <c r="R362" s="29">
        <v>0</v>
      </c>
      <c r="S362" s="29">
        <v>0</v>
      </c>
      <c r="T362" s="29">
        <v>0</v>
      </c>
      <c r="U362" s="30">
        <v>6769</v>
      </c>
    </row>
    <row r="363" spans="2:21" x14ac:dyDescent="0.25">
      <c r="B363" s="31" t="s">
        <v>23</v>
      </c>
      <c r="C363" s="31">
        <v>62</v>
      </c>
      <c r="D363" s="22" t="s">
        <v>607</v>
      </c>
      <c r="E363" s="22" t="s">
        <v>608</v>
      </c>
      <c r="F363" s="22"/>
      <c r="G363" s="23">
        <v>11799</v>
      </c>
      <c r="H363" s="24">
        <v>3327</v>
      </c>
      <c r="I363" s="24">
        <v>0</v>
      </c>
      <c r="J363" s="24">
        <v>0</v>
      </c>
      <c r="K363" s="24">
        <v>0</v>
      </c>
      <c r="L363" s="32">
        <v>0</v>
      </c>
      <c r="M363" s="33">
        <v>0</v>
      </c>
      <c r="N363" s="27">
        <v>0</v>
      </c>
      <c r="O363" s="24">
        <v>3327</v>
      </c>
      <c r="P363" s="24">
        <v>3327</v>
      </c>
      <c r="Q363" s="28">
        <v>0</v>
      </c>
      <c r="R363" s="29">
        <v>0</v>
      </c>
      <c r="S363" s="29">
        <v>0</v>
      </c>
      <c r="T363" s="29">
        <v>0</v>
      </c>
      <c r="U363" s="30">
        <v>3327</v>
      </c>
    </row>
    <row r="364" spans="2:21" x14ac:dyDescent="0.25">
      <c r="B364" s="31" t="s">
        <v>23</v>
      </c>
      <c r="C364" s="31">
        <v>62</v>
      </c>
      <c r="D364" s="22" t="s">
        <v>609</v>
      </c>
      <c r="E364" s="22" t="s">
        <v>610</v>
      </c>
      <c r="F364" s="22" t="s">
        <v>140</v>
      </c>
      <c r="G364" s="23">
        <v>6087</v>
      </c>
      <c r="H364" s="24">
        <v>1716</v>
      </c>
      <c r="I364" s="24">
        <v>6087</v>
      </c>
      <c r="J364" s="24">
        <v>2059.5</v>
      </c>
      <c r="K364" s="24">
        <v>0</v>
      </c>
      <c r="L364" s="32">
        <v>0</v>
      </c>
      <c r="M364" s="33">
        <v>0</v>
      </c>
      <c r="N364" s="27">
        <v>1716</v>
      </c>
      <c r="O364" s="24">
        <v>1716</v>
      </c>
      <c r="P364" s="24">
        <v>2059.5</v>
      </c>
      <c r="Q364" s="28">
        <v>1</v>
      </c>
      <c r="R364" s="29">
        <v>0</v>
      </c>
      <c r="S364" s="29">
        <v>0.83</v>
      </c>
      <c r="T364" s="29">
        <v>0</v>
      </c>
      <c r="U364" s="30">
        <v>-343.5</v>
      </c>
    </row>
    <row r="365" spans="2:21" x14ac:dyDescent="0.25">
      <c r="B365" s="31" t="s">
        <v>23</v>
      </c>
      <c r="C365" s="22">
        <v>63</v>
      </c>
      <c r="D365" s="22" t="s">
        <v>611</v>
      </c>
      <c r="E365" s="22" t="s">
        <v>612</v>
      </c>
      <c r="F365" s="22" t="s">
        <v>44</v>
      </c>
      <c r="G365" s="23">
        <v>0</v>
      </c>
      <c r="H365" s="24">
        <v>0</v>
      </c>
      <c r="I365" s="24">
        <v>0</v>
      </c>
      <c r="J365" s="24">
        <v>0</v>
      </c>
      <c r="K365" s="24">
        <v>0</v>
      </c>
      <c r="L365" s="32">
        <v>0</v>
      </c>
      <c r="M365" s="33">
        <v>0</v>
      </c>
      <c r="N365" s="27">
        <v>0</v>
      </c>
      <c r="O365" s="24">
        <v>0</v>
      </c>
      <c r="P365" s="24">
        <v>0</v>
      </c>
      <c r="Q365" s="28">
        <v>0</v>
      </c>
      <c r="R365" s="29">
        <v>0</v>
      </c>
      <c r="S365" s="29">
        <v>0</v>
      </c>
      <c r="T365" s="29">
        <v>0</v>
      </c>
      <c r="U365" s="30">
        <v>0</v>
      </c>
    </row>
    <row r="366" spans="2:21" x14ac:dyDescent="0.25">
      <c r="B366" s="31" t="s">
        <v>23</v>
      </c>
      <c r="C366" s="31">
        <v>63</v>
      </c>
      <c r="D366" s="22" t="s">
        <v>613</v>
      </c>
      <c r="E366" s="22" t="s">
        <v>614</v>
      </c>
      <c r="F366" s="22"/>
      <c r="G366" s="23">
        <v>1289</v>
      </c>
      <c r="H366" s="24">
        <v>303</v>
      </c>
      <c r="I366" s="24">
        <v>1288.9999999999995</v>
      </c>
      <c r="J366" s="24">
        <v>198.5</v>
      </c>
      <c r="K366" s="24">
        <v>0</v>
      </c>
      <c r="L366" s="32">
        <v>0</v>
      </c>
      <c r="M366" s="33">
        <v>0</v>
      </c>
      <c r="N366" s="27">
        <v>302.99999999999989</v>
      </c>
      <c r="O366" s="24">
        <v>303</v>
      </c>
      <c r="P366" s="24">
        <v>198.50000000000006</v>
      </c>
      <c r="Q366" s="28">
        <v>1</v>
      </c>
      <c r="R366" s="29">
        <v>0</v>
      </c>
      <c r="S366" s="29">
        <v>1.53</v>
      </c>
      <c r="T366" s="29">
        <v>0</v>
      </c>
      <c r="U366" s="30">
        <v>104.5</v>
      </c>
    </row>
    <row r="367" spans="2:21" x14ac:dyDescent="0.25">
      <c r="B367" s="31" t="s">
        <v>23</v>
      </c>
      <c r="C367" s="31">
        <v>63</v>
      </c>
      <c r="D367" s="22" t="s">
        <v>615</v>
      </c>
      <c r="E367" s="22" t="s">
        <v>616</v>
      </c>
      <c r="F367" s="22" t="s">
        <v>140</v>
      </c>
      <c r="G367" s="23">
        <v>998</v>
      </c>
      <c r="H367" s="24">
        <v>235</v>
      </c>
      <c r="I367" s="24">
        <v>678.54</v>
      </c>
      <c r="J367" s="24">
        <v>208</v>
      </c>
      <c r="K367" s="24">
        <v>0</v>
      </c>
      <c r="L367" s="32">
        <v>0</v>
      </c>
      <c r="M367" s="33">
        <v>0</v>
      </c>
      <c r="N367" s="27">
        <v>159.7764529058116</v>
      </c>
      <c r="O367" s="24">
        <v>235</v>
      </c>
      <c r="P367" s="24">
        <v>305.92743242844932</v>
      </c>
      <c r="Q367" s="28">
        <v>0.68</v>
      </c>
      <c r="R367" s="29">
        <v>0</v>
      </c>
      <c r="S367" s="29">
        <v>0.77</v>
      </c>
      <c r="T367" s="29">
        <v>0</v>
      </c>
      <c r="U367" s="30">
        <v>27</v>
      </c>
    </row>
    <row r="368" spans="2:21" x14ac:dyDescent="0.25">
      <c r="B368" s="31" t="s">
        <v>23</v>
      </c>
      <c r="C368" s="31">
        <v>63</v>
      </c>
      <c r="D368" s="22" t="s">
        <v>617</v>
      </c>
      <c r="E368" s="22" t="s">
        <v>618</v>
      </c>
      <c r="F368" s="22"/>
      <c r="G368" s="23">
        <v>743</v>
      </c>
      <c r="H368" s="24">
        <v>175</v>
      </c>
      <c r="I368" s="24">
        <v>743</v>
      </c>
      <c r="J368" s="24">
        <v>116.5</v>
      </c>
      <c r="K368" s="24">
        <v>0</v>
      </c>
      <c r="L368" s="32">
        <v>0</v>
      </c>
      <c r="M368" s="33">
        <v>0</v>
      </c>
      <c r="N368" s="27">
        <v>175</v>
      </c>
      <c r="O368" s="24">
        <v>175</v>
      </c>
      <c r="P368" s="24">
        <v>116.5</v>
      </c>
      <c r="Q368" s="28">
        <v>1</v>
      </c>
      <c r="R368" s="29">
        <v>0</v>
      </c>
      <c r="S368" s="29">
        <v>1.5</v>
      </c>
      <c r="T368" s="29">
        <v>0</v>
      </c>
      <c r="U368" s="30">
        <v>58.5</v>
      </c>
    </row>
    <row r="369" spans="2:21" x14ac:dyDescent="0.25">
      <c r="B369" s="31" t="s">
        <v>23</v>
      </c>
      <c r="C369" s="31">
        <v>63</v>
      </c>
      <c r="D369" s="22" t="s">
        <v>619</v>
      </c>
      <c r="E369" s="22" t="s">
        <v>620</v>
      </c>
      <c r="F369" s="22" t="s">
        <v>33</v>
      </c>
      <c r="G369" s="23">
        <v>11681</v>
      </c>
      <c r="H369" s="24">
        <v>2747</v>
      </c>
      <c r="I369" s="24">
        <v>7544.7579999999989</v>
      </c>
      <c r="J369" s="24">
        <v>1497.5</v>
      </c>
      <c r="K369" s="24">
        <v>536.15800000000002</v>
      </c>
      <c r="L369" s="32">
        <v>90</v>
      </c>
      <c r="M369" s="33">
        <v>126.08732351682218</v>
      </c>
      <c r="N369" s="27">
        <v>1774.287323516822</v>
      </c>
      <c r="O369" s="24">
        <v>2747</v>
      </c>
      <c r="P369" s="24">
        <v>2318.4703207180405</v>
      </c>
      <c r="Q369" s="28">
        <v>0.65</v>
      </c>
      <c r="R369" s="29">
        <v>1.4</v>
      </c>
      <c r="S369" s="29">
        <v>1.18</v>
      </c>
      <c r="T369" s="29">
        <v>90.5</v>
      </c>
      <c r="U369" s="30">
        <v>1159</v>
      </c>
    </row>
    <row r="370" spans="2:21" x14ac:dyDescent="0.25">
      <c r="B370" s="31" t="s">
        <v>23</v>
      </c>
      <c r="C370" s="31">
        <v>63</v>
      </c>
      <c r="D370" s="22" t="s">
        <v>621</v>
      </c>
      <c r="E370" s="22" t="s">
        <v>622</v>
      </c>
      <c r="F370" s="22" t="s">
        <v>140</v>
      </c>
      <c r="G370" s="23">
        <v>2530</v>
      </c>
      <c r="H370" s="24">
        <v>553</v>
      </c>
      <c r="I370" s="24">
        <v>1583.78</v>
      </c>
      <c r="J370" s="24">
        <v>603</v>
      </c>
      <c r="K370" s="24">
        <v>0</v>
      </c>
      <c r="L370" s="32">
        <v>0</v>
      </c>
      <c r="M370" s="33">
        <v>0</v>
      </c>
      <c r="N370" s="27">
        <v>346.178</v>
      </c>
      <c r="O370" s="24">
        <v>553</v>
      </c>
      <c r="P370" s="24">
        <v>963.25878594249207</v>
      </c>
      <c r="Q370" s="28">
        <v>0.63</v>
      </c>
      <c r="R370" s="29">
        <v>0</v>
      </c>
      <c r="S370" s="29">
        <v>0.56999999999999995</v>
      </c>
      <c r="T370" s="29">
        <v>0</v>
      </c>
      <c r="U370" s="30">
        <v>-50</v>
      </c>
    </row>
    <row r="371" spans="2:21" x14ac:dyDescent="0.25">
      <c r="B371" s="31" t="s">
        <v>23</v>
      </c>
      <c r="C371" s="31">
        <v>63</v>
      </c>
      <c r="D371" s="22" t="s">
        <v>623</v>
      </c>
      <c r="E371" s="22" t="s">
        <v>624</v>
      </c>
      <c r="F371" s="22"/>
      <c r="G371" s="23">
        <v>1940</v>
      </c>
      <c r="H371" s="24">
        <v>456</v>
      </c>
      <c r="I371" s="24">
        <v>1940</v>
      </c>
      <c r="J371" s="24">
        <v>316.5</v>
      </c>
      <c r="K371" s="24">
        <v>0</v>
      </c>
      <c r="L371" s="32">
        <v>0</v>
      </c>
      <c r="M371" s="33">
        <v>0</v>
      </c>
      <c r="N371" s="27">
        <v>456</v>
      </c>
      <c r="O371" s="24">
        <v>456</v>
      </c>
      <c r="P371" s="24">
        <v>316.5</v>
      </c>
      <c r="Q371" s="28">
        <v>1</v>
      </c>
      <c r="R371" s="29">
        <v>0</v>
      </c>
      <c r="S371" s="29">
        <v>1.44</v>
      </c>
      <c r="T371" s="29">
        <v>0</v>
      </c>
      <c r="U371" s="30">
        <v>139.5</v>
      </c>
    </row>
    <row r="372" spans="2:21" x14ac:dyDescent="0.25">
      <c r="B372" s="31" t="s">
        <v>23</v>
      </c>
      <c r="C372" s="31">
        <v>63</v>
      </c>
      <c r="D372" s="22" t="s">
        <v>625</v>
      </c>
      <c r="E372" s="22" t="s">
        <v>626</v>
      </c>
      <c r="F372" s="22"/>
      <c r="G372" s="23">
        <v>462</v>
      </c>
      <c r="H372" s="24">
        <v>109</v>
      </c>
      <c r="I372" s="24">
        <v>462</v>
      </c>
      <c r="J372" s="24">
        <v>92.5</v>
      </c>
      <c r="K372" s="24">
        <v>0</v>
      </c>
      <c r="L372" s="32">
        <v>0</v>
      </c>
      <c r="M372" s="33">
        <v>0</v>
      </c>
      <c r="N372" s="27">
        <v>109</v>
      </c>
      <c r="O372" s="24">
        <v>109</v>
      </c>
      <c r="P372" s="24">
        <v>92.5</v>
      </c>
      <c r="Q372" s="28">
        <v>1</v>
      </c>
      <c r="R372" s="29">
        <v>0</v>
      </c>
      <c r="S372" s="29">
        <v>1.18</v>
      </c>
      <c r="T372" s="29">
        <v>0</v>
      </c>
      <c r="U372" s="30">
        <v>16.5</v>
      </c>
    </row>
    <row r="373" spans="2:21" x14ac:dyDescent="0.25">
      <c r="B373" s="31" t="s">
        <v>23</v>
      </c>
      <c r="C373" s="31">
        <v>63</v>
      </c>
      <c r="D373" s="22" t="s">
        <v>627</v>
      </c>
      <c r="E373" s="22" t="s">
        <v>628</v>
      </c>
      <c r="F373" s="22" t="s">
        <v>140</v>
      </c>
      <c r="G373" s="23">
        <v>1036</v>
      </c>
      <c r="H373" s="24">
        <v>244</v>
      </c>
      <c r="I373" s="24">
        <v>1036</v>
      </c>
      <c r="J373" s="24">
        <v>395</v>
      </c>
      <c r="K373" s="24">
        <v>0</v>
      </c>
      <c r="L373" s="32">
        <v>0</v>
      </c>
      <c r="M373" s="33">
        <v>0</v>
      </c>
      <c r="N373" s="27">
        <v>244</v>
      </c>
      <c r="O373" s="24">
        <v>244</v>
      </c>
      <c r="P373" s="24">
        <v>395</v>
      </c>
      <c r="Q373" s="28">
        <v>1</v>
      </c>
      <c r="R373" s="29">
        <v>0</v>
      </c>
      <c r="S373" s="29">
        <v>0.62</v>
      </c>
      <c r="T373" s="29">
        <v>0</v>
      </c>
      <c r="U373" s="30">
        <v>-151</v>
      </c>
    </row>
    <row r="374" spans="2:21" x14ac:dyDescent="0.25">
      <c r="B374" s="31" t="s">
        <v>23</v>
      </c>
      <c r="C374" s="31">
        <v>63</v>
      </c>
      <c r="D374" s="22" t="s">
        <v>629</v>
      </c>
      <c r="E374" s="22" t="s">
        <v>630</v>
      </c>
      <c r="F374" s="22"/>
      <c r="G374" s="23">
        <v>3125</v>
      </c>
      <c r="H374" s="24">
        <v>735</v>
      </c>
      <c r="I374" s="24">
        <v>0</v>
      </c>
      <c r="J374" s="24">
        <v>0</v>
      </c>
      <c r="K374" s="24">
        <v>0</v>
      </c>
      <c r="L374" s="32">
        <v>0</v>
      </c>
      <c r="M374" s="33">
        <v>0</v>
      </c>
      <c r="N374" s="27">
        <v>0</v>
      </c>
      <c r="O374" s="24">
        <v>735</v>
      </c>
      <c r="P374" s="24">
        <v>735</v>
      </c>
      <c r="Q374" s="28">
        <v>0</v>
      </c>
      <c r="R374" s="29">
        <v>0</v>
      </c>
      <c r="S374" s="29">
        <v>0</v>
      </c>
      <c r="T374" s="29">
        <v>0</v>
      </c>
      <c r="U374" s="30">
        <v>735</v>
      </c>
    </row>
    <row r="375" spans="2:21" x14ac:dyDescent="0.25">
      <c r="B375" s="31" t="s">
        <v>23</v>
      </c>
      <c r="C375" s="31">
        <v>63</v>
      </c>
      <c r="D375" s="22" t="s">
        <v>631</v>
      </c>
      <c r="E375" s="22" t="s">
        <v>632</v>
      </c>
      <c r="F375" s="22"/>
      <c r="G375" s="23">
        <v>424</v>
      </c>
      <c r="H375" s="24">
        <v>100</v>
      </c>
      <c r="I375" s="24">
        <v>0</v>
      </c>
      <c r="J375" s="24">
        <v>0</v>
      </c>
      <c r="K375" s="24">
        <v>0</v>
      </c>
      <c r="L375" s="32">
        <v>0</v>
      </c>
      <c r="M375" s="33">
        <v>0</v>
      </c>
      <c r="N375" s="27">
        <v>0</v>
      </c>
      <c r="O375" s="24">
        <v>100</v>
      </c>
      <c r="P375" s="24">
        <v>100</v>
      </c>
      <c r="Q375" s="28">
        <v>0</v>
      </c>
      <c r="R375" s="29">
        <v>0</v>
      </c>
      <c r="S375" s="29">
        <v>0</v>
      </c>
      <c r="T375" s="29">
        <v>0</v>
      </c>
      <c r="U375" s="30">
        <v>100</v>
      </c>
    </row>
    <row r="376" spans="2:21" x14ac:dyDescent="0.25">
      <c r="B376" s="31" t="s">
        <v>23</v>
      </c>
      <c r="C376" s="31">
        <v>63</v>
      </c>
      <c r="D376" s="22" t="s">
        <v>633</v>
      </c>
      <c r="E376" s="22" t="s">
        <v>634</v>
      </c>
      <c r="F376" s="22"/>
      <c r="G376" s="23">
        <v>3245</v>
      </c>
      <c r="H376" s="24">
        <v>763</v>
      </c>
      <c r="I376" s="24">
        <v>0</v>
      </c>
      <c r="J376" s="24">
        <v>0</v>
      </c>
      <c r="K376" s="24">
        <v>0</v>
      </c>
      <c r="L376" s="32">
        <v>0</v>
      </c>
      <c r="M376" s="33">
        <v>0</v>
      </c>
      <c r="N376" s="27">
        <v>0</v>
      </c>
      <c r="O376" s="24">
        <v>763</v>
      </c>
      <c r="P376" s="24">
        <v>763</v>
      </c>
      <c r="Q376" s="28">
        <v>0</v>
      </c>
      <c r="R376" s="29">
        <v>0</v>
      </c>
      <c r="S376" s="29">
        <v>0</v>
      </c>
      <c r="T376" s="29">
        <v>0</v>
      </c>
      <c r="U376" s="30">
        <v>763</v>
      </c>
    </row>
    <row r="377" spans="2:21" x14ac:dyDescent="0.25">
      <c r="B377" s="31" t="s">
        <v>23</v>
      </c>
      <c r="C377" s="31">
        <v>63</v>
      </c>
      <c r="D377" s="22" t="s">
        <v>635</v>
      </c>
      <c r="E377" s="22" t="s">
        <v>636</v>
      </c>
      <c r="F377" s="22"/>
      <c r="G377" s="23">
        <v>926</v>
      </c>
      <c r="H377" s="24">
        <v>218</v>
      </c>
      <c r="I377" s="24">
        <v>0</v>
      </c>
      <c r="J377" s="24">
        <v>0</v>
      </c>
      <c r="K377" s="24">
        <v>0</v>
      </c>
      <c r="L377" s="32">
        <v>0</v>
      </c>
      <c r="M377" s="33">
        <v>0</v>
      </c>
      <c r="N377" s="27">
        <v>0</v>
      </c>
      <c r="O377" s="24">
        <v>218</v>
      </c>
      <c r="P377" s="24">
        <v>218</v>
      </c>
      <c r="Q377" s="28">
        <v>0</v>
      </c>
      <c r="R377" s="29">
        <v>0</v>
      </c>
      <c r="S377" s="29">
        <v>0</v>
      </c>
      <c r="T377" s="29">
        <v>0</v>
      </c>
      <c r="U377" s="30">
        <v>218</v>
      </c>
    </row>
    <row r="378" spans="2:21" x14ac:dyDescent="0.25">
      <c r="B378" s="31" t="s">
        <v>23</v>
      </c>
      <c r="C378" s="31">
        <v>63</v>
      </c>
      <c r="D378" s="22" t="s">
        <v>637</v>
      </c>
      <c r="E378" s="22" t="s">
        <v>638</v>
      </c>
      <c r="F378" s="22"/>
      <c r="G378" s="23">
        <v>351</v>
      </c>
      <c r="H378" s="24">
        <v>83</v>
      </c>
      <c r="I378" s="24">
        <v>0</v>
      </c>
      <c r="J378" s="24">
        <v>0</v>
      </c>
      <c r="K378" s="24">
        <v>0</v>
      </c>
      <c r="L378" s="32">
        <v>0</v>
      </c>
      <c r="M378" s="33">
        <v>0</v>
      </c>
      <c r="N378" s="27">
        <v>0</v>
      </c>
      <c r="O378" s="24">
        <v>83</v>
      </c>
      <c r="P378" s="24">
        <v>83</v>
      </c>
      <c r="Q378" s="28">
        <v>0</v>
      </c>
      <c r="R378" s="29">
        <v>0</v>
      </c>
      <c r="S378" s="29">
        <v>0</v>
      </c>
      <c r="T378" s="29">
        <v>0</v>
      </c>
      <c r="U378" s="30">
        <v>83</v>
      </c>
    </row>
    <row r="379" spans="2:21" x14ac:dyDescent="0.25">
      <c r="B379" s="31" t="s">
        <v>23</v>
      </c>
      <c r="C379" s="31">
        <v>63</v>
      </c>
      <c r="D379" s="22" t="s">
        <v>639</v>
      </c>
      <c r="E379" s="22" t="s">
        <v>640</v>
      </c>
      <c r="F379" s="22"/>
      <c r="G379" s="23">
        <v>4947</v>
      </c>
      <c r="H379" s="24">
        <v>1163</v>
      </c>
      <c r="I379" s="24">
        <v>0</v>
      </c>
      <c r="J379" s="24">
        <v>0</v>
      </c>
      <c r="K379" s="24">
        <v>0</v>
      </c>
      <c r="L379" s="32">
        <v>0</v>
      </c>
      <c r="M379" s="33">
        <v>0</v>
      </c>
      <c r="N379" s="27">
        <v>0</v>
      </c>
      <c r="O379" s="24">
        <v>1163</v>
      </c>
      <c r="P379" s="24">
        <v>1163</v>
      </c>
      <c r="Q379" s="28">
        <v>0</v>
      </c>
      <c r="R379" s="29">
        <v>0</v>
      </c>
      <c r="S379" s="29">
        <v>0</v>
      </c>
      <c r="T379" s="29">
        <v>0</v>
      </c>
      <c r="U379" s="30">
        <v>1163</v>
      </c>
    </row>
    <row r="380" spans="2:21" x14ac:dyDescent="0.25">
      <c r="B380" s="31" t="s">
        <v>23</v>
      </c>
      <c r="C380" s="31">
        <v>63</v>
      </c>
      <c r="D380" s="22" t="s">
        <v>641</v>
      </c>
      <c r="E380" s="22" t="s">
        <v>642</v>
      </c>
      <c r="F380" s="22"/>
      <c r="G380" s="23">
        <v>950</v>
      </c>
      <c r="H380" s="24">
        <v>223</v>
      </c>
      <c r="I380" s="24">
        <v>0</v>
      </c>
      <c r="J380" s="24">
        <v>0</v>
      </c>
      <c r="K380" s="24">
        <v>0</v>
      </c>
      <c r="L380" s="32">
        <v>0</v>
      </c>
      <c r="M380" s="33">
        <v>0</v>
      </c>
      <c r="N380" s="27">
        <v>0</v>
      </c>
      <c r="O380" s="24">
        <v>223</v>
      </c>
      <c r="P380" s="24">
        <v>223</v>
      </c>
      <c r="Q380" s="28">
        <v>0</v>
      </c>
      <c r="R380" s="29">
        <v>0</v>
      </c>
      <c r="S380" s="29">
        <v>0</v>
      </c>
      <c r="T380" s="29">
        <v>0</v>
      </c>
      <c r="U380" s="30">
        <v>223</v>
      </c>
    </row>
    <row r="381" spans="2:21" x14ac:dyDescent="0.25">
      <c r="B381" s="31" t="s">
        <v>23</v>
      </c>
      <c r="C381" s="31">
        <v>63</v>
      </c>
      <c r="D381" s="22" t="s">
        <v>643</v>
      </c>
      <c r="E381" s="22" t="s">
        <v>644</v>
      </c>
      <c r="F381" s="22"/>
      <c r="G381" s="23">
        <v>56</v>
      </c>
      <c r="H381" s="24">
        <v>13</v>
      </c>
      <c r="I381" s="24">
        <v>0</v>
      </c>
      <c r="J381" s="24">
        <v>0</v>
      </c>
      <c r="K381" s="24">
        <v>0</v>
      </c>
      <c r="L381" s="32">
        <v>0</v>
      </c>
      <c r="M381" s="33">
        <v>0</v>
      </c>
      <c r="N381" s="27">
        <v>0</v>
      </c>
      <c r="O381" s="24">
        <v>13</v>
      </c>
      <c r="P381" s="24">
        <v>13</v>
      </c>
      <c r="Q381" s="28">
        <v>0</v>
      </c>
      <c r="R381" s="29">
        <v>0</v>
      </c>
      <c r="S381" s="29">
        <v>0</v>
      </c>
      <c r="T381" s="29">
        <v>0</v>
      </c>
      <c r="U381" s="30">
        <v>13</v>
      </c>
    </row>
    <row r="382" spans="2:21" x14ac:dyDescent="0.25">
      <c r="B382" s="31" t="s">
        <v>23</v>
      </c>
      <c r="C382" s="31">
        <v>63</v>
      </c>
      <c r="D382" s="22" t="s">
        <v>645</v>
      </c>
      <c r="E382" s="22" t="s">
        <v>646</v>
      </c>
      <c r="F382" s="22"/>
      <c r="G382" s="23">
        <v>1938</v>
      </c>
      <c r="H382" s="24">
        <v>456.01</v>
      </c>
      <c r="I382" s="24">
        <v>530.62400000000002</v>
      </c>
      <c r="J382" s="24">
        <v>91</v>
      </c>
      <c r="K382" s="24">
        <v>0</v>
      </c>
      <c r="L382" s="32">
        <v>0</v>
      </c>
      <c r="M382" s="33">
        <v>0</v>
      </c>
      <c r="N382" s="27">
        <v>124.85544388028896</v>
      </c>
      <c r="O382" s="24">
        <v>456.01</v>
      </c>
      <c r="P382" s="24">
        <v>332.35963695573514</v>
      </c>
      <c r="Q382" s="28">
        <v>0.27</v>
      </c>
      <c r="R382" s="29">
        <v>0</v>
      </c>
      <c r="S382" s="29">
        <v>1.37</v>
      </c>
      <c r="T382" s="29">
        <v>0</v>
      </c>
      <c r="U382" s="30">
        <v>365.01</v>
      </c>
    </row>
    <row r="383" spans="2:21" x14ac:dyDescent="0.25">
      <c r="B383" s="31" t="s">
        <v>23</v>
      </c>
      <c r="C383" s="31">
        <v>63</v>
      </c>
      <c r="D383" s="22" t="s">
        <v>647</v>
      </c>
      <c r="E383" s="22" t="s">
        <v>648</v>
      </c>
      <c r="F383" s="22"/>
      <c r="G383" s="23">
        <v>1800</v>
      </c>
      <c r="H383" s="24">
        <v>423</v>
      </c>
      <c r="I383" s="24">
        <v>0</v>
      </c>
      <c r="J383" s="24">
        <v>0</v>
      </c>
      <c r="K383" s="24">
        <v>0</v>
      </c>
      <c r="L383" s="32">
        <v>0</v>
      </c>
      <c r="M383" s="33">
        <v>0</v>
      </c>
      <c r="N383" s="27">
        <v>0</v>
      </c>
      <c r="O383" s="24">
        <v>423</v>
      </c>
      <c r="P383" s="24">
        <v>423</v>
      </c>
      <c r="Q383" s="28">
        <v>0</v>
      </c>
      <c r="R383" s="29">
        <v>0</v>
      </c>
      <c r="S383" s="29">
        <v>0</v>
      </c>
      <c r="T383" s="29">
        <v>0</v>
      </c>
      <c r="U383" s="30">
        <v>423</v>
      </c>
    </row>
    <row r="384" spans="2:21" x14ac:dyDescent="0.25">
      <c r="B384" s="31" t="s">
        <v>23</v>
      </c>
      <c r="C384" s="31">
        <v>63</v>
      </c>
      <c r="D384" s="22" t="s">
        <v>649</v>
      </c>
      <c r="E384" s="22" t="s">
        <v>650</v>
      </c>
      <c r="F384" s="22"/>
      <c r="G384" s="23">
        <v>885</v>
      </c>
      <c r="H384" s="24">
        <v>208</v>
      </c>
      <c r="I384" s="24">
        <v>0</v>
      </c>
      <c r="J384" s="24">
        <v>0</v>
      </c>
      <c r="K384" s="24">
        <v>0</v>
      </c>
      <c r="L384" s="32">
        <v>0</v>
      </c>
      <c r="M384" s="33">
        <v>0</v>
      </c>
      <c r="N384" s="27">
        <v>0</v>
      </c>
      <c r="O384" s="24">
        <v>208</v>
      </c>
      <c r="P384" s="24">
        <v>208</v>
      </c>
      <c r="Q384" s="28">
        <v>0</v>
      </c>
      <c r="R384" s="29">
        <v>0</v>
      </c>
      <c r="S384" s="29">
        <v>0</v>
      </c>
      <c r="T384" s="29">
        <v>0</v>
      </c>
      <c r="U384" s="30">
        <v>208</v>
      </c>
    </row>
    <row r="385" spans="2:21" x14ac:dyDescent="0.25">
      <c r="B385" s="31" t="s">
        <v>23</v>
      </c>
      <c r="C385" s="31">
        <v>63</v>
      </c>
      <c r="D385" s="22" t="s">
        <v>651</v>
      </c>
      <c r="E385" s="22" t="s">
        <v>652</v>
      </c>
      <c r="F385" s="22" t="s">
        <v>140</v>
      </c>
      <c r="G385" s="23">
        <v>457</v>
      </c>
      <c r="H385" s="24">
        <v>107.01</v>
      </c>
      <c r="I385" s="24">
        <v>228.5</v>
      </c>
      <c r="J385" s="24">
        <v>111</v>
      </c>
      <c r="K385" s="24">
        <v>0</v>
      </c>
      <c r="L385" s="32">
        <v>0</v>
      </c>
      <c r="M385" s="33">
        <v>0</v>
      </c>
      <c r="N385" s="27">
        <v>53.505000000000003</v>
      </c>
      <c r="O385" s="24">
        <v>107.01</v>
      </c>
      <c r="P385" s="24">
        <v>222</v>
      </c>
      <c r="Q385" s="28">
        <v>0.5</v>
      </c>
      <c r="R385" s="29">
        <v>0</v>
      </c>
      <c r="S385" s="29">
        <v>0.48</v>
      </c>
      <c r="T385" s="29">
        <v>0</v>
      </c>
      <c r="U385" s="30">
        <v>-3.9899999999999949</v>
      </c>
    </row>
    <row r="386" spans="2:21" x14ac:dyDescent="0.25">
      <c r="B386" s="31" t="s">
        <v>23</v>
      </c>
      <c r="C386" s="22">
        <v>64</v>
      </c>
      <c r="D386" s="22" t="s">
        <v>653</v>
      </c>
      <c r="E386" s="22" t="s">
        <v>654</v>
      </c>
      <c r="F386" s="22" t="s">
        <v>44</v>
      </c>
      <c r="G386" s="23">
        <v>0</v>
      </c>
      <c r="H386" s="24">
        <v>0</v>
      </c>
      <c r="I386" s="24">
        <v>0</v>
      </c>
      <c r="J386" s="24">
        <v>0</v>
      </c>
      <c r="K386" s="24">
        <v>0</v>
      </c>
      <c r="L386" s="32">
        <v>0</v>
      </c>
      <c r="M386" s="33">
        <v>0</v>
      </c>
      <c r="N386" s="27">
        <v>0</v>
      </c>
      <c r="O386" s="24">
        <v>0</v>
      </c>
      <c r="P386" s="24">
        <v>0</v>
      </c>
      <c r="Q386" s="28">
        <v>0</v>
      </c>
      <c r="R386" s="29">
        <v>0</v>
      </c>
      <c r="S386" s="29">
        <v>0</v>
      </c>
      <c r="T386" s="29">
        <v>0</v>
      </c>
      <c r="U386" s="30">
        <v>0</v>
      </c>
    </row>
    <row r="387" spans="2:21" x14ac:dyDescent="0.25">
      <c r="B387" s="31" t="s">
        <v>23</v>
      </c>
      <c r="C387" s="31">
        <v>64</v>
      </c>
      <c r="D387" s="22" t="s">
        <v>655</v>
      </c>
      <c r="E387" s="22" t="s">
        <v>656</v>
      </c>
      <c r="F387" s="22"/>
      <c r="G387" s="23">
        <v>9</v>
      </c>
      <c r="H387" s="24">
        <v>793</v>
      </c>
      <c r="I387" s="24">
        <v>7.0000000000000018</v>
      </c>
      <c r="J387" s="24">
        <v>280.5</v>
      </c>
      <c r="K387" s="24">
        <v>0</v>
      </c>
      <c r="L387" s="32">
        <v>0</v>
      </c>
      <c r="M387" s="33">
        <v>0</v>
      </c>
      <c r="N387" s="27">
        <v>616.77777777777794</v>
      </c>
      <c r="O387" s="24">
        <v>793</v>
      </c>
      <c r="P387" s="24">
        <v>360.64285714285705</v>
      </c>
      <c r="Q387" s="28">
        <v>0.78</v>
      </c>
      <c r="R387" s="29">
        <v>0</v>
      </c>
      <c r="S387" s="29">
        <v>2.2000000000000002</v>
      </c>
      <c r="T387" s="29">
        <v>0</v>
      </c>
      <c r="U387" s="30">
        <v>512.5</v>
      </c>
    </row>
    <row r="388" spans="2:21" x14ac:dyDescent="0.25">
      <c r="B388" s="31" t="s">
        <v>23</v>
      </c>
      <c r="C388" s="31">
        <v>64</v>
      </c>
      <c r="D388" s="22" t="s">
        <v>657</v>
      </c>
      <c r="E388" s="22" t="s">
        <v>658</v>
      </c>
      <c r="F388" s="22"/>
      <c r="G388" s="23">
        <v>6</v>
      </c>
      <c r="H388" s="24">
        <v>528</v>
      </c>
      <c r="I388" s="24">
        <v>6</v>
      </c>
      <c r="J388" s="24">
        <v>325.5</v>
      </c>
      <c r="K388" s="24">
        <v>0</v>
      </c>
      <c r="L388" s="32">
        <v>0</v>
      </c>
      <c r="M388" s="33">
        <v>0</v>
      </c>
      <c r="N388" s="27">
        <v>528</v>
      </c>
      <c r="O388" s="24">
        <v>528</v>
      </c>
      <c r="P388" s="24">
        <v>325.5</v>
      </c>
      <c r="Q388" s="28">
        <v>1</v>
      </c>
      <c r="R388" s="29">
        <v>0</v>
      </c>
      <c r="S388" s="29">
        <v>1.62</v>
      </c>
      <c r="T388" s="29">
        <v>0</v>
      </c>
      <c r="U388" s="30">
        <v>202.5</v>
      </c>
    </row>
    <row r="389" spans="2:21" x14ac:dyDescent="0.25">
      <c r="B389" s="31" t="s">
        <v>23</v>
      </c>
      <c r="C389" s="31">
        <v>64</v>
      </c>
      <c r="D389" s="22" t="s">
        <v>659</v>
      </c>
      <c r="E389" s="22" t="s">
        <v>660</v>
      </c>
      <c r="F389" s="22" t="s">
        <v>661</v>
      </c>
      <c r="G389" s="23">
        <v>14</v>
      </c>
      <c r="H389" s="24">
        <v>1233</v>
      </c>
      <c r="I389" s="24">
        <v>15</v>
      </c>
      <c r="J389" s="24">
        <v>948.5</v>
      </c>
      <c r="K389" s="24">
        <v>0</v>
      </c>
      <c r="L389" s="32">
        <v>0</v>
      </c>
      <c r="M389" s="33">
        <v>0</v>
      </c>
      <c r="N389" s="27">
        <v>1321.0714285714284</v>
      </c>
      <c r="O389" s="24">
        <v>1233</v>
      </c>
      <c r="P389" s="24">
        <v>885.26666666666665</v>
      </c>
      <c r="Q389" s="28">
        <v>1.07</v>
      </c>
      <c r="R389" s="29">
        <v>0</v>
      </c>
      <c r="S389" s="29">
        <v>1.39</v>
      </c>
      <c r="T389" s="29">
        <v>0</v>
      </c>
      <c r="U389" s="30">
        <v>284.5</v>
      </c>
    </row>
    <row r="390" spans="2:21" x14ac:dyDescent="0.25">
      <c r="B390" s="31" t="s">
        <v>23</v>
      </c>
      <c r="C390" s="31">
        <v>64</v>
      </c>
      <c r="D390" s="22" t="s">
        <v>662</v>
      </c>
      <c r="E390" s="22" t="s">
        <v>663</v>
      </c>
      <c r="F390" s="22" t="s">
        <v>788</v>
      </c>
      <c r="G390" s="23">
        <v>153</v>
      </c>
      <c r="H390" s="24">
        <v>14620</v>
      </c>
      <c r="I390" s="24">
        <v>63.770000000000017</v>
      </c>
      <c r="J390" s="24">
        <v>6887.5</v>
      </c>
      <c r="K390" s="24">
        <v>-22.216000000000001</v>
      </c>
      <c r="L390" s="32">
        <v>262</v>
      </c>
      <c r="M390" s="33">
        <v>-2122.862222222222</v>
      </c>
      <c r="N390" s="27">
        <v>6093.5777777777794</v>
      </c>
      <c r="O390" s="24">
        <v>14620</v>
      </c>
      <c r="P390" s="24">
        <v>16524.815744080282</v>
      </c>
      <c r="Q390" s="28">
        <v>0.42</v>
      </c>
      <c r="R390" s="29">
        <v>-8.1</v>
      </c>
      <c r="S390" s="29">
        <v>0.88</v>
      </c>
      <c r="T390" s="29">
        <v>261.5</v>
      </c>
      <c r="U390" s="30">
        <v>7471</v>
      </c>
    </row>
    <row r="391" spans="2:21" x14ac:dyDescent="0.25">
      <c r="B391" s="31" t="s">
        <v>23</v>
      </c>
      <c r="C391" s="31">
        <v>64</v>
      </c>
      <c r="D391" s="22" t="s">
        <v>664</v>
      </c>
      <c r="E391" s="22" t="s">
        <v>656</v>
      </c>
      <c r="F391" s="22" t="s">
        <v>132</v>
      </c>
      <c r="G391" s="23">
        <v>35</v>
      </c>
      <c r="H391" s="24">
        <v>3083</v>
      </c>
      <c r="I391" s="24">
        <v>23.999999999999996</v>
      </c>
      <c r="J391" s="24">
        <v>1154.5</v>
      </c>
      <c r="K391" s="24">
        <v>0</v>
      </c>
      <c r="L391" s="32">
        <v>100</v>
      </c>
      <c r="M391" s="33">
        <v>0</v>
      </c>
      <c r="N391" s="27">
        <v>2114.0571428571425</v>
      </c>
      <c r="O391" s="24">
        <v>3083</v>
      </c>
      <c r="P391" s="24">
        <v>1683.6458333333335</v>
      </c>
      <c r="Q391" s="28">
        <v>0.69</v>
      </c>
      <c r="R391" s="29">
        <v>0</v>
      </c>
      <c r="S391" s="29">
        <v>1.83</v>
      </c>
      <c r="T391" s="29">
        <v>100.5</v>
      </c>
      <c r="U391" s="30">
        <v>1828</v>
      </c>
    </row>
    <row r="392" spans="2:21" x14ac:dyDescent="0.25">
      <c r="B392" s="31" t="s">
        <v>23</v>
      </c>
      <c r="C392" s="31">
        <v>64</v>
      </c>
      <c r="D392" s="22" t="s">
        <v>665</v>
      </c>
      <c r="E392" s="22" t="s">
        <v>666</v>
      </c>
      <c r="F392" s="22"/>
      <c r="G392" s="23">
        <v>45</v>
      </c>
      <c r="H392" s="24">
        <v>3963</v>
      </c>
      <c r="I392" s="24">
        <v>20.70000000000001</v>
      </c>
      <c r="J392" s="24">
        <v>1520.5</v>
      </c>
      <c r="K392" s="24">
        <v>0</v>
      </c>
      <c r="L392" s="32">
        <v>0</v>
      </c>
      <c r="M392" s="33">
        <v>0</v>
      </c>
      <c r="N392" s="27">
        <v>1822.9800000000009</v>
      </c>
      <c r="O392" s="24">
        <v>3963</v>
      </c>
      <c r="P392" s="24">
        <v>3305.4347826086937</v>
      </c>
      <c r="Q392" s="28">
        <v>0.46</v>
      </c>
      <c r="R392" s="29">
        <v>0</v>
      </c>
      <c r="S392" s="29">
        <v>1.2</v>
      </c>
      <c r="T392" s="29">
        <v>0</v>
      </c>
      <c r="U392" s="30">
        <v>2442.5</v>
      </c>
    </row>
    <row r="393" spans="2:21" x14ac:dyDescent="0.25">
      <c r="B393" s="31" t="s">
        <v>23</v>
      </c>
      <c r="C393" s="31">
        <v>64</v>
      </c>
      <c r="D393" s="22" t="s">
        <v>667</v>
      </c>
      <c r="E393" s="22" t="s">
        <v>668</v>
      </c>
      <c r="F393" s="22"/>
      <c r="G393" s="23">
        <v>10</v>
      </c>
      <c r="H393" s="24">
        <v>881</v>
      </c>
      <c r="I393" s="24">
        <v>10</v>
      </c>
      <c r="J393" s="24">
        <v>784</v>
      </c>
      <c r="K393" s="24">
        <v>0</v>
      </c>
      <c r="L393" s="32">
        <v>0</v>
      </c>
      <c r="M393" s="33">
        <v>0</v>
      </c>
      <c r="N393" s="27">
        <v>881</v>
      </c>
      <c r="O393" s="24">
        <v>881</v>
      </c>
      <c r="P393" s="24">
        <v>784</v>
      </c>
      <c r="Q393" s="28">
        <v>1</v>
      </c>
      <c r="R393" s="29">
        <v>0</v>
      </c>
      <c r="S393" s="29">
        <v>1.1200000000000001</v>
      </c>
      <c r="T393" s="29">
        <v>0</v>
      </c>
      <c r="U393" s="30">
        <v>97</v>
      </c>
    </row>
    <row r="394" spans="2:21" x14ac:dyDescent="0.25">
      <c r="B394" s="31" t="s">
        <v>23</v>
      </c>
      <c r="C394" s="31">
        <v>64</v>
      </c>
      <c r="D394" s="22" t="s">
        <v>669</v>
      </c>
      <c r="E394" s="22" t="s">
        <v>670</v>
      </c>
      <c r="F394" s="22"/>
      <c r="G394" s="23">
        <v>32</v>
      </c>
      <c r="H394" s="24">
        <v>2819</v>
      </c>
      <c r="I394" s="24">
        <v>28.160000000000004</v>
      </c>
      <c r="J394" s="24">
        <v>1632</v>
      </c>
      <c r="K394" s="24">
        <v>0</v>
      </c>
      <c r="L394" s="32">
        <v>0</v>
      </c>
      <c r="M394" s="33">
        <v>0</v>
      </c>
      <c r="N394" s="27">
        <v>2480.7200000000003</v>
      </c>
      <c r="O394" s="24">
        <v>2819</v>
      </c>
      <c r="P394" s="24">
        <v>1854.5454545454543</v>
      </c>
      <c r="Q394" s="28">
        <v>0.88</v>
      </c>
      <c r="R394" s="29">
        <v>0</v>
      </c>
      <c r="S394" s="29">
        <v>1.52</v>
      </c>
      <c r="T394" s="29">
        <v>0</v>
      </c>
      <c r="U394" s="30">
        <v>1187</v>
      </c>
    </row>
    <row r="395" spans="2:21" x14ac:dyDescent="0.25">
      <c r="B395" s="31" t="s">
        <v>23</v>
      </c>
      <c r="C395" s="31">
        <v>64</v>
      </c>
      <c r="D395" s="22" t="s">
        <v>671</v>
      </c>
      <c r="E395" s="22" t="s">
        <v>672</v>
      </c>
      <c r="F395" s="22"/>
      <c r="G395" s="23">
        <v>41</v>
      </c>
      <c r="H395" s="24">
        <v>3611</v>
      </c>
      <c r="I395" s="24">
        <v>0</v>
      </c>
      <c r="J395" s="24">
        <v>0</v>
      </c>
      <c r="K395" s="24">
        <v>0</v>
      </c>
      <c r="L395" s="32">
        <v>0</v>
      </c>
      <c r="M395" s="33">
        <v>0</v>
      </c>
      <c r="N395" s="27">
        <v>0</v>
      </c>
      <c r="O395" s="24">
        <v>3611</v>
      </c>
      <c r="P395" s="24">
        <v>3611</v>
      </c>
      <c r="Q395" s="28">
        <v>0</v>
      </c>
      <c r="R395" s="29">
        <v>0</v>
      </c>
      <c r="S395" s="29">
        <v>0</v>
      </c>
      <c r="T395" s="29">
        <v>0</v>
      </c>
      <c r="U395" s="30">
        <v>3611</v>
      </c>
    </row>
    <row r="396" spans="2:21" x14ac:dyDescent="0.25">
      <c r="B396" s="31" t="s">
        <v>23</v>
      </c>
      <c r="C396" s="31">
        <v>64</v>
      </c>
      <c r="D396" s="22" t="s">
        <v>673</v>
      </c>
      <c r="E396" s="22" t="s">
        <v>674</v>
      </c>
      <c r="F396" s="22"/>
      <c r="G396" s="23">
        <v>9</v>
      </c>
      <c r="H396" s="24">
        <v>793</v>
      </c>
      <c r="I396" s="24">
        <v>0</v>
      </c>
      <c r="J396" s="24">
        <v>0</v>
      </c>
      <c r="K396" s="24">
        <v>0</v>
      </c>
      <c r="L396" s="32">
        <v>0</v>
      </c>
      <c r="M396" s="33">
        <v>0</v>
      </c>
      <c r="N396" s="27">
        <v>0</v>
      </c>
      <c r="O396" s="24">
        <v>793</v>
      </c>
      <c r="P396" s="24">
        <v>793</v>
      </c>
      <c r="Q396" s="28">
        <v>0</v>
      </c>
      <c r="R396" s="29">
        <v>0</v>
      </c>
      <c r="S396" s="29">
        <v>0</v>
      </c>
      <c r="T396" s="29">
        <v>0</v>
      </c>
      <c r="U396" s="30">
        <v>793</v>
      </c>
    </row>
    <row r="397" spans="2:21" x14ac:dyDescent="0.25">
      <c r="B397" s="31" t="s">
        <v>23</v>
      </c>
      <c r="C397" s="31">
        <v>64</v>
      </c>
      <c r="D397" s="22" t="s">
        <v>675</v>
      </c>
      <c r="E397" s="22" t="s">
        <v>676</v>
      </c>
      <c r="F397" s="22" t="s">
        <v>33</v>
      </c>
      <c r="G397" s="23">
        <v>54</v>
      </c>
      <c r="H397" s="24">
        <v>4756</v>
      </c>
      <c r="I397" s="24">
        <v>5.1680000000000001</v>
      </c>
      <c r="J397" s="24">
        <v>338.5</v>
      </c>
      <c r="K397" s="24">
        <v>0.74</v>
      </c>
      <c r="L397" s="32">
        <v>50</v>
      </c>
      <c r="M397" s="33">
        <v>65.174814814814823</v>
      </c>
      <c r="N397" s="27">
        <v>455.16681481481481</v>
      </c>
      <c r="O397" s="24">
        <v>4756</v>
      </c>
      <c r="P397" s="24">
        <v>4756</v>
      </c>
      <c r="Q397" s="28">
        <v>0.1</v>
      </c>
      <c r="R397" s="29">
        <v>1.3</v>
      </c>
      <c r="S397" s="29">
        <v>1.34</v>
      </c>
      <c r="T397" s="29">
        <v>50</v>
      </c>
      <c r="U397" s="30">
        <v>4367.5</v>
      </c>
    </row>
    <row r="398" spans="2:21" x14ac:dyDescent="0.25">
      <c r="B398" s="31" t="s">
        <v>23</v>
      </c>
      <c r="C398" s="31">
        <v>64</v>
      </c>
      <c r="D398" s="22" t="s">
        <v>677</v>
      </c>
      <c r="E398" s="22" t="s">
        <v>678</v>
      </c>
      <c r="F398" s="22"/>
      <c r="G398" s="23">
        <v>11</v>
      </c>
      <c r="H398" s="24">
        <v>969</v>
      </c>
      <c r="I398" s="24">
        <v>0</v>
      </c>
      <c r="J398" s="24">
        <v>0</v>
      </c>
      <c r="K398" s="24">
        <v>0</v>
      </c>
      <c r="L398" s="32">
        <v>0</v>
      </c>
      <c r="M398" s="33">
        <v>0</v>
      </c>
      <c r="N398" s="27">
        <v>0</v>
      </c>
      <c r="O398" s="24">
        <v>969</v>
      </c>
      <c r="P398" s="24">
        <v>969</v>
      </c>
      <c r="Q398" s="28">
        <v>0</v>
      </c>
      <c r="R398" s="29">
        <v>0</v>
      </c>
      <c r="S398" s="29">
        <v>0</v>
      </c>
      <c r="T398" s="29">
        <v>0</v>
      </c>
      <c r="U398" s="30">
        <v>969</v>
      </c>
    </row>
    <row r="399" spans="2:21" x14ac:dyDescent="0.25">
      <c r="B399" s="31" t="s">
        <v>23</v>
      </c>
      <c r="C399" s="31">
        <v>64</v>
      </c>
      <c r="D399" s="22" t="s">
        <v>679</v>
      </c>
      <c r="E399" s="22" t="s">
        <v>680</v>
      </c>
      <c r="F399" s="22"/>
      <c r="G399" s="23">
        <v>1</v>
      </c>
      <c r="H399" s="24">
        <v>88</v>
      </c>
      <c r="I399" s="24">
        <v>0</v>
      </c>
      <c r="J399" s="24">
        <v>0</v>
      </c>
      <c r="K399" s="24">
        <v>0</v>
      </c>
      <c r="L399" s="32">
        <v>0</v>
      </c>
      <c r="M399" s="33">
        <v>0</v>
      </c>
      <c r="N399" s="27">
        <v>0</v>
      </c>
      <c r="O399" s="24">
        <v>88</v>
      </c>
      <c r="P399" s="24">
        <v>88</v>
      </c>
      <c r="Q399" s="28">
        <v>0</v>
      </c>
      <c r="R399" s="29">
        <v>0</v>
      </c>
      <c r="S399" s="29">
        <v>0</v>
      </c>
      <c r="T399" s="29">
        <v>0</v>
      </c>
      <c r="U399" s="30">
        <v>88</v>
      </c>
    </row>
    <row r="400" spans="2:21" x14ac:dyDescent="0.25">
      <c r="B400" s="31" t="s">
        <v>23</v>
      </c>
      <c r="C400" s="31">
        <v>64</v>
      </c>
      <c r="D400" s="22" t="s">
        <v>681</v>
      </c>
      <c r="E400" s="22" t="s">
        <v>682</v>
      </c>
      <c r="F400" s="22"/>
      <c r="G400" s="23">
        <v>72</v>
      </c>
      <c r="H400" s="24">
        <v>6342</v>
      </c>
      <c r="I400" s="24">
        <v>0</v>
      </c>
      <c r="J400" s="24">
        <v>0</v>
      </c>
      <c r="K400" s="24">
        <v>0</v>
      </c>
      <c r="L400" s="32">
        <v>0</v>
      </c>
      <c r="M400" s="33">
        <v>0</v>
      </c>
      <c r="N400" s="27">
        <v>0</v>
      </c>
      <c r="O400" s="24">
        <v>6342</v>
      </c>
      <c r="P400" s="24">
        <v>6342</v>
      </c>
      <c r="Q400" s="28">
        <v>0</v>
      </c>
      <c r="R400" s="29">
        <v>0</v>
      </c>
      <c r="S400" s="29">
        <v>0</v>
      </c>
      <c r="T400" s="29">
        <v>0</v>
      </c>
      <c r="U400" s="30">
        <v>6342</v>
      </c>
    </row>
    <row r="401" spans="2:21" x14ac:dyDescent="0.25">
      <c r="B401" s="31" t="s">
        <v>23</v>
      </c>
      <c r="C401" s="31">
        <v>64</v>
      </c>
      <c r="D401" s="22" t="s">
        <v>683</v>
      </c>
      <c r="E401" s="22" t="s">
        <v>684</v>
      </c>
      <c r="F401" s="22"/>
      <c r="G401" s="23">
        <v>12</v>
      </c>
      <c r="H401" s="24">
        <v>1057</v>
      </c>
      <c r="I401" s="24">
        <v>0</v>
      </c>
      <c r="J401" s="24">
        <v>0</v>
      </c>
      <c r="K401" s="24">
        <v>0</v>
      </c>
      <c r="L401" s="32">
        <v>0</v>
      </c>
      <c r="M401" s="33">
        <v>0</v>
      </c>
      <c r="N401" s="27">
        <v>0</v>
      </c>
      <c r="O401" s="24">
        <v>1057</v>
      </c>
      <c r="P401" s="24">
        <v>1057</v>
      </c>
      <c r="Q401" s="28">
        <v>0</v>
      </c>
      <c r="R401" s="29">
        <v>0</v>
      </c>
      <c r="S401" s="29">
        <v>0</v>
      </c>
      <c r="T401" s="29">
        <v>0</v>
      </c>
      <c r="U401" s="30">
        <v>1057</v>
      </c>
    </row>
    <row r="402" spans="2:21" x14ac:dyDescent="0.25">
      <c r="B402" s="31" t="s">
        <v>23</v>
      </c>
      <c r="C402" s="31">
        <v>64</v>
      </c>
      <c r="D402" s="22" t="s">
        <v>685</v>
      </c>
      <c r="E402" s="22" t="s">
        <v>686</v>
      </c>
      <c r="F402" s="22"/>
      <c r="G402" s="23">
        <v>5</v>
      </c>
      <c r="H402" s="24">
        <v>440</v>
      </c>
      <c r="I402" s="24">
        <v>0</v>
      </c>
      <c r="J402" s="24">
        <v>0</v>
      </c>
      <c r="K402" s="24">
        <v>0</v>
      </c>
      <c r="L402" s="32">
        <v>0</v>
      </c>
      <c r="M402" s="33">
        <v>0</v>
      </c>
      <c r="N402" s="27">
        <v>0</v>
      </c>
      <c r="O402" s="24">
        <v>440</v>
      </c>
      <c r="P402" s="24">
        <v>440</v>
      </c>
      <c r="Q402" s="28">
        <v>0</v>
      </c>
      <c r="R402" s="29">
        <v>0</v>
      </c>
      <c r="S402" s="29">
        <v>0</v>
      </c>
      <c r="T402" s="29">
        <v>0</v>
      </c>
      <c r="U402" s="30">
        <v>440</v>
      </c>
    </row>
    <row r="403" spans="2:21" x14ac:dyDescent="0.25">
      <c r="B403" s="31" t="s">
        <v>23</v>
      </c>
      <c r="C403" s="31">
        <v>64</v>
      </c>
      <c r="D403" s="22" t="s">
        <v>687</v>
      </c>
      <c r="E403" s="22" t="s">
        <v>688</v>
      </c>
      <c r="F403" s="22"/>
      <c r="G403" s="23">
        <v>45</v>
      </c>
      <c r="H403" s="24">
        <v>3963</v>
      </c>
      <c r="I403" s="24">
        <v>16.280999999999999</v>
      </c>
      <c r="J403" s="24">
        <v>1028.5</v>
      </c>
      <c r="K403" s="24">
        <v>0</v>
      </c>
      <c r="L403" s="32">
        <v>0</v>
      </c>
      <c r="M403" s="33">
        <v>0</v>
      </c>
      <c r="N403" s="27">
        <v>1433.8133999999998</v>
      </c>
      <c r="O403" s="24">
        <v>3963</v>
      </c>
      <c r="P403" s="24">
        <v>2842.7307904919849</v>
      </c>
      <c r="Q403" s="28">
        <v>0.36</v>
      </c>
      <c r="R403" s="29">
        <v>0</v>
      </c>
      <c r="S403" s="29">
        <v>1.39</v>
      </c>
      <c r="T403" s="29">
        <v>0</v>
      </c>
      <c r="U403" s="30">
        <v>2934.5</v>
      </c>
    </row>
    <row r="404" spans="2:21" x14ac:dyDescent="0.25">
      <c r="B404" s="31" t="s">
        <v>23</v>
      </c>
      <c r="C404" s="31">
        <v>64</v>
      </c>
      <c r="D404" s="22" t="s">
        <v>689</v>
      </c>
      <c r="E404" s="22" t="s">
        <v>690</v>
      </c>
      <c r="F404" s="22"/>
      <c r="G404" s="23">
        <v>31</v>
      </c>
      <c r="H404" s="24">
        <v>2730</v>
      </c>
      <c r="I404" s="24">
        <v>0</v>
      </c>
      <c r="J404" s="24">
        <v>0</v>
      </c>
      <c r="K404" s="24">
        <v>0</v>
      </c>
      <c r="L404" s="32">
        <v>0</v>
      </c>
      <c r="M404" s="33">
        <v>0</v>
      </c>
      <c r="N404" s="27">
        <v>0</v>
      </c>
      <c r="O404" s="24">
        <v>2730</v>
      </c>
      <c r="P404" s="24">
        <v>2730</v>
      </c>
      <c r="Q404" s="28">
        <v>0</v>
      </c>
      <c r="R404" s="29">
        <v>0</v>
      </c>
      <c r="S404" s="29">
        <v>0</v>
      </c>
      <c r="T404" s="29">
        <v>0</v>
      </c>
      <c r="U404" s="30">
        <v>2730</v>
      </c>
    </row>
    <row r="405" spans="2:21" x14ac:dyDescent="0.25">
      <c r="B405" s="31" t="s">
        <v>23</v>
      </c>
      <c r="C405" s="31">
        <v>64</v>
      </c>
      <c r="D405" s="22" t="s">
        <v>691</v>
      </c>
      <c r="E405" s="22" t="s">
        <v>692</v>
      </c>
      <c r="F405" s="22"/>
      <c r="G405" s="23">
        <v>15</v>
      </c>
      <c r="H405" s="24">
        <v>1321</v>
      </c>
      <c r="I405" s="24">
        <v>0</v>
      </c>
      <c r="J405" s="24">
        <v>0</v>
      </c>
      <c r="K405" s="24">
        <v>0</v>
      </c>
      <c r="L405" s="32">
        <v>0</v>
      </c>
      <c r="M405" s="33">
        <v>0</v>
      </c>
      <c r="N405" s="27">
        <v>0</v>
      </c>
      <c r="O405" s="24">
        <v>1321</v>
      </c>
      <c r="P405" s="24">
        <v>1321</v>
      </c>
      <c r="Q405" s="28">
        <v>0</v>
      </c>
      <c r="R405" s="29">
        <v>0</v>
      </c>
      <c r="S405" s="29">
        <v>0</v>
      </c>
      <c r="T405" s="29">
        <v>0</v>
      </c>
      <c r="U405" s="30">
        <v>1321</v>
      </c>
    </row>
    <row r="406" spans="2:21" x14ac:dyDescent="0.25">
      <c r="B406" s="31" t="s">
        <v>23</v>
      </c>
      <c r="C406" s="31">
        <v>64</v>
      </c>
      <c r="D406" s="22" t="s">
        <v>693</v>
      </c>
      <c r="E406" s="22" t="s">
        <v>694</v>
      </c>
      <c r="F406" s="22"/>
      <c r="G406" s="23">
        <v>14</v>
      </c>
      <c r="H406" s="24">
        <v>1233</v>
      </c>
      <c r="I406" s="24">
        <v>6.02</v>
      </c>
      <c r="J406" s="24">
        <v>494</v>
      </c>
      <c r="K406" s="24">
        <v>0</v>
      </c>
      <c r="L406" s="32">
        <v>0</v>
      </c>
      <c r="M406" s="33">
        <v>0</v>
      </c>
      <c r="N406" s="27">
        <v>530.18999999999994</v>
      </c>
      <c r="O406" s="24">
        <v>1233</v>
      </c>
      <c r="P406" s="24">
        <v>1148.8372093023256</v>
      </c>
      <c r="Q406" s="28">
        <v>0.43</v>
      </c>
      <c r="R406" s="29">
        <v>0</v>
      </c>
      <c r="S406" s="29">
        <v>1.07</v>
      </c>
      <c r="T406" s="29">
        <v>0</v>
      </c>
      <c r="U406" s="30">
        <v>739</v>
      </c>
    </row>
    <row r="407" spans="2:21" x14ac:dyDescent="0.25">
      <c r="B407" s="31" t="s">
        <v>23</v>
      </c>
      <c r="C407" s="22">
        <v>65</v>
      </c>
      <c r="D407" s="22" t="s">
        <v>695</v>
      </c>
      <c r="E407" s="22" t="s">
        <v>696</v>
      </c>
      <c r="F407" s="22" t="s">
        <v>44</v>
      </c>
      <c r="G407" s="23">
        <v>0</v>
      </c>
      <c r="H407" s="24">
        <v>0</v>
      </c>
      <c r="I407" s="24">
        <v>0</v>
      </c>
      <c r="J407" s="24">
        <v>0</v>
      </c>
      <c r="K407" s="24">
        <v>0</v>
      </c>
      <c r="L407" s="32">
        <v>0</v>
      </c>
      <c r="M407" s="33">
        <v>0</v>
      </c>
      <c r="N407" s="27">
        <v>0</v>
      </c>
      <c r="O407" s="24">
        <v>0</v>
      </c>
      <c r="P407" s="24">
        <v>0</v>
      </c>
      <c r="Q407" s="28">
        <v>0</v>
      </c>
      <c r="R407" s="29">
        <v>0</v>
      </c>
      <c r="S407" s="29">
        <v>0</v>
      </c>
      <c r="T407" s="29">
        <v>0</v>
      </c>
      <c r="U407" s="30">
        <v>0</v>
      </c>
    </row>
    <row r="408" spans="2:21" x14ac:dyDescent="0.25">
      <c r="B408" s="31" t="s">
        <v>23</v>
      </c>
      <c r="C408" s="31">
        <v>65</v>
      </c>
      <c r="D408" s="22" t="s">
        <v>697</v>
      </c>
      <c r="E408" s="22" t="s">
        <v>698</v>
      </c>
      <c r="F408" s="22"/>
      <c r="G408" s="23">
        <v>23997</v>
      </c>
      <c r="H408" s="24">
        <v>376</v>
      </c>
      <c r="I408" s="24">
        <v>23997</v>
      </c>
      <c r="J408" s="24">
        <v>361.5</v>
      </c>
      <c r="K408" s="24">
        <v>0</v>
      </c>
      <c r="L408" s="32">
        <v>0</v>
      </c>
      <c r="M408" s="33">
        <v>0</v>
      </c>
      <c r="N408" s="27">
        <v>376</v>
      </c>
      <c r="O408" s="24">
        <v>376</v>
      </c>
      <c r="P408" s="24">
        <v>361.5</v>
      </c>
      <c r="Q408" s="28">
        <v>1</v>
      </c>
      <c r="R408" s="29">
        <v>0</v>
      </c>
      <c r="S408" s="29">
        <v>1.04</v>
      </c>
      <c r="T408" s="29">
        <v>0</v>
      </c>
      <c r="U408" s="30">
        <v>14.5</v>
      </c>
    </row>
    <row r="409" spans="2:21" x14ac:dyDescent="0.25">
      <c r="B409" s="31" t="s">
        <v>23</v>
      </c>
      <c r="C409" s="31">
        <v>65</v>
      </c>
      <c r="D409" s="22" t="s">
        <v>699</v>
      </c>
      <c r="E409" s="22" t="s">
        <v>700</v>
      </c>
      <c r="F409" s="22"/>
      <c r="G409" s="23">
        <v>36072</v>
      </c>
      <c r="H409" s="24">
        <v>565</v>
      </c>
      <c r="I409" s="24">
        <v>34217.898999999998</v>
      </c>
      <c r="J409" s="24">
        <v>526.5</v>
      </c>
      <c r="K409" s="24">
        <v>0</v>
      </c>
      <c r="L409" s="32">
        <v>0</v>
      </c>
      <c r="M409" s="33">
        <v>0</v>
      </c>
      <c r="N409" s="27">
        <v>535.9589968673763</v>
      </c>
      <c r="O409" s="24">
        <v>565</v>
      </c>
      <c r="P409" s="24">
        <v>555.02846624218512</v>
      </c>
      <c r="Q409" s="28">
        <v>0.95</v>
      </c>
      <c r="R409" s="29">
        <v>0</v>
      </c>
      <c r="S409" s="29">
        <v>1.02</v>
      </c>
      <c r="T409" s="29">
        <v>0</v>
      </c>
      <c r="U409" s="30">
        <v>38.5</v>
      </c>
    </row>
    <row r="410" spans="2:21" x14ac:dyDescent="0.25">
      <c r="B410" s="31" t="s">
        <v>23</v>
      </c>
      <c r="C410" s="31">
        <v>65</v>
      </c>
      <c r="D410" s="22" t="s">
        <v>701</v>
      </c>
      <c r="E410" s="22" t="s">
        <v>702</v>
      </c>
      <c r="F410" s="22"/>
      <c r="G410" s="23">
        <v>49566</v>
      </c>
      <c r="H410" s="24">
        <v>777</v>
      </c>
      <c r="I410" s="24">
        <v>7434.9</v>
      </c>
      <c r="J410" s="24">
        <v>100</v>
      </c>
      <c r="K410" s="24">
        <v>0</v>
      </c>
      <c r="L410" s="32">
        <v>0</v>
      </c>
      <c r="M410" s="33">
        <v>0</v>
      </c>
      <c r="N410" s="27">
        <v>116.55</v>
      </c>
      <c r="O410" s="24">
        <v>777</v>
      </c>
      <c r="P410" s="24">
        <v>777</v>
      </c>
      <c r="Q410" s="28">
        <v>0.15</v>
      </c>
      <c r="R410" s="29">
        <v>0</v>
      </c>
      <c r="S410" s="29">
        <v>1.17</v>
      </c>
      <c r="T410" s="29">
        <v>0</v>
      </c>
      <c r="U410" s="30">
        <v>677</v>
      </c>
    </row>
    <row r="411" spans="2:21" x14ac:dyDescent="0.25">
      <c r="B411" s="31" t="s">
        <v>23</v>
      </c>
      <c r="C411" s="31">
        <v>65</v>
      </c>
      <c r="D411" s="22" t="s">
        <v>703</v>
      </c>
      <c r="E411" s="22" t="s">
        <v>704</v>
      </c>
      <c r="F411" s="22" t="s">
        <v>33</v>
      </c>
      <c r="G411" s="23">
        <v>444708</v>
      </c>
      <c r="H411" s="24">
        <v>6971</v>
      </c>
      <c r="I411" s="24">
        <v>66839.612000000008</v>
      </c>
      <c r="J411" s="24">
        <v>863</v>
      </c>
      <c r="K411" s="24">
        <v>12318.411</v>
      </c>
      <c r="L411" s="32">
        <v>148</v>
      </c>
      <c r="M411" s="33">
        <v>193.09669059472733</v>
      </c>
      <c r="N411" s="27">
        <v>1047.7412937298184</v>
      </c>
      <c r="O411" s="24">
        <v>6971</v>
      </c>
      <c r="P411" s="24">
        <v>6971</v>
      </c>
      <c r="Q411" s="28">
        <v>0.15</v>
      </c>
      <c r="R411" s="29">
        <v>1.3</v>
      </c>
      <c r="S411" s="29">
        <v>1.21</v>
      </c>
      <c r="T411" s="29">
        <v>148.5</v>
      </c>
      <c r="U411" s="30">
        <v>5959.5</v>
      </c>
    </row>
    <row r="412" spans="2:21" x14ac:dyDescent="0.25">
      <c r="B412" s="31" t="s">
        <v>23</v>
      </c>
      <c r="C412" s="31">
        <v>65</v>
      </c>
      <c r="D412" s="22" t="s">
        <v>705</v>
      </c>
      <c r="E412" s="22" t="s">
        <v>700</v>
      </c>
      <c r="F412" s="22"/>
      <c r="G412" s="23">
        <v>109200</v>
      </c>
      <c r="H412" s="24">
        <v>1712</v>
      </c>
      <c r="I412" s="24">
        <v>44509.920000000006</v>
      </c>
      <c r="J412" s="24">
        <v>678</v>
      </c>
      <c r="K412" s="24">
        <v>0</v>
      </c>
      <c r="L412" s="32">
        <v>0</v>
      </c>
      <c r="M412" s="33">
        <v>0</v>
      </c>
      <c r="N412" s="27">
        <v>697.8112000000001</v>
      </c>
      <c r="O412" s="24">
        <v>1712</v>
      </c>
      <c r="P412" s="24">
        <v>1663.3954857703627</v>
      </c>
      <c r="Q412" s="28">
        <v>0.41</v>
      </c>
      <c r="R412" s="29">
        <v>0</v>
      </c>
      <c r="S412" s="29">
        <v>1.03</v>
      </c>
      <c r="T412" s="29">
        <v>0</v>
      </c>
      <c r="U412" s="30">
        <v>1034</v>
      </c>
    </row>
    <row r="413" spans="2:21" x14ac:dyDescent="0.25">
      <c r="B413" s="31" t="s">
        <v>23</v>
      </c>
      <c r="C413" s="31">
        <v>65</v>
      </c>
      <c r="D413" s="22" t="s">
        <v>706</v>
      </c>
      <c r="E413" s="22" t="s">
        <v>707</v>
      </c>
      <c r="F413" s="22" t="s">
        <v>33</v>
      </c>
      <c r="G413" s="23">
        <v>97892</v>
      </c>
      <c r="H413" s="24">
        <v>1534</v>
      </c>
      <c r="I413" s="24">
        <v>18433.064000000002</v>
      </c>
      <c r="J413" s="24">
        <v>243</v>
      </c>
      <c r="K413" s="24">
        <v>2770.3440000000001</v>
      </c>
      <c r="L413" s="32">
        <v>32</v>
      </c>
      <c r="M413" s="33">
        <v>43.412206268132223</v>
      </c>
      <c r="N413" s="27">
        <v>288.85220626813225</v>
      </c>
      <c r="O413" s="24">
        <v>1534</v>
      </c>
      <c r="P413" s="24">
        <v>1534</v>
      </c>
      <c r="Q413" s="28">
        <v>0.19</v>
      </c>
      <c r="R413" s="29">
        <v>1.36</v>
      </c>
      <c r="S413" s="29">
        <v>1.19</v>
      </c>
      <c r="T413" s="29">
        <v>32.5</v>
      </c>
      <c r="U413" s="30">
        <v>1258.5</v>
      </c>
    </row>
    <row r="414" spans="2:21" x14ac:dyDescent="0.25">
      <c r="B414" s="31" t="s">
        <v>23</v>
      </c>
      <c r="C414" s="31">
        <v>65</v>
      </c>
      <c r="D414" s="22" t="s">
        <v>708</v>
      </c>
      <c r="E414" s="22" t="s">
        <v>709</v>
      </c>
      <c r="F414" s="22"/>
      <c r="G414" s="23">
        <v>24658</v>
      </c>
      <c r="H414" s="24">
        <v>387</v>
      </c>
      <c r="I414" s="24">
        <v>0</v>
      </c>
      <c r="J414" s="24">
        <v>0</v>
      </c>
      <c r="K414" s="24">
        <v>0</v>
      </c>
      <c r="L414" s="32">
        <v>0</v>
      </c>
      <c r="M414" s="33">
        <v>0</v>
      </c>
      <c r="N414" s="27">
        <v>0</v>
      </c>
      <c r="O414" s="24">
        <v>387</v>
      </c>
      <c r="P414" s="24">
        <v>387</v>
      </c>
      <c r="Q414" s="28">
        <v>0</v>
      </c>
      <c r="R414" s="29">
        <v>0</v>
      </c>
      <c r="S414" s="29">
        <v>0</v>
      </c>
      <c r="T414" s="29">
        <v>0</v>
      </c>
      <c r="U414" s="30">
        <v>387</v>
      </c>
    </row>
    <row r="415" spans="2:21" x14ac:dyDescent="0.25">
      <c r="B415" s="31" t="s">
        <v>23</v>
      </c>
      <c r="C415" s="31">
        <v>65</v>
      </c>
      <c r="D415" s="22" t="s">
        <v>710</v>
      </c>
      <c r="E415" s="22" t="s">
        <v>711</v>
      </c>
      <c r="F415" s="22"/>
      <c r="G415" s="23">
        <v>71940</v>
      </c>
      <c r="H415" s="24">
        <v>1128</v>
      </c>
      <c r="I415" s="24">
        <v>41005.799999999996</v>
      </c>
      <c r="J415" s="24">
        <v>518.5</v>
      </c>
      <c r="K415" s="24">
        <v>0</v>
      </c>
      <c r="L415" s="32">
        <v>0</v>
      </c>
      <c r="M415" s="33">
        <v>0</v>
      </c>
      <c r="N415" s="27">
        <v>642.95999999999992</v>
      </c>
      <c r="O415" s="24">
        <v>1128</v>
      </c>
      <c r="P415" s="24">
        <v>909.64912280701765</v>
      </c>
      <c r="Q415" s="28">
        <v>0.56999999999999995</v>
      </c>
      <c r="R415" s="29">
        <v>0</v>
      </c>
      <c r="S415" s="29">
        <v>1.24</v>
      </c>
      <c r="T415" s="29">
        <v>0</v>
      </c>
      <c r="U415" s="30">
        <v>609.5</v>
      </c>
    </row>
    <row r="416" spans="2:21" x14ac:dyDescent="0.25">
      <c r="B416" s="31" t="s">
        <v>23</v>
      </c>
      <c r="C416" s="31">
        <v>65</v>
      </c>
      <c r="D416" s="22" t="s">
        <v>712</v>
      </c>
      <c r="E416" s="22" t="s">
        <v>713</v>
      </c>
      <c r="F416" s="22"/>
      <c r="G416" s="23">
        <v>170280</v>
      </c>
      <c r="H416" s="24">
        <v>2669</v>
      </c>
      <c r="I416" s="24">
        <v>0</v>
      </c>
      <c r="J416" s="24">
        <v>0</v>
      </c>
      <c r="K416" s="24">
        <v>0</v>
      </c>
      <c r="L416" s="32">
        <v>0</v>
      </c>
      <c r="M416" s="33">
        <v>0</v>
      </c>
      <c r="N416" s="27">
        <v>0</v>
      </c>
      <c r="O416" s="24">
        <v>2669</v>
      </c>
      <c r="P416" s="24">
        <v>2669</v>
      </c>
      <c r="Q416" s="28">
        <v>0</v>
      </c>
      <c r="R416" s="29">
        <v>0</v>
      </c>
      <c r="S416" s="29">
        <v>0</v>
      </c>
      <c r="T416" s="29">
        <v>0</v>
      </c>
      <c r="U416" s="30">
        <v>2669</v>
      </c>
    </row>
    <row r="417" spans="2:21" x14ac:dyDescent="0.25">
      <c r="B417" s="31" t="s">
        <v>23</v>
      </c>
      <c r="C417" s="31">
        <v>65</v>
      </c>
      <c r="D417" s="22" t="s">
        <v>714</v>
      </c>
      <c r="E417" s="22" t="s">
        <v>715</v>
      </c>
      <c r="F417" s="22"/>
      <c r="G417" s="23">
        <v>11736</v>
      </c>
      <c r="H417" s="24">
        <v>184</v>
      </c>
      <c r="I417" s="24">
        <v>0</v>
      </c>
      <c r="J417" s="24">
        <v>0</v>
      </c>
      <c r="K417" s="24">
        <v>0</v>
      </c>
      <c r="L417" s="32">
        <v>0</v>
      </c>
      <c r="M417" s="33">
        <v>0</v>
      </c>
      <c r="N417" s="27">
        <v>0</v>
      </c>
      <c r="O417" s="24">
        <v>184</v>
      </c>
      <c r="P417" s="24">
        <v>184</v>
      </c>
      <c r="Q417" s="28">
        <v>0</v>
      </c>
      <c r="R417" s="29">
        <v>0</v>
      </c>
      <c r="S417" s="29">
        <v>0</v>
      </c>
      <c r="T417" s="29">
        <v>0</v>
      </c>
      <c r="U417" s="30">
        <v>184</v>
      </c>
    </row>
    <row r="418" spans="2:21" x14ac:dyDescent="0.25">
      <c r="B418" s="31" t="s">
        <v>23</v>
      </c>
      <c r="C418" s="31">
        <v>65</v>
      </c>
      <c r="D418" s="22" t="s">
        <v>716</v>
      </c>
      <c r="E418" s="22" t="s">
        <v>717</v>
      </c>
      <c r="F418" s="22"/>
      <c r="G418" s="23">
        <v>155728</v>
      </c>
      <c r="H418" s="24">
        <v>2441</v>
      </c>
      <c r="I418" s="24">
        <v>0</v>
      </c>
      <c r="J418" s="24">
        <v>0</v>
      </c>
      <c r="K418" s="24">
        <v>0</v>
      </c>
      <c r="L418" s="32">
        <v>0</v>
      </c>
      <c r="M418" s="33">
        <v>0</v>
      </c>
      <c r="N418" s="27">
        <v>0</v>
      </c>
      <c r="O418" s="24">
        <v>2441</v>
      </c>
      <c r="P418" s="24">
        <v>2441</v>
      </c>
      <c r="Q418" s="28">
        <v>0</v>
      </c>
      <c r="R418" s="29">
        <v>0</v>
      </c>
      <c r="S418" s="29">
        <v>0</v>
      </c>
      <c r="T418" s="29">
        <v>0</v>
      </c>
      <c r="U418" s="30">
        <v>2441</v>
      </c>
    </row>
    <row r="419" spans="2:21" x14ac:dyDescent="0.25">
      <c r="B419" s="31" t="s">
        <v>23</v>
      </c>
      <c r="C419" s="31">
        <v>65</v>
      </c>
      <c r="D419" s="22" t="s">
        <v>718</v>
      </c>
      <c r="E419" s="22" t="s">
        <v>719</v>
      </c>
      <c r="F419" s="22"/>
      <c r="G419" s="23">
        <v>31788</v>
      </c>
      <c r="H419" s="24">
        <v>498</v>
      </c>
      <c r="I419" s="24">
        <v>0</v>
      </c>
      <c r="J419" s="24">
        <v>0</v>
      </c>
      <c r="K419" s="24">
        <v>0</v>
      </c>
      <c r="L419" s="32">
        <v>0</v>
      </c>
      <c r="M419" s="33">
        <v>0</v>
      </c>
      <c r="N419" s="27">
        <v>0</v>
      </c>
      <c r="O419" s="24">
        <v>498</v>
      </c>
      <c r="P419" s="24">
        <v>498</v>
      </c>
      <c r="Q419" s="28">
        <v>0</v>
      </c>
      <c r="R419" s="29">
        <v>0</v>
      </c>
      <c r="S419" s="29">
        <v>0</v>
      </c>
      <c r="T419" s="29">
        <v>0</v>
      </c>
      <c r="U419" s="30">
        <v>498</v>
      </c>
    </row>
    <row r="420" spans="2:21" x14ac:dyDescent="0.25">
      <c r="B420" s="31" t="s">
        <v>23</v>
      </c>
      <c r="C420" s="31">
        <v>65</v>
      </c>
      <c r="D420" s="22" t="s">
        <v>720</v>
      </c>
      <c r="E420" s="22" t="s">
        <v>721</v>
      </c>
      <c r="F420" s="22"/>
      <c r="G420" s="23">
        <v>9240</v>
      </c>
      <c r="H420" s="24">
        <v>145</v>
      </c>
      <c r="I420" s="24">
        <v>0</v>
      </c>
      <c r="J420" s="24">
        <v>0</v>
      </c>
      <c r="K420" s="24">
        <v>0</v>
      </c>
      <c r="L420" s="32">
        <v>0</v>
      </c>
      <c r="M420" s="33">
        <v>0</v>
      </c>
      <c r="N420" s="27">
        <v>0</v>
      </c>
      <c r="O420" s="24">
        <v>145</v>
      </c>
      <c r="P420" s="24">
        <v>145</v>
      </c>
      <c r="Q420" s="28">
        <v>0</v>
      </c>
      <c r="R420" s="29">
        <v>0</v>
      </c>
      <c r="S420" s="29">
        <v>0</v>
      </c>
      <c r="T420" s="29">
        <v>0</v>
      </c>
      <c r="U420" s="30">
        <v>145</v>
      </c>
    </row>
    <row r="421" spans="2:21" x14ac:dyDescent="0.25">
      <c r="B421" s="31" t="s">
        <v>23</v>
      </c>
      <c r="C421" s="31">
        <v>65</v>
      </c>
      <c r="D421" s="22" t="s">
        <v>722</v>
      </c>
      <c r="E421" s="22" t="s">
        <v>723</v>
      </c>
      <c r="F421" s="22"/>
      <c r="G421" s="23">
        <v>127320</v>
      </c>
      <c r="H421" s="24">
        <v>1996</v>
      </c>
      <c r="I421" s="24">
        <v>0</v>
      </c>
      <c r="J421" s="24">
        <v>0</v>
      </c>
      <c r="K421" s="24">
        <v>0</v>
      </c>
      <c r="L421" s="32">
        <v>0</v>
      </c>
      <c r="M421" s="33">
        <v>0</v>
      </c>
      <c r="N421" s="27">
        <v>0</v>
      </c>
      <c r="O421" s="24">
        <v>1996</v>
      </c>
      <c r="P421" s="24">
        <v>1996</v>
      </c>
      <c r="Q421" s="28">
        <v>0</v>
      </c>
      <c r="R421" s="29">
        <v>0</v>
      </c>
      <c r="S421" s="29">
        <v>0</v>
      </c>
      <c r="T421" s="29">
        <v>0</v>
      </c>
      <c r="U421" s="30">
        <v>1996</v>
      </c>
    </row>
    <row r="422" spans="2:21" x14ac:dyDescent="0.25">
      <c r="B422" s="31" t="s">
        <v>23</v>
      </c>
      <c r="C422" s="31">
        <v>65</v>
      </c>
      <c r="D422" s="22" t="s">
        <v>724</v>
      </c>
      <c r="E422" s="22" t="s">
        <v>725</v>
      </c>
      <c r="F422" s="22"/>
      <c r="G422" s="23">
        <v>26116</v>
      </c>
      <c r="H422" s="24">
        <v>409</v>
      </c>
      <c r="I422" s="24">
        <v>2170.2399999999998</v>
      </c>
      <c r="J422" s="24">
        <v>0</v>
      </c>
      <c r="K422" s="24">
        <v>0</v>
      </c>
      <c r="L422" s="32">
        <v>0</v>
      </c>
      <c r="M422" s="33">
        <v>0</v>
      </c>
      <c r="N422" s="27">
        <v>33.987906264359012</v>
      </c>
      <c r="O422" s="24">
        <v>409</v>
      </c>
      <c r="P422" s="24">
        <v>409</v>
      </c>
      <c r="Q422" s="28">
        <v>0.08</v>
      </c>
      <c r="R422" s="29">
        <v>0</v>
      </c>
      <c r="S422" s="29">
        <v>0</v>
      </c>
      <c r="T422" s="29">
        <v>0</v>
      </c>
      <c r="U422" s="30">
        <v>409</v>
      </c>
    </row>
    <row r="423" spans="2:21" x14ac:dyDescent="0.25">
      <c r="B423" s="31" t="s">
        <v>23</v>
      </c>
      <c r="C423" s="31">
        <v>65</v>
      </c>
      <c r="D423" s="22" t="s">
        <v>726</v>
      </c>
      <c r="E423" s="22" t="s">
        <v>727</v>
      </c>
      <c r="F423" s="22"/>
      <c r="G423" s="23">
        <v>24240</v>
      </c>
      <c r="H423" s="24">
        <v>380</v>
      </c>
      <c r="I423" s="24">
        <v>0</v>
      </c>
      <c r="J423" s="24">
        <v>0</v>
      </c>
      <c r="K423" s="24">
        <v>0</v>
      </c>
      <c r="L423" s="32">
        <v>0</v>
      </c>
      <c r="M423" s="33">
        <v>0</v>
      </c>
      <c r="N423" s="27">
        <v>0</v>
      </c>
      <c r="O423" s="24">
        <v>380</v>
      </c>
      <c r="P423" s="24">
        <v>380</v>
      </c>
      <c r="Q423" s="28">
        <v>0</v>
      </c>
      <c r="R423" s="29">
        <v>0</v>
      </c>
      <c r="S423" s="29">
        <v>0</v>
      </c>
      <c r="T423" s="29">
        <v>0</v>
      </c>
      <c r="U423" s="30">
        <v>380</v>
      </c>
    </row>
    <row r="424" spans="2:21" x14ac:dyDescent="0.25">
      <c r="B424" s="31" t="s">
        <v>23</v>
      </c>
      <c r="C424" s="31">
        <v>65</v>
      </c>
      <c r="D424" s="22" t="s">
        <v>728</v>
      </c>
      <c r="E424" s="22" t="s">
        <v>729</v>
      </c>
      <c r="F424" s="22"/>
      <c r="G424" s="23">
        <v>130596</v>
      </c>
      <c r="H424" s="24">
        <v>2047</v>
      </c>
      <c r="I424" s="24">
        <v>0</v>
      </c>
      <c r="J424" s="24">
        <v>0</v>
      </c>
      <c r="K424" s="24">
        <v>0</v>
      </c>
      <c r="L424" s="32">
        <v>0</v>
      </c>
      <c r="M424" s="33">
        <v>0</v>
      </c>
      <c r="N424" s="27">
        <v>0</v>
      </c>
      <c r="O424" s="24">
        <v>2047</v>
      </c>
      <c r="P424" s="24">
        <v>2047</v>
      </c>
      <c r="Q424" s="28">
        <v>0</v>
      </c>
      <c r="R424" s="29">
        <v>0</v>
      </c>
      <c r="S424" s="29">
        <v>0</v>
      </c>
      <c r="T424" s="29">
        <v>0</v>
      </c>
      <c r="U424" s="30">
        <v>2047</v>
      </c>
    </row>
    <row r="425" spans="2:21" x14ac:dyDescent="0.25">
      <c r="B425" s="31" t="s">
        <v>23</v>
      </c>
      <c r="C425" s="31">
        <v>65</v>
      </c>
      <c r="D425" s="22" t="s">
        <v>730</v>
      </c>
      <c r="E425" s="22" t="s">
        <v>731</v>
      </c>
      <c r="F425" s="22"/>
      <c r="G425" s="23">
        <v>81030</v>
      </c>
      <c r="H425" s="24">
        <v>1270</v>
      </c>
      <c r="I425" s="24">
        <v>0</v>
      </c>
      <c r="J425" s="24">
        <v>0</v>
      </c>
      <c r="K425" s="24">
        <v>0</v>
      </c>
      <c r="L425" s="32">
        <v>0</v>
      </c>
      <c r="M425" s="33">
        <v>0</v>
      </c>
      <c r="N425" s="27">
        <v>0</v>
      </c>
      <c r="O425" s="24">
        <v>1270</v>
      </c>
      <c r="P425" s="24">
        <v>1270</v>
      </c>
      <c r="Q425" s="28">
        <v>0</v>
      </c>
      <c r="R425" s="29">
        <v>0</v>
      </c>
      <c r="S425" s="29">
        <v>0</v>
      </c>
      <c r="T425" s="29">
        <v>0</v>
      </c>
      <c r="U425" s="30">
        <v>1270</v>
      </c>
    </row>
    <row r="426" spans="2:21" x14ac:dyDescent="0.25">
      <c r="B426" s="31" t="s">
        <v>23</v>
      </c>
      <c r="C426" s="31">
        <v>65</v>
      </c>
      <c r="D426" s="22" t="s">
        <v>732</v>
      </c>
      <c r="E426" s="22" t="s">
        <v>733</v>
      </c>
      <c r="F426" s="22"/>
      <c r="G426" s="23">
        <v>33438</v>
      </c>
      <c r="H426" s="24">
        <v>524</v>
      </c>
      <c r="I426" s="24">
        <v>0</v>
      </c>
      <c r="J426" s="24">
        <v>0</v>
      </c>
      <c r="K426" s="24">
        <v>0</v>
      </c>
      <c r="L426" s="32">
        <v>0</v>
      </c>
      <c r="M426" s="33">
        <v>0</v>
      </c>
      <c r="N426" s="27">
        <v>0</v>
      </c>
      <c r="O426" s="24">
        <v>524</v>
      </c>
      <c r="P426" s="24">
        <v>524</v>
      </c>
      <c r="Q426" s="28">
        <v>0</v>
      </c>
      <c r="R426" s="29">
        <v>0</v>
      </c>
      <c r="S426" s="29">
        <v>0</v>
      </c>
      <c r="T426" s="29">
        <v>0</v>
      </c>
      <c r="U426" s="30">
        <v>524</v>
      </c>
    </row>
    <row r="427" spans="2:21" x14ac:dyDescent="0.25">
      <c r="B427" s="31" t="s">
        <v>23</v>
      </c>
      <c r="C427" s="31">
        <v>65</v>
      </c>
      <c r="D427" s="22" t="s">
        <v>734</v>
      </c>
      <c r="E427" s="22" t="s">
        <v>735</v>
      </c>
      <c r="F427" s="22"/>
      <c r="G427" s="23">
        <v>17157</v>
      </c>
      <c r="H427" s="24">
        <v>269</v>
      </c>
      <c r="I427" s="24">
        <v>0</v>
      </c>
      <c r="J427" s="24">
        <v>0</v>
      </c>
      <c r="K427" s="24">
        <v>0</v>
      </c>
      <c r="L427" s="32">
        <v>0</v>
      </c>
      <c r="M427" s="33">
        <v>0</v>
      </c>
      <c r="N427" s="27">
        <v>0</v>
      </c>
      <c r="O427" s="24">
        <v>269</v>
      </c>
      <c r="P427" s="24">
        <v>269</v>
      </c>
      <c r="Q427" s="28">
        <v>0</v>
      </c>
      <c r="R427" s="29">
        <v>0</v>
      </c>
      <c r="S427" s="29">
        <v>0</v>
      </c>
      <c r="T427" s="29">
        <v>0</v>
      </c>
      <c r="U427" s="30">
        <v>269</v>
      </c>
    </row>
    <row r="428" spans="2:21" x14ac:dyDescent="0.25">
      <c r="B428" s="31" t="s">
        <v>23</v>
      </c>
      <c r="C428" s="22">
        <v>70</v>
      </c>
      <c r="D428" s="22" t="s">
        <v>736</v>
      </c>
      <c r="E428" s="22" t="s">
        <v>737</v>
      </c>
      <c r="F428" s="22"/>
      <c r="G428" s="23">
        <v>1201</v>
      </c>
      <c r="H428" s="24">
        <v>10931.94</v>
      </c>
      <c r="I428" s="24">
        <v>0</v>
      </c>
      <c r="J428" s="24">
        <v>0</v>
      </c>
      <c r="K428" s="24">
        <v>0</v>
      </c>
      <c r="L428" s="32">
        <v>0</v>
      </c>
      <c r="M428" s="33">
        <v>0</v>
      </c>
      <c r="N428" s="27">
        <v>0</v>
      </c>
      <c r="O428" s="24">
        <v>10931.94</v>
      </c>
      <c r="P428" s="24">
        <v>10931.94</v>
      </c>
      <c r="Q428" s="28">
        <v>0</v>
      </c>
      <c r="R428" s="29">
        <v>0</v>
      </c>
      <c r="S428" s="29">
        <v>0</v>
      </c>
      <c r="T428" s="29">
        <v>0</v>
      </c>
      <c r="U428" s="30">
        <v>10931.94</v>
      </c>
    </row>
    <row r="429" spans="2:21" x14ac:dyDescent="0.25">
      <c r="B429" s="31" t="s">
        <v>23</v>
      </c>
      <c r="C429" s="31">
        <v>70</v>
      </c>
      <c r="D429" s="22" t="s">
        <v>738</v>
      </c>
      <c r="E429" s="22" t="s">
        <v>539</v>
      </c>
      <c r="F429" s="22" t="s">
        <v>44</v>
      </c>
      <c r="G429" s="23">
        <v>0</v>
      </c>
      <c r="H429" s="24">
        <v>131488</v>
      </c>
      <c r="I429" s="24">
        <v>0</v>
      </c>
      <c r="J429" s="24">
        <v>0</v>
      </c>
      <c r="K429" s="24">
        <v>0</v>
      </c>
      <c r="L429" s="32">
        <v>0</v>
      </c>
      <c r="M429" s="33">
        <v>0</v>
      </c>
      <c r="N429" s="27">
        <v>0</v>
      </c>
      <c r="O429" s="24">
        <v>0</v>
      </c>
      <c r="P429" s="24">
        <v>0</v>
      </c>
      <c r="Q429" s="28">
        <v>0</v>
      </c>
      <c r="R429" s="29">
        <v>0</v>
      </c>
      <c r="S429" s="29">
        <v>0</v>
      </c>
      <c r="T429" s="29">
        <v>0</v>
      </c>
      <c r="U429" s="30">
        <v>131488</v>
      </c>
    </row>
    <row r="430" spans="2:21" x14ac:dyDescent="0.25">
      <c r="B430" s="31" t="s">
        <v>23</v>
      </c>
      <c r="C430" s="22">
        <v>71</v>
      </c>
      <c r="D430" s="22" t="s">
        <v>739</v>
      </c>
      <c r="E430" s="22" t="s">
        <v>740</v>
      </c>
      <c r="F430" s="22" t="s">
        <v>44</v>
      </c>
      <c r="G430" s="23">
        <v>0</v>
      </c>
      <c r="H430" s="24">
        <v>200</v>
      </c>
      <c r="I430" s="24">
        <v>0</v>
      </c>
      <c r="J430" s="24">
        <v>0</v>
      </c>
      <c r="K430" s="24">
        <v>0</v>
      </c>
      <c r="L430" s="32">
        <v>0</v>
      </c>
      <c r="M430" s="33">
        <v>0</v>
      </c>
      <c r="N430" s="27">
        <v>0</v>
      </c>
      <c r="O430" s="24">
        <v>200</v>
      </c>
      <c r="P430" s="24">
        <v>200</v>
      </c>
      <c r="Q430" s="28">
        <v>0</v>
      </c>
      <c r="R430" s="29">
        <v>0</v>
      </c>
      <c r="S430" s="29">
        <v>0</v>
      </c>
      <c r="T430" s="29">
        <v>0</v>
      </c>
      <c r="U430" s="30">
        <v>200</v>
      </c>
    </row>
    <row r="431" spans="2:21" x14ac:dyDescent="0.25">
      <c r="B431" s="31" t="s">
        <v>23</v>
      </c>
      <c r="C431" s="31">
        <v>71</v>
      </c>
      <c r="D431" s="22" t="s">
        <v>741</v>
      </c>
      <c r="E431" s="22" t="s">
        <v>742</v>
      </c>
      <c r="F431" s="22" t="s">
        <v>33</v>
      </c>
      <c r="G431" s="23">
        <v>111920</v>
      </c>
      <c r="H431" s="24">
        <v>38511</v>
      </c>
      <c r="I431" s="24">
        <v>9345.3199999999979</v>
      </c>
      <c r="J431" s="24">
        <v>2287.5</v>
      </c>
      <c r="K431" s="24">
        <v>2227.2080000000001</v>
      </c>
      <c r="L431" s="32">
        <v>691</v>
      </c>
      <c r="M431" s="33">
        <v>766.36890000000005</v>
      </c>
      <c r="N431" s="27">
        <v>3215.6684999999993</v>
      </c>
      <c r="O431" s="24">
        <v>38511</v>
      </c>
      <c r="P431" s="24">
        <v>38511</v>
      </c>
      <c r="Q431" s="28">
        <v>0.08</v>
      </c>
      <c r="R431" s="29">
        <v>1.1100000000000001</v>
      </c>
      <c r="S431" s="29">
        <v>1.41</v>
      </c>
      <c r="T431" s="29">
        <v>691</v>
      </c>
      <c r="U431" s="30">
        <v>35532.5</v>
      </c>
    </row>
    <row r="432" spans="2:21" x14ac:dyDescent="0.25">
      <c r="B432" s="31" t="s">
        <v>23</v>
      </c>
      <c r="C432" s="22">
        <v>72</v>
      </c>
      <c r="D432" s="22" t="s">
        <v>743</v>
      </c>
      <c r="E432" s="22" t="s">
        <v>744</v>
      </c>
      <c r="F432" s="22"/>
      <c r="G432" s="23">
        <v>13961</v>
      </c>
      <c r="H432" s="24">
        <v>1.9099999999998545</v>
      </c>
      <c r="I432" s="24">
        <v>0</v>
      </c>
      <c r="J432" s="24">
        <v>0</v>
      </c>
      <c r="K432" s="24">
        <v>0</v>
      </c>
      <c r="L432" s="32">
        <v>0</v>
      </c>
      <c r="M432" s="33">
        <v>0</v>
      </c>
      <c r="N432" s="27">
        <v>0</v>
      </c>
      <c r="O432" s="24">
        <v>1.9099999999998545</v>
      </c>
      <c r="P432" s="24">
        <v>1.9099999999998545</v>
      </c>
      <c r="Q432" s="28">
        <v>0</v>
      </c>
      <c r="R432" s="29">
        <v>0</v>
      </c>
      <c r="S432" s="29">
        <v>0</v>
      </c>
      <c r="T432" s="29">
        <v>0</v>
      </c>
      <c r="U432" s="30">
        <v>1.9099999999998545</v>
      </c>
    </row>
    <row r="433" spans="2:21" x14ac:dyDescent="0.25">
      <c r="B433" s="31" t="s">
        <v>23</v>
      </c>
      <c r="C433" s="31">
        <v>72</v>
      </c>
      <c r="D433" s="22" t="s">
        <v>745</v>
      </c>
      <c r="E433" s="22" t="s">
        <v>746</v>
      </c>
      <c r="F433" s="22" t="s">
        <v>132</v>
      </c>
      <c r="G433" s="23">
        <v>5600</v>
      </c>
      <c r="H433" s="24">
        <v>3753</v>
      </c>
      <c r="I433" s="24">
        <v>5096</v>
      </c>
      <c r="J433" s="24">
        <v>3159</v>
      </c>
      <c r="K433" s="24">
        <v>0</v>
      </c>
      <c r="L433" s="32">
        <v>192</v>
      </c>
      <c r="M433" s="33">
        <v>0</v>
      </c>
      <c r="N433" s="27">
        <v>3415.23</v>
      </c>
      <c r="O433" s="24">
        <v>3753</v>
      </c>
      <c r="P433" s="24">
        <v>3471.4285714285711</v>
      </c>
      <c r="Q433" s="28">
        <v>0.91</v>
      </c>
      <c r="R433" s="29">
        <v>0</v>
      </c>
      <c r="S433" s="29">
        <v>1.08</v>
      </c>
      <c r="T433" s="29">
        <v>192</v>
      </c>
      <c r="U433" s="30">
        <v>402</v>
      </c>
    </row>
    <row r="434" spans="2:21" x14ac:dyDescent="0.25">
      <c r="B434" s="31" t="s">
        <v>23</v>
      </c>
      <c r="C434" s="31">
        <v>72</v>
      </c>
      <c r="D434" s="22" t="s">
        <v>747</v>
      </c>
      <c r="E434" s="22" t="s">
        <v>748</v>
      </c>
      <c r="F434" s="22" t="s">
        <v>140</v>
      </c>
      <c r="G434" s="23">
        <v>104</v>
      </c>
      <c r="H434" s="24">
        <v>100</v>
      </c>
      <c r="I434" s="24">
        <v>104</v>
      </c>
      <c r="J434" s="24">
        <v>264.5</v>
      </c>
      <c r="K434" s="24">
        <v>0</v>
      </c>
      <c r="L434" s="32">
        <v>0</v>
      </c>
      <c r="M434" s="33">
        <v>0</v>
      </c>
      <c r="N434" s="27">
        <v>100</v>
      </c>
      <c r="O434" s="24">
        <v>100</v>
      </c>
      <c r="P434" s="24">
        <v>264.5</v>
      </c>
      <c r="Q434" s="28">
        <v>1</v>
      </c>
      <c r="R434" s="29">
        <v>0</v>
      </c>
      <c r="S434" s="29">
        <v>0.38</v>
      </c>
      <c r="T434" s="29">
        <v>0</v>
      </c>
      <c r="U434" s="30">
        <v>-164.5</v>
      </c>
    </row>
    <row r="435" spans="2:21" x14ac:dyDescent="0.25">
      <c r="B435" s="31" t="s">
        <v>23</v>
      </c>
      <c r="C435" s="31">
        <v>72</v>
      </c>
      <c r="D435" s="22" t="s">
        <v>749</v>
      </c>
      <c r="E435" s="22" t="s">
        <v>750</v>
      </c>
      <c r="F435" s="22" t="s">
        <v>140</v>
      </c>
      <c r="G435" s="23">
        <v>1000</v>
      </c>
      <c r="H435" s="24">
        <v>900</v>
      </c>
      <c r="I435" s="24">
        <v>955.99999999999989</v>
      </c>
      <c r="J435" s="24">
        <v>1082.5</v>
      </c>
      <c r="K435" s="24">
        <v>0</v>
      </c>
      <c r="L435" s="32">
        <v>0</v>
      </c>
      <c r="M435" s="33">
        <v>0</v>
      </c>
      <c r="N435" s="27">
        <v>860.39999999999986</v>
      </c>
      <c r="O435" s="24">
        <v>900</v>
      </c>
      <c r="P435" s="24">
        <v>1132.3221757322178</v>
      </c>
      <c r="Q435" s="28">
        <v>0.96</v>
      </c>
      <c r="R435" s="29">
        <v>0</v>
      </c>
      <c r="S435" s="29">
        <v>0.79</v>
      </c>
      <c r="T435" s="29">
        <v>0</v>
      </c>
      <c r="U435" s="30">
        <v>-182.5</v>
      </c>
    </row>
    <row r="436" spans="2:21" x14ac:dyDescent="0.25">
      <c r="B436" s="31" t="s">
        <v>23</v>
      </c>
      <c r="C436" s="31">
        <v>72</v>
      </c>
      <c r="D436" s="22" t="s">
        <v>751</v>
      </c>
      <c r="E436" s="22" t="s">
        <v>752</v>
      </c>
      <c r="F436" s="22"/>
      <c r="G436" s="23">
        <v>44</v>
      </c>
      <c r="H436" s="24">
        <v>75</v>
      </c>
      <c r="I436" s="24">
        <v>0</v>
      </c>
      <c r="J436" s="24">
        <v>0</v>
      </c>
      <c r="K436" s="24">
        <v>0</v>
      </c>
      <c r="L436" s="32">
        <v>0</v>
      </c>
      <c r="M436" s="33">
        <v>0</v>
      </c>
      <c r="N436" s="27">
        <v>0</v>
      </c>
      <c r="O436" s="24">
        <v>75</v>
      </c>
      <c r="P436" s="24">
        <v>75</v>
      </c>
      <c r="Q436" s="28">
        <v>0</v>
      </c>
      <c r="R436" s="29">
        <v>0</v>
      </c>
      <c r="S436" s="29">
        <v>0</v>
      </c>
      <c r="T436" s="29">
        <v>0</v>
      </c>
      <c r="U436" s="30">
        <v>75</v>
      </c>
    </row>
    <row r="437" spans="2:21" x14ac:dyDescent="0.25">
      <c r="B437" s="31" t="s">
        <v>23</v>
      </c>
      <c r="C437" s="31">
        <v>72</v>
      </c>
      <c r="D437" s="22" t="s">
        <v>753</v>
      </c>
      <c r="E437" s="22" t="s">
        <v>754</v>
      </c>
      <c r="F437" s="22" t="s">
        <v>1316</v>
      </c>
      <c r="G437" s="23">
        <v>2792</v>
      </c>
      <c r="H437" s="24">
        <v>3308</v>
      </c>
      <c r="I437" s="24">
        <v>10760.922</v>
      </c>
      <c r="J437" s="24">
        <v>6347</v>
      </c>
      <c r="K437" s="24">
        <v>750.76199999999994</v>
      </c>
      <c r="L437" s="32">
        <v>452</v>
      </c>
      <c r="M437" s="33">
        <v>889.51314326647559</v>
      </c>
      <c r="N437" s="27">
        <v>12749.688386819484</v>
      </c>
      <c r="O437" s="24">
        <v>3308</v>
      </c>
      <c r="P437" s="24">
        <v>1646.775620155968</v>
      </c>
      <c r="Q437" s="28">
        <v>3.85</v>
      </c>
      <c r="R437" s="29">
        <v>1.97</v>
      </c>
      <c r="S437" s="29">
        <v>2.0099999999999998</v>
      </c>
      <c r="T437" s="29">
        <v>447</v>
      </c>
      <c r="U437" s="30">
        <v>-3486</v>
      </c>
    </row>
    <row r="438" spans="2:21" x14ac:dyDescent="0.25">
      <c r="B438" s="31" t="s">
        <v>23</v>
      </c>
      <c r="C438" s="31">
        <v>72</v>
      </c>
      <c r="D438" s="22" t="s">
        <v>755</v>
      </c>
      <c r="E438" s="22" t="s">
        <v>756</v>
      </c>
      <c r="F438" s="22" t="s">
        <v>44</v>
      </c>
      <c r="G438" s="23">
        <v>0</v>
      </c>
      <c r="H438" s="24">
        <v>0</v>
      </c>
      <c r="I438" s="24">
        <v>0</v>
      </c>
      <c r="J438" s="24">
        <v>0</v>
      </c>
      <c r="K438" s="24">
        <v>0</v>
      </c>
      <c r="L438" s="32">
        <v>0</v>
      </c>
      <c r="M438" s="33">
        <v>0</v>
      </c>
      <c r="N438" s="27">
        <v>0</v>
      </c>
      <c r="O438" s="24">
        <v>0</v>
      </c>
      <c r="P438" s="24">
        <v>0</v>
      </c>
      <c r="Q438" s="28">
        <v>0</v>
      </c>
      <c r="R438" s="29">
        <v>0</v>
      </c>
      <c r="S438" s="29">
        <v>0</v>
      </c>
      <c r="T438" s="29">
        <v>0</v>
      </c>
      <c r="U438" s="30">
        <v>0</v>
      </c>
    </row>
    <row r="439" spans="2:21" x14ac:dyDescent="0.25">
      <c r="B439" s="31" t="s">
        <v>23</v>
      </c>
      <c r="C439" s="22">
        <v>73</v>
      </c>
      <c r="D439" s="22" t="s">
        <v>757</v>
      </c>
      <c r="E439" s="22" t="s">
        <v>758</v>
      </c>
      <c r="F439" s="22" t="s">
        <v>44</v>
      </c>
      <c r="G439" s="23">
        <v>0</v>
      </c>
      <c r="H439" s="24">
        <v>0.48999999999978172</v>
      </c>
      <c r="I439" s="24">
        <v>0</v>
      </c>
      <c r="J439" s="24">
        <v>0</v>
      </c>
      <c r="K439" s="24">
        <v>0</v>
      </c>
      <c r="L439" s="32">
        <v>0</v>
      </c>
      <c r="M439" s="33">
        <v>0</v>
      </c>
      <c r="N439" s="27">
        <v>0</v>
      </c>
      <c r="O439" s="24">
        <v>-2.2737367544323206E-13</v>
      </c>
      <c r="P439" s="24">
        <v>-2.2737367544323206E-13</v>
      </c>
      <c r="Q439" s="28">
        <v>0</v>
      </c>
      <c r="R439" s="29">
        <v>0</v>
      </c>
      <c r="S439" s="29">
        <v>0</v>
      </c>
      <c r="T439" s="29">
        <v>0</v>
      </c>
      <c r="U439" s="30">
        <v>0.48999999999978172</v>
      </c>
    </row>
    <row r="440" spans="2:21" x14ac:dyDescent="0.25">
      <c r="B440" s="31" t="s">
        <v>23</v>
      </c>
      <c r="C440" s="31">
        <v>73</v>
      </c>
      <c r="D440" s="22" t="s">
        <v>759</v>
      </c>
      <c r="E440" s="22" t="s">
        <v>760</v>
      </c>
      <c r="F440" s="22" t="s">
        <v>33</v>
      </c>
      <c r="G440" s="23">
        <v>5254</v>
      </c>
      <c r="H440" s="24">
        <v>5167</v>
      </c>
      <c r="I440" s="24">
        <v>609.46400000000006</v>
      </c>
      <c r="J440" s="24">
        <v>494</v>
      </c>
      <c r="K440" s="24">
        <v>57.793999999999997</v>
      </c>
      <c r="L440" s="32">
        <v>50</v>
      </c>
      <c r="M440" s="33">
        <v>56.836999999999996</v>
      </c>
      <c r="N440" s="27">
        <v>599.37200000000007</v>
      </c>
      <c r="O440" s="24">
        <v>5167</v>
      </c>
      <c r="P440" s="24">
        <v>5167</v>
      </c>
      <c r="Q440" s="28">
        <v>0.12</v>
      </c>
      <c r="R440" s="29">
        <v>1.1399999999999999</v>
      </c>
      <c r="S440" s="29">
        <v>1.21</v>
      </c>
      <c r="T440" s="29">
        <v>50.5</v>
      </c>
      <c r="U440" s="30">
        <v>4622.5</v>
      </c>
    </row>
    <row r="441" spans="2:21" x14ac:dyDescent="0.25">
      <c r="B441" s="31" t="s">
        <v>23</v>
      </c>
      <c r="C441" s="31">
        <v>73</v>
      </c>
      <c r="D441" s="22" t="s">
        <v>761</v>
      </c>
      <c r="E441" s="22" t="s">
        <v>762</v>
      </c>
      <c r="F441" s="22"/>
      <c r="G441" s="23">
        <v>28</v>
      </c>
      <c r="H441" s="24">
        <v>75</v>
      </c>
      <c r="I441" s="24">
        <v>28</v>
      </c>
      <c r="J441" s="24">
        <v>65</v>
      </c>
      <c r="K441" s="24">
        <v>0</v>
      </c>
      <c r="L441" s="32">
        <v>0</v>
      </c>
      <c r="M441" s="33">
        <v>0</v>
      </c>
      <c r="N441" s="27">
        <v>75</v>
      </c>
      <c r="O441" s="24">
        <v>75</v>
      </c>
      <c r="P441" s="24">
        <v>65</v>
      </c>
      <c r="Q441" s="28">
        <v>1</v>
      </c>
      <c r="R441" s="29">
        <v>0</v>
      </c>
      <c r="S441" s="29">
        <v>1.1499999999999999</v>
      </c>
      <c r="T441" s="29">
        <v>0</v>
      </c>
      <c r="U441" s="30">
        <v>10</v>
      </c>
    </row>
    <row r="442" spans="2:21" x14ac:dyDescent="0.25">
      <c r="B442" s="31" t="s">
        <v>23</v>
      </c>
      <c r="C442" s="31">
        <v>73</v>
      </c>
      <c r="D442" s="22" t="s">
        <v>763</v>
      </c>
      <c r="E442" s="22" t="s">
        <v>764</v>
      </c>
      <c r="F442" s="22" t="s">
        <v>140</v>
      </c>
      <c r="G442" s="23">
        <v>12</v>
      </c>
      <c r="H442" s="24">
        <v>50</v>
      </c>
      <c r="I442" s="24">
        <v>12</v>
      </c>
      <c r="J442" s="24">
        <v>284.5</v>
      </c>
      <c r="K442" s="24">
        <v>0</v>
      </c>
      <c r="L442" s="32">
        <v>0</v>
      </c>
      <c r="M442" s="33">
        <v>0</v>
      </c>
      <c r="N442" s="27">
        <v>50</v>
      </c>
      <c r="O442" s="24">
        <v>50</v>
      </c>
      <c r="P442" s="24">
        <v>284.5</v>
      </c>
      <c r="Q442" s="28">
        <v>1</v>
      </c>
      <c r="R442" s="29">
        <v>0</v>
      </c>
      <c r="S442" s="29">
        <v>0.18</v>
      </c>
      <c r="T442" s="29">
        <v>0</v>
      </c>
      <c r="U442" s="30">
        <v>-234.5</v>
      </c>
    </row>
    <row r="443" spans="2:21" x14ac:dyDescent="0.25">
      <c r="B443" s="31" t="s">
        <v>23</v>
      </c>
      <c r="C443" s="31">
        <v>73</v>
      </c>
      <c r="D443" s="22" t="s">
        <v>765</v>
      </c>
      <c r="E443" s="22" t="s">
        <v>766</v>
      </c>
      <c r="F443" s="22"/>
      <c r="G443" s="23">
        <v>12</v>
      </c>
      <c r="H443" s="24">
        <v>50</v>
      </c>
      <c r="I443" s="24">
        <v>0</v>
      </c>
      <c r="J443" s="24">
        <v>0</v>
      </c>
      <c r="K443" s="24">
        <v>0</v>
      </c>
      <c r="L443" s="32">
        <v>0</v>
      </c>
      <c r="M443" s="33">
        <v>0</v>
      </c>
      <c r="N443" s="27">
        <v>0</v>
      </c>
      <c r="O443" s="24">
        <v>50</v>
      </c>
      <c r="P443" s="24">
        <v>50</v>
      </c>
      <c r="Q443" s="28">
        <v>0</v>
      </c>
      <c r="R443" s="29">
        <v>0</v>
      </c>
      <c r="S443" s="29">
        <v>0</v>
      </c>
      <c r="T443" s="29">
        <v>0</v>
      </c>
      <c r="U443" s="30">
        <v>50</v>
      </c>
    </row>
    <row r="444" spans="2:21" x14ac:dyDescent="0.25">
      <c r="B444" s="31" t="s">
        <v>23</v>
      </c>
      <c r="C444" s="31">
        <v>73</v>
      </c>
      <c r="D444" s="22" t="s">
        <v>767</v>
      </c>
      <c r="E444" s="22" t="s">
        <v>768</v>
      </c>
      <c r="F444" s="22" t="s">
        <v>1316</v>
      </c>
      <c r="G444" s="23">
        <v>2459</v>
      </c>
      <c r="H444" s="24">
        <v>6973</v>
      </c>
      <c r="I444" s="24">
        <v>4186.8540000000003</v>
      </c>
      <c r="J444" s="24">
        <v>3009.5</v>
      </c>
      <c r="K444" s="24">
        <v>496.31400000000002</v>
      </c>
      <c r="L444" s="32">
        <v>400</v>
      </c>
      <c r="M444" s="33">
        <v>1407.4003749491665</v>
      </c>
      <c r="N444" s="27">
        <v>11872.685214314763</v>
      </c>
      <c r="O444" s="24">
        <v>6973</v>
      </c>
      <c r="P444" s="24">
        <v>1767.5229420467012</v>
      </c>
      <c r="Q444" s="28">
        <v>1.7</v>
      </c>
      <c r="R444" s="29">
        <v>3.52</v>
      </c>
      <c r="S444" s="29">
        <v>3.95</v>
      </c>
      <c r="T444" s="29">
        <v>398</v>
      </c>
      <c r="U444" s="30">
        <v>3565.5</v>
      </c>
    </row>
    <row r="445" spans="2:21" x14ac:dyDescent="0.25">
      <c r="B445" s="31" t="s">
        <v>23</v>
      </c>
      <c r="C445" s="31">
        <v>73</v>
      </c>
      <c r="D445" s="22" t="s">
        <v>769</v>
      </c>
      <c r="E445" s="22" t="s">
        <v>770</v>
      </c>
      <c r="F445" s="22" t="s">
        <v>44</v>
      </c>
      <c r="G445" s="23">
        <v>0</v>
      </c>
      <c r="H445" s="24">
        <v>0</v>
      </c>
      <c r="I445" s="24">
        <v>0</v>
      </c>
      <c r="J445" s="24">
        <v>0</v>
      </c>
      <c r="K445" s="24">
        <v>0</v>
      </c>
      <c r="L445" s="32">
        <v>0</v>
      </c>
      <c r="M445" s="33">
        <v>0</v>
      </c>
      <c r="N445" s="27">
        <v>0</v>
      </c>
      <c r="O445" s="24">
        <v>0</v>
      </c>
      <c r="P445" s="24">
        <v>0</v>
      </c>
      <c r="Q445" s="28">
        <v>0</v>
      </c>
      <c r="R445" s="29">
        <v>0</v>
      </c>
      <c r="S445" s="29">
        <v>0</v>
      </c>
      <c r="T445" s="29">
        <v>0</v>
      </c>
      <c r="U445" s="30">
        <v>0</v>
      </c>
    </row>
    <row r="446" spans="2:21" x14ac:dyDescent="0.25">
      <c r="B446" s="31" t="s">
        <v>23</v>
      </c>
      <c r="C446" s="22">
        <v>74</v>
      </c>
      <c r="D446" s="22" t="s">
        <v>771</v>
      </c>
      <c r="E446" s="22" t="s">
        <v>772</v>
      </c>
      <c r="F446" s="22" t="s">
        <v>44</v>
      </c>
      <c r="G446" s="23">
        <v>0</v>
      </c>
      <c r="H446" s="24">
        <v>-0.5</v>
      </c>
      <c r="I446" s="24">
        <v>0</v>
      </c>
      <c r="J446" s="24">
        <v>0</v>
      </c>
      <c r="K446" s="24">
        <v>0</v>
      </c>
      <c r="L446" s="32">
        <v>0</v>
      </c>
      <c r="M446" s="33">
        <v>0</v>
      </c>
      <c r="N446" s="27">
        <v>0</v>
      </c>
      <c r="O446" s="24">
        <v>0</v>
      </c>
      <c r="P446" s="24">
        <v>0</v>
      </c>
      <c r="Q446" s="28">
        <v>0</v>
      </c>
      <c r="R446" s="29">
        <v>0</v>
      </c>
      <c r="S446" s="29">
        <v>0</v>
      </c>
      <c r="T446" s="29">
        <v>0</v>
      </c>
      <c r="U446" s="30">
        <v>-0.5</v>
      </c>
    </row>
    <row r="447" spans="2:21" x14ac:dyDescent="0.25">
      <c r="B447" s="31" t="s">
        <v>23</v>
      </c>
      <c r="C447" s="31">
        <v>74</v>
      </c>
      <c r="D447" s="22" t="s">
        <v>773</v>
      </c>
      <c r="E447" s="22" t="s">
        <v>774</v>
      </c>
      <c r="F447" s="22" t="s">
        <v>33</v>
      </c>
      <c r="G447" s="23">
        <v>195</v>
      </c>
      <c r="H447" s="24">
        <v>9106</v>
      </c>
      <c r="I447" s="24">
        <v>62.204999999999998</v>
      </c>
      <c r="J447" s="24">
        <v>2403.5</v>
      </c>
      <c r="K447" s="24">
        <v>5.6550000000000002</v>
      </c>
      <c r="L447" s="32">
        <v>236</v>
      </c>
      <c r="M447" s="33">
        <v>264.07400000000001</v>
      </c>
      <c r="N447" s="27">
        <v>2904.8139999999999</v>
      </c>
      <c r="O447" s="24">
        <v>9106</v>
      </c>
      <c r="P447" s="24">
        <v>7534.4827586206893</v>
      </c>
      <c r="Q447" s="28">
        <v>0.32</v>
      </c>
      <c r="R447" s="29">
        <v>1.1200000000000001</v>
      </c>
      <c r="S447" s="29">
        <v>1.21</v>
      </c>
      <c r="T447" s="29">
        <v>236</v>
      </c>
      <c r="U447" s="30">
        <v>6466.5</v>
      </c>
    </row>
    <row r="448" spans="2:21" x14ac:dyDescent="0.25">
      <c r="B448" s="31" t="s">
        <v>23</v>
      </c>
      <c r="C448" s="31">
        <v>74</v>
      </c>
      <c r="D448" s="22" t="s">
        <v>775</v>
      </c>
      <c r="E448" s="22" t="s">
        <v>776</v>
      </c>
      <c r="F448" s="22" t="s">
        <v>33</v>
      </c>
      <c r="G448" s="23">
        <v>10</v>
      </c>
      <c r="H448" s="24">
        <v>3750</v>
      </c>
      <c r="I448" s="24">
        <v>5.75</v>
      </c>
      <c r="J448" s="24">
        <v>1679.5</v>
      </c>
      <c r="K448" s="24">
        <v>0.55000000000000004</v>
      </c>
      <c r="L448" s="32">
        <v>192</v>
      </c>
      <c r="M448" s="33">
        <v>206.25000000000003</v>
      </c>
      <c r="N448" s="27">
        <v>2156.25</v>
      </c>
      <c r="O448" s="24">
        <v>3750</v>
      </c>
      <c r="P448" s="24">
        <v>2920.8695652173915</v>
      </c>
      <c r="Q448" s="28">
        <v>0.57999999999999996</v>
      </c>
      <c r="R448" s="29">
        <v>1.07</v>
      </c>
      <c r="S448" s="29">
        <v>1.28</v>
      </c>
      <c r="T448" s="29">
        <v>192.5</v>
      </c>
      <c r="U448" s="30">
        <v>1878</v>
      </c>
    </row>
    <row r="449" spans="2:21" x14ac:dyDescent="0.25">
      <c r="B449" s="31" t="s">
        <v>23</v>
      </c>
      <c r="C449" s="31">
        <v>74</v>
      </c>
      <c r="D449" s="22" t="s">
        <v>777</v>
      </c>
      <c r="E449" s="22" t="s">
        <v>778</v>
      </c>
      <c r="F449" s="22" t="s">
        <v>33</v>
      </c>
      <c r="G449" s="23">
        <v>8</v>
      </c>
      <c r="H449" s="24">
        <v>3000</v>
      </c>
      <c r="I449" s="24">
        <v>6.4400000000000013</v>
      </c>
      <c r="J449" s="24">
        <v>2229</v>
      </c>
      <c r="K449" s="24">
        <v>0.64</v>
      </c>
      <c r="L449" s="32">
        <v>232</v>
      </c>
      <c r="M449" s="33">
        <v>240</v>
      </c>
      <c r="N449" s="27">
        <v>2415.0000000000005</v>
      </c>
      <c r="O449" s="24">
        <v>3000</v>
      </c>
      <c r="P449" s="24">
        <v>2768.9440993788812</v>
      </c>
      <c r="Q449" s="28">
        <v>0.81</v>
      </c>
      <c r="R449" s="29">
        <v>1.03</v>
      </c>
      <c r="S449" s="29">
        <v>1.08</v>
      </c>
      <c r="T449" s="29">
        <v>232</v>
      </c>
      <c r="U449" s="30">
        <v>539</v>
      </c>
    </row>
    <row r="450" spans="2:21" x14ac:dyDescent="0.25">
      <c r="B450" s="31" t="s">
        <v>23</v>
      </c>
      <c r="C450" s="31">
        <v>74</v>
      </c>
      <c r="D450" s="22" t="s">
        <v>779</v>
      </c>
      <c r="E450" s="22" t="s">
        <v>780</v>
      </c>
      <c r="F450" s="22" t="s">
        <v>33</v>
      </c>
      <c r="G450" s="23">
        <v>5</v>
      </c>
      <c r="H450" s="24">
        <v>1875</v>
      </c>
      <c r="I450" s="24">
        <v>2.6</v>
      </c>
      <c r="J450" s="24">
        <v>798.5</v>
      </c>
      <c r="K450" s="24">
        <v>0.65</v>
      </c>
      <c r="L450" s="32">
        <v>211</v>
      </c>
      <c r="M450" s="33">
        <v>243.75</v>
      </c>
      <c r="N450" s="27">
        <v>975</v>
      </c>
      <c r="O450" s="24">
        <v>1875</v>
      </c>
      <c r="P450" s="24">
        <v>1535.5769230769231</v>
      </c>
      <c r="Q450" s="28">
        <v>0.52</v>
      </c>
      <c r="R450" s="29">
        <v>1.1599999999999999</v>
      </c>
      <c r="S450" s="29">
        <v>1.22</v>
      </c>
      <c r="T450" s="29">
        <v>211.5</v>
      </c>
      <c r="U450" s="30">
        <v>865</v>
      </c>
    </row>
    <row r="451" spans="2:21" x14ac:dyDescent="0.25">
      <c r="B451" s="31" t="s">
        <v>23</v>
      </c>
      <c r="C451" s="31">
        <v>74</v>
      </c>
      <c r="D451" s="22" t="s">
        <v>781</v>
      </c>
      <c r="E451" s="22" t="s">
        <v>782</v>
      </c>
      <c r="F451" s="22"/>
      <c r="G451" s="23">
        <v>22</v>
      </c>
      <c r="H451" s="24">
        <v>3441</v>
      </c>
      <c r="I451" s="24">
        <v>10.119999999999999</v>
      </c>
      <c r="J451" s="24">
        <v>746</v>
      </c>
      <c r="K451" s="24">
        <v>0</v>
      </c>
      <c r="L451" s="32">
        <v>0</v>
      </c>
      <c r="M451" s="33">
        <v>0</v>
      </c>
      <c r="N451" s="27">
        <v>1582.86</v>
      </c>
      <c r="O451" s="24">
        <v>3441</v>
      </c>
      <c r="P451" s="24">
        <v>1621.7391304347827</v>
      </c>
      <c r="Q451" s="28">
        <v>0.46</v>
      </c>
      <c r="R451" s="29">
        <v>0</v>
      </c>
      <c r="S451" s="29">
        <v>2.12</v>
      </c>
      <c r="T451" s="29">
        <v>0</v>
      </c>
      <c r="U451" s="30">
        <v>2695</v>
      </c>
    </row>
    <row r="452" spans="2:21" x14ac:dyDescent="0.25">
      <c r="B452" s="31" t="s">
        <v>23</v>
      </c>
      <c r="C452" s="31">
        <v>74</v>
      </c>
      <c r="D452" s="22" t="s">
        <v>783</v>
      </c>
      <c r="E452" s="22" t="s">
        <v>784</v>
      </c>
      <c r="F452" s="22" t="s">
        <v>33</v>
      </c>
      <c r="G452" s="23">
        <v>29</v>
      </c>
      <c r="H452" s="24">
        <v>4634</v>
      </c>
      <c r="I452" s="24">
        <v>5.3069999999999986</v>
      </c>
      <c r="J452" s="24">
        <v>609.5</v>
      </c>
      <c r="K452" s="24">
        <v>1.827</v>
      </c>
      <c r="L452" s="32">
        <v>265</v>
      </c>
      <c r="M452" s="33">
        <v>291.94200000000001</v>
      </c>
      <c r="N452" s="27">
        <v>848.02199999999971</v>
      </c>
      <c r="O452" s="24">
        <v>4634</v>
      </c>
      <c r="P452" s="24">
        <v>4634</v>
      </c>
      <c r="Q452" s="28">
        <v>0.18</v>
      </c>
      <c r="R452" s="29">
        <v>1.1000000000000001</v>
      </c>
      <c r="S452" s="29">
        <v>1.39</v>
      </c>
      <c r="T452" s="29">
        <v>264.5</v>
      </c>
      <c r="U452" s="30">
        <v>3760</v>
      </c>
    </row>
    <row r="453" spans="2:21" x14ac:dyDescent="0.25">
      <c r="B453" s="31" t="s">
        <v>23</v>
      </c>
      <c r="C453" s="31">
        <v>74</v>
      </c>
      <c r="D453" s="22" t="s">
        <v>785</v>
      </c>
      <c r="E453" s="22" t="s">
        <v>786</v>
      </c>
      <c r="F453" s="22" t="s">
        <v>44</v>
      </c>
      <c r="G453" s="23">
        <v>0</v>
      </c>
      <c r="H453" s="24">
        <v>0</v>
      </c>
      <c r="I453" s="24">
        <v>0</v>
      </c>
      <c r="J453" s="24">
        <v>0</v>
      </c>
      <c r="K453" s="24">
        <v>0</v>
      </c>
      <c r="L453" s="32">
        <v>0</v>
      </c>
      <c r="M453" s="33">
        <v>0</v>
      </c>
      <c r="N453" s="27">
        <v>0</v>
      </c>
      <c r="O453" s="24">
        <v>0</v>
      </c>
      <c r="P453" s="24">
        <v>0</v>
      </c>
      <c r="Q453" s="28">
        <v>0</v>
      </c>
      <c r="R453" s="29">
        <v>0</v>
      </c>
      <c r="S453" s="29">
        <v>0</v>
      </c>
      <c r="T453" s="29">
        <v>0</v>
      </c>
      <c r="U453" s="30">
        <v>0</v>
      </c>
    </row>
    <row r="454" spans="2:21" x14ac:dyDescent="0.25">
      <c r="B454" s="31" t="s">
        <v>23</v>
      </c>
      <c r="C454" s="22">
        <v>75</v>
      </c>
      <c r="D454" s="22" t="s">
        <v>176</v>
      </c>
      <c r="E454" s="22" t="s">
        <v>537</v>
      </c>
      <c r="F454" s="22"/>
      <c r="G454" s="23">
        <v>288162</v>
      </c>
      <c r="H454" s="24">
        <v>0.39000000000032742</v>
      </c>
      <c r="I454" s="24">
        <v>0</v>
      </c>
      <c r="J454" s="24">
        <v>0</v>
      </c>
      <c r="K454" s="24">
        <v>0</v>
      </c>
      <c r="L454" s="32">
        <v>0</v>
      </c>
      <c r="M454" s="33">
        <v>0</v>
      </c>
      <c r="N454" s="27">
        <v>0</v>
      </c>
      <c r="O454" s="24">
        <v>0</v>
      </c>
      <c r="P454" s="24">
        <v>0</v>
      </c>
      <c r="Q454" s="28">
        <v>0</v>
      </c>
      <c r="R454" s="29">
        <v>0</v>
      </c>
      <c r="S454" s="29">
        <v>0</v>
      </c>
      <c r="T454" s="29">
        <v>0</v>
      </c>
      <c r="U454" s="30">
        <v>0.39000000000032742</v>
      </c>
    </row>
    <row r="455" spans="2:21" x14ac:dyDescent="0.25">
      <c r="B455" s="31" t="s">
        <v>23</v>
      </c>
      <c r="C455" s="31">
        <v>75</v>
      </c>
      <c r="D455" s="22" t="s">
        <v>538</v>
      </c>
      <c r="E455" s="22" t="s">
        <v>539</v>
      </c>
      <c r="F455" s="22" t="s">
        <v>44</v>
      </c>
      <c r="G455" s="23">
        <v>0</v>
      </c>
      <c r="H455" s="24">
        <v>0</v>
      </c>
      <c r="I455" s="24">
        <v>0</v>
      </c>
      <c r="J455" s="24">
        <v>0</v>
      </c>
      <c r="K455" s="24">
        <v>0</v>
      </c>
      <c r="L455" s="32">
        <v>0</v>
      </c>
      <c r="M455" s="33">
        <v>0</v>
      </c>
      <c r="N455" s="27">
        <v>0</v>
      </c>
      <c r="O455" s="24">
        <v>0</v>
      </c>
      <c r="P455" s="24">
        <v>0</v>
      </c>
      <c r="Q455" s="28">
        <v>0</v>
      </c>
      <c r="R455" s="29">
        <v>0</v>
      </c>
      <c r="S455" s="29">
        <v>0</v>
      </c>
      <c r="T455" s="29">
        <v>0</v>
      </c>
      <c r="U455" s="30">
        <v>0</v>
      </c>
    </row>
    <row r="456" spans="2:21" x14ac:dyDescent="0.25">
      <c r="B456" s="31" t="s">
        <v>23</v>
      </c>
      <c r="C456" s="31">
        <v>75</v>
      </c>
      <c r="D456" s="22" t="s">
        <v>540</v>
      </c>
      <c r="E456" s="22" t="s">
        <v>541</v>
      </c>
      <c r="F456" s="22"/>
      <c r="G456" s="23">
        <v>4167</v>
      </c>
      <c r="H456" s="24">
        <v>9278.08</v>
      </c>
      <c r="I456" s="24">
        <v>1834.47</v>
      </c>
      <c r="J456" s="24">
        <v>2076.5</v>
      </c>
      <c r="K456" s="24">
        <v>0</v>
      </c>
      <c r="L456" s="32">
        <v>0</v>
      </c>
      <c r="M456" s="33">
        <v>0</v>
      </c>
      <c r="N456" s="27">
        <v>4084.5594954643625</v>
      </c>
      <c r="O456" s="24">
        <v>9278.08</v>
      </c>
      <c r="P456" s="24">
        <v>4716.7713290487172</v>
      </c>
      <c r="Q456" s="28">
        <v>0.44</v>
      </c>
      <c r="R456" s="29">
        <v>0</v>
      </c>
      <c r="S456" s="29">
        <v>1.97</v>
      </c>
      <c r="T456" s="29">
        <v>0</v>
      </c>
      <c r="U456" s="30">
        <v>7201.58</v>
      </c>
    </row>
    <row r="457" spans="2:21" x14ac:dyDescent="0.25">
      <c r="B457" s="31" t="s">
        <v>23</v>
      </c>
      <c r="C457" s="31">
        <v>75</v>
      </c>
      <c r="D457" s="22" t="s">
        <v>542</v>
      </c>
      <c r="E457" s="22" t="s">
        <v>543</v>
      </c>
      <c r="F457" s="22" t="s">
        <v>44</v>
      </c>
      <c r="G457" s="23">
        <v>0</v>
      </c>
      <c r="H457" s="24">
        <v>0</v>
      </c>
      <c r="I457" s="24">
        <v>0</v>
      </c>
      <c r="J457" s="24">
        <v>0</v>
      </c>
      <c r="K457" s="24">
        <v>0</v>
      </c>
      <c r="L457" s="32">
        <v>0</v>
      </c>
      <c r="M457" s="33">
        <v>0</v>
      </c>
      <c r="N457" s="27">
        <v>0</v>
      </c>
      <c r="O457" s="24">
        <v>0</v>
      </c>
      <c r="P457" s="24">
        <v>0</v>
      </c>
      <c r="Q457" s="28">
        <v>0</v>
      </c>
      <c r="R457" s="29">
        <v>0</v>
      </c>
      <c r="S457" s="29">
        <v>0</v>
      </c>
      <c r="T457" s="29">
        <v>0</v>
      </c>
      <c r="U457" s="30">
        <v>0</v>
      </c>
    </row>
    <row r="458" spans="2:21" x14ac:dyDescent="0.25">
      <c r="B458" s="31" t="s">
        <v>23</v>
      </c>
      <c r="C458" s="22">
        <v>76</v>
      </c>
      <c r="D458" s="22" t="s">
        <v>787</v>
      </c>
      <c r="E458" s="22" t="s">
        <v>1317</v>
      </c>
      <c r="F458" s="22" t="s">
        <v>132</v>
      </c>
      <c r="G458" s="23">
        <v>3397.62</v>
      </c>
      <c r="H458" s="24">
        <v>32957</v>
      </c>
      <c r="I458" s="24">
        <v>412.02000000000004</v>
      </c>
      <c r="J458" s="24">
        <v>5467.5</v>
      </c>
      <c r="K458" s="24">
        <v>0</v>
      </c>
      <c r="L458" s="32">
        <v>951</v>
      </c>
      <c r="M458" s="33">
        <v>0</v>
      </c>
      <c r="N458" s="27">
        <v>3996.6044289826414</v>
      </c>
      <c r="O458" s="24">
        <v>32957</v>
      </c>
      <c r="P458" s="24">
        <v>32957</v>
      </c>
      <c r="Q458" s="28">
        <v>0.12</v>
      </c>
      <c r="R458" s="29">
        <v>0</v>
      </c>
      <c r="S458" s="29">
        <v>0.73</v>
      </c>
      <c r="T458" s="29">
        <v>951</v>
      </c>
      <c r="U458" s="30">
        <v>26538.5</v>
      </c>
    </row>
    <row r="459" spans="2:21" x14ac:dyDescent="0.25">
      <c r="B459" s="31" t="s">
        <v>23</v>
      </c>
      <c r="C459" s="31">
        <v>76</v>
      </c>
      <c r="D459" s="22" t="s">
        <v>789</v>
      </c>
      <c r="E459" s="22" t="s">
        <v>1318</v>
      </c>
      <c r="F459" s="22" t="s">
        <v>44</v>
      </c>
      <c r="G459" s="23">
        <v>0</v>
      </c>
      <c r="H459" s="24">
        <v>0</v>
      </c>
      <c r="I459" s="24">
        <v>0</v>
      </c>
      <c r="J459" s="24">
        <v>0</v>
      </c>
      <c r="K459" s="24">
        <v>0</v>
      </c>
      <c r="L459" s="32">
        <v>0</v>
      </c>
      <c r="M459" s="33">
        <v>0</v>
      </c>
      <c r="N459" s="27">
        <v>0</v>
      </c>
      <c r="O459" s="24">
        <v>0</v>
      </c>
      <c r="P459" s="24">
        <v>0</v>
      </c>
      <c r="Q459" s="28">
        <v>0</v>
      </c>
      <c r="R459" s="29">
        <v>0</v>
      </c>
      <c r="S459" s="29">
        <v>0</v>
      </c>
      <c r="T459" s="29">
        <v>0</v>
      </c>
      <c r="U459" s="30">
        <v>0</v>
      </c>
    </row>
    <row r="460" spans="2:21" x14ac:dyDescent="0.25">
      <c r="B460" s="31" t="s">
        <v>23</v>
      </c>
      <c r="C460" s="22">
        <v>77</v>
      </c>
      <c r="D460" s="22" t="s">
        <v>790</v>
      </c>
      <c r="E460" s="22" t="s">
        <v>791</v>
      </c>
      <c r="F460" s="22" t="s">
        <v>788</v>
      </c>
      <c r="G460" s="23">
        <v>7925</v>
      </c>
      <c r="H460" s="24">
        <v>5030</v>
      </c>
      <c r="I460" s="24">
        <v>4007.9159999999993</v>
      </c>
      <c r="J460" s="24">
        <v>4223.5</v>
      </c>
      <c r="K460" s="24">
        <v>325.82600000000002</v>
      </c>
      <c r="L460" s="32">
        <v>341</v>
      </c>
      <c r="M460" s="33">
        <v>206.80186498422714</v>
      </c>
      <c r="N460" s="27">
        <v>2543.8255495268131</v>
      </c>
      <c r="O460" s="24">
        <v>5030</v>
      </c>
      <c r="P460" s="24">
        <v>8351.2821875508398</v>
      </c>
      <c r="Q460" s="28">
        <v>0.51</v>
      </c>
      <c r="R460" s="29">
        <v>0.61</v>
      </c>
      <c r="S460" s="29">
        <v>0.6</v>
      </c>
      <c r="T460" s="29">
        <v>340</v>
      </c>
      <c r="U460" s="30">
        <v>466.5</v>
      </c>
    </row>
    <row r="461" spans="2:21" x14ac:dyDescent="0.25">
      <c r="B461" s="31" t="s">
        <v>23</v>
      </c>
      <c r="C461" s="31">
        <v>77</v>
      </c>
      <c r="D461" s="22" t="s">
        <v>792</v>
      </c>
      <c r="E461" s="22" t="s">
        <v>793</v>
      </c>
      <c r="F461" s="22" t="s">
        <v>44</v>
      </c>
      <c r="G461" s="23">
        <v>0</v>
      </c>
      <c r="H461" s="24">
        <v>0</v>
      </c>
      <c r="I461" s="24">
        <v>0</v>
      </c>
      <c r="J461" s="24">
        <v>0</v>
      </c>
      <c r="K461" s="24">
        <v>0</v>
      </c>
      <c r="L461" s="32">
        <v>0</v>
      </c>
      <c r="M461" s="33">
        <v>0</v>
      </c>
      <c r="N461" s="27">
        <v>0</v>
      </c>
      <c r="O461" s="24">
        <v>0</v>
      </c>
      <c r="P461" s="24">
        <v>0</v>
      </c>
      <c r="Q461" s="28">
        <v>0</v>
      </c>
      <c r="R461" s="29">
        <v>0</v>
      </c>
      <c r="S461" s="29">
        <v>0</v>
      </c>
      <c r="T461" s="29">
        <v>0</v>
      </c>
      <c r="U461" s="30">
        <v>0</v>
      </c>
    </row>
    <row r="462" spans="2:21" x14ac:dyDescent="0.25">
      <c r="B462" s="31" t="s">
        <v>23</v>
      </c>
      <c r="C462" s="22">
        <v>90</v>
      </c>
      <c r="D462" s="22" t="s">
        <v>86</v>
      </c>
      <c r="E462" s="22" t="s">
        <v>87</v>
      </c>
      <c r="F462" s="22" t="s">
        <v>49</v>
      </c>
      <c r="G462" s="23">
        <v>0</v>
      </c>
      <c r="H462" s="24">
        <v>14879.6</v>
      </c>
      <c r="I462" s="24">
        <v>0</v>
      </c>
      <c r="J462" s="24">
        <v>12595</v>
      </c>
      <c r="K462" s="24">
        <v>0</v>
      </c>
      <c r="L462" s="32">
        <v>595</v>
      </c>
      <c r="M462" s="33">
        <v>0</v>
      </c>
      <c r="N462" s="27">
        <v>0</v>
      </c>
      <c r="O462" s="24">
        <v>14879.6</v>
      </c>
      <c r="P462" s="24">
        <v>14879.6</v>
      </c>
      <c r="Q462" s="28">
        <v>0</v>
      </c>
      <c r="R462" s="29">
        <v>0</v>
      </c>
      <c r="S462" s="29">
        <v>0</v>
      </c>
      <c r="T462" s="29">
        <v>0</v>
      </c>
      <c r="U462" s="30">
        <v>2284.6000000000004</v>
      </c>
    </row>
    <row r="463" spans="2:21" x14ac:dyDescent="0.25">
      <c r="B463" s="31" t="s">
        <v>23</v>
      </c>
      <c r="C463" s="31">
        <v>90</v>
      </c>
      <c r="D463" s="22" t="s">
        <v>88</v>
      </c>
      <c r="E463" s="22" t="s">
        <v>89</v>
      </c>
      <c r="F463" s="22" t="s">
        <v>49</v>
      </c>
      <c r="G463" s="23">
        <v>0</v>
      </c>
      <c r="H463" s="24">
        <v>53238</v>
      </c>
      <c r="I463" s="24">
        <v>0</v>
      </c>
      <c r="J463" s="24">
        <v>17371</v>
      </c>
      <c r="K463" s="24">
        <v>0</v>
      </c>
      <c r="L463" s="32">
        <v>1438</v>
      </c>
      <c r="M463" s="33">
        <v>0</v>
      </c>
      <c r="N463" s="27">
        <v>0</v>
      </c>
      <c r="O463" s="24">
        <v>53238</v>
      </c>
      <c r="P463" s="24">
        <v>53238</v>
      </c>
      <c r="Q463" s="28">
        <v>0</v>
      </c>
      <c r="R463" s="29">
        <v>0</v>
      </c>
      <c r="S463" s="29">
        <v>0</v>
      </c>
      <c r="T463" s="29">
        <v>67.5</v>
      </c>
      <c r="U463" s="30">
        <v>35799.5</v>
      </c>
    </row>
    <row r="464" spans="2:21" x14ac:dyDescent="0.25">
      <c r="B464" s="31" t="s">
        <v>23</v>
      </c>
      <c r="C464" s="31">
        <v>90</v>
      </c>
      <c r="D464" s="22" t="s">
        <v>90</v>
      </c>
      <c r="E464" s="22" t="s">
        <v>91</v>
      </c>
      <c r="F464" s="22" t="s">
        <v>49</v>
      </c>
      <c r="G464" s="23">
        <v>0</v>
      </c>
      <c r="H464" s="24">
        <v>19950</v>
      </c>
      <c r="I464" s="24">
        <v>0</v>
      </c>
      <c r="J464" s="24">
        <v>6264</v>
      </c>
      <c r="K464" s="24">
        <v>0</v>
      </c>
      <c r="L464" s="32">
        <v>215</v>
      </c>
      <c r="M464" s="33">
        <v>0</v>
      </c>
      <c r="N464" s="27">
        <v>0</v>
      </c>
      <c r="O464" s="24">
        <v>19950</v>
      </c>
      <c r="P464" s="24">
        <v>19950</v>
      </c>
      <c r="Q464" s="28">
        <v>0</v>
      </c>
      <c r="R464" s="29">
        <v>0</v>
      </c>
      <c r="S464" s="29">
        <v>0</v>
      </c>
      <c r="T464" s="29">
        <v>215</v>
      </c>
      <c r="U464" s="30">
        <v>13471</v>
      </c>
    </row>
    <row r="465" spans="2:21" x14ac:dyDescent="0.25">
      <c r="B465" s="31" t="s">
        <v>23</v>
      </c>
      <c r="C465" s="31">
        <v>90</v>
      </c>
      <c r="D465" s="22" t="s">
        <v>92</v>
      </c>
      <c r="E465" s="22" t="s">
        <v>93</v>
      </c>
      <c r="F465" s="22" t="s">
        <v>49</v>
      </c>
      <c r="G465" s="23">
        <v>0</v>
      </c>
      <c r="H465" s="24">
        <v>61275</v>
      </c>
      <c r="I465" s="24">
        <v>0</v>
      </c>
      <c r="J465" s="24">
        <v>14043.5</v>
      </c>
      <c r="K465" s="24">
        <v>0</v>
      </c>
      <c r="L465" s="32">
        <v>1003</v>
      </c>
      <c r="M465" s="33">
        <v>0</v>
      </c>
      <c r="N465" s="27">
        <v>0</v>
      </c>
      <c r="O465" s="24">
        <v>61275</v>
      </c>
      <c r="P465" s="24">
        <v>61275</v>
      </c>
      <c r="Q465" s="28">
        <v>0</v>
      </c>
      <c r="R465" s="29">
        <v>0</v>
      </c>
      <c r="S465" s="29">
        <v>0</v>
      </c>
      <c r="T465" s="29">
        <v>513.5</v>
      </c>
      <c r="U465" s="30">
        <v>46718</v>
      </c>
    </row>
    <row r="466" spans="2:21" x14ac:dyDescent="0.25">
      <c r="B466" s="31" t="s">
        <v>23</v>
      </c>
      <c r="C466" s="31">
        <v>90</v>
      </c>
      <c r="D466" s="22" t="s">
        <v>94</v>
      </c>
      <c r="E466" s="22" t="s">
        <v>95</v>
      </c>
      <c r="F466" s="22" t="s">
        <v>49</v>
      </c>
      <c r="G466" s="23">
        <v>0</v>
      </c>
      <c r="H466" s="24">
        <v>6669</v>
      </c>
      <c r="I466" s="24">
        <v>0</v>
      </c>
      <c r="J466" s="24">
        <v>1494</v>
      </c>
      <c r="K466" s="24">
        <v>0</v>
      </c>
      <c r="L466" s="32">
        <v>38</v>
      </c>
      <c r="M466" s="33">
        <v>0</v>
      </c>
      <c r="N466" s="27">
        <v>0</v>
      </c>
      <c r="O466" s="24">
        <v>6669</v>
      </c>
      <c r="P466" s="24">
        <v>6669</v>
      </c>
      <c r="Q466" s="28">
        <v>0</v>
      </c>
      <c r="R466" s="29">
        <v>0</v>
      </c>
      <c r="S466" s="29">
        <v>0</v>
      </c>
      <c r="T466" s="29">
        <v>38</v>
      </c>
      <c r="U466" s="30">
        <v>5137</v>
      </c>
    </row>
    <row r="467" spans="2:21" x14ac:dyDescent="0.25">
      <c r="B467" s="31" t="s">
        <v>23</v>
      </c>
      <c r="C467" s="31">
        <v>90</v>
      </c>
      <c r="D467" s="22" t="s">
        <v>179</v>
      </c>
      <c r="E467" s="22" t="s">
        <v>544</v>
      </c>
      <c r="F467" s="22" t="s">
        <v>49</v>
      </c>
      <c r="G467" s="23">
        <v>0</v>
      </c>
      <c r="H467" s="24">
        <v>1480</v>
      </c>
      <c r="I467" s="24">
        <v>0</v>
      </c>
      <c r="J467" s="24">
        <v>300</v>
      </c>
      <c r="K467" s="24">
        <v>0</v>
      </c>
      <c r="L467" s="32">
        <v>50</v>
      </c>
      <c r="M467" s="33">
        <v>0</v>
      </c>
      <c r="N467" s="27">
        <v>0</v>
      </c>
      <c r="O467" s="24">
        <v>1480</v>
      </c>
      <c r="P467" s="24">
        <v>1480</v>
      </c>
      <c r="Q467" s="28">
        <v>0</v>
      </c>
      <c r="R467" s="29">
        <v>0</v>
      </c>
      <c r="S467" s="29">
        <v>0</v>
      </c>
      <c r="T467" s="29">
        <v>0</v>
      </c>
      <c r="U467" s="30">
        <v>1180</v>
      </c>
    </row>
    <row r="468" spans="2:21" x14ac:dyDescent="0.25">
      <c r="B468" s="31" t="s">
        <v>23</v>
      </c>
      <c r="C468" s="31">
        <v>90</v>
      </c>
      <c r="D468" s="22" t="s">
        <v>545</v>
      </c>
      <c r="E468" s="22" t="s">
        <v>546</v>
      </c>
      <c r="F468" s="22" t="s">
        <v>44</v>
      </c>
      <c r="G468" s="23">
        <v>0</v>
      </c>
      <c r="H468" s="24">
        <v>1480.01</v>
      </c>
      <c r="I468" s="24">
        <v>0</v>
      </c>
      <c r="J468" s="24">
        <v>1050</v>
      </c>
      <c r="K468" s="24">
        <v>0</v>
      </c>
      <c r="L468" s="32">
        <v>0</v>
      </c>
      <c r="M468" s="33">
        <v>0</v>
      </c>
      <c r="N468" s="27">
        <v>0</v>
      </c>
      <c r="O468" s="24">
        <v>1480.01</v>
      </c>
      <c r="P468" s="24">
        <v>1480.01</v>
      </c>
      <c r="Q468" s="28">
        <v>0</v>
      </c>
      <c r="R468" s="29">
        <v>0</v>
      </c>
      <c r="S468" s="29">
        <v>0</v>
      </c>
      <c r="T468" s="29">
        <v>0</v>
      </c>
      <c r="U468" s="30">
        <v>430.01</v>
      </c>
    </row>
    <row r="469" spans="2:21" x14ac:dyDescent="0.25">
      <c r="B469" s="31" t="s">
        <v>23</v>
      </c>
      <c r="C469" s="22">
        <v>91</v>
      </c>
      <c r="D469" s="22" t="s">
        <v>96</v>
      </c>
      <c r="E469" s="22" t="s">
        <v>97</v>
      </c>
      <c r="F469" s="22" t="s">
        <v>49</v>
      </c>
      <c r="G469" s="23">
        <v>0</v>
      </c>
      <c r="H469" s="24">
        <v>27140</v>
      </c>
      <c r="I469" s="24">
        <v>0</v>
      </c>
      <c r="J469" s="24">
        <v>10715.5</v>
      </c>
      <c r="K469" s="24">
        <v>0</v>
      </c>
      <c r="L469" s="32">
        <v>398</v>
      </c>
      <c r="M469" s="33">
        <v>0</v>
      </c>
      <c r="N469" s="27">
        <v>0</v>
      </c>
      <c r="O469" s="24">
        <v>27140</v>
      </c>
      <c r="P469" s="24">
        <v>27140</v>
      </c>
      <c r="Q469" s="28">
        <v>0</v>
      </c>
      <c r="R469" s="29">
        <v>0</v>
      </c>
      <c r="S469" s="29">
        <v>0</v>
      </c>
      <c r="T469" s="29">
        <v>397.5</v>
      </c>
      <c r="U469" s="30">
        <v>16027</v>
      </c>
    </row>
    <row r="470" spans="2:21" x14ac:dyDescent="0.25">
      <c r="B470" s="31" t="s">
        <v>23</v>
      </c>
      <c r="C470" s="31">
        <v>91</v>
      </c>
      <c r="D470" s="22" t="s">
        <v>98</v>
      </c>
      <c r="E470" s="22" t="s">
        <v>99</v>
      </c>
      <c r="F470" s="22" t="s">
        <v>49</v>
      </c>
      <c r="G470" s="23">
        <v>0</v>
      </c>
      <c r="H470" s="24">
        <v>16644</v>
      </c>
      <c r="I470" s="24">
        <v>0</v>
      </c>
      <c r="J470" s="24">
        <v>12291</v>
      </c>
      <c r="K470" s="24">
        <v>0</v>
      </c>
      <c r="L470" s="32">
        <v>643</v>
      </c>
      <c r="M470" s="33">
        <v>0</v>
      </c>
      <c r="N470" s="27">
        <v>0</v>
      </c>
      <c r="O470" s="24">
        <v>16644</v>
      </c>
      <c r="P470" s="24">
        <v>16644</v>
      </c>
      <c r="Q470" s="28">
        <v>0</v>
      </c>
      <c r="R470" s="29">
        <v>0</v>
      </c>
      <c r="S470" s="29">
        <v>0</v>
      </c>
      <c r="T470" s="29">
        <v>643</v>
      </c>
      <c r="U470" s="30">
        <v>3710</v>
      </c>
    </row>
    <row r="471" spans="2:21" x14ac:dyDescent="0.25">
      <c r="B471" s="31" t="s">
        <v>23</v>
      </c>
      <c r="C471" s="31">
        <v>91</v>
      </c>
      <c r="D471" s="22" t="s">
        <v>100</v>
      </c>
      <c r="E471" s="22" t="s">
        <v>101</v>
      </c>
      <c r="F471" s="22" t="s">
        <v>49</v>
      </c>
      <c r="G471" s="23">
        <v>0</v>
      </c>
      <c r="H471" s="24">
        <v>37791</v>
      </c>
      <c r="I471" s="24">
        <v>0</v>
      </c>
      <c r="J471" s="24">
        <v>10467.5</v>
      </c>
      <c r="K471" s="24">
        <v>0</v>
      </c>
      <c r="L471" s="32">
        <v>239</v>
      </c>
      <c r="M471" s="33">
        <v>0</v>
      </c>
      <c r="N471" s="27">
        <v>0</v>
      </c>
      <c r="O471" s="24">
        <v>37791</v>
      </c>
      <c r="P471" s="24">
        <v>37791</v>
      </c>
      <c r="Q471" s="28">
        <v>0</v>
      </c>
      <c r="R471" s="29">
        <v>0</v>
      </c>
      <c r="S471" s="29">
        <v>0</v>
      </c>
      <c r="T471" s="29">
        <v>238.5</v>
      </c>
      <c r="U471" s="30">
        <v>27085</v>
      </c>
    </row>
    <row r="472" spans="2:21" x14ac:dyDescent="0.25">
      <c r="B472" s="31" t="s">
        <v>23</v>
      </c>
      <c r="C472" s="31">
        <v>91</v>
      </c>
      <c r="D472" s="22" t="s">
        <v>102</v>
      </c>
      <c r="E472" s="22" t="s">
        <v>103</v>
      </c>
      <c r="F472" s="22" t="s">
        <v>49</v>
      </c>
      <c r="G472" s="23">
        <v>0</v>
      </c>
      <c r="H472" s="24">
        <v>37620</v>
      </c>
      <c r="I472" s="24">
        <v>0</v>
      </c>
      <c r="J472" s="24">
        <v>14223.5</v>
      </c>
      <c r="K472" s="24">
        <v>0</v>
      </c>
      <c r="L472" s="32">
        <v>683</v>
      </c>
      <c r="M472" s="33">
        <v>0</v>
      </c>
      <c r="N472" s="27">
        <v>0</v>
      </c>
      <c r="O472" s="24">
        <v>37620</v>
      </c>
      <c r="P472" s="24">
        <v>37620</v>
      </c>
      <c r="Q472" s="28">
        <v>0</v>
      </c>
      <c r="R472" s="29">
        <v>0</v>
      </c>
      <c r="S472" s="29">
        <v>0</v>
      </c>
      <c r="T472" s="29">
        <v>683</v>
      </c>
      <c r="U472" s="30">
        <v>22713.5</v>
      </c>
    </row>
    <row r="473" spans="2:21" x14ac:dyDescent="0.25">
      <c r="B473" s="31" t="s">
        <v>23</v>
      </c>
      <c r="C473" s="31">
        <v>91</v>
      </c>
      <c r="D473" s="22" t="s">
        <v>104</v>
      </c>
      <c r="E473" s="22" t="s">
        <v>547</v>
      </c>
      <c r="F473" s="22" t="s">
        <v>49</v>
      </c>
      <c r="G473" s="23">
        <v>0</v>
      </c>
      <c r="H473" s="24">
        <v>100719</v>
      </c>
      <c r="I473" s="24">
        <v>0</v>
      </c>
      <c r="J473" s="24">
        <v>26422.5</v>
      </c>
      <c r="K473" s="24">
        <v>0</v>
      </c>
      <c r="L473" s="32">
        <v>1335</v>
      </c>
      <c r="M473" s="33">
        <v>0</v>
      </c>
      <c r="N473" s="27">
        <v>0</v>
      </c>
      <c r="O473" s="24">
        <v>100719</v>
      </c>
      <c r="P473" s="24">
        <v>100719</v>
      </c>
      <c r="Q473" s="28">
        <v>0</v>
      </c>
      <c r="R473" s="29">
        <v>0</v>
      </c>
      <c r="S473" s="29">
        <v>0</v>
      </c>
      <c r="T473" s="29">
        <v>1335.5</v>
      </c>
      <c r="U473" s="30">
        <v>72961</v>
      </c>
    </row>
    <row r="474" spans="2:21" x14ac:dyDescent="0.25">
      <c r="B474" s="31" t="s">
        <v>23</v>
      </c>
      <c r="C474" s="31">
        <v>91</v>
      </c>
      <c r="D474" s="22" t="s">
        <v>106</v>
      </c>
      <c r="E474" s="22" t="s">
        <v>107</v>
      </c>
      <c r="F474" s="22" t="s">
        <v>49</v>
      </c>
      <c r="G474" s="23">
        <v>0</v>
      </c>
      <c r="H474" s="24">
        <v>3306</v>
      </c>
      <c r="I474" s="24">
        <v>0</v>
      </c>
      <c r="J474" s="24">
        <v>1472</v>
      </c>
      <c r="K474" s="24">
        <v>0</v>
      </c>
      <c r="L474" s="32">
        <v>61</v>
      </c>
      <c r="M474" s="33">
        <v>0</v>
      </c>
      <c r="N474" s="27">
        <v>0</v>
      </c>
      <c r="O474" s="24">
        <v>3306</v>
      </c>
      <c r="P474" s="24">
        <v>3306</v>
      </c>
      <c r="Q474" s="28">
        <v>0</v>
      </c>
      <c r="R474" s="29">
        <v>0</v>
      </c>
      <c r="S474" s="29">
        <v>0</v>
      </c>
      <c r="T474" s="29">
        <v>61</v>
      </c>
      <c r="U474" s="30">
        <v>1773</v>
      </c>
    </row>
    <row r="475" spans="2:21" x14ac:dyDescent="0.25">
      <c r="B475" s="31" t="s">
        <v>23</v>
      </c>
      <c r="C475" s="31">
        <v>91</v>
      </c>
      <c r="D475" s="22" t="s">
        <v>108</v>
      </c>
      <c r="E475" s="22" t="s">
        <v>184</v>
      </c>
      <c r="F475" s="22" t="s">
        <v>49</v>
      </c>
      <c r="G475" s="23">
        <v>0</v>
      </c>
      <c r="H475" s="24">
        <v>8820</v>
      </c>
      <c r="I475" s="24">
        <v>0</v>
      </c>
      <c r="J475" s="24">
        <v>1773.5</v>
      </c>
      <c r="K475" s="24">
        <v>0</v>
      </c>
      <c r="L475" s="32">
        <v>15</v>
      </c>
      <c r="M475" s="33">
        <v>0</v>
      </c>
      <c r="N475" s="27">
        <v>0</v>
      </c>
      <c r="O475" s="24">
        <v>8820</v>
      </c>
      <c r="P475" s="24">
        <v>8820</v>
      </c>
      <c r="Q475" s="28">
        <v>0</v>
      </c>
      <c r="R475" s="29">
        <v>0</v>
      </c>
      <c r="S475" s="29">
        <v>0</v>
      </c>
      <c r="T475" s="29">
        <v>15</v>
      </c>
      <c r="U475" s="30">
        <v>7031.5</v>
      </c>
    </row>
    <row r="476" spans="2:21" x14ac:dyDescent="0.25">
      <c r="B476" s="31" t="s">
        <v>23</v>
      </c>
      <c r="C476" s="22">
        <v>92</v>
      </c>
      <c r="D476" s="22" t="s">
        <v>112</v>
      </c>
      <c r="E476" s="22" t="s">
        <v>191</v>
      </c>
      <c r="F476" s="22" t="s">
        <v>44</v>
      </c>
      <c r="G476" s="23">
        <v>0</v>
      </c>
      <c r="H476" s="24">
        <v>4000</v>
      </c>
      <c r="I476" s="24">
        <v>0</v>
      </c>
      <c r="J476" s="24">
        <v>716.5</v>
      </c>
      <c r="K476" s="24">
        <v>0</v>
      </c>
      <c r="L476" s="32">
        <v>0</v>
      </c>
      <c r="M476" s="33">
        <v>0</v>
      </c>
      <c r="N476" s="27">
        <v>0</v>
      </c>
      <c r="O476" s="24">
        <v>4000</v>
      </c>
      <c r="P476" s="24">
        <v>4000</v>
      </c>
      <c r="Q476" s="28">
        <v>0</v>
      </c>
      <c r="R476" s="29">
        <v>0</v>
      </c>
      <c r="S476" s="29">
        <v>0</v>
      </c>
      <c r="T476" s="29">
        <v>0</v>
      </c>
      <c r="U476" s="30">
        <v>3283.5</v>
      </c>
    </row>
    <row r="477" spans="2:21" x14ac:dyDescent="0.25">
      <c r="B477" s="31" t="s">
        <v>23</v>
      </c>
      <c r="C477" s="22">
        <v>98</v>
      </c>
      <c r="D477" s="22" t="s">
        <v>548</v>
      </c>
      <c r="E477" s="22" t="s">
        <v>549</v>
      </c>
      <c r="F477" s="22" t="s">
        <v>44</v>
      </c>
      <c r="G477" s="23">
        <v>0</v>
      </c>
      <c r="H477" s="24">
        <v>0</v>
      </c>
      <c r="I477" s="24">
        <v>0</v>
      </c>
      <c r="J477" s="24">
        <v>0</v>
      </c>
      <c r="K477" s="24">
        <v>0</v>
      </c>
      <c r="L477" s="32">
        <v>0</v>
      </c>
      <c r="M477" s="33">
        <v>0</v>
      </c>
      <c r="N477" s="27">
        <v>0</v>
      </c>
      <c r="O477" s="24">
        <v>0</v>
      </c>
      <c r="P477" s="24">
        <v>0</v>
      </c>
      <c r="Q477" s="28">
        <v>0</v>
      </c>
      <c r="R477" s="29">
        <v>0</v>
      </c>
      <c r="S477" s="29">
        <v>0</v>
      </c>
      <c r="T477" s="29">
        <v>0</v>
      </c>
      <c r="U477" s="30">
        <v>0</v>
      </c>
    </row>
    <row r="478" spans="2:21" x14ac:dyDescent="0.25">
      <c r="B478" s="31" t="s">
        <v>23</v>
      </c>
      <c r="C478" s="31">
        <v>98</v>
      </c>
      <c r="D478" s="22" t="s">
        <v>276</v>
      </c>
      <c r="E478" s="22" t="s">
        <v>277</v>
      </c>
      <c r="F478" s="22" t="s">
        <v>44</v>
      </c>
      <c r="G478" s="23">
        <v>0</v>
      </c>
      <c r="H478" s="24">
        <v>500.01</v>
      </c>
      <c r="I478" s="24">
        <v>0</v>
      </c>
      <c r="J478" s="24">
        <v>324</v>
      </c>
      <c r="K478" s="24">
        <v>0</v>
      </c>
      <c r="L478" s="32">
        <v>0</v>
      </c>
      <c r="M478" s="33">
        <v>0</v>
      </c>
      <c r="N478" s="27">
        <v>0</v>
      </c>
      <c r="O478" s="24">
        <v>500.01</v>
      </c>
      <c r="P478" s="24">
        <v>500.01</v>
      </c>
      <c r="Q478" s="28">
        <v>0</v>
      </c>
      <c r="R478" s="29">
        <v>0</v>
      </c>
      <c r="S478" s="29">
        <v>0</v>
      </c>
      <c r="T478" s="29">
        <v>0</v>
      </c>
      <c r="U478" s="30">
        <v>176.01</v>
      </c>
    </row>
    <row r="479" spans="2:21" x14ac:dyDescent="0.25">
      <c r="B479" s="31" t="s">
        <v>23</v>
      </c>
      <c r="C479" s="31">
        <v>98</v>
      </c>
      <c r="D479" s="22" t="s">
        <v>550</v>
      </c>
      <c r="E479" s="22" t="s">
        <v>551</v>
      </c>
      <c r="F479" s="22" t="s">
        <v>44</v>
      </c>
      <c r="G479" s="23">
        <v>0</v>
      </c>
      <c r="H479" s="24">
        <v>1.0000000009313226E-2</v>
      </c>
      <c r="I479" s="24">
        <v>0</v>
      </c>
      <c r="J479" s="24">
        <v>0</v>
      </c>
      <c r="K479" s="24">
        <v>0</v>
      </c>
      <c r="L479" s="32">
        <v>0</v>
      </c>
      <c r="M479" s="33">
        <v>0</v>
      </c>
      <c r="N479" s="27">
        <v>0</v>
      </c>
      <c r="O479" s="24">
        <v>0</v>
      </c>
      <c r="P479" s="24">
        <v>0</v>
      </c>
      <c r="Q479" s="28">
        <v>0</v>
      </c>
      <c r="R479" s="29">
        <v>0</v>
      </c>
      <c r="S479" s="29">
        <v>0</v>
      </c>
      <c r="T479" s="29">
        <v>0</v>
      </c>
      <c r="U479" s="30">
        <v>1.0000000009313226E-2</v>
      </c>
    </row>
    <row r="480" spans="2:21" x14ac:dyDescent="0.25">
      <c r="B480" s="31" t="s">
        <v>23</v>
      </c>
      <c r="C480" s="31">
        <v>98</v>
      </c>
      <c r="D480" s="22" t="s">
        <v>278</v>
      </c>
      <c r="E480" s="22" t="s">
        <v>552</v>
      </c>
      <c r="F480" s="22" t="s">
        <v>44</v>
      </c>
      <c r="G480" s="23">
        <v>0</v>
      </c>
      <c r="H480" s="24">
        <v>300</v>
      </c>
      <c r="I480" s="24">
        <v>0</v>
      </c>
      <c r="J480" s="24">
        <v>300</v>
      </c>
      <c r="K480" s="24">
        <v>0</v>
      </c>
      <c r="L480" s="32">
        <v>0</v>
      </c>
      <c r="M480" s="33">
        <v>0</v>
      </c>
      <c r="N480" s="27">
        <v>0</v>
      </c>
      <c r="O480" s="24">
        <v>300</v>
      </c>
      <c r="P480" s="24">
        <v>300</v>
      </c>
      <c r="Q480" s="28">
        <v>0</v>
      </c>
      <c r="R480" s="29">
        <v>0</v>
      </c>
      <c r="S480" s="29">
        <v>0</v>
      </c>
      <c r="T480" s="29">
        <v>0</v>
      </c>
      <c r="U480" s="30">
        <v>0</v>
      </c>
    </row>
    <row r="481" spans="2:21" x14ac:dyDescent="0.25">
      <c r="B481" s="31" t="s">
        <v>23</v>
      </c>
      <c r="C481" s="31">
        <v>98</v>
      </c>
      <c r="D481" s="22" t="s">
        <v>204</v>
      </c>
      <c r="E481" s="22" t="s">
        <v>553</v>
      </c>
      <c r="F481" s="22" t="s">
        <v>44</v>
      </c>
      <c r="G481" s="23">
        <v>0</v>
      </c>
      <c r="H481" s="24">
        <v>2</v>
      </c>
      <c r="I481" s="24">
        <v>0</v>
      </c>
      <c r="J481" s="24">
        <v>2</v>
      </c>
      <c r="K481" s="24">
        <v>0</v>
      </c>
      <c r="L481" s="32">
        <v>0</v>
      </c>
      <c r="M481" s="33">
        <v>0</v>
      </c>
      <c r="N481" s="27">
        <v>0</v>
      </c>
      <c r="O481" s="24">
        <v>2</v>
      </c>
      <c r="P481" s="24">
        <v>2</v>
      </c>
      <c r="Q481" s="28">
        <v>0</v>
      </c>
      <c r="R481" s="29">
        <v>0</v>
      </c>
      <c r="S481" s="29">
        <v>0</v>
      </c>
      <c r="T481" s="29">
        <v>0</v>
      </c>
      <c r="U481" s="30">
        <v>0</v>
      </c>
    </row>
    <row r="482" spans="2:21" x14ac:dyDescent="0.25">
      <c r="B482" s="31" t="s">
        <v>23</v>
      </c>
      <c r="C482" s="31">
        <v>98</v>
      </c>
      <c r="D482" s="22" t="s">
        <v>280</v>
      </c>
      <c r="E482" s="22" t="s">
        <v>554</v>
      </c>
      <c r="F482" s="22" t="s">
        <v>44</v>
      </c>
      <c r="G482" s="23">
        <v>0</v>
      </c>
      <c r="H482" s="24">
        <v>1155.5</v>
      </c>
      <c r="I482" s="24">
        <v>0</v>
      </c>
      <c r="J482" s="24">
        <v>1155.5</v>
      </c>
      <c r="K482" s="24">
        <v>0</v>
      </c>
      <c r="L482" s="32">
        <v>0</v>
      </c>
      <c r="M482" s="33">
        <v>0</v>
      </c>
      <c r="N482" s="27">
        <v>0</v>
      </c>
      <c r="O482" s="24">
        <v>1155.5</v>
      </c>
      <c r="P482" s="24">
        <v>1155.5</v>
      </c>
      <c r="Q482" s="28">
        <v>0</v>
      </c>
      <c r="R482" s="29">
        <v>0</v>
      </c>
      <c r="S482" s="29">
        <v>0</v>
      </c>
      <c r="T482" s="29">
        <v>0</v>
      </c>
      <c r="U482" s="30">
        <v>0</v>
      </c>
    </row>
    <row r="483" spans="2:21" x14ac:dyDescent="0.25">
      <c r="B483" s="31" t="s">
        <v>23</v>
      </c>
      <c r="C483" s="31">
        <v>98</v>
      </c>
      <c r="D483" s="22" t="s">
        <v>282</v>
      </c>
      <c r="E483" s="22" t="s">
        <v>555</v>
      </c>
      <c r="F483" s="22" t="s">
        <v>44</v>
      </c>
      <c r="G483" s="23">
        <v>0</v>
      </c>
      <c r="H483" s="24">
        <v>0</v>
      </c>
      <c r="I483" s="24">
        <v>0</v>
      </c>
      <c r="J483" s="24">
        <v>0</v>
      </c>
      <c r="K483" s="24">
        <v>0</v>
      </c>
      <c r="L483" s="32">
        <v>0</v>
      </c>
      <c r="M483" s="33">
        <v>0</v>
      </c>
      <c r="N483" s="27">
        <v>0</v>
      </c>
      <c r="O483" s="24">
        <v>0</v>
      </c>
      <c r="P483" s="24">
        <v>0</v>
      </c>
      <c r="Q483" s="28">
        <v>0</v>
      </c>
      <c r="R483" s="29">
        <v>0</v>
      </c>
      <c r="S483" s="29">
        <v>0</v>
      </c>
      <c r="T483" s="29">
        <v>0</v>
      </c>
      <c r="U483" s="30">
        <v>0</v>
      </c>
    </row>
    <row r="484" spans="2:21" x14ac:dyDescent="0.25">
      <c r="B484" s="31" t="s">
        <v>23</v>
      </c>
      <c r="C484" s="31">
        <v>98</v>
      </c>
      <c r="D484" s="22" t="s">
        <v>556</v>
      </c>
      <c r="E484" s="22" t="s">
        <v>557</v>
      </c>
      <c r="F484" s="22" t="s">
        <v>44</v>
      </c>
      <c r="G484" s="23">
        <v>0</v>
      </c>
      <c r="H484" s="24">
        <v>28373</v>
      </c>
      <c r="I484" s="24">
        <v>0</v>
      </c>
      <c r="J484" s="24">
        <v>0</v>
      </c>
      <c r="K484" s="24">
        <v>0</v>
      </c>
      <c r="L484" s="32">
        <v>0</v>
      </c>
      <c r="M484" s="33">
        <v>0</v>
      </c>
      <c r="N484" s="27">
        <v>0</v>
      </c>
      <c r="O484" s="24">
        <v>28373</v>
      </c>
      <c r="P484" s="24">
        <v>28373</v>
      </c>
      <c r="Q484" s="28">
        <v>0</v>
      </c>
      <c r="R484" s="29">
        <v>0</v>
      </c>
      <c r="S484" s="29">
        <v>0</v>
      </c>
      <c r="T484" s="29">
        <v>0</v>
      </c>
      <c r="U484" s="30">
        <v>28373</v>
      </c>
    </row>
    <row r="485" spans="2:21" x14ac:dyDescent="0.25">
      <c r="B485" s="31" t="s">
        <v>23</v>
      </c>
      <c r="C485" s="31">
        <v>98</v>
      </c>
      <c r="D485" s="22" t="s">
        <v>558</v>
      </c>
      <c r="E485" s="22" t="s">
        <v>559</v>
      </c>
      <c r="F485" s="22" t="s">
        <v>44</v>
      </c>
      <c r="G485" s="23">
        <v>0</v>
      </c>
      <c r="H485" s="24">
        <v>0</v>
      </c>
      <c r="I485" s="24">
        <v>0</v>
      </c>
      <c r="J485" s="24">
        <v>0</v>
      </c>
      <c r="K485" s="24">
        <v>0</v>
      </c>
      <c r="L485" s="32">
        <v>0</v>
      </c>
      <c r="M485" s="33">
        <v>0</v>
      </c>
      <c r="N485" s="27">
        <v>0</v>
      </c>
      <c r="O485" s="24">
        <v>351697</v>
      </c>
      <c r="P485" s="24">
        <v>351697</v>
      </c>
      <c r="Q485" s="28">
        <v>0</v>
      </c>
      <c r="R485" s="29">
        <v>0</v>
      </c>
      <c r="S485" s="29">
        <v>0</v>
      </c>
      <c r="T485" s="29">
        <v>0</v>
      </c>
      <c r="U485" s="30">
        <v>0</v>
      </c>
    </row>
    <row r="486" spans="2:21" x14ac:dyDescent="0.25">
      <c r="B486" s="31" t="s">
        <v>23</v>
      </c>
      <c r="C486" s="22">
        <v>99</v>
      </c>
      <c r="D486" s="22" t="s">
        <v>315</v>
      </c>
      <c r="E486" s="22" t="s">
        <v>560</v>
      </c>
      <c r="F486" s="22" t="s">
        <v>44</v>
      </c>
      <c r="G486" s="23">
        <v>0</v>
      </c>
      <c r="H486" s="24">
        <v>0</v>
      </c>
      <c r="I486" s="24">
        <v>0</v>
      </c>
      <c r="J486" s="24">
        <v>0</v>
      </c>
      <c r="K486" s="24">
        <v>0</v>
      </c>
      <c r="L486" s="32">
        <v>0</v>
      </c>
      <c r="M486" s="33">
        <v>0</v>
      </c>
      <c r="N486" s="27">
        <v>0</v>
      </c>
      <c r="O486" s="24">
        <v>0</v>
      </c>
      <c r="P486" s="24">
        <v>0</v>
      </c>
      <c r="Q486" s="28">
        <v>0</v>
      </c>
      <c r="R486" s="29">
        <v>0</v>
      </c>
      <c r="S486" s="29">
        <v>0</v>
      </c>
      <c r="T486" s="29">
        <v>0</v>
      </c>
      <c r="U486" s="30">
        <v>0</v>
      </c>
    </row>
    <row r="487" spans="2:21" x14ac:dyDescent="0.25">
      <c r="B487" s="31" t="s">
        <v>23</v>
      </c>
      <c r="C487" s="31">
        <v>99</v>
      </c>
      <c r="D487" s="22" t="s">
        <v>561</v>
      </c>
      <c r="E487" s="22" t="s">
        <v>562</v>
      </c>
      <c r="F487" s="22" t="s">
        <v>44</v>
      </c>
      <c r="G487" s="23">
        <v>0</v>
      </c>
      <c r="H487" s="24">
        <v>744</v>
      </c>
      <c r="I487" s="24">
        <v>0</v>
      </c>
      <c r="J487" s="24">
        <v>744</v>
      </c>
      <c r="K487" s="24">
        <v>0</v>
      </c>
      <c r="L487" s="32">
        <v>0</v>
      </c>
      <c r="M487" s="33">
        <v>0</v>
      </c>
      <c r="N487" s="27">
        <v>0</v>
      </c>
      <c r="O487" s="24">
        <v>744</v>
      </c>
      <c r="P487" s="24">
        <v>744</v>
      </c>
      <c r="Q487" s="28">
        <v>0</v>
      </c>
      <c r="R487" s="29">
        <v>0</v>
      </c>
      <c r="S487" s="29">
        <v>0</v>
      </c>
      <c r="T487" s="29">
        <v>0</v>
      </c>
      <c r="U487" s="30">
        <v>0</v>
      </c>
    </row>
    <row r="488" spans="2:21" x14ac:dyDescent="0.25">
      <c r="B488" s="31" t="s">
        <v>23</v>
      </c>
      <c r="C488" s="31">
        <v>99</v>
      </c>
      <c r="D488" s="22" t="s">
        <v>126</v>
      </c>
      <c r="E488" s="22" t="s">
        <v>127</v>
      </c>
      <c r="F488" s="22" t="s">
        <v>44</v>
      </c>
      <c r="G488" s="23">
        <v>0</v>
      </c>
      <c r="H488" s="24">
        <v>0</v>
      </c>
      <c r="I488" s="24">
        <v>0</v>
      </c>
      <c r="J488" s="24">
        <v>0</v>
      </c>
      <c r="K488" s="24">
        <v>0</v>
      </c>
      <c r="L488" s="32">
        <v>0</v>
      </c>
      <c r="M488" s="33">
        <v>0</v>
      </c>
      <c r="N488" s="27">
        <v>0</v>
      </c>
      <c r="O488" s="24">
        <v>0</v>
      </c>
      <c r="P488" s="24">
        <v>0</v>
      </c>
      <c r="Q488" s="28">
        <v>0</v>
      </c>
      <c r="R488" s="29">
        <v>0</v>
      </c>
      <c r="S488" s="29">
        <v>0</v>
      </c>
      <c r="T488" s="29">
        <v>0</v>
      </c>
      <c r="U488" s="30">
        <v>0</v>
      </c>
    </row>
    <row r="489" spans="2:21" x14ac:dyDescent="0.25">
      <c r="B489" s="31" t="s">
        <v>23</v>
      </c>
      <c r="C489" s="31">
        <v>99</v>
      </c>
      <c r="D489" s="22" t="s">
        <v>317</v>
      </c>
      <c r="E489" s="22" t="s">
        <v>563</v>
      </c>
      <c r="F489" s="22" t="s">
        <v>44</v>
      </c>
      <c r="G489" s="23">
        <v>0</v>
      </c>
      <c r="H489" s="24">
        <v>1726.5</v>
      </c>
      <c r="I489" s="24">
        <v>0</v>
      </c>
      <c r="J489" s="24">
        <v>1726.5</v>
      </c>
      <c r="K489" s="24">
        <v>0</v>
      </c>
      <c r="L489" s="32">
        <v>0</v>
      </c>
      <c r="M489" s="33">
        <v>0</v>
      </c>
      <c r="N489" s="27">
        <v>0</v>
      </c>
      <c r="O489" s="24">
        <v>1726.5</v>
      </c>
      <c r="P489" s="24">
        <v>1726.5</v>
      </c>
      <c r="Q489" s="28">
        <v>0</v>
      </c>
      <c r="R489" s="29">
        <v>0</v>
      </c>
      <c r="S489" s="29">
        <v>0</v>
      </c>
      <c r="T489" s="29">
        <v>0</v>
      </c>
      <c r="U489" s="30">
        <v>0</v>
      </c>
    </row>
    <row r="490" spans="2:21" x14ac:dyDescent="0.25">
      <c r="B490" s="31" t="s">
        <v>23</v>
      </c>
      <c r="C490" s="31">
        <v>99</v>
      </c>
      <c r="D490" s="22" t="s">
        <v>429</v>
      </c>
      <c r="E490" s="22" t="s">
        <v>564</v>
      </c>
      <c r="F490" s="22" t="s">
        <v>49</v>
      </c>
      <c r="G490" s="23">
        <v>0</v>
      </c>
      <c r="H490" s="24">
        <v>6900</v>
      </c>
      <c r="I490" s="24">
        <v>0</v>
      </c>
      <c r="J490" s="24">
        <v>585</v>
      </c>
      <c r="K490" s="24">
        <v>0</v>
      </c>
      <c r="L490" s="32">
        <v>542</v>
      </c>
      <c r="M490" s="33">
        <v>0</v>
      </c>
      <c r="N490" s="27">
        <v>0</v>
      </c>
      <c r="O490" s="24">
        <v>6900</v>
      </c>
      <c r="P490" s="24">
        <v>6900</v>
      </c>
      <c r="Q490" s="28">
        <v>0</v>
      </c>
      <c r="R490" s="29">
        <v>0</v>
      </c>
      <c r="S490" s="29">
        <v>0</v>
      </c>
      <c r="T490" s="29">
        <v>545</v>
      </c>
      <c r="U490" s="30">
        <v>5770</v>
      </c>
    </row>
    <row r="491" spans="2:21" x14ac:dyDescent="0.25">
      <c r="B491" s="31" t="s">
        <v>23</v>
      </c>
      <c r="C491" s="31">
        <v>99</v>
      </c>
      <c r="D491" s="22" t="s">
        <v>565</v>
      </c>
      <c r="E491" s="22" t="s">
        <v>566</v>
      </c>
      <c r="F491" s="22" t="s">
        <v>49</v>
      </c>
      <c r="G491" s="23">
        <v>0</v>
      </c>
      <c r="H491" s="24">
        <v>0</v>
      </c>
      <c r="I491" s="24">
        <v>0</v>
      </c>
      <c r="J491" s="24">
        <v>1319</v>
      </c>
      <c r="K491" s="24">
        <v>0</v>
      </c>
      <c r="L491" s="32">
        <v>572</v>
      </c>
      <c r="M491" s="33">
        <v>0</v>
      </c>
      <c r="N491" s="27">
        <v>0</v>
      </c>
      <c r="O491" s="24">
        <v>0</v>
      </c>
      <c r="P491" s="24">
        <v>0</v>
      </c>
      <c r="Q491" s="28">
        <v>0</v>
      </c>
      <c r="R491" s="29">
        <v>0</v>
      </c>
      <c r="S491" s="29">
        <v>0</v>
      </c>
      <c r="T491" s="29">
        <v>571.5</v>
      </c>
      <c r="U491" s="30">
        <v>-1890.5</v>
      </c>
    </row>
    <row r="492" spans="2:21" x14ac:dyDescent="0.25">
      <c r="B492" s="31" t="s">
        <v>23</v>
      </c>
      <c r="C492" s="31">
        <v>99</v>
      </c>
      <c r="D492" s="22" t="s">
        <v>567</v>
      </c>
      <c r="E492" s="22" t="s">
        <v>568</v>
      </c>
      <c r="F492" s="22" t="s">
        <v>44</v>
      </c>
      <c r="G492" s="23">
        <v>0</v>
      </c>
      <c r="H492" s="24">
        <v>0</v>
      </c>
      <c r="I492" s="24">
        <v>0</v>
      </c>
      <c r="J492" s="24">
        <v>0</v>
      </c>
      <c r="K492" s="24">
        <v>0</v>
      </c>
      <c r="L492" s="32">
        <v>0</v>
      </c>
      <c r="M492" s="33">
        <v>0</v>
      </c>
      <c r="N492" s="27">
        <v>0</v>
      </c>
      <c r="O492" s="24">
        <v>0</v>
      </c>
      <c r="P492" s="24">
        <v>0</v>
      </c>
      <c r="Q492" s="28">
        <v>0</v>
      </c>
      <c r="R492" s="29">
        <v>0</v>
      </c>
      <c r="S492" s="29">
        <v>0</v>
      </c>
      <c r="T492" s="29">
        <v>0</v>
      </c>
      <c r="U492" s="30">
        <v>0</v>
      </c>
    </row>
    <row r="493" spans="2:21" x14ac:dyDescent="0.25">
      <c r="B493" s="22" t="s">
        <v>24</v>
      </c>
      <c r="C493" s="22">
        <v>20</v>
      </c>
      <c r="D493" s="22" t="s">
        <v>31</v>
      </c>
      <c r="E493" s="22" t="s">
        <v>794</v>
      </c>
      <c r="F493" s="22" t="s">
        <v>33</v>
      </c>
      <c r="G493" s="23">
        <v>30882</v>
      </c>
      <c r="H493" s="24">
        <v>10261.780000000001</v>
      </c>
      <c r="I493" s="24">
        <v>20382.12</v>
      </c>
      <c r="J493" s="24">
        <v>6473</v>
      </c>
      <c r="K493" s="24">
        <v>1235.28</v>
      </c>
      <c r="L493" s="32">
        <v>515</v>
      </c>
      <c r="M493" s="33">
        <v>410.47120000000001</v>
      </c>
      <c r="N493" s="27">
        <v>6772.7747999999992</v>
      </c>
      <c r="O493" s="24">
        <v>10261.780000000001</v>
      </c>
      <c r="P493" s="24">
        <v>9807.575757575758</v>
      </c>
      <c r="Q493" s="28">
        <v>0.66</v>
      </c>
      <c r="R493" s="29">
        <v>0.8</v>
      </c>
      <c r="S493" s="29">
        <v>1.05</v>
      </c>
      <c r="T493" s="29">
        <v>516.5</v>
      </c>
      <c r="U493" s="30">
        <v>3272.2800000000007</v>
      </c>
    </row>
    <row r="494" spans="2:21" x14ac:dyDescent="0.25">
      <c r="B494" s="31" t="s">
        <v>24</v>
      </c>
      <c r="C494" s="22">
        <v>21</v>
      </c>
      <c r="D494" s="22" t="s">
        <v>130</v>
      </c>
      <c r="E494" s="22" t="s">
        <v>849</v>
      </c>
      <c r="F494" s="22" t="s">
        <v>33</v>
      </c>
      <c r="G494" s="23">
        <v>235355</v>
      </c>
      <c r="H494" s="24">
        <v>15168.58</v>
      </c>
      <c r="I494" s="24">
        <v>115323.95000000001</v>
      </c>
      <c r="J494" s="24">
        <v>6676</v>
      </c>
      <c r="K494" s="24">
        <v>5883.875</v>
      </c>
      <c r="L494" s="32">
        <v>535</v>
      </c>
      <c r="M494" s="33">
        <v>379.21450000000004</v>
      </c>
      <c r="N494" s="27">
        <v>7432.6042000000007</v>
      </c>
      <c r="O494" s="24">
        <v>15168.58</v>
      </c>
      <c r="P494" s="24">
        <v>13624.489795918365</v>
      </c>
      <c r="Q494" s="28">
        <v>0.49</v>
      </c>
      <c r="R494" s="29">
        <v>0.71</v>
      </c>
      <c r="S494" s="29">
        <v>1.1100000000000001</v>
      </c>
      <c r="T494" s="29">
        <v>536</v>
      </c>
      <c r="U494" s="30">
        <v>7956.58</v>
      </c>
    </row>
    <row r="495" spans="2:21" x14ac:dyDescent="0.25">
      <c r="B495" s="31" t="s">
        <v>24</v>
      </c>
      <c r="C495" s="22">
        <v>22</v>
      </c>
      <c r="D495" s="22" t="s">
        <v>133</v>
      </c>
      <c r="E495" s="22" t="s">
        <v>134</v>
      </c>
      <c r="F495" s="22" t="s">
        <v>33</v>
      </c>
      <c r="G495" s="23">
        <v>2983</v>
      </c>
      <c r="H495" s="24">
        <v>3089.55</v>
      </c>
      <c r="I495" s="24">
        <v>357.96000000000004</v>
      </c>
      <c r="J495" s="24">
        <v>416.5</v>
      </c>
      <c r="K495" s="24">
        <v>149.15</v>
      </c>
      <c r="L495" s="32">
        <v>243</v>
      </c>
      <c r="M495" s="33">
        <v>154.47750000000002</v>
      </c>
      <c r="N495" s="27">
        <v>370.74600000000004</v>
      </c>
      <c r="O495" s="24">
        <v>3089.55</v>
      </c>
      <c r="P495" s="24">
        <v>3089.55</v>
      </c>
      <c r="Q495" s="28">
        <v>0.12</v>
      </c>
      <c r="R495" s="29">
        <v>0.64</v>
      </c>
      <c r="S495" s="29">
        <v>0.89</v>
      </c>
      <c r="T495" s="29">
        <v>244</v>
      </c>
      <c r="U495" s="30">
        <v>2429.0500000000002</v>
      </c>
    </row>
    <row r="496" spans="2:21" x14ac:dyDescent="0.25">
      <c r="B496" s="31" t="s">
        <v>24</v>
      </c>
      <c r="C496" s="22">
        <v>25</v>
      </c>
      <c r="D496" s="22" t="s">
        <v>34</v>
      </c>
      <c r="E496" s="22" t="s">
        <v>795</v>
      </c>
      <c r="F496" s="22" t="s">
        <v>33</v>
      </c>
      <c r="G496" s="23">
        <v>1630</v>
      </c>
      <c r="H496" s="24">
        <v>18483.64</v>
      </c>
      <c r="I496" s="24">
        <v>1124.7</v>
      </c>
      <c r="J496" s="24">
        <v>9531</v>
      </c>
      <c r="K496" s="24">
        <v>32.6</v>
      </c>
      <c r="L496" s="32">
        <v>398</v>
      </c>
      <c r="M496" s="33">
        <v>369.6728</v>
      </c>
      <c r="N496" s="27">
        <v>12753.711600000001</v>
      </c>
      <c r="O496" s="24">
        <v>18483.64</v>
      </c>
      <c r="P496" s="24">
        <v>13813.043478260868</v>
      </c>
      <c r="Q496" s="28">
        <v>0.69</v>
      </c>
      <c r="R496" s="29">
        <v>0.93</v>
      </c>
      <c r="S496" s="29">
        <v>1.34</v>
      </c>
      <c r="T496" s="29">
        <v>399</v>
      </c>
      <c r="U496" s="30">
        <v>8553.64</v>
      </c>
    </row>
    <row r="497" spans="2:21" x14ac:dyDescent="0.25">
      <c r="B497" s="31" t="s">
        <v>24</v>
      </c>
      <c r="C497" s="31">
        <v>25</v>
      </c>
      <c r="D497" s="22" t="s">
        <v>36</v>
      </c>
      <c r="E497" s="22" t="s">
        <v>796</v>
      </c>
      <c r="F497" s="22" t="s">
        <v>788</v>
      </c>
      <c r="G497" s="23">
        <v>3695</v>
      </c>
      <c r="H497" s="24">
        <v>9111.3700000000008</v>
      </c>
      <c r="I497" s="24">
        <v>3140.7499999999995</v>
      </c>
      <c r="J497" s="24">
        <v>8191.5</v>
      </c>
      <c r="K497" s="24">
        <v>73.900000000000006</v>
      </c>
      <c r="L497" s="32">
        <v>239</v>
      </c>
      <c r="M497" s="33">
        <v>182.22740000000002</v>
      </c>
      <c r="N497" s="27">
        <v>7744.6644999999999</v>
      </c>
      <c r="O497" s="24">
        <v>9111.3700000000008</v>
      </c>
      <c r="P497" s="24">
        <v>9637.0588235294126</v>
      </c>
      <c r="Q497" s="28">
        <v>0.85</v>
      </c>
      <c r="R497" s="29">
        <v>0.76</v>
      </c>
      <c r="S497" s="29">
        <v>0.95</v>
      </c>
      <c r="T497" s="29">
        <v>238.5</v>
      </c>
      <c r="U497" s="30">
        <v>681.3700000000008</v>
      </c>
    </row>
    <row r="498" spans="2:21" x14ac:dyDescent="0.25">
      <c r="B498" s="31" t="s">
        <v>24</v>
      </c>
      <c r="C498" s="31">
        <v>25</v>
      </c>
      <c r="D498" s="22" t="s">
        <v>38</v>
      </c>
      <c r="E498" s="22" t="s">
        <v>797</v>
      </c>
      <c r="F498" s="22" t="s">
        <v>132</v>
      </c>
      <c r="G498" s="23">
        <v>269</v>
      </c>
      <c r="H498" s="24">
        <v>2719.6</v>
      </c>
      <c r="I498" s="24">
        <v>0</v>
      </c>
      <c r="J498" s="24">
        <v>24</v>
      </c>
      <c r="K498" s="24">
        <v>0</v>
      </c>
      <c r="L498" s="32">
        <v>24</v>
      </c>
      <c r="M498" s="33">
        <v>0</v>
      </c>
      <c r="N498" s="27">
        <v>0</v>
      </c>
      <c r="O498" s="24">
        <v>2719.6</v>
      </c>
      <c r="P498" s="24">
        <v>2719.6</v>
      </c>
      <c r="Q498" s="28">
        <v>0</v>
      </c>
      <c r="R498" s="29">
        <v>0</v>
      </c>
      <c r="S498" s="29">
        <v>0</v>
      </c>
      <c r="T498" s="29">
        <v>24</v>
      </c>
      <c r="U498" s="30">
        <v>2671.6</v>
      </c>
    </row>
    <row r="499" spans="2:21" x14ac:dyDescent="0.25">
      <c r="B499" s="31" t="s">
        <v>24</v>
      </c>
      <c r="C499" s="22">
        <v>26</v>
      </c>
      <c r="D499" s="22" t="s">
        <v>40</v>
      </c>
      <c r="E499" s="22" t="s">
        <v>798</v>
      </c>
      <c r="F499" s="22"/>
      <c r="G499" s="23">
        <v>15</v>
      </c>
      <c r="H499" s="24">
        <v>619.25</v>
      </c>
      <c r="I499" s="24">
        <v>0</v>
      </c>
      <c r="J499" s="24">
        <v>166</v>
      </c>
      <c r="K499" s="24">
        <v>0</v>
      </c>
      <c r="L499" s="32">
        <v>0</v>
      </c>
      <c r="M499" s="33">
        <v>0</v>
      </c>
      <c r="N499" s="27">
        <v>0</v>
      </c>
      <c r="O499" s="24">
        <v>619.25</v>
      </c>
      <c r="P499" s="24">
        <v>619.25</v>
      </c>
      <c r="Q499" s="28">
        <v>0</v>
      </c>
      <c r="R499" s="29">
        <v>0</v>
      </c>
      <c r="S499" s="29">
        <v>0</v>
      </c>
      <c r="T499" s="29">
        <v>0</v>
      </c>
      <c r="U499" s="30">
        <v>453.25</v>
      </c>
    </row>
    <row r="500" spans="2:21" x14ac:dyDescent="0.25">
      <c r="B500" s="31" t="s">
        <v>24</v>
      </c>
      <c r="C500" s="31">
        <v>26</v>
      </c>
      <c r="D500" s="22" t="s">
        <v>246</v>
      </c>
      <c r="E500" s="22" t="s">
        <v>799</v>
      </c>
      <c r="F500" s="22" t="s">
        <v>788</v>
      </c>
      <c r="G500" s="23">
        <v>114</v>
      </c>
      <c r="H500" s="24">
        <v>1029</v>
      </c>
      <c r="I500" s="24">
        <v>74.099999999999994</v>
      </c>
      <c r="J500" s="24">
        <v>1009</v>
      </c>
      <c r="K500" s="24">
        <v>22.8</v>
      </c>
      <c r="L500" s="32">
        <v>484</v>
      </c>
      <c r="M500" s="33">
        <v>205.8</v>
      </c>
      <c r="N500" s="27">
        <v>668.84999999999991</v>
      </c>
      <c r="O500" s="24">
        <v>1029</v>
      </c>
      <c r="P500" s="24">
        <v>1552.3076923076926</v>
      </c>
      <c r="Q500" s="28">
        <v>0.65</v>
      </c>
      <c r="R500" s="29">
        <v>0.43</v>
      </c>
      <c r="S500" s="29">
        <v>0.66</v>
      </c>
      <c r="T500" s="29">
        <v>486.5</v>
      </c>
      <c r="U500" s="30">
        <v>-466.5</v>
      </c>
    </row>
    <row r="501" spans="2:21" x14ac:dyDescent="0.25">
      <c r="B501" s="31" t="s">
        <v>24</v>
      </c>
      <c r="C501" s="31">
        <v>26</v>
      </c>
      <c r="D501" s="22" t="s">
        <v>248</v>
      </c>
      <c r="E501" s="22" t="s">
        <v>800</v>
      </c>
      <c r="F501" s="22"/>
      <c r="G501" s="23">
        <v>155</v>
      </c>
      <c r="H501" s="24">
        <v>1818</v>
      </c>
      <c r="I501" s="24">
        <v>155</v>
      </c>
      <c r="J501" s="24">
        <v>171</v>
      </c>
      <c r="K501" s="24">
        <v>0</v>
      </c>
      <c r="L501" s="32">
        <v>0</v>
      </c>
      <c r="M501" s="33">
        <v>0</v>
      </c>
      <c r="N501" s="27">
        <v>1818</v>
      </c>
      <c r="O501" s="24">
        <v>1818</v>
      </c>
      <c r="P501" s="24">
        <v>171</v>
      </c>
      <c r="Q501" s="28">
        <v>1</v>
      </c>
      <c r="R501" s="29">
        <v>0</v>
      </c>
      <c r="S501" s="29">
        <v>10.63</v>
      </c>
      <c r="T501" s="29">
        <v>0</v>
      </c>
      <c r="U501" s="30">
        <v>1647</v>
      </c>
    </row>
    <row r="502" spans="2:21" x14ac:dyDescent="0.25">
      <c r="B502" s="31" t="s">
        <v>24</v>
      </c>
      <c r="C502" s="22">
        <v>27</v>
      </c>
      <c r="D502" s="22" t="s">
        <v>52</v>
      </c>
      <c r="E502" s="22" t="s">
        <v>801</v>
      </c>
      <c r="F502" s="22" t="s">
        <v>788</v>
      </c>
      <c r="G502" s="23">
        <v>4708</v>
      </c>
      <c r="H502" s="24">
        <v>4725</v>
      </c>
      <c r="I502" s="24">
        <v>2401.08</v>
      </c>
      <c r="J502" s="24">
        <v>2446.5</v>
      </c>
      <c r="K502" s="24">
        <v>376.64</v>
      </c>
      <c r="L502" s="32">
        <v>329</v>
      </c>
      <c r="M502" s="33">
        <v>378</v>
      </c>
      <c r="N502" s="27">
        <v>2409.75</v>
      </c>
      <c r="O502" s="24">
        <v>4725</v>
      </c>
      <c r="P502" s="24">
        <v>4797.0588235294117</v>
      </c>
      <c r="Q502" s="28">
        <v>0.51</v>
      </c>
      <c r="R502" s="29">
        <v>1.1499999999999999</v>
      </c>
      <c r="S502" s="29">
        <v>0.98</v>
      </c>
      <c r="T502" s="29">
        <v>330</v>
      </c>
      <c r="U502" s="30">
        <v>1948.5</v>
      </c>
    </row>
    <row r="503" spans="2:21" x14ac:dyDescent="0.25">
      <c r="B503" s="31" t="s">
        <v>24</v>
      </c>
      <c r="C503" s="22">
        <v>30</v>
      </c>
      <c r="D503" s="22" t="s">
        <v>57</v>
      </c>
      <c r="E503" s="22" t="s">
        <v>802</v>
      </c>
      <c r="F503" s="22" t="s">
        <v>44</v>
      </c>
      <c r="G503" s="23">
        <v>0</v>
      </c>
      <c r="H503" s="24">
        <v>0</v>
      </c>
      <c r="I503" s="24">
        <v>0</v>
      </c>
      <c r="J503" s="24">
        <v>0</v>
      </c>
      <c r="K503" s="24">
        <v>0</v>
      </c>
      <c r="L503" s="32">
        <v>0</v>
      </c>
      <c r="M503" s="33">
        <v>0</v>
      </c>
      <c r="N503" s="27">
        <v>0</v>
      </c>
      <c r="O503" s="24">
        <v>0</v>
      </c>
      <c r="P503" s="24">
        <v>0</v>
      </c>
      <c r="Q503" s="28">
        <v>0</v>
      </c>
      <c r="R503" s="29">
        <v>0</v>
      </c>
      <c r="S503" s="29">
        <v>0</v>
      </c>
      <c r="T503" s="29">
        <v>0</v>
      </c>
      <c r="U503" s="30">
        <v>0</v>
      </c>
    </row>
    <row r="504" spans="2:21" x14ac:dyDescent="0.25">
      <c r="B504" s="31" t="s">
        <v>24</v>
      </c>
      <c r="C504" s="31">
        <v>30</v>
      </c>
      <c r="D504" s="22" t="s">
        <v>254</v>
      </c>
      <c r="E504" s="22" t="s">
        <v>803</v>
      </c>
      <c r="F504" s="22" t="s">
        <v>33</v>
      </c>
      <c r="G504" s="23">
        <v>1336</v>
      </c>
      <c r="H504" s="24">
        <v>24270.29</v>
      </c>
      <c r="I504" s="24">
        <v>507.68</v>
      </c>
      <c r="J504" s="24">
        <v>8007</v>
      </c>
      <c r="K504" s="24">
        <v>106.88</v>
      </c>
      <c r="L504" s="32">
        <v>911</v>
      </c>
      <c r="M504" s="33">
        <v>1941.6232</v>
      </c>
      <c r="N504" s="27">
        <v>9222.7101999999995</v>
      </c>
      <c r="O504" s="24">
        <v>24270.29</v>
      </c>
      <c r="P504" s="24">
        <v>21071.052631578947</v>
      </c>
      <c r="Q504" s="28">
        <v>0.38</v>
      </c>
      <c r="R504" s="29">
        <v>2.13</v>
      </c>
      <c r="S504" s="29">
        <v>1.1499999999999999</v>
      </c>
      <c r="T504" s="29">
        <v>909</v>
      </c>
      <c r="U504" s="30">
        <v>15354.29</v>
      </c>
    </row>
    <row r="505" spans="2:21" x14ac:dyDescent="0.25">
      <c r="B505" s="31" t="s">
        <v>24</v>
      </c>
      <c r="C505" s="31">
        <v>30</v>
      </c>
      <c r="D505" s="22" t="s">
        <v>256</v>
      </c>
      <c r="E505" s="22" t="s">
        <v>804</v>
      </c>
      <c r="F505" s="22" t="s">
        <v>805</v>
      </c>
      <c r="G505" s="23">
        <v>589</v>
      </c>
      <c r="H505" s="24">
        <v>11024</v>
      </c>
      <c r="I505" s="24">
        <v>589</v>
      </c>
      <c r="J505" s="24">
        <v>6633</v>
      </c>
      <c r="K505" s="24">
        <v>0</v>
      </c>
      <c r="L505" s="32">
        <v>234</v>
      </c>
      <c r="M505" s="33">
        <v>0</v>
      </c>
      <c r="N505" s="27">
        <v>11024</v>
      </c>
      <c r="O505" s="24">
        <v>11024</v>
      </c>
      <c r="P505" s="24">
        <v>6633</v>
      </c>
      <c r="Q505" s="28">
        <v>1</v>
      </c>
      <c r="R505" s="29">
        <v>0</v>
      </c>
      <c r="S505" s="29">
        <v>1.66</v>
      </c>
      <c r="T505" s="29">
        <v>260</v>
      </c>
      <c r="U505" s="30">
        <v>4131</v>
      </c>
    </row>
    <row r="506" spans="2:21" x14ac:dyDescent="0.25">
      <c r="B506" s="31" t="s">
        <v>24</v>
      </c>
      <c r="C506" s="31">
        <v>30</v>
      </c>
      <c r="D506" s="22" t="s">
        <v>59</v>
      </c>
      <c r="E506" s="22" t="s">
        <v>60</v>
      </c>
      <c r="F506" s="22" t="s">
        <v>44</v>
      </c>
      <c r="G506" s="23">
        <v>0</v>
      </c>
      <c r="H506" s="24">
        <v>0</v>
      </c>
      <c r="I506" s="24">
        <v>0</v>
      </c>
      <c r="J506" s="24">
        <v>0</v>
      </c>
      <c r="K506" s="24">
        <v>0</v>
      </c>
      <c r="L506" s="32">
        <v>-5949</v>
      </c>
      <c r="M506" s="33">
        <v>0</v>
      </c>
      <c r="N506" s="27">
        <v>0</v>
      </c>
      <c r="O506" s="24">
        <v>0</v>
      </c>
      <c r="P506" s="24">
        <v>0</v>
      </c>
      <c r="Q506" s="28">
        <v>0</v>
      </c>
      <c r="R506" s="29">
        <v>0</v>
      </c>
      <c r="S506" s="29">
        <v>0</v>
      </c>
      <c r="T506" s="29">
        <v>0</v>
      </c>
      <c r="U506" s="30">
        <v>0</v>
      </c>
    </row>
    <row r="507" spans="2:21" x14ac:dyDescent="0.25">
      <c r="B507" s="31" t="s">
        <v>24</v>
      </c>
      <c r="C507" s="31">
        <v>30</v>
      </c>
      <c r="D507" s="22" t="s">
        <v>61</v>
      </c>
      <c r="E507" s="22" t="s">
        <v>62</v>
      </c>
      <c r="F507" s="22" t="s">
        <v>44</v>
      </c>
      <c r="G507" s="23">
        <v>0</v>
      </c>
      <c r="H507" s="24">
        <v>0</v>
      </c>
      <c r="I507" s="24">
        <v>0</v>
      </c>
      <c r="J507" s="24">
        <v>94.5</v>
      </c>
      <c r="K507" s="24">
        <v>0</v>
      </c>
      <c r="L507" s="32">
        <v>0</v>
      </c>
      <c r="M507" s="33">
        <v>0</v>
      </c>
      <c r="N507" s="27">
        <v>0</v>
      </c>
      <c r="O507" s="24">
        <v>0</v>
      </c>
      <c r="P507" s="24">
        <v>0</v>
      </c>
      <c r="Q507" s="28">
        <v>0</v>
      </c>
      <c r="R507" s="29">
        <v>0</v>
      </c>
      <c r="S507" s="29">
        <v>0</v>
      </c>
      <c r="T507" s="29">
        <v>0</v>
      </c>
      <c r="U507" s="30">
        <v>-94.5</v>
      </c>
    </row>
    <row r="508" spans="2:21" x14ac:dyDescent="0.25">
      <c r="B508" s="31" t="s">
        <v>24</v>
      </c>
      <c r="C508" s="22">
        <v>45</v>
      </c>
      <c r="D508" s="22" t="s">
        <v>63</v>
      </c>
      <c r="E508" s="22" t="s">
        <v>806</v>
      </c>
      <c r="F508" s="22" t="s">
        <v>54</v>
      </c>
      <c r="G508" s="23">
        <v>768</v>
      </c>
      <c r="H508" s="24">
        <v>11868</v>
      </c>
      <c r="I508" s="24">
        <v>7.68</v>
      </c>
      <c r="J508" s="24">
        <v>72</v>
      </c>
      <c r="K508" s="24">
        <v>3.84</v>
      </c>
      <c r="L508" s="32">
        <v>0</v>
      </c>
      <c r="M508" s="33">
        <v>59.34</v>
      </c>
      <c r="N508" s="27">
        <v>118.68</v>
      </c>
      <c r="O508" s="24">
        <v>11868</v>
      </c>
      <c r="P508" s="24">
        <v>11868</v>
      </c>
      <c r="Q508" s="28">
        <v>0.01</v>
      </c>
      <c r="R508" s="29">
        <v>0</v>
      </c>
      <c r="S508" s="29">
        <v>1.65</v>
      </c>
      <c r="T508" s="29">
        <v>0</v>
      </c>
      <c r="U508" s="30">
        <v>11796</v>
      </c>
    </row>
    <row r="509" spans="2:21" x14ac:dyDescent="0.25">
      <c r="B509" s="31" t="s">
        <v>24</v>
      </c>
      <c r="C509" s="31">
        <v>45</v>
      </c>
      <c r="D509" s="22" t="s">
        <v>65</v>
      </c>
      <c r="E509" s="22" t="s">
        <v>807</v>
      </c>
      <c r="F509" s="22" t="s">
        <v>33</v>
      </c>
      <c r="G509" s="23">
        <v>534</v>
      </c>
      <c r="H509" s="24">
        <v>5440</v>
      </c>
      <c r="I509" s="24">
        <v>8.01</v>
      </c>
      <c r="J509" s="24">
        <v>84</v>
      </c>
      <c r="K509" s="24">
        <v>6.4079999999999995</v>
      </c>
      <c r="L509" s="32">
        <v>72</v>
      </c>
      <c r="M509" s="33">
        <v>65.279999999999987</v>
      </c>
      <c r="N509" s="27">
        <v>81.599999999999994</v>
      </c>
      <c r="O509" s="24">
        <v>5440</v>
      </c>
      <c r="P509" s="24">
        <v>5440</v>
      </c>
      <c r="Q509" s="28">
        <v>0.02</v>
      </c>
      <c r="R509" s="29">
        <v>0.91</v>
      </c>
      <c r="S509" s="29">
        <v>0.97</v>
      </c>
      <c r="T509" s="29">
        <v>72</v>
      </c>
      <c r="U509" s="30">
        <v>5284</v>
      </c>
    </row>
    <row r="510" spans="2:21" x14ac:dyDescent="0.25">
      <c r="B510" s="31" t="s">
        <v>24</v>
      </c>
      <c r="C510" s="31">
        <v>45</v>
      </c>
      <c r="D510" s="22" t="s">
        <v>67</v>
      </c>
      <c r="E510" s="22" t="s">
        <v>808</v>
      </c>
      <c r="F510" s="22" t="s">
        <v>33</v>
      </c>
      <c r="G510" s="23">
        <v>48</v>
      </c>
      <c r="H510" s="24">
        <v>8880</v>
      </c>
      <c r="I510" s="24">
        <v>7.2</v>
      </c>
      <c r="J510" s="24">
        <v>909</v>
      </c>
      <c r="K510" s="24">
        <v>1.44</v>
      </c>
      <c r="L510" s="32">
        <v>287</v>
      </c>
      <c r="M510" s="33">
        <v>266.39999999999998</v>
      </c>
      <c r="N510" s="27">
        <v>1332</v>
      </c>
      <c r="O510" s="24">
        <v>8880</v>
      </c>
      <c r="P510" s="24">
        <v>8880</v>
      </c>
      <c r="Q510" s="28">
        <v>0.15</v>
      </c>
      <c r="R510" s="29">
        <v>0.93</v>
      </c>
      <c r="S510" s="29">
        <v>1.47</v>
      </c>
      <c r="T510" s="29">
        <v>288</v>
      </c>
      <c r="U510" s="30">
        <v>7683</v>
      </c>
    </row>
    <row r="511" spans="2:21" x14ac:dyDescent="0.25">
      <c r="B511" s="31" t="s">
        <v>24</v>
      </c>
      <c r="C511" s="22">
        <v>50</v>
      </c>
      <c r="D511" s="22" t="s">
        <v>69</v>
      </c>
      <c r="E511" s="22" t="s">
        <v>809</v>
      </c>
      <c r="F511" s="22" t="s">
        <v>44</v>
      </c>
      <c r="G511" s="23">
        <v>0</v>
      </c>
      <c r="H511" s="24">
        <v>171.7899999999936</v>
      </c>
      <c r="I511" s="24">
        <v>0</v>
      </c>
      <c r="J511" s="24">
        <v>0</v>
      </c>
      <c r="K511" s="24">
        <v>0</v>
      </c>
      <c r="L511" s="32">
        <v>0</v>
      </c>
      <c r="M511" s="33">
        <v>0</v>
      </c>
      <c r="N511" s="27">
        <v>0</v>
      </c>
      <c r="O511" s="24">
        <v>114697.5</v>
      </c>
      <c r="P511" s="24">
        <v>114697.5</v>
      </c>
      <c r="Q511" s="28">
        <v>0</v>
      </c>
      <c r="R511" s="29">
        <v>0</v>
      </c>
      <c r="S511" s="29">
        <v>0</v>
      </c>
      <c r="T511" s="29">
        <v>0</v>
      </c>
      <c r="U511" s="30">
        <v>171.7899999999936</v>
      </c>
    </row>
    <row r="512" spans="2:21" x14ac:dyDescent="0.25">
      <c r="B512" s="31" t="s">
        <v>24</v>
      </c>
      <c r="C512" s="31">
        <v>50</v>
      </c>
      <c r="D512" s="22" t="s">
        <v>71</v>
      </c>
      <c r="E512" s="22" t="s">
        <v>810</v>
      </c>
      <c r="F512" s="22" t="s">
        <v>788</v>
      </c>
      <c r="G512" s="23">
        <v>60267</v>
      </c>
      <c r="H512" s="24">
        <v>47318.15</v>
      </c>
      <c r="I512" s="24">
        <v>30133.5</v>
      </c>
      <c r="J512" s="24">
        <v>27433.5</v>
      </c>
      <c r="K512" s="24">
        <v>30133.5</v>
      </c>
      <c r="L512" s="32">
        <v>5739</v>
      </c>
      <c r="M512" s="33">
        <v>23659.075000000001</v>
      </c>
      <c r="N512" s="27">
        <v>23659.075000000001</v>
      </c>
      <c r="O512" s="24">
        <v>47318.15</v>
      </c>
      <c r="P512" s="24">
        <v>54867</v>
      </c>
      <c r="Q512" s="28">
        <v>0.5</v>
      </c>
      <c r="R512" s="29">
        <v>4.12</v>
      </c>
      <c r="S512" s="29">
        <v>0.86</v>
      </c>
      <c r="T512" s="29">
        <v>5700</v>
      </c>
      <c r="U512" s="30">
        <v>14184.650000000001</v>
      </c>
    </row>
    <row r="513" spans="2:21" x14ac:dyDescent="0.25">
      <c r="B513" s="31" t="s">
        <v>24</v>
      </c>
      <c r="C513" s="31">
        <v>50</v>
      </c>
      <c r="D513" s="22" t="s">
        <v>72</v>
      </c>
      <c r="E513" s="22" t="s">
        <v>811</v>
      </c>
      <c r="F513" s="22" t="s">
        <v>33</v>
      </c>
      <c r="G513" s="23">
        <v>60267</v>
      </c>
      <c r="H513" s="24">
        <v>106753.7</v>
      </c>
      <c r="I513" s="24">
        <v>4821.3599999999997</v>
      </c>
      <c r="J513" s="24">
        <v>8102</v>
      </c>
      <c r="K513" s="24">
        <v>4821.3599999999997</v>
      </c>
      <c r="L513" s="32">
        <v>4218</v>
      </c>
      <c r="M513" s="33">
        <v>8540.2959999999985</v>
      </c>
      <c r="N513" s="27">
        <v>8540.2959999999985</v>
      </c>
      <c r="O513" s="24">
        <v>106753.7</v>
      </c>
      <c r="P513" s="24">
        <v>106753.7</v>
      </c>
      <c r="Q513" s="28">
        <v>0.08</v>
      </c>
      <c r="R513" s="29">
        <v>2.02</v>
      </c>
      <c r="S513" s="29">
        <v>1.05</v>
      </c>
      <c r="T513" s="29">
        <v>4219</v>
      </c>
      <c r="U513" s="30">
        <v>94432.7</v>
      </c>
    </row>
    <row r="514" spans="2:21" x14ac:dyDescent="0.25">
      <c r="B514" s="31" t="s">
        <v>24</v>
      </c>
      <c r="C514" s="22">
        <v>51</v>
      </c>
      <c r="D514" s="22" t="s">
        <v>73</v>
      </c>
      <c r="E514" s="22" t="s">
        <v>812</v>
      </c>
      <c r="F514" s="22" t="s">
        <v>44</v>
      </c>
      <c r="G514" s="23">
        <v>0</v>
      </c>
      <c r="H514" s="24">
        <v>-46.339999999996508</v>
      </c>
      <c r="I514" s="24">
        <v>0</v>
      </c>
      <c r="J514" s="24">
        <v>0</v>
      </c>
      <c r="K514" s="24">
        <v>0</v>
      </c>
      <c r="L514" s="32">
        <v>0</v>
      </c>
      <c r="M514" s="33">
        <v>0</v>
      </c>
      <c r="N514" s="27">
        <v>0</v>
      </c>
      <c r="O514" s="24">
        <v>43331.8</v>
      </c>
      <c r="P514" s="24">
        <v>43331.8</v>
      </c>
      <c r="Q514" s="28">
        <v>0</v>
      </c>
      <c r="R514" s="29">
        <v>0</v>
      </c>
      <c r="S514" s="29">
        <v>0</v>
      </c>
      <c r="T514" s="29">
        <v>0</v>
      </c>
      <c r="U514" s="30">
        <v>-46.339999999996508</v>
      </c>
    </row>
    <row r="515" spans="2:21" x14ac:dyDescent="0.25">
      <c r="B515" s="31" t="s">
        <v>24</v>
      </c>
      <c r="C515" s="31">
        <v>51</v>
      </c>
      <c r="D515" s="22" t="s">
        <v>75</v>
      </c>
      <c r="E515" s="22" t="s">
        <v>813</v>
      </c>
      <c r="F515" s="22" t="s">
        <v>33</v>
      </c>
      <c r="G515" s="23">
        <v>15409</v>
      </c>
      <c r="H515" s="24">
        <v>53553.39</v>
      </c>
      <c r="I515" s="24">
        <v>77.045000000000002</v>
      </c>
      <c r="J515" s="24">
        <v>240.5</v>
      </c>
      <c r="K515" s="24">
        <v>77.045000000000002</v>
      </c>
      <c r="L515" s="32">
        <v>120</v>
      </c>
      <c r="M515" s="33">
        <v>267.76695000000001</v>
      </c>
      <c r="N515" s="27">
        <v>267.76695000000001</v>
      </c>
      <c r="O515" s="24">
        <v>53553.39</v>
      </c>
      <c r="P515" s="24">
        <v>53553.39</v>
      </c>
      <c r="Q515" s="28">
        <v>0.01</v>
      </c>
      <c r="R515" s="29">
        <v>2.23</v>
      </c>
      <c r="S515" s="29">
        <v>1.1100000000000001</v>
      </c>
      <c r="T515" s="29">
        <v>120</v>
      </c>
      <c r="U515" s="30">
        <v>53192.89</v>
      </c>
    </row>
    <row r="516" spans="2:21" x14ac:dyDescent="0.25">
      <c r="B516" s="31" t="s">
        <v>24</v>
      </c>
      <c r="C516" s="22">
        <v>52</v>
      </c>
      <c r="D516" s="22" t="s">
        <v>76</v>
      </c>
      <c r="E516" s="22" t="s">
        <v>814</v>
      </c>
      <c r="F516" s="22"/>
      <c r="G516" s="23">
        <v>26</v>
      </c>
      <c r="H516" s="24">
        <v>1222</v>
      </c>
      <c r="I516" s="24">
        <v>0</v>
      </c>
      <c r="J516" s="24">
        <v>0</v>
      </c>
      <c r="K516" s="24">
        <v>0</v>
      </c>
      <c r="L516" s="32">
        <v>0</v>
      </c>
      <c r="M516" s="33">
        <v>0</v>
      </c>
      <c r="N516" s="27">
        <v>0</v>
      </c>
      <c r="O516" s="24">
        <v>1222</v>
      </c>
      <c r="P516" s="24">
        <v>1222</v>
      </c>
      <c r="Q516" s="28">
        <v>0</v>
      </c>
      <c r="R516" s="29">
        <v>0</v>
      </c>
      <c r="S516" s="29">
        <v>0</v>
      </c>
      <c r="T516" s="29">
        <v>0</v>
      </c>
      <c r="U516" s="30">
        <v>1222</v>
      </c>
    </row>
    <row r="517" spans="2:21" x14ac:dyDescent="0.25">
      <c r="B517" s="31" t="s">
        <v>24</v>
      </c>
      <c r="C517" s="22">
        <v>53</v>
      </c>
      <c r="D517" s="22" t="s">
        <v>271</v>
      </c>
      <c r="E517" s="22" t="s">
        <v>815</v>
      </c>
      <c r="F517" s="22" t="s">
        <v>44</v>
      </c>
      <c r="G517" s="23">
        <v>0</v>
      </c>
      <c r="H517" s="24">
        <v>5.9999999999490683E-2</v>
      </c>
      <c r="I517" s="24">
        <v>0</v>
      </c>
      <c r="J517" s="24">
        <v>0</v>
      </c>
      <c r="K517" s="24">
        <v>0</v>
      </c>
      <c r="L517" s="32">
        <v>0</v>
      </c>
      <c r="M517" s="33">
        <v>0</v>
      </c>
      <c r="N517" s="27">
        <v>0</v>
      </c>
      <c r="O517" s="24">
        <v>0</v>
      </c>
      <c r="P517" s="24">
        <v>0</v>
      </c>
      <c r="Q517" s="28">
        <v>0</v>
      </c>
      <c r="R517" s="29">
        <v>0</v>
      </c>
      <c r="S517" s="29">
        <v>0</v>
      </c>
      <c r="T517" s="29">
        <v>0</v>
      </c>
      <c r="U517" s="30">
        <v>5.9999999999490683E-2</v>
      </c>
    </row>
    <row r="518" spans="2:21" x14ac:dyDescent="0.25">
      <c r="B518" s="31" t="s">
        <v>24</v>
      </c>
      <c r="C518" s="22">
        <v>55</v>
      </c>
      <c r="D518" s="22" t="s">
        <v>78</v>
      </c>
      <c r="E518" s="22" t="s">
        <v>816</v>
      </c>
      <c r="F518" s="22"/>
      <c r="G518" s="23">
        <v>6456</v>
      </c>
      <c r="H518" s="24">
        <v>17259.82</v>
      </c>
      <c r="I518" s="24">
        <v>0</v>
      </c>
      <c r="J518" s="24">
        <v>0</v>
      </c>
      <c r="K518" s="24">
        <v>0</v>
      </c>
      <c r="L518" s="32">
        <v>0</v>
      </c>
      <c r="M518" s="33">
        <v>0</v>
      </c>
      <c r="N518" s="27">
        <v>0</v>
      </c>
      <c r="O518" s="24">
        <v>17259.82</v>
      </c>
      <c r="P518" s="24">
        <v>17259.82</v>
      </c>
      <c r="Q518" s="28">
        <v>0</v>
      </c>
      <c r="R518" s="29">
        <v>0</v>
      </c>
      <c r="S518" s="29">
        <v>0</v>
      </c>
      <c r="T518" s="29">
        <v>0</v>
      </c>
      <c r="U518" s="30">
        <v>17259.82</v>
      </c>
    </row>
    <row r="519" spans="2:21" x14ac:dyDescent="0.25">
      <c r="B519" s="31" t="s">
        <v>24</v>
      </c>
      <c r="C519" s="31">
        <v>55</v>
      </c>
      <c r="D519" s="22" t="s">
        <v>80</v>
      </c>
      <c r="E519" s="22" t="s">
        <v>817</v>
      </c>
      <c r="F519" s="22" t="s">
        <v>49</v>
      </c>
      <c r="G519" s="23">
        <v>0</v>
      </c>
      <c r="H519" s="24">
        <v>0</v>
      </c>
      <c r="I519" s="24">
        <v>0</v>
      </c>
      <c r="J519" s="24">
        <v>7039.5</v>
      </c>
      <c r="K519" s="24">
        <v>0</v>
      </c>
      <c r="L519" s="32">
        <v>3021</v>
      </c>
      <c r="M519" s="33">
        <v>0</v>
      </c>
      <c r="N519" s="27">
        <v>0</v>
      </c>
      <c r="O519" s="24">
        <v>1108.5</v>
      </c>
      <c r="P519" s="24">
        <v>1108.5</v>
      </c>
      <c r="Q519" s="28">
        <v>0</v>
      </c>
      <c r="R519" s="29">
        <v>0</v>
      </c>
      <c r="S519" s="29">
        <v>0</v>
      </c>
      <c r="T519" s="29">
        <v>3021</v>
      </c>
      <c r="U519" s="30">
        <v>-10060.5</v>
      </c>
    </row>
    <row r="520" spans="2:21" x14ac:dyDescent="0.25">
      <c r="B520" s="31" t="s">
        <v>24</v>
      </c>
      <c r="C520" s="22">
        <v>58</v>
      </c>
      <c r="D520" s="22" t="s">
        <v>128</v>
      </c>
      <c r="E520" s="22" t="s">
        <v>848</v>
      </c>
      <c r="F520" s="22"/>
      <c r="G520" s="23">
        <v>2873</v>
      </c>
      <c r="H520" s="24">
        <v>2370.19</v>
      </c>
      <c r="I520" s="24">
        <v>0</v>
      </c>
      <c r="J520" s="24">
        <v>0</v>
      </c>
      <c r="K520" s="24">
        <v>0</v>
      </c>
      <c r="L520" s="32">
        <v>0</v>
      </c>
      <c r="M520" s="33">
        <v>0</v>
      </c>
      <c r="N520" s="27">
        <v>0</v>
      </c>
      <c r="O520" s="24">
        <v>2370.19</v>
      </c>
      <c r="P520" s="24">
        <v>2370.19</v>
      </c>
      <c r="Q520" s="28">
        <v>0</v>
      </c>
      <c r="R520" s="29">
        <v>0</v>
      </c>
      <c r="S520" s="29">
        <v>0</v>
      </c>
      <c r="T520" s="29">
        <v>0</v>
      </c>
      <c r="U520" s="30">
        <v>2370.19</v>
      </c>
    </row>
    <row r="521" spans="2:21" x14ac:dyDescent="0.25">
      <c r="B521" s="31" t="s">
        <v>24</v>
      </c>
      <c r="C521" s="22">
        <v>75</v>
      </c>
      <c r="D521" s="22" t="s">
        <v>818</v>
      </c>
      <c r="E521" s="22" t="s">
        <v>819</v>
      </c>
      <c r="F521" s="22"/>
      <c r="G521" s="23">
        <v>18761</v>
      </c>
      <c r="H521" s="24">
        <v>18573.16</v>
      </c>
      <c r="I521" s="24">
        <v>0</v>
      </c>
      <c r="J521" s="24">
        <v>0</v>
      </c>
      <c r="K521" s="24">
        <v>0</v>
      </c>
      <c r="L521" s="32">
        <v>0</v>
      </c>
      <c r="M521" s="33">
        <v>0</v>
      </c>
      <c r="N521" s="27">
        <v>0</v>
      </c>
      <c r="O521" s="24">
        <v>18573.16</v>
      </c>
      <c r="P521" s="24">
        <v>18573.16</v>
      </c>
      <c r="Q521" s="28">
        <v>0</v>
      </c>
      <c r="R521" s="29">
        <v>0</v>
      </c>
      <c r="S521" s="29">
        <v>0</v>
      </c>
      <c r="T521" s="29">
        <v>0</v>
      </c>
      <c r="U521" s="30">
        <v>18573.16</v>
      </c>
    </row>
    <row r="522" spans="2:21" x14ac:dyDescent="0.25">
      <c r="B522" s="31" t="s">
        <v>24</v>
      </c>
      <c r="C522" s="31">
        <v>75</v>
      </c>
      <c r="D522" s="22" t="s">
        <v>820</v>
      </c>
      <c r="E522" s="22" t="s">
        <v>821</v>
      </c>
      <c r="F522" s="22" t="s">
        <v>44</v>
      </c>
      <c r="G522" s="23">
        <v>0</v>
      </c>
      <c r="H522" s="24">
        <v>3456</v>
      </c>
      <c r="I522" s="24">
        <v>0</v>
      </c>
      <c r="J522" s="24">
        <v>0</v>
      </c>
      <c r="K522" s="24">
        <v>0</v>
      </c>
      <c r="L522" s="32">
        <v>0</v>
      </c>
      <c r="M522" s="33">
        <v>0</v>
      </c>
      <c r="N522" s="27">
        <v>0</v>
      </c>
      <c r="O522" s="24">
        <v>3456</v>
      </c>
      <c r="P522" s="24">
        <v>3456</v>
      </c>
      <c r="Q522" s="28">
        <v>0</v>
      </c>
      <c r="R522" s="29">
        <v>0</v>
      </c>
      <c r="S522" s="29">
        <v>0</v>
      </c>
      <c r="T522" s="29">
        <v>0</v>
      </c>
      <c r="U522" s="30">
        <v>3456</v>
      </c>
    </row>
    <row r="523" spans="2:21" x14ac:dyDescent="0.25">
      <c r="B523" s="31" t="s">
        <v>24</v>
      </c>
      <c r="C523" s="22">
        <v>90</v>
      </c>
      <c r="D523" s="22" t="s">
        <v>86</v>
      </c>
      <c r="E523" s="22" t="s">
        <v>822</v>
      </c>
      <c r="F523" s="22" t="s">
        <v>49</v>
      </c>
      <c r="G523" s="23">
        <v>0</v>
      </c>
      <c r="H523" s="24">
        <v>4257.9799999999996</v>
      </c>
      <c r="I523" s="24">
        <v>0</v>
      </c>
      <c r="J523" s="24">
        <v>1612</v>
      </c>
      <c r="K523" s="24">
        <v>0</v>
      </c>
      <c r="L523" s="32">
        <v>285</v>
      </c>
      <c r="M523" s="33">
        <v>0</v>
      </c>
      <c r="N523" s="27">
        <v>0</v>
      </c>
      <c r="O523" s="24">
        <v>4257.9799999999996</v>
      </c>
      <c r="P523" s="24">
        <v>4257.9799999999996</v>
      </c>
      <c r="Q523" s="28">
        <v>0</v>
      </c>
      <c r="R523" s="29">
        <v>0</v>
      </c>
      <c r="S523" s="29">
        <v>0</v>
      </c>
      <c r="T523" s="29">
        <v>0</v>
      </c>
      <c r="U523" s="30">
        <v>2645.9799999999996</v>
      </c>
    </row>
    <row r="524" spans="2:21" x14ac:dyDescent="0.25">
      <c r="B524" s="31" t="s">
        <v>24</v>
      </c>
      <c r="C524" s="31">
        <v>90</v>
      </c>
      <c r="D524" s="22" t="s">
        <v>88</v>
      </c>
      <c r="E524" s="22" t="s">
        <v>823</v>
      </c>
      <c r="F524" s="22" t="s">
        <v>49</v>
      </c>
      <c r="G524" s="23">
        <v>0</v>
      </c>
      <c r="H524" s="24">
        <v>29904</v>
      </c>
      <c r="I524" s="24">
        <v>0</v>
      </c>
      <c r="J524" s="24">
        <v>5435</v>
      </c>
      <c r="K524" s="24">
        <v>0</v>
      </c>
      <c r="L524" s="32">
        <v>894</v>
      </c>
      <c r="M524" s="33">
        <v>0</v>
      </c>
      <c r="N524" s="27">
        <v>0</v>
      </c>
      <c r="O524" s="24">
        <v>29904</v>
      </c>
      <c r="P524" s="24">
        <v>29904</v>
      </c>
      <c r="Q524" s="28">
        <v>0</v>
      </c>
      <c r="R524" s="29">
        <v>0</v>
      </c>
      <c r="S524" s="29">
        <v>0</v>
      </c>
      <c r="T524" s="29">
        <v>40</v>
      </c>
      <c r="U524" s="30">
        <v>24429</v>
      </c>
    </row>
    <row r="525" spans="2:21" x14ac:dyDescent="0.25">
      <c r="B525" s="31" t="s">
        <v>24</v>
      </c>
      <c r="C525" s="31">
        <v>90</v>
      </c>
      <c r="D525" s="22" t="s">
        <v>90</v>
      </c>
      <c r="E525" s="22" t="s">
        <v>824</v>
      </c>
      <c r="F525" s="22" t="s">
        <v>49</v>
      </c>
      <c r="G525" s="23">
        <v>0</v>
      </c>
      <c r="H525" s="24">
        <v>9828</v>
      </c>
      <c r="I525" s="24">
        <v>0</v>
      </c>
      <c r="J525" s="24">
        <v>433.5</v>
      </c>
      <c r="K525" s="24">
        <v>0</v>
      </c>
      <c r="L525" s="32">
        <v>102</v>
      </c>
      <c r="M525" s="33">
        <v>0</v>
      </c>
      <c r="N525" s="27">
        <v>0</v>
      </c>
      <c r="O525" s="24">
        <v>9828</v>
      </c>
      <c r="P525" s="24">
        <v>9828</v>
      </c>
      <c r="Q525" s="28">
        <v>0</v>
      </c>
      <c r="R525" s="29">
        <v>0</v>
      </c>
      <c r="S525" s="29">
        <v>0</v>
      </c>
      <c r="T525" s="29">
        <v>102</v>
      </c>
      <c r="U525" s="30">
        <v>9292.5</v>
      </c>
    </row>
    <row r="526" spans="2:21" x14ac:dyDescent="0.25">
      <c r="B526" s="31" t="s">
        <v>24</v>
      </c>
      <c r="C526" s="31">
        <v>90</v>
      </c>
      <c r="D526" s="22" t="s">
        <v>92</v>
      </c>
      <c r="E526" s="22" t="s">
        <v>825</v>
      </c>
      <c r="F526" s="22" t="s">
        <v>49</v>
      </c>
      <c r="G526" s="23">
        <v>0</v>
      </c>
      <c r="H526" s="24">
        <v>34188</v>
      </c>
      <c r="I526" s="24">
        <v>0</v>
      </c>
      <c r="J526" s="24">
        <v>4476.5</v>
      </c>
      <c r="K526" s="24">
        <v>0</v>
      </c>
      <c r="L526" s="32">
        <v>1472</v>
      </c>
      <c r="M526" s="33">
        <v>0</v>
      </c>
      <c r="N526" s="27">
        <v>0</v>
      </c>
      <c r="O526" s="24">
        <v>34188</v>
      </c>
      <c r="P526" s="24">
        <v>34188</v>
      </c>
      <c r="Q526" s="28">
        <v>0</v>
      </c>
      <c r="R526" s="29">
        <v>0</v>
      </c>
      <c r="S526" s="29">
        <v>0</v>
      </c>
      <c r="T526" s="29">
        <v>437</v>
      </c>
      <c r="U526" s="30">
        <v>29274.5</v>
      </c>
    </row>
    <row r="527" spans="2:21" x14ac:dyDescent="0.25">
      <c r="B527" s="31" t="s">
        <v>24</v>
      </c>
      <c r="C527" s="31">
        <v>90</v>
      </c>
      <c r="D527" s="22" t="s">
        <v>94</v>
      </c>
      <c r="E527" s="22" t="s">
        <v>826</v>
      </c>
      <c r="F527" s="22" t="s">
        <v>49</v>
      </c>
      <c r="G527" s="23">
        <v>0</v>
      </c>
      <c r="H527" s="24">
        <v>2184</v>
      </c>
      <c r="I527" s="24">
        <v>0</v>
      </c>
      <c r="J527" s="24">
        <v>270</v>
      </c>
      <c r="K527" s="24">
        <v>0</v>
      </c>
      <c r="L527" s="32">
        <v>94</v>
      </c>
      <c r="M527" s="33">
        <v>0</v>
      </c>
      <c r="N527" s="27">
        <v>0</v>
      </c>
      <c r="O527" s="24">
        <v>2184</v>
      </c>
      <c r="P527" s="24">
        <v>2184</v>
      </c>
      <c r="Q527" s="28">
        <v>0</v>
      </c>
      <c r="R527" s="29">
        <v>0</v>
      </c>
      <c r="S527" s="29">
        <v>0</v>
      </c>
      <c r="T527" s="29">
        <v>43.5</v>
      </c>
      <c r="U527" s="30">
        <v>1870.5</v>
      </c>
    </row>
    <row r="528" spans="2:21" x14ac:dyDescent="0.25">
      <c r="B528" s="31" t="s">
        <v>24</v>
      </c>
      <c r="C528" s="31">
        <v>90</v>
      </c>
      <c r="D528" s="22" t="s">
        <v>827</v>
      </c>
      <c r="E528" s="22" t="s">
        <v>828</v>
      </c>
      <c r="F528" s="22" t="s">
        <v>44</v>
      </c>
      <c r="G528" s="23">
        <v>0</v>
      </c>
      <c r="H528" s="24">
        <v>0</v>
      </c>
      <c r="I528" s="24">
        <v>0</v>
      </c>
      <c r="J528" s="24">
        <v>0</v>
      </c>
      <c r="K528" s="24">
        <v>0</v>
      </c>
      <c r="L528" s="32">
        <v>0</v>
      </c>
      <c r="M528" s="33">
        <v>0</v>
      </c>
      <c r="N528" s="27">
        <v>0</v>
      </c>
      <c r="O528" s="24">
        <v>0</v>
      </c>
      <c r="P528" s="24">
        <v>0</v>
      </c>
      <c r="Q528" s="28">
        <v>0</v>
      </c>
      <c r="R528" s="29">
        <v>0</v>
      </c>
      <c r="S528" s="29">
        <v>0</v>
      </c>
      <c r="T528" s="29">
        <v>0</v>
      </c>
      <c r="U528" s="30">
        <v>0</v>
      </c>
    </row>
    <row r="529" spans="2:21" x14ac:dyDescent="0.25">
      <c r="B529" s="31" t="s">
        <v>24</v>
      </c>
      <c r="C529" s="22">
        <v>91</v>
      </c>
      <c r="D529" s="22" t="s">
        <v>96</v>
      </c>
      <c r="E529" s="22" t="s">
        <v>829</v>
      </c>
      <c r="F529" s="22" t="s">
        <v>49</v>
      </c>
      <c r="G529" s="23">
        <v>0</v>
      </c>
      <c r="H529" s="24">
        <v>12516</v>
      </c>
      <c r="I529" s="24">
        <v>0</v>
      </c>
      <c r="J529" s="24">
        <v>3456.5</v>
      </c>
      <c r="K529" s="24">
        <v>0</v>
      </c>
      <c r="L529" s="32">
        <v>484</v>
      </c>
      <c r="M529" s="33">
        <v>0</v>
      </c>
      <c r="N529" s="27">
        <v>0</v>
      </c>
      <c r="O529" s="24">
        <v>12516</v>
      </c>
      <c r="P529" s="24">
        <v>12516</v>
      </c>
      <c r="Q529" s="28">
        <v>0</v>
      </c>
      <c r="R529" s="29">
        <v>0</v>
      </c>
      <c r="S529" s="29">
        <v>0</v>
      </c>
      <c r="T529" s="29">
        <v>484.5</v>
      </c>
      <c r="U529" s="30">
        <v>8575</v>
      </c>
    </row>
    <row r="530" spans="2:21" x14ac:dyDescent="0.25">
      <c r="B530" s="31" t="s">
        <v>24</v>
      </c>
      <c r="C530" s="31">
        <v>91</v>
      </c>
      <c r="D530" s="22" t="s">
        <v>98</v>
      </c>
      <c r="E530" s="22" t="s">
        <v>830</v>
      </c>
      <c r="F530" s="22" t="s">
        <v>49</v>
      </c>
      <c r="G530" s="23">
        <v>0</v>
      </c>
      <c r="H530" s="24">
        <v>4368</v>
      </c>
      <c r="I530" s="24">
        <v>0</v>
      </c>
      <c r="J530" s="24">
        <v>4475.5</v>
      </c>
      <c r="K530" s="24">
        <v>0</v>
      </c>
      <c r="L530" s="32">
        <v>57</v>
      </c>
      <c r="M530" s="33">
        <v>0</v>
      </c>
      <c r="N530" s="27">
        <v>0</v>
      </c>
      <c r="O530" s="24">
        <v>5368</v>
      </c>
      <c r="P530" s="24">
        <v>5368</v>
      </c>
      <c r="Q530" s="28">
        <v>0</v>
      </c>
      <c r="R530" s="29">
        <v>0</v>
      </c>
      <c r="S530" s="29">
        <v>0</v>
      </c>
      <c r="T530" s="29">
        <v>58.5</v>
      </c>
      <c r="U530" s="30">
        <v>-166</v>
      </c>
    </row>
    <row r="531" spans="2:21" x14ac:dyDescent="0.25">
      <c r="B531" s="31" t="s">
        <v>24</v>
      </c>
      <c r="C531" s="31">
        <v>91</v>
      </c>
      <c r="D531" s="22" t="s">
        <v>100</v>
      </c>
      <c r="E531" s="22" t="s">
        <v>831</v>
      </c>
      <c r="F531" s="22" t="s">
        <v>49</v>
      </c>
      <c r="G531" s="23">
        <v>0</v>
      </c>
      <c r="H531" s="24">
        <v>15288</v>
      </c>
      <c r="I531" s="24">
        <v>0</v>
      </c>
      <c r="J531" s="24">
        <v>17667.5</v>
      </c>
      <c r="K531" s="24">
        <v>0</v>
      </c>
      <c r="L531" s="32">
        <v>1143</v>
      </c>
      <c r="M531" s="33">
        <v>0</v>
      </c>
      <c r="N531" s="27">
        <v>0</v>
      </c>
      <c r="O531" s="24">
        <v>15288</v>
      </c>
      <c r="P531" s="24">
        <v>15288</v>
      </c>
      <c r="Q531" s="28">
        <v>0</v>
      </c>
      <c r="R531" s="29">
        <v>0</v>
      </c>
      <c r="S531" s="29">
        <v>0</v>
      </c>
      <c r="T531" s="29">
        <v>1141</v>
      </c>
      <c r="U531" s="30">
        <v>-3520.5</v>
      </c>
    </row>
    <row r="532" spans="2:21" x14ac:dyDescent="0.25">
      <c r="B532" s="31" t="s">
        <v>24</v>
      </c>
      <c r="C532" s="31">
        <v>91</v>
      </c>
      <c r="D532" s="22" t="s">
        <v>102</v>
      </c>
      <c r="E532" s="22" t="s">
        <v>832</v>
      </c>
      <c r="F532" s="22" t="s">
        <v>49</v>
      </c>
      <c r="G532" s="23">
        <v>0</v>
      </c>
      <c r="H532" s="24">
        <v>12768</v>
      </c>
      <c r="I532" s="24">
        <v>0</v>
      </c>
      <c r="J532" s="24">
        <v>15639.5</v>
      </c>
      <c r="K532" s="24">
        <v>0</v>
      </c>
      <c r="L532" s="32">
        <v>1267</v>
      </c>
      <c r="M532" s="33">
        <v>0</v>
      </c>
      <c r="N532" s="27">
        <v>0</v>
      </c>
      <c r="O532" s="24">
        <v>12768</v>
      </c>
      <c r="P532" s="24">
        <v>12768</v>
      </c>
      <c r="Q532" s="28">
        <v>0</v>
      </c>
      <c r="R532" s="29">
        <v>0</v>
      </c>
      <c r="S532" s="29">
        <v>0</v>
      </c>
      <c r="T532" s="29">
        <v>1268</v>
      </c>
      <c r="U532" s="30">
        <v>-4139.5</v>
      </c>
    </row>
    <row r="533" spans="2:21" x14ac:dyDescent="0.25">
      <c r="B533" s="31" t="s">
        <v>24</v>
      </c>
      <c r="C533" s="31">
        <v>91</v>
      </c>
      <c r="D533" s="22" t="s">
        <v>104</v>
      </c>
      <c r="E533" s="22" t="s">
        <v>833</v>
      </c>
      <c r="F533" s="22" t="s">
        <v>44</v>
      </c>
      <c r="G533" s="23">
        <v>0</v>
      </c>
      <c r="H533" s="24">
        <v>4368</v>
      </c>
      <c r="I533" s="24">
        <v>0</v>
      </c>
      <c r="J533" s="24">
        <v>10016.5</v>
      </c>
      <c r="K533" s="24">
        <v>0</v>
      </c>
      <c r="L533" s="32">
        <v>0</v>
      </c>
      <c r="M533" s="33">
        <v>0</v>
      </c>
      <c r="N533" s="27">
        <v>0</v>
      </c>
      <c r="O533" s="24">
        <v>8000</v>
      </c>
      <c r="P533" s="24">
        <v>8000</v>
      </c>
      <c r="Q533" s="28">
        <v>0</v>
      </c>
      <c r="R533" s="29">
        <v>0</v>
      </c>
      <c r="S533" s="29">
        <v>0</v>
      </c>
      <c r="T533" s="29">
        <v>0</v>
      </c>
      <c r="U533" s="30">
        <v>-5648.5</v>
      </c>
    </row>
    <row r="534" spans="2:21" x14ac:dyDescent="0.25">
      <c r="B534" s="31" t="s">
        <v>24</v>
      </c>
      <c r="C534" s="31">
        <v>91</v>
      </c>
      <c r="D534" s="22" t="s">
        <v>106</v>
      </c>
      <c r="E534" s="22" t="s">
        <v>834</v>
      </c>
      <c r="F534" s="22" t="s">
        <v>49</v>
      </c>
      <c r="G534" s="23">
        <v>0</v>
      </c>
      <c r="H534" s="24">
        <v>4368</v>
      </c>
      <c r="I534" s="24">
        <v>0</v>
      </c>
      <c r="J534" s="24">
        <v>1096.5</v>
      </c>
      <c r="K534" s="24">
        <v>0</v>
      </c>
      <c r="L534" s="32">
        <v>13</v>
      </c>
      <c r="M534" s="33">
        <v>0</v>
      </c>
      <c r="N534" s="27">
        <v>0</v>
      </c>
      <c r="O534" s="24">
        <v>4368</v>
      </c>
      <c r="P534" s="24">
        <v>4368</v>
      </c>
      <c r="Q534" s="28">
        <v>0</v>
      </c>
      <c r="R534" s="29">
        <v>0</v>
      </c>
      <c r="S534" s="29">
        <v>0</v>
      </c>
      <c r="T534" s="29">
        <v>13</v>
      </c>
      <c r="U534" s="30">
        <v>3258.5</v>
      </c>
    </row>
    <row r="535" spans="2:21" x14ac:dyDescent="0.25">
      <c r="B535" s="31" t="s">
        <v>24</v>
      </c>
      <c r="C535" s="31">
        <v>91</v>
      </c>
      <c r="D535" s="22" t="s">
        <v>108</v>
      </c>
      <c r="E535" s="22" t="s">
        <v>835</v>
      </c>
      <c r="F535" s="22" t="s">
        <v>44</v>
      </c>
      <c r="G535" s="23">
        <v>0</v>
      </c>
      <c r="H535" s="24">
        <v>0</v>
      </c>
      <c r="I535" s="24">
        <v>0</v>
      </c>
      <c r="J535" s="24">
        <v>25</v>
      </c>
      <c r="K535" s="24">
        <v>0</v>
      </c>
      <c r="L535" s="32">
        <v>0</v>
      </c>
      <c r="M535" s="33">
        <v>0</v>
      </c>
      <c r="N535" s="27">
        <v>0</v>
      </c>
      <c r="O535" s="24">
        <v>0</v>
      </c>
      <c r="P535" s="24">
        <v>0</v>
      </c>
      <c r="Q535" s="28">
        <v>0</v>
      </c>
      <c r="R535" s="29">
        <v>0</v>
      </c>
      <c r="S535" s="29">
        <v>0</v>
      </c>
      <c r="T535" s="29">
        <v>0</v>
      </c>
      <c r="U535" s="30">
        <v>-25</v>
      </c>
    </row>
    <row r="536" spans="2:21" x14ac:dyDescent="0.25">
      <c r="B536" s="31" t="s">
        <v>24</v>
      </c>
      <c r="C536" s="31">
        <v>91</v>
      </c>
      <c r="D536" s="22" t="s">
        <v>110</v>
      </c>
      <c r="E536" s="22" t="s">
        <v>836</v>
      </c>
      <c r="F536" s="22" t="s">
        <v>44</v>
      </c>
      <c r="G536" s="23">
        <v>0</v>
      </c>
      <c r="H536" s="24">
        <v>350</v>
      </c>
      <c r="I536" s="24">
        <v>0</v>
      </c>
      <c r="J536" s="24">
        <v>26</v>
      </c>
      <c r="K536" s="24">
        <v>0</v>
      </c>
      <c r="L536" s="32">
        <v>0</v>
      </c>
      <c r="M536" s="33">
        <v>0</v>
      </c>
      <c r="N536" s="27">
        <v>0</v>
      </c>
      <c r="O536" s="24">
        <v>350</v>
      </c>
      <c r="P536" s="24">
        <v>350</v>
      </c>
      <c r="Q536" s="28">
        <v>0</v>
      </c>
      <c r="R536" s="29">
        <v>0</v>
      </c>
      <c r="S536" s="29">
        <v>0</v>
      </c>
      <c r="T536" s="29">
        <v>0</v>
      </c>
      <c r="U536" s="30">
        <v>324</v>
      </c>
    </row>
    <row r="537" spans="2:21" x14ac:dyDescent="0.25">
      <c r="B537" s="31" t="s">
        <v>24</v>
      </c>
      <c r="C537" s="22">
        <v>92</v>
      </c>
      <c r="D537" s="22" t="s">
        <v>112</v>
      </c>
      <c r="E537" s="22" t="s">
        <v>837</v>
      </c>
      <c r="F537" s="22" t="s">
        <v>44</v>
      </c>
      <c r="G537" s="23">
        <v>0</v>
      </c>
      <c r="H537" s="24">
        <v>900</v>
      </c>
      <c r="I537" s="24">
        <v>0</v>
      </c>
      <c r="J537" s="24">
        <v>0</v>
      </c>
      <c r="K537" s="24">
        <v>0</v>
      </c>
      <c r="L537" s="32">
        <v>0</v>
      </c>
      <c r="M537" s="33">
        <v>0</v>
      </c>
      <c r="N537" s="27">
        <v>0</v>
      </c>
      <c r="O537" s="24">
        <v>900</v>
      </c>
      <c r="P537" s="24">
        <v>900</v>
      </c>
      <c r="Q537" s="28">
        <v>0</v>
      </c>
      <c r="R537" s="29">
        <v>0</v>
      </c>
      <c r="S537" s="29">
        <v>0</v>
      </c>
      <c r="T537" s="29">
        <v>0</v>
      </c>
      <c r="U537" s="30">
        <v>900</v>
      </c>
    </row>
    <row r="538" spans="2:21" x14ac:dyDescent="0.25">
      <c r="B538" s="31" t="s">
        <v>24</v>
      </c>
      <c r="C538" s="22">
        <v>93</v>
      </c>
      <c r="D538" s="22" t="s">
        <v>114</v>
      </c>
      <c r="E538" s="22" t="s">
        <v>115</v>
      </c>
      <c r="F538" s="22" t="s">
        <v>44</v>
      </c>
      <c r="G538" s="23">
        <v>0</v>
      </c>
      <c r="H538" s="24">
        <v>0</v>
      </c>
      <c r="I538" s="24">
        <v>0</v>
      </c>
      <c r="J538" s="24">
        <v>0</v>
      </c>
      <c r="K538" s="24">
        <v>0</v>
      </c>
      <c r="L538" s="32">
        <v>0</v>
      </c>
      <c r="M538" s="33">
        <v>0</v>
      </c>
      <c r="N538" s="27">
        <v>0</v>
      </c>
      <c r="O538" s="24">
        <v>0</v>
      </c>
      <c r="P538" s="24">
        <v>0</v>
      </c>
      <c r="Q538" s="28">
        <v>0</v>
      </c>
      <c r="R538" s="29">
        <v>0</v>
      </c>
      <c r="S538" s="29">
        <v>0</v>
      </c>
      <c r="T538" s="29">
        <v>0</v>
      </c>
      <c r="U538" s="30">
        <v>0</v>
      </c>
    </row>
    <row r="539" spans="2:21" x14ac:dyDescent="0.25">
      <c r="B539" s="31" t="s">
        <v>24</v>
      </c>
      <c r="C539" s="22">
        <v>97</v>
      </c>
      <c r="D539" s="22" t="s">
        <v>838</v>
      </c>
      <c r="E539" s="22" t="s">
        <v>839</v>
      </c>
      <c r="F539" s="22" t="s">
        <v>44</v>
      </c>
      <c r="G539" s="23">
        <v>0</v>
      </c>
      <c r="H539" s="24">
        <v>0</v>
      </c>
      <c r="I539" s="24">
        <v>0</v>
      </c>
      <c r="J539" s="24">
        <v>251</v>
      </c>
      <c r="K539" s="24">
        <v>0</v>
      </c>
      <c r="L539" s="32">
        <v>0</v>
      </c>
      <c r="M539" s="33">
        <v>0</v>
      </c>
      <c r="N539" s="27">
        <v>0</v>
      </c>
      <c r="O539" s="24">
        <v>0</v>
      </c>
      <c r="P539" s="24">
        <v>0</v>
      </c>
      <c r="Q539" s="28">
        <v>0</v>
      </c>
      <c r="R539" s="29">
        <v>0</v>
      </c>
      <c r="S539" s="29">
        <v>0</v>
      </c>
      <c r="T539" s="29">
        <v>0</v>
      </c>
      <c r="U539" s="30">
        <v>-251</v>
      </c>
    </row>
    <row r="540" spans="2:21" x14ac:dyDescent="0.25">
      <c r="B540" s="31" t="s">
        <v>24</v>
      </c>
      <c r="C540" s="22">
        <v>98</v>
      </c>
      <c r="D540" s="22" t="s">
        <v>276</v>
      </c>
      <c r="E540" s="22" t="s">
        <v>840</v>
      </c>
      <c r="F540" s="22" t="s">
        <v>44</v>
      </c>
      <c r="G540" s="23">
        <v>0</v>
      </c>
      <c r="H540" s="24">
        <v>0</v>
      </c>
      <c r="I540" s="24">
        <v>0</v>
      </c>
      <c r="J540" s="24">
        <v>44</v>
      </c>
      <c r="K540" s="24">
        <v>0</v>
      </c>
      <c r="L540" s="32">
        <v>0</v>
      </c>
      <c r="M540" s="33">
        <v>0</v>
      </c>
      <c r="N540" s="27">
        <v>0</v>
      </c>
      <c r="O540" s="24">
        <v>0</v>
      </c>
      <c r="P540" s="24">
        <v>0</v>
      </c>
      <c r="Q540" s="28">
        <v>0</v>
      </c>
      <c r="R540" s="29">
        <v>0</v>
      </c>
      <c r="S540" s="29">
        <v>0</v>
      </c>
      <c r="T540" s="29">
        <v>0</v>
      </c>
      <c r="U540" s="30">
        <v>-44</v>
      </c>
    </row>
    <row r="541" spans="2:21" x14ac:dyDescent="0.25">
      <c r="B541" s="31" t="s">
        <v>24</v>
      </c>
      <c r="C541" s="31">
        <v>98</v>
      </c>
      <c r="D541" s="22" t="s">
        <v>278</v>
      </c>
      <c r="E541" s="22" t="s">
        <v>841</v>
      </c>
      <c r="F541" s="22" t="s">
        <v>44</v>
      </c>
      <c r="G541" s="23">
        <v>0</v>
      </c>
      <c r="H541" s="24">
        <v>0</v>
      </c>
      <c r="I541" s="24">
        <v>0</v>
      </c>
      <c r="J541" s="24">
        <v>1796.5</v>
      </c>
      <c r="K541" s="24">
        <v>0</v>
      </c>
      <c r="L541" s="32">
        <v>0</v>
      </c>
      <c r="M541" s="33">
        <v>0</v>
      </c>
      <c r="N541" s="27">
        <v>0</v>
      </c>
      <c r="O541" s="24">
        <v>0</v>
      </c>
      <c r="P541" s="24">
        <v>0</v>
      </c>
      <c r="Q541" s="28">
        <v>0</v>
      </c>
      <c r="R541" s="29">
        <v>0</v>
      </c>
      <c r="S541" s="29">
        <v>0</v>
      </c>
      <c r="T541" s="29">
        <v>0</v>
      </c>
      <c r="U541" s="30">
        <v>-1796.5</v>
      </c>
    </row>
    <row r="542" spans="2:21" x14ac:dyDescent="0.25">
      <c r="B542" s="31" t="s">
        <v>24</v>
      </c>
      <c r="C542" s="31">
        <v>98</v>
      </c>
      <c r="D542" s="22" t="s">
        <v>842</v>
      </c>
      <c r="E542" s="22" t="s">
        <v>843</v>
      </c>
      <c r="F542" s="22" t="s">
        <v>33</v>
      </c>
      <c r="G542" s="23">
        <v>668</v>
      </c>
      <c r="H542" s="24">
        <v>25119.82</v>
      </c>
      <c r="I542" s="24">
        <v>227.11999999999998</v>
      </c>
      <c r="J542" s="24">
        <v>5027.5</v>
      </c>
      <c r="K542" s="24">
        <v>5.01</v>
      </c>
      <c r="L542" s="32">
        <v>135</v>
      </c>
      <c r="M542" s="33">
        <v>188.39865</v>
      </c>
      <c r="N542" s="27">
        <v>8540.7387999999992</v>
      </c>
      <c r="O542" s="24">
        <v>25119.82</v>
      </c>
      <c r="P542" s="24">
        <v>14786.764705882355</v>
      </c>
      <c r="Q542" s="28">
        <v>0.34</v>
      </c>
      <c r="R542" s="29">
        <v>1.4</v>
      </c>
      <c r="S542" s="29">
        <v>1.7</v>
      </c>
      <c r="T542" s="29">
        <v>135.5</v>
      </c>
      <c r="U542" s="30">
        <v>19956.82</v>
      </c>
    </row>
    <row r="543" spans="2:21" x14ac:dyDescent="0.25">
      <c r="B543" s="31" t="s">
        <v>24</v>
      </c>
      <c r="C543" s="31">
        <v>98</v>
      </c>
      <c r="D543" s="22" t="s">
        <v>844</v>
      </c>
      <c r="E543" s="22" t="s">
        <v>845</v>
      </c>
      <c r="F543" s="22"/>
      <c r="G543" s="23">
        <v>1928</v>
      </c>
      <c r="H543" s="24">
        <v>7253.28</v>
      </c>
      <c r="I543" s="24">
        <v>1928</v>
      </c>
      <c r="J543" s="24">
        <v>4597.5</v>
      </c>
      <c r="K543" s="24">
        <v>0</v>
      </c>
      <c r="L543" s="32">
        <v>0</v>
      </c>
      <c r="M543" s="33">
        <v>0</v>
      </c>
      <c r="N543" s="27">
        <v>7253.28</v>
      </c>
      <c r="O543" s="24">
        <v>7253.28</v>
      </c>
      <c r="P543" s="24">
        <v>4597.5</v>
      </c>
      <c r="Q543" s="28">
        <v>1</v>
      </c>
      <c r="R543" s="29">
        <v>0</v>
      </c>
      <c r="S543" s="29">
        <v>1.58</v>
      </c>
      <c r="T543" s="29">
        <v>0</v>
      </c>
      <c r="U543" s="30">
        <v>2655.7799999999997</v>
      </c>
    </row>
    <row r="544" spans="2:21" x14ac:dyDescent="0.25">
      <c r="B544" s="31" t="s">
        <v>24</v>
      </c>
      <c r="C544" s="31">
        <v>98</v>
      </c>
      <c r="D544" s="22" t="s">
        <v>120</v>
      </c>
      <c r="E544" s="22" t="s">
        <v>846</v>
      </c>
      <c r="F544" s="22" t="s">
        <v>44</v>
      </c>
      <c r="G544" s="23">
        <v>0</v>
      </c>
      <c r="H544" s="24">
        <v>200</v>
      </c>
      <c r="I544" s="24">
        <v>0</v>
      </c>
      <c r="J544" s="24">
        <v>0</v>
      </c>
      <c r="K544" s="24">
        <v>0</v>
      </c>
      <c r="L544" s="32">
        <v>0</v>
      </c>
      <c r="M544" s="33">
        <v>0</v>
      </c>
      <c r="N544" s="27">
        <v>0</v>
      </c>
      <c r="O544" s="24">
        <v>200</v>
      </c>
      <c r="P544" s="24">
        <v>200</v>
      </c>
      <c r="Q544" s="28">
        <v>0</v>
      </c>
      <c r="R544" s="29">
        <v>0</v>
      </c>
      <c r="S544" s="29">
        <v>0</v>
      </c>
      <c r="T544" s="29">
        <v>0</v>
      </c>
      <c r="U544" s="30">
        <v>200</v>
      </c>
    </row>
    <row r="545" spans="2:21" x14ac:dyDescent="0.25">
      <c r="B545" s="31" t="s">
        <v>24</v>
      </c>
      <c r="C545" s="22">
        <v>99</v>
      </c>
      <c r="D545" s="22" t="s">
        <v>126</v>
      </c>
      <c r="E545" s="22" t="s">
        <v>847</v>
      </c>
      <c r="F545" s="22" t="s">
        <v>44</v>
      </c>
      <c r="G545" s="23">
        <v>0</v>
      </c>
      <c r="H545" s="24">
        <v>0</v>
      </c>
      <c r="I545" s="24">
        <v>0</v>
      </c>
      <c r="J545" s="24">
        <v>0</v>
      </c>
      <c r="K545" s="24">
        <v>0</v>
      </c>
      <c r="L545" s="32">
        <v>0</v>
      </c>
      <c r="M545" s="33">
        <v>0</v>
      </c>
      <c r="N545" s="27">
        <v>0</v>
      </c>
      <c r="O545" s="24">
        <v>0</v>
      </c>
      <c r="P545" s="24">
        <v>0</v>
      </c>
      <c r="Q545" s="28">
        <v>0</v>
      </c>
      <c r="R545" s="29">
        <v>0</v>
      </c>
      <c r="S545" s="29">
        <v>0</v>
      </c>
      <c r="T545" s="29">
        <v>0</v>
      </c>
      <c r="U545" s="30">
        <v>0</v>
      </c>
    </row>
    <row r="546" spans="2:21" x14ac:dyDescent="0.25">
      <c r="B546" s="22" t="s">
        <v>25</v>
      </c>
      <c r="C546" s="22">
        <v>20</v>
      </c>
      <c r="D546" s="22" t="s">
        <v>216</v>
      </c>
      <c r="E546" s="22" t="s">
        <v>850</v>
      </c>
      <c r="F546" s="22" t="s">
        <v>44</v>
      </c>
      <c r="G546" s="23">
        <v>0</v>
      </c>
      <c r="H546" s="24">
        <v>2880</v>
      </c>
      <c r="I546" s="24">
        <v>0</v>
      </c>
      <c r="J546" s="24">
        <v>50</v>
      </c>
      <c r="K546" s="24">
        <v>0</v>
      </c>
      <c r="L546" s="32">
        <v>0</v>
      </c>
      <c r="M546" s="33">
        <v>0</v>
      </c>
      <c r="N546" s="27">
        <v>0</v>
      </c>
      <c r="O546" s="24">
        <v>2880</v>
      </c>
      <c r="P546" s="24">
        <v>2880</v>
      </c>
      <c r="Q546" s="28">
        <v>0</v>
      </c>
      <c r="R546" s="29">
        <v>0</v>
      </c>
      <c r="S546" s="29">
        <v>0</v>
      </c>
      <c r="T546" s="29">
        <v>0</v>
      </c>
      <c r="U546" s="30">
        <v>2830</v>
      </c>
    </row>
    <row r="547" spans="2:21" x14ac:dyDescent="0.25">
      <c r="B547" s="31" t="s">
        <v>25</v>
      </c>
      <c r="C547" s="22">
        <v>22</v>
      </c>
      <c r="D547" s="22" t="s">
        <v>1202</v>
      </c>
      <c r="E547" s="22" t="s">
        <v>1203</v>
      </c>
      <c r="F547" s="22" t="s">
        <v>44</v>
      </c>
      <c r="G547" s="23">
        <v>0</v>
      </c>
      <c r="H547" s="24">
        <v>9540.8000000000011</v>
      </c>
      <c r="I547" s="24">
        <v>0</v>
      </c>
      <c r="J547" s="24">
        <v>0</v>
      </c>
      <c r="K547" s="24">
        <v>0</v>
      </c>
      <c r="L547" s="32">
        <v>0</v>
      </c>
      <c r="M547" s="33">
        <v>0</v>
      </c>
      <c r="N547" s="27">
        <v>0</v>
      </c>
      <c r="O547" s="24">
        <v>9540.8000000000011</v>
      </c>
      <c r="P547" s="24">
        <v>9540.8000000000011</v>
      </c>
      <c r="Q547" s="28">
        <v>0</v>
      </c>
      <c r="R547" s="29">
        <v>0</v>
      </c>
      <c r="S547" s="29">
        <v>0</v>
      </c>
      <c r="T547" s="29">
        <v>0</v>
      </c>
      <c r="U547" s="30">
        <v>9540.8000000000011</v>
      </c>
    </row>
    <row r="548" spans="2:21" x14ac:dyDescent="0.25">
      <c r="B548" s="31" t="s">
        <v>25</v>
      </c>
      <c r="C548" s="22">
        <v>26</v>
      </c>
      <c r="D548" s="22" t="s">
        <v>40</v>
      </c>
      <c r="E548" s="22" t="s">
        <v>41</v>
      </c>
      <c r="F548" s="22"/>
      <c r="G548" s="23">
        <v>33</v>
      </c>
      <c r="H548" s="24">
        <v>1551.6000000000022</v>
      </c>
      <c r="I548" s="24">
        <v>0</v>
      </c>
      <c r="J548" s="24">
        <v>0</v>
      </c>
      <c r="K548" s="24">
        <v>0</v>
      </c>
      <c r="L548" s="32">
        <v>0</v>
      </c>
      <c r="M548" s="33">
        <v>0</v>
      </c>
      <c r="N548" s="27">
        <v>0</v>
      </c>
      <c r="O548" s="24">
        <v>1551.6000000000022</v>
      </c>
      <c r="P548" s="24">
        <v>1551.6000000000022</v>
      </c>
      <c r="Q548" s="28">
        <v>0</v>
      </c>
      <c r="R548" s="29">
        <v>0</v>
      </c>
      <c r="S548" s="29">
        <v>0</v>
      </c>
      <c r="T548" s="29">
        <v>0</v>
      </c>
      <c r="U548" s="30">
        <v>1551.6000000000022</v>
      </c>
    </row>
    <row r="549" spans="2:21" x14ac:dyDescent="0.25">
      <c r="B549" s="31" t="s">
        <v>25</v>
      </c>
      <c r="C549" s="31">
        <v>26</v>
      </c>
      <c r="D549" s="22" t="s">
        <v>851</v>
      </c>
      <c r="E549" s="22" t="s">
        <v>852</v>
      </c>
      <c r="F549" s="22"/>
      <c r="G549" s="23">
        <v>20</v>
      </c>
      <c r="H549" s="24">
        <v>200</v>
      </c>
      <c r="I549" s="24">
        <v>0</v>
      </c>
      <c r="J549" s="24">
        <v>0</v>
      </c>
      <c r="K549" s="24">
        <v>0</v>
      </c>
      <c r="L549" s="32">
        <v>0</v>
      </c>
      <c r="M549" s="33">
        <v>0</v>
      </c>
      <c r="N549" s="27">
        <v>0</v>
      </c>
      <c r="O549" s="24">
        <v>200</v>
      </c>
      <c r="P549" s="24">
        <v>200</v>
      </c>
      <c r="Q549" s="28">
        <v>0</v>
      </c>
      <c r="R549" s="29">
        <v>0</v>
      </c>
      <c r="S549" s="29">
        <v>0</v>
      </c>
      <c r="T549" s="29">
        <v>0</v>
      </c>
      <c r="U549" s="30">
        <v>200</v>
      </c>
    </row>
    <row r="550" spans="2:21" x14ac:dyDescent="0.25">
      <c r="B550" s="31" t="s">
        <v>25</v>
      </c>
      <c r="C550" s="31">
        <v>26</v>
      </c>
      <c r="D550" s="22" t="s">
        <v>853</v>
      </c>
      <c r="E550" s="22" t="s">
        <v>854</v>
      </c>
      <c r="F550" s="22"/>
      <c r="G550" s="23">
        <v>8</v>
      </c>
      <c r="H550" s="24">
        <v>80</v>
      </c>
      <c r="I550" s="24">
        <v>0</v>
      </c>
      <c r="J550" s="24">
        <v>0</v>
      </c>
      <c r="K550" s="24">
        <v>0</v>
      </c>
      <c r="L550" s="32">
        <v>0</v>
      </c>
      <c r="M550" s="33">
        <v>0</v>
      </c>
      <c r="N550" s="27">
        <v>0</v>
      </c>
      <c r="O550" s="24">
        <v>80</v>
      </c>
      <c r="P550" s="24">
        <v>80</v>
      </c>
      <c r="Q550" s="28">
        <v>0</v>
      </c>
      <c r="R550" s="29">
        <v>0</v>
      </c>
      <c r="S550" s="29">
        <v>0</v>
      </c>
      <c r="T550" s="29">
        <v>0</v>
      </c>
      <c r="U550" s="30">
        <v>80</v>
      </c>
    </row>
    <row r="551" spans="2:21" x14ac:dyDescent="0.25">
      <c r="B551" s="31" t="s">
        <v>25</v>
      </c>
      <c r="C551" s="31">
        <v>26</v>
      </c>
      <c r="D551" s="22" t="s">
        <v>855</v>
      </c>
      <c r="E551" s="22" t="s">
        <v>856</v>
      </c>
      <c r="F551" s="22"/>
      <c r="G551" s="23">
        <v>22</v>
      </c>
      <c r="H551" s="24">
        <v>220</v>
      </c>
      <c r="I551" s="24">
        <v>0</v>
      </c>
      <c r="J551" s="24">
        <v>0</v>
      </c>
      <c r="K551" s="24">
        <v>0</v>
      </c>
      <c r="L551" s="32">
        <v>0</v>
      </c>
      <c r="M551" s="33">
        <v>0</v>
      </c>
      <c r="N551" s="27">
        <v>0</v>
      </c>
      <c r="O551" s="24">
        <v>220</v>
      </c>
      <c r="P551" s="24">
        <v>220</v>
      </c>
      <c r="Q551" s="28">
        <v>0</v>
      </c>
      <c r="R551" s="29">
        <v>0</v>
      </c>
      <c r="S551" s="29">
        <v>0</v>
      </c>
      <c r="T551" s="29">
        <v>0</v>
      </c>
      <c r="U551" s="30">
        <v>220</v>
      </c>
    </row>
    <row r="552" spans="2:21" x14ac:dyDescent="0.25">
      <c r="B552" s="31" t="s">
        <v>25</v>
      </c>
      <c r="C552" s="31">
        <v>26</v>
      </c>
      <c r="D552" s="22" t="s">
        <v>857</v>
      </c>
      <c r="E552" s="22" t="s">
        <v>858</v>
      </c>
      <c r="F552" s="22"/>
      <c r="G552" s="23">
        <v>12</v>
      </c>
      <c r="H552" s="24">
        <v>120</v>
      </c>
      <c r="I552" s="24">
        <v>0</v>
      </c>
      <c r="J552" s="24">
        <v>0</v>
      </c>
      <c r="K552" s="24">
        <v>0</v>
      </c>
      <c r="L552" s="32">
        <v>0</v>
      </c>
      <c r="M552" s="33">
        <v>0</v>
      </c>
      <c r="N552" s="27">
        <v>0</v>
      </c>
      <c r="O552" s="24">
        <v>120</v>
      </c>
      <c r="P552" s="24">
        <v>120</v>
      </c>
      <c r="Q552" s="28">
        <v>0</v>
      </c>
      <c r="R552" s="29">
        <v>0</v>
      </c>
      <c r="S552" s="29">
        <v>0</v>
      </c>
      <c r="T552" s="29">
        <v>0</v>
      </c>
      <c r="U552" s="30">
        <v>120</v>
      </c>
    </row>
    <row r="553" spans="2:21" x14ac:dyDescent="0.25">
      <c r="B553" s="31" t="s">
        <v>25</v>
      </c>
      <c r="C553" s="31">
        <v>26</v>
      </c>
      <c r="D553" s="22" t="s">
        <v>859</v>
      </c>
      <c r="E553" s="22" t="s">
        <v>860</v>
      </c>
      <c r="F553" s="22"/>
      <c r="G553" s="23">
        <v>36</v>
      </c>
      <c r="H553" s="24">
        <v>360</v>
      </c>
      <c r="I553" s="24">
        <v>0</v>
      </c>
      <c r="J553" s="24">
        <v>0</v>
      </c>
      <c r="K553" s="24">
        <v>0</v>
      </c>
      <c r="L553" s="32">
        <v>0</v>
      </c>
      <c r="M553" s="33">
        <v>0</v>
      </c>
      <c r="N553" s="27">
        <v>0</v>
      </c>
      <c r="O553" s="24">
        <v>360</v>
      </c>
      <c r="P553" s="24">
        <v>360</v>
      </c>
      <c r="Q553" s="28">
        <v>0</v>
      </c>
      <c r="R553" s="29">
        <v>0</v>
      </c>
      <c r="S553" s="29">
        <v>0</v>
      </c>
      <c r="T553" s="29">
        <v>0</v>
      </c>
      <c r="U553" s="30">
        <v>360</v>
      </c>
    </row>
    <row r="554" spans="2:21" x14ac:dyDescent="0.25">
      <c r="B554" s="31" t="s">
        <v>25</v>
      </c>
      <c r="C554" s="31">
        <v>26</v>
      </c>
      <c r="D554" s="22" t="s">
        <v>861</v>
      </c>
      <c r="E554" s="22" t="s">
        <v>862</v>
      </c>
      <c r="F554" s="22"/>
      <c r="G554" s="23">
        <v>24</v>
      </c>
      <c r="H554" s="24">
        <v>240</v>
      </c>
      <c r="I554" s="24">
        <v>0</v>
      </c>
      <c r="J554" s="24">
        <v>0</v>
      </c>
      <c r="K554" s="24">
        <v>0</v>
      </c>
      <c r="L554" s="32">
        <v>0</v>
      </c>
      <c r="M554" s="33">
        <v>0</v>
      </c>
      <c r="N554" s="27">
        <v>0</v>
      </c>
      <c r="O554" s="24">
        <v>240</v>
      </c>
      <c r="P554" s="24">
        <v>240</v>
      </c>
      <c r="Q554" s="28">
        <v>0</v>
      </c>
      <c r="R554" s="29">
        <v>0</v>
      </c>
      <c r="S554" s="29">
        <v>0</v>
      </c>
      <c r="T554" s="29">
        <v>0</v>
      </c>
      <c r="U554" s="30">
        <v>240</v>
      </c>
    </row>
    <row r="555" spans="2:21" x14ac:dyDescent="0.25">
      <c r="B555" s="31" t="s">
        <v>25</v>
      </c>
      <c r="C555" s="31">
        <v>26</v>
      </c>
      <c r="D555" s="22" t="s">
        <v>863</v>
      </c>
      <c r="E555" s="22" t="s">
        <v>864</v>
      </c>
      <c r="F555" s="22"/>
      <c r="G555" s="23">
        <v>8</v>
      </c>
      <c r="H555" s="24">
        <v>80</v>
      </c>
      <c r="I555" s="24">
        <v>0</v>
      </c>
      <c r="J555" s="24">
        <v>0</v>
      </c>
      <c r="K555" s="24">
        <v>0</v>
      </c>
      <c r="L555" s="32">
        <v>0</v>
      </c>
      <c r="M555" s="33">
        <v>0</v>
      </c>
      <c r="N555" s="27">
        <v>0</v>
      </c>
      <c r="O555" s="24">
        <v>80</v>
      </c>
      <c r="P555" s="24">
        <v>80</v>
      </c>
      <c r="Q555" s="28">
        <v>0</v>
      </c>
      <c r="R555" s="29">
        <v>0</v>
      </c>
      <c r="S555" s="29">
        <v>0</v>
      </c>
      <c r="T555" s="29">
        <v>0</v>
      </c>
      <c r="U555" s="30">
        <v>80</v>
      </c>
    </row>
    <row r="556" spans="2:21" x14ac:dyDescent="0.25">
      <c r="B556" s="31" t="s">
        <v>25</v>
      </c>
      <c r="C556" s="31">
        <v>26</v>
      </c>
      <c r="D556" s="22" t="s">
        <v>865</v>
      </c>
      <c r="E556" s="22" t="s">
        <v>866</v>
      </c>
      <c r="F556" s="22"/>
      <c r="G556" s="23">
        <v>18</v>
      </c>
      <c r="H556" s="24">
        <v>180</v>
      </c>
      <c r="I556" s="24">
        <v>0</v>
      </c>
      <c r="J556" s="24">
        <v>0</v>
      </c>
      <c r="K556" s="24">
        <v>0</v>
      </c>
      <c r="L556" s="32">
        <v>0</v>
      </c>
      <c r="M556" s="33">
        <v>0</v>
      </c>
      <c r="N556" s="27">
        <v>0</v>
      </c>
      <c r="O556" s="24">
        <v>180</v>
      </c>
      <c r="P556" s="24">
        <v>180</v>
      </c>
      <c r="Q556" s="28">
        <v>0</v>
      </c>
      <c r="R556" s="29">
        <v>0</v>
      </c>
      <c r="S556" s="29">
        <v>0</v>
      </c>
      <c r="T556" s="29">
        <v>0</v>
      </c>
      <c r="U556" s="30">
        <v>180</v>
      </c>
    </row>
    <row r="557" spans="2:21" x14ac:dyDescent="0.25">
      <c r="B557" s="31" t="s">
        <v>25</v>
      </c>
      <c r="C557" s="31">
        <v>26</v>
      </c>
      <c r="D557" s="22" t="s">
        <v>867</v>
      </c>
      <c r="E557" s="22" t="s">
        <v>868</v>
      </c>
      <c r="F557" s="22"/>
      <c r="G557" s="23">
        <v>20</v>
      </c>
      <c r="H557" s="24">
        <v>200</v>
      </c>
      <c r="I557" s="24">
        <v>0</v>
      </c>
      <c r="J557" s="24">
        <v>0</v>
      </c>
      <c r="K557" s="24">
        <v>0</v>
      </c>
      <c r="L557" s="32">
        <v>0</v>
      </c>
      <c r="M557" s="33">
        <v>0</v>
      </c>
      <c r="N557" s="27">
        <v>0</v>
      </c>
      <c r="O557" s="24">
        <v>200</v>
      </c>
      <c r="P557" s="24">
        <v>200</v>
      </c>
      <c r="Q557" s="28">
        <v>0</v>
      </c>
      <c r="R557" s="29">
        <v>0</v>
      </c>
      <c r="S557" s="29">
        <v>0</v>
      </c>
      <c r="T557" s="29">
        <v>0</v>
      </c>
      <c r="U557" s="30">
        <v>200</v>
      </c>
    </row>
    <row r="558" spans="2:21" x14ac:dyDescent="0.25">
      <c r="B558" s="31" t="s">
        <v>25</v>
      </c>
      <c r="C558" s="31">
        <v>26</v>
      </c>
      <c r="D558" s="22" t="s">
        <v>869</v>
      </c>
      <c r="E558" s="22" t="s">
        <v>870</v>
      </c>
      <c r="F558" s="22"/>
      <c r="G558" s="23">
        <v>48</v>
      </c>
      <c r="H558" s="24">
        <v>480</v>
      </c>
      <c r="I558" s="24">
        <v>0</v>
      </c>
      <c r="J558" s="24">
        <v>0</v>
      </c>
      <c r="K558" s="24">
        <v>0</v>
      </c>
      <c r="L558" s="32">
        <v>0</v>
      </c>
      <c r="M558" s="33">
        <v>0</v>
      </c>
      <c r="N558" s="27">
        <v>0</v>
      </c>
      <c r="O558" s="24">
        <v>480</v>
      </c>
      <c r="P558" s="24">
        <v>480</v>
      </c>
      <c r="Q558" s="28">
        <v>0</v>
      </c>
      <c r="R558" s="29">
        <v>0</v>
      </c>
      <c r="S558" s="29">
        <v>0</v>
      </c>
      <c r="T558" s="29">
        <v>0</v>
      </c>
      <c r="U558" s="30">
        <v>480</v>
      </c>
    </row>
    <row r="559" spans="2:21" x14ac:dyDescent="0.25">
      <c r="B559" s="31" t="s">
        <v>25</v>
      </c>
      <c r="C559" s="31">
        <v>26</v>
      </c>
      <c r="D559" s="22" t="s">
        <v>871</v>
      </c>
      <c r="E559" s="22" t="s">
        <v>872</v>
      </c>
      <c r="F559" s="22"/>
      <c r="G559" s="23">
        <v>44</v>
      </c>
      <c r="H559" s="24">
        <v>440</v>
      </c>
      <c r="I559" s="24">
        <v>0</v>
      </c>
      <c r="J559" s="24">
        <v>0</v>
      </c>
      <c r="K559" s="24">
        <v>0</v>
      </c>
      <c r="L559" s="32">
        <v>0</v>
      </c>
      <c r="M559" s="33">
        <v>0</v>
      </c>
      <c r="N559" s="27">
        <v>0</v>
      </c>
      <c r="O559" s="24">
        <v>440</v>
      </c>
      <c r="P559" s="24">
        <v>440</v>
      </c>
      <c r="Q559" s="28">
        <v>0</v>
      </c>
      <c r="R559" s="29">
        <v>0</v>
      </c>
      <c r="S559" s="29">
        <v>0</v>
      </c>
      <c r="T559" s="29">
        <v>0</v>
      </c>
      <c r="U559" s="30">
        <v>440</v>
      </c>
    </row>
    <row r="560" spans="2:21" x14ac:dyDescent="0.25">
      <c r="B560" s="31" t="s">
        <v>25</v>
      </c>
      <c r="C560" s="31">
        <v>26</v>
      </c>
      <c r="D560" s="22" t="s">
        <v>873</v>
      </c>
      <c r="E560" s="22" t="s">
        <v>874</v>
      </c>
      <c r="F560" s="22"/>
      <c r="G560" s="23">
        <v>8</v>
      </c>
      <c r="H560" s="24">
        <v>80</v>
      </c>
      <c r="I560" s="24">
        <v>0</v>
      </c>
      <c r="J560" s="24">
        <v>0</v>
      </c>
      <c r="K560" s="24">
        <v>0</v>
      </c>
      <c r="L560" s="32">
        <v>0</v>
      </c>
      <c r="M560" s="33">
        <v>0</v>
      </c>
      <c r="N560" s="27">
        <v>0</v>
      </c>
      <c r="O560" s="24">
        <v>80</v>
      </c>
      <c r="P560" s="24">
        <v>80</v>
      </c>
      <c r="Q560" s="28">
        <v>0</v>
      </c>
      <c r="R560" s="29">
        <v>0</v>
      </c>
      <c r="S560" s="29">
        <v>0</v>
      </c>
      <c r="T560" s="29">
        <v>0</v>
      </c>
      <c r="U560" s="30">
        <v>80</v>
      </c>
    </row>
    <row r="561" spans="2:21" x14ac:dyDescent="0.25">
      <c r="B561" s="31" t="s">
        <v>25</v>
      </c>
      <c r="C561" s="31">
        <v>26</v>
      </c>
      <c r="D561" s="22" t="s">
        <v>875</v>
      </c>
      <c r="E561" s="22" t="s">
        <v>876</v>
      </c>
      <c r="F561" s="22"/>
      <c r="G561" s="23">
        <v>20</v>
      </c>
      <c r="H561" s="24">
        <v>200</v>
      </c>
      <c r="I561" s="24">
        <v>0</v>
      </c>
      <c r="J561" s="24">
        <v>0</v>
      </c>
      <c r="K561" s="24">
        <v>0</v>
      </c>
      <c r="L561" s="32">
        <v>0</v>
      </c>
      <c r="M561" s="33">
        <v>0</v>
      </c>
      <c r="N561" s="27">
        <v>0</v>
      </c>
      <c r="O561" s="24">
        <v>200</v>
      </c>
      <c r="P561" s="24">
        <v>200</v>
      </c>
      <c r="Q561" s="28">
        <v>0</v>
      </c>
      <c r="R561" s="29">
        <v>0</v>
      </c>
      <c r="S561" s="29">
        <v>0</v>
      </c>
      <c r="T561" s="29">
        <v>0</v>
      </c>
      <c r="U561" s="30">
        <v>200</v>
      </c>
    </row>
    <row r="562" spans="2:21" x14ac:dyDescent="0.25">
      <c r="B562" s="31" t="s">
        <v>25</v>
      </c>
      <c r="C562" s="31">
        <v>26</v>
      </c>
      <c r="D562" s="22" t="s">
        <v>877</v>
      </c>
      <c r="E562" s="22" t="s">
        <v>878</v>
      </c>
      <c r="F562" s="22"/>
      <c r="G562" s="23">
        <v>68</v>
      </c>
      <c r="H562" s="24">
        <v>680</v>
      </c>
      <c r="I562" s="24">
        <v>0</v>
      </c>
      <c r="J562" s="24">
        <v>0</v>
      </c>
      <c r="K562" s="24">
        <v>0</v>
      </c>
      <c r="L562" s="32">
        <v>0</v>
      </c>
      <c r="M562" s="33">
        <v>0</v>
      </c>
      <c r="N562" s="27">
        <v>0</v>
      </c>
      <c r="O562" s="24">
        <v>680</v>
      </c>
      <c r="P562" s="24">
        <v>680</v>
      </c>
      <c r="Q562" s="28">
        <v>0</v>
      </c>
      <c r="R562" s="29">
        <v>0</v>
      </c>
      <c r="S562" s="29">
        <v>0</v>
      </c>
      <c r="T562" s="29">
        <v>0</v>
      </c>
      <c r="U562" s="30">
        <v>680</v>
      </c>
    </row>
    <row r="563" spans="2:21" x14ac:dyDescent="0.25">
      <c r="B563" s="31" t="s">
        <v>25</v>
      </c>
      <c r="C563" s="31">
        <v>26</v>
      </c>
      <c r="D563" s="22" t="s">
        <v>879</v>
      </c>
      <c r="E563" s="22" t="s">
        <v>880</v>
      </c>
      <c r="F563" s="22"/>
      <c r="G563" s="23">
        <v>20</v>
      </c>
      <c r="H563" s="24">
        <v>200</v>
      </c>
      <c r="I563" s="24">
        <v>0</v>
      </c>
      <c r="J563" s="24">
        <v>0</v>
      </c>
      <c r="K563" s="24">
        <v>0</v>
      </c>
      <c r="L563" s="32">
        <v>0</v>
      </c>
      <c r="M563" s="33">
        <v>0</v>
      </c>
      <c r="N563" s="27">
        <v>0</v>
      </c>
      <c r="O563" s="24">
        <v>200</v>
      </c>
      <c r="P563" s="24">
        <v>200</v>
      </c>
      <c r="Q563" s="28">
        <v>0</v>
      </c>
      <c r="R563" s="29">
        <v>0</v>
      </c>
      <c r="S563" s="29">
        <v>0</v>
      </c>
      <c r="T563" s="29">
        <v>0</v>
      </c>
      <c r="U563" s="30">
        <v>200</v>
      </c>
    </row>
    <row r="564" spans="2:21" x14ac:dyDescent="0.25">
      <c r="B564" s="31" t="s">
        <v>25</v>
      </c>
      <c r="C564" s="31">
        <v>26</v>
      </c>
      <c r="D564" s="22" t="s">
        <v>881</v>
      </c>
      <c r="E564" s="22" t="s">
        <v>882</v>
      </c>
      <c r="F564" s="22"/>
      <c r="G564" s="23">
        <v>18</v>
      </c>
      <c r="H564" s="24">
        <v>180</v>
      </c>
      <c r="I564" s="24">
        <v>0</v>
      </c>
      <c r="J564" s="24">
        <v>0</v>
      </c>
      <c r="K564" s="24">
        <v>0</v>
      </c>
      <c r="L564" s="32">
        <v>0</v>
      </c>
      <c r="M564" s="33">
        <v>0</v>
      </c>
      <c r="N564" s="27">
        <v>0</v>
      </c>
      <c r="O564" s="24">
        <v>180</v>
      </c>
      <c r="P564" s="24">
        <v>180</v>
      </c>
      <c r="Q564" s="28">
        <v>0</v>
      </c>
      <c r="R564" s="29">
        <v>0</v>
      </c>
      <c r="S564" s="29">
        <v>0</v>
      </c>
      <c r="T564" s="29">
        <v>0</v>
      </c>
      <c r="U564" s="30">
        <v>180</v>
      </c>
    </row>
    <row r="565" spans="2:21" x14ac:dyDescent="0.25">
      <c r="B565" s="31" t="s">
        <v>25</v>
      </c>
      <c r="C565" s="31">
        <v>26</v>
      </c>
      <c r="D565" s="22" t="s">
        <v>883</v>
      </c>
      <c r="E565" s="22" t="s">
        <v>884</v>
      </c>
      <c r="F565" s="22"/>
      <c r="G565" s="23">
        <v>64</v>
      </c>
      <c r="H565" s="24">
        <v>640</v>
      </c>
      <c r="I565" s="24">
        <v>0</v>
      </c>
      <c r="J565" s="24">
        <v>0</v>
      </c>
      <c r="K565" s="24">
        <v>0</v>
      </c>
      <c r="L565" s="32">
        <v>0</v>
      </c>
      <c r="M565" s="33">
        <v>0</v>
      </c>
      <c r="N565" s="27">
        <v>0</v>
      </c>
      <c r="O565" s="24">
        <v>640</v>
      </c>
      <c r="P565" s="24">
        <v>640</v>
      </c>
      <c r="Q565" s="28">
        <v>0</v>
      </c>
      <c r="R565" s="29">
        <v>0</v>
      </c>
      <c r="S565" s="29">
        <v>0</v>
      </c>
      <c r="T565" s="29">
        <v>0</v>
      </c>
      <c r="U565" s="30">
        <v>640</v>
      </c>
    </row>
    <row r="566" spans="2:21" x14ac:dyDescent="0.25">
      <c r="B566" s="31" t="s">
        <v>25</v>
      </c>
      <c r="C566" s="31">
        <v>26</v>
      </c>
      <c r="D566" s="22" t="s">
        <v>885</v>
      </c>
      <c r="E566" s="22" t="s">
        <v>886</v>
      </c>
      <c r="F566" s="22"/>
      <c r="G566" s="23">
        <v>8</v>
      </c>
      <c r="H566" s="24">
        <v>80</v>
      </c>
      <c r="I566" s="24">
        <v>0</v>
      </c>
      <c r="J566" s="24">
        <v>0</v>
      </c>
      <c r="K566" s="24">
        <v>0</v>
      </c>
      <c r="L566" s="32">
        <v>0</v>
      </c>
      <c r="M566" s="33">
        <v>0</v>
      </c>
      <c r="N566" s="27">
        <v>0</v>
      </c>
      <c r="O566" s="24">
        <v>80</v>
      </c>
      <c r="P566" s="24">
        <v>80</v>
      </c>
      <c r="Q566" s="28">
        <v>0</v>
      </c>
      <c r="R566" s="29">
        <v>0</v>
      </c>
      <c r="S566" s="29">
        <v>0</v>
      </c>
      <c r="T566" s="29">
        <v>0</v>
      </c>
      <c r="U566" s="30">
        <v>80</v>
      </c>
    </row>
    <row r="567" spans="2:21" x14ac:dyDescent="0.25">
      <c r="B567" s="31" t="s">
        <v>25</v>
      </c>
      <c r="C567" s="31">
        <v>26</v>
      </c>
      <c r="D567" s="22" t="s">
        <v>887</v>
      </c>
      <c r="E567" s="22" t="s">
        <v>888</v>
      </c>
      <c r="F567" s="22"/>
      <c r="G567" s="23">
        <v>20</v>
      </c>
      <c r="H567" s="24">
        <v>200</v>
      </c>
      <c r="I567" s="24">
        <v>0</v>
      </c>
      <c r="J567" s="24">
        <v>0</v>
      </c>
      <c r="K567" s="24">
        <v>0</v>
      </c>
      <c r="L567" s="32">
        <v>0</v>
      </c>
      <c r="M567" s="33">
        <v>0</v>
      </c>
      <c r="N567" s="27">
        <v>0</v>
      </c>
      <c r="O567" s="24">
        <v>200</v>
      </c>
      <c r="P567" s="24">
        <v>200</v>
      </c>
      <c r="Q567" s="28">
        <v>0</v>
      </c>
      <c r="R567" s="29">
        <v>0</v>
      </c>
      <c r="S567" s="29">
        <v>0</v>
      </c>
      <c r="T567" s="29">
        <v>0</v>
      </c>
      <c r="U567" s="30">
        <v>200</v>
      </c>
    </row>
    <row r="568" spans="2:21" x14ac:dyDescent="0.25">
      <c r="B568" s="31" t="s">
        <v>25</v>
      </c>
      <c r="C568" s="31">
        <v>26</v>
      </c>
      <c r="D568" s="22" t="s">
        <v>889</v>
      </c>
      <c r="E568" s="22" t="s">
        <v>890</v>
      </c>
      <c r="F568" s="22"/>
      <c r="G568" s="23">
        <v>18</v>
      </c>
      <c r="H568" s="24">
        <v>180</v>
      </c>
      <c r="I568" s="24">
        <v>0</v>
      </c>
      <c r="J568" s="24">
        <v>0</v>
      </c>
      <c r="K568" s="24">
        <v>0</v>
      </c>
      <c r="L568" s="32">
        <v>0</v>
      </c>
      <c r="M568" s="33">
        <v>0</v>
      </c>
      <c r="N568" s="27">
        <v>0</v>
      </c>
      <c r="O568" s="24">
        <v>180</v>
      </c>
      <c r="P568" s="24">
        <v>180</v>
      </c>
      <c r="Q568" s="28">
        <v>0</v>
      </c>
      <c r="R568" s="29">
        <v>0</v>
      </c>
      <c r="S568" s="29">
        <v>0</v>
      </c>
      <c r="T568" s="29">
        <v>0</v>
      </c>
      <c r="U568" s="30">
        <v>180</v>
      </c>
    </row>
    <row r="569" spans="2:21" x14ac:dyDescent="0.25">
      <c r="B569" s="31" t="s">
        <v>25</v>
      </c>
      <c r="C569" s="31">
        <v>26</v>
      </c>
      <c r="D569" s="22" t="s">
        <v>891</v>
      </c>
      <c r="E569" s="22" t="s">
        <v>892</v>
      </c>
      <c r="F569" s="22"/>
      <c r="G569" s="23">
        <v>50</v>
      </c>
      <c r="H569" s="24">
        <v>500</v>
      </c>
      <c r="I569" s="24">
        <v>0</v>
      </c>
      <c r="J569" s="24">
        <v>0</v>
      </c>
      <c r="K569" s="24">
        <v>0</v>
      </c>
      <c r="L569" s="32">
        <v>0</v>
      </c>
      <c r="M569" s="33">
        <v>0</v>
      </c>
      <c r="N569" s="27">
        <v>0</v>
      </c>
      <c r="O569" s="24">
        <v>500</v>
      </c>
      <c r="P569" s="24">
        <v>500</v>
      </c>
      <c r="Q569" s="28">
        <v>0</v>
      </c>
      <c r="R569" s="29">
        <v>0</v>
      </c>
      <c r="S569" s="29">
        <v>0</v>
      </c>
      <c r="T569" s="29">
        <v>0</v>
      </c>
      <c r="U569" s="30">
        <v>500</v>
      </c>
    </row>
    <row r="570" spans="2:21" x14ac:dyDescent="0.25">
      <c r="B570" s="31" t="s">
        <v>25</v>
      </c>
      <c r="C570" s="31">
        <v>26</v>
      </c>
      <c r="D570" s="22" t="s">
        <v>893</v>
      </c>
      <c r="E570" s="22" t="s">
        <v>894</v>
      </c>
      <c r="F570" s="22"/>
      <c r="G570" s="23">
        <v>20</v>
      </c>
      <c r="H570" s="24">
        <v>200</v>
      </c>
      <c r="I570" s="24">
        <v>0</v>
      </c>
      <c r="J570" s="24">
        <v>0</v>
      </c>
      <c r="K570" s="24">
        <v>0</v>
      </c>
      <c r="L570" s="32">
        <v>0</v>
      </c>
      <c r="M570" s="33">
        <v>0</v>
      </c>
      <c r="N570" s="27">
        <v>0</v>
      </c>
      <c r="O570" s="24">
        <v>200</v>
      </c>
      <c r="P570" s="24">
        <v>200</v>
      </c>
      <c r="Q570" s="28">
        <v>0</v>
      </c>
      <c r="R570" s="29">
        <v>0</v>
      </c>
      <c r="S570" s="29">
        <v>0</v>
      </c>
      <c r="T570" s="29">
        <v>0</v>
      </c>
      <c r="U570" s="30">
        <v>200</v>
      </c>
    </row>
    <row r="571" spans="2:21" x14ac:dyDescent="0.25">
      <c r="B571" s="31" t="s">
        <v>25</v>
      </c>
      <c r="C571" s="22">
        <v>60</v>
      </c>
      <c r="D571" s="22" t="s">
        <v>467</v>
      </c>
      <c r="E571" s="22" t="s">
        <v>895</v>
      </c>
      <c r="F571" s="22"/>
      <c r="G571" s="23">
        <v>611</v>
      </c>
      <c r="H571" s="24">
        <v>747.32999999999902</v>
      </c>
      <c r="I571" s="24">
        <v>0</v>
      </c>
      <c r="J571" s="24">
        <v>0</v>
      </c>
      <c r="K571" s="24">
        <v>0</v>
      </c>
      <c r="L571" s="32">
        <v>0</v>
      </c>
      <c r="M571" s="33">
        <v>0</v>
      </c>
      <c r="N571" s="27">
        <v>0</v>
      </c>
      <c r="O571" s="24">
        <v>747.32999999999902</v>
      </c>
      <c r="P571" s="24">
        <v>747.32999999999902</v>
      </c>
      <c r="Q571" s="28">
        <v>0</v>
      </c>
      <c r="R571" s="29">
        <v>0</v>
      </c>
      <c r="S571" s="29">
        <v>0</v>
      </c>
      <c r="T571" s="29">
        <v>0</v>
      </c>
      <c r="U571" s="30">
        <v>747.32999999999902</v>
      </c>
    </row>
    <row r="572" spans="2:21" x14ac:dyDescent="0.25">
      <c r="B572" s="31" t="s">
        <v>25</v>
      </c>
      <c r="C572" s="31">
        <v>60</v>
      </c>
      <c r="D572" s="22" t="s">
        <v>896</v>
      </c>
      <c r="E572" s="22" t="s">
        <v>897</v>
      </c>
      <c r="F572" s="22" t="s">
        <v>33</v>
      </c>
      <c r="G572" s="23">
        <v>228</v>
      </c>
      <c r="H572" s="24">
        <v>171</v>
      </c>
      <c r="I572" s="24">
        <v>140.904</v>
      </c>
      <c r="J572" s="24">
        <v>60</v>
      </c>
      <c r="K572" s="24">
        <v>9.8040000000000003</v>
      </c>
      <c r="L572" s="32">
        <v>40</v>
      </c>
      <c r="M572" s="33">
        <v>7.3530000000000006</v>
      </c>
      <c r="N572" s="27">
        <v>105.678</v>
      </c>
      <c r="O572" s="24">
        <v>171</v>
      </c>
      <c r="P572" s="24">
        <v>97.087378640776706</v>
      </c>
      <c r="Q572" s="28">
        <v>0.62</v>
      </c>
      <c r="R572" s="29">
        <v>0.18</v>
      </c>
      <c r="S572" s="29">
        <v>1.76</v>
      </c>
      <c r="T572" s="29">
        <v>40</v>
      </c>
      <c r="U572" s="30">
        <v>71</v>
      </c>
    </row>
    <row r="573" spans="2:21" x14ac:dyDescent="0.25">
      <c r="B573" s="31" t="s">
        <v>25</v>
      </c>
      <c r="C573" s="31">
        <v>60</v>
      </c>
      <c r="D573" s="22" t="s">
        <v>898</v>
      </c>
      <c r="E573" s="22" t="s">
        <v>899</v>
      </c>
      <c r="F573" s="22"/>
      <c r="G573" s="23">
        <v>789</v>
      </c>
      <c r="H573" s="24">
        <v>592</v>
      </c>
      <c r="I573" s="24">
        <v>0</v>
      </c>
      <c r="J573" s="24">
        <v>0</v>
      </c>
      <c r="K573" s="24">
        <v>0</v>
      </c>
      <c r="L573" s="32">
        <v>0</v>
      </c>
      <c r="M573" s="33">
        <v>0</v>
      </c>
      <c r="N573" s="27">
        <v>0</v>
      </c>
      <c r="O573" s="24">
        <v>592</v>
      </c>
      <c r="P573" s="24">
        <v>592</v>
      </c>
      <c r="Q573" s="28">
        <v>0</v>
      </c>
      <c r="R573" s="29">
        <v>0</v>
      </c>
      <c r="S573" s="29">
        <v>0</v>
      </c>
      <c r="T573" s="29">
        <v>0</v>
      </c>
      <c r="U573" s="30">
        <v>592</v>
      </c>
    </row>
    <row r="574" spans="2:21" x14ac:dyDescent="0.25">
      <c r="B574" s="31" t="s">
        <v>25</v>
      </c>
      <c r="C574" s="31">
        <v>60</v>
      </c>
      <c r="D574" s="22" t="s">
        <v>900</v>
      </c>
      <c r="E574" s="22" t="s">
        <v>901</v>
      </c>
      <c r="F574" s="22" t="s">
        <v>788</v>
      </c>
      <c r="G574" s="23">
        <v>232</v>
      </c>
      <c r="H574" s="24">
        <v>174</v>
      </c>
      <c r="I574" s="24">
        <v>64.959999999999994</v>
      </c>
      <c r="J574" s="24">
        <v>60.5</v>
      </c>
      <c r="K574" s="24">
        <v>64.959999999999994</v>
      </c>
      <c r="L574" s="32">
        <v>60</v>
      </c>
      <c r="M574" s="33">
        <v>48.719999999999992</v>
      </c>
      <c r="N574" s="27">
        <v>48.719999999999992</v>
      </c>
      <c r="O574" s="24">
        <v>174</v>
      </c>
      <c r="P574" s="24">
        <v>216.07142857142858</v>
      </c>
      <c r="Q574" s="28">
        <v>0.28000000000000003</v>
      </c>
      <c r="R574" s="29">
        <v>0.81</v>
      </c>
      <c r="S574" s="29">
        <v>0.81</v>
      </c>
      <c r="T574" s="29">
        <v>60.5</v>
      </c>
      <c r="U574" s="30">
        <v>53</v>
      </c>
    </row>
    <row r="575" spans="2:21" x14ac:dyDescent="0.25">
      <c r="B575" s="31" t="s">
        <v>25</v>
      </c>
      <c r="C575" s="31">
        <v>60</v>
      </c>
      <c r="D575" s="22" t="s">
        <v>902</v>
      </c>
      <c r="E575" s="22" t="s">
        <v>903</v>
      </c>
      <c r="F575" s="22" t="s">
        <v>788</v>
      </c>
      <c r="G575" s="23">
        <v>109</v>
      </c>
      <c r="H575" s="24">
        <v>82</v>
      </c>
      <c r="I575" s="24">
        <v>99.190000000000012</v>
      </c>
      <c r="J575" s="24">
        <v>76</v>
      </c>
      <c r="K575" s="24">
        <v>2.1800000000000002</v>
      </c>
      <c r="L575" s="32">
        <v>10</v>
      </c>
      <c r="M575" s="33">
        <v>1.6400000000000001</v>
      </c>
      <c r="N575" s="27">
        <v>74.62</v>
      </c>
      <c r="O575" s="24">
        <v>82</v>
      </c>
      <c r="P575" s="24">
        <v>83.516483516483504</v>
      </c>
      <c r="Q575" s="28">
        <v>0.91</v>
      </c>
      <c r="R575" s="29">
        <v>0.16</v>
      </c>
      <c r="S575" s="29">
        <v>0.98</v>
      </c>
      <c r="T575" s="29">
        <v>10</v>
      </c>
      <c r="U575" s="30">
        <v>-4</v>
      </c>
    </row>
    <row r="576" spans="2:21" x14ac:dyDescent="0.25">
      <c r="B576" s="31" t="s">
        <v>25</v>
      </c>
      <c r="C576" s="31">
        <v>60</v>
      </c>
      <c r="D576" s="22" t="s">
        <v>904</v>
      </c>
      <c r="E576" s="22" t="s">
        <v>905</v>
      </c>
      <c r="F576" s="22"/>
      <c r="G576" s="23">
        <v>166</v>
      </c>
      <c r="H576" s="24">
        <v>125</v>
      </c>
      <c r="I576" s="24">
        <v>4.4820000000000002</v>
      </c>
      <c r="J576" s="24">
        <v>10</v>
      </c>
      <c r="K576" s="24">
        <v>0</v>
      </c>
      <c r="L576" s="32">
        <v>0</v>
      </c>
      <c r="M576" s="33">
        <v>0</v>
      </c>
      <c r="N576" s="27">
        <v>3.375</v>
      </c>
      <c r="O576" s="24">
        <v>125</v>
      </c>
      <c r="P576" s="24">
        <v>125</v>
      </c>
      <c r="Q576" s="28">
        <v>0.03</v>
      </c>
      <c r="R576" s="29">
        <v>0</v>
      </c>
      <c r="S576" s="29">
        <v>0.34</v>
      </c>
      <c r="T576" s="29">
        <v>0</v>
      </c>
      <c r="U576" s="30">
        <v>115</v>
      </c>
    </row>
    <row r="577" spans="2:21" x14ac:dyDescent="0.25">
      <c r="B577" s="31" t="s">
        <v>25</v>
      </c>
      <c r="C577" s="31">
        <v>60</v>
      </c>
      <c r="D577" s="22" t="s">
        <v>906</v>
      </c>
      <c r="E577" s="22" t="s">
        <v>907</v>
      </c>
      <c r="F577" s="22" t="s">
        <v>33</v>
      </c>
      <c r="G577" s="23">
        <v>998</v>
      </c>
      <c r="H577" s="24">
        <v>749</v>
      </c>
      <c r="I577" s="24">
        <v>524.94799999999998</v>
      </c>
      <c r="J577" s="24">
        <v>256.25</v>
      </c>
      <c r="K577" s="24">
        <v>19.96</v>
      </c>
      <c r="L577" s="32">
        <v>39</v>
      </c>
      <c r="M577" s="33">
        <v>14.98</v>
      </c>
      <c r="N577" s="27">
        <v>393.97399999999999</v>
      </c>
      <c r="O577" s="24">
        <v>749</v>
      </c>
      <c r="P577" s="24">
        <v>487.16730038022814</v>
      </c>
      <c r="Q577" s="28">
        <v>0.53</v>
      </c>
      <c r="R577" s="29">
        <v>0.38</v>
      </c>
      <c r="S577" s="29">
        <v>1.54</v>
      </c>
      <c r="T577" s="29">
        <v>39.25</v>
      </c>
      <c r="U577" s="30">
        <v>453.5</v>
      </c>
    </row>
    <row r="578" spans="2:21" x14ac:dyDescent="0.25">
      <c r="B578" s="31" t="s">
        <v>25</v>
      </c>
      <c r="C578" s="31">
        <v>60</v>
      </c>
      <c r="D578" s="22" t="s">
        <v>908</v>
      </c>
      <c r="E578" s="22" t="s">
        <v>909</v>
      </c>
      <c r="F578" s="22"/>
      <c r="G578" s="23">
        <v>267</v>
      </c>
      <c r="H578" s="24">
        <v>200</v>
      </c>
      <c r="I578" s="24">
        <v>0</v>
      </c>
      <c r="J578" s="24">
        <v>0</v>
      </c>
      <c r="K578" s="24">
        <v>0</v>
      </c>
      <c r="L578" s="32">
        <v>0</v>
      </c>
      <c r="M578" s="33">
        <v>0</v>
      </c>
      <c r="N578" s="27">
        <v>0</v>
      </c>
      <c r="O578" s="24">
        <v>200</v>
      </c>
      <c r="P578" s="24">
        <v>200</v>
      </c>
      <c r="Q578" s="28">
        <v>0</v>
      </c>
      <c r="R578" s="29">
        <v>0</v>
      </c>
      <c r="S578" s="29">
        <v>0</v>
      </c>
      <c r="T578" s="29">
        <v>0</v>
      </c>
      <c r="U578" s="30">
        <v>200</v>
      </c>
    </row>
    <row r="579" spans="2:21" x14ac:dyDescent="0.25">
      <c r="B579" s="31" t="s">
        <v>25</v>
      </c>
      <c r="C579" s="31">
        <v>60</v>
      </c>
      <c r="D579" s="22" t="s">
        <v>910</v>
      </c>
      <c r="E579" s="22" t="s">
        <v>911</v>
      </c>
      <c r="F579" s="22"/>
      <c r="G579" s="23">
        <v>217</v>
      </c>
      <c r="H579" s="24">
        <v>163</v>
      </c>
      <c r="I579" s="24">
        <v>6.0759999999999996</v>
      </c>
      <c r="J579" s="24">
        <v>7</v>
      </c>
      <c r="K579" s="24">
        <v>0</v>
      </c>
      <c r="L579" s="32">
        <v>0</v>
      </c>
      <c r="M579" s="33">
        <v>0</v>
      </c>
      <c r="N579" s="27">
        <v>4.5639999999999992</v>
      </c>
      <c r="O579" s="24">
        <v>163</v>
      </c>
      <c r="P579" s="24">
        <v>163</v>
      </c>
      <c r="Q579" s="28">
        <v>0.03</v>
      </c>
      <c r="R579" s="29">
        <v>0</v>
      </c>
      <c r="S579" s="29">
        <v>0.65</v>
      </c>
      <c r="T579" s="29">
        <v>0</v>
      </c>
      <c r="U579" s="30">
        <v>156</v>
      </c>
    </row>
    <row r="580" spans="2:21" x14ac:dyDescent="0.25">
      <c r="B580" s="31" t="s">
        <v>25</v>
      </c>
      <c r="C580" s="31">
        <v>60</v>
      </c>
      <c r="D580" s="22" t="s">
        <v>912</v>
      </c>
      <c r="E580" s="22" t="s">
        <v>913</v>
      </c>
      <c r="F580" s="22"/>
      <c r="G580" s="23">
        <v>955</v>
      </c>
      <c r="H580" s="24">
        <v>716</v>
      </c>
      <c r="I580" s="24">
        <v>0</v>
      </c>
      <c r="J580" s="24">
        <v>0</v>
      </c>
      <c r="K580" s="24">
        <v>0</v>
      </c>
      <c r="L580" s="32">
        <v>0</v>
      </c>
      <c r="M580" s="33">
        <v>0</v>
      </c>
      <c r="N580" s="27">
        <v>0</v>
      </c>
      <c r="O580" s="24">
        <v>716</v>
      </c>
      <c r="P580" s="24">
        <v>716</v>
      </c>
      <c r="Q580" s="28">
        <v>0</v>
      </c>
      <c r="R580" s="29">
        <v>0</v>
      </c>
      <c r="S580" s="29">
        <v>0</v>
      </c>
      <c r="T580" s="29">
        <v>0</v>
      </c>
      <c r="U580" s="30">
        <v>716</v>
      </c>
    </row>
    <row r="581" spans="2:21" x14ac:dyDescent="0.25">
      <c r="B581" s="31" t="s">
        <v>25</v>
      </c>
      <c r="C581" s="31">
        <v>60</v>
      </c>
      <c r="D581" s="22" t="s">
        <v>914</v>
      </c>
      <c r="E581" s="22" t="s">
        <v>915</v>
      </c>
      <c r="F581" s="22"/>
      <c r="G581" s="23">
        <v>762</v>
      </c>
      <c r="H581" s="24">
        <v>572</v>
      </c>
      <c r="I581" s="24">
        <v>18.288</v>
      </c>
      <c r="J581" s="24">
        <v>110</v>
      </c>
      <c r="K581" s="24">
        <v>0</v>
      </c>
      <c r="L581" s="32">
        <v>0</v>
      </c>
      <c r="M581" s="33">
        <v>0</v>
      </c>
      <c r="N581" s="27">
        <v>13.728</v>
      </c>
      <c r="O581" s="24">
        <v>572</v>
      </c>
      <c r="P581" s="24">
        <v>572</v>
      </c>
      <c r="Q581" s="28">
        <v>0.02</v>
      </c>
      <c r="R581" s="29">
        <v>0</v>
      </c>
      <c r="S581" s="29">
        <v>0.12</v>
      </c>
      <c r="T581" s="29">
        <v>0</v>
      </c>
      <c r="U581" s="30">
        <v>462</v>
      </c>
    </row>
    <row r="582" spans="2:21" x14ac:dyDescent="0.25">
      <c r="B582" s="31" t="s">
        <v>25</v>
      </c>
      <c r="C582" s="31">
        <v>60</v>
      </c>
      <c r="D582" s="22" t="s">
        <v>916</v>
      </c>
      <c r="E582" s="22" t="s">
        <v>917</v>
      </c>
      <c r="F582" s="22"/>
      <c r="G582" s="23">
        <v>1846</v>
      </c>
      <c r="H582" s="24">
        <v>1385</v>
      </c>
      <c r="I582" s="24">
        <v>0</v>
      </c>
      <c r="J582" s="24">
        <v>0</v>
      </c>
      <c r="K582" s="24">
        <v>0</v>
      </c>
      <c r="L582" s="32">
        <v>0</v>
      </c>
      <c r="M582" s="33">
        <v>0</v>
      </c>
      <c r="N582" s="27">
        <v>0</v>
      </c>
      <c r="O582" s="24">
        <v>1385</v>
      </c>
      <c r="P582" s="24">
        <v>1385</v>
      </c>
      <c r="Q582" s="28">
        <v>0</v>
      </c>
      <c r="R582" s="29">
        <v>0</v>
      </c>
      <c r="S582" s="29">
        <v>0</v>
      </c>
      <c r="T582" s="29">
        <v>0</v>
      </c>
      <c r="U582" s="30">
        <v>1385</v>
      </c>
    </row>
    <row r="583" spans="2:21" x14ac:dyDescent="0.25">
      <c r="B583" s="31" t="s">
        <v>25</v>
      </c>
      <c r="C583" s="31">
        <v>60</v>
      </c>
      <c r="D583" s="22" t="s">
        <v>918</v>
      </c>
      <c r="E583" s="22" t="s">
        <v>919</v>
      </c>
      <c r="F583" s="22"/>
      <c r="G583" s="23">
        <v>249</v>
      </c>
      <c r="H583" s="24">
        <v>187</v>
      </c>
      <c r="I583" s="24">
        <v>0</v>
      </c>
      <c r="J583" s="24">
        <v>0</v>
      </c>
      <c r="K583" s="24">
        <v>0</v>
      </c>
      <c r="L583" s="32">
        <v>0</v>
      </c>
      <c r="M583" s="33">
        <v>0</v>
      </c>
      <c r="N583" s="27">
        <v>0</v>
      </c>
      <c r="O583" s="24">
        <v>187</v>
      </c>
      <c r="P583" s="24">
        <v>187</v>
      </c>
      <c r="Q583" s="28">
        <v>0</v>
      </c>
      <c r="R583" s="29">
        <v>0</v>
      </c>
      <c r="S583" s="29">
        <v>0</v>
      </c>
      <c r="T583" s="29">
        <v>0</v>
      </c>
      <c r="U583" s="30">
        <v>187</v>
      </c>
    </row>
    <row r="584" spans="2:21" x14ac:dyDescent="0.25">
      <c r="B584" s="31" t="s">
        <v>25</v>
      </c>
      <c r="C584" s="31">
        <v>60</v>
      </c>
      <c r="D584" s="22" t="s">
        <v>920</v>
      </c>
      <c r="E584" s="22" t="s">
        <v>921</v>
      </c>
      <c r="F584" s="22"/>
      <c r="G584" s="23">
        <v>197</v>
      </c>
      <c r="H584" s="24">
        <v>148</v>
      </c>
      <c r="I584" s="24">
        <v>9.4559999999999995</v>
      </c>
      <c r="J584" s="24">
        <v>9</v>
      </c>
      <c r="K584" s="24">
        <v>0</v>
      </c>
      <c r="L584" s="32">
        <v>0</v>
      </c>
      <c r="M584" s="33">
        <v>0</v>
      </c>
      <c r="N584" s="27">
        <v>7.1040000000000001</v>
      </c>
      <c r="O584" s="24">
        <v>148</v>
      </c>
      <c r="P584" s="24">
        <v>148</v>
      </c>
      <c r="Q584" s="28">
        <v>0.05</v>
      </c>
      <c r="R584" s="29">
        <v>0</v>
      </c>
      <c r="S584" s="29">
        <v>0.79</v>
      </c>
      <c r="T584" s="29">
        <v>0</v>
      </c>
      <c r="U584" s="30">
        <v>139</v>
      </c>
    </row>
    <row r="585" spans="2:21" x14ac:dyDescent="0.25">
      <c r="B585" s="31" t="s">
        <v>25</v>
      </c>
      <c r="C585" s="31">
        <v>60</v>
      </c>
      <c r="D585" s="22" t="s">
        <v>922</v>
      </c>
      <c r="E585" s="22" t="s">
        <v>923</v>
      </c>
      <c r="F585" s="22"/>
      <c r="G585" s="23">
        <v>1242</v>
      </c>
      <c r="H585" s="24">
        <v>932</v>
      </c>
      <c r="I585" s="24">
        <v>43.47</v>
      </c>
      <c r="J585" s="24">
        <v>79.5</v>
      </c>
      <c r="K585" s="24">
        <v>0</v>
      </c>
      <c r="L585" s="32">
        <v>0</v>
      </c>
      <c r="M585" s="33">
        <v>0</v>
      </c>
      <c r="N585" s="27">
        <v>32.619999999999997</v>
      </c>
      <c r="O585" s="24">
        <v>932</v>
      </c>
      <c r="P585" s="24">
        <v>932</v>
      </c>
      <c r="Q585" s="28">
        <v>0.04</v>
      </c>
      <c r="R585" s="29">
        <v>0</v>
      </c>
      <c r="S585" s="29">
        <v>0.41</v>
      </c>
      <c r="T585" s="29">
        <v>0</v>
      </c>
      <c r="U585" s="30">
        <v>852.5</v>
      </c>
    </row>
    <row r="586" spans="2:21" x14ac:dyDescent="0.25">
      <c r="B586" s="31" t="s">
        <v>25</v>
      </c>
      <c r="C586" s="31">
        <v>60</v>
      </c>
      <c r="D586" s="22" t="s">
        <v>924</v>
      </c>
      <c r="E586" s="22" t="s">
        <v>925</v>
      </c>
      <c r="F586" s="22"/>
      <c r="G586" s="23">
        <v>1805</v>
      </c>
      <c r="H586" s="24">
        <v>1354</v>
      </c>
      <c r="I586" s="24">
        <v>0</v>
      </c>
      <c r="J586" s="24">
        <v>0</v>
      </c>
      <c r="K586" s="24">
        <v>0</v>
      </c>
      <c r="L586" s="32">
        <v>0</v>
      </c>
      <c r="M586" s="33">
        <v>0</v>
      </c>
      <c r="N586" s="27">
        <v>0</v>
      </c>
      <c r="O586" s="24">
        <v>1354</v>
      </c>
      <c r="P586" s="24">
        <v>1354</v>
      </c>
      <c r="Q586" s="28">
        <v>0</v>
      </c>
      <c r="R586" s="29">
        <v>0</v>
      </c>
      <c r="S586" s="29">
        <v>0</v>
      </c>
      <c r="T586" s="29">
        <v>0</v>
      </c>
      <c r="U586" s="30">
        <v>1354</v>
      </c>
    </row>
    <row r="587" spans="2:21" x14ac:dyDescent="0.25">
      <c r="B587" s="31" t="s">
        <v>25</v>
      </c>
      <c r="C587" s="31">
        <v>60</v>
      </c>
      <c r="D587" s="22" t="s">
        <v>926</v>
      </c>
      <c r="E587" s="22" t="s">
        <v>927</v>
      </c>
      <c r="F587" s="22"/>
      <c r="G587" s="23">
        <v>207</v>
      </c>
      <c r="H587" s="24">
        <v>155.25</v>
      </c>
      <c r="I587" s="24">
        <v>0</v>
      </c>
      <c r="J587" s="24">
        <v>30</v>
      </c>
      <c r="K587" s="24">
        <v>0</v>
      </c>
      <c r="L587" s="32">
        <v>0</v>
      </c>
      <c r="M587" s="33">
        <v>0</v>
      </c>
      <c r="N587" s="27">
        <v>0</v>
      </c>
      <c r="O587" s="24">
        <v>155.25</v>
      </c>
      <c r="P587" s="24">
        <v>155.25</v>
      </c>
      <c r="Q587" s="28">
        <v>0</v>
      </c>
      <c r="R587" s="29">
        <v>0</v>
      </c>
      <c r="S587" s="29">
        <v>0</v>
      </c>
      <c r="T587" s="29">
        <v>0</v>
      </c>
      <c r="U587" s="30">
        <v>125.25</v>
      </c>
    </row>
    <row r="588" spans="2:21" x14ac:dyDescent="0.25">
      <c r="B588" s="31" t="s">
        <v>25</v>
      </c>
      <c r="C588" s="31">
        <v>60</v>
      </c>
      <c r="D588" s="22" t="s">
        <v>928</v>
      </c>
      <c r="E588" s="22" t="s">
        <v>929</v>
      </c>
      <c r="F588" s="22"/>
      <c r="G588" s="23">
        <v>19</v>
      </c>
      <c r="H588" s="24">
        <v>14</v>
      </c>
      <c r="I588" s="24">
        <v>0</v>
      </c>
      <c r="J588" s="24">
        <v>0</v>
      </c>
      <c r="K588" s="24">
        <v>0</v>
      </c>
      <c r="L588" s="32">
        <v>0</v>
      </c>
      <c r="M588" s="33">
        <v>0</v>
      </c>
      <c r="N588" s="27">
        <v>0</v>
      </c>
      <c r="O588" s="24">
        <v>14</v>
      </c>
      <c r="P588" s="24">
        <v>14</v>
      </c>
      <c r="Q588" s="28">
        <v>0</v>
      </c>
      <c r="R588" s="29">
        <v>0</v>
      </c>
      <c r="S588" s="29">
        <v>0</v>
      </c>
      <c r="T588" s="29">
        <v>0</v>
      </c>
      <c r="U588" s="30">
        <v>14</v>
      </c>
    </row>
    <row r="589" spans="2:21" x14ac:dyDescent="0.25">
      <c r="B589" s="31" t="s">
        <v>25</v>
      </c>
      <c r="C589" s="31">
        <v>60</v>
      </c>
      <c r="D589" s="22" t="s">
        <v>930</v>
      </c>
      <c r="E589" s="22" t="s">
        <v>931</v>
      </c>
      <c r="F589" s="22" t="s">
        <v>33</v>
      </c>
      <c r="G589" s="23">
        <v>866</v>
      </c>
      <c r="H589" s="24">
        <v>649.5</v>
      </c>
      <c r="I589" s="24">
        <v>19.917999999999999</v>
      </c>
      <c r="J589" s="24">
        <v>20.5</v>
      </c>
      <c r="K589" s="24">
        <v>19.917999999999999</v>
      </c>
      <c r="L589" s="32">
        <v>20</v>
      </c>
      <c r="M589" s="33">
        <v>14.938499999999999</v>
      </c>
      <c r="N589" s="27">
        <v>14.938499999999999</v>
      </c>
      <c r="O589" s="24">
        <v>649.5</v>
      </c>
      <c r="P589" s="24">
        <v>649.5</v>
      </c>
      <c r="Q589" s="28">
        <v>0.02</v>
      </c>
      <c r="R589" s="29">
        <v>0.75</v>
      </c>
      <c r="S589" s="29">
        <v>0.73</v>
      </c>
      <c r="T589" s="29">
        <v>20.5</v>
      </c>
      <c r="U589" s="30">
        <v>608.5</v>
      </c>
    </row>
    <row r="590" spans="2:21" x14ac:dyDescent="0.25">
      <c r="B590" s="31" t="s">
        <v>25</v>
      </c>
      <c r="C590" s="31">
        <v>60</v>
      </c>
      <c r="D590" s="22" t="s">
        <v>932</v>
      </c>
      <c r="E590" s="22" t="s">
        <v>933</v>
      </c>
      <c r="F590" s="22"/>
      <c r="G590" s="23">
        <v>261</v>
      </c>
      <c r="H590" s="24">
        <v>196</v>
      </c>
      <c r="I590" s="24">
        <v>0</v>
      </c>
      <c r="J590" s="24">
        <v>0</v>
      </c>
      <c r="K590" s="24">
        <v>0</v>
      </c>
      <c r="L590" s="32">
        <v>0</v>
      </c>
      <c r="M590" s="33">
        <v>0</v>
      </c>
      <c r="N590" s="27">
        <v>0</v>
      </c>
      <c r="O590" s="24">
        <v>196</v>
      </c>
      <c r="P590" s="24">
        <v>196</v>
      </c>
      <c r="Q590" s="28">
        <v>0</v>
      </c>
      <c r="R590" s="29">
        <v>0</v>
      </c>
      <c r="S590" s="29">
        <v>0</v>
      </c>
      <c r="T590" s="29">
        <v>0</v>
      </c>
      <c r="U590" s="30">
        <v>196</v>
      </c>
    </row>
    <row r="591" spans="2:21" x14ac:dyDescent="0.25">
      <c r="B591" s="31" t="s">
        <v>25</v>
      </c>
      <c r="C591" s="31">
        <v>60</v>
      </c>
      <c r="D591" s="22" t="s">
        <v>934</v>
      </c>
      <c r="E591" s="22" t="s">
        <v>935</v>
      </c>
      <c r="F591" s="22"/>
      <c r="G591" s="23">
        <v>1154</v>
      </c>
      <c r="H591" s="24">
        <v>865.5</v>
      </c>
      <c r="I591" s="24">
        <v>0</v>
      </c>
      <c r="J591" s="24">
        <v>0</v>
      </c>
      <c r="K591" s="24">
        <v>0</v>
      </c>
      <c r="L591" s="32">
        <v>0</v>
      </c>
      <c r="M591" s="33">
        <v>0</v>
      </c>
      <c r="N591" s="27">
        <v>0</v>
      </c>
      <c r="O591" s="24">
        <v>865.5</v>
      </c>
      <c r="P591" s="24">
        <v>865.5</v>
      </c>
      <c r="Q591" s="28">
        <v>0</v>
      </c>
      <c r="R591" s="29">
        <v>0</v>
      </c>
      <c r="S591" s="29">
        <v>0</v>
      </c>
      <c r="T591" s="29">
        <v>0</v>
      </c>
      <c r="U591" s="30">
        <v>865.5</v>
      </c>
    </row>
    <row r="592" spans="2:21" x14ac:dyDescent="0.25">
      <c r="B592" s="31" t="s">
        <v>25</v>
      </c>
      <c r="C592" s="31">
        <v>60</v>
      </c>
      <c r="D592" s="22" t="s">
        <v>936</v>
      </c>
      <c r="E592" s="22" t="s">
        <v>937</v>
      </c>
      <c r="F592" s="22"/>
      <c r="G592" s="23">
        <v>291</v>
      </c>
      <c r="H592" s="24">
        <v>218.25</v>
      </c>
      <c r="I592" s="24">
        <v>0</v>
      </c>
      <c r="J592" s="24">
        <v>34.5</v>
      </c>
      <c r="K592" s="24">
        <v>0</v>
      </c>
      <c r="L592" s="32">
        <v>0</v>
      </c>
      <c r="M592" s="33">
        <v>0</v>
      </c>
      <c r="N592" s="27">
        <v>0</v>
      </c>
      <c r="O592" s="24">
        <v>218.25</v>
      </c>
      <c r="P592" s="24">
        <v>218.25</v>
      </c>
      <c r="Q592" s="28">
        <v>0</v>
      </c>
      <c r="R592" s="29">
        <v>0</v>
      </c>
      <c r="S592" s="29">
        <v>0</v>
      </c>
      <c r="T592" s="29">
        <v>0</v>
      </c>
      <c r="U592" s="30">
        <v>183.75</v>
      </c>
    </row>
    <row r="593" spans="2:21" x14ac:dyDescent="0.25">
      <c r="B593" s="31" t="s">
        <v>25</v>
      </c>
      <c r="C593" s="31">
        <v>60</v>
      </c>
      <c r="D593" s="22" t="s">
        <v>938</v>
      </c>
      <c r="E593" s="22" t="s">
        <v>939</v>
      </c>
      <c r="F593" s="22"/>
      <c r="G593" s="23">
        <v>1109</v>
      </c>
      <c r="H593" s="24">
        <v>831.75</v>
      </c>
      <c r="I593" s="24">
        <v>0</v>
      </c>
      <c r="J593" s="24">
        <v>10</v>
      </c>
      <c r="K593" s="24">
        <v>0</v>
      </c>
      <c r="L593" s="32">
        <v>0</v>
      </c>
      <c r="M593" s="33">
        <v>0</v>
      </c>
      <c r="N593" s="27">
        <v>0</v>
      </c>
      <c r="O593" s="24">
        <v>831.75</v>
      </c>
      <c r="P593" s="24">
        <v>831.75</v>
      </c>
      <c r="Q593" s="28">
        <v>0</v>
      </c>
      <c r="R593" s="29">
        <v>0</v>
      </c>
      <c r="S593" s="29">
        <v>0</v>
      </c>
      <c r="T593" s="29">
        <v>0</v>
      </c>
      <c r="U593" s="30">
        <v>821.75</v>
      </c>
    </row>
    <row r="594" spans="2:21" x14ac:dyDescent="0.25">
      <c r="B594" s="31" t="s">
        <v>25</v>
      </c>
      <c r="C594" s="31">
        <v>60</v>
      </c>
      <c r="D594" s="22" t="s">
        <v>940</v>
      </c>
      <c r="E594" s="22" t="s">
        <v>941</v>
      </c>
      <c r="F594" s="22"/>
      <c r="G594" s="23">
        <v>762</v>
      </c>
      <c r="H594" s="24">
        <v>571.5</v>
      </c>
      <c r="I594" s="24">
        <v>0</v>
      </c>
      <c r="J594" s="24">
        <v>0</v>
      </c>
      <c r="K594" s="24">
        <v>0</v>
      </c>
      <c r="L594" s="32">
        <v>0</v>
      </c>
      <c r="M594" s="33">
        <v>0</v>
      </c>
      <c r="N594" s="27">
        <v>0</v>
      </c>
      <c r="O594" s="24">
        <v>571.5</v>
      </c>
      <c r="P594" s="24">
        <v>571.5</v>
      </c>
      <c r="Q594" s="28">
        <v>0</v>
      </c>
      <c r="R594" s="29">
        <v>0</v>
      </c>
      <c r="S594" s="29">
        <v>0</v>
      </c>
      <c r="T594" s="29">
        <v>0</v>
      </c>
      <c r="U594" s="30">
        <v>571.5</v>
      </c>
    </row>
    <row r="595" spans="2:21" x14ac:dyDescent="0.25">
      <c r="B595" s="31" t="s">
        <v>25</v>
      </c>
      <c r="C595" s="31">
        <v>60</v>
      </c>
      <c r="D595" s="22" t="s">
        <v>942</v>
      </c>
      <c r="E595" s="22" t="s">
        <v>943</v>
      </c>
      <c r="F595" s="22"/>
      <c r="G595" s="23">
        <v>2496</v>
      </c>
      <c r="H595" s="24">
        <v>1872</v>
      </c>
      <c r="I595" s="24">
        <v>449.28</v>
      </c>
      <c r="J595" s="24">
        <v>61</v>
      </c>
      <c r="K595" s="24">
        <v>0</v>
      </c>
      <c r="L595" s="32">
        <v>0</v>
      </c>
      <c r="M595" s="33">
        <v>0</v>
      </c>
      <c r="N595" s="27">
        <v>336.96</v>
      </c>
      <c r="O595" s="24">
        <v>1872</v>
      </c>
      <c r="P595" s="24">
        <v>1872</v>
      </c>
      <c r="Q595" s="28">
        <v>0.18</v>
      </c>
      <c r="R595" s="29">
        <v>0</v>
      </c>
      <c r="S595" s="29">
        <v>5.52</v>
      </c>
      <c r="T595" s="29">
        <v>0</v>
      </c>
      <c r="U595" s="30">
        <v>1811</v>
      </c>
    </row>
    <row r="596" spans="2:21" x14ac:dyDescent="0.25">
      <c r="B596" s="31" t="s">
        <v>25</v>
      </c>
      <c r="C596" s="31">
        <v>60</v>
      </c>
      <c r="D596" s="22" t="s">
        <v>944</v>
      </c>
      <c r="E596" s="22" t="s">
        <v>945</v>
      </c>
      <c r="F596" s="22"/>
      <c r="G596" s="23">
        <v>1372</v>
      </c>
      <c r="H596" s="24">
        <v>1029</v>
      </c>
      <c r="I596" s="24">
        <v>23.324000000000002</v>
      </c>
      <c r="J596" s="24">
        <v>20</v>
      </c>
      <c r="K596" s="24">
        <v>0</v>
      </c>
      <c r="L596" s="32">
        <v>0</v>
      </c>
      <c r="M596" s="33">
        <v>0</v>
      </c>
      <c r="N596" s="27">
        <v>17.493000000000002</v>
      </c>
      <c r="O596" s="24">
        <v>1029</v>
      </c>
      <c r="P596" s="24">
        <v>1029</v>
      </c>
      <c r="Q596" s="28">
        <v>0.02</v>
      </c>
      <c r="R596" s="29">
        <v>0</v>
      </c>
      <c r="S596" s="29">
        <v>0.87</v>
      </c>
      <c r="T596" s="29">
        <v>0</v>
      </c>
      <c r="U596" s="30">
        <v>1009</v>
      </c>
    </row>
    <row r="597" spans="2:21" x14ac:dyDescent="0.25">
      <c r="B597" s="31" t="s">
        <v>25</v>
      </c>
      <c r="C597" s="31">
        <v>60</v>
      </c>
      <c r="D597" s="22" t="s">
        <v>946</v>
      </c>
      <c r="E597" s="22" t="s">
        <v>947</v>
      </c>
      <c r="F597" s="22"/>
      <c r="G597" s="23">
        <v>1712</v>
      </c>
      <c r="H597" s="24">
        <v>1284</v>
      </c>
      <c r="I597" s="24">
        <v>0</v>
      </c>
      <c r="J597" s="24">
        <v>0</v>
      </c>
      <c r="K597" s="24">
        <v>0</v>
      </c>
      <c r="L597" s="32">
        <v>0</v>
      </c>
      <c r="M597" s="33">
        <v>0</v>
      </c>
      <c r="N597" s="27">
        <v>0</v>
      </c>
      <c r="O597" s="24">
        <v>1284</v>
      </c>
      <c r="P597" s="24">
        <v>1284</v>
      </c>
      <c r="Q597" s="28">
        <v>0</v>
      </c>
      <c r="R597" s="29">
        <v>0</v>
      </c>
      <c r="S597" s="29">
        <v>0</v>
      </c>
      <c r="T597" s="29">
        <v>0</v>
      </c>
      <c r="U597" s="30">
        <v>1284</v>
      </c>
    </row>
    <row r="598" spans="2:21" x14ac:dyDescent="0.25">
      <c r="B598" s="31" t="s">
        <v>25</v>
      </c>
      <c r="C598" s="22">
        <v>61</v>
      </c>
      <c r="D598" s="22" t="s">
        <v>492</v>
      </c>
      <c r="E598" s="22" t="s">
        <v>948</v>
      </c>
      <c r="F598" s="22"/>
      <c r="G598" s="23">
        <v>1320</v>
      </c>
      <c r="H598" s="24">
        <v>16384.399999999994</v>
      </c>
      <c r="I598" s="24">
        <v>0</v>
      </c>
      <c r="J598" s="24">
        <v>0</v>
      </c>
      <c r="K598" s="24">
        <v>0</v>
      </c>
      <c r="L598" s="32">
        <v>0</v>
      </c>
      <c r="M598" s="33">
        <v>0</v>
      </c>
      <c r="N598" s="27">
        <v>0</v>
      </c>
      <c r="O598" s="24">
        <v>16384.399999999994</v>
      </c>
      <c r="P598" s="24">
        <v>16384.399999999994</v>
      </c>
      <c r="Q598" s="28">
        <v>0</v>
      </c>
      <c r="R598" s="29">
        <v>0</v>
      </c>
      <c r="S598" s="29">
        <v>0</v>
      </c>
      <c r="T598" s="29">
        <v>0</v>
      </c>
      <c r="U598" s="30">
        <v>16384.399999999994</v>
      </c>
    </row>
    <row r="599" spans="2:21" x14ac:dyDescent="0.25">
      <c r="B599" s="31" t="s">
        <v>25</v>
      </c>
      <c r="C599" s="31">
        <v>61</v>
      </c>
      <c r="D599" s="22" t="s">
        <v>949</v>
      </c>
      <c r="E599" s="22" t="s">
        <v>950</v>
      </c>
      <c r="F599" s="22" t="s">
        <v>33</v>
      </c>
      <c r="G599" s="23">
        <v>1100</v>
      </c>
      <c r="H599" s="24">
        <v>495</v>
      </c>
      <c r="I599" s="24">
        <v>640.20000000000005</v>
      </c>
      <c r="J599" s="24">
        <v>101</v>
      </c>
      <c r="K599" s="24">
        <v>160.6</v>
      </c>
      <c r="L599" s="32">
        <v>30</v>
      </c>
      <c r="M599" s="33">
        <v>72.27</v>
      </c>
      <c r="N599" s="27">
        <v>288.09000000000003</v>
      </c>
      <c r="O599" s="24">
        <v>495</v>
      </c>
      <c r="P599" s="24">
        <v>173.53951890034361</v>
      </c>
      <c r="Q599" s="28">
        <v>0.57999999999999996</v>
      </c>
      <c r="R599" s="29">
        <v>2.41</v>
      </c>
      <c r="S599" s="29">
        <v>2.85</v>
      </c>
      <c r="T599" s="29">
        <v>30.5</v>
      </c>
      <c r="U599" s="30">
        <v>363.5</v>
      </c>
    </row>
    <row r="600" spans="2:21" x14ac:dyDescent="0.25">
      <c r="B600" s="31" t="s">
        <v>25</v>
      </c>
      <c r="C600" s="31">
        <v>61</v>
      </c>
      <c r="D600" s="22" t="s">
        <v>951</v>
      </c>
      <c r="E600" s="22" t="s">
        <v>952</v>
      </c>
      <c r="F600" s="22"/>
      <c r="G600" s="23">
        <v>3900</v>
      </c>
      <c r="H600" s="24">
        <v>1755</v>
      </c>
      <c r="I600" s="24">
        <v>0</v>
      </c>
      <c r="J600" s="24">
        <v>0</v>
      </c>
      <c r="K600" s="24">
        <v>0</v>
      </c>
      <c r="L600" s="32">
        <v>0</v>
      </c>
      <c r="M600" s="33">
        <v>0</v>
      </c>
      <c r="N600" s="27">
        <v>0</v>
      </c>
      <c r="O600" s="24">
        <v>1755</v>
      </c>
      <c r="P600" s="24">
        <v>1755</v>
      </c>
      <c r="Q600" s="28">
        <v>0</v>
      </c>
      <c r="R600" s="29">
        <v>0</v>
      </c>
      <c r="S600" s="29">
        <v>0</v>
      </c>
      <c r="T600" s="29">
        <v>0</v>
      </c>
      <c r="U600" s="30">
        <v>1755</v>
      </c>
    </row>
    <row r="601" spans="2:21" x14ac:dyDescent="0.25">
      <c r="B601" s="31" t="s">
        <v>25</v>
      </c>
      <c r="C601" s="31">
        <v>61</v>
      </c>
      <c r="D601" s="22" t="s">
        <v>953</v>
      </c>
      <c r="E601" s="22" t="s">
        <v>954</v>
      </c>
      <c r="F601" s="22"/>
      <c r="G601" s="23">
        <v>780</v>
      </c>
      <c r="H601" s="24">
        <v>351</v>
      </c>
      <c r="I601" s="24">
        <v>208.26</v>
      </c>
      <c r="J601" s="24">
        <v>20</v>
      </c>
      <c r="K601" s="24">
        <v>0</v>
      </c>
      <c r="L601" s="32">
        <v>0</v>
      </c>
      <c r="M601" s="33">
        <v>0</v>
      </c>
      <c r="N601" s="27">
        <v>93.716999999999999</v>
      </c>
      <c r="O601" s="24">
        <v>351</v>
      </c>
      <c r="P601" s="24">
        <v>74.906367041198493</v>
      </c>
      <c r="Q601" s="28">
        <v>0.27</v>
      </c>
      <c r="R601" s="29">
        <v>0</v>
      </c>
      <c r="S601" s="29">
        <v>4.6900000000000004</v>
      </c>
      <c r="T601" s="29">
        <v>0</v>
      </c>
      <c r="U601" s="30">
        <v>331</v>
      </c>
    </row>
    <row r="602" spans="2:21" x14ac:dyDescent="0.25">
      <c r="B602" s="31" t="s">
        <v>25</v>
      </c>
      <c r="C602" s="31">
        <v>61</v>
      </c>
      <c r="D602" s="22" t="s">
        <v>955</v>
      </c>
      <c r="E602" s="22" t="s">
        <v>956</v>
      </c>
      <c r="F602" s="22"/>
      <c r="G602" s="23">
        <v>240</v>
      </c>
      <c r="H602" s="24">
        <v>108</v>
      </c>
      <c r="I602" s="24">
        <v>199.92000000000002</v>
      </c>
      <c r="J602" s="24">
        <v>58.5</v>
      </c>
      <c r="K602" s="24">
        <v>0</v>
      </c>
      <c r="L602" s="32">
        <v>0</v>
      </c>
      <c r="M602" s="33">
        <v>0</v>
      </c>
      <c r="N602" s="27">
        <v>89.964000000000013</v>
      </c>
      <c r="O602" s="24">
        <v>108</v>
      </c>
      <c r="P602" s="24">
        <v>70.228091236494592</v>
      </c>
      <c r="Q602" s="28">
        <v>0.83</v>
      </c>
      <c r="R602" s="29">
        <v>0</v>
      </c>
      <c r="S602" s="29">
        <v>1.54</v>
      </c>
      <c r="T602" s="29">
        <v>0</v>
      </c>
      <c r="U602" s="30">
        <v>49.5</v>
      </c>
    </row>
    <row r="603" spans="2:21" x14ac:dyDescent="0.25">
      <c r="B603" s="31" t="s">
        <v>25</v>
      </c>
      <c r="C603" s="31">
        <v>61</v>
      </c>
      <c r="D603" s="22" t="s">
        <v>957</v>
      </c>
      <c r="E603" s="22" t="s">
        <v>958</v>
      </c>
      <c r="F603" s="22"/>
      <c r="G603" s="23">
        <v>480</v>
      </c>
      <c r="H603" s="24">
        <v>216</v>
      </c>
      <c r="I603" s="24">
        <v>349.91999999999996</v>
      </c>
      <c r="J603" s="24">
        <v>28</v>
      </c>
      <c r="K603" s="24">
        <v>0</v>
      </c>
      <c r="L603" s="32">
        <v>0</v>
      </c>
      <c r="M603" s="33">
        <v>0</v>
      </c>
      <c r="N603" s="27">
        <v>157.46399999999997</v>
      </c>
      <c r="O603" s="24">
        <v>216</v>
      </c>
      <c r="P603" s="24">
        <v>38.408779149519894</v>
      </c>
      <c r="Q603" s="28">
        <v>0.73</v>
      </c>
      <c r="R603" s="29">
        <v>0</v>
      </c>
      <c r="S603" s="29">
        <v>5.62</v>
      </c>
      <c r="T603" s="29">
        <v>0</v>
      </c>
      <c r="U603" s="30">
        <v>188</v>
      </c>
    </row>
    <row r="604" spans="2:21" x14ac:dyDescent="0.25">
      <c r="B604" s="31" t="s">
        <v>25</v>
      </c>
      <c r="C604" s="31">
        <v>61</v>
      </c>
      <c r="D604" s="22" t="s">
        <v>959</v>
      </c>
      <c r="E604" s="22" t="s">
        <v>960</v>
      </c>
      <c r="F604" s="22" t="s">
        <v>33</v>
      </c>
      <c r="G604" s="23">
        <v>4060</v>
      </c>
      <c r="H604" s="24">
        <v>1827</v>
      </c>
      <c r="I604" s="24">
        <v>2634.9400000000005</v>
      </c>
      <c r="J604" s="24">
        <v>621</v>
      </c>
      <c r="K604" s="24">
        <v>85.26</v>
      </c>
      <c r="L604" s="32">
        <v>30</v>
      </c>
      <c r="M604" s="33">
        <v>38.367000000000004</v>
      </c>
      <c r="N604" s="27">
        <v>1185.7230000000002</v>
      </c>
      <c r="O604" s="24">
        <v>1827</v>
      </c>
      <c r="P604" s="24">
        <v>956.85670261941425</v>
      </c>
      <c r="Q604" s="28">
        <v>0.65</v>
      </c>
      <c r="R604" s="29">
        <v>1.28</v>
      </c>
      <c r="S604" s="29">
        <v>1.91</v>
      </c>
      <c r="T604" s="29">
        <v>31</v>
      </c>
      <c r="U604" s="30">
        <v>1175</v>
      </c>
    </row>
    <row r="605" spans="2:21" x14ac:dyDescent="0.25">
      <c r="B605" s="31" t="s">
        <v>25</v>
      </c>
      <c r="C605" s="31">
        <v>61</v>
      </c>
      <c r="D605" s="22" t="s">
        <v>961</v>
      </c>
      <c r="E605" s="22" t="s">
        <v>962</v>
      </c>
      <c r="F605" s="22"/>
      <c r="G605" s="23">
        <v>1180</v>
      </c>
      <c r="H605" s="24">
        <v>531</v>
      </c>
      <c r="I605" s="24">
        <v>0</v>
      </c>
      <c r="J605" s="24">
        <v>0</v>
      </c>
      <c r="K605" s="24">
        <v>0</v>
      </c>
      <c r="L605" s="32">
        <v>0</v>
      </c>
      <c r="M605" s="33">
        <v>0</v>
      </c>
      <c r="N605" s="27">
        <v>0</v>
      </c>
      <c r="O605" s="24">
        <v>531</v>
      </c>
      <c r="P605" s="24">
        <v>531</v>
      </c>
      <c r="Q605" s="28">
        <v>0</v>
      </c>
      <c r="R605" s="29">
        <v>0</v>
      </c>
      <c r="S605" s="29">
        <v>0</v>
      </c>
      <c r="T605" s="29">
        <v>0</v>
      </c>
      <c r="U605" s="30">
        <v>531</v>
      </c>
    </row>
    <row r="606" spans="2:21" x14ac:dyDescent="0.25">
      <c r="B606" s="31" t="s">
        <v>25</v>
      </c>
      <c r="C606" s="31">
        <v>61</v>
      </c>
      <c r="D606" s="22" t="s">
        <v>963</v>
      </c>
      <c r="E606" s="22" t="s">
        <v>964</v>
      </c>
      <c r="F606" s="22"/>
      <c r="G606" s="23">
        <v>1320</v>
      </c>
      <c r="H606" s="24">
        <v>594</v>
      </c>
      <c r="I606" s="24">
        <v>58.08</v>
      </c>
      <c r="J606" s="24">
        <v>17</v>
      </c>
      <c r="K606" s="24">
        <v>0</v>
      </c>
      <c r="L606" s="32">
        <v>0</v>
      </c>
      <c r="M606" s="33">
        <v>0</v>
      </c>
      <c r="N606" s="27">
        <v>26.135999999999999</v>
      </c>
      <c r="O606" s="24">
        <v>594</v>
      </c>
      <c r="P606" s="24">
        <v>594</v>
      </c>
      <c r="Q606" s="28">
        <v>0.04</v>
      </c>
      <c r="R606" s="29">
        <v>0</v>
      </c>
      <c r="S606" s="29">
        <v>1.54</v>
      </c>
      <c r="T606" s="29">
        <v>0</v>
      </c>
      <c r="U606" s="30">
        <v>577</v>
      </c>
    </row>
    <row r="607" spans="2:21" x14ac:dyDescent="0.25">
      <c r="B607" s="31" t="s">
        <v>25</v>
      </c>
      <c r="C607" s="31">
        <v>61</v>
      </c>
      <c r="D607" s="22" t="s">
        <v>965</v>
      </c>
      <c r="E607" s="22" t="s">
        <v>966</v>
      </c>
      <c r="F607" s="22"/>
      <c r="G607" s="23">
        <v>3860</v>
      </c>
      <c r="H607" s="24">
        <v>1737</v>
      </c>
      <c r="I607" s="24">
        <v>19.3</v>
      </c>
      <c r="J607" s="24">
        <v>17</v>
      </c>
      <c r="K607" s="24">
        <v>0</v>
      </c>
      <c r="L607" s="32">
        <v>0</v>
      </c>
      <c r="M607" s="33">
        <v>0</v>
      </c>
      <c r="N607" s="27">
        <v>8.6850000000000005</v>
      </c>
      <c r="O607" s="24">
        <v>1737</v>
      </c>
      <c r="P607" s="24">
        <v>1737</v>
      </c>
      <c r="Q607" s="28">
        <v>0.01</v>
      </c>
      <c r="R607" s="29">
        <v>0</v>
      </c>
      <c r="S607" s="29">
        <v>0.51</v>
      </c>
      <c r="T607" s="29">
        <v>0</v>
      </c>
      <c r="U607" s="30">
        <v>1720</v>
      </c>
    </row>
    <row r="608" spans="2:21" x14ac:dyDescent="0.25">
      <c r="B608" s="31" t="s">
        <v>25</v>
      </c>
      <c r="C608" s="31">
        <v>61</v>
      </c>
      <c r="D608" s="22" t="s">
        <v>967</v>
      </c>
      <c r="E608" s="22" t="s">
        <v>968</v>
      </c>
      <c r="F608" s="22"/>
      <c r="G608" s="23">
        <v>5080</v>
      </c>
      <c r="H608" s="24">
        <v>2286</v>
      </c>
      <c r="I608" s="24">
        <v>208.28</v>
      </c>
      <c r="J608" s="24">
        <v>60.5</v>
      </c>
      <c r="K608" s="24">
        <v>0</v>
      </c>
      <c r="L608" s="32">
        <v>0</v>
      </c>
      <c r="M608" s="33">
        <v>0</v>
      </c>
      <c r="N608" s="27">
        <v>93.725999999999999</v>
      </c>
      <c r="O608" s="24">
        <v>2286</v>
      </c>
      <c r="P608" s="24">
        <v>2286</v>
      </c>
      <c r="Q608" s="28">
        <v>0.04</v>
      </c>
      <c r="R608" s="29">
        <v>0</v>
      </c>
      <c r="S608" s="29">
        <v>1.55</v>
      </c>
      <c r="T608" s="29">
        <v>0</v>
      </c>
      <c r="U608" s="30">
        <v>2225.5</v>
      </c>
    </row>
    <row r="609" spans="2:21" x14ac:dyDescent="0.25">
      <c r="B609" s="31" t="s">
        <v>25</v>
      </c>
      <c r="C609" s="31">
        <v>61</v>
      </c>
      <c r="D609" s="22" t="s">
        <v>969</v>
      </c>
      <c r="E609" s="22" t="s">
        <v>970</v>
      </c>
      <c r="F609" s="22"/>
      <c r="G609" s="23">
        <v>5160</v>
      </c>
      <c r="H609" s="24">
        <v>2322</v>
      </c>
      <c r="I609" s="24">
        <v>0</v>
      </c>
      <c r="J609" s="24">
        <v>0</v>
      </c>
      <c r="K609" s="24">
        <v>0</v>
      </c>
      <c r="L609" s="32">
        <v>0</v>
      </c>
      <c r="M609" s="33">
        <v>0</v>
      </c>
      <c r="N609" s="27">
        <v>0</v>
      </c>
      <c r="O609" s="24">
        <v>2322</v>
      </c>
      <c r="P609" s="24">
        <v>2322</v>
      </c>
      <c r="Q609" s="28">
        <v>0</v>
      </c>
      <c r="R609" s="29">
        <v>0</v>
      </c>
      <c r="S609" s="29">
        <v>0</v>
      </c>
      <c r="T609" s="29">
        <v>0</v>
      </c>
      <c r="U609" s="30">
        <v>2322</v>
      </c>
    </row>
    <row r="610" spans="2:21" x14ac:dyDescent="0.25">
      <c r="B610" s="31" t="s">
        <v>25</v>
      </c>
      <c r="C610" s="31">
        <v>61</v>
      </c>
      <c r="D610" s="22" t="s">
        <v>971</v>
      </c>
      <c r="E610" s="22" t="s">
        <v>972</v>
      </c>
      <c r="F610" s="22"/>
      <c r="G610" s="23">
        <v>1000</v>
      </c>
      <c r="H610" s="24">
        <v>450</v>
      </c>
      <c r="I610" s="24">
        <v>0</v>
      </c>
      <c r="J610" s="24">
        <v>0</v>
      </c>
      <c r="K610" s="24">
        <v>0</v>
      </c>
      <c r="L610" s="32">
        <v>0</v>
      </c>
      <c r="M610" s="33">
        <v>0</v>
      </c>
      <c r="N610" s="27">
        <v>0</v>
      </c>
      <c r="O610" s="24">
        <v>450</v>
      </c>
      <c r="P610" s="24">
        <v>450</v>
      </c>
      <c r="Q610" s="28">
        <v>0</v>
      </c>
      <c r="R610" s="29">
        <v>0</v>
      </c>
      <c r="S610" s="29">
        <v>0</v>
      </c>
      <c r="T610" s="29">
        <v>0</v>
      </c>
      <c r="U610" s="30">
        <v>450</v>
      </c>
    </row>
    <row r="611" spans="2:21" x14ac:dyDescent="0.25">
      <c r="B611" s="31" t="s">
        <v>25</v>
      </c>
      <c r="C611" s="31">
        <v>61</v>
      </c>
      <c r="D611" s="22" t="s">
        <v>973</v>
      </c>
      <c r="E611" s="22" t="s">
        <v>974</v>
      </c>
      <c r="F611" s="22"/>
      <c r="G611" s="23">
        <v>1320</v>
      </c>
      <c r="H611" s="24">
        <v>594</v>
      </c>
      <c r="I611" s="24">
        <v>39.6</v>
      </c>
      <c r="J611" s="24">
        <v>9</v>
      </c>
      <c r="K611" s="24">
        <v>0</v>
      </c>
      <c r="L611" s="32">
        <v>0</v>
      </c>
      <c r="M611" s="33">
        <v>0</v>
      </c>
      <c r="N611" s="27">
        <v>17.82</v>
      </c>
      <c r="O611" s="24">
        <v>594</v>
      </c>
      <c r="P611" s="24">
        <v>594</v>
      </c>
      <c r="Q611" s="28">
        <v>0.03</v>
      </c>
      <c r="R611" s="29">
        <v>0</v>
      </c>
      <c r="S611" s="29">
        <v>1.98</v>
      </c>
      <c r="T611" s="29">
        <v>0</v>
      </c>
      <c r="U611" s="30">
        <v>585</v>
      </c>
    </row>
    <row r="612" spans="2:21" x14ac:dyDescent="0.25">
      <c r="B612" s="31" t="s">
        <v>25</v>
      </c>
      <c r="C612" s="31">
        <v>61</v>
      </c>
      <c r="D612" s="22" t="s">
        <v>975</v>
      </c>
      <c r="E612" s="22" t="s">
        <v>976</v>
      </c>
      <c r="F612" s="22"/>
      <c r="G612" s="23">
        <v>5460</v>
      </c>
      <c r="H612" s="24">
        <v>2457</v>
      </c>
      <c r="I612" s="24">
        <v>283.92</v>
      </c>
      <c r="J612" s="24">
        <v>52</v>
      </c>
      <c r="K612" s="24">
        <v>0</v>
      </c>
      <c r="L612" s="32">
        <v>0</v>
      </c>
      <c r="M612" s="33">
        <v>0</v>
      </c>
      <c r="N612" s="27">
        <v>127.76400000000001</v>
      </c>
      <c r="O612" s="24">
        <v>2457</v>
      </c>
      <c r="P612" s="24">
        <v>2457</v>
      </c>
      <c r="Q612" s="28">
        <v>0.05</v>
      </c>
      <c r="R612" s="29">
        <v>0</v>
      </c>
      <c r="S612" s="29">
        <v>2.46</v>
      </c>
      <c r="T612" s="29">
        <v>0</v>
      </c>
      <c r="U612" s="30">
        <v>2405</v>
      </c>
    </row>
    <row r="613" spans="2:21" x14ac:dyDescent="0.25">
      <c r="B613" s="31" t="s">
        <v>25</v>
      </c>
      <c r="C613" s="31">
        <v>61</v>
      </c>
      <c r="D613" s="22" t="s">
        <v>977</v>
      </c>
      <c r="E613" s="22" t="s">
        <v>978</v>
      </c>
      <c r="F613" s="22"/>
      <c r="G613" s="23">
        <v>4160</v>
      </c>
      <c r="H613" s="24">
        <v>1872</v>
      </c>
      <c r="I613" s="24">
        <v>0</v>
      </c>
      <c r="J613" s="24">
        <v>0</v>
      </c>
      <c r="K613" s="24">
        <v>0</v>
      </c>
      <c r="L613" s="32">
        <v>0</v>
      </c>
      <c r="M613" s="33">
        <v>0</v>
      </c>
      <c r="N613" s="27">
        <v>0</v>
      </c>
      <c r="O613" s="24">
        <v>1872</v>
      </c>
      <c r="P613" s="24">
        <v>1872</v>
      </c>
      <c r="Q613" s="28">
        <v>0</v>
      </c>
      <c r="R613" s="29">
        <v>0</v>
      </c>
      <c r="S613" s="29">
        <v>0</v>
      </c>
      <c r="T613" s="29">
        <v>0</v>
      </c>
      <c r="U613" s="30">
        <v>1872</v>
      </c>
    </row>
    <row r="614" spans="2:21" x14ac:dyDescent="0.25">
      <c r="B614" s="31" t="s">
        <v>25</v>
      </c>
      <c r="C614" s="31">
        <v>61</v>
      </c>
      <c r="D614" s="22" t="s">
        <v>979</v>
      </c>
      <c r="E614" s="22" t="s">
        <v>980</v>
      </c>
      <c r="F614" s="22"/>
      <c r="G614" s="23">
        <v>1320</v>
      </c>
      <c r="H614" s="24">
        <v>594</v>
      </c>
      <c r="I614" s="24">
        <v>0</v>
      </c>
      <c r="J614" s="24">
        <v>12</v>
      </c>
      <c r="K614" s="24">
        <v>0</v>
      </c>
      <c r="L614" s="32">
        <v>0</v>
      </c>
      <c r="M614" s="33">
        <v>0</v>
      </c>
      <c r="N614" s="27">
        <v>0</v>
      </c>
      <c r="O614" s="24">
        <v>594</v>
      </c>
      <c r="P614" s="24">
        <v>594</v>
      </c>
      <c r="Q614" s="28">
        <v>0</v>
      </c>
      <c r="R614" s="29">
        <v>0</v>
      </c>
      <c r="S614" s="29">
        <v>0</v>
      </c>
      <c r="T614" s="29">
        <v>0</v>
      </c>
      <c r="U614" s="30">
        <v>582</v>
      </c>
    </row>
    <row r="615" spans="2:21" x14ac:dyDescent="0.25">
      <c r="B615" s="31" t="s">
        <v>25</v>
      </c>
      <c r="C615" s="31">
        <v>61</v>
      </c>
      <c r="D615" s="22" t="s">
        <v>981</v>
      </c>
      <c r="E615" s="22" t="s">
        <v>982</v>
      </c>
      <c r="F615" s="22"/>
      <c r="G615" s="23">
        <v>40</v>
      </c>
      <c r="H615" s="24">
        <v>18</v>
      </c>
      <c r="I615" s="24">
        <v>0</v>
      </c>
      <c r="J615" s="24">
        <v>0</v>
      </c>
      <c r="K615" s="24">
        <v>0</v>
      </c>
      <c r="L615" s="32">
        <v>0</v>
      </c>
      <c r="M615" s="33">
        <v>0</v>
      </c>
      <c r="N615" s="27">
        <v>0</v>
      </c>
      <c r="O615" s="24">
        <v>18</v>
      </c>
      <c r="P615" s="24">
        <v>18</v>
      </c>
      <c r="Q615" s="28">
        <v>0</v>
      </c>
      <c r="R615" s="29">
        <v>0</v>
      </c>
      <c r="S615" s="29">
        <v>0</v>
      </c>
      <c r="T615" s="29">
        <v>0</v>
      </c>
      <c r="U615" s="30">
        <v>18</v>
      </c>
    </row>
    <row r="616" spans="2:21" x14ac:dyDescent="0.25">
      <c r="B616" s="31" t="s">
        <v>25</v>
      </c>
      <c r="C616" s="31">
        <v>61</v>
      </c>
      <c r="D616" s="22" t="s">
        <v>983</v>
      </c>
      <c r="E616" s="22" t="s">
        <v>984</v>
      </c>
      <c r="F616" s="22"/>
      <c r="G616" s="23">
        <v>5480</v>
      </c>
      <c r="H616" s="24">
        <v>2466</v>
      </c>
      <c r="I616" s="24">
        <v>0</v>
      </c>
      <c r="J616" s="24">
        <v>16.5</v>
      </c>
      <c r="K616" s="24">
        <v>0</v>
      </c>
      <c r="L616" s="32">
        <v>0</v>
      </c>
      <c r="M616" s="33">
        <v>0</v>
      </c>
      <c r="N616" s="27">
        <v>0</v>
      </c>
      <c r="O616" s="24">
        <v>2466</v>
      </c>
      <c r="P616" s="24">
        <v>2466</v>
      </c>
      <c r="Q616" s="28">
        <v>0</v>
      </c>
      <c r="R616" s="29">
        <v>0</v>
      </c>
      <c r="S616" s="29">
        <v>0</v>
      </c>
      <c r="T616" s="29">
        <v>0</v>
      </c>
      <c r="U616" s="30">
        <v>2449.5</v>
      </c>
    </row>
    <row r="617" spans="2:21" x14ac:dyDescent="0.25">
      <c r="B617" s="31" t="s">
        <v>25</v>
      </c>
      <c r="C617" s="31">
        <v>61</v>
      </c>
      <c r="D617" s="22" t="s">
        <v>985</v>
      </c>
      <c r="E617" s="22" t="s">
        <v>986</v>
      </c>
      <c r="F617" s="22"/>
      <c r="G617" s="23">
        <v>700</v>
      </c>
      <c r="H617" s="24">
        <v>315</v>
      </c>
      <c r="I617" s="24">
        <v>0</v>
      </c>
      <c r="J617" s="24">
        <v>0</v>
      </c>
      <c r="K617" s="24">
        <v>0</v>
      </c>
      <c r="L617" s="32">
        <v>0</v>
      </c>
      <c r="M617" s="33">
        <v>0</v>
      </c>
      <c r="N617" s="27">
        <v>0</v>
      </c>
      <c r="O617" s="24">
        <v>315</v>
      </c>
      <c r="P617" s="24">
        <v>315</v>
      </c>
      <c r="Q617" s="28">
        <v>0</v>
      </c>
      <c r="R617" s="29">
        <v>0</v>
      </c>
      <c r="S617" s="29">
        <v>0</v>
      </c>
      <c r="T617" s="29">
        <v>0</v>
      </c>
      <c r="U617" s="30">
        <v>315</v>
      </c>
    </row>
    <row r="618" spans="2:21" x14ac:dyDescent="0.25">
      <c r="B618" s="31" t="s">
        <v>25</v>
      </c>
      <c r="C618" s="31">
        <v>61</v>
      </c>
      <c r="D618" s="22" t="s">
        <v>987</v>
      </c>
      <c r="E618" s="22" t="s">
        <v>988</v>
      </c>
      <c r="F618" s="22"/>
      <c r="G618" s="23">
        <v>3320</v>
      </c>
      <c r="H618" s="24">
        <v>1494</v>
      </c>
      <c r="I618" s="24">
        <v>0</v>
      </c>
      <c r="J618" s="24">
        <v>0</v>
      </c>
      <c r="K618" s="24">
        <v>0</v>
      </c>
      <c r="L618" s="32">
        <v>0</v>
      </c>
      <c r="M618" s="33">
        <v>0</v>
      </c>
      <c r="N618" s="27">
        <v>0</v>
      </c>
      <c r="O618" s="24">
        <v>1494</v>
      </c>
      <c r="P618" s="24">
        <v>1494</v>
      </c>
      <c r="Q618" s="28">
        <v>0</v>
      </c>
      <c r="R618" s="29">
        <v>0</v>
      </c>
      <c r="S618" s="29">
        <v>0</v>
      </c>
      <c r="T618" s="29">
        <v>0</v>
      </c>
      <c r="U618" s="30">
        <v>1494</v>
      </c>
    </row>
    <row r="619" spans="2:21" x14ac:dyDescent="0.25">
      <c r="B619" s="31" t="s">
        <v>25</v>
      </c>
      <c r="C619" s="31">
        <v>61</v>
      </c>
      <c r="D619" s="22" t="s">
        <v>989</v>
      </c>
      <c r="E619" s="22" t="s">
        <v>990</v>
      </c>
      <c r="F619" s="22"/>
      <c r="G619" s="23">
        <v>1240</v>
      </c>
      <c r="H619" s="24">
        <v>558</v>
      </c>
      <c r="I619" s="24">
        <v>0</v>
      </c>
      <c r="J619" s="24">
        <v>12</v>
      </c>
      <c r="K619" s="24">
        <v>0</v>
      </c>
      <c r="L619" s="32">
        <v>0</v>
      </c>
      <c r="M619" s="33">
        <v>0</v>
      </c>
      <c r="N619" s="27">
        <v>0</v>
      </c>
      <c r="O619" s="24">
        <v>558</v>
      </c>
      <c r="P619" s="24">
        <v>558</v>
      </c>
      <c r="Q619" s="28">
        <v>0</v>
      </c>
      <c r="R619" s="29">
        <v>0</v>
      </c>
      <c r="S619" s="29">
        <v>0</v>
      </c>
      <c r="T619" s="29">
        <v>0</v>
      </c>
      <c r="U619" s="30">
        <v>546</v>
      </c>
    </row>
    <row r="620" spans="2:21" x14ac:dyDescent="0.25">
      <c r="B620" s="31" t="s">
        <v>25</v>
      </c>
      <c r="C620" s="31">
        <v>61</v>
      </c>
      <c r="D620" s="22" t="s">
        <v>991</v>
      </c>
      <c r="E620" s="22" t="s">
        <v>992</v>
      </c>
      <c r="F620" s="22"/>
      <c r="G620" s="23">
        <v>4460</v>
      </c>
      <c r="H620" s="24">
        <v>2007</v>
      </c>
      <c r="I620" s="24">
        <v>187.32</v>
      </c>
      <c r="J620" s="24">
        <v>50.5</v>
      </c>
      <c r="K620" s="24">
        <v>0</v>
      </c>
      <c r="L620" s="32">
        <v>0</v>
      </c>
      <c r="M620" s="33">
        <v>0</v>
      </c>
      <c r="N620" s="27">
        <v>84.293999999999997</v>
      </c>
      <c r="O620" s="24">
        <v>2007</v>
      </c>
      <c r="P620" s="24">
        <v>2007</v>
      </c>
      <c r="Q620" s="28">
        <v>0.04</v>
      </c>
      <c r="R620" s="29">
        <v>0</v>
      </c>
      <c r="S620" s="29">
        <v>1.67</v>
      </c>
      <c r="T620" s="29">
        <v>0</v>
      </c>
      <c r="U620" s="30">
        <v>1956.5</v>
      </c>
    </row>
    <row r="621" spans="2:21" x14ac:dyDescent="0.25">
      <c r="B621" s="31" t="s">
        <v>25</v>
      </c>
      <c r="C621" s="31">
        <v>61</v>
      </c>
      <c r="D621" s="22" t="s">
        <v>993</v>
      </c>
      <c r="E621" s="22" t="s">
        <v>994</v>
      </c>
      <c r="F621" s="22"/>
      <c r="G621" s="23">
        <v>1900</v>
      </c>
      <c r="H621" s="24">
        <v>855</v>
      </c>
      <c r="I621" s="24">
        <v>0</v>
      </c>
      <c r="J621" s="24">
        <v>0</v>
      </c>
      <c r="K621" s="24">
        <v>0</v>
      </c>
      <c r="L621" s="32">
        <v>0</v>
      </c>
      <c r="M621" s="33">
        <v>0</v>
      </c>
      <c r="N621" s="27">
        <v>0</v>
      </c>
      <c r="O621" s="24">
        <v>855</v>
      </c>
      <c r="P621" s="24">
        <v>855</v>
      </c>
      <c r="Q621" s="28">
        <v>0</v>
      </c>
      <c r="R621" s="29">
        <v>0</v>
      </c>
      <c r="S621" s="29">
        <v>0</v>
      </c>
      <c r="T621" s="29">
        <v>0</v>
      </c>
      <c r="U621" s="30">
        <v>855</v>
      </c>
    </row>
    <row r="622" spans="2:21" x14ac:dyDescent="0.25">
      <c r="B622" s="31" t="s">
        <v>25</v>
      </c>
      <c r="C622" s="31">
        <v>61</v>
      </c>
      <c r="D622" s="22" t="s">
        <v>995</v>
      </c>
      <c r="E622" s="22" t="s">
        <v>996</v>
      </c>
      <c r="F622" s="22" t="s">
        <v>33</v>
      </c>
      <c r="G622" s="23">
        <v>1038</v>
      </c>
      <c r="H622" s="24">
        <v>1038</v>
      </c>
      <c r="I622" s="24">
        <v>285.45000000000022</v>
      </c>
      <c r="J622" s="24">
        <v>116</v>
      </c>
      <c r="K622" s="24">
        <v>49.823999999999998</v>
      </c>
      <c r="L622" s="32">
        <v>30</v>
      </c>
      <c r="M622" s="33">
        <v>49.823999999999998</v>
      </c>
      <c r="N622" s="27">
        <v>285.45000000000022</v>
      </c>
      <c r="O622" s="24">
        <v>1038</v>
      </c>
      <c r="P622" s="24">
        <v>421.81818181818153</v>
      </c>
      <c r="Q622" s="28">
        <v>0.28000000000000003</v>
      </c>
      <c r="R622" s="29">
        <v>1.66</v>
      </c>
      <c r="S622" s="29">
        <v>2.46</v>
      </c>
      <c r="T622" s="29">
        <v>30</v>
      </c>
      <c r="U622" s="30">
        <v>892</v>
      </c>
    </row>
    <row r="623" spans="2:21" x14ac:dyDescent="0.25">
      <c r="B623" s="31" t="s">
        <v>25</v>
      </c>
      <c r="C623" s="31">
        <v>61</v>
      </c>
      <c r="D623" s="22" t="s">
        <v>997</v>
      </c>
      <c r="E623" s="22" t="s">
        <v>998</v>
      </c>
      <c r="F623" s="22"/>
      <c r="G623" s="23">
        <v>954</v>
      </c>
      <c r="H623" s="24">
        <v>954</v>
      </c>
      <c r="I623" s="24">
        <v>56.285999999999973</v>
      </c>
      <c r="J623" s="24">
        <v>3</v>
      </c>
      <c r="K623" s="24">
        <v>0</v>
      </c>
      <c r="L623" s="32">
        <v>0</v>
      </c>
      <c r="M623" s="33">
        <v>0</v>
      </c>
      <c r="N623" s="27">
        <v>56.285999999999973</v>
      </c>
      <c r="O623" s="24">
        <v>954</v>
      </c>
      <c r="P623" s="24">
        <v>954</v>
      </c>
      <c r="Q623" s="28">
        <v>0.06</v>
      </c>
      <c r="R623" s="29">
        <v>0</v>
      </c>
      <c r="S623" s="29">
        <v>18.760000000000002</v>
      </c>
      <c r="T623" s="29">
        <v>0</v>
      </c>
      <c r="U623" s="30">
        <v>951</v>
      </c>
    </row>
    <row r="624" spans="2:21" x14ac:dyDescent="0.25">
      <c r="B624" s="31" t="s">
        <v>25</v>
      </c>
      <c r="C624" s="31">
        <v>61</v>
      </c>
      <c r="D624" s="22" t="s">
        <v>999</v>
      </c>
      <c r="E624" s="22" t="s">
        <v>1000</v>
      </c>
      <c r="F624" s="22"/>
      <c r="G624" s="23">
        <v>886</v>
      </c>
      <c r="H624" s="24">
        <v>886</v>
      </c>
      <c r="I624" s="24">
        <v>0</v>
      </c>
      <c r="J624" s="24">
        <v>30.5</v>
      </c>
      <c r="K624" s="24">
        <v>0</v>
      </c>
      <c r="L624" s="32">
        <v>0</v>
      </c>
      <c r="M624" s="33">
        <v>0</v>
      </c>
      <c r="N624" s="27">
        <v>0</v>
      </c>
      <c r="O624" s="24">
        <v>886</v>
      </c>
      <c r="P624" s="24">
        <v>886</v>
      </c>
      <c r="Q624" s="28">
        <v>0</v>
      </c>
      <c r="R624" s="29">
        <v>0</v>
      </c>
      <c r="S624" s="29">
        <v>0</v>
      </c>
      <c r="T624" s="29">
        <v>0</v>
      </c>
      <c r="U624" s="30">
        <v>855.5</v>
      </c>
    </row>
    <row r="625" spans="2:21" x14ac:dyDescent="0.25">
      <c r="B625" s="31" t="s">
        <v>25</v>
      </c>
      <c r="C625" s="22">
        <v>62</v>
      </c>
      <c r="D625" s="22" t="s">
        <v>569</v>
      </c>
      <c r="E625" s="22" t="s">
        <v>1008</v>
      </c>
      <c r="F625" s="22"/>
      <c r="G625" s="23">
        <v>88934.8</v>
      </c>
      <c r="H625" s="24">
        <v>3081.5000000000018</v>
      </c>
      <c r="I625" s="24">
        <v>0</v>
      </c>
      <c r="J625" s="24">
        <v>0</v>
      </c>
      <c r="K625" s="24">
        <v>0</v>
      </c>
      <c r="L625" s="32">
        <v>0</v>
      </c>
      <c r="M625" s="33">
        <v>0</v>
      </c>
      <c r="N625" s="27">
        <v>0</v>
      </c>
      <c r="O625" s="24">
        <v>3081.4999999999982</v>
      </c>
      <c r="P625" s="24">
        <v>3081.4999999999982</v>
      </c>
      <c r="Q625" s="28">
        <v>0</v>
      </c>
      <c r="R625" s="29">
        <v>0</v>
      </c>
      <c r="S625" s="29">
        <v>0</v>
      </c>
      <c r="T625" s="29">
        <v>0</v>
      </c>
      <c r="U625" s="30">
        <v>3081.5000000000018</v>
      </c>
    </row>
    <row r="626" spans="2:21" x14ac:dyDescent="0.25">
      <c r="B626" s="31" t="s">
        <v>25</v>
      </c>
      <c r="C626" s="31">
        <v>62</v>
      </c>
      <c r="D626" s="22" t="s">
        <v>1009</v>
      </c>
      <c r="E626" s="22" t="s">
        <v>1010</v>
      </c>
      <c r="F626" s="22" t="s">
        <v>33</v>
      </c>
      <c r="G626" s="23">
        <v>3853.3</v>
      </c>
      <c r="H626" s="24">
        <v>1255.8</v>
      </c>
      <c r="I626" s="24">
        <v>2570.1509999999998</v>
      </c>
      <c r="J626" s="24">
        <v>360.5</v>
      </c>
      <c r="K626" s="24">
        <v>493.22199999999998</v>
      </c>
      <c r="L626" s="32">
        <v>148</v>
      </c>
      <c r="M626" s="33">
        <v>160.74226963901071</v>
      </c>
      <c r="N626" s="27">
        <v>837.61856740975247</v>
      </c>
      <c r="O626" s="24">
        <v>1255.8</v>
      </c>
      <c r="P626" s="24">
        <v>540.47978114904538</v>
      </c>
      <c r="Q626" s="28">
        <v>0.67</v>
      </c>
      <c r="R626" s="29">
        <v>1.0900000000000001</v>
      </c>
      <c r="S626" s="29">
        <v>2.3199999999999998</v>
      </c>
      <c r="T626" s="29">
        <v>148</v>
      </c>
      <c r="U626" s="30">
        <v>747.3</v>
      </c>
    </row>
    <row r="627" spans="2:21" x14ac:dyDescent="0.25">
      <c r="B627" s="31" t="s">
        <v>25</v>
      </c>
      <c r="C627" s="31">
        <v>62</v>
      </c>
      <c r="D627" s="22" t="s">
        <v>1011</v>
      </c>
      <c r="E627" s="22" t="s">
        <v>1012</v>
      </c>
      <c r="F627" s="22"/>
      <c r="G627" s="23">
        <v>9994.9</v>
      </c>
      <c r="H627" s="24">
        <v>3243</v>
      </c>
      <c r="I627" s="24">
        <v>0</v>
      </c>
      <c r="J627" s="24">
        <v>0</v>
      </c>
      <c r="K627" s="24">
        <v>0</v>
      </c>
      <c r="L627" s="32">
        <v>0</v>
      </c>
      <c r="M627" s="33">
        <v>0</v>
      </c>
      <c r="N627" s="27">
        <v>0</v>
      </c>
      <c r="O627" s="24">
        <v>3243</v>
      </c>
      <c r="P627" s="24">
        <v>3243</v>
      </c>
      <c r="Q627" s="28">
        <v>0</v>
      </c>
      <c r="R627" s="29">
        <v>0</v>
      </c>
      <c r="S627" s="29">
        <v>0</v>
      </c>
      <c r="T627" s="29">
        <v>0</v>
      </c>
      <c r="U627" s="30">
        <v>3243</v>
      </c>
    </row>
    <row r="628" spans="2:21" x14ac:dyDescent="0.25">
      <c r="B628" s="31" t="s">
        <v>25</v>
      </c>
      <c r="C628" s="31">
        <v>62</v>
      </c>
      <c r="D628" s="22" t="s">
        <v>1013</v>
      </c>
      <c r="E628" s="22" t="s">
        <v>1014</v>
      </c>
      <c r="F628" s="22" t="s">
        <v>33</v>
      </c>
      <c r="G628" s="23">
        <v>3185.8</v>
      </c>
      <c r="H628" s="24">
        <v>975.9</v>
      </c>
      <c r="I628" s="24">
        <v>1468.654</v>
      </c>
      <c r="J628" s="24">
        <v>253.5</v>
      </c>
      <c r="K628" s="24">
        <v>200.70599999999999</v>
      </c>
      <c r="L628" s="32">
        <v>50</v>
      </c>
      <c r="M628" s="33">
        <v>61.481883796848507</v>
      </c>
      <c r="N628" s="27">
        <v>449.88996126561614</v>
      </c>
      <c r="O628" s="24">
        <v>975.9</v>
      </c>
      <c r="P628" s="24">
        <v>549.89146524640933</v>
      </c>
      <c r="Q628" s="28">
        <v>0.46</v>
      </c>
      <c r="R628" s="29">
        <v>1.23</v>
      </c>
      <c r="S628" s="29">
        <v>1.77</v>
      </c>
      <c r="T628" s="29">
        <v>50</v>
      </c>
      <c r="U628" s="30">
        <v>672.4</v>
      </c>
    </row>
    <row r="629" spans="2:21" x14ac:dyDescent="0.25">
      <c r="B629" s="31" t="s">
        <v>25</v>
      </c>
      <c r="C629" s="31">
        <v>62</v>
      </c>
      <c r="D629" s="22" t="s">
        <v>1015</v>
      </c>
      <c r="E629" s="22" t="s">
        <v>1016</v>
      </c>
      <c r="F629" s="22"/>
      <c r="G629" s="23">
        <v>3081.8</v>
      </c>
      <c r="H629" s="24">
        <v>875.4</v>
      </c>
      <c r="I629" s="24">
        <v>1488.509</v>
      </c>
      <c r="J629" s="24">
        <v>218.5</v>
      </c>
      <c r="K629" s="24">
        <v>0</v>
      </c>
      <c r="L629" s="32">
        <v>0</v>
      </c>
      <c r="M629" s="33">
        <v>0</v>
      </c>
      <c r="N629" s="27">
        <v>422.8180863780907</v>
      </c>
      <c r="O629" s="24">
        <v>875.4</v>
      </c>
      <c r="P629" s="24">
        <v>452.38107394715121</v>
      </c>
      <c r="Q629" s="28">
        <v>0.48</v>
      </c>
      <c r="R629" s="29">
        <v>0</v>
      </c>
      <c r="S629" s="29">
        <v>1.94</v>
      </c>
      <c r="T629" s="29">
        <v>0</v>
      </c>
      <c r="U629" s="30">
        <v>656.9</v>
      </c>
    </row>
    <row r="630" spans="2:21" x14ac:dyDescent="0.25">
      <c r="B630" s="31" t="s">
        <v>25</v>
      </c>
      <c r="C630" s="31">
        <v>62</v>
      </c>
      <c r="D630" s="22" t="s">
        <v>1017</v>
      </c>
      <c r="E630" s="22" t="s">
        <v>1018</v>
      </c>
      <c r="F630" s="22" t="s">
        <v>33</v>
      </c>
      <c r="G630" s="23">
        <v>4366.7</v>
      </c>
      <c r="H630" s="24">
        <v>1197.0999999999999</v>
      </c>
      <c r="I630" s="24">
        <v>1091.675</v>
      </c>
      <c r="J630" s="24">
        <v>302.25</v>
      </c>
      <c r="K630" s="24">
        <v>222.702</v>
      </c>
      <c r="L630" s="32">
        <v>186</v>
      </c>
      <c r="M630" s="33">
        <v>61.052182242883639</v>
      </c>
      <c r="N630" s="27">
        <v>299.27499999999998</v>
      </c>
      <c r="O630" s="24">
        <v>1197.0999999999999</v>
      </c>
      <c r="P630" s="24">
        <v>1197.0999999999999</v>
      </c>
      <c r="Q630" s="28">
        <v>0.25</v>
      </c>
      <c r="R630" s="29">
        <v>0.33</v>
      </c>
      <c r="S630" s="29">
        <v>0.99</v>
      </c>
      <c r="T630" s="29">
        <v>187.75</v>
      </c>
      <c r="U630" s="30">
        <v>707.09999999999991</v>
      </c>
    </row>
    <row r="631" spans="2:21" x14ac:dyDescent="0.25">
      <c r="B631" s="31" t="s">
        <v>25</v>
      </c>
      <c r="C631" s="31">
        <v>62</v>
      </c>
      <c r="D631" s="22" t="s">
        <v>1019</v>
      </c>
      <c r="E631" s="22" t="s">
        <v>1020</v>
      </c>
      <c r="F631" s="22" t="s">
        <v>33</v>
      </c>
      <c r="G631" s="23">
        <v>11424.9</v>
      </c>
      <c r="H631" s="24">
        <v>3720.3</v>
      </c>
      <c r="I631" s="24">
        <v>6409.3689999999997</v>
      </c>
      <c r="J631" s="24">
        <v>893</v>
      </c>
      <c r="K631" s="24">
        <v>708.34400000000005</v>
      </c>
      <c r="L631" s="32">
        <v>261</v>
      </c>
      <c r="M631" s="33">
        <v>230.6586651261718</v>
      </c>
      <c r="N631" s="27">
        <v>2087.0883325630862</v>
      </c>
      <c r="O631" s="24">
        <v>3720.3</v>
      </c>
      <c r="P631" s="24">
        <v>1591.8003316707152</v>
      </c>
      <c r="Q631" s="28">
        <v>0.56000000000000005</v>
      </c>
      <c r="R631" s="29">
        <v>0.88</v>
      </c>
      <c r="S631" s="29">
        <v>2.34</v>
      </c>
      <c r="T631" s="29">
        <v>261.5</v>
      </c>
      <c r="U631" s="30">
        <v>2565.8000000000002</v>
      </c>
    </row>
    <row r="632" spans="2:21" x14ac:dyDescent="0.25">
      <c r="B632" s="31" t="s">
        <v>25</v>
      </c>
      <c r="C632" s="31">
        <v>62</v>
      </c>
      <c r="D632" s="22" t="s">
        <v>1021</v>
      </c>
      <c r="E632" s="22" t="s">
        <v>1022</v>
      </c>
      <c r="F632" s="22"/>
      <c r="G632" s="23">
        <v>4172.3999999999996</v>
      </c>
      <c r="H632" s="24">
        <v>1367.6</v>
      </c>
      <c r="I632" s="24">
        <v>0</v>
      </c>
      <c r="J632" s="24">
        <v>0</v>
      </c>
      <c r="K632" s="24">
        <v>0</v>
      </c>
      <c r="L632" s="32">
        <v>0</v>
      </c>
      <c r="M632" s="33">
        <v>0</v>
      </c>
      <c r="N632" s="27">
        <v>0</v>
      </c>
      <c r="O632" s="24">
        <v>1367.6</v>
      </c>
      <c r="P632" s="24">
        <v>1367.6</v>
      </c>
      <c r="Q632" s="28">
        <v>0</v>
      </c>
      <c r="R632" s="29">
        <v>0</v>
      </c>
      <c r="S632" s="29">
        <v>0</v>
      </c>
      <c r="T632" s="29">
        <v>0</v>
      </c>
      <c r="U632" s="30">
        <v>1367.6</v>
      </c>
    </row>
    <row r="633" spans="2:21" x14ac:dyDescent="0.25">
      <c r="B633" s="31" t="s">
        <v>25</v>
      </c>
      <c r="C633" s="31">
        <v>62</v>
      </c>
      <c r="D633" s="22" t="s">
        <v>1023</v>
      </c>
      <c r="E633" s="22" t="s">
        <v>1024</v>
      </c>
      <c r="F633" s="22"/>
      <c r="G633" s="23">
        <v>5441.7</v>
      </c>
      <c r="H633" s="24">
        <v>1710.2</v>
      </c>
      <c r="I633" s="24">
        <v>43.533999999999999</v>
      </c>
      <c r="J633" s="24">
        <v>30</v>
      </c>
      <c r="K633" s="24">
        <v>0</v>
      </c>
      <c r="L633" s="32">
        <v>0</v>
      </c>
      <c r="M633" s="33">
        <v>0</v>
      </c>
      <c r="N633" s="27">
        <v>13.681725710715401</v>
      </c>
      <c r="O633" s="24">
        <v>1710.2</v>
      </c>
      <c r="P633" s="24">
        <v>1710.2</v>
      </c>
      <c r="Q633" s="28">
        <v>0.01</v>
      </c>
      <c r="R633" s="29">
        <v>0</v>
      </c>
      <c r="S633" s="29">
        <v>0.46</v>
      </c>
      <c r="T633" s="29">
        <v>0</v>
      </c>
      <c r="U633" s="30">
        <v>1680.2</v>
      </c>
    </row>
    <row r="634" spans="2:21" x14ac:dyDescent="0.25">
      <c r="B634" s="31" t="s">
        <v>25</v>
      </c>
      <c r="C634" s="31">
        <v>62</v>
      </c>
      <c r="D634" s="22" t="s">
        <v>1025</v>
      </c>
      <c r="E634" s="22" t="s">
        <v>1026</v>
      </c>
      <c r="F634" s="22"/>
      <c r="G634" s="23">
        <v>9978.9</v>
      </c>
      <c r="H634" s="24">
        <v>3260.7</v>
      </c>
      <c r="I634" s="24">
        <v>0</v>
      </c>
      <c r="J634" s="24">
        <v>0</v>
      </c>
      <c r="K634" s="24">
        <v>0</v>
      </c>
      <c r="L634" s="32">
        <v>0</v>
      </c>
      <c r="M634" s="33">
        <v>0</v>
      </c>
      <c r="N634" s="27">
        <v>0</v>
      </c>
      <c r="O634" s="24">
        <v>3260.7</v>
      </c>
      <c r="P634" s="24">
        <v>3260.7</v>
      </c>
      <c r="Q634" s="28">
        <v>0</v>
      </c>
      <c r="R634" s="29">
        <v>0</v>
      </c>
      <c r="S634" s="29">
        <v>0</v>
      </c>
      <c r="T634" s="29">
        <v>0</v>
      </c>
      <c r="U634" s="30">
        <v>3260.7</v>
      </c>
    </row>
    <row r="635" spans="2:21" x14ac:dyDescent="0.25">
      <c r="B635" s="31" t="s">
        <v>25</v>
      </c>
      <c r="C635" s="31">
        <v>62</v>
      </c>
      <c r="D635" s="22" t="s">
        <v>1027</v>
      </c>
      <c r="E635" s="22" t="s">
        <v>1028</v>
      </c>
      <c r="F635" s="22"/>
      <c r="G635" s="23">
        <v>14618.1</v>
      </c>
      <c r="H635" s="24">
        <v>4602.7</v>
      </c>
      <c r="I635" s="24">
        <v>745.52300000000002</v>
      </c>
      <c r="J635" s="24">
        <v>113</v>
      </c>
      <c r="K635" s="24">
        <v>0</v>
      </c>
      <c r="L635" s="32">
        <v>0</v>
      </c>
      <c r="M635" s="33">
        <v>0</v>
      </c>
      <c r="N635" s="27">
        <v>234.73766851369194</v>
      </c>
      <c r="O635" s="24">
        <v>4602.7</v>
      </c>
      <c r="P635" s="24">
        <v>4602.7</v>
      </c>
      <c r="Q635" s="28">
        <v>0.05</v>
      </c>
      <c r="R635" s="29">
        <v>0</v>
      </c>
      <c r="S635" s="29">
        <v>2.08</v>
      </c>
      <c r="T635" s="29">
        <v>0</v>
      </c>
      <c r="U635" s="30">
        <v>4489.7</v>
      </c>
    </row>
    <row r="636" spans="2:21" x14ac:dyDescent="0.25">
      <c r="B636" s="31" t="s">
        <v>25</v>
      </c>
      <c r="C636" s="31">
        <v>62</v>
      </c>
      <c r="D636" s="22" t="s">
        <v>1029</v>
      </c>
      <c r="E636" s="22" t="s">
        <v>1030</v>
      </c>
      <c r="F636" s="22"/>
      <c r="G636" s="23">
        <v>17927.900000000001</v>
      </c>
      <c r="H636" s="24">
        <v>5764.5</v>
      </c>
      <c r="I636" s="24">
        <v>0</v>
      </c>
      <c r="J636" s="24">
        <v>0</v>
      </c>
      <c r="K636" s="24">
        <v>0</v>
      </c>
      <c r="L636" s="32">
        <v>0</v>
      </c>
      <c r="M636" s="33">
        <v>0</v>
      </c>
      <c r="N636" s="27">
        <v>0</v>
      </c>
      <c r="O636" s="24">
        <v>5764.5</v>
      </c>
      <c r="P636" s="24">
        <v>5764.5</v>
      </c>
      <c r="Q636" s="28">
        <v>0</v>
      </c>
      <c r="R636" s="29">
        <v>0</v>
      </c>
      <c r="S636" s="29">
        <v>0</v>
      </c>
      <c r="T636" s="29">
        <v>0</v>
      </c>
      <c r="U636" s="30">
        <v>5764.5</v>
      </c>
    </row>
    <row r="637" spans="2:21" x14ac:dyDescent="0.25">
      <c r="B637" s="31" t="s">
        <v>25</v>
      </c>
      <c r="C637" s="31">
        <v>62</v>
      </c>
      <c r="D637" s="22" t="s">
        <v>1031</v>
      </c>
      <c r="E637" s="22" t="s">
        <v>1032</v>
      </c>
      <c r="F637" s="22"/>
      <c r="G637" s="23">
        <v>3007.1</v>
      </c>
      <c r="H637" s="24">
        <v>959.7</v>
      </c>
      <c r="I637" s="24">
        <v>0</v>
      </c>
      <c r="J637" s="24">
        <v>0</v>
      </c>
      <c r="K637" s="24">
        <v>0</v>
      </c>
      <c r="L637" s="32">
        <v>0</v>
      </c>
      <c r="M637" s="33">
        <v>0</v>
      </c>
      <c r="N637" s="27">
        <v>0</v>
      </c>
      <c r="O637" s="24">
        <v>959.7</v>
      </c>
      <c r="P637" s="24">
        <v>959.7</v>
      </c>
      <c r="Q637" s="28">
        <v>0</v>
      </c>
      <c r="R637" s="29">
        <v>0</v>
      </c>
      <c r="S637" s="29">
        <v>0</v>
      </c>
      <c r="T637" s="29">
        <v>0</v>
      </c>
      <c r="U637" s="30">
        <v>959.7</v>
      </c>
    </row>
    <row r="638" spans="2:21" x14ac:dyDescent="0.25">
      <c r="B638" s="31" t="s">
        <v>25</v>
      </c>
      <c r="C638" s="31">
        <v>62</v>
      </c>
      <c r="D638" s="22" t="s">
        <v>1033</v>
      </c>
      <c r="E638" s="22" t="s">
        <v>1034</v>
      </c>
      <c r="F638" s="22"/>
      <c r="G638" s="23">
        <v>5665.5</v>
      </c>
      <c r="H638" s="24">
        <v>1765.3</v>
      </c>
      <c r="I638" s="24">
        <v>75.119</v>
      </c>
      <c r="J638" s="24">
        <v>10</v>
      </c>
      <c r="K638" s="24">
        <v>0</v>
      </c>
      <c r="L638" s="32">
        <v>0</v>
      </c>
      <c r="M638" s="33">
        <v>0</v>
      </c>
      <c r="N638" s="27">
        <v>23.406154920130614</v>
      </c>
      <c r="O638" s="24">
        <v>1765.3</v>
      </c>
      <c r="P638" s="24">
        <v>1765.3</v>
      </c>
      <c r="Q638" s="28">
        <v>0.01</v>
      </c>
      <c r="R638" s="29">
        <v>0</v>
      </c>
      <c r="S638" s="29">
        <v>2.34</v>
      </c>
      <c r="T638" s="29">
        <v>0</v>
      </c>
      <c r="U638" s="30">
        <v>1755.3</v>
      </c>
    </row>
    <row r="639" spans="2:21" x14ac:dyDescent="0.25">
      <c r="B639" s="31" t="s">
        <v>25</v>
      </c>
      <c r="C639" s="31">
        <v>62</v>
      </c>
      <c r="D639" s="22" t="s">
        <v>1035</v>
      </c>
      <c r="E639" s="22" t="s">
        <v>1036</v>
      </c>
      <c r="F639" s="22"/>
      <c r="G639" s="23">
        <v>18062.8</v>
      </c>
      <c r="H639" s="24">
        <v>5576.4</v>
      </c>
      <c r="I639" s="24">
        <v>1174.0819999999999</v>
      </c>
      <c r="J639" s="24">
        <v>87.5</v>
      </c>
      <c r="K639" s="24">
        <v>0</v>
      </c>
      <c r="L639" s="32">
        <v>0</v>
      </c>
      <c r="M639" s="33">
        <v>0</v>
      </c>
      <c r="N639" s="27">
        <v>362.46600000000001</v>
      </c>
      <c r="O639" s="24">
        <v>5576.4</v>
      </c>
      <c r="P639" s="24">
        <v>5576.4</v>
      </c>
      <c r="Q639" s="28">
        <v>7.0000000000000007E-2</v>
      </c>
      <c r="R639" s="29">
        <v>0</v>
      </c>
      <c r="S639" s="29">
        <v>4.1399999999999997</v>
      </c>
      <c r="T639" s="29">
        <v>0</v>
      </c>
      <c r="U639" s="30">
        <v>5488.9</v>
      </c>
    </row>
    <row r="640" spans="2:21" x14ac:dyDescent="0.25">
      <c r="B640" s="31" t="s">
        <v>25</v>
      </c>
      <c r="C640" s="31">
        <v>62</v>
      </c>
      <c r="D640" s="22" t="s">
        <v>1037</v>
      </c>
      <c r="E640" s="22" t="s">
        <v>1038</v>
      </c>
      <c r="F640" s="22"/>
      <c r="G640" s="23">
        <v>15127.1</v>
      </c>
      <c r="H640" s="24">
        <v>5062.3999999999996</v>
      </c>
      <c r="I640" s="24">
        <v>166.398</v>
      </c>
      <c r="J640" s="24">
        <v>20.5</v>
      </c>
      <c r="K640" s="24">
        <v>0</v>
      </c>
      <c r="L640" s="32">
        <v>0</v>
      </c>
      <c r="M640" s="33">
        <v>0</v>
      </c>
      <c r="N640" s="27">
        <v>55.686366534233251</v>
      </c>
      <c r="O640" s="24">
        <v>5062.3999999999996</v>
      </c>
      <c r="P640" s="24">
        <v>5062.3999999999996</v>
      </c>
      <c r="Q640" s="28">
        <v>0.01</v>
      </c>
      <c r="R640" s="29">
        <v>0</v>
      </c>
      <c r="S640" s="29">
        <v>2.72</v>
      </c>
      <c r="T640" s="29">
        <v>0</v>
      </c>
      <c r="U640" s="30">
        <v>5041.8999999999996</v>
      </c>
    </row>
    <row r="641" spans="2:21" x14ac:dyDescent="0.25">
      <c r="B641" s="31" t="s">
        <v>25</v>
      </c>
      <c r="C641" s="31">
        <v>62</v>
      </c>
      <c r="D641" s="22" t="s">
        <v>1039</v>
      </c>
      <c r="E641" s="22" t="s">
        <v>1040</v>
      </c>
      <c r="F641" s="22"/>
      <c r="G641" s="23">
        <v>7456.8</v>
      </c>
      <c r="H641" s="24">
        <v>2415.5</v>
      </c>
      <c r="I641" s="24">
        <v>0</v>
      </c>
      <c r="J641" s="24">
        <v>27.5</v>
      </c>
      <c r="K641" s="24">
        <v>0</v>
      </c>
      <c r="L641" s="32">
        <v>0</v>
      </c>
      <c r="M641" s="33">
        <v>0</v>
      </c>
      <c r="N641" s="27">
        <v>0</v>
      </c>
      <c r="O641" s="24">
        <v>2415.5</v>
      </c>
      <c r="P641" s="24">
        <v>2415.5</v>
      </c>
      <c r="Q641" s="28">
        <v>0</v>
      </c>
      <c r="R641" s="29">
        <v>0</v>
      </c>
      <c r="S641" s="29">
        <v>0</v>
      </c>
      <c r="T641" s="29">
        <v>0</v>
      </c>
      <c r="U641" s="30">
        <v>2388</v>
      </c>
    </row>
    <row r="642" spans="2:21" x14ac:dyDescent="0.25">
      <c r="B642" s="31" t="s">
        <v>25</v>
      </c>
      <c r="C642" s="31">
        <v>62</v>
      </c>
      <c r="D642" s="22" t="s">
        <v>1041</v>
      </c>
      <c r="E642" s="22" t="s">
        <v>1042</v>
      </c>
      <c r="F642" s="22"/>
      <c r="G642" s="23">
        <v>98.8</v>
      </c>
      <c r="H642" s="24">
        <v>34.6</v>
      </c>
      <c r="I642" s="24">
        <v>0</v>
      </c>
      <c r="J642" s="24">
        <v>0</v>
      </c>
      <c r="K642" s="24">
        <v>0</v>
      </c>
      <c r="L642" s="32">
        <v>0</v>
      </c>
      <c r="M642" s="33">
        <v>0</v>
      </c>
      <c r="N642" s="27">
        <v>0</v>
      </c>
      <c r="O642" s="24">
        <v>34.6</v>
      </c>
      <c r="P642" s="24">
        <v>34.6</v>
      </c>
      <c r="Q642" s="28">
        <v>0</v>
      </c>
      <c r="R642" s="29">
        <v>0</v>
      </c>
      <c r="S642" s="29">
        <v>0</v>
      </c>
      <c r="T642" s="29">
        <v>0</v>
      </c>
      <c r="U642" s="30">
        <v>34.6</v>
      </c>
    </row>
    <row r="643" spans="2:21" x14ac:dyDescent="0.25">
      <c r="B643" s="31" t="s">
        <v>25</v>
      </c>
      <c r="C643" s="31">
        <v>62</v>
      </c>
      <c r="D643" s="22" t="s">
        <v>1043</v>
      </c>
      <c r="E643" s="22" t="s">
        <v>1044</v>
      </c>
      <c r="F643" s="22" t="s">
        <v>33</v>
      </c>
      <c r="G643" s="23">
        <v>24053</v>
      </c>
      <c r="H643" s="24">
        <v>7719.4</v>
      </c>
      <c r="I643" s="24">
        <v>1419.127</v>
      </c>
      <c r="J643" s="24">
        <v>96</v>
      </c>
      <c r="K643" s="24">
        <v>553.21900000000005</v>
      </c>
      <c r="L643" s="32">
        <v>40</v>
      </c>
      <c r="M643" s="33">
        <v>177.54620000000003</v>
      </c>
      <c r="N643" s="27">
        <v>455.44459999999998</v>
      </c>
      <c r="O643" s="24">
        <v>7719.4</v>
      </c>
      <c r="P643" s="24">
        <v>7719.4</v>
      </c>
      <c r="Q643" s="28">
        <v>0.06</v>
      </c>
      <c r="R643" s="29">
        <v>4.4400000000000004</v>
      </c>
      <c r="S643" s="29">
        <v>4.74</v>
      </c>
      <c r="T643" s="29">
        <v>40.5</v>
      </c>
      <c r="U643" s="30">
        <v>7582.9</v>
      </c>
    </row>
    <row r="644" spans="2:21" x14ac:dyDescent="0.25">
      <c r="B644" s="31" t="s">
        <v>25</v>
      </c>
      <c r="C644" s="31">
        <v>62</v>
      </c>
      <c r="D644" s="22" t="s">
        <v>1045</v>
      </c>
      <c r="E644" s="22" t="s">
        <v>1046</v>
      </c>
      <c r="F644" s="22"/>
      <c r="G644" s="23">
        <v>3309.6</v>
      </c>
      <c r="H644" s="24">
        <v>1065.5</v>
      </c>
      <c r="I644" s="24">
        <v>0</v>
      </c>
      <c r="J644" s="24">
        <v>0</v>
      </c>
      <c r="K644" s="24">
        <v>0</v>
      </c>
      <c r="L644" s="32">
        <v>0</v>
      </c>
      <c r="M644" s="33">
        <v>0</v>
      </c>
      <c r="N644" s="27">
        <v>0</v>
      </c>
      <c r="O644" s="24">
        <v>1065.5</v>
      </c>
      <c r="P644" s="24">
        <v>1065.5</v>
      </c>
      <c r="Q644" s="28">
        <v>0</v>
      </c>
      <c r="R644" s="29">
        <v>0</v>
      </c>
      <c r="S644" s="29">
        <v>0</v>
      </c>
      <c r="T644" s="29">
        <v>0</v>
      </c>
      <c r="U644" s="30">
        <v>1065.5</v>
      </c>
    </row>
    <row r="645" spans="2:21" x14ac:dyDescent="0.25">
      <c r="B645" s="31" t="s">
        <v>25</v>
      </c>
      <c r="C645" s="31">
        <v>62</v>
      </c>
      <c r="D645" s="22" t="s">
        <v>1047</v>
      </c>
      <c r="E645" s="22" t="s">
        <v>1048</v>
      </c>
      <c r="F645" s="22"/>
      <c r="G645" s="23">
        <v>16773.8</v>
      </c>
      <c r="H645" s="24">
        <v>5638.8</v>
      </c>
      <c r="I645" s="24">
        <v>0</v>
      </c>
      <c r="J645" s="24">
        <v>0</v>
      </c>
      <c r="K645" s="24">
        <v>0</v>
      </c>
      <c r="L645" s="32">
        <v>0</v>
      </c>
      <c r="M645" s="33">
        <v>0</v>
      </c>
      <c r="N645" s="27">
        <v>0</v>
      </c>
      <c r="O645" s="24">
        <v>5638.8</v>
      </c>
      <c r="P645" s="24">
        <v>5638.8</v>
      </c>
      <c r="Q645" s="28">
        <v>0</v>
      </c>
      <c r="R645" s="29">
        <v>0</v>
      </c>
      <c r="S645" s="29">
        <v>0</v>
      </c>
      <c r="T645" s="29">
        <v>0</v>
      </c>
      <c r="U645" s="30">
        <v>5638.8</v>
      </c>
    </row>
    <row r="646" spans="2:21" x14ac:dyDescent="0.25">
      <c r="B646" s="31" t="s">
        <v>25</v>
      </c>
      <c r="C646" s="31">
        <v>62</v>
      </c>
      <c r="D646" s="22" t="s">
        <v>1049</v>
      </c>
      <c r="E646" s="22" t="s">
        <v>1050</v>
      </c>
      <c r="F646" s="22"/>
      <c r="G646" s="23">
        <v>8736.7999999999993</v>
      </c>
      <c r="H646" s="24">
        <v>2863.5</v>
      </c>
      <c r="I646" s="24">
        <v>0</v>
      </c>
      <c r="J646" s="24">
        <v>21</v>
      </c>
      <c r="K646" s="24">
        <v>0</v>
      </c>
      <c r="L646" s="32">
        <v>0</v>
      </c>
      <c r="M646" s="33">
        <v>0</v>
      </c>
      <c r="N646" s="27">
        <v>0</v>
      </c>
      <c r="O646" s="24">
        <v>2863.5</v>
      </c>
      <c r="P646" s="24">
        <v>2863.5</v>
      </c>
      <c r="Q646" s="28">
        <v>0</v>
      </c>
      <c r="R646" s="29">
        <v>0</v>
      </c>
      <c r="S646" s="29">
        <v>0</v>
      </c>
      <c r="T646" s="29">
        <v>0</v>
      </c>
      <c r="U646" s="30">
        <v>2842.5</v>
      </c>
    </row>
    <row r="647" spans="2:21" x14ac:dyDescent="0.25">
      <c r="B647" s="31" t="s">
        <v>25</v>
      </c>
      <c r="C647" s="31">
        <v>62</v>
      </c>
      <c r="D647" s="22" t="s">
        <v>1051</v>
      </c>
      <c r="E647" s="22" t="s">
        <v>1052</v>
      </c>
      <c r="F647" s="22"/>
      <c r="G647" s="23">
        <v>20515.3</v>
      </c>
      <c r="H647" s="24">
        <v>6643.7</v>
      </c>
      <c r="I647" s="24">
        <v>0</v>
      </c>
      <c r="J647" s="24">
        <v>28.5</v>
      </c>
      <c r="K647" s="24">
        <v>0</v>
      </c>
      <c r="L647" s="32">
        <v>0</v>
      </c>
      <c r="M647" s="33">
        <v>0</v>
      </c>
      <c r="N647" s="27">
        <v>0</v>
      </c>
      <c r="O647" s="24">
        <v>6643.7</v>
      </c>
      <c r="P647" s="24">
        <v>6643.7</v>
      </c>
      <c r="Q647" s="28">
        <v>0</v>
      </c>
      <c r="R647" s="29">
        <v>0</v>
      </c>
      <c r="S647" s="29">
        <v>0</v>
      </c>
      <c r="T647" s="29">
        <v>0</v>
      </c>
      <c r="U647" s="30">
        <v>6615.2</v>
      </c>
    </row>
    <row r="648" spans="2:21" x14ac:dyDescent="0.25">
      <c r="B648" s="31" t="s">
        <v>25</v>
      </c>
      <c r="C648" s="31">
        <v>62</v>
      </c>
      <c r="D648" s="22" t="s">
        <v>1053</v>
      </c>
      <c r="E648" s="22" t="s">
        <v>1054</v>
      </c>
      <c r="F648" s="22"/>
      <c r="G648" s="23">
        <v>11972.2</v>
      </c>
      <c r="H648" s="24">
        <v>3958.3</v>
      </c>
      <c r="I648" s="24">
        <v>0</v>
      </c>
      <c r="J648" s="24">
        <v>0</v>
      </c>
      <c r="K648" s="24">
        <v>0</v>
      </c>
      <c r="L648" s="32">
        <v>0</v>
      </c>
      <c r="M648" s="33">
        <v>0</v>
      </c>
      <c r="N648" s="27">
        <v>0</v>
      </c>
      <c r="O648" s="24">
        <v>3958.3</v>
      </c>
      <c r="P648" s="24">
        <v>3958.3</v>
      </c>
      <c r="Q648" s="28">
        <v>0</v>
      </c>
      <c r="R648" s="29">
        <v>0</v>
      </c>
      <c r="S648" s="29">
        <v>0</v>
      </c>
      <c r="T648" s="29">
        <v>0</v>
      </c>
      <c r="U648" s="30">
        <v>3958.3</v>
      </c>
    </row>
    <row r="649" spans="2:21" x14ac:dyDescent="0.25">
      <c r="B649" s="31" t="s">
        <v>25</v>
      </c>
      <c r="C649" s="22">
        <v>63</v>
      </c>
      <c r="D649" s="22" t="s">
        <v>611</v>
      </c>
      <c r="E649" s="22" t="s">
        <v>1055</v>
      </c>
      <c r="F649" s="22"/>
      <c r="G649" s="23">
        <v>74925.900000000023</v>
      </c>
      <c r="H649" s="24">
        <v>38101.19999999999</v>
      </c>
      <c r="I649" s="24">
        <v>0</v>
      </c>
      <c r="J649" s="24">
        <v>0</v>
      </c>
      <c r="K649" s="24">
        <v>0</v>
      </c>
      <c r="L649" s="32">
        <v>0</v>
      </c>
      <c r="M649" s="33">
        <v>0</v>
      </c>
      <c r="N649" s="27">
        <v>0</v>
      </c>
      <c r="O649" s="24">
        <v>38101.200000000004</v>
      </c>
      <c r="P649" s="24">
        <v>38101.200000000004</v>
      </c>
      <c r="Q649" s="28">
        <v>0</v>
      </c>
      <c r="R649" s="29">
        <v>0</v>
      </c>
      <c r="S649" s="29">
        <v>0</v>
      </c>
      <c r="T649" s="29">
        <v>0</v>
      </c>
      <c r="U649" s="30">
        <v>38101.19999999999</v>
      </c>
    </row>
    <row r="650" spans="2:21" x14ac:dyDescent="0.25">
      <c r="B650" s="31" t="s">
        <v>25</v>
      </c>
      <c r="C650" s="31">
        <v>63</v>
      </c>
      <c r="D650" s="22" t="s">
        <v>1056</v>
      </c>
      <c r="E650" s="22" t="s">
        <v>1057</v>
      </c>
      <c r="F650" s="22" t="s">
        <v>33</v>
      </c>
      <c r="G650" s="23">
        <v>6055</v>
      </c>
      <c r="H650" s="24">
        <v>2119</v>
      </c>
      <c r="I650" s="24">
        <v>3487.68</v>
      </c>
      <c r="J650" s="24">
        <v>346</v>
      </c>
      <c r="K650" s="24">
        <v>2173.7449999999999</v>
      </c>
      <c r="L650" s="32">
        <v>244</v>
      </c>
      <c r="M650" s="33">
        <v>760.721</v>
      </c>
      <c r="N650" s="27">
        <v>1220.5439999999999</v>
      </c>
      <c r="O650" s="24">
        <v>2119</v>
      </c>
      <c r="P650" s="24">
        <v>600.69444444444446</v>
      </c>
      <c r="Q650" s="28">
        <v>0.57999999999999996</v>
      </c>
      <c r="R650" s="29">
        <v>3.12</v>
      </c>
      <c r="S650" s="29">
        <v>3.53</v>
      </c>
      <c r="T650" s="29">
        <v>245</v>
      </c>
      <c r="U650" s="30">
        <v>1528</v>
      </c>
    </row>
    <row r="651" spans="2:21" x14ac:dyDescent="0.25">
      <c r="B651" s="31" t="s">
        <v>25</v>
      </c>
      <c r="C651" s="31">
        <v>63</v>
      </c>
      <c r="D651" s="22" t="s">
        <v>1058</v>
      </c>
      <c r="E651" s="22" t="s">
        <v>1059</v>
      </c>
      <c r="F651" s="22"/>
      <c r="G651" s="23">
        <v>15622</v>
      </c>
      <c r="H651" s="24">
        <v>5468</v>
      </c>
      <c r="I651" s="24">
        <v>0</v>
      </c>
      <c r="J651" s="24">
        <v>0</v>
      </c>
      <c r="K651" s="24">
        <v>0</v>
      </c>
      <c r="L651" s="32">
        <v>0</v>
      </c>
      <c r="M651" s="33">
        <v>0</v>
      </c>
      <c r="N651" s="27">
        <v>0</v>
      </c>
      <c r="O651" s="24">
        <v>5468</v>
      </c>
      <c r="P651" s="24">
        <v>5468</v>
      </c>
      <c r="Q651" s="28">
        <v>0</v>
      </c>
      <c r="R651" s="29">
        <v>0</v>
      </c>
      <c r="S651" s="29">
        <v>0</v>
      </c>
      <c r="T651" s="29">
        <v>0</v>
      </c>
      <c r="U651" s="30">
        <v>5468</v>
      </c>
    </row>
    <row r="652" spans="2:21" x14ac:dyDescent="0.25">
      <c r="B652" s="31" t="s">
        <v>25</v>
      </c>
      <c r="C652" s="31">
        <v>63</v>
      </c>
      <c r="D652" s="22" t="s">
        <v>1060</v>
      </c>
      <c r="E652" s="22" t="s">
        <v>1061</v>
      </c>
      <c r="F652" s="22" t="s">
        <v>33</v>
      </c>
      <c r="G652" s="23">
        <v>4521</v>
      </c>
      <c r="H652" s="24">
        <v>1582</v>
      </c>
      <c r="I652" s="24">
        <v>646.50299999999993</v>
      </c>
      <c r="J652" s="24">
        <v>101</v>
      </c>
      <c r="K652" s="24">
        <v>63.293999999999997</v>
      </c>
      <c r="L652" s="32">
        <v>50</v>
      </c>
      <c r="M652" s="33">
        <v>22.147999999999996</v>
      </c>
      <c r="N652" s="27">
        <v>226.22599999999997</v>
      </c>
      <c r="O652" s="24">
        <v>1582</v>
      </c>
      <c r="P652" s="24">
        <v>1582</v>
      </c>
      <c r="Q652" s="28">
        <v>0.14000000000000001</v>
      </c>
      <c r="R652" s="29">
        <v>0.44</v>
      </c>
      <c r="S652" s="29">
        <v>2.2400000000000002</v>
      </c>
      <c r="T652" s="29">
        <v>51</v>
      </c>
      <c r="U652" s="30">
        <v>1430</v>
      </c>
    </row>
    <row r="653" spans="2:21" x14ac:dyDescent="0.25">
      <c r="B653" s="31" t="s">
        <v>25</v>
      </c>
      <c r="C653" s="31">
        <v>63</v>
      </c>
      <c r="D653" s="22" t="s">
        <v>1062</v>
      </c>
      <c r="E653" s="22" t="s">
        <v>1063</v>
      </c>
      <c r="F653" s="22" t="s">
        <v>33</v>
      </c>
      <c r="G653" s="23">
        <v>4028</v>
      </c>
      <c r="H653" s="24">
        <v>1410</v>
      </c>
      <c r="I653" s="24">
        <v>1647.452</v>
      </c>
      <c r="J653" s="24">
        <v>194.5</v>
      </c>
      <c r="K653" s="24">
        <v>426.96800000000002</v>
      </c>
      <c r="L653" s="32">
        <v>44</v>
      </c>
      <c r="M653" s="33">
        <v>149.46</v>
      </c>
      <c r="N653" s="27">
        <v>576.68999999999994</v>
      </c>
      <c r="O653" s="24">
        <v>1410</v>
      </c>
      <c r="P653" s="24">
        <v>475.55012224938878</v>
      </c>
      <c r="Q653" s="28">
        <v>0.41</v>
      </c>
      <c r="R653" s="29">
        <v>3.4</v>
      </c>
      <c r="S653" s="29">
        <v>2.96</v>
      </c>
      <c r="T653" s="29">
        <v>43.5</v>
      </c>
      <c r="U653" s="30">
        <v>1172</v>
      </c>
    </row>
    <row r="654" spans="2:21" x14ac:dyDescent="0.25">
      <c r="B654" s="31" t="s">
        <v>25</v>
      </c>
      <c r="C654" s="31">
        <v>63</v>
      </c>
      <c r="D654" s="22" t="s">
        <v>1064</v>
      </c>
      <c r="E654" s="22" t="s">
        <v>1065</v>
      </c>
      <c r="F654" s="22"/>
      <c r="G654" s="23">
        <v>5537</v>
      </c>
      <c r="H654" s="24">
        <v>1938</v>
      </c>
      <c r="I654" s="24">
        <v>902.53099999999995</v>
      </c>
      <c r="J654" s="24">
        <v>116.5</v>
      </c>
      <c r="K654" s="24">
        <v>0</v>
      </c>
      <c r="L654" s="32">
        <v>0</v>
      </c>
      <c r="M654" s="33">
        <v>0</v>
      </c>
      <c r="N654" s="27">
        <v>315.89399999999995</v>
      </c>
      <c r="O654" s="24">
        <v>1938</v>
      </c>
      <c r="P654" s="24">
        <v>1938</v>
      </c>
      <c r="Q654" s="28">
        <v>0.16</v>
      </c>
      <c r="R654" s="29">
        <v>0</v>
      </c>
      <c r="S654" s="29">
        <v>2.71</v>
      </c>
      <c r="T654" s="29">
        <v>0</v>
      </c>
      <c r="U654" s="30">
        <v>1821.5</v>
      </c>
    </row>
    <row r="655" spans="2:21" x14ac:dyDescent="0.25">
      <c r="B655" s="31" t="s">
        <v>25</v>
      </c>
      <c r="C655" s="31">
        <v>63</v>
      </c>
      <c r="D655" s="22" t="s">
        <v>1066</v>
      </c>
      <c r="E655" s="22" t="s">
        <v>1067</v>
      </c>
      <c r="F655" s="22"/>
      <c r="G655" s="23">
        <v>17894</v>
      </c>
      <c r="H655" s="24">
        <v>6263</v>
      </c>
      <c r="I655" s="24">
        <v>6245.0060000000003</v>
      </c>
      <c r="J655" s="24">
        <v>536</v>
      </c>
      <c r="K655" s="24">
        <v>0</v>
      </c>
      <c r="L655" s="32">
        <v>0</v>
      </c>
      <c r="M655" s="33">
        <v>0</v>
      </c>
      <c r="N655" s="27">
        <v>2185.7870000000003</v>
      </c>
      <c r="O655" s="24">
        <v>6263</v>
      </c>
      <c r="P655" s="24">
        <v>1535.8166189111746</v>
      </c>
      <c r="Q655" s="28">
        <v>0.35</v>
      </c>
      <c r="R655" s="29">
        <v>0</v>
      </c>
      <c r="S655" s="29">
        <v>4.08</v>
      </c>
      <c r="T655" s="29">
        <v>0</v>
      </c>
      <c r="U655" s="30">
        <v>5727</v>
      </c>
    </row>
    <row r="656" spans="2:21" x14ac:dyDescent="0.25">
      <c r="B656" s="31" t="s">
        <v>25</v>
      </c>
      <c r="C656" s="31">
        <v>63</v>
      </c>
      <c r="D656" s="22" t="s">
        <v>1068</v>
      </c>
      <c r="E656" s="22" t="s">
        <v>1069</v>
      </c>
      <c r="F656" s="22"/>
      <c r="G656" s="23">
        <v>6605</v>
      </c>
      <c r="H656" s="24">
        <v>2312</v>
      </c>
      <c r="I656" s="24">
        <v>0</v>
      </c>
      <c r="J656" s="24">
        <v>0</v>
      </c>
      <c r="K656" s="24">
        <v>0</v>
      </c>
      <c r="L656" s="32">
        <v>0</v>
      </c>
      <c r="M656" s="33">
        <v>0</v>
      </c>
      <c r="N656" s="27">
        <v>0</v>
      </c>
      <c r="O656" s="24">
        <v>2312</v>
      </c>
      <c r="P656" s="24">
        <v>2312</v>
      </c>
      <c r="Q656" s="28">
        <v>0</v>
      </c>
      <c r="R656" s="29">
        <v>0</v>
      </c>
      <c r="S656" s="29">
        <v>0</v>
      </c>
      <c r="T656" s="29">
        <v>0</v>
      </c>
      <c r="U656" s="30">
        <v>2312</v>
      </c>
    </row>
    <row r="657" spans="2:21" x14ac:dyDescent="0.25">
      <c r="B657" s="31" t="s">
        <v>25</v>
      </c>
      <c r="C657" s="31">
        <v>63</v>
      </c>
      <c r="D657" s="22" t="s">
        <v>1070</v>
      </c>
      <c r="E657" s="22" t="s">
        <v>1071</v>
      </c>
      <c r="F657" s="22"/>
      <c r="G657" s="23">
        <v>8153</v>
      </c>
      <c r="H657" s="24">
        <v>2853</v>
      </c>
      <c r="I657" s="24">
        <v>81.53</v>
      </c>
      <c r="J657" s="24">
        <v>18</v>
      </c>
      <c r="K657" s="24">
        <v>0</v>
      </c>
      <c r="L657" s="32">
        <v>0</v>
      </c>
      <c r="M657" s="33">
        <v>0</v>
      </c>
      <c r="N657" s="27">
        <v>28.53</v>
      </c>
      <c r="O657" s="24">
        <v>2853</v>
      </c>
      <c r="P657" s="24">
        <v>2853</v>
      </c>
      <c r="Q657" s="28">
        <v>0.01</v>
      </c>
      <c r="R657" s="29">
        <v>0</v>
      </c>
      <c r="S657" s="29">
        <v>1.59</v>
      </c>
      <c r="T657" s="29">
        <v>0</v>
      </c>
      <c r="U657" s="30">
        <v>2835</v>
      </c>
    </row>
    <row r="658" spans="2:21" x14ac:dyDescent="0.25">
      <c r="B658" s="31" t="s">
        <v>25</v>
      </c>
      <c r="C658" s="31">
        <v>63</v>
      </c>
      <c r="D658" s="22" t="s">
        <v>1072</v>
      </c>
      <c r="E658" s="22" t="s">
        <v>1073</v>
      </c>
      <c r="F658" s="22"/>
      <c r="G658" s="23">
        <v>15734</v>
      </c>
      <c r="H658" s="24">
        <v>5507</v>
      </c>
      <c r="I658" s="24">
        <v>0</v>
      </c>
      <c r="J658" s="24">
        <v>0</v>
      </c>
      <c r="K658" s="24">
        <v>0</v>
      </c>
      <c r="L658" s="32">
        <v>0</v>
      </c>
      <c r="M658" s="33">
        <v>0</v>
      </c>
      <c r="N658" s="27">
        <v>0</v>
      </c>
      <c r="O658" s="24">
        <v>5507</v>
      </c>
      <c r="P658" s="24">
        <v>5507</v>
      </c>
      <c r="Q658" s="28">
        <v>0</v>
      </c>
      <c r="R658" s="29">
        <v>0</v>
      </c>
      <c r="S658" s="29">
        <v>0</v>
      </c>
      <c r="T658" s="29">
        <v>0</v>
      </c>
      <c r="U658" s="30">
        <v>5507</v>
      </c>
    </row>
    <row r="659" spans="2:21" x14ac:dyDescent="0.25">
      <c r="B659" s="31" t="s">
        <v>25</v>
      </c>
      <c r="C659" s="31">
        <v>63</v>
      </c>
      <c r="D659" s="22" t="s">
        <v>1074</v>
      </c>
      <c r="E659" s="22" t="s">
        <v>1075</v>
      </c>
      <c r="F659" s="22"/>
      <c r="G659" s="23">
        <v>21994</v>
      </c>
      <c r="H659" s="24">
        <v>7698</v>
      </c>
      <c r="I659" s="24">
        <v>395.89200000000005</v>
      </c>
      <c r="J659" s="24">
        <v>53</v>
      </c>
      <c r="K659" s="24">
        <v>0</v>
      </c>
      <c r="L659" s="32">
        <v>0</v>
      </c>
      <c r="M659" s="33">
        <v>0</v>
      </c>
      <c r="N659" s="27">
        <v>138.56400000000002</v>
      </c>
      <c r="O659" s="24">
        <v>7698</v>
      </c>
      <c r="P659" s="24">
        <v>7698</v>
      </c>
      <c r="Q659" s="28">
        <v>0.02</v>
      </c>
      <c r="R659" s="29">
        <v>0</v>
      </c>
      <c r="S659" s="29">
        <v>2.61</v>
      </c>
      <c r="T659" s="29">
        <v>0</v>
      </c>
      <c r="U659" s="30">
        <v>7645</v>
      </c>
    </row>
    <row r="660" spans="2:21" x14ac:dyDescent="0.25">
      <c r="B660" s="31" t="s">
        <v>25</v>
      </c>
      <c r="C660" s="31">
        <v>63</v>
      </c>
      <c r="D660" s="22" t="s">
        <v>1076</v>
      </c>
      <c r="E660" s="22" t="s">
        <v>1077</v>
      </c>
      <c r="F660" s="22"/>
      <c r="G660" s="23">
        <v>27555</v>
      </c>
      <c r="H660" s="24">
        <v>9644</v>
      </c>
      <c r="I660" s="24">
        <v>0</v>
      </c>
      <c r="J660" s="24">
        <v>0</v>
      </c>
      <c r="K660" s="24">
        <v>0</v>
      </c>
      <c r="L660" s="32">
        <v>0</v>
      </c>
      <c r="M660" s="33">
        <v>0</v>
      </c>
      <c r="N660" s="27">
        <v>0</v>
      </c>
      <c r="O660" s="24">
        <v>9644</v>
      </c>
      <c r="P660" s="24">
        <v>9644</v>
      </c>
      <c r="Q660" s="28">
        <v>0</v>
      </c>
      <c r="R660" s="29">
        <v>0</v>
      </c>
      <c r="S660" s="29">
        <v>0</v>
      </c>
      <c r="T660" s="29">
        <v>0</v>
      </c>
      <c r="U660" s="30">
        <v>9644</v>
      </c>
    </row>
    <row r="661" spans="2:21" x14ac:dyDescent="0.25">
      <c r="B661" s="31" t="s">
        <v>25</v>
      </c>
      <c r="C661" s="31">
        <v>63</v>
      </c>
      <c r="D661" s="22" t="s">
        <v>1078</v>
      </c>
      <c r="E661" s="22" t="s">
        <v>1079</v>
      </c>
      <c r="F661" s="22"/>
      <c r="G661" s="23">
        <v>4578</v>
      </c>
      <c r="H661" s="24">
        <v>1602</v>
      </c>
      <c r="I661" s="24">
        <v>0</v>
      </c>
      <c r="J661" s="24">
        <v>0</v>
      </c>
      <c r="K661" s="24">
        <v>0</v>
      </c>
      <c r="L661" s="32">
        <v>0</v>
      </c>
      <c r="M661" s="33">
        <v>0</v>
      </c>
      <c r="N661" s="27">
        <v>0</v>
      </c>
      <c r="O661" s="24">
        <v>1602</v>
      </c>
      <c r="P661" s="24">
        <v>1602</v>
      </c>
      <c r="Q661" s="28">
        <v>0</v>
      </c>
      <c r="R661" s="29">
        <v>0</v>
      </c>
      <c r="S661" s="29">
        <v>0</v>
      </c>
      <c r="T661" s="29">
        <v>0</v>
      </c>
      <c r="U661" s="30">
        <v>1602</v>
      </c>
    </row>
    <row r="662" spans="2:21" x14ac:dyDescent="0.25">
      <c r="B662" s="31" t="s">
        <v>25</v>
      </c>
      <c r="C662" s="31">
        <v>63</v>
      </c>
      <c r="D662" s="22" t="s">
        <v>1080</v>
      </c>
      <c r="E662" s="22" t="s">
        <v>1081</v>
      </c>
      <c r="F662" s="22"/>
      <c r="G662" s="23">
        <v>8379</v>
      </c>
      <c r="H662" s="24">
        <v>2933</v>
      </c>
      <c r="I662" s="24">
        <v>75.411000000000001</v>
      </c>
      <c r="J662" s="24">
        <v>39</v>
      </c>
      <c r="K662" s="24">
        <v>0</v>
      </c>
      <c r="L662" s="32">
        <v>0</v>
      </c>
      <c r="M662" s="33">
        <v>0</v>
      </c>
      <c r="N662" s="27">
        <v>26.396999999999998</v>
      </c>
      <c r="O662" s="24">
        <v>2933</v>
      </c>
      <c r="P662" s="24">
        <v>2933</v>
      </c>
      <c r="Q662" s="28">
        <v>0.01</v>
      </c>
      <c r="R662" s="29">
        <v>0</v>
      </c>
      <c r="S662" s="29">
        <v>0.68</v>
      </c>
      <c r="T662" s="29">
        <v>0</v>
      </c>
      <c r="U662" s="30">
        <v>2894</v>
      </c>
    </row>
    <row r="663" spans="2:21" x14ac:dyDescent="0.25">
      <c r="B663" s="31" t="s">
        <v>25</v>
      </c>
      <c r="C663" s="31">
        <v>63</v>
      </c>
      <c r="D663" s="22" t="s">
        <v>1082</v>
      </c>
      <c r="E663" s="22" t="s">
        <v>1083</v>
      </c>
      <c r="F663" s="22"/>
      <c r="G663" s="23">
        <v>26371</v>
      </c>
      <c r="H663" s="24">
        <v>9230</v>
      </c>
      <c r="I663" s="24">
        <v>606.53300000000002</v>
      </c>
      <c r="J663" s="24">
        <v>60.5</v>
      </c>
      <c r="K663" s="24">
        <v>0</v>
      </c>
      <c r="L663" s="32">
        <v>0</v>
      </c>
      <c r="M663" s="33">
        <v>0</v>
      </c>
      <c r="N663" s="27">
        <v>212.29</v>
      </c>
      <c r="O663" s="24">
        <v>9230</v>
      </c>
      <c r="P663" s="24">
        <v>9230</v>
      </c>
      <c r="Q663" s="28">
        <v>0.02</v>
      </c>
      <c r="R663" s="29">
        <v>0</v>
      </c>
      <c r="S663" s="29">
        <v>3.51</v>
      </c>
      <c r="T663" s="29">
        <v>0</v>
      </c>
      <c r="U663" s="30">
        <v>9169.5</v>
      </c>
    </row>
    <row r="664" spans="2:21" x14ac:dyDescent="0.25">
      <c r="B664" s="31" t="s">
        <v>25</v>
      </c>
      <c r="C664" s="31">
        <v>63</v>
      </c>
      <c r="D664" s="22" t="s">
        <v>1084</v>
      </c>
      <c r="E664" s="22" t="s">
        <v>1085</v>
      </c>
      <c r="F664" s="22"/>
      <c r="G664" s="23">
        <v>24698</v>
      </c>
      <c r="H664" s="24">
        <v>8644</v>
      </c>
      <c r="I664" s="24">
        <v>0</v>
      </c>
      <c r="J664" s="24">
        <v>0</v>
      </c>
      <c r="K664" s="24">
        <v>0</v>
      </c>
      <c r="L664" s="32">
        <v>0</v>
      </c>
      <c r="M664" s="33">
        <v>0</v>
      </c>
      <c r="N664" s="27">
        <v>0</v>
      </c>
      <c r="O664" s="24">
        <v>8644</v>
      </c>
      <c r="P664" s="24">
        <v>8644</v>
      </c>
      <c r="Q664" s="28">
        <v>0</v>
      </c>
      <c r="R664" s="29">
        <v>0</v>
      </c>
      <c r="S664" s="29">
        <v>0</v>
      </c>
      <c r="T664" s="29">
        <v>0</v>
      </c>
      <c r="U664" s="30">
        <v>8644</v>
      </c>
    </row>
    <row r="665" spans="2:21" x14ac:dyDescent="0.25">
      <c r="B665" s="31" t="s">
        <v>25</v>
      </c>
      <c r="C665" s="31">
        <v>63</v>
      </c>
      <c r="D665" s="22" t="s">
        <v>1086</v>
      </c>
      <c r="E665" s="22" t="s">
        <v>1087</v>
      </c>
      <c r="F665" s="22"/>
      <c r="G665" s="23">
        <v>7880</v>
      </c>
      <c r="H665" s="24">
        <v>2758</v>
      </c>
      <c r="I665" s="24">
        <v>0</v>
      </c>
      <c r="J665" s="24">
        <v>14</v>
      </c>
      <c r="K665" s="24">
        <v>0</v>
      </c>
      <c r="L665" s="32">
        <v>0</v>
      </c>
      <c r="M665" s="33">
        <v>0</v>
      </c>
      <c r="N665" s="27">
        <v>0</v>
      </c>
      <c r="O665" s="24">
        <v>2758</v>
      </c>
      <c r="P665" s="24">
        <v>2758</v>
      </c>
      <c r="Q665" s="28">
        <v>0</v>
      </c>
      <c r="R665" s="29">
        <v>0</v>
      </c>
      <c r="S665" s="29">
        <v>0</v>
      </c>
      <c r="T665" s="29">
        <v>0</v>
      </c>
      <c r="U665" s="30">
        <v>2744</v>
      </c>
    </row>
    <row r="666" spans="2:21" x14ac:dyDescent="0.25">
      <c r="B666" s="31" t="s">
        <v>25</v>
      </c>
      <c r="C666" s="31">
        <v>63</v>
      </c>
      <c r="D666" s="22" t="s">
        <v>1088</v>
      </c>
      <c r="E666" s="22" t="s">
        <v>1089</v>
      </c>
      <c r="F666" s="22"/>
      <c r="G666" s="23">
        <v>168</v>
      </c>
      <c r="H666" s="24">
        <v>59</v>
      </c>
      <c r="I666" s="24">
        <v>0</v>
      </c>
      <c r="J666" s="24">
        <v>0</v>
      </c>
      <c r="K666" s="24">
        <v>0</v>
      </c>
      <c r="L666" s="32">
        <v>0</v>
      </c>
      <c r="M666" s="33">
        <v>0</v>
      </c>
      <c r="N666" s="27">
        <v>0</v>
      </c>
      <c r="O666" s="24">
        <v>59</v>
      </c>
      <c r="P666" s="24">
        <v>59</v>
      </c>
      <c r="Q666" s="28">
        <v>0</v>
      </c>
      <c r="R666" s="29">
        <v>0</v>
      </c>
      <c r="S666" s="29">
        <v>0</v>
      </c>
      <c r="T666" s="29">
        <v>0</v>
      </c>
      <c r="U666" s="30">
        <v>59</v>
      </c>
    </row>
    <row r="667" spans="2:21" x14ac:dyDescent="0.25">
      <c r="B667" s="31" t="s">
        <v>25</v>
      </c>
      <c r="C667" s="31">
        <v>63</v>
      </c>
      <c r="D667" s="22" t="s">
        <v>1090</v>
      </c>
      <c r="E667" s="22" t="s">
        <v>1091</v>
      </c>
      <c r="F667" s="22"/>
      <c r="G667" s="23">
        <v>25348</v>
      </c>
      <c r="H667" s="24">
        <v>8872</v>
      </c>
      <c r="I667" s="24">
        <v>0</v>
      </c>
      <c r="J667" s="24">
        <v>14</v>
      </c>
      <c r="K667" s="24">
        <v>0</v>
      </c>
      <c r="L667" s="32">
        <v>0</v>
      </c>
      <c r="M667" s="33">
        <v>0</v>
      </c>
      <c r="N667" s="27">
        <v>0</v>
      </c>
      <c r="O667" s="24">
        <v>8872</v>
      </c>
      <c r="P667" s="24">
        <v>8872</v>
      </c>
      <c r="Q667" s="28">
        <v>0</v>
      </c>
      <c r="R667" s="29">
        <v>0</v>
      </c>
      <c r="S667" s="29">
        <v>0</v>
      </c>
      <c r="T667" s="29">
        <v>0</v>
      </c>
      <c r="U667" s="30">
        <v>8858</v>
      </c>
    </row>
    <row r="668" spans="2:21" x14ac:dyDescent="0.25">
      <c r="B668" s="31" t="s">
        <v>25</v>
      </c>
      <c r="C668" s="31">
        <v>63</v>
      </c>
      <c r="D668" s="22" t="s">
        <v>1092</v>
      </c>
      <c r="E668" s="22" t="s">
        <v>1093</v>
      </c>
      <c r="F668" s="22"/>
      <c r="G668" s="23">
        <v>5106</v>
      </c>
      <c r="H668" s="24">
        <v>1787</v>
      </c>
      <c r="I668" s="24">
        <v>0</v>
      </c>
      <c r="J668" s="24">
        <v>0</v>
      </c>
      <c r="K668" s="24">
        <v>0</v>
      </c>
      <c r="L668" s="32">
        <v>0</v>
      </c>
      <c r="M668" s="33">
        <v>0</v>
      </c>
      <c r="N668" s="27">
        <v>0</v>
      </c>
      <c r="O668" s="24">
        <v>1787</v>
      </c>
      <c r="P668" s="24">
        <v>1787</v>
      </c>
      <c r="Q668" s="28">
        <v>0</v>
      </c>
      <c r="R668" s="29">
        <v>0</v>
      </c>
      <c r="S668" s="29">
        <v>0</v>
      </c>
      <c r="T668" s="29">
        <v>0</v>
      </c>
      <c r="U668" s="30">
        <v>1787</v>
      </c>
    </row>
    <row r="669" spans="2:21" x14ac:dyDescent="0.25">
      <c r="B669" s="31" t="s">
        <v>25</v>
      </c>
      <c r="C669" s="31">
        <v>63</v>
      </c>
      <c r="D669" s="22" t="s">
        <v>1094</v>
      </c>
      <c r="E669" s="22" t="s">
        <v>1095</v>
      </c>
      <c r="F669" s="22"/>
      <c r="G669" s="23">
        <v>17720</v>
      </c>
      <c r="H669" s="24">
        <v>6202</v>
      </c>
      <c r="I669" s="24">
        <v>0</v>
      </c>
      <c r="J669" s="24">
        <v>0</v>
      </c>
      <c r="K669" s="24">
        <v>0</v>
      </c>
      <c r="L669" s="32">
        <v>0</v>
      </c>
      <c r="M669" s="33">
        <v>0</v>
      </c>
      <c r="N669" s="27">
        <v>0</v>
      </c>
      <c r="O669" s="24">
        <v>6202</v>
      </c>
      <c r="P669" s="24">
        <v>6202</v>
      </c>
      <c r="Q669" s="28">
        <v>0</v>
      </c>
      <c r="R669" s="29">
        <v>0</v>
      </c>
      <c r="S669" s="29">
        <v>0</v>
      </c>
      <c r="T669" s="29">
        <v>0</v>
      </c>
      <c r="U669" s="30">
        <v>6202</v>
      </c>
    </row>
    <row r="670" spans="2:21" x14ac:dyDescent="0.25">
      <c r="B670" s="31" t="s">
        <v>25</v>
      </c>
      <c r="C670" s="31">
        <v>63</v>
      </c>
      <c r="D670" s="22" t="s">
        <v>1096</v>
      </c>
      <c r="E670" s="22" t="s">
        <v>1097</v>
      </c>
      <c r="F670" s="22"/>
      <c r="G670" s="23">
        <v>9246</v>
      </c>
      <c r="H670" s="24">
        <v>3236</v>
      </c>
      <c r="I670" s="24">
        <v>0</v>
      </c>
      <c r="J670" s="24">
        <v>14.5</v>
      </c>
      <c r="K670" s="24">
        <v>0</v>
      </c>
      <c r="L670" s="32">
        <v>0</v>
      </c>
      <c r="M670" s="33">
        <v>0</v>
      </c>
      <c r="N670" s="27">
        <v>0</v>
      </c>
      <c r="O670" s="24">
        <v>3236</v>
      </c>
      <c r="P670" s="24">
        <v>3236</v>
      </c>
      <c r="Q670" s="28">
        <v>0</v>
      </c>
      <c r="R670" s="29">
        <v>0</v>
      </c>
      <c r="S670" s="29">
        <v>0</v>
      </c>
      <c r="T670" s="29">
        <v>0</v>
      </c>
      <c r="U670" s="30">
        <v>3221.5</v>
      </c>
    </row>
    <row r="671" spans="2:21" x14ac:dyDescent="0.25">
      <c r="B671" s="31" t="s">
        <v>25</v>
      </c>
      <c r="C671" s="31">
        <v>63</v>
      </c>
      <c r="D671" s="22" t="s">
        <v>1098</v>
      </c>
      <c r="E671" s="22" t="s">
        <v>1099</v>
      </c>
      <c r="F671" s="22"/>
      <c r="G671" s="23">
        <v>21699</v>
      </c>
      <c r="H671" s="24">
        <v>7595</v>
      </c>
      <c r="I671" s="24">
        <v>260.38799999999998</v>
      </c>
      <c r="J671" s="24">
        <v>34</v>
      </c>
      <c r="K671" s="24">
        <v>0</v>
      </c>
      <c r="L671" s="32">
        <v>0</v>
      </c>
      <c r="M671" s="33">
        <v>0</v>
      </c>
      <c r="N671" s="27">
        <v>91.139999999999986</v>
      </c>
      <c r="O671" s="24">
        <v>7595</v>
      </c>
      <c r="P671" s="24">
        <v>7595</v>
      </c>
      <c r="Q671" s="28">
        <v>0.01</v>
      </c>
      <c r="R671" s="29">
        <v>0</v>
      </c>
      <c r="S671" s="29">
        <v>2.68</v>
      </c>
      <c r="T671" s="29">
        <v>0</v>
      </c>
      <c r="U671" s="30">
        <v>7561</v>
      </c>
    </row>
    <row r="672" spans="2:21" x14ac:dyDescent="0.25">
      <c r="B672" s="31" t="s">
        <v>25</v>
      </c>
      <c r="C672" s="31">
        <v>63</v>
      </c>
      <c r="D672" s="22" t="s">
        <v>1100</v>
      </c>
      <c r="E672" s="22" t="s">
        <v>1101</v>
      </c>
      <c r="F672" s="22"/>
      <c r="G672" s="23">
        <v>12595</v>
      </c>
      <c r="H672" s="24">
        <v>4408</v>
      </c>
      <c r="I672" s="24">
        <v>0</v>
      </c>
      <c r="J672" s="24">
        <v>0</v>
      </c>
      <c r="K672" s="24">
        <v>0</v>
      </c>
      <c r="L672" s="32">
        <v>0</v>
      </c>
      <c r="M672" s="33">
        <v>0</v>
      </c>
      <c r="N672" s="27">
        <v>0</v>
      </c>
      <c r="O672" s="24">
        <v>4408</v>
      </c>
      <c r="P672" s="24">
        <v>4408</v>
      </c>
      <c r="Q672" s="28">
        <v>0</v>
      </c>
      <c r="R672" s="29">
        <v>0</v>
      </c>
      <c r="S672" s="29">
        <v>0</v>
      </c>
      <c r="T672" s="29">
        <v>0</v>
      </c>
      <c r="U672" s="30">
        <v>4408</v>
      </c>
    </row>
    <row r="673" spans="2:21" x14ac:dyDescent="0.25">
      <c r="B673" s="31" t="s">
        <v>25</v>
      </c>
      <c r="C673" s="22">
        <v>64</v>
      </c>
      <c r="D673" s="22" t="s">
        <v>653</v>
      </c>
      <c r="E673" s="22" t="s">
        <v>1102</v>
      </c>
      <c r="F673" s="22"/>
      <c r="G673" s="23">
        <v>41</v>
      </c>
      <c r="H673" s="24">
        <v>7842.2999999999993</v>
      </c>
      <c r="I673" s="24">
        <v>0</v>
      </c>
      <c r="J673" s="24">
        <v>0</v>
      </c>
      <c r="K673" s="24">
        <v>0</v>
      </c>
      <c r="L673" s="32">
        <v>0</v>
      </c>
      <c r="M673" s="33">
        <v>0</v>
      </c>
      <c r="N673" s="27">
        <v>0</v>
      </c>
      <c r="O673" s="24">
        <v>7842.2999999999993</v>
      </c>
      <c r="P673" s="24">
        <v>7842.2999999999993</v>
      </c>
      <c r="Q673" s="28">
        <v>0</v>
      </c>
      <c r="R673" s="29">
        <v>0</v>
      </c>
      <c r="S673" s="29">
        <v>0</v>
      </c>
      <c r="T673" s="29">
        <v>0</v>
      </c>
      <c r="U673" s="30">
        <v>7842.2999999999993</v>
      </c>
    </row>
    <row r="674" spans="2:21" x14ac:dyDescent="0.25">
      <c r="B674" s="31" t="s">
        <v>25</v>
      </c>
      <c r="C674" s="31">
        <v>64</v>
      </c>
      <c r="D674" s="22" t="s">
        <v>1103</v>
      </c>
      <c r="E674" s="22" t="s">
        <v>1104</v>
      </c>
      <c r="F674" s="22"/>
      <c r="G674" s="23">
        <v>4</v>
      </c>
      <c r="H674" s="24">
        <v>368</v>
      </c>
      <c r="I674" s="24">
        <v>0.91200000000000003</v>
      </c>
      <c r="J674" s="24">
        <v>20</v>
      </c>
      <c r="K674" s="24">
        <v>0</v>
      </c>
      <c r="L674" s="32">
        <v>0</v>
      </c>
      <c r="M674" s="33">
        <v>0</v>
      </c>
      <c r="N674" s="27">
        <v>83.903999999999996</v>
      </c>
      <c r="O674" s="24">
        <v>368</v>
      </c>
      <c r="P674" s="24">
        <v>368</v>
      </c>
      <c r="Q674" s="28">
        <v>0.23</v>
      </c>
      <c r="R674" s="29">
        <v>0</v>
      </c>
      <c r="S674" s="29">
        <v>4.2</v>
      </c>
      <c r="T674" s="29">
        <v>0</v>
      </c>
      <c r="U674" s="30">
        <v>348</v>
      </c>
    </row>
    <row r="675" spans="2:21" x14ac:dyDescent="0.25">
      <c r="B675" s="31" t="s">
        <v>25</v>
      </c>
      <c r="C675" s="31">
        <v>64</v>
      </c>
      <c r="D675" s="22" t="s">
        <v>1105</v>
      </c>
      <c r="E675" s="22" t="s">
        <v>1106</v>
      </c>
      <c r="F675" s="22"/>
      <c r="G675" s="23">
        <v>11</v>
      </c>
      <c r="H675" s="24">
        <v>1012</v>
      </c>
      <c r="I675" s="24">
        <v>0</v>
      </c>
      <c r="J675" s="24">
        <v>0</v>
      </c>
      <c r="K675" s="24">
        <v>0</v>
      </c>
      <c r="L675" s="32">
        <v>0</v>
      </c>
      <c r="M675" s="33">
        <v>0</v>
      </c>
      <c r="N675" s="27">
        <v>0</v>
      </c>
      <c r="O675" s="24">
        <v>1012</v>
      </c>
      <c r="P675" s="24">
        <v>1012</v>
      </c>
      <c r="Q675" s="28">
        <v>0</v>
      </c>
      <c r="R675" s="29">
        <v>0</v>
      </c>
      <c r="S675" s="29">
        <v>0</v>
      </c>
      <c r="T675" s="29">
        <v>0</v>
      </c>
      <c r="U675" s="30">
        <v>1012</v>
      </c>
    </row>
    <row r="676" spans="2:21" x14ac:dyDescent="0.25">
      <c r="B676" s="31" t="s">
        <v>25</v>
      </c>
      <c r="C676" s="31">
        <v>64</v>
      </c>
      <c r="D676" s="22" t="s">
        <v>1107</v>
      </c>
      <c r="E676" s="22" t="s">
        <v>1108</v>
      </c>
      <c r="F676" s="22"/>
      <c r="G676" s="23">
        <v>6</v>
      </c>
      <c r="H676" s="24">
        <v>552</v>
      </c>
      <c r="I676" s="24">
        <v>1.8240000000000001</v>
      </c>
      <c r="J676" s="24">
        <v>40.5</v>
      </c>
      <c r="K676" s="24">
        <v>0</v>
      </c>
      <c r="L676" s="32">
        <v>0</v>
      </c>
      <c r="M676" s="33">
        <v>0</v>
      </c>
      <c r="N676" s="27">
        <v>167.80799999999999</v>
      </c>
      <c r="O676" s="24">
        <v>552</v>
      </c>
      <c r="P676" s="24">
        <v>133.22368421052633</v>
      </c>
      <c r="Q676" s="28">
        <v>0.3</v>
      </c>
      <c r="R676" s="29">
        <v>0</v>
      </c>
      <c r="S676" s="29">
        <v>4.1399999999999997</v>
      </c>
      <c r="T676" s="29">
        <v>0</v>
      </c>
      <c r="U676" s="30">
        <v>511.5</v>
      </c>
    </row>
    <row r="677" spans="2:21" x14ac:dyDescent="0.25">
      <c r="B677" s="31" t="s">
        <v>25</v>
      </c>
      <c r="C677" s="31">
        <v>64</v>
      </c>
      <c r="D677" s="22" t="s">
        <v>1109</v>
      </c>
      <c r="E677" s="22" t="s">
        <v>1110</v>
      </c>
      <c r="F677" s="22"/>
      <c r="G677" s="23">
        <v>8</v>
      </c>
      <c r="H677" s="24">
        <v>736</v>
      </c>
      <c r="I677" s="24">
        <v>1.8880000000000001</v>
      </c>
      <c r="J677" s="24">
        <v>50.5</v>
      </c>
      <c r="K677" s="24">
        <v>0</v>
      </c>
      <c r="L677" s="32">
        <v>0</v>
      </c>
      <c r="M677" s="33">
        <v>0</v>
      </c>
      <c r="N677" s="27">
        <v>173.696</v>
      </c>
      <c r="O677" s="24">
        <v>736</v>
      </c>
      <c r="P677" s="24">
        <v>736</v>
      </c>
      <c r="Q677" s="28">
        <v>0.24</v>
      </c>
      <c r="R677" s="29">
        <v>0</v>
      </c>
      <c r="S677" s="29">
        <v>3.44</v>
      </c>
      <c r="T677" s="29">
        <v>0</v>
      </c>
      <c r="U677" s="30">
        <v>685.5</v>
      </c>
    </row>
    <row r="678" spans="2:21" x14ac:dyDescent="0.25">
      <c r="B678" s="31" t="s">
        <v>25</v>
      </c>
      <c r="C678" s="31">
        <v>64</v>
      </c>
      <c r="D678" s="22" t="s">
        <v>1111</v>
      </c>
      <c r="E678" s="22" t="s">
        <v>1112</v>
      </c>
      <c r="F678" s="22" t="s">
        <v>33</v>
      </c>
      <c r="G678" s="23">
        <v>12</v>
      </c>
      <c r="H678" s="24">
        <v>1104</v>
      </c>
      <c r="I678" s="24">
        <v>1.3680000000000001</v>
      </c>
      <c r="J678" s="24">
        <v>49.5</v>
      </c>
      <c r="K678" s="24">
        <v>1.3680000000000001</v>
      </c>
      <c r="L678" s="32">
        <v>40</v>
      </c>
      <c r="M678" s="33">
        <v>125.85600000000001</v>
      </c>
      <c r="N678" s="27">
        <v>125.85600000000001</v>
      </c>
      <c r="O678" s="24">
        <v>1104</v>
      </c>
      <c r="P678" s="24">
        <v>1104</v>
      </c>
      <c r="Q678" s="28">
        <v>0.11</v>
      </c>
      <c r="R678" s="29">
        <v>3.15</v>
      </c>
      <c r="S678" s="29">
        <v>2.54</v>
      </c>
      <c r="T678" s="29">
        <v>41</v>
      </c>
      <c r="U678" s="30">
        <v>1013.5</v>
      </c>
    </row>
    <row r="679" spans="2:21" x14ac:dyDescent="0.25">
      <c r="B679" s="31" t="s">
        <v>25</v>
      </c>
      <c r="C679" s="31">
        <v>64</v>
      </c>
      <c r="D679" s="22" t="s">
        <v>1113</v>
      </c>
      <c r="E679" s="22" t="s">
        <v>1114</v>
      </c>
      <c r="F679" s="22"/>
      <c r="G679" s="23">
        <v>12</v>
      </c>
      <c r="H679" s="24">
        <v>1104</v>
      </c>
      <c r="I679" s="24">
        <v>1.8959999999999999</v>
      </c>
      <c r="J679" s="24">
        <v>71.5</v>
      </c>
      <c r="K679" s="24">
        <v>0</v>
      </c>
      <c r="L679" s="32">
        <v>0</v>
      </c>
      <c r="M679" s="33">
        <v>0</v>
      </c>
      <c r="N679" s="27">
        <v>174.43199999999999</v>
      </c>
      <c r="O679" s="24">
        <v>1104</v>
      </c>
      <c r="P679" s="24">
        <v>1104</v>
      </c>
      <c r="Q679" s="28">
        <v>0.16</v>
      </c>
      <c r="R679" s="29">
        <v>0</v>
      </c>
      <c r="S679" s="29">
        <v>2.44</v>
      </c>
      <c r="T679" s="29">
        <v>0</v>
      </c>
      <c r="U679" s="30">
        <v>1032.5</v>
      </c>
    </row>
    <row r="680" spans="2:21" x14ac:dyDescent="0.25">
      <c r="B680" s="31" t="s">
        <v>25</v>
      </c>
      <c r="C680" s="31">
        <v>64</v>
      </c>
      <c r="D680" s="22" t="s">
        <v>1115</v>
      </c>
      <c r="E680" s="22" t="s">
        <v>1116</v>
      </c>
      <c r="F680" s="22"/>
      <c r="G680" s="23">
        <v>4</v>
      </c>
      <c r="H680" s="24">
        <v>368</v>
      </c>
      <c r="I680" s="24">
        <v>0</v>
      </c>
      <c r="J680" s="24">
        <v>0</v>
      </c>
      <c r="K680" s="24">
        <v>0</v>
      </c>
      <c r="L680" s="32">
        <v>0</v>
      </c>
      <c r="M680" s="33">
        <v>0</v>
      </c>
      <c r="N680" s="27">
        <v>0</v>
      </c>
      <c r="O680" s="24">
        <v>368</v>
      </c>
      <c r="P680" s="24">
        <v>368</v>
      </c>
      <c r="Q680" s="28">
        <v>0</v>
      </c>
      <c r="R680" s="29">
        <v>0</v>
      </c>
      <c r="S680" s="29">
        <v>0</v>
      </c>
      <c r="T680" s="29">
        <v>0</v>
      </c>
      <c r="U680" s="30">
        <v>368</v>
      </c>
    </row>
    <row r="681" spans="2:21" x14ac:dyDescent="0.25">
      <c r="B681" s="31" t="s">
        <v>25</v>
      </c>
      <c r="C681" s="31">
        <v>64</v>
      </c>
      <c r="D681" s="22" t="s">
        <v>1117</v>
      </c>
      <c r="E681" s="22" t="s">
        <v>1118</v>
      </c>
      <c r="F681" s="22"/>
      <c r="G681" s="23">
        <v>8</v>
      </c>
      <c r="H681" s="24">
        <v>736</v>
      </c>
      <c r="I681" s="24">
        <v>0</v>
      </c>
      <c r="J681" s="24">
        <v>0</v>
      </c>
      <c r="K681" s="24">
        <v>0</v>
      </c>
      <c r="L681" s="32">
        <v>0</v>
      </c>
      <c r="M681" s="33">
        <v>0</v>
      </c>
      <c r="N681" s="27">
        <v>0</v>
      </c>
      <c r="O681" s="24">
        <v>736</v>
      </c>
      <c r="P681" s="24">
        <v>736</v>
      </c>
      <c r="Q681" s="28">
        <v>0</v>
      </c>
      <c r="R681" s="29">
        <v>0</v>
      </c>
      <c r="S681" s="29">
        <v>0</v>
      </c>
      <c r="T681" s="29">
        <v>0</v>
      </c>
      <c r="U681" s="30">
        <v>736</v>
      </c>
    </row>
    <row r="682" spans="2:21" x14ac:dyDescent="0.25">
      <c r="B682" s="31" t="s">
        <v>25</v>
      </c>
      <c r="C682" s="31">
        <v>64</v>
      </c>
      <c r="D682" s="22" t="s">
        <v>1119</v>
      </c>
      <c r="E682" s="22" t="s">
        <v>1120</v>
      </c>
      <c r="F682" s="22"/>
      <c r="G682" s="23">
        <v>10</v>
      </c>
      <c r="H682" s="24">
        <v>920</v>
      </c>
      <c r="I682" s="24">
        <v>0</v>
      </c>
      <c r="J682" s="24">
        <v>0</v>
      </c>
      <c r="K682" s="24">
        <v>0</v>
      </c>
      <c r="L682" s="32">
        <v>0</v>
      </c>
      <c r="M682" s="33">
        <v>0</v>
      </c>
      <c r="N682" s="27">
        <v>0</v>
      </c>
      <c r="O682" s="24">
        <v>920</v>
      </c>
      <c r="P682" s="24">
        <v>920</v>
      </c>
      <c r="Q682" s="28">
        <v>0</v>
      </c>
      <c r="R682" s="29">
        <v>0</v>
      </c>
      <c r="S682" s="29">
        <v>0</v>
      </c>
      <c r="T682" s="29">
        <v>0</v>
      </c>
      <c r="U682" s="30">
        <v>920</v>
      </c>
    </row>
    <row r="683" spans="2:21" x14ac:dyDescent="0.25">
      <c r="B683" s="31" t="s">
        <v>25</v>
      </c>
      <c r="C683" s="31">
        <v>64</v>
      </c>
      <c r="D683" s="22" t="s">
        <v>1121</v>
      </c>
      <c r="E683" s="22" t="s">
        <v>1122</v>
      </c>
      <c r="F683" s="22"/>
      <c r="G683" s="23">
        <v>21</v>
      </c>
      <c r="H683" s="24">
        <v>1932</v>
      </c>
      <c r="I683" s="24">
        <v>1.8900000000000001</v>
      </c>
      <c r="J683" s="24">
        <v>120</v>
      </c>
      <c r="K683" s="24">
        <v>0</v>
      </c>
      <c r="L683" s="32">
        <v>0</v>
      </c>
      <c r="M683" s="33">
        <v>0</v>
      </c>
      <c r="N683" s="27">
        <v>173.88000000000002</v>
      </c>
      <c r="O683" s="24">
        <v>1932</v>
      </c>
      <c r="P683" s="24">
        <v>1932</v>
      </c>
      <c r="Q683" s="28">
        <v>0.09</v>
      </c>
      <c r="R683" s="29">
        <v>0</v>
      </c>
      <c r="S683" s="29">
        <v>1.45</v>
      </c>
      <c r="T683" s="29">
        <v>0</v>
      </c>
      <c r="U683" s="30">
        <v>1812</v>
      </c>
    </row>
    <row r="684" spans="2:21" x14ac:dyDescent="0.25">
      <c r="B684" s="31" t="s">
        <v>25</v>
      </c>
      <c r="C684" s="31">
        <v>64</v>
      </c>
      <c r="D684" s="22" t="s">
        <v>1123</v>
      </c>
      <c r="E684" s="22" t="s">
        <v>1124</v>
      </c>
      <c r="F684" s="22"/>
      <c r="G684" s="23">
        <v>22</v>
      </c>
      <c r="H684" s="24">
        <v>2024</v>
      </c>
      <c r="I684" s="24">
        <v>0</v>
      </c>
      <c r="J684" s="24">
        <v>0</v>
      </c>
      <c r="K684" s="24">
        <v>0</v>
      </c>
      <c r="L684" s="32">
        <v>0</v>
      </c>
      <c r="M684" s="33">
        <v>0</v>
      </c>
      <c r="N684" s="27">
        <v>0</v>
      </c>
      <c r="O684" s="24">
        <v>2024</v>
      </c>
      <c r="P684" s="24">
        <v>2024</v>
      </c>
      <c r="Q684" s="28">
        <v>0</v>
      </c>
      <c r="R684" s="29">
        <v>0</v>
      </c>
      <c r="S684" s="29">
        <v>0</v>
      </c>
      <c r="T684" s="29">
        <v>0</v>
      </c>
      <c r="U684" s="30">
        <v>2024</v>
      </c>
    </row>
    <row r="685" spans="2:21" x14ac:dyDescent="0.25">
      <c r="B685" s="31" t="s">
        <v>25</v>
      </c>
      <c r="C685" s="31">
        <v>64</v>
      </c>
      <c r="D685" s="22" t="s">
        <v>1125</v>
      </c>
      <c r="E685" s="22" t="s">
        <v>1126</v>
      </c>
      <c r="F685" s="22"/>
      <c r="G685" s="23">
        <v>4</v>
      </c>
      <c r="H685" s="24">
        <v>368</v>
      </c>
      <c r="I685" s="24">
        <v>0</v>
      </c>
      <c r="J685" s="24">
        <v>0</v>
      </c>
      <c r="K685" s="24">
        <v>0</v>
      </c>
      <c r="L685" s="32">
        <v>0</v>
      </c>
      <c r="M685" s="33">
        <v>0</v>
      </c>
      <c r="N685" s="27">
        <v>0</v>
      </c>
      <c r="O685" s="24">
        <v>368</v>
      </c>
      <c r="P685" s="24">
        <v>368</v>
      </c>
      <c r="Q685" s="28">
        <v>0</v>
      </c>
      <c r="R685" s="29">
        <v>0</v>
      </c>
      <c r="S685" s="29">
        <v>0</v>
      </c>
      <c r="T685" s="29">
        <v>0</v>
      </c>
      <c r="U685" s="30">
        <v>368</v>
      </c>
    </row>
    <row r="686" spans="2:21" x14ac:dyDescent="0.25">
      <c r="B686" s="31" t="s">
        <v>25</v>
      </c>
      <c r="C686" s="31">
        <v>64</v>
      </c>
      <c r="D686" s="22" t="s">
        <v>1127</v>
      </c>
      <c r="E686" s="22" t="s">
        <v>1128</v>
      </c>
      <c r="F686" s="22"/>
      <c r="G686" s="23">
        <v>8</v>
      </c>
      <c r="H686" s="24">
        <v>736</v>
      </c>
      <c r="I686" s="24">
        <v>0</v>
      </c>
      <c r="J686" s="24">
        <v>0</v>
      </c>
      <c r="K686" s="24">
        <v>0</v>
      </c>
      <c r="L686" s="32">
        <v>0</v>
      </c>
      <c r="M686" s="33">
        <v>0</v>
      </c>
      <c r="N686" s="27">
        <v>0</v>
      </c>
      <c r="O686" s="24">
        <v>736</v>
      </c>
      <c r="P686" s="24">
        <v>736</v>
      </c>
      <c r="Q686" s="28">
        <v>0</v>
      </c>
      <c r="R686" s="29">
        <v>0</v>
      </c>
      <c r="S686" s="29">
        <v>0</v>
      </c>
      <c r="T686" s="29">
        <v>0</v>
      </c>
      <c r="U686" s="30">
        <v>736</v>
      </c>
    </row>
    <row r="687" spans="2:21" x14ac:dyDescent="0.25">
      <c r="B687" s="31" t="s">
        <v>25</v>
      </c>
      <c r="C687" s="31">
        <v>64</v>
      </c>
      <c r="D687" s="22" t="s">
        <v>1129</v>
      </c>
      <c r="E687" s="22" t="s">
        <v>1130</v>
      </c>
      <c r="F687" s="22"/>
      <c r="G687" s="23">
        <v>31</v>
      </c>
      <c r="H687" s="24">
        <v>2852</v>
      </c>
      <c r="I687" s="24">
        <v>2.8519999999999999</v>
      </c>
      <c r="J687" s="24">
        <v>48.5</v>
      </c>
      <c r="K687" s="24">
        <v>0</v>
      </c>
      <c r="L687" s="32">
        <v>0</v>
      </c>
      <c r="M687" s="33">
        <v>0</v>
      </c>
      <c r="N687" s="27">
        <v>262.38400000000001</v>
      </c>
      <c r="O687" s="24">
        <v>2852</v>
      </c>
      <c r="P687" s="24">
        <v>2852</v>
      </c>
      <c r="Q687" s="28">
        <v>0.09</v>
      </c>
      <c r="R687" s="29">
        <v>0</v>
      </c>
      <c r="S687" s="29">
        <v>5.41</v>
      </c>
      <c r="T687" s="29">
        <v>0</v>
      </c>
      <c r="U687" s="30">
        <v>2803.5</v>
      </c>
    </row>
    <row r="688" spans="2:21" x14ac:dyDescent="0.25">
      <c r="B688" s="31" t="s">
        <v>25</v>
      </c>
      <c r="C688" s="31">
        <v>64</v>
      </c>
      <c r="D688" s="22" t="s">
        <v>1131</v>
      </c>
      <c r="E688" s="22" t="s">
        <v>1132</v>
      </c>
      <c r="F688" s="22"/>
      <c r="G688" s="23">
        <v>10</v>
      </c>
      <c r="H688" s="24">
        <v>920</v>
      </c>
      <c r="I688" s="24">
        <v>0.45</v>
      </c>
      <c r="J688" s="24">
        <v>50.5</v>
      </c>
      <c r="K688" s="24">
        <v>0</v>
      </c>
      <c r="L688" s="32">
        <v>0</v>
      </c>
      <c r="M688" s="33">
        <v>0</v>
      </c>
      <c r="N688" s="27">
        <v>41.4</v>
      </c>
      <c r="O688" s="24">
        <v>920</v>
      </c>
      <c r="P688" s="24">
        <v>920</v>
      </c>
      <c r="Q688" s="28">
        <v>0.05</v>
      </c>
      <c r="R688" s="29">
        <v>0</v>
      </c>
      <c r="S688" s="29">
        <v>0.82</v>
      </c>
      <c r="T688" s="29">
        <v>0</v>
      </c>
      <c r="U688" s="30">
        <v>869.5</v>
      </c>
    </row>
    <row r="689" spans="2:21" x14ac:dyDescent="0.25">
      <c r="B689" s="31" t="s">
        <v>25</v>
      </c>
      <c r="C689" s="31">
        <v>64</v>
      </c>
      <c r="D689" s="22" t="s">
        <v>1133</v>
      </c>
      <c r="E689" s="22" t="s">
        <v>1134</v>
      </c>
      <c r="F689" s="22"/>
      <c r="G689" s="23">
        <v>8</v>
      </c>
      <c r="H689" s="24">
        <v>736</v>
      </c>
      <c r="I689" s="24">
        <v>0</v>
      </c>
      <c r="J689" s="24">
        <v>0</v>
      </c>
      <c r="K689" s="24">
        <v>0</v>
      </c>
      <c r="L689" s="32">
        <v>0</v>
      </c>
      <c r="M689" s="33">
        <v>0</v>
      </c>
      <c r="N689" s="27">
        <v>0</v>
      </c>
      <c r="O689" s="24">
        <v>736</v>
      </c>
      <c r="P689" s="24">
        <v>736</v>
      </c>
      <c r="Q689" s="28">
        <v>0</v>
      </c>
      <c r="R689" s="29">
        <v>0</v>
      </c>
      <c r="S689" s="29">
        <v>0</v>
      </c>
      <c r="T689" s="29">
        <v>0</v>
      </c>
      <c r="U689" s="30">
        <v>736</v>
      </c>
    </row>
    <row r="690" spans="2:21" x14ac:dyDescent="0.25">
      <c r="B690" s="31" t="s">
        <v>25</v>
      </c>
      <c r="C690" s="31">
        <v>64</v>
      </c>
      <c r="D690" s="22" t="s">
        <v>1135</v>
      </c>
      <c r="E690" s="22" t="s">
        <v>1136</v>
      </c>
      <c r="F690" s="22" t="s">
        <v>33</v>
      </c>
      <c r="G690" s="23">
        <v>29</v>
      </c>
      <c r="H690" s="24">
        <v>2668</v>
      </c>
      <c r="I690" s="24">
        <v>3.2770000000000001</v>
      </c>
      <c r="J690" s="24">
        <v>95</v>
      </c>
      <c r="K690" s="24">
        <v>1.3919999999999999</v>
      </c>
      <c r="L690" s="32">
        <v>62</v>
      </c>
      <c r="M690" s="33">
        <v>128.06399999999999</v>
      </c>
      <c r="N690" s="27">
        <v>301.48399999999998</v>
      </c>
      <c r="O690" s="24">
        <v>2668</v>
      </c>
      <c r="P690" s="24">
        <v>2668</v>
      </c>
      <c r="Q690" s="28">
        <v>0.11</v>
      </c>
      <c r="R690" s="29">
        <v>2.0699999999999998</v>
      </c>
      <c r="S690" s="29">
        <v>3.17</v>
      </c>
      <c r="T690" s="29">
        <v>62.5</v>
      </c>
      <c r="U690" s="30">
        <v>2510.5</v>
      </c>
    </row>
    <row r="691" spans="2:21" x14ac:dyDescent="0.25">
      <c r="B691" s="31" t="s">
        <v>25</v>
      </c>
      <c r="C691" s="31">
        <v>64</v>
      </c>
      <c r="D691" s="22" t="s">
        <v>1137</v>
      </c>
      <c r="E691" s="22" t="s">
        <v>1138</v>
      </c>
      <c r="F691" s="22"/>
      <c r="G691" s="23">
        <v>4</v>
      </c>
      <c r="H691" s="24">
        <v>368</v>
      </c>
      <c r="I691" s="24">
        <v>0</v>
      </c>
      <c r="J691" s="24">
        <v>0</v>
      </c>
      <c r="K691" s="24">
        <v>0</v>
      </c>
      <c r="L691" s="32">
        <v>0</v>
      </c>
      <c r="M691" s="33">
        <v>0</v>
      </c>
      <c r="N691" s="27">
        <v>0</v>
      </c>
      <c r="O691" s="24">
        <v>368</v>
      </c>
      <c r="P691" s="24">
        <v>368</v>
      </c>
      <c r="Q691" s="28">
        <v>0</v>
      </c>
      <c r="R691" s="29">
        <v>0</v>
      </c>
      <c r="S691" s="29">
        <v>0</v>
      </c>
      <c r="T691" s="29">
        <v>0</v>
      </c>
      <c r="U691" s="30">
        <v>368</v>
      </c>
    </row>
    <row r="692" spans="2:21" x14ac:dyDescent="0.25">
      <c r="B692" s="31" t="s">
        <v>25</v>
      </c>
      <c r="C692" s="31">
        <v>64</v>
      </c>
      <c r="D692" s="22" t="s">
        <v>1139</v>
      </c>
      <c r="E692" s="22" t="s">
        <v>1140</v>
      </c>
      <c r="F692" s="22"/>
      <c r="G692" s="23">
        <v>10</v>
      </c>
      <c r="H692" s="24">
        <v>920</v>
      </c>
      <c r="I692" s="24">
        <v>0</v>
      </c>
      <c r="J692" s="24">
        <v>0</v>
      </c>
      <c r="K692" s="24">
        <v>0</v>
      </c>
      <c r="L692" s="32">
        <v>0</v>
      </c>
      <c r="M692" s="33">
        <v>0</v>
      </c>
      <c r="N692" s="27">
        <v>0</v>
      </c>
      <c r="O692" s="24">
        <v>920</v>
      </c>
      <c r="P692" s="24">
        <v>920</v>
      </c>
      <c r="Q692" s="28">
        <v>0</v>
      </c>
      <c r="R692" s="29">
        <v>0</v>
      </c>
      <c r="S692" s="29">
        <v>0</v>
      </c>
      <c r="T692" s="29">
        <v>0</v>
      </c>
      <c r="U692" s="30">
        <v>920</v>
      </c>
    </row>
    <row r="693" spans="2:21" x14ac:dyDescent="0.25">
      <c r="B693" s="31" t="s">
        <v>25</v>
      </c>
      <c r="C693" s="31">
        <v>64</v>
      </c>
      <c r="D693" s="22" t="s">
        <v>1141</v>
      </c>
      <c r="E693" s="22" t="s">
        <v>1142</v>
      </c>
      <c r="F693" s="22"/>
      <c r="G693" s="23">
        <v>8</v>
      </c>
      <c r="H693" s="24">
        <v>736</v>
      </c>
      <c r="I693" s="24">
        <v>0</v>
      </c>
      <c r="J693" s="24">
        <v>0</v>
      </c>
      <c r="K693" s="24">
        <v>0</v>
      </c>
      <c r="L693" s="32">
        <v>0</v>
      </c>
      <c r="M693" s="33">
        <v>0</v>
      </c>
      <c r="N693" s="27">
        <v>0</v>
      </c>
      <c r="O693" s="24">
        <v>736</v>
      </c>
      <c r="P693" s="24">
        <v>736</v>
      </c>
      <c r="Q693" s="28">
        <v>0</v>
      </c>
      <c r="R693" s="29">
        <v>0</v>
      </c>
      <c r="S693" s="29">
        <v>0</v>
      </c>
      <c r="T693" s="29">
        <v>0</v>
      </c>
      <c r="U693" s="30">
        <v>736</v>
      </c>
    </row>
    <row r="694" spans="2:21" x14ac:dyDescent="0.25">
      <c r="B694" s="31" t="s">
        <v>25</v>
      </c>
      <c r="C694" s="31">
        <v>64</v>
      </c>
      <c r="D694" s="22" t="s">
        <v>1143</v>
      </c>
      <c r="E694" s="22" t="s">
        <v>1144</v>
      </c>
      <c r="F694" s="22"/>
      <c r="G694" s="23">
        <v>22</v>
      </c>
      <c r="H694" s="24">
        <v>2024</v>
      </c>
      <c r="I694" s="24">
        <v>0</v>
      </c>
      <c r="J694" s="24">
        <v>0</v>
      </c>
      <c r="K694" s="24">
        <v>0</v>
      </c>
      <c r="L694" s="32">
        <v>0</v>
      </c>
      <c r="M694" s="33">
        <v>0</v>
      </c>
      <c r="N694" s="27">
        <v>0</v>
      </c>
      <c r="O694" s="24">
        <v>2024</v>
      </c>
      <c r="P694" s="24">
        <v>2024</v>
      </c>
      <c r="Q694" s="28">
        <v>0</v>
      </c>
      <c r="R694" s="29">
        <v>0</v>
      </c>
      <c r="S694" s="29">
        <v>0</v>
      </c>
      <c r="T694" s="29">
        <v>0</v>
      </c>
      <c r="U694" s="30">
        <v>2024</v>
      </c>
    </row>
    <row r="695" spans="2:21" x14ac:dyDescent="0.25">
      <c r="B695" s="31" t="s">
        <v>25</v>
      </c>
      <c r="C695" s="31">
        <v>64</v>
      </c>
      <c r="D695" s="22" t="s">
        <v>1145</v>
      </c>
      <c r="E695" s="22" t="s">
        <v>1146</v>
      </c>
      <c r="F695" s="22"/>
      <c r="G695" s="23">
        <v>10</v>
      </c>
      <c r="H695" s="24">
        <v>920</v>
      </c>
      <c r="I695" s="24">
        <v>0</v>
      </c>
      <c r="J695" s="24">
        <v>0</v>
      </c>
      <c r="K695" s="24">
        <v>0</v>
      </c>
      <c r="L695" s="32">
        <v>0</v>
      </c>
      <c r="M695" s="33">
        <v>0</v>
      </c>
      <c r="N695" s="27">
        <v>0</v>
      </c>
      <c r="O695" s="24">
        <v>920</v>
      </c>
      <c r="P695" s="24">
        <v>920</v>
      </c>
      <c r="Q695" s="28">
        <v>0</v>
      </c>
      <c r="R695" s="29">
        <v>0</v>
      </c>
      <c r="S695" s="29">
        <v>0</v>
      </c>
      <c r="T695" s="29">
        <v>0</v>
      </c>
      <c r="U695" s="30">
        <v>920</v>
      </c>
    </row>
    <row r="696" spans="2:21" x14ac:dyDescent="0.25">
      <c r="B696" s="31" t="s">
        <v>25</v>
      </c>
      <c r="C696" s="31">
        <v>64</v>
      </c>
      <c r="D696" s="22" t="s">
        <v>1147</v>
      </c>
      <c r="E696" s="22" t="s">
        <v>1148</v>
      </c>
      <c r="F696" s="22" t="s">
        <v>788</v>
      </c>
      <c r="G696" s="23">
        <v>89</v>
      </c>
      <c r="H696" s="24">
        <v>178</v>
      </c>
      <c r="I696" s="24">
        <v>24.03</v>
      </c>
      <c r="J696" s="24">
        <v>97</v>
      </c>
      <c r="K696" s="24">
        <v>14.061999999999999</v>
      </c>
      <c r="L696" s="32">
        <v>60</v>
      </c>
      <c r="M696" s="33">
        <v>28.123999999999999</v>
      </c>
      <c r="N696" s="27">
        <v>48.06</v>
      </c>
      <c r="O696" s="24">
        <v>178</v>
      </c>
      <c r="P696" s="24">
        <v>359.25925925925924</v>
      </c>
      <c r="Q696" s="28">
        <v>0.27</v>
      </c>
      <c r="R696" s="29">
        <v>0.47</v>
      </c>
      <c r="S696" s="29">
        <v>0.5</v>
      </c>
      <c r="T696" s="29">
        <v>60</v>
      </c>
      <c r="U696" s="30">
        <v>21</v>
      </c>
    </row>
    <row r="697" spans="2:21" x14ac:dyDescent="0.25">
      <c r="B697" s="31" t="s">
        <v>25</v>
      </c>
      <c r="C697" s="31">
        <v>64</v>
      </c>
      <c r="D697" s="22" t="s">
        <v>1149</v>
      </c>
      <c r="E697" s="22" t="s">
        <v>1150</v>
      </c>
      <c r="F697" s="22"/>
      <c r="G697" s="23">
        <v>86</v>
      </c>
      <c r="H697" s="24">
        <v>172</v>
      </c>
      <c r="I697" s="24">
        <v>6.9660000000000002</v>
      </c>
      <c r="J697" s="24">
        <v>15.5</v>
      </c>
      <c r="K697" s="24">
        <v>0</v>
      </c>
      <c r="L697" s="32">
        <v>0</v>
      </c>
      <c r="M697" s="33">
        <v>0</v>
      </c>
      <c r="N697" s="27">
        <v>13.932</v>
      </c>
      <c r="O697" s="24">
        <v>172</v>
      </c>
      <c r="P697" s="24">
        <v>172</v>
      </c>
      <c r="Q697" s="28">
        <v>0.08</v>
      </c>
      <c r="R697" s="29">
        <v>0</v>
      </c>
      <c r="S697" s="29">
        <v>0.9</v>
      </c>
      <c r="T697" s="29">
        <v>0</v>
      </c>
      <c r="U697" s="30">
        <v>156.5</v>
      </c>
    </row>
    <row r="698" spans="2:21" x14ac:dyDescent="0.25">
      <c r="B698" s="31" t="s">
        <v>25</v>
      </c>
      <c r="C698" s="31">
        <v>64</v>
      </c>
      <c r="D698" s="22" t="s">
        <v>1151</v>
      </c>
      <c r="E698" s="22" t="s">
        <v>1152</v>
      </c>
      <c r="F698" s="22"/>
      <c r="G698" s="23">
        <v>87</v>
      </c>
      <c r="H698" s="24">
        <v>174</v>
      </c>
      <c r="I698" s="24">
        <v>0</v>
      </c>
      <c r="J698" s="24">
        <v>0</v>
      </c>
      <c r="K698" s="24">
        <v>0</v>
      </c>
      <c r="L698" s="32">
        <v>0</v>
      </c>
      <c r="M698" s="33">
        <v>0</v>
      </c>
      <c r="N698" s="27">
        <v>0</v>
      </c>
      <c r="O698" s="24">
        <v>174</v>
      </c>
      <c r="P698" s="24">
        <v>174</v>
      </c>
      <c r="Q698" s="28">
        <v>0</v>
      </c>
      <c r="R698" s="29">
        <v>0</v>
      </c>
      <c r="S698" s="29">
        <v>0</v>
      </c>
      <c r="T698" s="29">
        <v>0</v>
      </c>
      <c r="U698" s="30">
        <v>174</v>
      </c>
    </row>
    <row r="699" spans="2:21" x14ac:dyDescent="0.25">
      <c r="B699" s="31" t="s">
        <v>25</v>
      </c>
      <c r="C699" s="22">
        <v>65</v>
      </c>
      <c r="D699" s="22" t="s">
        <v>695</v>
      </c>
      <c r="E699" s="22" t="s">
        <v>1153</v>
      </c>
      <c r="F699" s="22"/>
      <c r="G699" s="23">
        <v>295520</v>
      </c>
      <c r="H699" s="24">
        <v>9382.6999999999989</v>
      </c>
      <c r="I699" s="24">
        <v>0</v>
      </c>
      <c r="J699" s="24">
        <v>0</v>
      </c>
      <c r="K699" s="24">
        <v>0</v>
      </c>
      <c r="L699" s="32">
        <v>0</v>
      </c>
      <c r="M699" s="33">
        <v>0</v>
      </c>
      <c r="N699" s="27">
        <v>0</v>
      </c>
      <c r="O699" s="24">
        <v>9382.6999999999989</v>
      </c>
      <c r="P699" s="24">
        <v>9382.6999999999989</v>
      </c>
      <c r="Q699" s="28">
        <v>0</v>
      </c>
      <c r="R699" s="29">
        <v>0</v>
      </c>
      <c r="S699" s="29">
        <v>0</v>
      </c>
      <c r="T699" s="29">
        <v>0</v>
      </c>
      <c r="U699" s="30">
        <v>9382.6999999999989</v>
      </c>
    </row>
    <row r="700" spans="2:21" x14ac:dyDescent="0.25">
      <c r="B700" s="31" t="s">
        <v>25</v>
      </c>
      <c r="C700" s="31">
        <v>65</v>
      </c>
      <c r="D700" s="22" t="s">
        <v>1154</v>
      </c>
      <c r="E700" s="22" t="s">
        <v>1155</v>
      </c>
      <c r="F700" s="22" t="s">
        <v>44</v>
      </c>
      <c r="G700" s="23">
        <v>0</v>
      </c>
      <c r="H700" s="24">
        <v>0</v>
      </c>
      <c r="I700" s="24">
        <v>0</v>
      </c>
      <c r="J700" s="24">
        <v>0</v>
      </c>
      <c r="K700" s="24">
        <v>0</v>
      </c>
      <c r="L700" s="32">
        <v>0</v>
      </c>
      <c r="M700" s="33">
        <v>0</v>
      </c>
      <c r="N700" s="27">
        <v>0</v>
      </c>
      <c r="O700" s="24">
        <v>0</v>
      </c>
      <c r="P700" s="24">
        <v>0</v>
      </c>
      <c r="Q700" s="28">
        <v>0</v>
      </c>
      <c r="R700" s="29">
        <v>0</v>
      </c>
      <c r="S700" s="29">
        <v>0</v>
      </c>
      <c r="T700" s="29">
        <v>0</v>
      </c>
      <c r="U700" s="30">
        <v>0</v>
      </c>
    </row>
    <row r="701" spans="2:21" x14ac:dyDescent="0.25">
      <c r="B701" s="31" t="s">
        <v>25</v>
      </c>
      <c r="C701" s="31">
        <v>65</v>
      </c>
      <c r="D701" s="22" t="s">
        <v>1156</v>
      </c>
      <c r="E701" s="22" t="s">
        <v>1157</v>
      </c>
      <c r="F701" s="22" t="s">
        <v>44</v>
      </c>
      <c r="G701" s="23">
        <v>0</v>
      </c>
      <c r="H701" s="24">
        <v>0</v>
      </c>
      <c r="I701" s="24">
        <v>0</v>
      </c>
      <c r="J701" s="24">
        <v>0</v>
      </c>
      <c r="K701" s="24">
        <v>0</v>
      </c>
      <c r="L701" s="32">
        <v>0</v>
      </c>
      <c r="M701" s="33">
        <v>0</v>
      </c>
      <c r="N701" s="27">
        <v>0</v>
      </c>
      <c r="O701" s="24">
        <v>0</v>
      </c>
      <c r="P701" s="24">
        <v>0</v>
      </c>
      <c r="Q701" s="28">
        <v>0</v>
      </c>
      <c r="R701" s="29">
        <v>0</v>
      </c>
      <c r="S701" s="29">
        <v>0</v>
      </c>
      <c r="T701" s="29">
        <v>0</v>
      </c>
      <c r="U701" s="30">
        <v>0</v>
      </c>
    </row>
    <row r="702" spans="2:21" x14ac:dyDescent="0.25">
      <c r="B702" s="31" t="s">
        <v>25</v>
      </c>
      <c r="C702" s="31">
        <v>65</v>
      </c>
      <c r="D702" s="22" t="s">
        <v>1158</v>
      </c>
      <c r="E702" s="22" t="s">
        <v>1159</v>
      </c>
      <c r="F702" s="22" t="s">
        <v>44</v>
      </c>
      <c r="G702" s="23">
        <v>0</v>
      </c>
      <c r="H702" s="24">
        <v>0</v>
      </c>
      <c r="I702" s="24">
        <v>0</v>
      </c>
      <c r="J702" s="24">
        <v>0</v>
      </c>
      <c r="K702" s="24">
        <v>0</v>
      </c>
      <c r="L702" s="32">
        <v>0</v>
      </c>
      <c r="M702" s="33">
        <v>0</v>
      </c>
      <c r="N702" s="27">
        <v>0</v>
      </c>
      <c r="O702" s="24">
        <v>0</v>
      </c>
      <c r="P702" s="24">
        <v>0</v>
      </c>
      <c r="Q702" s="28">
        <v>0</v>
      </c>
      <c r="R702" s="29">
        <v>0</v>
      </c>
      <c r="S702" s="29">
        <v>0</v>
      </c>
      <c r="T702" s="29">
        <v>0</v>
      </c>
      <c r="U702" s="30">
        <v>0</v>
      </c>
    </row>
    <row r="703" spans="2:21" x14ac:dyDescent="0.25">
      <c r="B703" s="31" t="s">
        <v>25</v>
      </c>
      <c r="C703" s="31">
        <v>65</v>
      </c>
      <c r="D703" s="22" t="s">
        <v>1160</v>
      </c>
      <c r="E703" s="22" t="s">
        <v>1161</v>
      </c>
      <c r="F703" s="22" t="s">
        <v>44</v>
      </c>
      <c r="G703" s="23">
        <v>0</v>
      </c>
      <c r="H703" s="24">
        <v>0</v>
      </c>
      <c r="I703" s="24">
        <v>0</v>
      </c>
      <c r="J703" s="24">
        <v>0</v>
      </c>
      <c r="K703" s="24">
        <v>0</v>
      </c>
      <c r="L703" s="32">
        <v>0</v>
      </c>
      <c r="M703" s="33">
        <v>0</v>
      </c>
      <c r="N703" s="27">
        <v>0</v>
      </c>
      <c r="O703" s="24">
        <v>0</v>
      </c>
      <c r="P703" s="24">
        <v>0</v>
      </c>
      <c r="Q703" s="28">
        <v>0</v>
      </c>
      <c r="R703" s="29">
        <v>0</v>
      </c>
      <c r="S703" s="29">
        <v>0</v>
      </c>
      <c r="T703" s="29">
        <v>0</v>
      </c>
      <c r="U703" s="30">
        <v>0</v>
      </c>
    </row>
    <row r="704" spans="2:21" x14ac:dyDescent="0.25">
      <c r="B704" s="31" t="s">
        <v>25</v>
      </c>
      <c r="C704" s="31">
        <v>65</v>
      </c>
      <c r="D704" s="22" t="s">
        <v>1162</v>
      </c>
      <c r="E704" s="22" t="s">
        <v>1163</v>
      </c>
      <c r="F704" s="22" t="s">
        <v>44</v>
      </c>
      <c r="G704" s="23">
        <v>0</v>
      </c>
      <c r="H704" s="24">
        <v>0</v>
      </c>
      <c r="I704" s="24">
        <v>0</v>
      </c>
      <c r="J704" s="24">
        <v>0</v>
      </c>
      <c r="K704" s="24">
        <v>0</v>
      </c>
      <c r="L704" s="32">
        <v>0</v>
      </c>
      <c r="M704" s="33">
        <v>0</v>
      </c>
      <c r="N704" s="27">
        <v>0</v>
      </c>
      <c r="O704" s="24">
        <v>0</v>
      </c>
      <c r="P704" s="24">
        <v>0</v>
      </c>
      <c r="Q704" s="28">
        <v>0</v>
      </c>
      <c r="R704" s="29">
        <v>0</v>
      </c>
      <c r="S704" s="29">
        <v>0</v>
      </c>
      <c r="T704" s="29">
        <v>0</v>
      </c>
      <c r="U704" s="30">
        <v>0</v>
      </c>
    </row>
    <row r="705" spans="2:21" x14ac:dyDescent="0.25">
      <c r="B705" s="31" t="s">
        <v>25</v>
      </c>
      <c r="C705" s="31">
        <v>65</v>
      </c>
      <c r="D705" s="22" t="s">
        <v>1164</v>
      </c>
      <c r="E705" s="22" t="s">
        <v>1165</v>
      </c>
      <c r="F705" s="22" t="s">
        <v>44</v>
      </c>
      <c r="G705" s="23">
        <v>0</v>
      </c>
      <c r="H705" s="24">
        <v>0</v>
      </c>
      <c r="I705" s="24">
        <v>0</v>
      </c>
      <c r="J705" s="24">
        <v>0</v>
      </c>
      <c r="K705" s="24">
        <v>0</v>
      </c>
      <c r="L705" s="32">
        <v>0</v>
      </c>
      <c r="M705" s="33">
        <v>0</v>
      </c>
      <c r="N705" s="27">
        <v>0</v>
      </c>
      <c r="O705" s="24">
        <v>0</v>
      </c>
      <c r="P705" s="24">
        <v>0</v>
      </c>
      <c r="Q705" s="28">
        <v>0</v>
      </c>
      <c r="R705" s="29">
        <v>0</v>
      </c>
      <c r="S705" s="29">
        <v>0</v>
      </c>
      <c r="T705" s="29">
        <v>0</v>
      </c>
      <c r="U705" s="30">
        <v>0</v>
      </c>
    </row>
    <row r="706" spans="2:21" x14ac:dyDescent="0.25">
      <c r="B706" s="31" t="s">
        <v>25</v>
      </c>
      <c r="C706" s="31">
        <v>65</v>
      </c>
      <c r="D706" s="22" t="s">
        <v>1166</v>
      </c>
      <c r="E706" s="22" t="s">
        <v>1167</v>
      </c>
      <c r="F706" s="22" t="s">
        <v>44</v>
      </c>
      <c r="G706" s="23">
        <v>0</v>
      </c>
      <c r="H706" s="24">
        <v>0</v>
      </c>
      <c r="I706" s="24">
        <v>0</v>
      </c>
      <c r="J706" s="24">
        <v>0</v>
      </c>
      <c r="K706" s="24">
        <v>0</v>
      </c>
      <c r="L706" s="32">
        <v>0</v>
      </c>
      <c r="M706" s="33">
        <v>0</v>
      </c>
      <c r="N706" s="27">
        <v>0</v>
      </c>
      <c r="O706" s="24">
        <v>0</v>
      </c>
      <c r="P706" s="24">
        <v>0</v>
      </c>
      <c r="Q706" s="28">
        <v>0</v>
      </c>
      <c r="R706" s="29">
        <v>0</v>
      </c>
      <c r="S706" s="29">
        <v>0</v>
      </c>
      <c r="T706" s="29">
        <v>0</v>
      </c>
      <c r="U706" s="30">
        <v>0</v>
      </c>
    </row>
    <row r="707" spans="2:21" x14ac:dyDescent="0.25">
      <c r="B707" s="31" t="s">
        <v>25</v>
      </c>
      <c r="C707" s="31">
        <v>65</v>
      </c>
      <c r="D707" s="22" t="s">
        <v>1168</v>
      </c>
      <c r="E707" s="22" t="s">
        <v>1169</v>
      </c>
      <c r="F707" s="22" t="s">
        <v>44</v>
      </c>
      <c r="G707" s="23">
        <v>0</v>
      </c>
      <c r="H707" s="24">
        <v>0</v>
      </c>
      <c r="I707" s="24">
        <v>0</v>
      </c>
      <c r="J707" s="24">
        <v>0</v>
      </c>
      <c r="K707" s="24">
        <v>0</v>
      </c>
      <c r="L707" s="32">
        <v>0</v>
      </c>
      <c r="M707" s="33">
        <v>0</v>
      </c>
      <c r="N707" s="27">
        <v>0</v>
      </c>
      <c r="O707" s="24">
        <v>0</v>
      </c>
      <c r="P707" s="24">
        <v>0</v>
      </c>
      <c r="Q707" s="28">
        <v>0</v>
      </c>
      <c r="R707" s="29">
        <v>0</v>
      </c>
      <c r="S707" s="29">
        <v>0</v>
      </c>
      <c r="T707" s="29">
        <v>0</v>
      </c>
      <c r="U707" s="30">
        <v>0</v>
      </c>
    </row>
    <row r="708" spans="2:21" x14ac:dyDescent="0.25">
      <c r="B708" s="31" t="s">
        <v>25</v>
      </c>
      <c r="C708" s="31">
        <v>65</v>
      </c>
      <c r="D708" s="22" t="s">
        <v>1170</v>
      </c>
      <c r="E708" s="22" t="s">
        <v>1171</v>
      </c>
      <c r="F708" s="22" t="s">
        <v>44</v>
      </c>
      <c r="G708" s="23">
        <v>0</v>
      </c>
      <c r="H708" s="24">
        <v>0</v>
      </c>
      <c r="I708" s="24">
        <v>0</v>
      </c>
      <c r="J708" s="24">
        <v>0</v>
      </c>
      <c r="K708" s="24">
        <v>0</v>
      </c>
      <c r="L708" s="32">
        <v>0</v>
      </c>
      <c r="M708" s="33">
        <v>0</v>
      </c>
      <c r="N708" s="27">
        <v>0</v>
      </c>
      <c r="O708" s="24">
        <v>0</v>
      </c>
      <c r="P708" s="24">
        <v>0</v>
      </c>
      <c r="Q708" s="28">
        <v>0</v>
      </c>
      <c r="R708" s="29">
        <v>0</v>
      </c>
      <c r="S708" s="29">
        <v>0</v>
      </c>
      <c r="T708" s="29">
        <v>0</v>
      </c>
      <c r="U708" s="30">
        <v>0</v>
      </c>
    </row>
    <row r="709" spans="2:21" x14ac:dyDescent="0.25">
      <c r="B709" s="31" t="s">
        <v>25</v>
      </c>
      <c r="C709" s="31">
        <v>65</v>
      </c>
      <c r="D709" s="22" t="s">
        <v>1172</v>
      </c>
      <c r="E709" s="22" t="s">
        <v>1173</v>
      </c>
      <c r="F709" s="22" t="s">
        <v>44</v>
      </c>
      <c r="G709" s="23">
        <v>0</v>
      </c>
      <c r="H709" s="24">
        <v>0</v>
      </c>
      <c r="I709" s="24">
        <v>0</v>
      </c>
      <c r="J709" s="24">
        <v>0</v>
      </c>
      <c r="K709" s="24">
        <v>0</v>
      </c>
      <c r="L709" s="32">
        <v>0</v>
      </c>
      <c r="M709" s="33">
        <v>0</v>
      </c>
      <c r="N709" s="27">
        <v>0</v>
      </c>
      <c r="O709" s="24">
        <v>0</v>
      </c>
      <c r="P709" s="24">
        <v>0</v>
      </c>
      <c r="Q709" s="28">
        <v>0</v>
      </c>
      <c r="R709" s="29">
        <v>0</v>
      </c>
      <c r="S709" s="29">
        <v>0</v>
      </c>
      <c r="T709" s="29">
        <v>0</v>
      </c>
      <c r="U709" s="30">
        <v>0</v>
      </c>
    </row>
    <row r="710" spans="2:21" x14ac:dyDescent="0.25">
      <c r="B710" s="31" t="s">
        <v>25</v>
      </c>
      <c r="C710" s="31">
        <v>65</v>
      </c>
      <c r="D710" s="22" t="s">
        <v>1174</v>
      </c>
      <c r="E710" s="22" t="s">
        <v>1175</v>
      </c>
      <c r="F710" s="22" t="s">
        <v>44</v>
      </c>
      <c r="G710" s="23">
        <v>0</v>
      </c>
      <c r="H710" s="24">
        <v>0</v>
      </c>
      <c r="I710" s="24">
        <v>0</v>
      </c>
      <c r="J710" s="24">
        <v>0</v>
      </c>
      <c r="K710" s="24">
        <v>0</v>
      </c>
      <c r="L710" s="32">
        <v>0</v>
      </c>
      <c r="M710" s="33">
        <v>0</v>
      </c>
      <c r="N710" s="27">
        <v>0</v>
      </c>
      <c r="O710" s="24">
        <v>0</v>
      </c>
      <c r="P710" s="24">
        <v>0</v>
      </c>
      <c r="Q710" s="28">
        <v>0</v>
      </c>
      <c r="R710" s="29">
        <v>0</v>
      </c>
      <c r="S710" s="29">
        <v>0</v>
      </c>
      <c r="T710" s="29">
        <v>0</v>
      </c>
      <c r="U710" s="30">
        <v>0</v>
      </c>
    </row>
    <row r="711" spans="2:21" x14ac:dyDescent="0.25">
      <c r="B711" s="31" t="s">
        <v>25</v>
      </c>
      <c r="C711" s="31">
        <v>65</v>
      </c>
      <c r="D711" s="22" t="s">
        <v>1176</v>
      </c>
      <c r="E711" s="22" t="s">
        <v>1177</v>
      </c>
      <c r="F711" s="22" t="s">
        <v>44</v>
      </c>
      <c r="G711" s="23">
        <v>0</v>
      </c>
      <c r="H711" s="24">
        <v>0</v>
      </c>
      <c r="I711" s="24">
        <v>0</v>
      </c>
      <c r="J711" s="24">
        <v>0</v>
      </c>
      <c r="K711" s="24">
        <v>0</v>
      </c>
      <c r="L711" s="32">
        <v>0</v>
      </c>
      <c r="M711" s="33">
        <v>0</v>
      </c>
      <c r="N711" s="27">
        <v>0</v>
      </c>
      <c r="O711" s="24">
        <v>0</v>
      </c>
      <c r="P711" s="24">
        <v>0</v>
      </c>
      <c r="Q711" s="28">
        <v>0</v>
      </c>
      <c r="R711" s="29">
        <v>0</v>
      </c>
      <c r="S711" s="29">
        <v>0</v>
      </c>
      <c r="T711" s="29">
        <v>0</v>
      </c>
      <c r="U711" s="30">
        <v>0</v>
      </c>
    </row>
    <row r="712" spans="2:21" x14ac:dyDescent="0.25">
      <c r="B712" s="31" t="s">
        <v>25</v>
      </c>
      <c r="C712" s="31">
        <v>65</v>
      </c>
      <c r="D712" s="22" t="s">
        <v>1178</v>
      </c>
      <c r="E712" s="22" t="s">
        <v>1179</v>
      </c>
      <c r="F712" s="22" t="s">
        <v>44</v>
      </c>
      <c r="G712" s="23">
        <v>0</v>
      </c>
      <c r="H712" s="24">
        <v>0</v>
      </c>
      <c r="I712" s="24">
        <v>0</v>
      </c>
      <c r="J712" s="24">
        <v>0</v>
      </c>
      <c r="K712" s="24">
        <v>0</v>
      </c>
      <c r="L712" s="32">
        <v>0</v>
      </c>
      <c r="M712" s="33">
        <v>0</v>
      </c>
      <c r="N712" s="27">
        <v>0</v>
      </c>
      <c r="O712" s="24">
        <v>0</v>
      </c>
      <c r="P712" s="24">
        <v>0</v>
      </c>
      <c r="Q712" s="28">
        <v>0</v>
      </c>
      <c r="R712" s="29">
        <v>0</v>
      </c>
      <c r="S712" s="29">
        <v>0</v>
      </c>
      <c r="T712" s="29">
        <v>0</v>
      </c>
      <c r="U712" s="30">
        <v>0</v>
      </c>
    </row>
    <row r="713" spans="2:21" x14ac:dyDescent="0.25">
      <c r="B713" s="31" t="s">
        <v>25</v>
      </c>
      <c r="C713" s="31">
        <v>65</v>
      </c>
      <c r="D713" s="22" t="s">
        <v>1180</v>
      </c>
      <c r="E713" s="22" t="s">
        <v>1181</v>
      </c>
      <c r="F713" s="22" t="s">
        <v>44</v>
      </c>
      <c r="G713" s="23">
        <v>0</v>
      </c>
      <c r="H713" s="24">
        <v>0</v>
      </c>
      <c r="I713" s="24">
        <v>0</v>
      </c>
      <c r="J713" s="24">
        <v>0</v>
      </c>
      <c r="K713" s="24">
        <v>0</v>
      </c>
      <c r="L713" s="32">
        <v>0</v>
      </c>
      <c r="M713" s="33">
        <v>0</v>
      </c>
      <c r="N713" s="27">
        <v>0</v>
      </c>
      <c r="O713" s="24">
        <v>0</v>
      </c>
      <c r="P713" s="24">
        <v>0</v>
      </c>
      <c r="Q713" s="28">
        <v>0</v>
      </c>
      <c r="R713" s="29">
        <v>0</v>
      </c>
      <c r="S713" s="29">
        <v>0</v>
      </c>
      <c r="T713" s="29">
        <v>0</v>
      </c>
      <c r="U713" s="30">
        <v>0</v>
      </c>
    </row>
    <row r="714" spans="2:21" x14ac:dyDescent="0.25">
      <c r="B714" s="31" t="s">
        <v>25</v>
      </c>
      <c r="C714" s="31">
        <v>65</v>
      </c>
      <c r="D714" s="22" t="s">
        <v>1182</v>
      </c>
      <c r="E714" s="22" t="s">
        <v>1183</v>
      </c>
      <c r="F714" s="22" t="s">
        <v>44</v>
      </c>
      <c r="G714" s="23">
        <v>0</v>
      </c>
      <c r="H714" s="24">
        <v>0</v>
      </c>
      <c r="I714" s="24">
        <v>0</v>
      </c>
      <c r="J714" s="24">
        <v>0</v>
      </c>
      <c r="K714" s="24">
        <v>0</v>
      </c>
      <c r="L714" s="32">
        <v>0</v>
      </c>
      <c r="M714" s="33">
        <v>0</v>
      </c>
      <c r="N714" s="27">
        <v>0</v>
      </c>
      <c r="O714" s="24">
        <v>0</v>
      </c>
      <c r="P714" s="24">
        <v>0</v>
      </c>
      <c r="Q714" s="28">
        <v>0</v>
      </c>
      <c r="R714" s="29">
        <v>0</v>
      </c>
      <c r="S714" s="29">
        <v>0</v>
      </c>
      <c r="T714" s="29">
        <v>0</v>
      </c>
      <c r="U714" s="30">
        <v>0</v>
      </c>
    </row>
    <row r="715" spans="2:21" x14ac:dyDescent="0.25">
      <c r="B715" s="31" t="s">
        <v>25</v>
      </c>
      <c r="C715" s="31">
        <v>65</v>
      </c>
      <c r="D715" s="22" t="s">
        <v>1184</v>
      </c>
      <c r="E715" s="22" t="s">
        <v>1185</v>
      </c>
      <c r="F715" s="22" t="s">
        <v>44</v>
      </c>
      <c r="G715" s="23">
        <v>0</v>
      </c>
      <c r="H715" s="24">
        <v>0</v>
      </c>
      <c r="I715" s="24">
        <v>0</v>
      </c>
      <c r="J715" s="24">
        <v>0</v>
      </c>
      <c r="K715" s="24">
        <v>0</v>
      </c>
      <c r="L715" s="32">
        <v>0</v>
      </c>
      <c r="M715" s="33">
        <v>0</v>
      </c>
      <c r="N715" s="27">
        <v>0</v>
      </c>
      <c r="O715" s="24">
        <v>0</v>
      </c>
      <c r="P715" s="24">
        <v>0</v>
      </c>
      <c r="Q715" s="28">
        <v>0</v>
      </c>
      <c r="R715" s="29">
        <v>0</v>
      </c>
      <c r="S715" s="29">
        <v>0</v>
      </c>
      <c r="T715" s="29">
        <v>0</v>
      </c>
      <c r="U715" s="30">
        <v>0</v>
      </c>
    </row>
    <row r="716" spans="2:21" x14ac:dyDescent="0.25">
      <c r="B716" s="31" t="s">
        <v>25</v>
      </c>
      <c r="C716" s="31">
        <v>65</v>
      </c>
      <c r="D716" s="22" t="s">
        <v>1186</v>
      </c>
      <c r="E716" s="22" t="s">
        <v>1187</v>
      </c>
      <c r="F716" s="22" t="s">
        <v>44</v>
      </c>
      <c r="G716" s="23">
        <v>0</v>
      </c>
      <c r="H716" s="24">
        <v>0</v>
      </c>
      <c r="I716" s="24">
        <v>0</v>
      </c>
      <c r="J716" s="24">
        <v>0</v>
      </c>
      <c r="K716" s="24">
        <v>0</v>
      </c>
      <c r="L716" s="32">
        <v>0</v>
      </c>
      <c r="M716" s="33">
        <v>0</v>
      </c>
      <c r="N716" s="27">
        <v>0</v>
      </c>
      <c r="O716" s="24">
        <v>0</v>
      </c>
      <c r="P716" s="24">
        <v>0</v>
      </c>
      <c r="Q716" s="28">
        <v>0</v>
      </c>
      <c r="R716" s="29">
        <v>0</v>
      </c>
      <c r="S716" s="29">
        <v>0</v>
      </c>
      <c r="T716" s="29">
        <v>0</v>
      </c>
      <c r="U716" s="30">
        <v>0</v>
      </c>
    </row>
    <row r="717" spans="2:21" x14ac:dyDescent="0.25">
      <c r="B717" s="31" t="s">
        <v>25</v>
      </c>
      <c r="C717" s="31">
        <v>65</v>
      </c>
      <c r="D717" s="22" t="s">
        <v>1188</v>
      </c>
      <c r="E717" s="22" t="s">
        <v>1189</v>
      </c>
      <c r="F717" s="22" t="s">
        <v>44</v>
      </c>
      <c r="G717" s="23">
        <v>0</v>
      </c>
      <c r="H717" s="24">
        <v>0</v>
      </c>
      <c r="I717" s="24">
        <v>0</v>
      </c>
      <c r="J717" s="24">
        <v>0</v>
      </c>
      <c r="K717" s="24">
        <v>0</v>
      </c>
      <c r="L717" s="32">
        <v>0</v>
      </c>
      <c r="M717" s="33">
        <v>0</v>
      </c>
      <c r="N717" s="27">
        <v>0</v>
      </c>
      <c r="O717" s="24">
        <v>0</v>
      </c>
      <c r="P717" s="24">
        <v>0</v>
      </c>
      <c r="Q717" s="28">
        <v>0</v>
      </c>
      <c r="R717" s="29">
        <v>0</v>
      </c>
      <c r="S717" s="29">
        <v>0</v>
      </c>
      <c r="T717" s="29">
        <v>0</v>
      </c>
      <c r="U717" s="30">
        <v>0</v>
      </c>
    </row>
    <row r="718" spans="2:21" x14ac:dyDescent="0.25">
      <c r="B718" s="31" t="s">
        <v>25</v>
      </c>
      <c r="C718" s="31">
        <v>65</v>
      </c>
      <c r="D718" s="22" t="s">
        <v>1190</v>
      </c>
      <c r="E718" s="22" t="s">
        <v>1191</v>
      </c>
      <c r="F718" s="22" t="s">
        <v>44</v>
      </c>
      <c r="G718" s="23">
        <v>0</v>
      </c>
      <c r="H718" s="24">
        <v>0</v>
      </c>
      <c r="I718" s="24">
        <v>0</v>
      </c>
      <c r="J718" s="24">
        <v>0</v>
      </c>
      <c r="K718" s="24">
        <v>0</v>
      </c>
      <c r="L718" s="32">
        <v>0</v>
      </c>
      <c r="M718" s="33">
        <v>0</v>
      </c>
      <c r="N718" s="27">
        <v>0</v>
      </c>
      <c r="O718" s="24">
        <v>0</v>
      </c>
      <c r="P718" s="24">
        <v>0</v>
      </c>
      <c r="Q718" s="28">
        <v>0</v>
      </c>
      <c r="R718" s="29">
        <v>0</v>
      </c>
      <c r="S718" s="29">
        <v>0</v>
      </c>
      <c r="T718" s="29">
        <v>0</v>
      </c>
      <c r="U718" s="30">
        <v>0</v>
      </c>
    </row>
    <row r="719" spans="2:21" x14ac:dyDescent="0.25">
      <c r="B719" s="31" t="s">
        <v>25</v>
      </c>
      <c r="C719" s="31">
        <v>65</v>
      </c>
      <c r="D719" s="22" t="s">
        <v>1192</v>
      </c>
      <c r="E719" s="22" t="s">
        <v>1193</v>
      </c>
      <c r="F719" s="22" t="s">
        <v>44</v>
      </c>
      <c r="G719" s="23">
        <v>0</v>
      </c>
      <c r="H719" s="24">
        <v>0</v>
      </c>
      <c r="I719" s="24">
        <v>0</v>
      </c>
      <c r="J719" s="24">
        <v>0</v>
      </c>
      <c r="K719" s="24">
        <v>0</v>
      </c>
      <c r="L719" s="32">
        <v>0</v>
      </c>
      <c r="M719" s="33">
        <v>0</v>
      </c>
      <c r="N719" s="27">
        <v>0</v>
      </c>
      <c r="O719" s="24">
        <v>0</v>
      </c>
      <c r="P719" s="24">
        <v>0</v>
      </c>
      <c r="Q719" s="28">
        <v>0</v>
      </c>
      <c r="R719" s="29">
        <v>0</v>
      </c>
      <c r="S719" s="29">
        <v>0</v>
      </c>
      <c r="T719" s="29">
        <v>0</v>
      </c>
      <c r="U719" s="30">
        <v>0</v>
      </c>
    </row>
    <row r="720" spans="2:21" x14ac:dyDescent="0.25">
      <c r="B720" s="31" t="s">
        <v>25</v>
      </c>
      <c r="C720" s="31">
        <v>65</v>
      </c>
      <c r="D720" s="22" t="s">
        <v>1194</v>
      </c>
      <c r="E720" s="22" t="s">
        <v>1195</v>
      </c>
      <c r="F720" s="22" t="s">
        <v>44</v>
      </c>
      <c r="G720" s="23">
        <v>0</v>
      </c>
      <c r="H720" s="24">
        <v>0</v>
      </c>
      <c r="I720" s="24">
        <v>0</v>
      </c>
      <c r="J720" s="24">
        <v>0</v>
      </c>
      <c r="K720" s="24">
        <v>0</v>
      </c>
      <c r="L720" s="32">
        <v>0</v>
      </c>
      <c r="M720" s="33">
        <v>0</v>
      </c>
      <c r="N720" s="27">
        <v>0</v>
      </c>
      <c r="O720" s="24">
        <v>0</v>
      </c>
      <c r="P720" s="24">
        <v>0</v>
      </c>
      <c r="Q720" s="28">
        <v>0</v>
      </c>
      <c r="R720" s="29">
        <v>0</v>
      </c>
      <c r="S720" s="29">
        <v>0</v>
      </c>
      <c r="T720" s="29">
        <v>0</v>
      </c>
      <c r="U720" s="30">
        <v>0</v>
      </c>
    </row>
    <row r="721" spans="2:21" x14ac:dyDescent="0.25">
      <c r="B721" s="31" t="s">
        <v>25</v>
      </c>
      <c r="C721" s="31">
        <v>65</v>
      </c>
      <c r="D721" s="22" t="s">
        <v>1196</v>
      </c>
      <c r="E721" s="22" t="s">
        <v>1197</v>
      </c>
      <c r="F721" s="22" t="s">
        <v>44</v>
      </c>
      <c r="G721" s="23">
        <v>0</v>
      </c>
      <c r="H721" s="24">
        <v>0</v>
      </c>
      <c r="I721" s="24">
        <v>0</v>
      </c>
      <c r="J721" s="24">
        <v>0</v>
      </c>
      <c r="K721" s="24">
        <v>0</v>
      </c>
      <c r="L721" s="32">
        <v>0</v>
      </c>
      <c r="M721" s="33">
        <v>0</v>
      </c>
      <c r="N721" s="27">
        <v>0</v>
      </c>
      <c r="O721" s="24">
        <v>0</v>
      </c>
      <c r="P721" s="24">
        <v>0</v>
      </c>
      <c r="Q721" s="28">
        <v>0</v>
      </c>
      <c r="R721" s="29">
        <v>0</v>
      </c>
      <c r="S721" s="29">
        <v>0</v>
      </c>
      <c r="T721" s="29">
        <v>0</v>
      </c>
      <c r="U721" s="30">
        <v>0</v>
      </c>
    </row>
    <row r="722" spans="2:21" x14ac:dyDescent="0.25">
      <c r="B722" s="31" t="s">
        <v>25</v>
      </c>
      <c r="C722" s="22">
        <v>66</v>
      </c>
      <c r="D722" s="22" t="s">
        <v>1208</v>
      </c>
      <c r="E722" s="22" t="s">
        <v>1209</v>
      </c>
      <c r="F722" s="22"/>
      <c r="G722" s="23">
        <v>73880</v>
      </c>
      <c r="H722" s="24">
        <v>1340.9999999999998</v>
      </c>
      <c r="I722" s="24">
        <v>0</v>
      </c>
      <c r="J722" s="24">
        <v>0</v>
      </c>
      <c r="K722" s="24">
        <v>0</v>
      </c>
      <c r="L722" s="32">
        <v>0</v>
      </c>
      <c r="M722" s="33">
        <v>0</v>
      </c>
      <c r="N722" s="27">
        <v>0</v>
      </c>
      <c r="O722" s="24">
        <v>1340.9999999999998</v>
      </c>
      <c r="P722" s="24">
        <v>1340.9999999999998</v>
      </c>
      <c r="Q722" s="28">
        <v>0</v>
      </c>
      <c r="R722" s="29">
        <v>0</v>
      </c>
      <c r="S722" s="29">
        <v>0</v>
      </c>
      <c r="T722" s="29">
        <v>0</v>
      </c>
      <c r="U722" s="30">
        <v>1340.9999999999998</v>
      </c>
    </row>
    <row r="723" spans="2:21" x14ac:dyDescent="0.25">
      <c r="B723" s="31" t="s">
        <v>25</v>
      </c>
      <c r="C723" s="31">
        <v>66</v>
      </c>
      <c r="D723" s="22" t="s">
        <v>1210</v>
      </c>
      <c r="E723" s="22" t="s">
        <v>1211</v>
      </c>
      <c r="F723" s="22" t="s">
        <v>44</v>
      </c>
      <c r="G723" s="23">
        <v>0</v>
      </c>
      <c r="H723" s="24">
        <v>0</v>
      </c>
      <c r="I723" s="24">
        <v>0</v>
      </c>
      <c r="J723" s="24">
        <v>0</v>
      </c>
      <c r="K723" s="24">
        <v>0</v>
      </c>
      <c r="L723" s="32">
        <v>0</v>
      </c>
      <c r="M723" s="33">
        <v>0</v>
      </c>
      <c r="N723" s="27">
        <v>0</v>
      </c>
      <c r="O723" s="24">
        <v>0</v>
      </c>
      <c r="P723" s="24">
        <v>0</v>
      </c>
      <c r="Q723" s="28">
        <v>0</v>
      </c>
      <c r="R723" s="29">
        <v>0</v>
      </c>
      <c r="S723" s="29">
        <v>0</v>
      </c>
      <c r="T723" s="29">
        <v>0</v>
      </c>
      <c r="U723" s="30">
        <v>0</v>
      </c>
    </row>
    <row r="724" spans="2:21" x14ac:dyDescent="0.25">
      <c r="B724" s="31" t="s">
        <v>25</v>
      </c>
      <c r="C724" s="31">
        <v>66</v>
      </c>
      <c r="D724" s="22" t="s">
        <v>1212</v>
      </c>
      <c r="E724" s="22" t="s">
        <v>1213</v>
      </c>
      <c r="F724" s="22" t="s">
        <v>44</v>
      </c>
      <c r="G724" s="23">
        <v>0</v>
      </c>
      <c r="H724" s="24">
        <v>0</v>
      </c>
      <c r="I724" s="24">
        <v>0</v>
      </c>
      <c r="J724" s="24">
        <v>0</v>
      </c>
      <c r="K724" s="24">
        <v>0</v>
      </c>
      <c r="L724" s="32">
        <v>0</v>
      </c>
      <c r="M724" s="33">
        <v>0</v>
      </c>
      <c r="N724" s="27">
        <v>0</v>
      </c>
      <c r="O724" s="24">
        <v>0</v>
      </c>
      <c r="P724" s="24">
        <v>0</v>
      </c>
      <c r="Q724" s="28">
        <v>0</v>
      </c>
      <c r="R724" s="29">
        <v>0</v>
      </c>
      <c r="S724" s="29">
        <v>0</v>
      </c>
      <c r="T724" s="29">
        <v>0</v>
      </c>
      <c r="U724" s="30">
        <v>0</v>
      </c>
    </row>
    <row r="725" spans="2:21" x14ac:dyDescent="0.25">
      <c r="B725" s="31" t="s">
        <v>25</v>
      </c>
      <c r="C725" s="31">
        <v>66</v>
      </c>
      <c r="D725" s="22" t="s">
        <v>1214</v>
      </c>
      <c r="E725" s="22" t="s">
        <v>1215</v>
      </c>
      <c r="F725" s="22" t="s">
        <v>44</v>
      </c>
      <c r="G725" s="23">
        <v>0</v>
      </c>
      <c r="H725" s="24">
        <v>0</v>
      </c>
      <c r="I725" s="24">
        <v>0</v>
      </c>
      <c r="J725" s="24">
        <v>0</v>
      </c>
      <c r="K725" s="24">
        <v>0</v>
      </c>
      <c r="L725" s="32">
        <v>0</v>
      </c>
      <c r="M725" s="33">
        <v>0</v>
      </c>
      <c r="N725" s="27">
        <v>0</v>
      </c>
      <c r="O725" s="24">
        <v>0</v>
      </c>
      <c r="P725" s="24">
        <v>0</v>
      </c>
      <c r="Q725" s="28">
        <v>0</v>
      </c>
      <c r="R725" s="29">
        <v>0</v>
      </c>
      <c r="S725" s="29">
        <v>0</v>
      </c>
      <c r="T725" s="29">
        <v>0</v>
      </c>
      <c r="U725" s="30">
        <v>0</v>
      </c>
    </row>
    <row r="726" spans="2:21" x14ac:dyDescent="0.25">
      <c r="B726" s="31" t="s">
        <v>25</v>
      </c>
      <c r="C726" s="31">
        <v>66</v>
      </c>
      <c r="D726" s="22" t="s">
        <v>1216</v>
      </c>
      <c r="E726" s="22" t="s">
        <v>1217</v>
      </c>
      <c r="F726" s="22" t="s">
        <v>44</v>
      </c>
      <c r="G726" s="23">
        <v>0</v>
      </c>
      <c r="H726" s="24">
        <v>0</v>
      </c>
      <c r="I726" s="24">
        <v>0</v>
      </c>
      <c r="J726" s="24">
        <v>0</v>
      </c>
      <c r="K726" s="24">
        <v>0</v>
      </c>
      <c r="L726" s="32">
        <v>0</v>
      </c>
      <c r="M726" s="33">
        <v>0</v>
      </c>
      <c r="N726" s="27">
        <v>0</v>
      </c>
      <c r="O726" s="24">
        <v>0</v>
      </c>
      <c r="P726" s="24">
        <v>0</v>
      </c>
      <c r="Q726" s="28">
        <v>0</v>
      </c>
      <c r="R726" s="29">
        <v>0</v>
      </c>
      <c r="S726" s="29">
        <v>0</v>
      </c>
      <c r="T726" s="29">
        <v>0</v>
      </c>
      <c r="U726" s="30">
        <v>0</v>
      </c>
    </row>
    <row r="727" spans="2:21" x14ac:dyDescent="0.25">
      <c r="B727" s="31" t="s">
        <v>25</v>
      </c>
      <c r="C727" s="31">
        <v>66</v>
      </c>
      <c r="D727" s="22" t="s">
        <v>1218</v>
      </c>
      <c r="E727" s="22" t="s">
        <v>1219</v>
      </c>
      <c r="F727" s="22" t="s">
        <v>44</v>
      </c>
      <c r="G727" s="23">
        <v>0</v>
      </c>
      <c r="H727" s="24">
        <v>0</v>
      </c>
      <c r="I727" s="24">
        <v>0</v>
      </c>
      <c r="J727" s="24">
        <v>0</v>
      </c>
      <c r="K727" s="24">
        <v>0</v>
      </c>
      <c r="L727" s="32">
        <v>0</v>
      </c>
      <c r="M727" s="33">
        <v>0</v>
      </c>
      <c r="N727" s="27">
        <v>0</v>
      </c>
      <c r="O727" s="24">
        <v>0</v>
      </c>
      <c r="P727" s="24">
        <v>0</v>
      </c>
      <c r="Q727" s="28">
        <v>0</v>
      </c>
      <c r="R727" s="29">
        <v>0</v>
      </c>
      <c r="S727" s="29">
        <v>0</v>
      </c>
      <c r="T727" s="29">
        <v>0</v>
      </c>
      <c r="U727" s="30">
        <v>0</v>
      </c>
    </row>
    <row r="728" spans="2:21" x14ac:dyDescent="0.25">
      <c r="B728" s="31" t="s">
        <v>25</v>
      </c>
      <c r="C728" s="31">
        <v>66</v>
      </c>
      <c r="D728" s="22" t="s">
        <v>1220</v>
      </c>
      <c r="E728" s="22" t="s">
        <v>1221</v>
      </c>
      <c r="F728" s="22" t="s">
        <v>44</v>
      </c>
      <c r="G728" s="23">
        <v>0</v>
      </c>
      <c r="H728" s="24">
        <v>0</v>
      </c>
      <c r="I728" s="24">
        <v>0</v>
      </c>
      <c r="J728" s="24">
        <v>0</v>
      </c>
      <c r="K728" s="24">
        <v>0</v>
      </c>
      <c r="L728" s="32">
        <v>0</v>
      </c>
      <c r="M728" s="33">
        <v>0</v>
      </c>
      <c r="N728" s="27">
        <v>0</v>
      </c>
      <c r="O728" s="24">
        <v>0</v>
      </c>
      <c r="P728" s="24">
        <v>0</v>
      </c>
      <c r="Q728" s="28">
        <v>0</v>
      </c>
      <c r="R728" s="29">
        <v>0</v>
      </c>
      <c r="S728" s="29">
        <v>0</v>
      </c>
      <c r="T728" s="29">
        <v>0</v>
      </c>
      <c r="U728" s="30">
        <v>0</v>
      </c>
    </row>
    <row r="729" spans="2:21" x14ac:dyDescent="0.25">
      <c r="B729" s="31" t="s">
        <v>25</v>
      </c>
      <c r="C729" s="31">
        <v>66</v>
      </c>
      <c r="D729" s="22" t="s">
        <v>1222</v>
      </c>
      <c r="E729" s="22" t="s">
        <v>1223</v>
      </c>
      <c r="F729" s="22" t="s">
        <v>44</v>
      </c>
      <c r="G729" s="23">
        <v>0</v>
      </c>
      <c r="H729" s="24">
        <v>0</v>
      </c>
      <c r="I729" s="24">
        <v>0</v>
      </c>
      <c r="J729" s="24">
        <v>0</v>
      </c>
      <c r="K729" s="24">
        <v>0</v>
      </c>
      <c r="L729" s="32">
        <v>0</v>
      </c>
      <c r="M729" s="33">
        <v>0</v>
      </c>
      <c r="N729" s="27">
        <v>0</v>
      </c>
      <c r="O729" s="24">
        <v>0</v>
      </c>
      <c r="P729" s="24">
        <v>0</v>
      </c>
      <c r="Q729" s="28">
        <v>0</v>
      </c>
      <c r="R729" s="29">
        <v>0</v>
      </c>
      <c r="S729" s="29">
        <v>0</v>
      </c>
      <c r="T729" s="29">
        <v>0</v>
      </c>
      <c r="U729" s="30">
        <v>0</v>
      </c>
    </row>
    <row r="730" spans="2:21" x14ac:dyDescent="0.25">
      <c r="B730" s="31" t="s">
        <v>25</v>
      </c>
      <c r="C730" s="31">
        <v>66</v>
      </c>
      <c r="D730" s="22" t="s">
        <v>1224</v>
      </c>
      <c r="E730" s="22" t="s">
        <v>1225</v>
      </c>
      <c r="F730" s="22" t="s">
        <v>44</v>
      </c>
      <c r="G730" s="23">
        <v>0</v>
      </c>
      <c r="H730" s="24">
        <v>0</v>
      </c>
      <c r="I730" s="24">
        <v>0</v>
      </c>
      <c r="J730" s="24">
        <v>0</v>
      </c>
      <c r="K730" s="24">
        <v>0</v>
      </c>
      <c r="L730" s="32">
        <v>0</v>
      </c>
      <c r="M730" s="33">
        <v>0</v>
      </c>
      <c r="N730" s="27">
        <v>0</v>
      </c>
      <c r="O730" s="24">
        <v>0</v>
      </c>
      <c r="P730" s="24">
        <v>0</v>
      </c>
      <c r="Q730" s="28">
        <v>0</v>
      </c>
      <c r="R730" s="29">
        <v>0</v>
      </c>
      <c r="S730" s="29">
        <v>0</v>
      </c>
      <c r="T730" s="29">
        <v>0</v>
      </c>
      <c r="U730" s="30">
        <v>0</v>
      </c>
    </row>
    <row r="731" spans="2:21" x14ac:dyDescent="0.25">
      <c r="B731" s="31" t="s">
        <v>25</v>
      </c>
      <c r="C731" s="31">
        <v>66</v>
      </c>
      <c r="D731" s="22" t="s">
        <v>1226</v>
      </c>
      <c r="E731" s="22" t="s">
        <v>1227</v>
      </c>
      <c r="F731" s="22" t="s">
        <v>44</v>
      </c>
      <c r="G731" s="23">
        <v>0</v>
      </c>
      <c r="H731" s="24">
        <v>0</v>
      </c>
      <c r="I731" s="24">
        <v>0</v>
      </c>
      <c r="J731" s="24">
        <v>0</v>
      </c>
      <c r="K731" s="24">
        <v>0</v>
      </c>
      <c r="L731" s="32">
        <v>0</v>
      </c>
      <c r="M731" s="33">
        <v>0</v>
      </c>
      <c r="N731" s="27">
        <v>0</v>
      </c>
      <c r="O731" s="24">
        <v>0</v>
      </c>
      <c r="P731" s="24">
        <v>0</v>
      </c>
      <c r="Q731" s="28">
        <v>0</v>
      </c>
      <c r="R731" s="29">
        <v>0</v>
      </c>
      <c r="S731" s="29">
        <v>0</v>
      </c>
      <c r="T731" s="29">
        <v>0</v>
      </c>
      <c r="U731" s="30">
        <v>0</v>
      </c>
    </row>
    <row r="732" spans="2:21" x14ac:dyDescent="0.25">
      <c r="B732" s="31" t="s">
        <v>25</v>
      </c>
      <c r="C732" s="31">
        <v>66</v>
      </c>
      <c r="D732" s="22" t="s">
        <v>1228</v>
      </c>
      <c r="E732" s="22" t="s">
        <v>1229</v>
      </c>
      <c r="F732" s="22" t="s">
        <v>44</v>
      </c>
      <c r="G732" s="23">
        <v>0</v>
      </c>
      <c r="H732" s="24">
        <v>0</v>
      </c>
      <c r="I732" s="24">
        <v>0</v>
      </c>
      <c r="J732" s="24">
        <v>0</v>
      </c>
      <c r="K732" s="24">
        <v>0</v>
      </c>
      <c r="L732" s="32">
        <v>0</v>
      </c>
      <c r="M732" s="33">
        <v>0</v>
      </c>
      <c r="N732" s="27">
        <v>0</v>
      </c>
      <c r="O732" s="24">
        <v>0</v>
      </c>
      <c r="P732" s="24">
        <v>0</v>
      </c>
      <c r="Q732" s="28">
        <v>0</v>
      </c>
      <c r="R732" s="29">
        <v>0</v>
      </c>
      <c r="S732" s="29">
        <v>0</v>
      </c>
      <c r="T732" s="29">
        <v>0</v>
      </c>
      <c r="U732" s="30">
        <v>0</v>
      </c>
    </row>
    <row r="733" spans="2:21" x14ac:dyDescent="0.25">
      <c r="B733" s="31" t="s">
        <v>25</v>
      </c>
      <c r="C733" s="31">
        <v>66</v>
      </c>
      <c r="D733" s="22" t="s">
        <v>1230</v>
      </c>
      <c r="E733" s="22" t="s">
        <v>1231</v>
      </c>
      <c r="F733" s="22" t="s">
        <v>44</v>
      </c>
      <c r="G733" s="23">
        <v>0</v>
      </c>
      <c r="H733" s="24">
        <v>0</v>
      </c>
      <c r="I733" s="24">
        <v>0</v>
      </c>
      <c r="J733" s="24">
        <v>0</v>
      </c>
      <c r="K733" s="24">
        <v>0</v>
      </c>
      <c r="L733" s="32">
        <v>0</v>
      </c>
      <c r="M733" s="33">
        <v>0</v>
      </c>
      <c r="N733" s="27">
        <v>0</v>
      </c>
      <c r="O733" s="24">
        <v>0</v>
      </c>
      <c r="P733" s="24">
        <v>0</v>
      </c>
      <c r="Q733" s="28">
        <v>0</v>
      </c>
      <c r="R733" s="29">
        <v>0</v>
      </c>
      <c r="S733" s="29">
        <v>0</v>
      </c>
      <c r="T733" s="29">
        <v>0</v>
      </c>
      <c r="U733" s="30">
        <v>0</v>
      </c>
    </row>
    <row r="734" spans="2:21" x14ac:dyDescent="0.25">
      <c r="B734" s="31" t="s">
        <v>25</v>
      </c>
      <c r="C734" s="31">
        <v>66</v>
      </c>
      <c r="D734" s="22" t="s">
        <v>1232</v>
      </c>
      <c r="E734" s="22" t="s">
        <v>1233</v>
      </c>
      <c r="F734" s="22" t="s">
        <v>44</v>
      </c>
      <c r="G734" s="23">
        <v>0</v>
      </c>
      <c r="H734" s="24">
        <v>0</v>
      </c>
      <c r="I734" s="24">
        <v>0</v>
      </c>
      <c r="J734" s="24">
        <v>0</v>
      </c>
      <c r="K734" s="24">
        <v>0</v>
      </c>
      <c r="L734" s="32">
        <v>0</v>
      </c>
      <c r="M734" s="33">
        <v>0</v>
      </c>
      <c r="N734" s="27">
        <v>0</v>
      </c>
      <c r="O734" s="24">
        <v>0</v>
      </c>
      <c r="P734" s="24">
        <v>0</v>
      </c>
      <c r="Q734" s="28">
        <v>0</v>
      </c>
      <c r="R734" s="29">
        <v>0</v>
      </c>
      <c r="S734" s="29">
        <v>0</v>
      </c>
      <c r="T734" s="29">
        <v>0</v>
      </c>
      <c r="U734" s="30">
        <v>0</v>
      </c>
    </row>
    <row r="735" spans="2:21" x14ac:dyDescent="0.25">
      <c r="B735" s="31" t="s">
        <v>25</v>
      </c>
      <c r="C735" s="31">
        <v>66</v>
      </c>
      <c r="D735" s="22" t="s">
        <v>1234</v>
      </c>
      <c r="E735" s="22" t="s">
        <v>1235</v>
      </c>
      <c r="F735" s="22" t="s">
        <v>44</v>
      </c>
      <c r="G735" s="23">
        <v>0</v>
      </c>
      <c r="H735" s="24">
        <v>0</v>
      </c>
      <c r="I735" s="24">
        <v>0</v>
      </c>
      <c r="J735" s="24">
        <v>0</v>
      </c>
      <c r="K735" s="24">
        <v>0</v>
      </c>
      <c r="L735" s="32">
        <v>0</v>
      </c>
      <c r="M735" s="33">
        <v>0</v>
      </c>
      <c r="N735" s="27">
        <v>0</v>
      </c>
      <c r="O735" s="24">
        <v>0</v>
      </c>
      <c r="P735" s="24">
        <v>0</v>
      </c>
      <c r="Q735" s="28">
        <v>0</v>
      </c>
      <c r="R735" s="29">
        <v>0</v>
      </c>
      <c r="S735" s="29">
        <v>0</v>
      </c>
      <c r="T735" s="29">
        <v>0</v>
      </c>
      <c r="U735" s="30">
        <v>0</v>
      </c>
    </row>
    <row r="736" spans="2:21" x14ac:dyDescent="0.25">
      <c r="B736" s="31" t="s">
        <v>25</v>
      </c>
      <c r="C736" s="31">
        <v>66</v>
      </c>
      <c r="D736" s="22" t="s">
        <v>1236</v>
      </c>
      <c r="E736" s="22" t="s">
        <v>1237</v>
      </c>
      <c r="F736" s="22" t="s">
        <v>44</v>
      </c>
      <c r="G736" s="23">
        <v>0</v>
      </c>
      <c r="H736" s="24">
        <v>0</v>
      </c>
      <c r="I736" s="24">
        <v>0</v>
      </c>
      <c r="J736" s="24">
        <v>0</v>
      </c>
      <c r="K736" s="24">
        <v>0</v>
      </c>
      <c r="L736" s="32">
        <v>0</v>
      </c>
      <c r="M736" s="33">
        <v>0</v>
      </c>
      <c r="N736" s="27">
        <v>0</v>
      </c>
      <c r="O736" s="24">
        <v>0</v>
      </c>
      <c r="P736" s="24">
        <v>0</v>
      </c>
      <c r="Q736" s="28">
        <v>0</v>
      </c>
      <c r="R736" s="29">
        <v>0</v>
      </c>
      <c r="S736" s="29">
        <v>0</v>
      </c>
      <c r="T736" s="29">
        <v>0</v>
      </c>
      <c r="U736" s="30">
        <v>0</v>
      </c>
    </row>
    <row r="737" spans="2:21" x14ac:dyDescent="0.25">
      <c r="B737" s="31" t="s">
        <v>25</v>
      </c>
      <c r="C737" s="31">
        <v>66</v>
      </c>
      <c r="D737" s="22" t="s">
        <v>1238</v>
      </c>
      <c r="E737" s="22" t="s">
        <v>1239</v>
      </c>
      <c r="F737" s="22" t="s">
        <v>44</v>
      </c>
      <c r="G737" s="23">
        <v>0</v>
      </c>
      <c r="H737" s="24">
        <v>0</v>
      </c>
      <c r="I737" s="24">
        <v>0</v>
      </c>
      <c r="J737" s="24">
        <v>0</v>
      </c>
      <c r="K737" s="24">
        <v>0</v>
      </c>
      <c r="L737" s="32">
        <v>0</v>
      </c>
      <c r="M737" s="33">
        <v>0</v>
      </c>
      <c r="N737" s="27">
        <v>0</v>
      </c>
      <c r="O737" s="24">
        <v>0</v>
      </c>
      <c r="P737" s="24">
        <v>0</v>
      </c>
      <c r="Q737" s="28">
        <v>0</v>
      </c>
      <c r="R737" s="29">
        <v>0</v>
      </c>
      <c r="S737" s="29">
        <v>0</v>
      </c>
      <c r="T737" s="29">
        <v>0</v>
      </c>
      <c r="U737" s="30">
        <v>0</v>
      </c>
    </row>
    <row r="738" spans="2:21" x14ac:dyDescent="0.25">
      <c r="B738" s="31" t="s">
        <v>25</v>
      </c>
      <c r="C738" s="31">
        <v>66</v>
      </c>
      <c r="D738" s="22" t="s">
        <v>1240</v>
      </c>
      <c r="E738" s="22" t="s">
        <v>1241</v>
      </c>
      <c r="F738" s="22" t="s">
        <v>44</v>
      </c>
      <c r="G738" s="23">
        <v>0</v>
      </c>
      <c r="H738" s="24">
        <v>0</v>
      </c>
      <c r="I738" s="24">
        <v>0</v>
      </c>
      <c r="J738" s="24">
        <v>0</v>
      </c>
      <c r="K738" s="24">
        <v>0</v>
      </c>
      <c r="L738" s="32">
        <v>0</v>
      </c>
      <c r="M738" s="33">
        <v>0</v>
      </c>
      <c r="N738" s="27">
        <v>0</v>
      </c>
      <c r="O738" s="24">
        <v>0</v>
      </c>
      <c r="P738" s="24">
        <v>0</v>
      </c>
      <c r="Q738" s="28">
        <v>0</v>
      </c>
      <c r="R738" s="29">
        <v>0</v>
      </c>
      <c r="S738" s="29">
        <v>0</v>
      </c>
      <c r="T738" s="29">
        <v>0</v>
      </c>
      <c r="U738" s="30">
        <v>0</v>
      </c>
    </row>
    <row r="739" spans="2:21" x14ac:dyDescent="0.25">
      <c r="B739" s="31" t="s">
        <v>25</v>
      </c>
      <c r="C739" s="31">
        <v>66</v>
      </c>
      <c r="D739" s="22" t="s">
        <v>1242</v>
      </c>
      <c r="E739" s="22" t="s">
        <v>1243</v>
      </c>
      <c r="F739" s="22" t="s">
        <v>44</v>
      </c>
      <c r="G739" s="23">
        <v>0</v>
      </c>
      <c r="H739" s="24">
        <v>0</v>
      </c>
      <c r="I739" s="24">
        <v>0</v>
      </c>
      <c r="J739" s="24">
        <v>0</v>
      </c>
      <c r="K739" s="24">
        <v>0</v>
      </c>
      <c r="L739" s="32">
        <v>0</v>
      </c>
      <c r="M739" s="33">
        <v>0</v>
      </c>
      <c r="N739" s="27">
        <v>0</v>
      </c>
      <c r="O739" s="24">
        <v>0</v>
      </c>
      <c r="P739" s="24">
        <v>0</v>
      </c>
      <c r="Q739" s="28">
        <v>0</v>
      </c>
      <c r="R739" s="29">
        <v>0</v>
      </c>
      <c r="S739" s="29">
        <v>0</v>
      </c>
      <c r="T739" s="29">
        <v>0</v>
      </c>
      <c r="U739" s="30">
        <v>0</v>
      </c>
    </row>
    <row r="740" spans="2:21" x14ac:dyDescent="0.25">
      <c r="B740" s="31" t="s">
        <v>25</v>
      </c>
      <c r="C740" s="31">
        <v>66</v>
      </c>
      <c r="D740" s="22" t="s">
        <v>1244</v>
      </c>
      <c r="E740" s="22" t="s">
        <v>1245</v>
      </c>
      <c r="F740" s="22" t="s">
        <v>44</v>
      </c>
      <c r="G740" s="23">
        <v>0</v>
      </c>
      <c r="H740" s="24">
        <v>0</v>
      </c>
      <c r="I740" s="24">
        <v>0</v>
      </c>
      <c r="J740" s="24">
        <v>0</v>
      </c>
      <c r="K740" s="24">
        <v>0</v>
      </c>
      <c r="L740" s="32">
        <v>0</v>
      </c>
      <c r="M740" s="33">
        <v>0</v>
      </c>
      <c r="N740" s="27">
        <v>0</v>
      </c>
      <c r="O740" s="24">
        <v>0</v>
      </c>
      <c r="P740" s="24">
        <v>0</v>
      </c>
      <c r="Q740" s="28">
        <v>0</v>
      </c>
      <c r="R740" s="29">
        <v>0</v>
      </c>
      <c r="S740" s="29">
        <v>0</v>
      </c>
      <c r="T740" s="29">
        <v>0</v>
      </c>
      <c r="U740" s="30">
        <v>0</v>
      </c>
    </row>
    <row r="741" spans="2:21" x14ac:dyDescent="0.25">
      <c r="B741" s="31" t="s">
        <v>25</v>
      </c>
      <c r="C741" s="31">
        <v>66</v>
      </c>
      <c r="D741" s="22" t="s">
        <v>1246</v>
      </c>
      <c r="E741" s="22" t="s">
        <v>1247</v>
      </c>
      <c r="F741" s="22" t="s">
        <v>44</v>
      </c>
      <c r="G741" s="23">
        <v>0</v>
      </c>
      <c r="H741" s="24">
        <v>0</v>
      </c>
      <c r="I741" s="24">
        <v>0</v>
      </c>
      <c r="J741" s="24">
        <v>0</v>
      </c>
      <c r="K741" s="24">
        <v>0</v>
      </c>
      <c r="L741" s="32">
        <v>0</v>
      </c>
      <c r="M741" s="33">
        <v>0</v>
      </c>
      <c r="N741" s="27">
        <v>0</v>
      </c>
      <c r="O741" s="24">
        <v>0</v>
      </c>
      <c r="P741" s="24">
        <v>0</v>
      </c>
      <c r="Q741" s="28">
        <v>0</v>
      </c>
      <c r="R741" s="29">
        <v>0</v>
      </c>
      <c r="S741" s="29">
        <v>0</v>
      </c>
      <c r="T741" s="29">
        <v>0</v>
      </c>
      <c r="U741" s="30">
        <v>0</v>
      </c>
    </row>
    <row r="742" spans="2:21" x14ac:dyDescent="0.25">
      <c r="B742" s="31" t="s">
        <v>25</v>
      </c>
      <c r="C742" s="31">
        <v>66</v>
      </c>
      <c r="D742" s="22" t="s">
        <v>1248</v>
      </c>
      <c r="E742" s="22" t="s">
        <v>1249</v>
      </c>
      <c r="F742" s="22" t="s">
        <v>44</v>
      </c>
      <c r="G742" s="23">
        <v>0</v>
      </c>
      <c r="H742" s="24">
        <v>0</v>
      </c>
      <c r="I742" s="24">
        <v>0</v>
      </c>
      <c r="J742" s="24">
        <v>0</v>
      </c>
      <c r="K742" s="24">
        <v>0</v>
      </c>
      <c r="L742" s="32">
        <v>0</v>
      </c>
      <c r="M742" s="33">
        <v>0</v>
      </c>
      <c r="N742" s="27">
        <v>0</v>
      </c>
      <c r="O742" s="24">
        <v>0</v>
      </c>
      <c r="P742" s="24">
        <v>0</v>
      </c>
      <c r="Q742" s="28">
        <v>0</v>
      </c>
      <c r="R742" s="29">
        <v>0</v>
      </c>
      <c r="S742" s="29">
        <v>0</v>
      </c>
      <c r="T742" s="29">
        <v>0</v>
      </c>
      <c r="U742" s="30">
        <v>0</v>
      </c>
    </row>
    <row r="743" spans="2:21" x14ac:dyDescent="0.25">
      <c r="B743" s="31" t="s">
        <v>25</v>
      </c>
      <c r="C743" s="31">
        <v>66</v>
      </c>
      <c r="D743" s="22" t="s">
        <v>1250</v>
      </c>
      <c r="E743" s="22" t="s">
        <v>1251</v>
      </c>
      <c r="F743" s="22" t="s">
        <v>44</v>
      </c>
      <c r="G743" s="23">
        <v>0</v>
      </c>
      <c r="H743" s="24">
        <v>0</v>
      </c>
      <c r="I743" s="24">
        <v>0</v>
      </c>
      <c r="J743" s="24">
        <v>0</v>
      </c>
      <c r="K743" s="24">
        <v>0</v>
      </c>
      <c r="L743" s="32">
        <v>0</v>
      </c>
      <c r="M743" s="33">
        <v>0</v>
      </c>
      <c r="N743" s="27">
        <v>0</v>
      </c>
      <c r="O743" s="24">
        <v>0</v>
      </c>
      <c r="P743" s="24">
        <v>0</v>
      </c>
      <c r="Q743" s="28">
        <v>0</v>
      </c>
      <c r="R743" s="29">
        <v>0</v>
      </c>
      <c r="S743" s="29">
        <v>0</v>
      </c>
      <c r="T743" s="29">
        <v>0</v>
      </c>
      <c r="U743" s="30">
        <v>0</v>
      </c>
    </row>
    <row r="744" spans="2:21" x14ac:dyDescent="0.25">
      <c r="B744" s="31" t="s">
        <v>25</v>
      </c>
      <c r="C744" s="31">
        <v>66</v>
      </c>
      <c r="D744" s="22" t="s">
        <v>1252</v>
      </c>
      <c r="E744" s="22" t="s">
        <v>1253</v>
      </c>
      <c r="F744" s="22" t="s">
        <v>44</v>
      </c>
      <c r="G744" s="23">
        <v>0</v>
      </c>
      <c r="H744" s="24">
        <v>0</v>
      </c>
      <c r="I744" s="24">
        <v>0</v>
      </c>
      <c r="J744" s="24">
        <v>0</v>
      </c>
      <c r="K744" s="24">
        <v>0</v>
      </c>
      <c r="L744" s="32">
        <v>0</v>
      </c>
      <c r="M744" s="33">
        <v>0</v>
      </c>
      <c r="N744" s="27">
        <v>0</v>
      </c>
      <c r="O744" s="24">
        <v>0</v>
      </c>
      <c r="P744" s="24">
        <v>0</v>
      </c>
      <c r="Q744" s="28">
        <v>0</v>
      </c>
      <c r="R744" s="29">
        <v>0</v>
      </c>
      <c r="S744" s="29">
        <v>0</v>
      </c>
      <c r="T744" s="29">
        <v>0</v>
      </c>
      <c r="U744" s="30">
        <v>0</v>
      </c>
    </row>
    <row r="745" spans="2:21" x14ac:dyDescent="0.25">
      <c r="B745" s="31" t="s">
        <v>25</v>
      </c>
      <c r="C745" s="22">
        <v>71</v>
      </c>
      <c r="D745" s="22" t="s">
        <v>739</v>
      </c>
      <c r="E745" s="22" t="s">
        <v>1198</v>
      </c>
      <c r="F745" s="22"/>
      <c r="G745" s="23">
        <v>219.89999999999964</v>
      </c>
      <c r="H745" s="24">
        <v>1198.0999999999985</v>
      </c>
      <c r="I745" s="24">
        <v>0</v>
      </c>
      <c r="J745" s="24">
        <v>0</v>
      </c>
      <c r="K745" s="24">
        <v>0</v>
      </c>
      <c r="L745" s="32">
        <v>0</v>
      </c>
      <c r="M745" s="33">
        <v>0</v>
      </c>
      <c r="N745" s="27">
        <v>0</v>
      </c>
      <c r="O745" s="24">
        <v>1198.0999999999985</v>
      </c>
      <c r="P745" s="24">
        <v>1198.0999999999985</v>
      </c>
      <c r="Q745" s="28">
        <v>0</v>
      </c>
      <c r="R745" s="29">
        <v>0</v>
      </c>
      <c r="S745" s="29">
        <v>0</v>
      </c>
      <c r="T745" s="29">
        <v>0</v>
      </c>
      <c r="U745" s="30">
        <v>1198.0999999999985</v>
      </c>
    </row>
    <row r="746" spans="2:21" x14ac:dyDescent="0.25">
      <c r="B746" s="31" t="s">
        <v>25</v>
      </c>
      <c r="C746" s="31">
        <v>71</v>
      </c>
      <c r="D746" s="22" t="s">
        <v>1319</v>
      </c>
      <c r="E746" s="22" t="s">
        <v>1320</v>
      </c>
      <c r="F746" s="22"/>
      <c r="G746" s="23">
        <v>743</v>
      </c>
      <c r="H746" s="24">
        <v>1697.25</v>
      </c>
      <c r="I746" s="24">
        <v>0</v>
      </c>
      <c r="J746" s="24">
        <v>0</v>
      </c>
      <c r="K746" s="24">
        <v>0</v>
      </c>
      <c r="L746" s="32">
        <v>0</v>
      </c>
      <c r="M746" s="33">
        <v>0</v>
      </c>
      <c r="N746" s="27">
        <v>0</v>
      </c>
      <c r="O746" s="24">
        <v>1697.25</v>
      </c>
      <c r="P746" s="24">
        <v>1697.25</v>
      </c>
      <c r="Q746" s="28">
        <v>0</v>
      </c>
      <c r="R746" s="29">
        <v>0</v>
      </c>
      <c r="S746" s="29">
        <v>0</v>
      </c>
      <c r="T746" s="29">
        <v>0</v>
      </c>
      <c r="U746" s="30">
        <v>1697.25</v>
      </c>
    </row>
    <row r="747" spans="2:21" x14ac:dyDescent="0.25">
      <c r="B747" s="31" t="s">
        <v>25</v>
      </c>
      <c r="C747" s="31">
        <v>71</v>
      </c>
      <c r="D747" s="22" t="s">
        <v>1321</v>
      </c>
      <c r="E747" s="22" t="s">
        <v>1322</v>
      </c>
      <c r="F747" s="22"/>
      <c r="G747" s="23">
        <v>1144</v>
      </c>
      <c r="H747" s="24">
        <v>2625</v>
      </c>
      <c r="I747" s="24">
        <v>0</v>
      </c>
      <c r="J747" s="24">
        <v>0</v>
      </c>
      <c r="K747" s="24">
        <v>0</v>
      </c>
      <c r="L747" s="32">
        <v>0</v>
      </c>
      <c r="M747" s="33">
        <v>0</v>
      </c>
      <c r="N747" s="27">
        <v>0</v>
      </c>
      <c r="O747" s="24">
        <v>2625</v>
      </c>
      <c r="P747" s="24">
        <v>2625</v>
      </c>
      <c r="Q747" s="28">
        <v>0</v>
      </c>
      <c r="R747" s="29">
        <v>0</v>
      </c>
      <c r="S747" s="29">
        <v>0</v>
      </c>
      <c r="T747" s="29">
        <v>0</v>
      </c>
      <c r="U747" s="30">
        <v>2625</v>
      </c>
    </row>
    <row r="748" spans="2:21" x14ac:dyDescent="0.25">
      <c r="B748" s="31" t="s">
        <v>25</v>
      </c>
      <c r="C748" s="31">
        <v>71</v>
      </c>
      <c r="D748" s="22" t="s">
        <v>1323</v>
      </c>
      <c r="E748" s="22" t="s">
        <v>1324</v>
      </c>
      <c r="F748" s="22"/>
      <c r="G748" s="23">
        <v>600</v>
      </c>
      <c r="H748" s="24">
        <v>1376.25</v>
      </c>
      <c r="I748" s="24">
        <v>0</v>
      </c>
      <c r="J748" s="24">
        <v>0</v>
      </c>
      <c r="K748" s="24">
        <v>0</v>
      </c>
      <c r="L748" s="32">
        <v>0</v>
      </c>
      <c r="M748" s="33">
        <v>0</v>
      </c>
      <c r="N748" s="27">
        <v>0</v>
      </c>
      <c r="O748" s="24">
        <v>1376.25</v>
      </c>
      <c r="P748" s="24">
        <v>1376.25</v>
      </c>
      <c r="Q748" s="28">
        <v>0</v>
      </c>
      <c r="R748" s="29">
        <v>0</v>
      </c>
      <c r="S748" s="29">
        <v>0</v>
      </c>
      <c r="T748" s="29">
        <v>0</v>
      </c>
      <c r="U748" s="30">
        <v>1376.25</v>
      </c>
    </row>
    <row r="749" spans="2:21" x14ac:dyDescent="0.25">
      <c r="B749" s="31" t="s">
        <v>25</v>
      </c>
      <c r="C749" s="31">
        <v>71</v>
      </c>
      <c r="D749" s="22" t="s">
        <v>1325</v>
      </c>
      <c r="E749" s="22" t="s">
        <v>1326</v>
      </c>
      <c r="F749" s="22"/>
      <c r="G749" s="23">
        <v>669</v>
      </c>
      <c r="H749" s="24">
        <v>1557.5</v>
      </c>
      <c r="I749" s="24">
        <v>0</v>
      </c>
      <c r="J749" s="24">
        <v>0</v>
      </c>
      <c r="K749" s="24">
        <v>0</v>
      </c>
      <c r="L749" s="32">
        <v>0</v>
      </c>
      <c r="M749" s="33">
        <v>0</v>
      </c>
      <c r="N749" s="27">
        <v>0</v>
      </c>
      <c r="O749" s="24">
        <v>1557.5</v>
      </c>
      <c r="P749" s="24">
        <v>1557.5</v>
      </c>
      <c r="Q749" s="28">
        <v>0</v>
      </c>
      <c r="R749" s="29">
        <v>0</v>
      </c>
      <c r="S749" s="29">
        <v>0</v>
      </c>
      <c r="T749" s="29">
        <v>0</v>
      </c>
      <c r="U749" s="30">
        <v>1557.5</v>
      </c>
    </row>
    <row r="750" spans="2:21" x14ac:dyDescent="0.25">
      <c r="B750" s="31" t="s">
        <v>25</v>
      </c>
      <c r="C750" s="31">
        <v>71</v>
      </c>
      <c r="D750" s="22" t="s">
        <v>1327</v>
      </c>
      <c r="E750" s="22" t="s">
        <v>1328</v>
      </c>
      <c r="F750" s="22"/>
      <c r="G750" s="23">
        <v>58</v>
      </c>
      <c r="H750" s="24">
        <v>130.5</v>
      </c>
      <c r="I750" s="24">
        <v>0</v>
      </c>
      <c r="J750" s="24">
        <v>0</v>
      </c>
      <c r="K750" s="24">
        <v>0</v>
      </c>
      <c r="L750" s="32">
        <v>0</v>
      </c>
      <c r="M750" s="33">
        <v>0</v>
      </c>
      <c r="N750" s="27">
        <v>0</v>
      </c>
      <c r="O750" s="24">
        <v>130.5</v>
      </c>
      <c r="P750" s="24">
        <v>130.5</v>
      </c>
      <c r="Q750" s="28">
        <v>0</v>
      </c>
      <c r="R750" s="29">
        <v>0</v>
      </c>
      <c r="S750" s="29">
        <v>0</v>
      </c>
      <c r="T750" s="29">
        <v>0</v>
      </c>
      <c r="U750" s="30">
        <v>130.5</v>
      </c>
    </row>
    <row r="751" spans="2:21" x14ac:dyDescent="0.25">
      <c r="B751" s="31" t="s">
        <v>25</v>
      </c>
      <c r="C751" s="31">
        <v>71</v>
      </c>
      <c r="D751" s="22" t="s">
        <v>1329</v>
      </c>
      <c r="E751" s="22" t="s">
        <v>1330</v>
      </c>
      <c r="F751" s="22"/>
      <c r="G751" s="23">
        <v>653</v>
      </c>
      <c r="H751" s="24">
        <v>1599.25</v>
      </c>
      <c r="I751" s="24">
        <v>0</v>
      </c>
      <c r="J751" s="24">
        <v>0</v>
      </c>
      <c r="K751" s="24">
        <v>0</v>
      </c>
      <c r="L751" s="32">
        <v>0</v>
      </c>
      <c r="M751" s="33">
        <v>0</v>
      </c>
      <c r="N751" s="27">
        <v>0</v>
      </c>
      <c r="O751" s="24">
        <v>1599.25</v>
      </c>
      <c r="P751" s="24">
        <v>1599.25</v>
      </c>
      <c r="Q751" s="28">
        <v>0</v>
      </c>
      <c r="R751" s="29">
        <v>0</v>
      </c>
      <c r="S751" s="29">
        <v>0</v>
      </c>
      <c r="T751" s="29">
        <v>0</v>
      </c>
      <c r="U751" s="30">
        <v>1599.25</v>
      </c>
    </row>
    <row r="752" spans="2:21" x14ac:dyDescent="0.25">
      <c r="B752" s="31" t="s">
        <v>25</v>
      </c>
      <c r="C752" s="31">
        <v>71</v>
      </c>
      <c r="D752" s="22" t="s">
        <v>1331</v>
      </c>
      <c r="E752" s="22" t="s">
        <v>1332</v>
      </c>
      <c r="F752" s="22"/>
      <c r="G752" s="23">
        <v>882</v>
      </c>
      <c r="H752" s="24">
        <v>1987</v>
      </c>
      <c r="I752" s="24">
        <v>0</v>
      </c>
      <c r="J752" s="24">
        <v>0</v>
      </c>
      <c r="K752" s="24">
        <v>0</v>
      </c>
      <c r="L752" s="32">
        <v>0</v>
      </c>
      <c r="M752" s="33">
        <v>0</v>
      </c>
      <c r="N752" s="27">
        <v>0</v>
      </c>
      <c r="O752" s="24">
        <v>1987</v>
      </c>
      <c r="P752" s="24">
        <v>1987</v>
      </c>
      <c r="Q752" s="28">
        <v>0</v>
      </c>
      <c r="R752" s="29">
        <v>0</v>
      </c>
      <c r="S752" s="29">
        <v>0</v>
      </c>
      <c r="T752" s="29">
        <v>0</v>
      </c>
      <c r="U752" s="30">
        <v>1987</v>
      </c>
    </row>
    <row r="753" spans="2:21" x14ac:dyDescent="0.25">
      <c r="B753" s="31" t="s">
        <v>25</v>
      </c>
      <c r="C753" s="31">
        <v>71</v>
      </c>
      <c r="D753" s="22" t="s">
        <v>1333</v>
      </c>
      <c r="E753" s="22" t="s">
        <v>1334</v>
      </c>
      <c r="F753" s="22"/>
      <c r="G753" s="23">
        <v>386</v>
      </c>
      <c r="H753" s="24">
        <v>922</v>
      </c>
      <c r="I753" s="24">
        <v>0</v>
      </c>
      <c r="J753" s="24">
        <v>0</v>
      </c>
      <c r="K753" s="24">
        <v>0</v>
      </c>
      <c r="L753" s="32">
        <v>0</v>
      </c>
      <c r="M753" s="33">
        <v>0</v>
      </c>
      <c r="N753" s="27">
        <v>0</v>
      </c>
      <c r="O753" s="24">
        <v>922</v>
      </c>
      <c r="P753" s="24">
        <v>922</v>
      </c>
      <c r="Q753" s="28">
        <v>0</v>
      </c>
      <c r="R753" s="29">
        <v>0</v>
      </c>
      <c r="S753" s="29">
        <v>0</v>
      </c>
      <c r="T753" s="29">
        <v>0</v>
      </c>
      <c r="U753" s="30">
        <v>922</v>
      </c>
    </row>
    <row r="754" spans="2:21" x14ac:dyDescent="0.25">
      <c r="B754" s="31" t="s">
        <v>25</v>
      </c>
      <c r="C754" s="31">
        <v>71</v>
      </c>
      <c r="D754" s="22" t="s">
        <v>1335</v>
      </c>
      <c r="E754" s="22" t="s">
        <v>1336</v>
      </c>
      <c r="F754" s="22"/>
      <c r="G754" s="23">
        <v>731</v>
      </c>
      <c r="H754" s="24">
        <v>1646</v>
      </c>
      <c r="I754" s="24">
        <v>0</v>
      </c>
      <c r="J754" s="24">
        <v>0</v>
      </c>
      <c r="K754" s="24">
        <v>0</v>
      </c>
      <c r="L754" s="32">
        <v>0</v>
      </c>
      <c r="M754" s="33">
        <v>0</v>
      </c>
      <c r="N754" s="27">
        <v>0</v>
      </c>
      <c r="O754" s="24">
        <v>1646</v>
      </c>
      <c r="P754" s="24">
        <v>1646</v>
      </c>
      <c r="Q754" s="28">
        <v>0</v>
      </c>
      <c r="R754" s="29">
        <v>0</v>
      </c>
      <c r="S754" s="29">
        <v>0</v>
      </c>
      <c r="T754" s="29">
        <v>0</v>
      </c>
      <c r="U754" s="30">
        <v>1646</v>
      </c>
    </row>
    <row r="755" spans="2:21" x14ac:dyDescent="0.25">
      <c r="B755" s="31" t="s">
        <v>25</v>
      </c>
      <c r="C755" s="31">
        <v>71</v>
      </c>
      <c r="D755" s="22" t="s">
        <v>1337</v>
      </c>
      <c r="E755" s="22" t="s">
        <v>1338</v>
      </c>
      <c r="F755" s="22"/>
      <c r="G755" s="23">
        <v>29</v>
      </c>
      <c r="H755" s="24">
        <v>65.25</v>
      </c>
      <c r="I755" s="24">
        <v>0</v>
      </c>
      <c r="J755" s="24">
        <v>0</v>
      </c>
      <c r="K755" s="24">
        <v>0</v>
      </c>
      <c r="L755" s="32">
        <v>0</v>
      </c>
      <c r="M755" s="33">
        <v>0</v>
      </c>
      <c r="N755" s="27">
        <v>0</v>
      </c>
      <c r="O755" s="24">
        <v>65.25</v>
      </c>
      <c r="P755" s="24">
        <v>65.25</v>
      </c>
      <c r="Q755" s="28">
        <v>0</v>
      </c>
      <c r="R755" s="29">
        <v>0</v>
      </c>
      <c r="S755" s="29">
        <v>0</v>
      </c>
      <c r="T755" s="29">
        <v>0</v>
      </c>
      <c r="U755" s="30">
        <v>65.25</v>
      </c>
    </row>
    <row r="756" spans="2:21" x14ac:dyDescent="0.25">
      <c r="B756" s="31" t="s">
        <v>25</v>
      </c>
      <c r="C756" s="31">
        <v>71</v>
      </c>
      <c r="D756" s="22" t="s">
        <v>1339</v>
      </c>
      <c r="E756" s="22" t="s">
        <v>1340</v>
      </c>
      <c r="F756" s="22"/>
      <c r="G756" s="23">
        <v>388</v>
      </c>
      <c r="H756" s="24">
        <v>926.25</v>
      </c>
      <c r="I756" s="24">
        <v>0</v>
      </c>
      <c r="J756" s="24">
        <v>0</v>
      </c>
      <c r="K756" s="24">
        <v>0</v>
      </c>
      <c r="L756" s="32">
        <v>0</v>
      </c>
      <c r="M756" s="33">
        <v>0</v>
      </c>
      <c r="N756" s="27">
        <v>0</v>
      </c>
      <c r="O756" s="24">
        <v>926.25</v>
      </c>
      <c r="P756" s="24">
        <v>926.25</v>
      </c>
      <c r="Q756" s="28">
        <v>0</v>
      </c>
      <c r="R756" s="29">
        <v>0</v>
      </c>
      <c r="S756" s="29">
        <v>0</v>
      </c>
      <c r="T756" s="29">
        <v>0</v>
      </c>
      <c r="U756" s="30">
        <v>926.25</v>
      </c>
    </row>
    <row r="757" spans="2:21" x14ac:dyDescent="0.25">
      <c r="B757" s="31" t="s">
        <v>25</v>
      </c>
      <c r="C757" s="31">
        <v>71</v>
      </c>
      <c r="D757" s="22" t="s">
        <v>1341</v>
      </c>
      <c r="E757" s="22" t="s">
        <v>1342</v>
      </c>
      <c r="F757" s="22"/>
      <c r="G757" s="23">
        <v>377</v>
      </c>
      <c r="H757" s="24">
        <v>925.25</v>
      </c>
      <c r="I757" s="24">
        <v>0</v>
      </c>
      <c r="J757" s="24">
        <v>0</v>
      </c>
      <c r="K757" s="24">
        <v>0</v>
      </c>
      <c r="L757" s="32">
        <v>0</v>
      </c>
      <c r="M757" s="33">
        <v>0</v>
      </c>
      <c r="N757" s="27">
        <v>0</v>
      </c>
      <c r="O757" s="24">
        <v>925.25</v>
      </c>
      <c r="P757" s="24">
        <v>925.25</v>
      </c>
      <c r="Q757" s="28">
        <v>0</v>
      </c>
      <c r="R757" s="29">
        <v>0</v>
      </c>
      <c r="S757" s="29">
        <v>0</v>
      </c>
      <c r="T757" s="29">
        <v>0</v>
      </c>
      <c r="U757" s="30">
        <v>925.25</v>
      </c>
    </row>
    <row r="758" spans="2:21" x14ac:dyDescent="0.25">
      <c r="B758" s="31" t="s">
        <v>25</v>
      </c>
      <c r="C758" s="31">
        <v>71</v>
      </c>
      <c r="D758" s="22" t="s">
        <v>1343</v>
      </c>
      <c r="E758" s="22" t="s">
        <v>1344</v>
      </c>
      <c r="F758" s="22"/>
      <c r="G758" s="23">
        <v>579</v>
      </c>
      <c r="H758" s="24">
        <v>1329.75</v>
      </c>
      <c r="I758" s="24">
        <v>0</v>
      </c>
      <c r="J758" s="24">
        <v>0</v>
      </c>
      <c r="K758" s="24">
        <v>0</v>
      </c>
      <c r="L758" s="32">
        <v>0</v>
      </c>
      <c r="M758" s="33">
        <v>0</v>
      </c>
      <c r="N758" s="27">
        <v>0</v>
      </c>
      <c r="O758" s="24">
        <v>1329.75</v>
      </c>
      <c r="P758" s="24">
        <v>1329.75</v>
      </c>
      <c r="Q758" s="28">
        <v>0</v>
      </c>
      <c r="R758" s="29">
        <v>0</v>
      </c>
      <c r="S758" s="29">
        <v>0</v>
      </c>
      <c r="T758" s="29">
        <v>0</v>
      </c>
      <c r="U758" s="30">
        <v>1329.75</v>
      </c>
    </row>
    <row r="759" spans="2:21" x14ac:dyDescent="0.25">
      <c r="B759" s="31" t="s">
        <v>25</v>
      </c>
      <c r="C759" s="31">
        <v>71</v>
      </c>
      <c r="D759" s="22" t="s">
        <v>1345</v>
      </c>
      <c r="E759" s="22" t="s">
        <v>1346</v>
      </c>
      <c r="F759" s="22"/>
      <c r="G759" s="23">
        <v>40</v>
      </c>
      <c r="H759" s="24">
        <v>90</v>
      </c>
      <c r="I759" s="24">
        <v>0</v>
      </c>
      <c r="J759" s="24">
        <v>0</v>
      </c>
      <c r="K759" s="24">
        <v>0</v>
      </c>
      <c r="L759" s="32">
        <v>0</v>
      </c>
      <c r="M759" s="33">
        <v>0</v>
      </c>
      <c r="N759" s="27">
        <v>0</v>
      </c>
      <c r="O759" s="24">
        <v>90</v>
      </c>
      <c r="P759" s="24">
        <v>90</v>
      </c>
      <c r="Q759" s="28">
        <v>0</v>
      </c>
      <c r="R759" s="29">
        <v>0</v>
      </c>
      <c r="S759" s="29">
        <v>0</v>
      </c>
      <c r="T759" s="29">
        <v>0</v>
      </c>
      <c r="U759" s="30">
        <v>90</v>
      </c>
    </row>
    <row r="760" spans="2:21" x14ac:dyDescent="0.25">
      <c r="B760" s="31" t="s">
        <v>25</v>
      </c>
      <c r="C760" s="31">
        <v>71</v>
      </c>
      <c r="D760" s="22" t="s">
        <v>1347</v>
      </c>
      <c r="E760" s="22" t="s">
        <v>1348</v>
      </c>
      <c r="F760" s="22"/>
      <c r="G760" s="23">
        <v>559</v>
      </c>
      <c r="H760" s="24">
        <v>1284.5</v>
      </c>
      <c r="I760" s="24">
        <v>0</v>
      </c>
      <c r="J760" s="24">
        <v>0</v>
      </c>
      <c r="K760" s="24">
        <v>0</v>
      </c>
      <c r="L760" s="32">
        <v>0</v>
      </c>
      <c r="M760" s="33">
        <v>0</v>
      </c>
      <c r="N760" s="27">
        <v>0</v>
      </c>
      <c r="O760" s="24">
        <v>1284.5</v>
      </c>
      <c r="P760" s="24">
        <v>1284.5</v>
      </c>
      <c r="Q760" s="28">
        <v>0</v>
      </c>
      <c r="R760" s="29">
        <v>0</v>
      </c>
      <c r="S760" s="29">
        <v>0</v>
      </c>
      <c r="T760" s="29">
        <v>0</v>
      </c>
      <c r="U760" s="30">
        <v>1284.5</v>
      </c>
    </row>
    <row r="761" spans="2:21" x14ac:dyDescent="0.25">
      <c r="B761" s="31" t="s">
        <v>25</v>
      </c>
      <c r="C761" s="31">
        <v>71</v>
      </c>
      <c r="D761" s="22" t="s">
        <v>1349</v>
      </c>
      <c r="E761" s="22" t="s">
        <v>1350</v>
      </c>
      <c r="F761" s="22"/>
      <c r="G761" s="23">
        <v>656</v>
      </c>
      <c r="H761" s="24">
        <v>1501.25</v>
      </c>
      <c r="I761" s="24">
        <v>0</v>
      </c>
      <c r="J761" s="24">
        <v>0</v>
      </c>
      <c r="K761" s="24">
        <v>0</v>
      </c>
      <c r="L761" s="32">
        <v>0</v>
      </c>
      <c r="M761" s="33">
        <v>0</v>
      </c>
      <c r="N761" s="27">
        <v>0</v>
      </c>
      <c r="O761" s="24">
        <v>1501.25</v>
      </c>
      <c r="P761" s="24">
        <v>1501.25</v>
      </c>
      <c r="Q761" s="28">
        <v>0</v>
      </c>
      <c r="R761" s="29">
        <v>0</v>
      </c>
      <c r="S761" s="29">
        <v>0</v>
      </c>
      <c r="T761" s="29">
        <v>0</v>
      </c>
      <c r="U761" s="30">
        <v>1501.25</v>
      </c>
    </row>
    <row r="762" spans="2:21" x14ac:dyDescent="0.25">
      <c r="B762" s="31" t="s">
        <v>25</v>
      </c>
      <c r="C762" s="31">
        <v>71</v>
      </c>
      <c r="D762" s="22" t="s">
        <v>1351</v>
      </c>
      <c r="E762" s="22" t="s">
        <v>1352</v>
      </c>
      <c r="F762" s="22"/>
      <c r="G762" s="23">
        <v>573</v>
      </c>
      <c r="H762" s="24">
        <v>1316.75</v>
      </c>
      <c r="I762" s="24">
        <v>0</v>
      </c>
      <c r="J762" s="24">
        <v>0</v>
      </c>
      <c r="K762" s="24">
        <v>0</v>
      </c>
      <c r="L762" s="32">
        <v>0</v>
      </c>
      <c r="M762" s="33">
        <v>0</v>
      </c>
      <c r="N762" s="27">
        <v>0</v>
      </c>
      <c r="O762" s="24">
        <v>1316.75</v>
      </c>
      <c r="P762" s="24">
        <v>1316.75</v>
      </c>
      <c r="Q762" s="28">
        <v>0</v>
      </c>
      <c r="R762" s="29">
        <v>0</v>
      </c>
      <c r="S762" s="29">
        <v>0</v>
      </c>
      <c r="T762" s="29">
        <v>0</v>
      </c>
      <c r="U762" s="30">
        <v>1316.75</v>
      </c>
    </row>
    <row r="763" spans="2:21" x14ac:dyDescent="0.25">
      <c r="B763" s="31" t="s">
        <v>25</v>
      </c>
      <c r="C763" s="31">
        <v>71</v>
      </c>
      <c r="D763" s="22" t="s">
        <v>1353</v>
      </c>
      <c r="E763" s="22" t="s">
        <v>1354</v>
      </c>
      <c r="F763" s="22"/>
      <c r="G763" s="23">
        <v>731</v>
      </c>
      <c r="H763" s="24">
        <v>1646</v>
      </c>
      <c r="I763" s="24">
        <v>0</v>
      </c>
      <c r="J763" s="24">
        <v>0</v>
      </c>
      <c r="K763" s="24">
        <v>0</v>
      </c>
      <c r="L763" s="32">
        <v>0</v>
      </c>
      <c r="M763" s="33">
        <v>0</v>
      </c>
      <c r="N763" s="27">
        <v>0</v>
      </c>
      <c r="O763" s="24">
        <v>1646</v>
      </c>
      <c r="P763" s="24">
        <v>1646</v>
      </c>
      <c r="Q763" s="28">
        <v>0</v>
      </c>
      <c r="R763" s="29">
        <v>0</v>
      </c>
      <c r="S763" s="29">
        <v>0</v>
      </c>
      <c r="T763" s="29">
        <v>0</v>
      </c>
      <c r="U763" s="30">
        <v>1646</v>
      </c>
    </row>
    <row r="764" spans="2:21" x14ac:dyDescent="0.25">
      <c r="B764" s="31" t="s">
        <v>25</v>
      </c>
      <c r="C764" s="31">
        <v>71</v>
      </c>
      <c r="D764" s="22" t="s">
        <v>1355</v>
      </c>
      <c r="E764" s="22" t="s">
        <v>1356</v>
      </c>
      <c r="F764" s="22"/>
      <c r="G764" s="23">
        <v>29</v>
      </c>
      <c r="H764" s="24">
        <v>65.25</v>
      </c>
      <c r="I764" s="24">
        <v>0</v>
      </c>
      <c r="J764" s="24">
        <v>0</v>
      </c>
      <c r="K764" s="24">
        <v>0</v>
      </c>
      <c r="L764" s="32">
        <v>0</v>
      </c>
      <c r="M764" s="33">
        <v>0</v>
      </c>
      <c r="N764" s="27">
        <v>0</v>
      </c>
      <c r="O764" s="24">
        <v>65.25</v>
      </c>
      <c r="P764" s="24">
        <v>65.25</v>
      </c>
      <c r="Q764" s="28">
        <v>0</v>
      </c>
      <c r="R764" s="29">
        <v>0</v>
      </c>
      <c r="S764" s="29">
        <v>0</v>
      </c>
      <c r="T764" s="29">
        <v>0</v>
      </c>
      <c r="U764" s="30">
        <v>65.25</v>
      </c>
    </row>
    <row r="765" spans="2:21" x14ac:dyDescent="0.25">
      <c r="B765" s="31" t="s">
        <v>25</v>
      </c>
      <c r="C765" s="31">
        <v>71</v>
      </c>
      <c r="D765" s="22" t="s">
        <v>1357</v>
      </c>
      <c r="E765" s="22" t="s">
        <v>1358</v>
      </c>
      <c r="F765" s="22"/>
      <c r="G765" s="23">
        <v>143</v>
      </c>
      <c r="H765" s="24">
        <v>347.25</v>
      </c>
      <c r="I765" s="24">
        <v>0</v>
      </c>
      <c r="J765" s="24">
        <v>0</v>
      </c>
      <c r="K765" s="24">
        <v>0</v>
      </c>
      <c r="L765" s="32">
        <v>0</v>
      </c>
      <c r="M765" s="33">
        <v>0</v>
      </c>
      <c r="N765" s="27">
        <v>0</v>
      </c>
      <c r="O765" s="24">
        <v>347.25</v>
      </c>
      <c r="P765" s="24">
        <v>347.25</v>
      </c>
      <c r="Q765" s="28">
        <v>0</v>
      </c>
      <c r="R765" s="29">
        <v>0</v>
      </c>
      <c r="S765" s="29">
        <v>0</v>
      </c>
      <c r="T765" s="29">
        <v>0</v>
      </c>
      <c r="U765" s="30">
        <v>347.25</v>
      </c>
    </row>
    <row r="766" spans="2:21" x14ac:dyDescent="0.25">
      <c r="B766" s="31" t="s">
        <v>25</v>
      </c>
      <c r="C766" s="31">
        <v>71</v>
      </c>
      <c r="D766" s="22" t="s">
        <v>1359</v>
      </c>
      <c r="E766" s="22" t="s">
        <v>1360</v>
      </c>
      <c r="F766" s="22"/>
      <c r="G766" s="23">
        <v>635</v>
      </c>
      <c r="H766" s="24">
        <v>1453.5</v>
      </c>
      <c r="I766" s="24">
        <v>0</v>
      </c>
      <c r="J766" s="24">
        <v>0</v>
      </c>
      <c r="K766" s="24">
        <v>0</v>
      </c>
      <c r="L766" s="32">
        <v>0</v>
      </c>
      <c r="M766" s="33">
        <v>0</v>
      </c>
      <c r="N766" s="27">
        <v>0</v>
      </c>
      <c r="O766" s="24">
        <v>1453.5</v>
      </c>
      <c r="P766" s="24">
        <v>1453.5</v>
      </c>
      <c r="Q766" s="28">
        <v>0</v>
      </c>
      <c r="R766" s="29">
        <v>0</v>
      </c>
      <c r="S766" s="29">
        <v>0</v>
      </c>
      <c r="T766" s="29">
        <v>0</v>
      </c>
      <c r="U766" s="30">
        <v>1453.5</v>
      </c>
    </row>
    <row r="767" spans="2:21" x14ac:dyDescent="0.25">
      <c r="B767" s="31" t="s">
        <v>25</v>
      </c>
      <c r="C767" s="31">
        <v>71</v>
      </c>
      <c r="D767" s="22" t="s">
        <v>1361</v>
      </c>
      <c r="E767" s="22" t="s">
        <v>1362</v>
      </c>
      <c r="F767" s="22"/>
      <c r="G767" s="23">
        <v>965</v>
      </c>
      <c r="H767" s="24">
        <v>2224</v>
      </c>
      <c r="I767" s="24">
        <v>0</v>
      </c>
      <c r="J767" s="24">
        <v>0</v>
      </c>
      <c r="K767" s="24">
        <v>0</v>
      </c>
      <c r="L767" s="32">
        <v>0</v>
      </c>
      <c r="M767" s="33">
        <v>0</v>
      </c>
      <c r="N767" s="27">
        <v>0</v>
      </c>
      <c r="O767" s="24">
        <v>2224</v>
      </c>
      <c r="P767" s="24">
        <v>2224</v>
      </c>
      <c r="Q767" s="28">
        <v>0</v>
      </c>
      <c r="R767" s="29">
        <v>0</v>
      </c>
      <c r="S767" s="29">
        <v>0</v>
      </c>
      <c r="T767" s="29">
        <v>0</v>
      </c>
      <c r="U767" s="30">
        <v>2224</v>
      </c>
    </row>
    <row r="768" spans="2:21" x14ac:dyDescent="0.25">
      <c r="B768" s="31" t="s">
        <v>25</v>
      </c>
      <c r="C768" s="31">
        <v>71</v>
      </c>
      <c r="D768" s="22" t="s">
        <v>1363</v>
      </c>
      <c r="E768" s="22" t="s">
        <v>1364</v>
      </c>
      <c r="F768" s="22"/>
      <c r="G768" s="23">
        <v>874</v>
      </c>
      <c r="H768" s="24">
        <v>1966.75</v>
      </c>
      <c r="I768" s="24">
        <v>0</v>
      </c>
      <c r="J768" s="24">
        <v>0</v>
      </c>
      <c r="K768" s="24">
        <v>0</v>
      </c>
      <c r="L768" s="32">
        <v>0</v>
      </c>
      <c r="M768" s="33">
        <v>0</v>
      </c>
      <c r="N768" s="27">
        <v>0</v>
      </c>
      <c r="O768" s="24">
        <v>1966.75</v>
      </c>
      <c r="P768" s="24">
        <v>1966.75</v>
      </c>
      <c r="Q768" s="28">
        <v>0</v>
      </c>
      <c r="R768" s="29">
        <v>0</v>
      </c>
      <c r="S768" s="29">
        <v>0</v>
      </c>
      <c r="T768" s="29">
        <v>0</v>
      </c>
      <c r="U768" s="30">
        <v>1966.75</v>
      </c>
    </row>
    <row r="769" spans="2:21" x14ac:dyDescent="0.25">
      <c r="B769" s="31" t="s">
        <v>25</v>
      </c>
      <c r="C769" s="31">
        <v>71</v>
      </c>
      <c r="D769" s="22" t="s">
        <v>1365</v>
      </c>
      <c r="E769" s="22" t="s">
        <v>1366</v>
      </c>
      <c r="F769" s="22"/>
      <c r="G769" s="23">
        <v>618</v>
      </c>
      <c r="H769" s="24">
        <v>1444.5</v>
      </c>
      <c r="I769" s="24">
        <v>0</v>
      </c>
      <c r="J769" s="24">
        <v>0</v>
      </c>
      <c r="K769" s="24">
        <v>0</v>
      </c>
      <c r="L769" s="32">
        <v>0</v>
      </c>
      <c r="M769" s="33">
        <v>0</v>
      </c>
      <c r="N769" s="27">
        <v>0</v>
      </c>
      <c r="O769" s="24">
        <v>1444.5</v>
      </c>
      <c r="P769" s="24">
        <v>1444.5</v>
      </c>
      <c r="Q769" s="28">
        <v>0</v>
      </c>
      <c r="R769" s="29">
        <v>0</v>
      </c>
      <c r="S769" s="29">
        <v>0</v>
      </c>
      <c r="T769" s="29">
        <v>0</v>
      </c>
      <c r="U769" s="30">
        <v>1444.5</v>
      </c>
    </row>
    <row r="770" spans="2:21" x14ac:dyDescent="0.25">
      <c r="B770" s="31" t="s">
        <v>25</v>
      </c>
      <c r="C770" s="22">
        <v>72</v>
      </c>
      <c r="D770" s="22" t="s">
        <v>743</v>
      </c>
      <c r="E770" s="22" t="s">
        <v>1199</v>
      </c>
      <c r="F770" s="22"/>
      <c r="G770" s="23">
        <v>0.39999999999781721</v>
      </c>
      <c r="H770" s="24">
        <v>-2.0000000000436557E-2</v>
      </c>
      <c r="I770" s="24">
        <v>0</v>
      </c>
      <c r="J770" s="24">
        <v>0</v>
      </c>
      <c r="K770" s="24">
        <v>0</v>
      </c>
      <c r="L770" s="32">
        <v>0</v>
      </c>
      <c r="M770" s="33">
        <v>0</v>
      </c>
      <c r="N770" s="27">
        <v>0</v>
      </c>
      <c r="O770" s="24">
        <v>5137</v>
      </c>
      <c r="P770" s="24">
        <v>5137</v>
      </c>
      <c r="Q770" s="28">
        <v>0</v>
      </c>
      <c r="R770" s="29">
        <v>0</v>
      </c>
      <c r="S770" s="29">
        <v>0</v>
      </c>
      <c r="T770" s="29">
        <v>0</v>
      </c>
      <c r="U770" s="30">
        <v>-2.0000000000436557E-2</v>
      </c>
    </row>
    <row r="771" spans="2:21" x14ac:dyDescent="0.25">
      <c r="B771" s="31" t="s">
        <v>25</v>
      </c>
      <c r="C771" s="31">
        <v>72</v>
      </c>
      <c r="D771" s="22" t="s">
        <v>1367</v>
      </c>
      <c r="E771" s="22" t="s">
        <v>1368</v>
      </c>
      <c r="F771" s="22" t="s">
        <v>44</v>
      </c>
      <c r="G771" s="23">
        <v>3904</v>
      </c>
      <c r="H771" s="24">
        <v>642</v>
      </c>
      <c r="I771" s="24">
        <v>0</v>
      </c>
      <c r="J771" s="24">
        <v>0</v>
      </c>
      <c r="K771" s="24">
        <v>0</v>
      </c>
      <c r="L771" s="32">
        <v>0</v>
      </c>
      <c r="M771" s="33">
        <v>0</v>
      </c>
      <c r="N771" s="27">
        <v>0</v>
      </c>
      <c r="O771" s="24">
        <v>0</v>
      </c>
      <c r="P771" s="24">
        <v>0</v>
      </c>
      <c r="Q771" s="28">
        <v>0</v>
      </c>
      <c r="R771" s="29">
        <v>0</v>
      </c>
      <c r="S771" s="29">
        <v>0</v>
      </c>
      <c r="T771" s="29">
        <v>0</v>
      </c>
      <c r="U771" s="30">
        <v>642</v>
      </c>
    </row>
    <row r="772" spans="2:21" x14ac:dyDescent="0.25">
      <c r="B772" s="31" t="s">
        <v>25</v>
      </c>
      <c r="C772" s="31">
        <v>72</v>
      </c>
      <c r="D772" s="22" t="s">
        <v>1369</v>
      </c>
      <c r="E772" s="22" t="s">
        <v>1370</v>
      </c>
      <c r="F772" s="22" t="s">
        <v>44</v>
      </c>
      <c r="G772" s="23">
        <v>1520</v>
      </c>
      <c r="H772" s="24">
        <v>296</v>
      </c>
      <c r="I772" s="24">
        <v>0</v>
      </c>
      <c r="J772" s="24">
        <v>0</v>
      </c>
      <c r="K772" s="24">
        <v>0</v>
      </c>
      <c r="L772" s="32">
        <v>0</v>
      </c>
      <c r="M772" s="33">
        <v>0</v>
      </c>
      <c r="N772" s="27">
        <v>0</v>
      </c>
      <c r="O772" s="24">
        <v>0</v>
      </c>
      <c r="P772" s="24">
        <v>0</v>
      </c>
      <c r="Q772" s="28">
        <v>0</v>
      </c>
      <c r="R772" s="29">
        <v>0</v>
      </c>
      <c r="S772" s="29">
        <v>0</v>
      </c>
      <c r="T772" s="29">
        <v>0</v>
      </c>
      <c r="U772" s="30">
        <v>296</v>
      </c>
    </row>
    <row r="773" spans="2:21" x14ac:dyDescent="0.25">
      <c r="B773" s="31" t="s">
        <v>25</v>
      </c>
      <c r="C773" s="31">
        <v>72</v>
      </c>
      <c r="D773" s="22" t="s">
        <v>1371</v>
      </c>
      <c r="E773" s="22" t="s">
        <v>1372</v>
      </c>
      <c r="F773" s="22" t="s">
        <v>44</v>
      </c>
      <c r="G773" s="23">
        <v>638</v>
      </c>
      <c r="H773" s="24">
        <v>129</v>
      </c>
      <c r="I773" s="24">
        <v>0</v>
      </c>
      <c r="J773" s="24">
        <v>0</v>
      </c>
      <c r="K773" s="24">
        <v>0</v>
      </c>
      <c r="L773" s="32">
        <v>0</v>
      </c>
      <c r="M773" s="33">
        <v>0</v>
      </c>
      <c r="N773" s="27">
        <v>0</v>
      </c>
      <c r="O773" s="24">
        <v>0</v>
      </c>
      <c r="P773" s="24">
        <v>0</v>
      </c>
      <c r="Q773" s="28">
        <v>0</v>
      </c>
      <c r="R773" s="29">
        <v>0</v>
      </c>
      <c r="S773" s="29">
        <v>0</v>
      </c>
      <c r="T773" s="29">
        <v>0</v>
      </c>
      <c r="U773" s="30">
        <v>129</v>
      </c>
    </row>
    <row r="774" spans="2:21" x14ac:dyDescent="0.25">
      <c r="B774" s="31" t="s">
        <v>25</v>
      </c>
      <c r="C774" s="31">
        <v>72</v>
      </c>
      <c r="D774" s="22" t="s">
        <v>1373</v>
      </c>
      <c r="E774" s="22" t="s">
        <v>1374</v>
      </c>
      <c r="F774" s="22" t="s">
        <v>44</v>
      </c>
      <c r="G774" s="23">
        <v>513</v>
      </c>
      <c r="H774" s="24">
        <v>111</v>
      </c>
      <c r="I774" s="24">
        <v>0</v>
      </c>
      <c r="J774" s="24">
        <v>0</v>
      </c>
      <c r="K774" s="24">
        <v>0</v>
      </c>
      <c r="L774" s="32">
        <v>0</v>
      </c>
      <c r="M774" s="33">
        <v>0</v>
      </c>
      <c r="N774" s="27">
        <v>0</v>
      </c>
      <c r="O774" s="24">
        <v>0</v>
      </c>
      <c r="P774" s="24">
        <v>0</v>
      </c>
      <c r="Q774" s="28">
        <v>0</v>
      </c>
      <c r="R774" s="29">
        <v>0</v>
      </c>
      <c r="S774" s="29">
        <v>0</v>
      </c>
      <c r="T774" s="29">
        <v>0</v>
      </c>
      <c r="U774" s="30">
        <v>111</v>
      </c>
    </row>
    <row r="775" spans="2:21" x14ac:dyDescent="0.25">
      <c r="B775" s="31" t="s">
        <v>25</v>
      </c>
      <c r="C775" s="31">
        <v>72</v>
      </c>
      <c r="D775" s="22" t="s">
        <v>1375</v>
      </c>
      <c r="E775" s="22" t="s">
        <v>1376</v>
      </c>
      <c r="F775" s="22" t="s">
        <v>44</v>
      </c>
      <c r="G775" s="23">
        <v>42</v>
      </c>
      <c r="H775" s="24">
        <v>9</v>
      </c>
      <c r="I775" s="24">
        <v>0</v>
      </c>
      <c r="J775" s="24">
        <v>0</v>
      </c>
      <c r="K775" s="24">
        <v>0</v>
      </c>
      <c r="L775" s="32">
        <v>0</v>
      </c>
      <c r="M775" s="33">
        <v>0</v>
      </c>
      <c r="N775" s="27">
        <v>0</v>
      </c>
      <c r="O775" s="24">
        <v>0</v>
      </c>
      <c r="P775" s="24">
        <v>0</v>
      </c>
      <c r="Q775" s="28">
        <v>0</v>
      </c>
      <c r="R775" s="29">
        <v>0</v>
      </c>
      <c r="S775" s="29">
        <v>0</v>
      </c>
      <c r="T775" s="29">
        <v>0</v>
      </c>
      <c r="U775" s="30">
        <v>9</v>
      </c>
    </row>
    <row r="776" spans="2:21" x14ac:dyDescent="0.25">
      <c r="B776" s="31" t="s">
        <v>25</v>
      </c>
      <c r="C776" s="31">
        <v>72</v>
      </c>
      <c r="D776" s="22" t="s">
        <v>1377</v>
      </c>
      <c r="E776" s="22" t="s">
        <v>1378</v>
      </c>
      <c r="F776" s="22" t="s">
        <v>44</v>
      </c>
      <c r="G776" s="23">
        <v>3990</v>
      </c>
      <c r="H776" s="24">
        <v>668</v>
      </c>
      <c r="I776" s="24">
        <v>0</v>
      </c>
      <c r="J776" s="24">
        <v>0</v>
      </c>
      <c r="K776" s="24">
        <v>0</v>
      </c>
      <c r="L776" s="32">
        <v>0</v>
      </c>
      <c r="M776" s="33">
        <v>0</v>
      </c>
      <c r="N776" s="27">
        <v>0</v>
      </c>
      <c r="O776" s="24">
        <v>0</v>
      </c>
      <c r="P776" s="24">
        <v>0</v>
      </c>
      <c r="Q776" s="28">
        <v>0</v>
      </c>
      <c r="R776" s="29">
        <v>0</v>
      </c>
      <c r="S776" s="29">
        <v>0</v>
      </c>
      <c r="T776" s="29">
        <v>0</v>
      </c>
      <c r="U776" s="30">
        <v>668</v>
      </c>
    </row>
    <row r="777" spans="2:21" x14ac:dyDescent="0.25">
      <c r="B777" s="31" t="s">
        <v>25</v>
      </c>
      <c r="C777" s="31">
        <v>72</v>
      </c>
      <c r="D777" s="22" t="s">
        <v>1379</v>
      </c>
      <c r="E777" s="22" t="s">
        <v>1380</v>
      </c>
      <c r="F777" s="22" t="s">
        <v>44</v>
      </c>
      <c r="G777" s="23">
        <v>3624</v>
      </c>
      <c r="H777" s="24">
        <v>617</v>
      </c>
      <c r="I777" s="24">
        <v>0</v>
      </c>
      <c r="J777" s="24">
        <v>0</v>
      </c>
      <c r="K777" s="24">
        <v>0</v>
      </c>
      <c r="L777" s="32">
        <v>0</v>
      </c>
      <c r="M777" s="33">
        <v>0</v>
      </c>
      <c r="N777" s="27">
        <v>0</v>
      </c>
      <c r="O777" s="24">
        <v>0</v>
      </c>
      <c r="P777" s="24">
        <v>0</v>
      </c>
      <c r="Q777" s="28">
        <v>0</v>
      </c>
      <c r="R777" s="29">
        <v>0</v>
      </c>
      <c r="S777" s="29">
        <v>0</v>
      </c>
      <c r="T777" s="29">
        <v>0</v>
      </c>
      <c r="U777" s="30">
        <v>617</v>
      </c>
    </row>
    <row r="778" spans="2:21" x14ac:dyDescent="0.25">
      <c r="B778" s="31" t="s">
        <v>25</v>
      </c>
      <c r="C778" s="31">
        <v>72</v>
      </c>
      <c r="D778" s="22" t="s">
        <v>1381</v>
      </c>
      <c r="E778" s="22" t="s">
        <v>1382</v>
      </c>
      <c r="F778" s="22" t="s">
        <v>44</v>
      </c>
      <c r="G778" s="23">
        <v>381</v>
      </c>
      <c r="H778" s="24">
        <v>82</v>
      </c>
      <c r="I778" s="24">
        <v>0</v>
      </c>
      <c r="J778" s="24">
        <v>0</v>
      </c>
      <c r="K778" s="24">
        <v>0</v>
      </c>
      <c r="L778" s="32">
        <v>0</v>
      </c>
      <c r="M778" s="33">
        <v>0</v>
      </c>
      <c r="N778" s="27">
        <v>0</v>
      </c>
      <c r="O778" s="24">
        <v>0</v>
      </c>
      <c r="P778" s="24">
        <v>0</v>
      </c>
      <c r="Q778" s="28">
        <v>0</v>
      </c>
      <c r="R778" s="29">
        <v>0</v>
      </c>
      <c r="S778" s="29">
        <v>0</v>
      </c>
      <c r="T778" s="29">
        <v>0</v>
      </c>
      <c r="U778" s="30">
        <v>82</v>
      </c>
    </row>
    <row r="779" spans="2:21" x14ac:dyDescent="0.25">
      <c r="B779" s="31" t="s">
        <v>25</v>
      </c>
      <c r="C779" s="31">
        <v>72</v>
      </c>
      <c r="D779" s="22" t="s">
        <v>1383</v>
      </c>
      <c r="E779" s="22" t="s">
        <v>1384</v>
      </c>
      <c r="F779" s="22" t="s">
        <v>44</v>
      </c>
      <c r="G779" s="23">
        <v>677</v>
      </c>
      <c r="H779" s="24">
        <v>148</v>
      </c>
      <c r="I779" s="24">
        <v>0</v>
      </c>
      <c r="J779" s="24">
        <v>0</v>
      </c>
      <c r="K779" s="24">
        <v>0</v>
      </c>
      <c r="L779" s="32">
        <v>0</v>
      </c>
      <c r="M779" s="33">
        <v>0</v>
      </c>
      <c r="N779" s="27">
        <v>0</v>
      </c>
      <c r="O779" s="24">
        <v>0</v>
      </c>
      <c r="P779" s="24">
        <v>0</v>
      </c>
      <c r="Q779" s="28">
        <v>0</v>
      </c>
      <c r="R779" s="29">
        <v>0</v>
      </c>
      <c r="S779" s="29">
        <v>0</v>
      </c>
      <c r="T779" s="29">
        <v>0</v>
      </c>
      <c r="U779" s="30">
        <v>148</v>
      </c>
    </row>
    <row r="780" spans="2:21" x14ac:dyDescent="0.25">
      <c r="B780" s="31" t="s">
        <v>25</v>
      </c>
      <c r="C780" s="31">
        <v>72</v>
      </c>
      <c r="D780" s="22" t="s">
        <v>1385</v>
      </c>
      <c r="E780" s="22" t="s">
        <v>1386</v>
      </c>
      <c r="F780" s="22" t="s">
        <v>44</v>
      </c>
      <c r="G780" s="23">
        <v>22</v>
      </c>
      <c r="H780" s="24">
        <v>5</v>
      </c>
      <c r="I780" s="24">
        <v>0</v>
      </c>
      <c r="J780" s="24">
        <v>0</v>
      </c>
      <c r="K780" s="24">
        <v>0</v>
      </c>
      <c r="L780" s="32">
        <v>0</v>
      </c>
      <c r="M780" s="33">
        <v>0</v>
      </c>
      <c r="N780" s="27">
        <v>0</v>
      </c>
      <c r="O780" s="24">
        <v>0</v>
      </c>
      <c r="P780" s="24">
        <v>0</v>
      </c>
      <c r="Q780" s="28">
        <v>0</v>
      </c>
      <c r="R780" s="29">
        <v>0</v>
      </c>
      <c r="S780" s="29">
        <v>0</v>
      </c>
      <c r="T780" s="29">
        <v>0</v>
      </c>
      <c r="U780" s="30">
        <v>5</v>
      </c>
    </row>
    <row r="781" spans="2:21" x14ac:dyDescent="0.25">
      <c r="B781" s="31" t="s">
        <v>25</v>
      </c>
      <c r="C781" s="31">
        <v>72</v>
      </c>
      <c r="D781" s="22" t="s">
        <v>1387</v>
      </c>
      <c r="E781" s="22" t="s">
        <v>1388</v>
      </c>
      <c r="F781" s="22" t="s">
        <v>44</v>
      </c>
      <c r="G781" s="23">
        <v>2833</v>
      </c>
      <c r="H781" s="24">
        <v>476</v>
      </c>
      <c r="I781" s="24">
        <v>0</v>
      </c>
      <c r="J781" s="24">
        <v>0</v>
      </c>
      <c r="K781" s="24">
        <v>0</v>
      </c>
      <c r="L781" s="32">
        <v>0</v>
      </c>
      <c r="M781" s="33">
        <v>0</v>
      </c>
      <c r="N781" s="27">
        <v>0</v>
      </c>
      <c r="O781" s="24">
        <v>0</v>
      </c>
      <c r="P781" s="24">
        <v>0</v>
      </c>
      <c r="Q781" s="28">
        <v>0</v>
      </c>
      <c r="R781" s="29">
        <v>0</v>
      </c>
      <c r="S781" s="29">
        <v>0</v>
      </c>
      <c r="T781" s="29">
        <v>0</v>
      </c>
      <c r="U781" s="30">
        <v>476</v>
      </c>
    </row>
    <row r="782" spans="2:21" x14ac:dyDescent="0.25">
      <c r="B782" s="31" t="s">
        <v>25</v>
      </c>
      <c r="C782" s="31">
        <v>72</v>
      </c>
      <c r="D782" s="22" t="s">
        <v>1389</v>
      </c>
      <c r="E782" s="22" t="s">
        <v>1390</v>
      </c>
      <c r="F782" s="22" t="s">
        <v>44</v>
      </c>
      <c r="G782" s="23">
        <v>367</v>
      </c>
      <c r="H782" s="24">
        <v>79</v>
      </c>
      <c r="I782" s="24">
        <v>0</v>
      </c>
      <c r="J782" s="24">
        <v>0</v>
      </c>
      <c r="K782" s="24">
        <v>0</v>
      </c>
      <c r="L782" s="32">
        <v>0</v>
      </c>
      <c r="M782" s="33">
        <v>0</v>
      </c>
      <c r="N782" s="27">
        <v>0</v>
      </c>
      <c r="O782" s="24">
        <v>0</v>
      </c>
      <c r="P782" s="24">
        <v>0</v>
      </c>
      <c r="Q782" s="28">
        <v>0</v>
      </c>
      <c r="R782" s="29">
        <v>0</v>
      </c>
      <c r="S782" s="29">
        <v>0</v>
      </c>
      <c r="T782" s="29">
        <v>0</v>
      </c>
      <c r="U782" s="30">
        <v>79</v>
      </c>
    </row>
    <row r="783" spans="2:21" x14ac:dyDescent="0.25">
      <c r="B783" s="31" t="s">
        <v>25</v>
      </c>
      <c r="C783" s="31">
        <v>72</v>
      </c>
      <c r="D783" s="22" t="s">
        <v>1391</v>
      </c>
      <c r="E783" s="22" t="s">
        <v>1392</v>
      </c>
      <c r="F783" s="22" t="s">
        <v>44</v>
      </c>
      <c r="G783" s="23">
        <v>515</v>
      </c>
      <c r="H783" s="24">
        <v>111</v>
      </c>
      <c r="I783" s="24">
        <v>0</v>
      </c>
      <c r="J783" s="24">
        <v>0</v>
      </c>
      <c r="K783" s="24">
        <v>0</v>
      </c>
      <c r="L783" s="32">
        <v>0</v>
      </c>
      <c r="M783" s="33">
        <v>0</v>
      </c>
      <c r="N783" s="27">
        <v>0</v>
      </c>
      <c r="O783" s="24">
        <v>0</v>
      </c>
      <c r="P783" s="24">
        <v>0</v>
      </c>
      <c r="Q783" s="28">
        <v>0</v>
      </c>
      <c r="R783" s="29">
        <v>0</v>
      </c>
      <c r="S783" s="29">
        <v>0</v>
      </c>
      <c r="T783" s="29">
        <v>0</v>
      </c>
      <c r="U783" s="30">
        <v>111</v>
      </c>
    </row>
    <row r="784" spans="2:21" x14ac:dyDescent="0.25">
      <c r="B784" s="31" t="s">
        <v>25</v>
      </c>
      <c r="C784" s="31">
        <v>72</v>
      </c>
      <c r="D784" s="22" t="s">
        <v>1393</v>
      </c>
      <c r="E784" s="22" t="s">
        <v>1394</v>
      </c>
      <c r="F784" s="22" t="s">
        <v>44</v>
      </c>
      <c r="G784" s="23">
        <v>2253</v>
      </c>
      <c r="H784" s="24">
        <v>361</v>
      </c>
      <c r="I784" s="24">
        <v>0</v>
      </c>
      <c r="J784" s="24">
        <v>0</v>
      </c>
      <c r="K784" s="24">
        <v>0</v>
      </c>
      <c r="L784" s="32">
        <v>0</v>
      </c>
      <c r="M784" s="33">
        <v>0</v>
      </c>
      <c r="N784" s="27">
        <v>0</v>
      </c>
      <c r="O784" s="24">
        <v>0</v>
      </c>
      <c r="P784" s="24">
        <v>0</v>
      </c>
      <c r="Q784" s="28">
        <v>0</v>
      </c>
      <c r="R784" s="29">
        <v>0</v>
      </c>
      <c r="S784" s="29">
        <v>0</v>
      </c>
      <c r="T784" s="29">
        <v>0</v>
      </c>
      <c r="U784" s="30">
        <v>361</v>
      </c>
    </row>
    <row r="785" spans="2:21" x14ac:dyDescent="0.25">
      <c r="B785" s="31" t="s">
        <v>25</v>
      </c>
      <c r="C785" s="31">
        <v>72</v>
      </c>
      <c r="D785" s="22" t="s">
        <v>1395</v>
      </c>
      <c r="E785" s="22" t="s">
        <v>1396</v>
      </c>
      <c r="F785" s="22" t="s">
        <v>44</v>
      </c>
      <c r="G785" s="23">
        <v>28</v>
      </c>
      <c r="H785" s="24">
        <v>6</v>
      </c>
      <c r="I785" s="24">
        <v>0</v>
      </c>
      <c r="J785" s="24">
        <v>0</v>
      </c>
      <c r="K785" s="24">
        <v>0</v>
      </c>
      <c r="L785" s="32">
        <v>0</v>
      </c>
      <c r="M785" s="33">
        <v>0</v>
      </c>
      <c r="N785" s="27">
        <v>0</v>
      </c>
      <c r="O785" s="24">
        <v>0</v>
      </c>
      <c r="P785" s="24">
        <v>0</v>
      </c>
      <c r="Q785" s="28">
        <v>0</v>
      </c>
      <c r="R785" s="29">
        <v>0</v>
      </c>
      <c r="S785" s="29">
        <v>0</v>
      </c>
      <c r="T785" s="29">
        <v>0</v>
      </c>
      <c r="U785" s="30">
        <v>6</v>
      </c>
    </row>
    <row r="786" spans="2:21" x14ac:dyDescent="0.25">
      <c r="B786" s="31" t="s">
        <v>25</v>
      </c>
      <c r="C786" s="31">
        <v>72</v>
      </c>
      <c r="D786" s="22" t="s">
        <v>1397</v>
      </c>
      <c r="E786" s="22" t="s">
        <v>1398</v>
      </c>
      <c r="F786" s="22" t="s">
        <v>44</v>
      </c>
      <c r="G786" s="23">
        <v>3340</v>
      </c>
      <c r="H786" s="24">
        <v>522</v>
      </c>
      <c r="I786" s="24">
        <v>0</v>
      </c>
      <c r="J786" s="24">
        <v>0</v>
      </c>
      <c r="K786" s="24">
        <v>0</v>
      </c>
      <c r="L786" s="32">
        <v>0</v>
      </c>
      <c r="M786" s="33">
        <v>0</v>
      </c>
      <c r="N786" s="27">
        <v>0</v>
      </c>
      <c r="O786" s="24">
        <v>0</v>
      </c>
      <c r="P786" s="24">
        <v>0</v>
      </c>
      <c r="Q786" s="28">
        <v>0</v>
      </c>
      <c r="R786" s="29">
        <v>0</v>
      </c>
      <c r="S786" s="29">
        <v>0</v>
      </c>
      <c r="T786" s="29">
        <v>0</v>
      </c>
      <c r="U786" s="30">
        <v>522</v>
      </c>
    </row>
    <row r="787" spans="2:21" x14ac:dyDescent="0.25">
      <c r="B787" s="31" t="s">
        <v>25</v>
      </c>
      <c r="C787" s="31">
        <v>72</v>
      </c>
      <c r="D787" s="22" t="s">
        <v>1399</v>
      </c>
      <c r="E787" s="22" t="s">
        <v>1400</v>
      </c>
      <c r="F787" s="22" t="s">
        <v>44</v>
      </c>
      <c r="G787" s="23">
        <v>850</v>
      </c>
      <c r="H787" s="24">
        <v>175</v>
      </c>
      <c r="I787" s="24">
        <v>0</v>
      </c>
      <c r="J787" s="24">
        <v>0</v>
      </c>
      <c r="K787" s="24">
        <v>0</v>
      </c>
      <c r="L787" s="32">
        <v>0</v>
      </c>
      <c r="M787" s="33">
        <v>0</v>
      </c>
      <c r="N787" s="27">
        <v>0</v>
      </c>
      <c r="O787" s="24">
        <v>0</v>
      </c>
      <c r="P787" s="24">
        <v>0</v>
      </c>
      <c r="Q787" s="28">
        <v>0</v>
      </c>
      <c r="R787" s="29">
        <v>0</v>
      </c>
      <c r="S787" s="29">
        <v>0</v>
      </c>
      <c r="T787" s="29">
        <v>0</v>
      </c>
      <c r="U787" s="30">
        <v>175</v>
      </c>
    </row>
    <row r="788" spans="2:21" x14ac:dyDescent="0.25">
      <c r="B788" s="31" t="s">
        <v>25</v>
      </c>
      <c r="C788" s="31">
        <v>72</v>
      </c>
      <c r="D788" s="22" t="s">
        <v>1401</v>
      </c>
      <c r="E788" s="22" t="s">
        <v>1402</v>
      </c>
      <c r="F788" s="22" t="s">
        <v>44</v>
      </c>
      <c r="G788" s="23">
        <v>18</v>
      </c>
      <c r="H788" s="24">
        <v>3</v>
      </c>
      <c r="I788" s="24">
        <v>0</v>
      </c>
      <c r="J788" s="24">
        <v>0</v>
      </c>
      <c r="K788" s="24">
        <v>0</v>
      </c>
      <c r="L788" s="32">
        <v>0</v>
      </c>
      <c r="M788" s="33">
        <v>0</v>
      </c>
      <c r="N788" s="27">
        <v>0</v>
      </c>
      <c r="O788" s="24">
        <v>0</v>
      </c>
      <c r="P788" s="24">
        <v>0</v>
      </c>
      <c r="Q788" s="28">
        <v>0</v>
      </c>
      <c r="R788" s="29">
        <v>0</v>
      </c>
      <c r="S788" s="29">
        <v>0</v>
      </c>
      <c r="T788" s="29">
        <v>0</v>
      </c>
      <c r="U788" s="30">
        <v>3</v>
      </c>
    </row>
    <row r="789" spans="2:21" x14ac:dyDescent="0.25">
      <c r="B789" s="31" t="s">
        <v>25</v>
      </c>
      <c r="C789" s="31">
        <v>72</v>
      </c>
      <c r="D789" s="22" t="s">
        <v>1403</v>
      </c>
      <c r="E789" s="22" t="s">
        <v>1404</v>
      </c>
      <c r="F789" s="22" t="s">
        <v>44</v>
      </c>
      <c r="G789" s="23">
        <v>469</v>
      </c>
      <c r="H789" s="24">
        <v>103</v>
      </c>
      <c r="I789" s="24">
        <v>0</v>
      </c>
      <c r="J789" s="24">
        <v>0</v>
      </c>
      <c r="K789" s="24">
        <v>0</v>
      </c>
      <c r="L789" s="32">
        <v>0</v>
      </c>
      <c r="M789" s="33">
        <v>0</v>
      </c>
      <c r="N789" s="27">
        <v>0</v>
      </c>
      <c r="O789" s="24">
        <v>0</v>
      </c>
      <c r="P789" s="24">
        <v>0</v>
      </c>
      <c r="Q789" s="28">
        <v>0</v>
      </c>
      <c r="R789" s="29">
        <v>0</v>
      </c>
      <c r="S789" s="29">
        <v>0</v>
      </c>
      <c r="T789" s="29">
        <v>0</v>
      </c>
      <c r="U789" s="30">
        <v>103</v>
      </c>
    </row>
    <row r="790" spans="2:21" x14ac:dyDescent="0.25">
      <c r="B790" s="31" t="s">
        <v>25</v>
      </c>
      <c r="C790" s="31">
        <v>72</v>
      </c>
      <c r="D790" s="22" t="s">
        <v>1405</v>
      </c>
      <c r="E790" s="22" t="s">
        <v>1406</v>
      </c>
      <c r="F790" s="22" t="s">
        <v>44</v>
      </c>
      <c r="G790" s="23">
        <v>2591</v>
      </c>
      <c r="H790" s="24">
        <v>439</v>
      </c>
      <c r="I790" s="24">
        <v>0</v>
      </c>
      <c r="J790" s="24">
        <v>0</v>
      </c>
      <c r="K790" s="24">
        <v>0</v>
      </c>
      <c r="L790" s="32">
        <v>0</v>
      </c>
      <c r="M790" s="33">
        <v>0</v>
      </c>
      <c r="N790" s="27">
        <v>0</v>
      </c>
      <c r="O790" s="24">
        <v>0</v>
      </c>
      <c r="P790" s="24">
        <v>0</v>
      </c>
      <c r="Q790" s="28">
        <v>0</v>
      </c>
      <c r="R790" s="29">
        <v>0</v>
      </c>
      <c r="S790" s="29">
        <v>0</v>
      </c>
      <c r="T790" s="29">
        <v>0</v>
      </c>
      <c r="U790" s="30">
        <v>439</v>
      </c>
    </row>
    <row r="791" spans="2:21" x14ac:dyDescent="0.25">
      <c r="B791" s="31" t="s">
        <v>25</v>
      </c>
      <c r="C791" s="31">
        <v>72</v>
      </c>
      <c r="D791" s="22" t="s">
        <v>1407</v>
      </c>
      <c r="E791" s="22" t="s">
        <v>1408</v>
      </c>
      <c r="F791" s="22" t="s">
        <v>44</v>
      </c>
      <c r="G791" s="23">
        <v>696</v>
      </c>
      <c r="H791" s="24">
        <v>151</v>
      </c>
      <c r="I791" s="24">
        <v>0</v>
      </c>
      <c r="J791" s="24">
        <v>0</v>
      </c>
      <c r="K791" s="24">
        <v>0</v>
      </c>
      <c r="L791" s="32">
        <v>0</v>
      </c>
      <c r="M791" s="33">
        <v>0</v>
      </c>
      <c r="N791" s="27">
        <v>0</v>
      </c>
      <c r="O791" s="24">
        <v>0</v>
      </c>
      <c r="P791" s="24">
        <v>0</v>
      </c>
      <c r="Q791" s="28">
        <v>0</v>
      </c>
      <c r="R791" s="29">
        <v>0</v>
      </c>
      <c r="S791" s="29">
        <v>0</v>
      </c>
      <c r="T791" s="29">
        <v>0</v>
      </c>
      <c r="U791" s="30">
        <v>151</v>
      </c>
    </row>
    <row r="792" spans="2:21" x14ac:dyDescent="0.25">
      <c r="B792" s="31" t="s">
        <v>25</v>
      </c>
      <c r="C792" s="31">
        <v>72</v>
      </c>
      <c r="D792" s="22" t="s">
        <v>1409</v>
      </c>
      <c r="E792" s="22" t="s">
        <v>1410</v>
      </c>
      <c r="F792" s="22" t="s">
        <v>44</v>
      </c>
      <c r="G792" s="23">
        <v>21</v>
      </c>
      <c r="H792" s="24">
        <v>5</v>
      </c>
      <c r="I792" s="24">
        <v>0</v>
      </c>
      <c r="J792" s="24">
        <v>0</v>
      </c>
      <c r="K792" s="24">
        <v>0</v>
      </c>
      <c r="L792" s="32">
        <v>0</v>
      </c>
      <c r="M792" s="33">
        <v>0</v>
      </c>
      <c r="N792" s="27">
        <v>0</v>
      </c>
      <c r="O792" s="24">
        <v>0</v>
      </c>
      <c r="P792" s="24">
        <v>0</v>
      </c>
      <c r="Q792" s="28">
        <v>0</v>
      </c>
      <c r="R792" s="29">
        <v>0</v>
      </c>
      <c r="S792" s="29">
        <v>0</v>
      </c>
      <c r="T792" s="29">
        <v>0</v>
      </c>
      <c r="U792" s="30">
        <v>5</v>
      </c>
    </row>
    <row r="793" spans="2:21" x14ac:dyDescent="0.25">
      <c r="B793" s="31" t="s">
        <v>25</v>
      </c>
      <c r="C793" s="31">
        <v>72</v>
      </c>
      <c r="D793" s="22" t="s">
        <v>1411</v>
      </c>
      <c r="E793" s="22" t="s">
        <v>1412</v>
      </c>
      <c r="F793" s="22" t="s">
        <v>44</v>
      </c>
      <c r="G793" s="23">
        <v>2651</v>
      </c>
      <c r="H793" s="24">
        <v>415</v>
      </c>
      <c r="I793" s="24">
        <v>0</v>
      </c>
      <c r="J793" s="24">
        <v>0</v>
      </c>
      <c r="K793" s="24">
        <v>0</v>
      </c>
      <c r="L793" s="32">
        <v>0</v>
      </c>
      <c r="M793" s="33">
        <v>0</v>
      </c>
      <c r="N793" s="27">
        <v>0</v>
      </c>
      <c r="O793" s="24">
        <v>0</v>
      </c>
      <c r="P793" s="24">
        <v>0</v>
      </c>
      <c r="Q793" s="28">
        <v>0</v>
      </c>
      <c r="R793" s="29">
        <v>0</v>
      </c>
      <c r="S793" s="29">
        <v>0</v>
      </c>
      <c r="T793" s="29">
        <v>0</v>
      </c>
      <c r="U793" s="30">
        <v>415</v>
      </c>
    </row>
    <row r="794" spans="2:21" x14ac:dyDescent="0.25">
      <c r="B794" s="31" t="s">
        <v>25</v>
      </c>
      <c r="C794" s="31">
        <v>72</v>
      </c>
      <c r="D794" s="22" t="s">
        <v>1413</v>
      </c>
      <c r="E794" s="22" t="s">
        <v>1414</v>
      </c>
      <c r="F794" s="22" t="s">
        <v>44</v>
      </c>
      <c r="G794" s="23">
        <v>197</v>
      </c>
      <c r="H794" s="24">
        <v>42</v>
      </c>
      <c r="I794" s="24">
        <v>0</v>
      </c>
      <c r="J794" s="24">
        <v>0</v>
      </c>
      <c r="K794" s="24">
        <v>0</v>
      </c>
      <c r="L794" s="32">
        <v>0</v>
      </c>
      <c r="M794" s="33">
        <v>0</v>
      </c>
      <c r="N794" s="27">
        <v>0</v>
      </c>
      <c r="O794" s="24">
        <v>0</v>
      </c>
      <c r="P794" s="24">
        <v>0</v>
      </c>
      <c r="Q794" s="28">
        <v>0</v>
      </c>
      <c r="R794" s="29">
        <v>0</v>
      </c>
      <c r="S794" s="29">
        <v>0</v>
      </c>
      <c r="T794" s="29">
        <v>0</v>
      </c>
      <c r="U794" s="30">
        <v>42</v>
      </c>
    </row>
    <row r="795" spans="2:21" x14ac:dyDescent="0.25">
      <c r="B795" s="31" t="s">
        <v>25</v>
      </c>
      <c r="C795" s="31">
        <v>72</v>
      </c>
      <c r="D795" s="22" t="s">
        <v>1415</v>
      </c>
      <c r="E795" s="22" t="s">
        <v>1416</v>
      </c>
      <c r="F795" s="22" t="s">
        <v>44</v>
      </c>
      <c r="G795" s="23">
        <v>647</v>
      </c>
      <c r="H795" s="24">
        <v>140</v>
      </c>
      <c r="I795" s="24">
        <v>0</v>
      </c>
      <c r="J795" s="24">
        <v>0</v>
      </c>
      <c r="K795" s="24">
        <v>0</v>
      </c>
      <c r="L795" s="32">
        <v>0</v>
      </c>
      <c r="M795" s="33">
        <v>0</v>
      </c>
      <c r="N795" s="27">
        <v>0</v>
      </c>
      <c r="O795" s="24">
        <v>0</v>
      </c>
      <c r="P795" s="24">
        <v>0</v>
      </c>
      <c r="Q795" s="28">
        <v>0</v>
      </c>
      <c r="R795" s="29">
        <v>0</v>
      </c>
      <c r="S795" s="29">
        <v>0</v>
      </c>
      <c r="T795" s="29">
        <v>0</v>
      </c>
      <c r="U795" s="30">
        <v>140</v>
      </c>
    </row>
    <row r="796" spans="2:21" x14ac:dyDescent="0.25">
      <c r="B796" s="31" t="s">
        <v>25</v>
      </c>
      <c r="C796" s="31">
        <v>72</v>
      </c>
      <c r="D796" s="22" t="s">
        <v>1417</v>
      </c>
      <c r="E796" s="22" t="s">
        <v>1418</v>
      </c>
      <c r="F796" s="22" t="s">
        <v>44</v>
      </c>
      <c r="G796" s="23">
        <v>3436</v>
      </c>
      <c r="H796" s="24">
        <v>589</v>
      </c>
      <c r="I796" s="24">
        <v>0</v>
      </c>
      <c r="J796" s="24">
        <v>0</v>
      </c>
      <c r="K796" s="24">
        <v>0</v>
      </c>
      <c r="L796" s="32">
        <v>0</v>
      </c>
      <c r="M796" s="33">
        <v>0</v>
      </c>
      <c r="N796" s="27">
        <v>0</v>
      </c>
      <c r="O796" s="24">
        <v>0</v>
      </c>
      <c r="P796" s="24">
        <v>0</v>
      </c>
      <c r="Q796" s="28">
        <v>0</v>
      </c>
      <c r="R796" s="29">
        <v>0</v>
      </c>
      <c r="S796" s="29">
        <v>0</v>
      </c>
      <c r="T796" s="29">
        <v>0</v>
      </c>
      <c r="U796" s="30">
        <v>589</v>
      </c>
    </row>
    <row r="797" spans="2:21" x14ac:dyDescent="0.25">
      <c r="B797" s="31" t="s">
        <v>25</v>
      </c>
      <c r="C797" s="31">
        <v>72</v>
      </c>
      <c r="D797" s="22" t="s">
        <v>1419</v>
      </c>
      <c r="E797" s="22" t="s">
        <v>1420</v>
      </c>
      <c r="F797" s="22" t="s">
        <v>44</v>
      </c>
      <c r="G797" s="23">
        <v>591</v>
      </c>
      <c r="H797" s="24">
        <v>131</v>
      </c>
      <c r="I797" s="24">
        <v>0</v>
      </c>
      <c r="J797" s="24">
        <v>0</v>
      </c>
      <c r="K797" s="24">
        <v>0</v>
      </c>
      <c r="L797" s="32">
        <v>0</v>
      </c>
      <c r="M797" s="33">
        <v>0</v>
      </c>
      <c r="N797" s="27">
        <v>0</v>
      </c>
      <c r="O797" s="24">
        <v>0</v>
      </c>
      <c r="P797" s="24">
        <v>0</v>
      </c>
      <c r="Q797" s="28">
        <v>0</v>
      </c>
      <c r="R797" s="29">
        <v>0</v>
      </c>
      <c r="S797" s="29">
        <v>0</v>
      </c>
      <c r="T797" s="29">
        <v>0</v>
      </c>
      <c r="U797" s="30">
        <v>131</v>
      </c>
    </row>
    <row r="798" spans="2:21" x14ac:dyDescent="0.25">
      <c r="B798" s="31" t="s">
        <v>25</v>
      </c>
      <c r="C798" s="31">
        <v>72</v>
      </c>
      <c r="D798" s="22" t="s">
        <v>1421</v>
      </c>
      <c r="E798" s="22" t="s">
        <v>1422</v>
      </c>
      <c r="F798" s="22" t="s">
        <v>44</v>
      </c>
      <c r="G798" s="23">
        <v>2301</v>
      </c>
      <c r="H798" s="24">
        <v>363</v>
      </c>
      <c r="I798" s="24">
        <v>0</v>
      </c>
      <c r="J798" s="24">
        <v>0</v>
      </c>
      <c r="K798" s="24">
        <v>0</v>
      </c>
      <c r="L798" s="32">
        <v>0</v>
      </c>
      <c r="M798" s="33">
        <v>0</v>
      </c>
      <c r="N798" s="27">
        <v>0</v>
      </c>
      <c r="O798" s="24">
        <v>0</v>
      </c>
      <c r="P798" s="24">
        <v>0</v>
      </c>
      <c r="Q798" s="28">
        <v>0</v>
      </c>
      <c r="R798" s="29">
        <v>0</v>
      </c>
      <c r="S798" s="29">
        <v>0</v>
      </c>
      <c r="T798" s="29">
        <v>0</v>
      </c>
      <c r="U798" s="30">
        <v>363</v>
      </c>
    </row>
    <row r="799" spans="2:21" x14ac:dyDescent="0.25">
      <c r="B799" s="31" t="s">
        <v>25</v>
      </c>
      <c r="C799" s="31">
        <v>72</v>
      </c>
      <c r="D799" s="22" t="s">
        <v>1423</v>
      </c>
      <c r="E799" s="22" t="s">
        <v>1424</v>
      </c>
      <c r="F799" s="22" t="s">
        <v>44</v>
      </c>
      <c r="G799" s="23">
        <v>611</v>
      </c>
      <c r="H799" s="24">
        <v>129</v>
      </c>
      <c r="I799" s="24">
        <v>0</v>
      </c>
      <c r="J799" s="24">
        <v>0</v>
      </c>
      <c r="K799" s="24">
        <v>0</v>
      </c>
      <c r="L799" s="32">
        <v>0</v>
      </c>
      <c r="M799" s="33">
        <v>0</v>
      </c>
      <c r="N799" s="27">
        <v>0</v>
      </c>
      <c r="O799" s="24">
        <v>0</v>
      </c>
      <c r="P799" s="24">
        <v>0</v>
      </c>
      <c r="Q799" s="28">
        <v>0</v>
      </c>
      <c r="R799" s="29">
        <v>0</v>
      </c>
      <c r="S799" s="29">
        <v>0</v>
      </c>
      <c r="T799" s="29">
        <v>0</v>
      </c>
      <c r="U799" s="30">
        <v>129</v>
      </c>
    </row>
    <row r="800" spans="2:21" x14ac:dyDescent="0.25">
      <c r="B800" s="31" t="s">
        <v>25</v>
      </c>
      <c r="C800" s="31">
        <v>72</v>
      </c>
      <c r="D800" s="22" t="s">
        <v>1425</v>
      </c>
      <c r="E800" s="22" t="s">
        <v>1426</v>
      </c>
      <c r="F800" s="22" t="s">
        <v>44</v>
      </c>
      <c r="G800" s="23">
        <v>7837</v>
      </c>
      <c r="H800" s="24">
        <v>1215</v>
      </c>
      <c r="I800" s="24">
        <v>0</v>
      </c>
      <c r="J800" s="24">
        <v>0</v>
      </c>
      <c r="K800" s="24">
        <v>0</v>
      </c>
      <c r="L800" s="32">
        <v>0</v>
      </c>
      <c r="M800" s="33">
        <v>0</v>
      </c>
      <c r="N800" s="27">
        <v>0</v>
      </c>
      <c r="O800" s="24">
        <v>0</v>
      </c>
      <c r="P800" s="24">
        <v>0</v>
      </c>
      <c r="Q800" s="28">
        <v>0</v>
      </c>
      <c r="R800" s="29">
        <v>0</v>
      </c>
      <c r="S800" s="29">
        <v>0</v>
      </c>
      <c r="T800" s="29">
        <v>0</v>
      </c>
      <c r="U800" s="30">
        <v>1215</v>
      </c>
    </row>
    <row r="801" spans="2:21" x14ac:dyDescent="0.25">
      <c r="B801" s="31" t="s">
        <v>25</v>
      </c>
      <c r="C801" s="31">
        <v>72</v>
      </c>
      <c r="D801" s="22" t="s">
        <v>1427</v>
      </c>
      <c r="E801" s="22" t="s">
        <v>1428</v>
      </c>
      <c r="F801" s="22" t="s">
        <v>44</v>
      </c>
      <c r="G801" s="23">
        <v>573</v>
      </c>
      <c r="H801" s="24">
        <v>88</v>
      </c>
      <c r="I801" s="24">
        <v>0</v>
      </c>
      <c r="J801" s="24">
        <v>0</v>
      </c>
      <c r="K801" s="24">
        <v>0</v>
      </c>
      <c r="L801" s="32">
        <v>0</v>
      </c>
      <c r="M801" s="33">
        <v>0</v>
      </c>
      <c r="N801" s="27">
        <v>0</v>
      </c>
      <c r="O801" s="24">
        <v>0</v>
      </c>
      <c r="P801" s="24">
        <v>0</v>
      </c>
      <c r="Q801" s="28">
        <v>0</v>
      </c>
      <c r="R801" s="29">
        <v>0</v>
      </c>
      <c r="S801" s="29">
        <v>0</v>
      </c>
      <c r="T801" s="29">
        <v>0</v>
      </c>
      <c r="U801" s="30">
        <v>88</v>
      </c>
    </row>
    <row r="802" spans="2:21" x14ac:dyDescent="0.25">
      <c r="B802" s="31" t="s">
        <v>25</v>
      </c>
      <c r="C802" s="31">
        <v>72</v>
      </c>
      <c r="D802" s="22" t="s">
        <v>1429</v>
      </c>
      <c r="E802" s="22" t="s">
        <v>1430</v>
      </c>
      <c r="F802" s="22" t="s">
        <v>44</v>
      </c>
      <c r="G802" s="23">
        <v>2445</v>
      </c>
      <c r="H802" s="24">
        <v>384</v>
      </c>
      <c r="I802" s="24">
        <v>0</v>
      </c>
      <c r="J802" s="24">
        <v>0</v>
      </c>
      <c r="K802" s="24">
        <v>0</v>
      </c>
      <c r="L802" s="32">
        <v>0</v>
      </c>
      <c r="M802" s="33">
        <v>0</v>
      </c>
      <c r="N802" s="27">
        <v>0</v>
      </c>
      <c r="O802" s="24">
        <v>0</v>
      </c>
      <c r="P802" s="24">
        <v>0</v>
      </c>
      <c r="Q802" s="28">
        <v>0</v>
      </c>
      <c r="R802" s="29">
        <v>0</v>
      </c>
      <c r="S802" s="29">
        <v>0</v>
      </c>
      <c r="T802" s="29">
        <v>0</v>
      </c>
      <c r="U802" s="30">
        <v>384</v>
      </c>
    </row>
    <row r="803" spans="2:21" x14ac:dyDescent="0.25">
      <c r="B803" s="31" t="s">
        <v>25</v>
      </c>
      <c r="C803" s="31">
        <v>72</v>
      </c>
      <c r="D803" s="22" t="s">
        <v>1431</v>
      </c>
      <c r="E803" s="22" t="s">
        <v>1432</v>
      </c>
      <c r="F803" s="22" t="s">
        <v>44</v>
      </c>
      <c r="G803" s="23">
        <v>1708</v>
      </c>
      <c r="H803" s="24">
        <v>270</v>
      </c>
      <c r="I803" s="24">
        <v>0</v>
      </c>
      <c r="J803" s="24">
        <v>0</v>
      </c>
      <c r="K803" s="24">
        <v>0</v>
      </c>
      <c r="L803" s="32">
        <v>0</v>
      </c>
      <c r="M803" s="33">
        <v>0</v>
      </c>
      <c r="N803" s="27">
        <v>0</v>
      </c>
      <c r="O803" s="24">
        <v>0</v>
      </c>
      <c r="P803" s="24">
        <v>0</v>
      </c>
      <c r="Q803" s="28">
        <v>0</v>
      </c>
      <c r="R803" s="29">
        <v>0</v>
      </c>
      <c r="S803" s="29">
        <v>0</v>
      </c>
      <c r="T803" s="29">
        <v>0</v>
      </c>
      <c r="U803" s="30">
        <v>270</v>
      </c>
    </row>
    <row r="804" spans="2:21" x14ac:dyDescent="0.25">
      <c r="B804" s="31" t="s">
        <v>25</v>
      </c>
      <c r="C804" s="31">
        <v>72</v>
      </c>
      <c r="D804" s="22" t="s">
        <v>1433</v>
      </c>
      <c r="E804" s="22" t="s">
        <v>1434</v>
      </c>
      <c r="F804" s="22" t="s">
        <v>44</v>
      </c>
      <c r="G804" s="23">
        <v>1709</v>
      </c>
      <c r="H804" s="24">
        <v>270</v>
      </c>
      <c r="I804" s="24">
        <v>0</v>
      </c>
      <c r="J804" s="24">
        <v>0</v>
      </c>
      <c r="K804" s="24">
        <v>0</v>
      </c>
      <c r="L804" s="32">
        <v>0</v>
      </c>
      <c r="M804" s="33">
        <v>0</v>
      </c>
      <c r="N804" s="27">
        <v>0</v>
      </c>
      <c r="O804" s="24">
        <v>0</v>
      </c>
      <c r="P804" s="24">
        <v>0</v>
      </c>
      <c r="Q804" s="28">
        <v>0</v>
      </c>
      <c r="R804" s="29">
        <v>0</v>
      </c>
      <c r="S804" s="29">
        <v>0</v>
      </c>
      <c r="T804" s="29">
        <v>0</v>
      </c>
      <c r="U804" s="30">
        <v>270</v>
      </c>
    </row>
    <row r="805" spans="2:21" x14ac:dyDescent="0.25">
      <c r="B805" s="31" t="s">
        <v>25</v>
      </c>
      <c r="C805" s="31">
        <v>72</v>
      </c>
      <c r="D805" s="22" t="s">
        <v>1435</v>
      </c>
      <c r="E805" s="22" t="s">
        <v>1436</v>
      </c>
      <c r="F805" s="22" t="s">
        <v>44</v>
      </c>
      <c r="G805" s="23">
        <v>1089</v>
      </c>
      <c r="H805" s="24">
        <v>168</v>
      </c>
      <c r="I805" s="24">
        <v>0</v>
      </c>
      <c r="J805" s="24">
        <v>0</v>
      </c>
      <c r="K805" s="24">
        <v>0</v>
      </c>
      <c r="L805" s="32">
        <v>0</v>
      </c>
      <c r="M805" s="33">
        <v>0</v>
      </c>
      <c r="N805" s="27">
        <v>0</v>
      </c>
      <c r="O805" s="24">
        <v>0</v>
      </c>
      <c r="P805" s="24">
        <v>0</v>
      </c>
      <c r="Q805" s="28">
        <v>0</v>
      </c>
      <c r="R805" s="29">
        <v>0</v>
      </c>
      <c r="S805" s="29">
        <v>0</v>
      </c>
      <c r="T805" s="29">
        <v>0</v>
      </c>
      <c r="U805" s="30">
        <v>168</v>
      </c>
    </row>
    <row r="806" spans="2:21" x14ac:dyDescent="0.25">
      <c r="B806" s="31" t="s">
        <v>25</v>
      </c>
      <c r="C806" s="31">
        <v>72</v>
      </c>
      <c r="D806" s="22" t="s">
        <v>1437</v>
      </c>
      <c r="E806" s="22" t="s">
        <v>1438</v>
      </c>
      <c r="F806" s="22" t="s">
        <v>44</v>
      </c>
      <c r="G806" s="23">
        <v>2031</v>
      </c>
      <c r="H806" s="24">
        <v>318</v>
      </c>
      <c r="I806" s="24">
        <v>0</v>
      </c>
      <c r="J806" s="24">
        <v>0</v>
      </c>
      <c r="K806" s="24">
        <v>0</v>
      </c>
      <c r="L806" s="32">
        <v>0</v>
      </c>
      <c r="M806" s="33">
        <v>0</v>
      </c>
      <c r="N806" s="27">
        <v>0</v>
      </c>
      <c r="O806" s="24">
        <v>0</v>
      </c>
      <c r="P806" s="24">
        <v>0</v>
      </c>
      <c r="Q806" s="28">
        <v>0</v>
      </c>
      <c r="R806" s="29">
        <v>0</v>
      </c>
      <c r="S806" s="29">
        <v>0</v>
      </c>
      <c r="T806" s="29">
        <v>0</v>
      </c>
      <c r="U806" s="30">
        <v>318</v>
      </c>
    </row>
    <row r="807" spans="2:21" x14ac:dyDescent="0.25">
      <c r="B807" s="31" t="s">
        <v>25</v>
      </c>
      <c r="C807" s="22">
        <v>73</v>
      </c>
      <c r="D807" s="22" t="s">
        <v>757</v>
      </c>
      <c r="E807" s="22" t="s">
        <v>1200</v>
      </c>
      <c r="F807" s="22"/>
      <c r="G807" s="23">
        <v>-0.2000000000007276</v>
      </c>
      <c r="H807" s="24">
        <v>44.069999999999709</v>
      </c>
      <c r="I807" s="24">
        <v>0</v>
      </c>
      <c r="J807" s="24">
        <v>0</v>
      </c>
      <c r="K807" s="24">
        <v>0</v>
      </c>
      <c r="L807" s="32">
        <v>0</v>
      </c>
      <c r="M807" s="33">
        <v>0</v>
      </c>
      <c r="N807" s="27">
        <v>0</v>
      </c>
      <c r="O807" s="24">
        <v>23281.9</v>
      </c>
      <c r="P807" s="24">
        <v>23281.9</v>
      </c>
      <c r="Q807" s="28">
        <v>0</v>
      </c>
      <c r="R807" s="29">
        <v>0</v>
      </c>
      <c r="S807" s="29">
        <v>0</v>
      </c>
      <c r="T807" s="29">
        <v>0</v>
      </c>
      <c r="U807" s="30">
        <v>44.069999999999709</v>
      </c>
    </row>
    <row r="808" spans="2:21" x14ac:dyDescent="0.25">
      <c r="B808" s="31" t="s">
        <v>25</v>
      </c>
      <c r="C808" s="31">
        <v>73</v>
      </c>
      <c r="D808" s="22" t="s">
        <v>1439</v>
      </c>
      <c r="E808" s="22" t="s">
        <v>1440</v>
      </c>
      <c r="F808" s="22" t="s">
        <v>44</v>
      </c>
      <c r="G808" s="23">
        <v>4314</v>
      </c>
      <c r="H808" s="24">
        <v>1788</v>
      </c>
      <c r="I808" s="24">
        <v>0</v>
      </c>
      <c r="J808" s="24">
        <v>0</v>
      </c>
      <c r="K808" s="24">
        <v>0</v>
      </c>
      <c r="L808" s="32">
        <v>0</v>
      </c>
      <c r="M808" s="33">
        <v>0</v>
      </c>
      <c r="N808" s="27">
        <v>0</v>
      </c>
      <c r="O808" s="24">
        <v>0</v>
      </c>
      <c r="P808" s="24">
        <v>0</v>
      </c>
      <c r="Q808" s="28">
        <v>0</v>
      </c>
      <c r="R808" s="29">
        <v>0</v>
      </c>
      <c r="S808" s="29">
        <v>0</v>
      </c>
      <c r="T808" s="29">
        <v>0</v>
      </c>
      <c r="U808" s="30">
        <v>1788</v>
      </c>
    </row>
    <row r="809" spans="2:21" x14ac:dyDescent="0.25">
      <c r="B809" s="31" t="s">
        <v>25</v>
      </c>
      <c r="C809" s="31">
        <v>73</v>
      </c>
      <c r="D809" s="22" t="s">
        <v>1441</v>
      </c>
      <c r="E809" s="22" t="s">
        <v>1442</v>
      </c>
      <c r="F809" s="22" t="s">
        <v>44</v>
      </c>
      <c r="G809" s="23">
        <v>1233</v>
      </c>
      <c r="H809" s="24">
        <v>583</v>
      </c>
      <c r="I809" s="24">
        <v>0</v>
      </c>
      <c r="J809" s="24">
        <v>0</v>
      </c>
      <c r="K809" s="24">
        <v>0</v>
      </c>
      <c r="L809" s="32">
        <v>0</v>
      </c>
      <c r="M809" s="33">
        <v>0</v>
      </c>
      <c r="N809" s="27">
        <v>0</v>
      </c>
      <c r="O809" s="24">
        <v>0</v>
      </c>
      <c r="P809" s="24">
        <v>0</v>
      </c>
      <c r="Q809" s="28">
        <v>0</v>
      </c>
      <c r="R809" s="29">
        <v>0</v>
      </c>
      <c r="S809" s="29">
        <v>0</v>
      </c>
      <c r="T809" s="29">
        <v>0</v>
      </c>
      <c r="U809" s="30">
        <v>583</v>
      </c>
    </row>
    <row r="810" spans="2:21" x14ac:dyDescent="0.25">
      <c r="B810" s="31" t="s">
        <v>25</v>
      </c>
      <c r="C810" s="31">
        <v>73</v>
      </c>
      <c r="D810" s="22" t="s">
        <v>1443</v>
      </c>
      <c r="E810" s="22" t="s">
        <v>1444</v>
      </c>
      <c r="F810" s="22" t="s">
        <v>44</v>
      </c>
      <c r="G810" s="23">
        <v>468</v>
      </c>
      <c r="H810" s="24">
        <v>233</v>
      </c>
      <c r="I810" s="24">
        <v>0</v>
      </c>
      <c r="J810" s="24">
        <v>0</v>
      </c>
      <c r="K810" s="24">
        <v>0</v>
      </c>
      <c r="L810" s="32">
        <v>0</v>
      </c>
      <c r="M810" s="33">
        <v>0</v>
      </c>
      <c r="N810" s="27">
        <v>0</v>
      </c>
      <c r="O810" s="24">
        <v>0</v>
      </c>
      <c r="P810" s="24">
        <v>0</v>
      </c>
      <c r="Q810" s="28">
        <v>0</v>
      </c>
      <c r="R810" s="29">
        <v>0</v>
      </c>
      <c r="S810" s="29">
        <v>0</v>
      </c>
      <c r="T810" s="29">
        <v>0</v>
      </c>
      <c r="U810" s="30">
        <v>233</v>
      </c>
    </row>
    <row r="811" spans="2:21" x14ac:dyDescent="0.25">
      <c r="B811" s="31" t="s">
        <v>25</v>
      </c>
      <c r="C811" s="31">
        <v>73</v>
      </c>
      <c r="D811" s="22" t="s">
        <v>1445</v>
      </c>
      <c r="E811" s="22" t="s">
        <v>1446</v>
      </c>
      <c r="F811" s="22" t="s">
        <v>44</v>
      </c>
      <c r="G811" s="23">
        <v>314</v>
      </c>
      <c r="H811" s="24">
        <v>174</v>
      </c>
      <c r="I811" s="24">
        <v>0</v>
      </c>
      <c r="J811" s="24">
        <v>0</v>
      </c>
      <c r="K811" s="24">
        <v>0</v>
      </c>
      <c r="L811" s="32">
        <v>0</v>
      </c>
      <c r="M811" s="33">
        <v>0</v>
      </c>
      <c r="N811" s="27">
        <v>0</v>
      </c>
      <c r="O811" s="24">
        <v>0</v>
      </c>
      <c r="P811" s="24">
        <v>0</v>
      </c>
      <c r="Q811" s="28">
        <v>0</v>
      </c>
      <c r="R811" s="29">
        <v>0</v>
      </c>
      <c r="S811" s="29">
        <v>0</v>
      </c>
      <c r="T811" s="29">
        <v>0</v>
      </c>
      <c r="U811" s="30">
        <v>174</v>
      </c>
    </row>
    <row r="812" spans="2:21" x14ac:dyDescent="0.25">
      <c r="B812" s="31" t="s">
        <v>25</v>
      </c>
      <c r="C812" s="31">
        <v>73</v>
      </c>
      <c r="D812" s="22" t="s">
        <v>1447</v>
      </c>
      <c r="E812" s="22" t="s">
        <v>1448</v>
      </c>
      <c r="F812" s="22" t="s">
        <v>44</v>
      </c>
      <c r="G812" s="23">
        <v>24</v>
      </c>
      <c r="H812" s="24">
        <v>14</v>
      </c>
      <c r="I812" s="24">
        <v>0</v>
      </c>
      <c r="J812" s="24">
        <v>0</v>
      </c>
      <c r="K812" s="24">
        <v>0</v>
      </c>
      <c r="L812" s="32">
        <v>0</v>
      </c>
      <c r="M812" s="33">
        <v>0</v>
      </c>
      <c r="N812" s="27">
        <v>0</v>
      </c>
      <c r="O812" s="24">
        <v>0</v>
      </c>
      <c r="P812" s="24">
        <v>0</v>
      </c>
      <c r="Q812" s="28">
        <v>0</v>
      </c>
      <c r="R812" s="29">
        <v>0</v>
      </c>
      <c r="S812" s="29">
        <v>0</v>
      </c>
      <c r="T812" s="29">
        <v>0</v>
      </c>
      <c r="U812" s="30">
        <v>14</v>
      </c>
    </row>
    <row r="813" spans="2:21" x14ac:dyDescent="0.25">
      <c r="B813" s="31" t="s">
        <v>25</v>
      </c>
      <c r="C813" s="31">
        <v>73</v>
      </c>
      <c r="D813" s="22" t="s">
        <v>1449</v>
      </c>
      <c r="E813" s="22" t="s">
        <v>1450</v>
      </c>
      <c r="F813" s="22" t="s">
        <v>44</v>
      </c>
      <c r="G813" s="23">
        <v>4201</v>
      </c>
      <c r="H813" s="24">
        <v>1738</v>
      </c>
      <c r="I813" s="24">
        <v>0</v>
      </c>
      <c r="J813" s="24">
        <v>0</v>
      </c>
      <c r="K813" s="24">
        <v>0</v>
      </c>
      <c r="L813" s="32">
        <v>0</v>
      </c>
      <c r="M813" s="33">
        <v>0</v>
      </c>
      <c r="N813" s="27">
        <v>0</v>
      </c>
      <c r="O813" s="24">
        <v>0</v>
      </c>
      <c r="P813" s="24">
        <v>0</v>
      </c>
      <c r="Q813" s="28">
        <v>0</v>
      </c>
      <c r="R813" s="29">
        <v>0</v>
      </c>
      <c r="S813" s="29">
        <v>0</v>
      </c>
      <c r="T813" s="29">
        <v>0</v>
      </c>
      <c r="U813" s="30">
        <v>1738</v>
      </c>
    </row>
    <row r="814" spans="2:21" x14ac:dyDescent="0.25">
      <c r="B814" s="31" t="s">
        <v>25</v>
      </c>
      <c r="C814" s="31">
        <v>73</v>
      </c>
      <c r="D814" s="22" t="s">
        <v>1451</v>
      </c>
      <c r="E814" s="22" t="s">
        <v>1452</v>
      </c>
      <c r="F814" s="22" t="s">
        <v>44</v>
      </c>
      <c r="G814" s="23">
        <v>3734</v>
      </c>
      <c r="H814" s="24">
        <v>1564</v>
      </c>
      <c r="I814" s="24">
        <v>0</v>
      </c>
      <c r="J814" s="24">
        <v>0</v>
      </c>
      <c r="K814" s="24">
        <v>0</v>
      </c>
      <c r="L814" s="32">
        <v>0</v>
      </c>
      <c r="M814" s="33">
        <v>0</v>
      </c>
      <c r="N814" s="27">
        <v>0</v>
      </c>
      <c r="O814" s="24">
        <v>0</v>
      </c>
      <c r="P814" s="24">
        <v>0</v>
      </c>
      <c r="Q814" s="28">
        <v>0</v>
      </c>
      <c r="R814" s="29">
        <v>0</v>
      </c>
      <c r="S814" s="29">
        <v>0</v>
      </c>
      <c r="T814" s="29">
        <v>0</v>
      </c>
      <c r="U814" s="30">
        <v>1564</v>
      </c>
    </row>
    <row r="815" spans="2:21" x14ac:dyDescent="0.25">
      <c r="B815" s="31" t="s">
        <v>25</v>
      </c>
      <c r="C815" s="31">
        <v>73</v>
      </c>
      <c r="D815" s="22" t="s">
        <v>1453</v>
      </c>
      <c r="E815" s="22" t="s">
        <v>1454</v>
      </c>
      <c r="F815" s="22" t="s">
        <v>44</v>
      </c>
      <c r="G815" s="23">
        <v>220</v>
      </c>
      <c r="H815" s="24">
        <v>120</v>
      </c>
      <c r="I815" s="24">
        <v>0</v>
      </c>
      <c r="J815" s="24">
        <v>0</v>
      </c>
      <c r="K815" s="24">
        <v>0</v>
      </c>
      <c r="L815" s="32">
        <v>0</v>
      </c>
      <c r="M815" s="33">
        <v>0</v>
      </c>
      <c r="N815" s="27">
        <v>0</v>
      </c>
      <c r="O815" s="24">
        <v>0</v>
      </c>
      <c r="P815" s="24">
        <v>0</v>
      </c>
      <c r="Q815" s="28">
        <v>0</v>
      </c>
      <c r="R815" s="29">
        <v>0</v>
      </c>
      <c r="S815" s="29">
        <v>0</v>
      </c>
      <c r="T815" s="29">
        <v>0</v>
      </c>
      <c r="U815" s="30">
        <v>120</v>
      </c>
    </row>
    <row r="816" spans="2:21" x14ac:dyDescent="0.25">
      <c r="B816" s="31" t="s">
        <v>25</v>
      </c>
      <c r="C816" s="31">
        <v>73</v>
      </c>
      <c r="D816" s="22" t="s">
        <v>1455</v>
      </c>
      <c r="E816" s="22" t="s">
        <v>1456</v>
      </c>
      <c r="F816" s="22" t="s">
        <v>44</v>
      </c>
      <c r="G816" s="23">
        <v>358</v>
      </c>
      <c r="H816" s="24">
        <v>205</v>
      </c>
      <c r="I816" s="24">
        <v>0</v>
      </c>
      <c r="J816" s="24">
        <v>0</v>
      </c>
      <c r="K816" s="24">
        <v>0</v>
      </c>
      <c r="L816" s="32">
        <v>0</v>
      </c>
      <c r="M816" s="33">
        <v>0</v>
      </c>
      <c r="N816" s="27">
        <v>0</v>
      </c>
      <c r="O816" s="24">
        <v>0</v>
      </c>
      <c r="P816" s="24">
        <v>0</v>
      </c>
      <c r="Q816" s="28">
        <v>0</v>
      </c>
      <c r="R816" s="29">
        <v>0</v>
      </c>
      <c r="S816" s="29">
        <v>0</v>
      </c>
      <c r="T816" s="29">
        <v>0</v>
      </c>
      <c r="U816" s="30">
        <v>205</v>
      </c>
    </row>
    <row r="817" spans="2:21" x14ac:dyDescent="0.25">
      <c r="B817" s="31" t="s">
        <v>25</v>
      </c>
      <c r="C817" s="31">
        <v>73</v>
      </c>
      <c r="D817" s="22" t="s">
        <v>1457</v>
      </c>
      <c r="E817" s="22" t="s">
        <v>1458</v>
      </c>
      <c r="F817" s="22" t="s">
        <v>44</v>
      </c>
      <c r="G817" s="23">
        <v>13</v>
      </c>
      <c r="H817" s="24">
        <v>7</v>
      </c>
      <c r="I817" s="24">
        <v>0</v>
      </c>
      <c r="J817" s="24">
        <v>0</v>
      </c>
      <c r="K817" s="24">
        <v>0</v>
      </c>
      <c r="L817" s="32">
        <v>0</v>
      </c>
      <c r="M817" s="33">
        <v>0</v>
      </c>
      <c r="N817" s="27">
        <v>0</v>
      </c>
      <c r="O817" s="24">
        <v>0</v>
      </c>
      <c r="P817" s="24">
        <v>0</v>
      </c>
      <c r="Q817" s="28">
        <v>0</v>
      </c>
      <c r="R817" s="29">
        <v>0</v>
      </c>
      <c r="S817" s="29">
        <v>0</v>
      </c>
      <c r="T817" s="29">
        <v>0</v>
      </c>
      <c r="U817" s="30">
        <v>7</v>
      </c>
    </row>
    <row r="818" spans="2:21" x14ac:dyDescent="0.25">
      <c r="B818" s="31" t="s">
        <v>25</v>
      </c>
      <c r="C818" s="31">
        <v>73</v>
      </c>
      <c r="D818" s="22" t="s">
        <v>1459</v>
      </c>
      <c r="E818" s="22" t="s">
        <v>1460</v>
      </c>
      <c r="F818" s="22" t="s">
        <v>44</v>
      </c>
      <c r="G818" s="23">
        <v>2954</v>
      </c>
      <c r="H818" s="24">
        <v>1223</v>
      </c>
      <c r="I818" s="24">
        <v>0</v>
      </c>
      <c r="J818" s="24">
        <v>0</v>
      </c>
      <c r="K818" s="24">
        <v>0</v>
      </c>
      <c r="L818" s="32">
        <v>0</v>
      </c>
      <c r="M818" s="33">
        <v>0</v>
      </c>
      <c r="N818" s="27">
        <v>0</v>
      </c>
      <c r="O818" s="24">
        <v>0</v>
      </c>
      <c r="P818" s="24">
        <v>0</v>
      </c>
      <c r="Q818" s="28">
        <v>0</v>
      </c>
      <c r="R818" s="29">
        <v>0</v>
      </c>
      <c r="S818" s="29">
        <v>0</v>
      </c>
      <c r="T818" s="29">
        <v>0</v>
      </c>
      <c r="U818" s="30">
        <v>1223</v>
      </c>
    </row>
    <row r="819" spans="2:21" x14ac:dyDescent="0.25">
      <c r="B819" s="31" t="s">
        <v>25</v>
      </c>
      <c r="C819" s="31">
        <v>73</v>
      </c>
      <c r="D819" s="22" t="s">
        <v>1461</v>
      </c>
      <c r="E819" s="22" t="s">
        <v>1462</v>
      </c>
      <c r="F819" s="22" t="s">
        <v>44</v>
      </c>
      <c r="G819" s="23">
        <v>211</v>
      </c>
      <c r="H819" s="24">
        <v>115</v>
      </c>
      <c r="I819" s="24">
        <v>0</v>
      </c>
      <c r="J819" s="24">
        <v>0</v>
      </c>
      <c r="K819" s="24">
        <v>0</v>
      </c>
      <c r="L819" s="32">
        <v>0</v>
      </c>
      <c r="M819" s="33">
        <v>0</v>
      </c>
      <c r="N819" s="27">
        <v>0</v>
      </c>
      <c r="O819" s="24">
        <v>0</v>
      </c>
      <c r="P819" s="24">
        <v>0</v>
      </c>
      <c r="Q819" s="28">
        <v>0</v>
      </c>
      <c r="R819" s="29">
        <v>0</v>
      </c>
      <c r="S819" s="29">
        <v>0</v>
      </c>
      <c r="T819" s="29">
        <v>0</v>
      </c>
      <c r="U819" s="30">
        <v>115</v>
      </c>
    </row>
    <row r="820" spans="2:21" x14ac:dyDescent="0.25">
      <c r="B820" s="31" t="s">
        <v>25</v>
      </c>
      <c r="C820" s="31">
        <v>73</v>
      </c>
      <c r="D820" s="22" t="s">
        <v>1463</v>
      </c>
      <c r="E820" s="22" t="s">
        <v>1464</v>
      </c>
      <c r="F820" s="22" t="s">
        <v>44</v>
      </c>
      <c r="G820" s="23">
        <v>303</v>
      </c>
      <c r="H820" s="24">
        <v>167</v>
      </c>
      <c r="I820" s="24">
        <v>0</v>
      </c>
      <c r="J820" s="24">
        <v>0</v>
      </c>
      <c r="K820" s="24">
        <v>0</v>
      </c>
      <c r="L820" s="32">
        <v>0</v>
      </c>
      <c r="M820" s="33">
        <v>0</v>
      </c>
      <c r="N820" s="27">
        <v>0</v>
      </c>
      <c r="O820" s="24">
        <v>0</v>
      </c>
      <c r="P820" s="24">
        <v>0</v>
      </c>
      <c r="Q820" s="28">
        <v>0</v>
      </c>
      <c r="R820" s="29">
        <v>0</v>
      </c>
      <c r="S820" s="29">
        <v>0</v>
      </c>
      <c r="T820" s="29">
        <v>0</v>
      </c>
      <c r="U820" s="30">
        <v>167</v>
      </c>
    </row>
    <row r="821" spans="2:21" x14ac:dyDescent="0.25">
      <c r="B821" s="31" t="s">
        <v>25</v>
      </c>
      <c r="C821" s="31">
        <v>73</v>
      </c>
      <c r="D821" s="22" t="s">
        <v>1465</v>
      </c>
      <c r="E821" s="22" t="s">
        <v>1466</v>
      </c>
      <c r="F821" s="22" t="s">
        <v>44</v>
      </c>
      <c r="G821" s="23">
        <v>2536</v>
      </c>
      <c r="H821" s="24">
        <v>1019</v>
      </c>
      <c r="I821" s="24">
        <v>0</v>
      </c>
      <c r="J821" s="24">
        <v>0</v>
      </c>
      <c r="K821" s="24">
        <v>0</v>
      </c>
      <c r="L821" s="32">
        <v>0</v>
      </c>
      <c r="M821" s="33">
        <v>0</v>
      </c>
      <c r="N821" s="27">
        <v>0</v>
      </c>
      <c r="O821" s="24">
        <v>0</v>
      </c>
      <c r="P821" s="24">
        <v>0</v>
      </c>
      <c r="Q821" s="28">
        <v>0</v>
      </c>
      <c r="R821" s="29">
        <v>0</v>
      </c>
      <c r="S821" s="29">
        <v>0</v>
      </c>
      <c r="T821" s="29">
        <v>0</v>
      </c>
      <c r="U821" s="30">
        <v>1019</v>
      </c>
    </row>
    <row r="822" spans="2:21" x14ac:dyDescent="0.25">
      <c r="B822" s="31" t="s">
        <v>25</v>
      </c>
      <c r="C822" s="31">
        <v>73</v>
      </c>
      <c r="D822" s="22" t="s">
        <v>1467</v>
      </c>
      <c r="E822" s="22" t="s">
        <v>1468</v>
      </c>
      <c r="F822" s="22" t="s">
        <v>44</v>
      </c>
      <c r="G822" s="23">
        <v>16</v>
      </c>
      <c r="H822" s="24">
        <v>9</v>
      </c>
      <c r="I822" s="24">
        <v>0</v>
      </c>
      <c r="J822" s="24">
        <v>0</v>
      </c>
      <c r="K822" s="24">
        <v>0</v>
      </c>
      <c r="L822" s="32">
        <v>0</v>
      </c>
      <c r="M822" s="33">
        <v>0</v>
      </c>
      <c r="N822" s="27">
        <v>0</v>
      </c>
      <c r="O822" s="24">
        <v>0</v>
      </c>
      <c r="P822" s="24">
        <v>0</v>
      </c>
      <c r="Q822" s="28">
        <v>0</v>
      </c>
      <c r="R822" s="29">
        <v>0</v>
      </c>
      <c r="S822" s="29">
        <v>0</v>
      </c>
      <c r="T822" s="29">
        <v>0</v>
      </c>
      <c r="U822" s="30">
        <v>9</v>
      </c>
    </row>
    <row r="823" spans="2:21" x14ac:dyDescent="0.25">
      <c r="B823" s="31" t="s">
        <v>25</v>
      </c>
      <c r="C823" s="31">
        <v>73</v>
      </c>
      <c r="D823" s="22" t="s">
        <v>1469</v>
      </c>
      <c r="E823" s="22" t="s">
        <v>1470</v>
      </c>
      <c r="F823" s="22" t="s">
        <v>44</v>
      </c>
      <c r="G823" s="23">
        <v>3880</v>
      </c>
      <c r="H823" s="24">
        <v>1556</v>
      </c>
      <c r="I823" s="24">
        <v>0</v>
      </c>
      <c r="J823" s="24">
        <v>0</v>
      </c>
      <c r="K823" s="24">
        <v>0</v>
      </c>
      <c r="L823" s="32">
        <v>0</v>
      </c>
      <c r="M823" s="33">
        <v>0</v>
      </c>
      <c r="N823" s="27">
        <v>0</v>
      </c>
      <c r="O823" s="24">
        <v>0</v>
      </c>
      <c r="P823" s="24">
        <v>0</v>
      </c>
      <c r="Q823" s="28">
        <v>0</v>
      </c>
      <c r="R823" s="29">
        <v>0</v>
      </c>
      <c r="S823" s="29">
        <v>0</v>
      </c>
      <c r="T823" s="29">
        <v>0</v>
      </c>
      <c r="U823" s="30">
        <v>1556</v>
      </c>
    </row>
    <row r="824" spans="2:21" x14ac:dyDescent="0.25">
      <c r="B824" s="31" t="s">
        <v>25</v>
      </c>
      <c r="C824" s="31">
        <v>73</v>
      </c>
      <c r="D824" s="22" t="s">
        <v>1471</v>
      </c>
      <c r="E824" s="22" t="s">
        <v>1472</v>
      </c>
      <c r="F824" s="22" t="s">
        <v>44</v>
      </c>
      <c r="G824" s="23">
        <v>512</v>
      </c>
      <c r="H824" s="24">
        <v>265</v>
      </c>
      <c r="I824" s="24">
        <v>0</v>
      </c>
      <c r="J824" s="24">
        <v>0</v>
      </c>
      <c r="K824" s="24">
        <v>0</v>
      </c>
      <c r="L824" s="32">
        <v>0</v>
      </c>
      <c r="M824" s="33">
        <v>0</v>
      </c>
      <c r="N824" s="27">
        <v>0</v>
      </c>
      <c r="O824" s="24">
        <v>0</v>
      </c>
      <c r="P824" s="24">
        <v>0</v>
      </c>
      <c r="Q824" s="28">
        <v>0</v>
      </c>
      <c r="R824" s="29">
        <v>0</v>
      </c>
      <c r="S824" s="29">
        <v>0</v>
      </c>
      <c r="T824" s="29">
        <v>0</v>
      </c>
      <c r="U824" s="30">
        <v>265</v>
      </c>
    </row>
    <row r="825" spans="2:21" x14ac:dyDescent="0.25">
      <c r="B825" s="31" t="s">
        <v>25</v>
      </c>
      <c r="C825" s="31">
        <v>73</v>
      </c>
      <c r="D825" s="22" t="s">
        <v>1473</v>
      </c>
      <c r="E825" s="22" t="s">
        <v>1474</v>
      </c>
      <c r="F825" s="22" t="s">
        <v>44</v>
      </c>
      <c r="G825" s="23">
        <v>20</v>
      </c>
      <c r="H825" s="24">
        <v>8</v>
      </c>
      <c r="I825" s="24">
        <v>0</v>
      </c>
      <c r="J825" s="24">
        <v>0</v>
      </c>
      <c r="K825" s="24">
        <v>0</v>
      </c>
      <c r="L825" s="32">
        <v>0</v>
      </c>
      <c r="M825" s="33">
        <v>0</v>
      </c>
      <c r="N825" s="27">
        <v>0</v>
      </c>
      <c r="O825" s="24">
        <v>0</v>
      </c>
      <c r="P825" s="24">
        <v>0</v>
      </c>
      <c r="Q825" s="28">
        <v>0</v>
      </c>
      <c r="R825" s="29">
        <v>0</v>
      </c>
      <c r="S825" s="29">
        <v>0</v>
      </c>
      <c r="T825" s="29">
        <v>0</v>
      </c>
      <c r="U825" s="30">
        <v>8</v>
      </c>
    </row>
    <row r="826" spans="2:21" x14ac:dyDescent="0.25">
      <c r="B826" s="31" t="s">
        <v>25</v>
      </c>
      <c r="C826" s="31">
        <v>73</v>
      </c>
      <c r="D826" s="22" t="s">
        <v>1475</v>
      </c>
      <c r="E826" s="22" t="s">
        <v>1476</v>
      </c>
      <c r="F826" s="22" t="s">
        <v>44</v>
      </c>
      <c r="G826" s="23">
        <v>278</v>
      </c>
      <c r="H826" s="24">
        <v>158</v>
      </c>
      <c r="I826" s="24">
        <v>0</v>
      </c>
      <c r="J826" s="24">
        <v>0</v>
      </c>
      <c r="K826" s="24">
        <v>0</v>
      </c>
      <c r="L826" s="32">
        <v>0</v>
      </c>
      <c r="M826" s="33">
        <v>0</v>
      </c>
      <c r="N826" s="27">
        <v>0</v>
      </c>
      <c r="O826" s="24">
        <v>0</v>
      </c>
      <c r="P826" s="24">
        <v>0</v>
      </c>
      <c r="Q826" s="28">
        <v>0</v>
      </c>
      <c r="R826" s="29">
        <v>0</v>
      </c>
      <c r="S826" s="29">
        <v>0</v>
      </c>
      <c r="T826" s="29">
        <v>0</v>
      </c>
      <c r="U826" s="30">
        <v>158</v>
      </c>
    </row>
    <row r="827" spans="2:21" x14ac:dyDescent="0.25">
      <c r="B827" s="31" t="s">
        <v>25</v>
      </c>
      <c r="C827" s="31">
        <v>73</v>
      </c>
      <c r="D827" s="22" t="s">
        <v>1477</v>
      </c>
      <c r="E827" s="22" t="s">
        <v>1478</v>
      </c>
      <c r="F827" s="22" t="s">
        <v>44</v>
      </c>
      <c r="G827" s="23">
        <v>2685</v>
      </c>
      <c r="H827" s="24">
        <v>1124</v>
      </c>
      <c r="I827" s="24">
        <v>0</v>
      </c>
      <c r="J827" s="24">
        <v>0</v>
      </c>
      <c r="K827" s="24">
        <v>0</v>
      </c>
      <c r="L827" s="32">
        <v>0</v>
      </c>
      <c r="M827" s="33">
        <v>0</v>
      </c>
      <c r="N827" s="27">
        <v>0</v>
      </c>
      <c r="O827" s="24">
        <v>0</v>
      </c>
      <c r="P827" s="24">
        <v>0</v>
      </c>
      <c r="Q827" s="28">
        <v>0</v>
      </c>
      <c r="R827" s="29">
        <v>0</v>
      </c>
      <c r="S827" s="29">
        <v>0</v>
      </c>
      <c r="T827" s="29">
        <v>0</v>
      </c>
      <c r="U827" s="30">
        <v>1124</v>
      </c>
    </row>
    <row r="828" spans="2:21" x14ac:dyDescent="0.25">
      <c r="B828" s="31" t="s">
        <v>25</v>
      </c>
      <c r="C828" s="31">
        <v>73</v>
      </c>
      <c r="D828" s="22" t="s">
        <v>1479</v>
      </c>
      <c r="E828" s="22" t="s">
        <v>1480</v>
      </c>
      <c r="F828" s="22" t="s">
        <v>44</v>
      </c>
      <c r="G828" s="23">
        <v>380</v>
      </c>
      <c r="H828" s="24">
        <v>214</v>
      </c>
      <c r="I828" s="24">
        <v>0</v>
      </c>
      <c r="J828" s="24">
        <v>0</v>
      </c>
      <c r="K828" s="24">
        <v>0</v>
      </c>
      <c r="L828" s="32">
        <v>0</v>
      </c>
      <c r="M828" s="33">
        <v>0</v>
      </c>
      <c r="N828" s="27">
        <v>0</v>
      </c>
      <c r="O828" s="24">
        <v>0</v>
      </c>
      <c r="P828" s="24">
        <v>0</v>
      </c>
      <c r="Q828" s="28">
        <v>0</v>
      </c>
      <c r="R828" s="29">
        <v>0</v>
      </c>
      <c r="S828" s="29">
        <v>0</v>
      </c>
      <c r="T828" s="29">
        <v>0</v>
      </c>
      <c r="U828" s="30">
        <v>214</v>
      </c>
    </row>
    <row r="829" spans="2:21" x14ac:dyDescent="0.25">
      <c r="B829" s="31" t="s">
        <v>25</v>
      </c>
      <c r="C829" s="31">
        <v>73</v>
      </c>
      <c r="D829" s="22" t="s">
        <v>1481</v>
      </c>
      <c r="E829" s="22" t="s">
        <v>1482</v>
      </c>
      <c r="F829" s="22" t="s">
        <v>44</v>
      </c>
      <c r="G829" s="23">
        <v>12</v>
      </c>
      <c r="H829" s="24">
        <v>7</v>
      </c>
      <c r="I829" s="24">
        <v>0</v>
      </c>
      <c r="J829" s="24">
        <v>0</v>
      </c>
      <c r="K829" s="24">
        <v>0</v>
      </c>
      <c r="L829" s="32">
        <v>0</v>
      </c>
      <c r="M829" s="33">
        <v>0</v>
      </c>
      <c r="N829" s="27">
        <v>0</v>
      </c>
      <c r="O829" s="24">
        <v>0</v>
      </c>
      <c r="P829" s="24">
        <v>0</v>
      </c>
      <c r="Q829" s="28">
        <v>0</v>
      </c>
      <c r="R829" s="29">
        <v>0</v>
      </c>
      <c r="S829" s="29">
        <v>0</v>
      </c>
      <c r="T829" s="29">
        <v>0</v>
      </c>
      <c r="U829" s="30">
        <v>7</v>
      </c>
    </row>
    <row r="830" spans="2:21" x14ac:dyDescent="0.25">
      <c r="B830" s="31" t="s">
        <v>25</v>
      </c>
      <c r="C830" s="31">
        <v>73</v>
      </c>
      <c r="D830" s="22" t="s">
        <v>1483</v>
      </c>
      <c r="E830" s="22" t="s">
        <v>1484</v>
      </c>
      <c r="F830" s="22" t="s">
        <v>44</v>
      </c>
      <c r="G830" s="23">
        <v>3085</v>
      </c>
      <c r="H830" s="24">
        <v>1239</v>
      </c>
      <c r="I830" s="24">
        <v>0</v>
      </c>
      <c r="J830" s="24">
        <v>0</v>
      </c>
      <c r="K830" s="24">
        <v>0</v>
      </c>
      <c r="L830" s="32">
        <v>0</v>
      </c>
      <c r="M830" s="33">
        <v>0</v>
      </c>
      <c r="N830" s="27">
        <v>0</v>
      </c>
      <c r="O830" s="24">
        <v>0</v>
      </c>
      <c r="P830" s="24">
        <v>0</v>
      </c>
      <c r="Q830" s="28">
        <v>0</v>
      </c>
      <c r="R830" s="29">
        <v>0</v>
      </c>
      <c r="S830" s="29">
        <v>0</v>
      </c>
      <c r="T830" s="29">
        <v>0</v>
      </c>
      <c r="U830" s="30">
        <v>1239</v>
      </c>
    </row>
    <row r="831" spans="2:21" x14ac:dyDescent="0.25">
      <c r="B831" s="31" t="s">
        <v>25</v>
      </c>
      <c r="C831" s="31">
        <v>73</v>
      </c>
      <c r="D831" s="22" t="s">
        <v>1485</v>
      </c>
      <c r="E831" s="22" t="s">
        <v>1486</v>
      </c>
      <c r="F831" s="22" t="s">
        <v>44</v>
      </c>
      <c r="G831" s="23">
        <v>103</v>
      </c>
      <c r="H831" s="24">
        <v>56</v>
      </c>
      <c r="I831" s="24">
        <v>0</v>
      </c>
      <c r="J831" s="24">
        <v>0</v>
      </c>
      <c r="K831" s="24">
        <v>0</v>
      </c>
      <c r="L831" s="32">
        <v>0</v>
      </c>
      <c r="M831" s="33">
        <v>0</v>
      </c>
      <c r="N831" s="27">
        <v>0</v>
      </c>
      <c r="O831" s="24">
        <v>0</v>
      </c>
      <c r="P831" s="24">
        <v>0</v>
      </c>
      <c r="Q831" s="28">
        <v>0</v>
      </c>
      <c r="R831" s="29">
        <v>0</v>
      </c>
      <c r="S831" s="29">
        <v>0</v>
      </c>
      <c r="T831" s="29">
        <v>0</v>
      </c>
      <c r="U831" s="30">
        <v>56</v>
      </c>
    </row>
    <row r="832" spans="2:21" x14ac:dyDescent="0.25">
      <c r="B832" s="31" t="s">
        <v>25</v>
      </c>
      <c r="C832" s="31">
        <v>73</v>
      </c>
      <c r="D832" s="22" t="s">
        <v>1487</v>
      </c>
      <c r="E832" s="22" t="s">
        <v>1488</v>
      </c>
      <c r="F832" s="22" t="s">
        <v>44</v>
      </c>
      <c r="G832" s="23">
        <v>347</v>
      </c>
      <c r="H832" s="24">
        <v>195</v>
      </c>
      <c r="I832" s="24">
        <v>0</v>
      </c>
      <c r="J832" s="24">
        <v>0</v>
      </c>
      <c r="K832" s="24">
        <v>0</v>
      </c>
      <c r="L832" s="32">
        <v>0</v>
      </c>
      <c r="M832" s="33">
        <v>0</v>
      </c>
      <c r="N832" s="27">
        <v>0</v>
      </c>
      <c r="O832" s="24">
        <v>0</v>
      </c>
      <c r="P832" s="24">
        <v>0</v>
      </c>
      <c r="Q832" s="28">
        <v>0</v>
      </c>
      <c r="R832" s="29">
        <v>0</v>
      </c>
      <c r="S832" s="29">
        <v>0</v>
      </c>
      <c r="T832" s="29">
        <v>0</v>
      </c>
      <c r="U832" s="30">
        <v>195</v>
      </c>
    </row>
    <row r="833" spans="2:21" x14ac:dyDescent="0.25">
      <c r="B833" s="31" t="s">
        <v>25</v>
      </c>
      <c r="C833" s="31">
        <v>73</v>
      </c>
      <c r="D833" s="22" t="s">
        <v>1489</v>
      </c>
      <c r="E833" s="22" t="s">
        <v>1490</v>
      </c>
      <c r="F833" s="22" t="s">
        <v>44</v>
      </c>
      <c r="G833" s="23">
        <v>3518</v>
      </c>
      <c r="H833" s="24">
        <v>1487</v>
      </c>
      <c r="I833" s="24">
        <v>0</v>
      </c>
      <c r="J833" s="24">
        <v>0</v>
      </c>
      <c r="K833" s="24">
        <v>0</v>
      </c>
      <c r="L833" s="32">
        <v>0</v>
      </c>
      <c r="M833" s="33">
        <v>0</v>
      </c>
      <c r="N833" s="27">
        <v>0</v>
      </c>
      <c r="O833" s="24">
        <v>0</v>
      </c>
      <c r="P833" s="24">
        <v>0</v>
      </c>
      <c r="Q833" s="28">
        <v>0</v>
      </c>
      <c r="R833" s="29">
        <v>0</v>
      </c>
      <c r="S833" s="29">
        <v>0</v>
      </c>
      <c r="T833" s="29">
        <v>0</v>
      </c>
      <c r="U833" s="30">
        <v>1487</v>
      </c>
    </row>
    <row r="834" spans="2:21" x14ac:dyDescent="0.25">
      <c r="B834" s="31" t="s">
        <v>25</v>
      </c>
      <c r="C834" s="31">
        <v>73</v>
      </c>
      <c r="D834" s="22" t="s">
        <v>1491</v>
      </c>
      <c r="E834" s="22" t="s">
        <v>1492</v>
      </c>
      <c r="F834" s="22" t="s">
        <v>44</v>
      </c>
      <c r="G834" s="23">
        <v>345</v>
      </c>
      <c r="H834" s="24">
        <v>199</v>
      </c>
      <c r="I834" s="24">
        <v>0</v>
      </c>
      <c r="J834" s="24">
        <v>0</v>
      </c>
      <c r="K834" s="24">
        <v>0</v>
      </c>
      <c r="L834" s="32">
        <v>0</v>
      </c>
      <c r="M834" s="33">
        <v>0</v>
      </c>
      <c r="N834" s="27">
        <v>0</v>
      </c>
      <c r="O834" s="24">
        <v>0</v>
      </c>
      <c r="P834" s="24">
        <v>0</v>
      </c>
      <c r="Q834" s="28">
        <v>0</v>
      </c>
      <c r="R834" s="29">
        <v>0</v>
      </c>
      <c r="S834" s="29">
        <v>0</v>
      </c>
      <c r="T834" s="29">
        <v>0</v>
      </c>
      <c r="U834" s="30">
        <v>199</v>
      </c>
    </row>
    <row r="835" spans="2:21" x14ac:dyDescent="0.25">
      <c r="B835" s="31" t="s">
        <v>25</v>
      </c>
      <c r="C835" s="31">
        <v>73</v>
      </c>
      <c r="D835" s="22" t="s">
        <v>1493</v>
      </c>
      <c r="E835" s="22" t="s">
        <v>1494</v>
      </c>
      <c r="F835" s="22" t="s">
        <v>44</v>
      </c>
      <c r="G835" s="23">
        <v>2684</v>
      </c>
      <c r="H835" s="24">
        <v>1078</v>
      </c>
      <c r="I835" s="24">
        <v>0</v>
      </c>
      <c r="J835" s="24">
        <v>0</v>
      </c>
      <c r="K835" s="24">
        <v>0</v>
      </c>
      <c r="L835" s="32">
        <v>0</v>
      </c>
      <c r="M835" s="33">
        <v>0</v>
      </c>
      <c r="N835" s="27">
        <v>0</v>
      </c>
      <c r="O835" s="24">
        <v>0</v>
      </c>
      <c r="P835" s="24">
        <v>0</v>
      </c>
      <c r="Q835" s="28">
        <v>0</v>
      </c>
      <c r="R835" s="29">
        <v>0</v>
      </c>
      <c r="S835" s="29">
        <v>0</v>
      </c>
      <c r="T835" s="29">
        <v>0</v>
      </c>
      <c r="U835" s="30">
        <v>1078</v>
      </c>
    </row>
    <row r="836" spans="2:21" x14ac:dyDescent="0.25">
      <c r="B836" s="31" t="s">
        <v>25</v>
      </c>
      <c r="C836" s="31">
        <v>73</v>
      </c>
      <c r="D836" s="22" t="s">
        <v>1495</v>
      </c>
      <c r="E836" s="22" t="s">
        <v>1496</v>
      </c>
      <c r="F836" s="22" t="s">
        <v>44</v>
      </c>
      <c r="G836" s="23">
        <v>379</v>
      </c>
      <c r="H836" s="24">
        <v>202</v>
      </c>
      <c r="I836" s="24">
        <v>0</v>
      </c>
      <c r="J836" s="24">
        <v>0</v>
      </c>
      <c r="K836" s="24">
        <v>0</v>
      </c>
      <c r="L836" s="32">
        <v>0</v>
      </c>
      <c r="M836" s="33">
        <v>0</v>
      </c>
      <c r="N836" s="27">
        <v>0</v>
      </c>
      <c r="O836" s="24">
        <v>0</v>
      </c>
      <c r="P836" s="24">
        <v>0</v>
      </c>
      <c r="Q836" s="28">
        <v>0</v>
      </c>
      <c r="R836" s="29">
        <v>0</v>
      </c>
      <c r="S836" s="29">
        <v>0</v>
      </c>
      <c r="T836" s="29">
        <v>0</v>
      </c>
      <c r="U836" s="30">
        <v>202</v>
      </c>
    </row>
    <row r="837" spans="2:21" x14ac:dyDescent="0.25">
      <c r="B837" s="31" t="s">
        <v>25</v>
      </c>
      <c r="C837" s="31">
        <v>73</v>
      </c>
      <c r="D837" s="22" t="s">
        <v>1497</v>
      </c>
      <c r="E837" s="22" t="s">
        <v>1498</v>
      </c>
      <c r="F837" s="22" t="s">
        <v>44</v>
      </c>
      <c r="G837" s="23">
        <v>9376</v>
      </c>
      <c r="H837" s="24">
        <v>3765</v>
      </c>
      <c r="I837" s="24">
        <v>0</v>
      </c>
      <c r="J837" s="24">
        <v>0</v>
      </c>
      <c r="K837" s="24">
        <v>0</v>
      </c>
      <c r="L837" s="32">
        <v>0</v>
      </c>
      <c r="M837" s="33">
        <v>0</v>
      </c>
      <c r="N837" s="27">
        <v>0</v>
      </c>
      <c r="O837" s="24">
        <v>0</v>
      </c>
      <c r="P837" s="24">
        <v>0</v>
      </c>
      <c r="Q837" s="28">
        <v>0</v>
      </c>
      <c r="R837" s="29">
        <v>0</v>
      </c>
      <c r="S837" s="29">
        <v>0</v>
      </c>
      <c r="T837" s="29">
        <v>0</v>
      </c>
      <c r="U837" s="30">
        <v>3765</v>
      </c>
    </row>
    <row r="838" spans="2:21" x14ac:dyDescent="0.25">
      <c r="B838" s="31" t="s">
        <v>25</v>
      </c>
      <c r="C838" s="31">
        <v>73</v>
      </c>
      <c r="D838" s="22" t="s">
        <v>1499</v>
      </c>
      <c r="E838" s="22" t="s">
        <v>1500</v>
      </c>
      <c r="F838" s="22" t="s">
        <v>44</v>
      </c>
      <c r="G838" s="23">
        <v>691</v>
      </c>
      <c r="H838" s="24">
        <v>277</v>
      </c>
      <c r="I838" s="24">
        <v>0</v>
      </c>
      <c r="J838" s="24">
        <v>0</v>
      </c>
      <c r="K838" s="24">
        <v>0</v>
      </c>
      <c r="L838" s="32">
        <v>0</v>
      </c>
      <c r="M838" s="33">
        <v>0</v>
      </c>
      <c r="N838" s="27">
        <v>0</v>
      </c>
      <c r="O838" s="24">
        <v>0</v>
      </c>
      <c r="P838" s="24">
        <v>0</v>
      </c>
      <c r="Q838" s="28">
        <v>0</v>
      </c>
      <c r="R838" s="29">
        <v>0</v>
      </c>
      <c r="S838" s="29">
        <v>0</v>
      </c>
      <c r="T838" s="29">
        <v>0</v>
      </c>
      <c r="U838" s="30">
        <v>277</v>
      </c>
    </row>
    <row r="839" spans="2:21" x14ac:dyDescent="0.25">
      <c r="B839" s="31" t="s">
        <v>25</v>
      </c>
      <c r="C839" s="31">
        <v>73</v>
      </c>
      <c r="D839" s="22" t="s">
        <v>1501</v>
      </c>
      <c r="E839" s="22" t="s">
        <v>1502</v>
      </c>
      <c r="F839" s="22" t="s">
        <v>44</v>
      </c>
      <c r="G839" s="23">
        <v>2882</v>
      </c>
      <c r="H839" s="24">
        <v>1158</v>
      </c>
      <c r="I839" s="24">
        <v>0</v>
      </c>
      <c r="J839" s="24">
        <v>0</v>
      </c>
      <c r="K839" s="24">
        <v>0</v>
      </c>
      <c r="L839" s="32">
        <v>0</v>
      </c>
      <c r="M839" s="33">
        <v>0</v>
      </c>
      <c r="N839" s="27">
        <v>0</v>
      </c>
      <c r="O839" s="24">
        <v>0</v>
      </c>
      <c r="P839" s="24">
        <v>0</v>
      </c>
      <c r="Q839" s="28">
        <v>0</v>
      </c>
      <c r="R839" s="29">
        <v>0</v>
      </c>
      <c r="S839" s="29">
        <v>0</v>
      </c>
      <c r="T839" s="29">
        <v>0</v>
      </c>
      <c r="U839" s="30">
        <v>1158</v>
      </c>
    </row>
    <row r="840" spans="2:21" x14ac:dyDescent="0.25">
      <c r="B840" s="31" t="s">
        <v>25</v>
      </c>
      <c r="C840" s="31">
        <v>73</v>
      </c>
      <c r="D840" s="22" t="s">
        <v>1503</v>
      </c>
      <c r="E840" s="22" t="s">
        <v>1504</v>
      </c>
      <c r="F840" s="22" t="s">
        <v>44</v>
      </c>
      <c r="G840" s="23">
        <v>2001</v>
      </c>
      <c r="H840" s="24">
        <v>805</v>
      </c>
      <c r="I840" s="24">
        <v>0</v>
      </c>
      <c r="J840" s="24">
        <v>0</v>
      </c>
      <c r="K840" s="24">
        <v>0</v>
      </c>
      <c r="L840" s="32">
        <v>0</v>
      </c>
      <c r="M840" s="33">
        <v>0</v>
      </c>
      <c r="N840" s="27">
        <v>0</v>
      </c>
      <c r="O840" s="24">
        <v>0</v>
      </c>
      <c r="P840" s="24">
        <v>0</v>
      </c>
      <c r="Q840" s="28">
        <v>0</v>
      </c>
      <c r="R840" s="29">
        <v>0</v>
      </c>
      <c r="S840" s="29">
        <v>0</v>
      </c>
      <c r="T840" s="29">
        <v>0</v>
      </c>
      <c r="U840" s="30">
        <v>805</v>
      </c>
    </row>
    <row r="841" spans="2:21" x14ac:dyDescent="0.25">
      <c r="B841" s="31" t="s">
        <v>25</v>
      </c>
      <c r="C841" s="31">
        <v>73</v>
      </c>
      <c r="D841" s="22" t="s">
        <v>1505</v>
      </c>
      <c r="E841" s="22" t="s">
        <v>1506</v>
      </c>
      <c r="F841" s="22" t="s">
        <v>44</v>
      </c>
      <c r="G841" s="23">
        <v>2002</v>
      </c>
      <c r="H841" s="24">
        <v>805</v>
      </c>
      <c r="I841" s="24">
        <v>0</v>
      </c>
      <c r="J841" s="24">
        <v>0</v>
      </c>
      <c r="K841" s="24">
        <v>0</v>
      </c>
      <c r="L841" s="32">
        <v>0</v>
      </c>
      <c r="M841" s="33">
        <v>0</v>
      </c>
      <c r="N841" s="27">
        <v>0</v>
      </c>
      <c r="O841" s="24">
        <v>0</v>
      </c>
      <c r="P841" s="24">
        <v>0</v>
      </c>
      <c r="Q841" s="28">
        <v>0</v>
      </c>
      <c r="R841" s="29">
        <v>0</v>
      </c>
      <c r="S841" s="29">
        <v>0</v>
      </c>
      <c r="T841" s="29">
        <v>0</v>
      </c>
      <c r="U841" s="30">
        <v>805</v>
      </c>
    </row>
    <row r="842" spans="2:21" x14ac:dyDescent="0.25">
      <c r="B842" s="31" t="s">
        <v>25</v>
      </c>
      <c r="C842" s="31">
        <v>73</v>
      </c>
      <c r="D842" s="22" t="s">
        <v>1507</v>
      </c>
      <c r="E842" s="22" t="s">
        <v>1508</v>
      </c>
      <c r="F842" s="22" t="s">
        <v>44</v>
      </c>
      <c r="G842" s="23">
        <v>1316</v>
      </c>
      <c r="H842" s="24">
        <v>527</v>
      </c>
      <c r="I842" s="24">
        <v>0</v>
      </c>
      <c r="J842" s="24">
        <v>0</v>
      </c>
      <c r="K842" s="24">
        <v>0</v>
      </c>
      <c r="L842" s="32">
        <v>0</v>
      </c>
      <c r="M842" s="33">
        <v>0</v>
      </c>
      <c r="N842" s="27">
        <v>0</v>
      </c>
      <c r="O842" s="24">
        <v>0</v>
      </c>
      <c r="P842" s="24">
        <v>0</v>
      </c>
      <c r="Q842" s="28">
        <v>0</v>
      </c>
      <c r="R842" s="29">
        <v>0</v>
      </c>
      <c r="S842" s="29">
        <v>0</v>
      </c>
      <c r="T842" s="29">
        <v>0</v>
      </c>
      <c r="U842" s="30">
        <v>527</v>
      </c>
    </row>
    <row r="843" spans="2:21" x14ac:dyDescent="0.25">
      <c r="B843" s="31" t="s">
        <v>25</v>
      </c>
      <c r="C843" s="31">
        <v>73</v>
      </c>
      <c r="D843" s="22" t="s">
        <v>1509</v>
      </c>
      <c r="E843" s="22" t="s">
        <v>1510</v>
      </c>
      <c r="F843" s="22" t="s">
        <v>44</v>
      </c>
      <c r="G843" s="23">
        <v>2404</v>
      </c>
      <c r="H843" s="24">
        <v>966</v>
      </c>
      <c r="I843" s="24">
        <v>0</v>
      </c>
      <c r="J843" s="24">
        <v>0</v>
      </c>
      <c r="K843" s="24">
        <v>0</v>
      </c>
      <c r="L843" s="32">
        <v>0</v>
      </c>
      <c r="M843" s="33">
        <v>0</v>
      </c>
      <c r="N843" s="27">
        <v>0</v>
      </c>
      <c r="O843" s="24">
        <v>0</v>
      </c>
      <c r="P843" s="24">
        <v>0</v>
      </c>
      <c r="Q843" s="28">
        <v>0</v>
      </c>
      <c r="R843" s="29">
        <v>0</v>
      </c>
      <c r="S843" s="29">
        <v>0</v>
      </c>
      <c r="T843" s="29">
        <v>0</v>
      </c>
      <c r="U843" s="30">
        <v>966</v>
      </c>
    </row>
    <row r="844" spans="2:21" x14ac:dyDescent="0.25">
      <c r="B844" s="31" t="s">
        <v>25</v>
      </c>
      <c r="C844" s="22">
        <v>74</v>
      </c>
      <c r="D844" s="22" t="s">
        <v>771</v>
      </c>
      <c r="E844" s="22" t="s">
        <v>1201</v>
      </c>
      <c r="F844" s="22" t="s">
        <v>44</v>
      </c>
      <c r="G844" s="23">
        <v>0</v>
      </c>
      <c r="H844" s="24">
        <v>0.36000000000012733</v>
      </c>
      <c r="I844" s="24">
        <v>0</v>
      </c>
      <c r="J844" s="24">
        <v>0</v>
      </c>
      <c r="K844" s="24">
        <v>0</v>
      </c>
      <c r="L844" s="32">
        <v>0</v>
      </c>
      <c r="M844" s="33">
        <v>0</v>
      </c>
      <c r="N844" s="27">
        <v>0</v>
      </c>
      <c r="O844" s="24">
        <v>2159.7000000000003</v>
      </c>
      <c r="P844" s="24">
        <v>2159.7000000000003</v>
      </c>
      <c r="Q844" s="28">
        <v>0</v>
      </c>
      <c r="R844" s="29">
        <v>0</v>
      </c>
      <c r="S844" s="29">
        <v>0</v>
      </c>
      <c r="T844" s="29">
        <v>0</v>
      </c>
      <c r="U844" s="30">
        <v>0.36000000000012733</v>
      </c>
    </row>
    <row r="845" spans="2:21" x14ac:dyDescent="0.25">
      <c r="B845" s="31" t="s">
        <v>25</v>
      </c>
      <c r="C845" s="31">
        <v>74</v>
      </c>
      <c r="D845" s="22" t="s">
        <v>1511</v>
      </c>
      <c r="E845" s="22" t="s">
        <v>1512</v>
      </c>
      <c r="F845" s="22" t="s">
        <v>44</v>
      </c>
      <c r="G845" s="23">
        <v>4</v>
      </c>
      <c r="H845" s="24">
        <v>276</v>
      </c>
      <c r="I845" s="24">
        <v>0</v>
      </c>
      <c r="J845" s="24">
        <v>0</v>
      </c>
      <c r="K845" s="24">
        <v>0</v>
      </c>
      <c r="L845" s="32">
        <v>0</v>
      </c>
      <c r="M845" s="33">
        <v>0</v>
      </c>
      <c r="N845" s="27">
        <v>0</v>
      </c>
      <c r="O845" s="24">
        <v>0</v>
      </c>
      <c r="P845" s="24">
        <v>0</v>
      </c>
      <c r="Q845" s="28">
        <v>0</v>
      </c>
      <c r="R845" s="29">
        <v>0</v>
      </c>
      <c r="S845" s="29">
        <v>0</v>
      </c>
      <c r="T845" s="29">
        <v>0</v>
      </c>
      <c r="U845" s="30">
        <v>276</v>
      </c>
    </row>
    <row r="846" spans="2:21" x14ac:dyDescent="0.25">
      <c r="B846" s="31" t="s">
        <v>25</v>
      </c>
      <c r="C846" s="31">
        <v>74</v>
      </c>
      <c r="D846" s="22" t="s">
        <v>1513</v>
      </c>
      <c r="E846" s="22" t="s">
        <v>1514</v>
      </c>
      <c r="F846" s="22" t="s">
        <v>44</v>
      </c>
      <c r="G846" s="23">
        <v>2</v>
      </c>
      <c r="H846" s="24">
        <v>138</v>
      </c>
      <c r="I846" s="24">
        <v>0</v>
      </c>
      <c r="J846" s="24">
        <v>0</v>
      </c>
      <c r="K846" s="24">
        <v>0</v>
      </c>
      <c r="L846" s="32">
        <v>0</v>
      </c>
      <c r="M846" s="33">
        <v>0</v>
      </c>
      <c r="N846" s="27">
        <v>0</v>
      </c>
      <c r="O846" s="24">
        <v>0</v>
      </c>
      <c r="P846" s="24">
        <v>0</v>
      </c>
      <c r="Q846" s="28">
        <v>0</v>
      </c>
      <c r="R846" s="29">
        <v>0</v>
      </c>
      <c r="S846" s="29">
        <v>0</v>
      </c>
      <c r="T846" s="29">
        <v>0</v>
      </c>
      <c r="U846" s="30">
        <v>138</v>
      </c>
    </row>
    <row r="847" spans="2:21" x14ac:dyDescent="0.25">
      <c r="B847" s="31" t="s">
        <v>25</v>
      </c>
      <c r="C847" s="31">
        <v>74</v>
      </c>
      <c r="D847" s="22" t="s">
        <v>1515</v>
      </c>
      <c r="E847" s="22" t="s">
        <v>1516</v>
      </c>
      <c r="F847" s="22" t="s">
        <v>44</v>
      </c>
      <c r="G847" s="23">
        <v>2</v>
      </c>
      <c r="H847" s="24">
        <v>138</v>
      </c>
      <c r="I847" s="24">
        <v>0</v>
      </c>
      <c r="J847" s="24">
        <v>0</v>
      </c>
      <c r="K847" s="24">
        <v>0</v>
      </c>
      <c r="L847" s="32">
        <v>0</v>
      </c>
      <c r="M847" s="33">
        <v>0</v>
      </c>
      <c r="N847" s="27">
        <v>0</v>
      </c>
      <c r="O847" s="24">
        <v>0</v>
      </c>
      <c r="P847" s="24">
        <v>0</v>
      </c>
      <c r="Q847" s="28">
        <v>0</v>
      </c>
      <c r="R847" s="29">
        <v>0</v>
      </c>
      <c r="S847" s="29">
        <v>0</v>
      </c>
      <c r="T847" s="29">
        <v>0</v>
      </c>
      <c r="U847" s="30">
        <v>138</v>
      </c>
    </row>
    <row r="848" spans="2:21" x14ac:dyDescent="0.25">
      <c r="B848" s="31" t="s">
        <v>25</v>
      </c>
      <c r="C848" s="31">
        <v>74</v>
      </c>
      <c r="D848" s="22" t="s">
        <v>1517</v>
      </c>
      <c r="E848" s="22" t="s">
        <v>1518</v>
      </c>
      <c r="F848" s="22" t="s">
        <v>44</v>
      </c>
      <c r="G848" s="23">
        <v>1</v>
      </c>
      <c r="H848" s="24">
        <v>69</v>
      </c>
      <c r="I848" s="24">
        <v>0</v>
      </c>
      <c r="J848" s="24">
        <v>0</v>
      </c>
      <c r="K848" s="24">
        <v>0</v>
      </c>
      <c r="L848" s="32">
        <v>0</v>
      </c>
      <c r="M848" s="33">
        <v>0</v>
      </c>
      <c r="N848" s="27">
        <v>0</v>
      </c>
      <c r="O848" s="24">
        <v>0</v>
      </c>
      <c r="P848" s="24">
        <v>0</v>
      </c>
      <c r="Q848" s="28">
        <v>0</v>
      </c>
      <c r="R848" s="29">
        <v>0</v>
      </c>
      <c r="S848" s="29">
        <v>0</v>
      </c>
      <c r="T848" s="29">
        <v>0</v>
      </c>
      <c r="U848" s="30">
        <v>69</v>
      </c>
    </row>
    <row r="849" spans="2:21" x14ac:dyDescent="0.25">
      <c r="B849" s="31" t="s">
        <v>25</v>
      </c>
      <c r="C849" s="31">
        <v>74</v>
      </c>
      <c r="D849" s="22" t="s">
        <v>1519</v>
      </c>
      <c r="E849" s="22" t="s">
        <v>1520</v>
      </c>
      <c r="F849" s="22" t="s">
        <v>44</v>
      </c>
      <c r="G849" s="23">
        <v>1</v>
      </c>
      <c r="H849" s="24">
        <v>69</v>
      </c>
      <c r="I849" s="24">
        <v>0</v>
      </c>
      <c r="J849" s="24">
        <v>0</v>
      </c>
      <c r="K849" s="24">
        <v>0</v>
      </c>
      <c r="L849" s="32">
        <v>0</v>
      </c>
      <c r="M849" s="33">
        <v>0</v>
      </c>
      <c r="N849" s="27">
        <v>0</v>
      </c>
      <c r="O849" s="24">
        <v>0</v>
      </c>
      <c r="P849" s="24">
        <v>0</v>
      </c>
      <c r="Q849" s="28">
        <v>0</v>
      </c>
      <c r="R849" s="29">
        <v>0</v>
      </c>
      <c r="S849" s="29">
        <v>0</v>
      </c>
      <c r="T849" s="29">
        <v>0</v>
      </c>
      <c r="U849" s="30">
        <v>69</v>
      </c>
    </row>
    <row r="850" spans="2:21" x14ac:dyDescent="0.25">
      <c r="B850" s="31" t="s">
        <v>25</v>
      </c>
      <c r="C850" s="31">
        <v>74</v>
      </c>
      <c r="D850" s="22" t="s">
        <v>1521</v>
      </c>
      <c r="E850" s="22" t="s">
        <v>1522</v>
      </c>
      <c r="F850" s="22" t="s">
        <v>44</v>
      </c>
      <c r="G850" s="23">
        <v>3</v>
      </c>
      <c r="H850" s="24">
        <v>207</v>
      </c>
      <c r="I850" s="24">
        <v>0</v>
      </c>
      <c r="J850" s="24">
        <v>0</v>
      </c>
      <c r="K850" s="24">
        <v>0</v>
      </c>
      <c r="L850" s="32">
        <v>0</v>
      </c>
      <c r="M850" s="33">
        <v>0</v>
      </c>
      <c r="N850" s="27">
        <v>0</v>
      </c>
      <c r="O850" s="24">
        <v>0</v>
      </c>
      <c r="P850" s="24">
        <v>0</v>
      </c>
      <c r="Q850" s="28">
        <v>0</v>
      </c>
      <c r="R850" s="29">
        <v>0</v>
      </c>
      <c r="S850" s="29">
        <v>0</v>
      </c>
      <c r="T850" s="29">
        <v>0</v>
      </c>
      <c r="U850" s="30">
        <v>207</v>
      </c>
    </row>
    <row r="851" spans="2:21" x14ac:dyDescent="0.25">
      <c r="B851" s="31" t="s">
        <v>25</v>
      </c>
      <c r="C851" s="31">
        <v>74</v>
      </c>
      <c r="D851" s="22" t="s">
        <v>1523</v>
      </c>
      <c r="E851" s="22" t="s">
        <v>1524</v>
      </c>
      <c r="F851" s="22" t="s">
        <v>44</v>
      </c>
      <c r="G851" s="23">
        <v>1</v>
      </c>
      <c r="H851" s="24">
        <v>69</v>
      </c>
      <c r="I851" s="24">
        <v>0</v>
      </c>
      <c r="J851" s="24">
        <v>0</v>
      </c>
      <c r="K851" s="24">
        <v>0</v>
      </c>
      <c r="L851" s="32">
        <v>0</v>
      </c>
      <c r="M851" s="33">
        <v>0</v>
      </c>
      <c r="N851" s="27">
        <v>0</v>
      </c>
      <c r="O851" s="24">
        <v>0</v>
      </c>
      <c r="P851" s="24">
        <v>0</v>
      </c>
      <c r="Q851" s="28">
        <v>0</v>
      </c>
      <c r="R851" s="29">
        <v>0</v>
      </c>
      <c r="S851" s="29">
        <v>0</v>
      </c>
      <c r="T851" s="29">
        <v>0</v>
      </c>
      <c r="U851" s="30">
        <v>69</v>
      </c>
    </row>
    <row r="852" spans="2:21" x14ac:dyDescent="0.25">
      <c r="B852" s="31" t="s">
        <v>25</v>
      </c>
      <c r="C852" s="31">
        <v>74</v>
      </c>
      <c r="D852" s="22" t="s">
        <v>1525</v>
      </c>
      <c r="E852" s="22" t="s">
        <v>1526</v>
      </c>
      <c r="F852" s="22" t="s">
        <v>44</v>
      </c>
      <c r="G852" s="23">
        <v>2</v>
      </c>
      <c r="H852" s="24">
        <v>138</v>
      </c>
      <c r="I852" s="24">
        <v>0</v>
      </c>
      <c r="J852" s="24">
        <v>0</v>
      </c>
      <c r="K852" s="24">
        <v>0</v>
      </c>
      <c r="L852" s="32">
        <v>0</v>
      </c>
      <c r="M852" s="33">
        <v>0</v>
      </c>
      <c r="N852" s="27">
        <v>0</v>
      </c>
      <c r="O852" s="24">
        <v>0</v>
      </c>
      <c r="P852" s="24">
        <v>0</v>
      </c>
      <c r="Q852" s="28">
        <v>0</v>
      </c>
      <c r="R852" s="29">
        <v>0</v>
      </c>
      <c r="S852" s="29">
        <v>0</v>
      </c>
      <c r="T852" s="29">
        <v>0</v>
      </c>
      <c r="U852" s="30">
        <v>138</v>
      </c>
    </row>
    <row r="853" spans="2:21" x14ac:dyDescent="0.25">
      <c r="B853" s="31" t="s">
        <v>25</v>
      </c>
      <c r="C853" s="31">
        <v>74</v>
      </c>
      <c r="D853" s="22" t="s">
        <v>1527</v>
      </c>
      <c r="E853" s="22" t="s">
        <v>1528</v>
      </c>
      <c r="F853" s="22" t="s">
        <v>44</v>
      </c>
      <c r="G853" s="23">
        <v>1</v>
      </c>
      <c r="H853" s="24">
        <v>69</v>
      </c>
      <c r="I853" s="24">
        <v>0</v>
      </c>
      <c r="J853" s="24">
        <v>0</v>
      </c>
      <c r="K853" s="24">
        <v>0</v>
      </c>
      <c r="L853" s="32">
        <v>0</v>
      </c>
      <c r="M853" s="33">
        <v>0</v>
      </c>
      <c r="N853" s="27">
        <v>0</v>
      </c>
      <c r="O853" s="24">
        <v>0</v>
      </c>
      <c r="P853" s="24">
        <v>0</v>
      </c>
      <c r="Q853" s="28">
        <v>0</v>
      </c>
      <c r="R853" s="29">
        <v>0</v>
      </c>
      <c r="S853" s="29">
        <v>0</v>
      </c>
      <c r="T853" s="29">
        <v>0</v>
      </c>
      <c r="U853" s="30">
        <v>69</v>
      </c>
    </row>
    <row r="854" spans="2:21" x14ac:dyDescent="0.25">
      <c r="B854" s="31" t="s">
        <v>25</v>
      </c>
      <c r="C854" s="31">
        <v>74</v>
      </c>
      <c r="D854" s="22" t="s">
        <v>1529</v>
      </c>
      <c r="E854" s="22" t="s">
        <v>1530</v>
      </c>
      <c r="F854" s="22" t="s">
        <v>44</v>
      </c>
      <c r="G854" s="23">
        <v>2</v>
      </c>
      <c r="H854" s="24">
        <v>138</v>
      </c>
      <c r="I854" s="24">
        <v>0</v>
      </c>
      <c r="J854" s="24">
        <v>0</v>
      </c>
      <c r="K854" s="24">
        <v>0</v>
      </c>
      <c r="L854" s="32">
        <v>0</v>
      </c>
      <c r="M854" s="33">
        <v>0</v>
      </c>
      <c r="N854" s="27">
        <v>0</v>
      </c>
      <c r="O854" s="24">
        <v>0</v>
      </c>
      <c r="P854" s="24">
        <v>0</v>
      </c>
      <c r="Q854" s="28">
        <v>0</v>
      </c>
      <c r="R854" s="29">
        <v>0</v>
      </c>
      <c r="S854" s="29">
        <v>0</v>
      </c>
      <c r="T854" s="29">
        <v>0</v>
      </c>
      <c r="U854" s="30">
        <v>138</v>
      </c>
    </row>
    <row r="855" spans="2:21" x14ac:dyDescent="0.25">
      <c r="B855" s="31" t="s">
        <v>25</v>
      </c>
      <c r="C855" s="31">
        <v>74</v>
      </c>
      <c r="D855" s="22" t="s">
        <v>1531</v>
      </c>
      <c r="E855" s="22" t="s">
        <v>1532</v>
      </c>
      <c r="F855" s="22" t="s">
        <v>44</v>
      </c>
      <c r="G855" s="23">
        <v>9</v>
      </c>
      <c r="H855" s="24">
        <v>621</v>
      </c>
      <c r="I855" s="24">
        <v>0</v>
      </c>
      <c r="J855" s="24">
        <v>0</v>
      </c>
      <c r="K855" s="24">
        <v>0</v>
      </c>
      <c r="L855" s="32">
        <v>0</v>
      </c>
      <c r="M855" s="33">
        <v>0</v>
      </c>
      <c r="N855" s="27">
        <v>0</v>
      </c>
      <c r="O855" s="24">
        <v>0</v>
      </c>
      <c r="P855" s="24">
        <v>0</v>
      </c>
      <c r="Q855" s="28">
        <v>0</v>
      </c>
      <c r="R855" s="29">
        <v>0</v>
      </c>
      <c r="S855" s="29">
        <v>0</v>
      </c>
      <c r="T855" s="29">
        <v>0</v>
      </c>
      <c r="U855" s="30">
        <v>621</v>
      </c>
    </row>
    <row r="856" spans="2:21" x14ac:dyDescent="0.25">
      <c r="B856" s="31" t="s">
        <v>25</v>
      </c>
      <c r="C856" s="31">
        <v>74</v>
      </c>
      <c r="D856" s="22" t="s">
        <v>1533</v>
      </c>
      <c r="E856" s="22" t="s">
        <v>1534</v>
      </c>
      <c r="F856" s="22" t="s">
        <v>44</v>
      </c>
      <c r="G856" s="23">
        <v>1</v>
      </c>
      <c r="H856" s="24">
        <v>69</v>
      </c>
      <c r="I856" s="24">
        <v>0</v>
      </c>
      <c r="J856" s="24">
        <v>0</v>
      </c>
      <c r="K856" s="24">
        <v>0</v>
      </c>
      <c r="L856" s="32">
        <v>0</v>
      </c>
      <c r="M856" s="33">
        <v>0</v>
      </c>
      <c r="N856" s="27">
        <v>0</v>
      </c>
      <c r="O856" s="24">
        <v>0</v>
      </c>
      <c r="P856" s="24">
        <v>0</v>
      </c>
      <c r="Q856" s="28">
        <v>0</v>
      </c>
      <c r="R856" s="29">
        <v>0</v>
      </c>
      <c r="S856" s="29">
        <v>0</v>
      </c>
      <c r="T856" s="29">
        <v>0</v>
      </c>
      <c r="U856" s="30">
        <v>69</v>
      </c>
    </row>
    <row r="857" spans="2:21" x14ac:dyDescent="0.25">
      <c r="B857" s="31" t="s">
        <v>25</v>
      </c>
      <c r="C857" s="31">
        <v>74</v>
      </c>
      <c r="D857" s="22" t="s">
        <v>1535</v>
      </c>
      <c r="E857" s="22" t="s">
        <v>1536</v>
      </c>
      <c r="F857" s="22" t="s">
        <v>44</v>
      </c>
      <c r="G857" s="23">
        <v>2</v>
      </c>
      <c r="H857" s="24">
        <v>138</v>
      </c>
      <c r="I857" s="24">
        <v>0</v>
      </c>
      <c r="J857" s="24">
        <v>0</v>
      </c>
      <c r="K857" s="24">
        <v>0</v>
      </c>
      <c r="L857" s="32">
        <v>0</v>
      </c>
      <c r="M857" s="33">
        <v>0</v>
      </c>
      <c r="N857" s="27">
        <v>0</v>
      </c>
      <c r="O857" s="24">
        <v>0</v>
      </c>
      <c r="P857" s="24">
        <v>0</v>
      </c>
      <c r="Q857" s="28">
        <v>0</v>
      </c>
      <c r="R857" s="29">
        <v>0</v>
      </c>
      <c r="S857" s="29">
        <v>0</v>
      </c>
      <c r="T857" s="29">
        <v>0</v>
      </c>
      <c r="U857" s="30">
        <v>138</v>
      </c>
    </row>
    <row r="858" spans="2:21" x14ac:dyDescent="0.25">
      <c r="B858" s="31" t="s">
        <v>25</v>
      </c>
      <c r="C858" s="31">
        <v>74</v>
      </c>
      <c r="D858" s="22" t="s">
        <v>1537</v>
      </c>
      <c r="E858" s="22" t="s">
        <v>1538</v>
      </c>
      <c r="F858" s="22" t="s">
        <v>44</v>
      </c>
      <c r="G858" s="23">
        <v>1</v>
      </c>
      <c r="H858" s="24">
        <v>69</v>
      </c>
      <c r="I858" s="24">
        <v>0</v>
      </c>
      <c r="J858" s="24">
        <v>0</v>
      </c>
      <c r="K858" s="24">
        <v>0</v>
      </c>
      <c r="L858" s="32">
        <v>0</v>
      </c>
      <c r="M858" s="33">
        <v>0</v>
      </c>
      <c r="N858" s="27">
        <v>0</v>
      </c>
      <c r="O858" s="24">
        <v>0</v>
      </c>
      <c r="P858" s="24">
        <v>0</v>
      </c>
      <c r="Q858" s="28">
        <v>0</v>
      </c>
      <c r="R858" s="29">
        <v>0</v>
      </c>
      <c r="S858" s="29">
        <v>0</v>
      </c>
      <c r="T858" s="29">
        <v>0</v>
      </c>
      <c r="U858" s="30">
        <v>69</v>
      </c>
    </row>
    <row r="859" spans="2:21" x14ac:dyDescent="0.25">
      <c r="B859" s="31" t="s">
        <v>25</v>
      </c>
      <c r="C859" s="31">
        <v>74</v>
      </c>
      <c r="D859" s="22" t="s">
        <v>1539</v>
      </c>
      <c r="E859" s="22" t="s">
        <v>1540</v>
      </c>
      <c r="F859" s="22" t="s">
        <v>44</v>
      </c>
      <c r="G859" s="23">
        <v>1</v>
      </c>
      <c r="H859" s="24">
        <v>69</v>
      </c>
      <c r="I859" s="24">
        <v>0</v>
      </c>
      <c r="J859" s="24">
        <v>0</v>
      </c>
      <c r="K859" s="24">
        <v>0</v>
      </c>
      <c r="L859" s="32">
        <v>0</v>
      </c>
      <c r="M859" s="33">
        <v>0</v>
      </c>
      <c r="N859" s="27">
        <v>0</v>
      </c>
      <c r="O859" s="24">
        <v>0</v>
      </c>
      <c r="P859" s="24">
        <v>0</v>
      </c>
      <c r="Q859" s="28">
        <v>0</v>
      </c>
      <c r="R859" s="29">
        <v>0</v>
      </c>
      <c r="S859" s="29">
        <v>0</v>
      </c>
      <c r="T859" s="29">
        <v>0</v>
      </c>
      <c r="U859" s="30">
        <v>69</v>
      </c>
    </row>
    <row r="860" spans="2:21" x14ac:dyDescent="0.25">
      <c r="B860" s="31" t="s">
        <v>25</v>
      </c>
      <c r="C860" s="31">
        <v>74</v>
      </c>
      <c r="D860" s="22" t="s">
        <v>1541</v>
      </c>
      <c r="E860" s="22" t="s">
        <v>1542</v>
      </c>
      <c r="F860" s="22" t="s">
        <v>44</v>
      </c>
      <c r="G860" s="23">
        <v>2</v>
      </c>
      <c r="H860" s="24">
        <v>138</v>
      </c>
      <c r="I860" s="24">
        <v>0</v>
      </c>
      <c r="J860" s="24">
        <v>0</v>
      </c>
      <c r="K860" s="24">
        <v>0</v>
      </c>
      <c r="L860" s="32">
        <v>0</v>
      </c>
      <c r="M860" s="33">
        <v>0</v>
      </c>
      <c r="N860" s="27">
        <v>0</v>
      </c>
      <c r="O860" s="24">
        <v>0</v>
      </c>
      <c r="P860" s="24">
        <v>0</v>
      </c>
      <c r="Q860" s="28">
        <v>0</v>
      </c>
      <c r="R860" s="29">
        <v>0</v>
      </c>
      <c r="S860" s="29">
        <v>0</v>
      </c>
      <c r="T860" s="29">
        <v>0</v>
      </c>
      <c r="U860" s="30">
        <v>138</v>
      </c>
    </row>
    <row r="861" spans="2:21" x14ac:dyDescent="0.25">
      <c r="B861" s="31" t="s">
        <v>25</v>
      </c>
      <c r="C861" s="31">
        <v>74</v>
      </c>
      <c r="D861" s="22" t="s">
        <v>1543</v>
      </c>
      <c r="E861" s="22" t="s">
        <v>1544</v>
      </c>
      <c r="F861" s="22" t="s">
        <v>44</v>
      </c>
      <c r="G861" s="23">
        <v>2</v>
      </c>
      <c r="H861" s="24">
        <v>138</v>
      </c>
      <c r="I861" s="24">
        <v>0</v>
      </c>
      <c r="J861" s="24">
        <v>0</v>
      </c>
      <c r="K861" s="24">
        <v>0</v>
      </c>
      <c r="L861" s="32">
        <v>0</v>
      </c>
      <c r="M861" s="33">
        <v>0</v>
      </c>
      <c r="N861" s="27">
        <v>0</v>
      </c>
      <c r="O861" s="24">
        <v>0</v>
      </c>
      <c r="P861" s="24">
        <v>0</v>
      </c>
      <c r="Q861" s="28">
        <v>0</v>
      </c>
      <c r="R861" s="29">
        <v>0</v>
      </c>
      <c r="S861" s="29">
        <v>0</v>
      </c>
      <c r="T861" s="29">
        <v>0</v>
      </c>
      <c r="U861" s="30">
        <v>138</v>
      </c>
    </row>
    <row r="862" spans="2:21" x14ac:dyDescent="0.25">
      <c r="B862" s="31" t="s">
        <v>25</v>
      </c>
      <c r="C862" s="22">
        <v>75</v>
      </c>
      <c r="D862" s="22" t="s">
        <v>176</v>
      </c>
      <c r="E862" s="22" t="s">
        <v>1001</v>
      </c>
      <c r="F862" s="22" t="s">
        <v>44</v>
      </c>
      <c r="G862" s="23">
        <v>0</v>
      </c>
      <c r="H862" s="24">
        <v>31.860000000000582</v>
      </c>
      <c r="I862" s="24">
        <v>0</v>
      </c>
      <c r="J862" s="24">
        <v>0</v>
      </c>
      <c r="K862" s="24">
        <v>0</v>
      </c>
      <c r="L862" s="32">
        <v>0</v>
      </c>
      <c r="M862" s="33">
        <v>0</v>
      </c>
      <c r="N862" s="27">
        <v>0</v>
      </c>
      <c r="O862" s="24">
        <v>6893.8</v>
      </c>
      <c r="P862" s="24">
        <v>6893.8</v>
      </c>
      <c r="Q862" s="28">
        <v>0</v>
      </c>
      <c r="R862" s="29">
        <v>0</v>
      </c>
      <c r="S862" s="29">
        <v>0</v>
      </c>
      <c r="T862" s="29">
        <v>0</v>
      </c>
      <c r="U862" s="30">
        <v>31.860000000000582</v>
      </c>
    </row>
    <row r="863" spans="2:21" x14ac:dyDescent="0.25">
      <c r="B863" s="31" t="s">
        <v>25</v>
      </c>
      <c r="C863" s="31">
        <v>75</v>
      </c>
      <c r="D863" s="22" t="s">
        <v>1545</v>
      </c>
      <c r="E863" s="22" t="s">
        <v>1546</v>
      </c>
      <c r="F863" s="22" t="s">
        <v>44</v>
      </c>
      <c r="G863" s="23">
        <v>10555</v>
      </c>
      <c r="H863" s="24">
        <v>479</v>
      </c>
      <c r="I863" s="24">
        <v>0</v>
      </c>
      <c r="J863" s="24">
        <v>0</v>
      </c>
      <c r="K863" s="24">
        <v>0</v>
      </c>
      <c r="L863" s="32">
        <v>0</v>
      </c>
      <c r="M863" s="33">
        <v>0</v>
      </c>
      <c r="N863" s="27">
        <v>0</v>
      </c>
      <c r="O863" s="24">
        <v>0</v>
      </c>
      <c r="P863" s="24">
        <v>0</v>
      </c>
      <c r="Q863" s="28">
        <v>0</v>
      </c>
      <c r="R863" s="29">
        <v>0</v>
      </c>
      <c r="S863" s="29">
        <v>0</v>
      </c>
      <c r="T863" s="29">
        <v>0</v>
      </c>
      <c r="U863" s="30">
        <v>479</v>
      </c>
    </row>
    <row r="864" spans="2:21" x14ac:dyDescent="0.25">
      <c r="B864" s="31" t="s">
        <v>25</v>
      </c>
      <c r="C864" s="31">
        <v>75</v>
      </c>
      <c r="D864" s="22" t="s">
        <v>1547</v>
      </c>
      <c r="E864" s="22" t="s">
        <v>1548</v>
      </c>
      <c r="F864" s="22" t="s">
        <v>44</v>
      </c>
      <c r="G864" s="23">
        <v>2590</v>
      </c>
      <c r="H864" s="24">
        <v>122</v>
      </c>
      <c r="I864" s="24">
        <v>0</v>
      </c>
      <c r="J864" s="24">
        <v>0</v>
      </c>
      <c r="K864" s="24">
        <v>0</v>
      </c>
      <c r="L864" s="32">
        <v>0</v>
      </c>
      <c r="M864" s="33">
        <v>0</v>
      </c>
      <c r="N864" s="27">
        <v>0</v>
      </c>
      <c r="O864" s="24">
        <v>0</v>
      </c>
      <c r="P864" s="24">
        <v>0</v>
      </c>
      <c r="Q864" s="28">
        <v>0</v>
      </c>
      <c r="R864" s="29">
        <v>0</v>
      </c>
      <c r="S864" s="29">
        <v>0</v>
      </c>
      <c r="T864" s="29">
        <v>0</v>
      </c>
      <c r="U864" s="30">
        <v>122</v>
      </c>
    </row>
    <row r="865" spans="2:21" x14ac:dyDescent="0.25">
      <c r="B865" s="31" t="s">
        <v>25</v>
      </c>
      <c r="C865" s="31">
        <v>75</v>
      </c>
      <c r="D865" s="22" t="s">
        <v>1549</v>
      </c>
      <c r="E865" s="22" t="s">
        <v>1550</v>
      </c>
      <c r="F865" s="22" t="s">
        <v>44</v>
      </c>
      <c r="G865" s="23">
        <v>740</v>
      </c>
      <c r="H865" s="24">
        <v>35</v>
      </c>
      <c r="I865" s="24">
        <v>0</v>
      </c>
      <c r="J865" s="24">
        <v>0</v>
      </c>
      <c r="K865" s="24">
        <v>0</v>
      </c>
      <c r="L865" s="32">
        <v>0</v>
      </c>
      <c r="M865" s="33">
        <v>0</v>
      </c>
      <c r="N865" s="27">
        <v>0</v>
      </c>
      <c r="O865" s="24">
        <v>0</v>
      </c>
      <c r="P865" s="24">
        <v>0</v>
      </c>
      <c r="Q865" s="28">
        <v>0</v>
      </c>
      <c r="R865" s="29">
        <v>0</v>
      </c>
      <c r="S865" s="29">
        <v>0</v>
      </c>
      <c r="T865" s="29">
        <v>0</v>
      </c>
      <c r="U865" s="30">
        <v>35</v>
      </c>
    </row>
    <row r="866" spans="2:21" x14ac:dyDescent="0.25">
      <c r="B866" s="31" t="s">
        <v>25</v>
      </c>
      <c r="C866" s="31">
        <v>75</v>
      </c>
      <c r="D866" s="22" t="s">
        <v>1551</v>
      </c>
      <c r="E866" s="22" t="s">
        <v>1552</v>
      </c>
      <c r="F866" s="22" t="s">
        <v>44</v>
      </c>
      <c r="G866" s="23">
        <v>33155</v>
      </c>
      <c r="H866" s="24">
        <v>1437</v>
      </c>
      <c r="I866" s="24">
        <v>0</v>
      </c>
      <c r="J866" s="24">
        <v>0</v>
      </c>
      <c r="K866" s="24">
        <v>0</v>
      </c>
      <c r="L866" s="32">
        <v>0</v>
      </c>
      <c r="M866" s="33">
        <v>0</v>
      </c>
      <c r="N866" s="27">
        <v>0</v>
      </c>
      <c r="O866" s="24">
        <v>0</v>
      </c>
      <c r="P866" s="24">
        <v>0</v>
      </c>
      <c r="Q866" s="28">
        <v>0</v>
      </c>
      <c r="R866" s="29">
        <v>0</v>
      </c>
      <c r="S866" s="29">
        <v>0</v>
      </c>
      <c r="T866" s="29">
        <v>0</v>
      </c>
      <c r="U866" s="30">
        <v>1437</v>
      </c>
    </row>
    <row r="867" spans="2:21" x14ac:dyDescent="0.25">
      <c r="B867" s="31" t="s">
        <v>25</v>
      </c>
      <c r="C867" s="31">
        <v>75</v>
      </c>
      <c r="D867" s="22" t="s">
        <v>1553</v>
      </c>
      <c r="E867" s="22" t="s">
        <v>1554</v>
      </c>
      <c r="F867" s="22" t="s">
        <v>44</v>
      </c>
      <c r="G867" s="23">
        <v>29580</v>
      </c>
      <c r="H867" s="24">
        <v>1280</v>
      </c>
      <c r="I867" s="24">
        <v>0</v>
      </c>
      <c r="J867" s="24">
        <v>0</v>
      </c>
      <c r="K867" s="24">
        <v>0</v>
      </c>
      <c r="L867" s="32">
        <v>0</v>
      </c>
      <c r="M867" s="33">
        <v>0</v>
      </c>
      <c r="N867" s="27">
        <v>0</v>
      </c>
      <c r="O867" s="24">
        <v>0</v>
      </c>
      <c r="P867" s="24">
        <v>0</v>
      </c>
      <c r="Q867" s="28">
        <v>0</v>
      </c>
      <c r="R867" s="29">
        <v>0</v>
      </c>
      <c r="S867" s="29">
        <v>0</v>
      </c>
      <c r="T867" s="29">
        <v>0</v>
      </c>
      <c r="U867" s="30">
        <v>1280</v>
      </c>
    </row>
    <row r="868" spans="2:21" x14ac:dyDescent="0.25">
      <c r="B868" s="31" t="s">
        <v>25</v>
      </c>
      <c r="C868" s="31">
        <v>75</v>
      </c>
      <c r="D868" s="22" t="s">
        <v>1555</v>
      </c>
      <c r="E868" s="22" t="s">
        <v>1556</v>
      </c>
      <c r="F868" s="22" t="s">
        <v>44</v>
      </c>
      <c r="G868" s="23">
        <v>23990</v>
      </c>
      <c r="H868" s="24">
        <v>1045</v>
      </c>
      <c r="I868" s="24">
        <v>0</v>
      </c>
      <c r="J868" s="24">
        <v>0</v>
      </c>
      <c r="K868" s="24">
        <v>0</v>
      </c>
      <c r="L868" s="32">
        <v>0</v>
      </c>
      <c r="M868" s="33">
        <v>0</v>
      </c>
      <c r="N868" s="27">
        <v>0</v>
      </c>
      <c r="O868" s="24">
        <v>0</v>
      </c>
      <c r="P868" s="24">
        <v>0</v>
      </c>
      <c r="Q868" s="28">
        <v>0</v>
      </c>
      <c r="R868" s="29">
        <v>0</v>
      </c>
      <c r="S868" s="29">
        <v>0</v>
      </c>
      <c r="T868" s="29">
        <v>0</v>
      </c>
      <c r="U868" s="30">
        <v>1045</v>
      </c>
    </row>
    <row r="869" spans="2:21" x14ac:dyDescent="0.25">
      <c r="B869" s="31" t="s">
        <v>25</v>
      </c>
      <c r="C869" s="31">
        <v>75</v>
      </c>
      <c r="D869" s="22" t="s">
        <v>1557</v>
      </c>
      <c r="E869" s="22" t="s">
        <v>1558</v>
      </c>
      <c r="F869" s="22" t="s">
        <v>44</v>
      </c>
      <c r="G869" s="23">
        <v>26460</v>
      </c>
      <c r="H869" s="24">
        <v>1146</v>
      </c>
      <c r="I869" s="24">
        <v>0</v>
      </c>
      <c r="J869" s="24">
        <v>0</v>
      </c>
      <c r="K869" s="24">
        <v>0</v>
      </c>
      <c r="L869" s="32">
        <v>0</v>
      </c>
      <c r="M869" s="33">
        <v>0</v>
      </c>
      <c r="N869" s="27">
        <v>0</v>
      </c>
      <c r="O869" s="24">
        <v>0</v>
      </c>
      <c r="P869" s="24">
        <v>0</v>
      </c>
      <c r="Q869" s="28">
        <v>0</v>
      </c>
      <c r="R869" s="29">
        <v>0</v>
      </c>
      <c r="S869" s="29">
        <v>0</v>
      </c>
      <c r="T869" s="29">
        <v>0</v>
      </c>
      <c r="U869" s="30">
        <v>1146</v>
      </c>
    </row>
    <row r="870" spans="2:21" x14ac:dyDescent="0.25">
      <c r="B870" s="31" t="s">
        <v>25</v>
      </c>
      <c r="C870" s="31">
        <v>75</v>
      </c>
      <c r="D870" s="22" t="s">
        <v>1559</v>
      </c>
      <c r="E870" s="22" t="s">
        <v>1560</v>
      </c>
      <c r="F870" s="22" t="s">
        <v>44</v>
      </c>
      <c r="G870" s="23">
        <v>19285</v>
      </c>
      <c r="H870" s="24">
        <v>842</v>
      </c>
      <c r="I870" s="24">
        <v>0</v>
      </c>
      <c r="J870" s="24">
        <v>0</v>
      </c>
      <c r="K870" s="24">
        <v>0</v>
      </c>
      <c r="L870" s="32">
        <v>0</v>
      </c>
      <c r="M870" s="33">
        <v>0</v>
      </c>
      <c r="N870" s="27">
        <v>0</v>
      </c>
      <c r="O870" s="24">
        <v>0</v>
      </c>
      <c r="P870" s="24">
        <v>0</v>
      </c>
      <c r="Q870" s="28">
        <v>0</v>
      </c>
      <c r="R870" s="29">
        <v>0</v>
      </c>
      <c r="S870" s="29">
        <v>0</v>
      </c>
      <c r="T870" s="29">
        <v>0</v>
      </c>
      <c r="U870" s="30">
        <v>842</v>
      </c>
    </row>
    <row r="871" spans="2:21" x14ac:dyDescent="0.25">
      <c r="B871" s="31" t="s">
        <v>25</v>
      </c>
      <c r="C871" s="31">
        <v>75</v>
      </c>
      <c r="D871" s="22" t="s">
        <v>1561</v>
      </c>
      <c r="E871" s="22" t="s">
        <v>1562</v>
      </c>
      <c r="F871" s="22" t="s">
        <v>44</v>
      </c>
      <c r="G871" s="23">
        <v>465</v>
      </c>
      <c r="H871" s="24">
        <v>22</v>
      </c>
      <c r="I871" s="24">
        <v>0</v>
      </c>
      <c r="J871" s="24">
        <v>0</v>
      </c>
      <c r="K871" s="24">
        <v>0</v>
      </c>
      <c r="L871" s="32">
        <v>0</v>
      </c>
      <c r="M871" s="33">
        <v>0</v>
      </c>
      <c r="N871" s="27">
        <v>0</v>
      </c>
      <c r="O871" s="24">
        <v>0</v>
      </c>
      <c r="P871" s="24">
        <v>0</v>
      </c>
      <c r="Q871" s="28">
        <v>0</v>
      </c>
      <c r="R871" s="29">
        <v>0</v>
      </c>
      <c r="S871" s="29">
        <v>0</v>
      </c>
      <c r="T871" s="29">
        <v>0</v>
      </c>
      <c r="U871" s="30">
        <v>22</v>
      </c>
    </row>
    <row r="872" spans="2:21" x14ac:dyDescent="0.25">
      <c r="B872" s="31" t="s">
        <v>25</v>
      </c>
      <c r="C872" s="31">
        <v>75</v>
      </c>
      <c r="D872" s="22" t="s">
        <v>1563</v>
      </c>
      <c r="E872" s="22" t="s">
        <v>1564</v>
      </c>
      <c r="F872" s="22" t="s">
        <v>44</v>
      </c>
      <c r="G872" s="23">
        <v>18025</v>
      </c>
      <c r="H872" s="24">
        <v>788</v>
      </c>
      <c r="I872" s="24">
        <v>0</v>
      </c>
      <c r="J872" s="24">
        <v>0</v>
      </c>
      <c r="K872" s="24">
        <v>0</v>
      </c>
      <c r="L872" s="32">
        <v>0</v>
      </c>
      <c r="M872" s="33">
        <v>0</v>
      </c>
      <c r="N872" s="27">
        <v>0</v>
      </c>
      <c r="O872" s="24">
        <v>0</v>
      </c>
      <c r="P872" s="24">
        <v>0</v>
      </c>
      <c r="Q872" s="28">
        <v>0</v>
      </c>
      <c r="R872" s="29">
        <v>0</v>
      </c>
      <c r="S872" s="29">
        <v>0</v>
      </c>
      <c r="T872" s="29">
        <v>0</v>
      </c>
      <c r="U872" s="30">
        <v>788</v>
      </c>
    </row>
    <row r="873" spans="2:21" x14ac:dyDescent="0.25">
      <c r="B873" s="31" t="s">
        <v>25</v>
      </c>
      <c r="C873" s="31">
        <v>75</v>
      </c>
      <c r="D873" s="22" t="s">
        <v>1565</v>
      </c>
      <c r="E873" s="22" t="s">
        <v>1566</v>
      </c>
      <c r="F873" s="22" t="s">
        <v>44</v>
      </c>
      <c r="G873" s="23">
        <v>15385</v>
      </c>
      <c r="H873" s="24">
        <v>675</v>
      </c>
      <c r="I873" s="24">
        <v>0</v>
      </c>
      <c r="J873" s="24">
        <v>0</v>
      </c>
      <c r="K873" s="24">
        <v>0</v>
      </c>
      <c r="L873" s="32">
        <v>0</v>
      </c>
      <c r="M873" s="33">
        <v>0</v>
      </c>
      <c r="N873" s="27">
        <v>0</v>
      </c>
      <c r="O873" s="24">
        <v>0</v>
      </c>
      <c r="P873" s="24">
        <v>0</v>
      </c>
      <c r="Q873" s="28">
        <v>0</v>
      </c>
      <c r="R873" s="29">
        <v>0</v>
      </c>
      <c r="S873" s="29">
        <v>0</v>
      </c>
      <c r="T873" s="29">
        <v>0</v>
      </c>
      <c r="U873" s="30">
        <v>675</v>
      </c>
    </row>
    <row r="874" spans="2:21" x14ac:dyDescent="0.25">
      <c r="B874" s="31" t="s">
        <v>25</v>
      </c>
      <c r="C874" s="31">
        <v>75</v>
      </c>
      <c r="D874" s="22" t="s">
        <v>1567</v>
      </c>
      <c r="E874" s="22" t="s">
        <v>1568</v>
      </c>
      <c r="F874" s="22" t="s">
        <v>44</v>
      </c>
      <c r="G874" s="23">
        <v>21290</v>
      </c>
      <c r="H874" s="24">
        <v>936</v>
      </c>
      <c r="I874" s="24">
        <v>0</v>
      </c>
      <c r="J874" s="24">
        <v>0</v>
      </c>
      <c r="K874" s="24">
        <v>0</v>
      </c>
      <c r="L874" s="32">
        <v>0</v>
      </c>
      <c r="M874" s="33">
        <v>0</v>
      </c>
      <c r="N874" s="27">
        <v>0</v>
      </c>
      <c r="O874" s="24">
        <v>0</v>
      </c>
      <c r="P874" s="24">
        <v>0</v>
      </c>
      <c r="Q874" s="28">
        <v>0</v>
      </c>
      <c r="R874" s="29">
        <v>0</v>
      </c>
      <c r="S874" s="29">
        <v>0</v>
      </c>
      <c r="T874" s="29">
        <v>0</v>
      </c>
      <c r="U874" s="30">
        <v>936</v>
      </c>
    </row>
    <row r="875" spans="2:21" x14ac:dyDescent="0.25">
      <c r="B875" s="31" t="s">
        <v>25</v>
      </c>
      <c r="C875" s="31">
        <v>75</v>
      </c>
      <c r="D875" s="22" t="s">
        <v>1569</v>
      </c>
      <c r="E875" s="22" t="s">
        <v>1570</v>
      </c>
      <c r="F875" s="22" t="s">
        <v>44</v>
      </c>
      <c r="G875" s="23">
        <v>16295</v>
      </c>
      <c r="H875" s="24">
        <v>715</v>
      </c>
      <c r="I875" s="24">
        <v>0</v>
      </c>
      <c r="J875" s="24">
        <v>0</v>
      </c>
      <c r="K875" s="24">
        <v>0</v>
      </c>
      <c r="L875" s="32">
        <v>0</v>
      </c>
      <c r="M875" s="33">
        <v>0</v>
      </c>
      <c r="N875" s="27">
        <v>0</v>
      </c>
      <c r="O875" s="24">
        <v>0</v>
      </c>
      <c r="P875" s="24">
        <v>0</v>
      </c>
      <c r="Q875" s="28">
        <v>0</v>
      </c>
      <c r="R875" s="29">
        <v>0</v>
      </c>
      <c r="S875" s="29">
        <v>0</v>
      </c>
      <c r="T875" s="29">
        <v>0</v>
      </c>
      <c r="U875" s="30">
        <v>715</v>
      </c>
    </row>
    <row r="876" spans="2:21" x14ac:dyDescent="0.25">
      <c r="B876" s="31" t="s">
        <v>25</v>
      </c>
      <c r="C876" s="31">
        <v>75</v>
      </c>
      <c r="D876" s="22" t="s">
        <v>1571</v>
      </c>
      <c r="E876" s="22" t="s">
        <v>1572</v>
      </c>
      <c r="F876" s="22" t="s">
        <v>44</v>
      </c>
      <c r="G876" s="23">
        <v>275</v>
      </c>
      <c r="H876" s="24">
        <v>13</v>
      </c>
      <c r="I876" s="24">
        <v>0</v>
      </c>
      <c r="J876" s="24">
        <v>0</v>
      </c>
      <c r="K876" s="24">
        <v>0</v>
      </c>
      <c r="L876" s="32">
        <v>0</v>
      </c>
      <c r="M876" s="33">
        <v>0</v>
      </c>
      <c r="N876" s="27">
        <v>0</v>
      </c>
      <c r="O876" s="24">
        <v>0</v>
      </c>
      <c r="P876" s="24">
        <v>0</v>
      </c>
      <c r="Q876" s="28">
        <v>0</v>
      </c>
      <c r="R876" s="29">
        <v>0</v>
      </c>
      <c r="S876" s="29">
        <v>0</v>
      </c>
      <c r="T876" s="29">
        <v>0</v>
      </c>
      <c r="U876" s="30">
        <v>13</v>
      </c>
    </row>
    <row r="877" spans="2:21" x14ac:dyDescent="0.25">
      <c r="B877" s="31" t="s">
        <v>25</v>
      </c>
      <c r="C877" s="31">
        <v>75</v>
      </c>
      <c r="D877" s="22" t="s">
        <v>1573</v>
      </c>
      <c r="E877" s="22" t="s">
        <v>1574</v>
      </c>
      <c r="F877" s="22" t="s">
        <v>44</v>
      </c>
      <c r="G877" s="23">
        <v>23560</v>
      </c>
      <c r="H877" s="24">
        <v>1073</v>
      </c>
      <c r="I877" s="24">
        <v>0</v>
      </c>
      <c r="J877" s="24">
        <v>0</v>
      </c>
      <c r="K877" s="24">
        <v>0</v>
      </c>
      <c r="L877" s="32">
        <v>0</v>
      </c>
      <c r="M877" s="33">
        <v>0</v>
      </c>
      <c r="N877" s="27">
        <v>0</v>
      </c>
      <c r="O877" s="24">
        <v>0</v>
      </c>
      <c r="P877" s="24">
        <v>0</v>
      </c>
      <c r="Q877" s="28">
        <v>0</v>
      </c>
      <c r="R877" s="29">
        <v>0</v>
      </c>
      <c r="S877" s="29">
        <v>0</v>
      </c>
      <c r="T877" s="29">
        <v>0</v>
      </c>
      <c r="U877" s="30">
        <v>1073</v>
      </c>
    </row>
    <row r="878" spans="2:21" x14ac:dyDescent="0.25">
      <c r="B878" s="31" t="s">
        <v>25</v>
      </c>
      <c r="C878" s="31">
        <v>75</v>
      </c>
      <c r="D878" s="22" t="s">
        <v>1575</v>
      </c>
      <c r="E878" s="22" t="s">
        <v>1576</v>
      </c>
      <c r="F878" s="22" t="s">
        <v>44</v>
      </c>
      <c r="G878" s="23">
        <v>1330</v>
      </c>
      <c r="H878" s="24">
        <v>60</v>
      </c>
      <c r="I878" s="24">
        <v>0</v>
      </c>
      <c r="J878" s="24">
        <v>0</v>
      </c>
      <c r="K878" s="24">
        <v>0</v>
      </c>
      <c r="L878" s="32">
        <v>0</v>
      </c>
      <c r="M878" s="33">
        <v>0</v>
      </c>
      <c r="N878" s="27">
        <v>0</v>
      </c>
      <c r="O878" s="24">
        <v>0</v>
      </c>
      <c r="P878" s="24">
        <v>0</v>
      </c>
      <c r="Q878" s="28">
        <v>0</v>
      </c>
      <c r="R878" s="29">
        <v>0</v>
      </c>
      <c r="S878" s="29">
        <v>0</v>
      </c>
      <c r="T878" s="29">
        <v>0</v>
      </c>
      <c r="U878" s="30">
        <v>60</v>
      </c>
    </row>
    <row r="879" spans="2:21" x14ac:dyDescent="0.25">
      <c r="B879" s="31" t="s">
        <v>25</v>
      </c>
      <c r="C879" s="31">
        <v>75</v>
      </c>
      <c r="D879" s="22" t="s">
        <v>1577</v>
      </c>
      <c r="E879" s="22" t="s">
        <v>1578</v>
      </c>
      <c r="F879" s="22" t="s">
        <v>44</v>
      </c>
      <c r="G879" s="23">
        <v>13515</v>
      </c>
      <c r="H879" s="24">
        <v>602</v>
      </c>
      <c r="I879" s="24">
        <v>0</v>
      </c>
      <c r="J879" s="24">
        <v>0</v>
      </c>
      <c r="K879" s="24">
        <v>0</v>
      </c>
      <c r="L879" s="32">
        <v>0</v>
      </c>
      <c r="M879" s="33">
        <v>0</v>
      </c>
      <c r="N879" s="27">
        <v>0</v>
      </c>
      <c r="O879" s="24">
        <v>0</v>
      </c>
      <c r="P879" s="24">
        <v>0</v>
      </c>
      <c r="Q879" s="28">
        <v>0</v>
      </c>
      <c r="R879" s="29">
        <v>0</v>
      </c>
      <c r="S879" s="29">
        <v>0</v>
      </c>
      <c r="T879" s="29">
        <v>0</v>
      </c>
      <c r="U879" s="30">
        <v>602</v>
      </c>
    </row>
    <row r="880" spans="2:21" x14ac:dyDescent="0.25">
      <c r="B880" s="31" t="s">
        <v>25</v>
      </c>
      <c r="C880" s="31">
        <v>75</v>
      </c>
      <c r="D880" s="22" t="s">
        <v>1579</v>
      </c>
      <c r="E880" s="22" t="s">
        <v>1580</v>
      </c>
      <c r="F880" s="22" t="s">
        <v>44</v>
      </c>
      <c r="G880" s="23">
        <v>10815</v>
      </c>
      <c r="H880" s="24">
        <v>481</v>
      </c>
      <c r="I880" s="24">
        <v>0</v>
      </c>
      <c r="J880" s="24">
        <v>0</v>
      </c>
      <c r="K880" s="24">
        <v>0</v>
      </c>
      <c r="L880" s="32">
        <v>0</v>
      </c>
      <c r="M880" s="33">
        <v>0</v>
      </c>
      <c r="N880" s="27">
        <v>0</v>
      </c>
      <c r="O880" s="24">
        <v>0</v>
      </c>
      <c r="P880" s="24">
        <v>0</v>
      </c>
      <c r="Q880" s="28">
        <v>0</v>
      </c>
      <c r="R880" s="29">
        <v>0</v>
      </c>
      <c r="S880" s="29">
        <v>0</v>
      </c>
      <c r="T880" s="29">
        <v>0</v>
      </c>
      <c r="U880" s="30">
        <v>481</v>
      </c>
    </row>
    <row r="881" spans="2:21" x14ac:dyDescent="0.25">
      <c r="B881" s="31" t="s">
        <v>25</v>
      </c>
      <c r="C881" s="31">
        <v>75</v>
      </c>
      <c r="D881" s="22" t="s">
        <v>1581</v>
      </c>
      <c r="E881" s="22" t="s">
        <v>1582</v>
      </c>
      <c r="F881" s="22" t="s">
        <v>44</v>
      </c>
      <c r="G881" s="23">
        <v>10820</v>
      </c>
      <c r="H881" s="24">
        <v>482</v>
      </c>
      <c r="I881" s="24">
        <v>0</v>
      </c>
      <c r="J881" s="24">
        <v>0</v>
      </c>
      <c r="K881" s="24">
        <v>0</v>
      </c>
      <c r="L881" s="32">
        <v>0</v>
      </c>
      <c r="M881" s="33">
        <v>0</v>
      </c>
      <c r="N881" s="27">
        <v>0</v>
      </c>
      <c r="O881" s="24">
        <v>0</v>
      </c>
      <c r="P881" s="24">
        <v>0</v>
      </c>
      <c r="Q881" s="28">
        <v>0</v>
      </c>
      <c r="R881" s="29">
        <v>0</v>
      </c>
      <c r="S881" s="29">
        <v>0</v>
      </c>
      <c r="T881" s="29">
        <v>0</v>
      </c>
      <c r="U881" s="30">
        <v>482</v>
      </c>
    </row>
    <row r="882" spans="2:21" x14ac:dyDescent="0.25">
      <c r="B882" s="31" t="s">
        <v>25</v>
      </c>
      <c r="C882" s="31">
        <v>75</v>
      </c>
      <c r="D882" s="22" t="s">
        <v>1583</v>
      </c>
      <c r="E882" s="22" t="s">
        <v>1584</v>
      </c>
      <c r="F882" s="22" t="s">
        <v>44</v>
      </c>
      <c r="G882" s="23">
        <v>2160</v>
      </c>
      <c r="H882" s="24">
        <v>96</v>
      </c>
      <c r="I882" s="24">
        <v>0</v>
      </c>
      <c r="J882" s="24">
        <v>0</v>
      </c>
      <c r="K882" s="24">
        <v>0</v>
      </c>
      <c r="L882" s="32">
        <v>0</v>
      </c>
      <c r="M882" s="33">
        <v>0</v>
      </c>
      <c r="N882" s="27">
        <v>0</v>
      </c>
      <c r="O882" s="24">
        <v>0</v>
      </c>
      <c r="P882" s="24">
        <v>0</v>
      </c>
      <c r="Q882" s="28">
        <v>0</v>
      </c>
      <c r="R882" s="29">
        <v>0</v>
      </c>
      <c r="S882" s="29">
        <v>0</v>
      </c>
      <c r="T882" s="29">
        <v>0</v>
      </c>
      <c r="U882" s="30">
        <v>96</v>
      </c>
    </row>
    <row r="883" spans="2:21" x14ac:dyDescent="0.25">
      <c r="B883" s="31" t="s">
        <v>25</v>
      </c>
      <c r="C883" s="31">
        <v>75</v>
      </c>
      <c r="D883" s="22" t="s">
        <v>1585</v>
      </c>
      <c r="E883" s="22" t="s">
        <v>1586</v>
      </c>
      <c r="F883" s="22" t="s">
        <v>44</v>
      </c>
      <c r="G883" s="23">
        <v>10045</v>
      </c>
      <c r="H883" s="24">
        <v>447</v>
      </c>
      <c r="I883" s="24">
        <v>0</v>
      </c>
      <c r="J883" s="24">
        <v>0</v>
      </c>
      <c r="K883" s="24">
        <v>0</v>
      </c>
      <c r="L883" s="32">
        <v>0</v>
      </c>
      <c r="M883" s="33">
        <v>0</v>
      </c>
      <c r="N883" s="27">
        <v>0</v>
      </c>
      <c r="O883" s="24">
        <v>0</v>
      </c>
      <c r="P883" s="24">
        <v>0</v>
      </c>
      <c r="Q883" s="28">
        <v>0</v>
      </c>
      <c r="R883" s="29">
        <v>0</v>
      </c>
      <c r="S883" s="29">
        <v>0</v>
      </c>
      <c r="T883" s="29">
        <v>0</v>
      </c>
      <c r="U883" s="30">
        <v>447</v>
      </c>
    </row>
    <row r="884" spans="2:21" x14ac:dyDescent="0.25">
      <c r="B884" s="31" t="s">
        <v>25</v>
      </c>
      <c r="C884" s="22">
        <v>76</v>
      </c>
      <c r="D884" s="22" t="s">
        <v>1204</v>
      </c>
      <c r="E884" s="22" t="s">
        <v>1205</v>
      </c>
      <c r="F884" s="22" t="s">
        <v>44</v>
      </c>
      <c r="G884" s="23">
        <v>0</v>
      </c>
      <c r="H884" s="24">
        <v>580.72000000000025</v>
      </c>
      <c r="I884" s="24">
        <v>0</v>
      </c>
      <c r="J884" s="24">
        <v>0</v>
      </c>
      <c r="K884" s="24">
        <v>0</v>
      </c>
      <c r="L884" s="32">
        <v>0</v>
      </c>
      <c r="M884" s="33">
        <v>0</v>
      </c>
      <c r="N884" s="27">
        <v>0</v>
      </c>
      <c r="O884" s="24">
        <v>5525</v>
      </c>
      <c r="P884" s="24">
        <v>5525</v>
      </c>
      <c r="Q884" s="28">
        <v>0</v>
      </c>
      <c r="R884" s="29">
        <v>0</v>
      </c>
      <c r="S884" s="29">
        <v>0</v>
      </c>
      <c r="T884" s="29">
        <v>0</v>
      </c>
      <c r="U884" s="30">
        <v>580.72000000000025</v>
      </c>
    </row>
    <row r="885" spans="2:21" x14ac:dyDescent="0.25">
      <c r="B885" s="31" t="s">
        <v>25</v>
      </c>
      <c r="C885" s="31">
        <v>76</v>
      </c>
      <c r="D885" s="22" t="s">
        <v>1587</v>
      </c>
      <c r="E885" s="22" t="s">
        <v>1588</v>
      </c>
      <c r="F885" s="22" t="s">
        <v>44</v>
      </c>
      <c r="G885" s="23">
        <v>453</v>
      </c>
      <c r="H885" s="24">
        <v>154</v>
      </c>
      <c r="I885" s="24">
        <v>0</v>
      </c>
      <c r="J885" s="24">
        <v>0</v>
      </c>
      <c r="K885" s="24">
        <v>0</v>
      </c>
      <c r="L885" s="32">
        <v>0</v>
      </c>
      <c r="M885" s="33">
        <v>0</v>
      </c>
      <c r="N885" s="27">
        <v>0</v>
      </c>
      <c r="O885" s="24">
        <v>0</v>
      </c>
      <c r="P885" s="24">
        <v>0</v>
      </c>
      <c r="Q885" s="28">
        <v>0</v>
      </c>
      <c r="R885" s="29">
        <v>0</v>
      </c>
      <c r="S885" s="29">
        <v>0</v>
      </c>
      <c r="T885" s="29">
        <v>0</v>
      </c>
      <c r="U885" s="30">
        <v>154</v>
      </c>
    </row>
    <row r="886" spans="2:21" x14ac:dyDescent="0.25">
      <c r="B886" s="31" t="s">
        <v>25</v>
      </c>
      <c r="C886" s="31">
        <v>76</v>
      </c>
      <c r="D886" s="22" t="s">
        <v>1589</v>
      </c>
      <c r="E886" s="22" t="s">
        <v>1590</v>
      </c>
      <c r="F886" s="22" t="s">
        <v>44</v>
      </c>
      <c r="G886" s="23">
        <v>837</v>
      </c>
      <c r="H886" s="24">
        <v>286</v>
      </c>
      <c r="I886" s="24">
        <v>0</v>
      </c>
      <c r="J886" s="24">
        <v>0</v>
      </c>
      <c r="K886" s="24">
        <v>0</v>
      </c>
      <c r="L886" s="32">
        <v>0</v>
      </c>
      <c r="M886" s="33">
        <v>0</v>
      </c>
      <c r="N886" s="27">
        <v>0</v>
      </c>
      <c r="O886" s="24">
        <v>0</v>
      </c>
      <c r="P886" s="24">
        <v>0</v>
      </c>
      <c r="Q886" s="28">
        <v>0</v>
      </c>
      <c r="R886" s="29">
        <v>0</v>
      </c>
      <c r="S886" s="29">
        <v>0</v>
      </c>
      <c r="T886" s="29">
        <v>0</v>
      </c>
      <c r="U886" s="30">
        <v>286</v>
      </c>
    </row>
    <row r="887" spans="2:21" x14ac:dyDescent="0.25">
      <c r="B887" s="31" t="s">
        <v>25</v>
      </c>
      <c r="C887" s="31">
        <v>76</v>
      </c>
      <c r="D887" s="22" t="s">
        <v>1591</v>
      </c>
      <c r="E887" s="22" t="s">
        <v>1592</v>
      </c>
      <c r="F887" s="22" t="s">
        <v>44</v>
      </c>
      <c r="G887" s="23">
        <v>300</v>
      </c>
      <c r="H887" s="24">
        <v>102</v>
      </c>
      <c r="I887" s="24">
        <v>0</v>
      </c>
      <c r="J887" s="24">
        <v>0</v>
      </c>
      <c r="K887" s="24">
        <v>0</v>
      </c>
      <c r="L887" s="32">
        <v>0</v>
      </c>
      <c r="M887" s="33">
        <v>0</v>
      </c>
      <c r="N887" s="27">
        <v>0</v>
      </c>
      <c r="O887" s="24">
        <v>0</v>
      </c>
      <c r="P887" s="24">
        <v>0</v>
      </c>
      <c r="Q887" s="28">
        <v>0</v>
      </c>
      <c r="R887" s="29">
        <v>0</v>
      </c>
      <c r="S887" s="29">
        <v>0</v>
      </c>
      <c r="T887" s="29">
        <v>0</v>
      </c>
      <c r="U887" s="30">
        <v>102</v>
      </c>
    </row>
    <row r="888" spans="2:21" x14ac:dyDescent="0.25">
      <c r="B888" s="31" t="s">
        <v>25</v>
      </c>
      <c r="C888" s="31">
        <v>76</v>
      </c>
      <c r="D888" s="22" t="s">
        <v>1593</v>
      </c>
      <c r="E888" s="22" t="s">
        <v>1594</v>
      </c>
      <c r="F888" s="22" t="s">
        <v>44</v>
      </c>
      <c r="G888" s="23">
        <v>399</v>
      </c>
      <c r="H888" s="24">
        <v>135</v>
      </c>
      <c r="I888" s="24">
        <v>0</v>
      </c>
      <c r="J888" s="24">
        <v>0</v>
      </c>
      <c r="K888" s="24">
        <v>0</v>
      </c>
      <c r="L888" s="32">
        <v>0</v>
      </c>
      <c r="M888" s="33">
        <v>0</v>
      </c>
      <c r="N888" s="27">
        <v>0</v>
      </c>
      <c r="O888" s="24">
        <v>0</v>
      </c>
      <c r="P888" s="24">
        <v>0</v>
      </c>
      <c r="Q888" s="28">
        <v>0</v>
      </c>
      <c r="R888" s="29">
        <v>0</v>
      </c>
      <c r="S888" s="29">
        <v>0</v>
      </c>
      <c r="T888" s="29">
        <v>0</v>
      </c>
      <c r="U888" s="30">
        <v>135</v>
      </c>
    </row>
    <row r="889" spans="2:21" x14ac:dyDescent="0.25">
      <c r="B889" s="31" t="s">
        <v>25</v>
      </c>
      <c r="C889" s="31">
        <v>76</v>
      </c>
      <c r="D889" s="22" t="s">
        <v>1595</v>
      </c>
      <c r="E889" s="22" t="s">
        <v>1596</v>
      </c>
      <c r="F889" s="22" t="s">
        <v>44</v>
      </c>
      <c r="G889" s="23">
        <v>540</v>
      </c>
      <c r="H889" s="24">
        <v>184</v>
      </c>
      <c r="I889" s="24">
        <v>0</v>
      </c>
      <c r="J889" s="24">
        <v>0</v>
      </c>
      <c r="K889" s="24">
        <v>0</v>
      </c>
      <c r="L889" s="32">
        <v>0</v>
      </c>
      <c r="M889" s="33">
        <v>0</v>
      </c>
      <c r="N889" s="27">
        <v>0</v>
      </c>
      <c r="O889" s="24">
        <v>0</v>
      </c>
      <c r="P889" s="24">
        <v>0</v>
      </c>
      <c r="Q889" s="28">
        <v>0</v>
      </c>
      <c r="R889" s="29">
        <v>0</v>
      </c>
      <c r="S889" s="29">
        <v>0</v>
      </c>
      <c r="T889" s="29">
        <v>0</v>
      </c>
      <c r="U889" s="30">
        <v>184</v>
      </c>
    </row>
    <row r="890" spans="2:21" x14ac:dyDescent="0.25">
      <c r="B890" s="31" t="s">
        <v>25</v>
      </c>
      <c r="C890" s="31">
        <v>76</v>
      </c>
      <c r="D890" s="22" t="s">
        <v>1597</v>
      </c>
      <c r="E890" s="22" t="s">
        <v>1598</v>
      </c>
      <c r="F890" s="22" t="s">
        <v>44</v>
      </c>
      <c r="G890" s="23">
        <v>540</v>
      </c>
      <c r="H890" s="24">
        <v>184</v>
      </c>
      <c r="I890" s="24">
        <v>0</v>
      </c>
      <c r="J890" s="24">
        <v>0</v>
      </c>
      <c r="K890" s="24">
        <v>0</v>
      </c>
      <c r="L890" s="32">
        <v>0</v>
      </c>
      <c r="M890" s="33">
        <v>0</v>
      </c>
      <c r="N890" s="27">
        <v>0</v>
      </c>
      <c r="O890" s="24">
        <v>0</v>
      </c>
      <c r="P890" s="24">
        <v>0</v>
      </c>
      <c r="Q890" s="28">
        <v>0</v>
      </c>
      <c r="R890" s="29">
        <v>0</v>
      </c>
      <c r="S890" s="29">
        <v>0</v>
      </c>
      <c r="T890" s="29">
        <v>0</v>
      </c>
      <c r="U890" s="30">
        <v>184</v>
      </c>
    </row>
    <row r="891" spans="2:21" x14ac:dyDescent="0.25">
      <c r="B891" s="31" t="s">
        <v>25</v>
      </c>
      <c r="C891" s="31">
        <v>76</v>
      </c>
      <c r="D891" s="22" t="s">
        <v>1599</v>
      </c>
      <c r="E891" s="22" t="s">
        <v>1600</v>
      </c>
      <c r="F891" s="22" t="s">
        <v>44</v>
      </c>
      <c r="G891" s="23">
        <v>1462</v>
      </c>
      <c r="H891" s="24">
        <v>494</v>
      </c>
      <c r="I891" s="24">
        <v>0</v>
      </c>
      <c r="J891" s="24">
        <v>0</v>
      </c>
      <c r="K891" s="24">
        <v>0</v>
      </c>
      <c r="L891" s="32">
        <v>0</v>
      </c>
      <c r="M891" s="33">
        <v>0</v>
      </c>
      <c r="N891" s="27">
        <v>0</v>
      </c>
      <c r="O891" s="24">
        <v>0</v>
      </c>
      <c r="P891" s="24">
        <v>0</v>
      </c>
      <c r="Q891" s="28">
        <v>0</v>
      </c>
      <c r="R891" s="29">
        <v>0</v>
      </c>
      <c r="S891" s="29">
        <v>0</v>
      </c>
      <c r="T891" s="29">
        <v>0</v>
      </c>
      <c r="U891" s="30">
        <v>494</v>
      </c>
    </row>
    <row r="892" spans="2:21" x14ac:dyDescent="0.25">
      <c r="B892" s="31" t="s">
        <v>25</v>
      </c>
      <c r="C892" s="31">
        <v>76</v>
      </c>
      <c r="D892" s="22" t="s">
        <v>1601</v>
      </c>
      <c r="E892" s="22" t="s">
        <v>1602</v>
      </c>
      <c r="F892" s="22" t="s">
        <v>44</v>
      </c>
      <c r="G892" s="23">
        <v>1033</v>
      </c>
      <c r="H892" s="24">
        <v>351</v>
      </c>
      <c r="I892" s="24">
        <v>0</v>
      </c>
      <c r="J892" s="24">
        <v>0</v>
      </c>
      <c r="K892" s="24">
        <v>0</v>
      </c>
      <c r="L892" s="32">
        <v>0</v>
      </c>
      <c r="M892" s="33">
        <v>0</v>
      </c>
      <c r="N892" s="27">
        <v>0</v>
      </c>
      <c r="O892" s="24">
        <v>0</v>
      </c>
      <c r="P892" s="24">
        <v>0</v>
      </c>
      <c r="Q892" s="28">
        <v>0</v>
      </c>
      <c r="R892" s="29">
        <v>0</v>
      </c>
      <c r="S892" s="29">
        <v>0</v>
      </c>
      <c r="T892" s="29">
        <v>0</v>
      </c>
      <c r="U892" s="30">
        <v>351</v>
      </c>
    </row>
    <row r="893" spans="2:21" x14ac:dyDescent="0.25">
      <c r="B893" s="31" t="s">
        <v>25</v>
      </c>
      <c r="C893" s="31">
        <v>76</v>
      </c>
      <c r="D893" s="22" t="s">
        <v>1603</v>
      </c>
      <c r="E893" s="22" t="s">
        <v>1604</v>
      </c>
      <c r="F893" s="22" t="s">
        <v>44</v>
      </c>
      <c r="G893" s="23">
        <v>402</v>
      </c>
      <c r="H893" s="24">
        <v>136</v>
      </c>
      <c r="I893" s="24">
        <v>0</v>
      </c>
      <c r="J893" s="24">
        <v>0</v>
      </c>
      <c r="K893" s="24">
        <v>0</v>
      </c>
      <c r="L893" s="32">
        <v>0</v>
      </c>
      <c r="M893" s="33">
        <v>0</v>
      </c>
      <c r="N893" s="27">
        <v>0</v>
      </c>
      <c r="O893" s="24">
        <v>0</v>
      </c>
      <c r="P893" s="24">
        <v>0</v>
      </c>
      <c r="Q893" s="28">
        <v>0</v>
      </c>
      <c r="R893" s="29">
        <v>0</v>
      </c>
      <c r="S893" s="29">
        <v>0</v>
      </c>
      <c r="T893" s="29">
        <v>0</v>
      </c>
      <c r="U893" s="30">
        <v>136</v>
      </c>
    </row>
    <row r="894" spans="2:21" x14ac:dyDescent="0.25">
      <c r="B894" s="31" t="s">
        <v>25</v>
      </c>
      <c r="C894" s="31">
        <v>76</v>
      </c>
      <c r="D894" s="22" t="s">
        <v>1605</v>
      </c>
      <c r="E894" s="22" t="s">
        <v>1606</v>
      </c>
      <c r="F894" s="22" t="s">
        <v>44</v>
      </c>
      <c r="G894" s="23">
        <v>540</v>
      </c>
      <c r="H894" s="24">
        <v>184</v>
      </c>
      <c r="I894" s="24">
        <v>0</v>
      </c>
      <c r="J894" s="24">
        <v>0</v>
      </c>
      <c r="K894" s="24">
        <v>0</v>
      </c>
      <c r="L894" s="32">
        <v>0</v>
      </c>
      <c r="M894" s="33">
        <v>0</v>
      </c>
      <c r="N894" s="27">
        <v>0</v>
      </c>
      <c r="O894" s="24">
        <v>0</v>
      </c>
      <c r="P894" s="24">
        <v>0</v>
      </c>
      <c r="Q894" s="28">
        <v>0</v>
      </c>
      <c r="R894" s="29">
        <v>0</v>
      </c>
      <c r="S894" s="29">
        <v>0</v>
      </c>
      <c r="T894" s="29">
        <v>0</v>
      </c>
      <c r="U894" s="30">
        <v>184</v>
      </c>
    </row>
    <row r="895" spans="2:21" x14ac:dyDescent="0.25">
      <c r="B895" s="31" t="s">
        <v>25</v>
      </c>
      <c r="C895" s="31">
        <v>76</v>
      </c>
      <c r="D895" s="22" t="s">
        <v>1607</v>
      </c>
      <c r="E895" s="22" t="s">
        <v>1608</v>
      </c>
      <c r="F895" s="22" t="s">
        <v>44</v>
      </c>
      <c r="G895" s="23">
        <v>2648</v>
      </c>
      <c r="H895" s="24">
        <v>895</v>
      </c>
      <c r="I895" s="24">
        <v>0</v>
      </c>
      <c r="J895" s="24">
        <v>0</v>
      </c>
      <c r="K895" s="24">
        <v>0</v>
      </c>
      <c r="L895" s="32">
        <v>0</v>
      </c>
      <c r="M895" s="33">
        <v>0</v>
      </c>
      <c r="N895" s="27">
        <v>0</v>
      </c>
      <c r="O895" s="24">
        <v>0</v>
      </c>
      <c r="P895" s="24">
        <v>0</v>
      </c>
      <c r="Q895" s="28">
        <v>0</v>
      </c>
      <c r="R895" s="29">
        <v>0</v>
      </c>
      <c r="S895" s="29">
        <v>0</v>
      </c>
      <c r="T895" s="29">
        <v>0</v>
      </c>
      <c r="U895" s="30">
        <v>895</v>
      </c>
    </row>
    <row r="896" spans="2:21" x14ac:dyDescent="0.25">
      <c r="B896" s="31" t="s">
        <v>25</v>
      </c>
      <c r="C896" s="31">
        <v>76</v>
      </c>
      <c r="D896" s="22" t="s">
        <v>1609</v>
      </c>
      <c r="E896" s="22" t="s">
        <v>1610</v>
      </c>
      <c r="F896" s="22" t="s">
        <v>44</v>
      </c>
      <c r="G896" s="23">
        <v>567</v>
      </c>
      <c r="H896" s="24">
        <v>193</v>
      </c>
      <c r="I896" s="24">
        <v>0</v>
      </c>
      <c r="J896" s="24">
        <v>0</v>
      </c>
      <c r="K896" s="24">
        <v>0</v>
      </c>
      <c r="L896" s="32">
        <v>0</v>
      </c>
      <c r="M896" s="33">
        <v>0</v>
      </c>
      <c r="N896" s="27">
        <v>0</v>
      </c>
      <c r="O896" s="24">
        <v>0</v>
      </c>
      <c r="P896" s="24">
        <v>0</v>
      </c>
      <c r="Q896" s="28">
        <v>0</v>
      </c>
      <c r="R896" s="29">
        <v>0</v>
      </c>
      <c r="S896" s="29">
        <v>0</v>
      </c>
      <c r="T896" s="29">
        <v>0</v>
      </c>
      <c r="U896" s="30">
        <v>193</v>
      </c>
    </row>
    <row r="897" spans="2:21" x14ac:dyDescent="0.25">
      <c r="B897" s="31" t="s">
        <v>25</v>
      </c>
      <c r="C897" s="31">
        <v>76</v>
      </c>
      <c r="D897" s="22" t="s">
        <v>1611</v>
      </c>
      <c r="E897" s="22" t="s">
        <v>1612</v>
      </c>
      <c r="F897" s="22" t="s">
        <v>44</v>
      </c>
      <c r="G897" s="23">
        <v>1453</v>
      </c>
      <c r="H897" s="24">
        <v>491</v>
      </c>
      <c r="I897" s="24">
        <v>0</v>
      </c>
      <c r="J897" s="24">
        <v>0</v>
      </c>
      <c r="K897" s="24">
        <v>0</v>
      </c>
      <c r="L897" s="32">
        <v>0</v>
      </c>
      <c r="M897" s="33">
        <v>0</v>
      </c>
      <c r="N897" s="27">
        <v>0</v>
      </c>
      <c r="O897" s="24">
        <v>0</v>
      </c>
      <c r="P897" s="24">
        <v>0</v>
      </c>
      <c r="Q897" s="28">
        <v>0</v>
      </c>
      <c r="R897" s="29">
        <v>0</v>
      </c>
      <c r="S897" s="29">
        <v>0</v>
      </c>
      <c r="T897" s="29">
        <v>0</v>
      </c>
      <c r="U897" s="30">
        <v>491</v>
      </c>
    </row>
    <row r="898" spans="2:21" x14ac:dyDescent="0.25">
      <c r="B898" s="31" t="s">
        <v>25</v>
      </c>
      <c r="C898" s="31">
        <v>76</v>
      </c>
      <c r="D898" s="22" t="s">
        <v>1613</v>
      </c>
      <c r="E898" s="22" t="s">
        <v>1614</v>
      </c>
      <c r="F898" s="22" t="s">
        <v>44</v>
      </c>
      <c r="G898" s="23">
        <v>603</v>
      </c>
      <c r="H898" s="24">
        <v>204</v>
      </c>
      <c r="I898" s="24">
        <v>0</v>
      </c>
      <c r="J898" s="24">
        <v>0</v>
      </c>
      <c r="K898" s="24">
        <v>0</v>
      </c>
      <c r="L898" s="32">
        <v>0</v>
      </c>
      <c r="M898" s="33">
        <v>0</v>
      </c>
      <c r="N898" s="27">
        <v>0</v>
      </c>
      <c r="O898" s="24">
        <v>0</v>
      </c>
      <c r="P898" s="24">
        <v>0</v>
      </c>
      <c r="Q898" s="28">
        <v>0</v>
      </c>
      <c r="R898" s="29">
        <v>0</v>
      </c>
      <c r="S898" s="29">
        <v>0</v>
      </c>
      <c r="T898" s="29">
        <v>0</v>
      </c>
      <c r="U898" s="30">
        <v>204</v>
      </c>
    </row>
    <row r="899" spans="2:21" x14ac:dyDescent="0.25">
      <c r="B899" s="31" t="s">
        <v>25</v>
      </c>
      <c r="C899" s="31">
        <v>76</v>
      </c>
      <c r="D899" s="22" t="s">
        <v>1615</v>
      </c>
      <c r="E899" s="22" t="s">
        <v>1616</v>
      </c>
      <c r="F899" s="22" t="s">
        <v>44</v>
      </c>
      <c r="G899" s="23">
        <v>1509</v>
      </c>
      <c r="H899" s="24">
        <v>513</v>
      </c>
      <c r="I899" s="24">
        <v>0</v>
      </c>
      <c r="J899" s="24">
        <v>0</v>
      </c>
      <c r="K899" s="24">
        <v>0</v>
      </c>
      <c r="L899" s="32">
        <v>0</v>
      </c>
      <c r="M899" s="33">
        <v>0</v>
      </c>
      <c r="N899" s="27">
        <v>0</v>
      </c>
      <c r="O899" s="24">
        <v>0</v>
      </c>
      <c r="P899" s="24">
        <v>0</v>
      </c>
      <c r="Q899" s="28">
        <v>0</v>
      </c>
      <c r="R899" s="29">
        <v>0</v>
      </c>
      <c r="S899" s="29">
        <v>0</v>
      </c>
      <c r="T899" s="29">
        <v>0</v>
      </c>
      <c r="U899" s="30">
        <v>513</v>
      </c>
    </row>
    <row r="900" spans="2:21" x14ac:dyDescent="0.25">
      <c r="B900" s="31" t="s">
        <v>25</v>
      </c>
      <c r="C900" s="31">
        <v>76</v>
      </c>
      <c r="D900" s="22" t="s">
        <v>1617</v>
      </c>
      <c r="E900" s="22" t="s">
        <v>1618</v>
      </c>
      <c r="F900" s="22" t="s">
        <v>44</v>
      </c>
      <c r="G900" s="23">
        <v>521</v>
      </c>
      <c r="H900" s="24">
        <v>177</v>
      </c>
      <c r="I900" s="24">
        <v>0</v>
      </c>
      <c r="J900" s="24">
        <v>0</v>
      </c>
      <c r="K900" s="24">
        <v>0</v>
      </c>
      <c r="L900" s="32">
        <v>0</v>
      </c>
      <c r="M900" s="33">
        <v>0</v>
      </c>
      <c r="N900" s="27">
        <v>0</v>
      </c>
      <c r="O900" s="24">
        <v>0</v>
      </c>
      <c r="P900" s="24">
        <v>0</v>
      </c>
      <c r="Q900" s="28">
        <v>0</v>
      </c>
      <c r="R900" s="29">
        <v>0</v>
      </c>
      <c r="S900" s="29">
        <v>0</v>
      </c>
      <c r="T900" s="29">
        <v>0</v>
      </c>
      <c r="U900" s="30">
        <v>177</v>
      </c>
    </row>
    <row r="901" spans="2:21" x14ac:dyDescent="0.25">
      <c r="B901" s="31" t="s">
        <v>25</v>
      </c>
      <c r="C901" s="31">
        <v>76</v>
      </c>
      <c r="D901" s="22" t="s">
        <v>1619</v>
      </c>
      <c r="E901" s="22" t="s">
        <v>1620</v>
      </c>
      <c r="F901" s="22" t="s">
        <v>44</v>
      </c>
      <c r="G901" s="23">
        <v>760</v>
      </c>
      <c r="H901" s="24">
        <v>259</v>
      </c>
      <c r="I901" s="24">
        <v>0</v>
      </c>
      <c r="J901" s="24">
        <v>0</v>
      </c>
      <c r="K901" s="24">
        <v>0</v>
      </c>
      <c r="L901" s="32">
        <v>0</v>
      </c>
      <c r="M901" s="33">
        <v>0</v>
      </c>
      <c r="N901" s="27">
        <v>0</v>
      </c>
      <c r="O901" s="24">
        <v>0</v>
      </c>
      <c r="P901" s="24">
        <v>0</v>
      </c>
      <c r="Q901" s="28">
        <v>0</v>
      </c>
      <c r="R901" s="29">
        <v>0</v>
      </c>
      <c r="S901" s="29">
        <v>0</v>
      </c>
      <c r="T901" s="29">
        <v>0</v>
      </c>
      <c r="U901" s="30">
        <v>259</v>
      </c>
    </row>
    <row r="902" spans="2:21" x14ac:dyDescent="0.25">
      <c r="B902" s="31" t="s">
        <v>25</v>
      </c>
      <c r="C902" s="22">
        <v>77</v>
      </c>
      <c r="D902" s="22" t="s">
        <v>1206</v>
      </c>
      <c r="E902" s="22" t="s">
        <v>1207</v>
      </c>
      <c r="F902" s="22"/>
      <c r="G902" s="23">
        <v>19946</v>
      </c>
      <c r="H902" s="24">
        <v>6786.4999999999982</v>
      </c>
      <c r="I902" s="24">
        <v>0</v>
      </c>
      <c r="J902" s="24">
        <v>0</v>
      </c>
      <c r="K902" s="24">
        <v>0</v>
      </c>
      <c r="L902" s="32">
        <v>0</v>
      </c>
      <c r="M902" s="33">
        <v>0</v>
      </c>
      <c r="N902" s="27">
        <v>0</v>
      </c>
      <c r="O902" s="24">
        <v>6786.4999999999982</v>
      </c>
      <c r="P902" s="24">
        <v>6786.4999999999982</v>
      </c>
      <c r="Q902" s="28">
        <v>0</v>
      </c>
      <c r="R902" s="29">
        <v>0</v>
      </c>
      <c r="S902" s="29">
        <v>0</v>
      </c>
      <c r="T902" s="29">
        <v>0</v>
      </c>
      <c r="U902" s="30">
        <v>6786.4999999999982</v>
      </c>
    </row>
    <row r="903" spans="2:21" x14ac:dyDescent="0.25">
      <c r="B903" s="31" t="s">
        <v>25</v>
      </c>
      <c r="C903" s="22">
        <v>90</v>
      </c>
      <c r="D903" s="22" t="s">
        <v>86</v>
      </c>
      <c r="E903" s="22" t="s">
        <v>87</v>
      </c>
      <c r="F903" s="22" t="s">
        <v>49</v>
      </c>
      <c r="G903" s="23">
        <v>0</v>
      </c>
      <c r="H903" s="24">
        <v>6472.8</v>
      </c>
      <c r="I903" s="24">
        <v>0</v>
      </c>
      <c r="J903" s="24">
        <v>1625</v>
      </c>
      <c r="K903" s="24">
        <v>0</v>
      </c>
      <c r="L903" s="32">
        <v>345</v>
      </c>
      <c r="M903" s="33">
        <v>0</v>
      </c>
      <c r="N903" s="27">
        <v>0</v>
      </c>
      <c r="O903" s="24">
        <v>6472.8</v>
      </c>
      <c r="P903" s="24">
        <v>6472.8</v>
      </c>
      <c r="Q903" s="28">
        <v>0</v>
      </c>
      <c r="R903" s="29">
        <v>0</v>
      </c>
      <c r="S903" s="29">
        <v>0</v>
      </c>
      <c r="T903" s="29">
        <v>0</v>
      </c>
      <c r="U903" s="30">
        <v>4847.8</v>
      </c>
    </row>
    <row r="904" spans="2:21" x14ac:dyDescent="0.25">
      <c r="B904" s="31" t="s">
        <v>25</v>
      </c>
      <c r="C904" s="31">
        <v>90</v>
      </c>
      <c r="D904" s="22" t="s">
        <v>88</v>
      </c>
      <c r="E904" s="22" t="s">
        <v>89</v>
      </c>
      <c r="F904" s="22" t="s">
        <v>49</v>
      </c>
      <c r="G904" s="23">
        <v>0</v>
      </c>
      <c r="H904" s="24">
        <v>26733</v>
      </c>
      <c r="I904" s="24">
        <v>0</v>
      </c>
      <c r="J904" s="24">
        <v>5058</v>
      </c>
      <c r="K904" s="24">
        <v>0</v>
      </c>
      <c r="L904" s="32">
        <v>710</v>
      </c>
      <c r="M904" s="33">
        <v>0</v>
      </c>
      <c r="N904" s="27">
        <v>0</v>
      </c>
      <c r="O904" s="24">
        <v>26733</v>
      </c>
      <c r="P904" s="24">
        <v>26733</v>
      </c>
      <c r="Q904" s="28">
        <v>0</v>
      </c>
      <c r="R904" s="29">
        <v>0</v>
      </c>
      <c r="S904" s="29">
        <v>0</v>
      </c>
      <c r="T904" s="29">
        <v>50.5</v>
      </c>
      <c r="U904" s="30">
        <v>21624.5</v>
      </c>
    </row>
    <row r="905" spans="2:21" x14ac:dyDescent="0.25">
      <c r="B905" s="31" t="s">
        <v>25</v>
      </c>
      <c r="C905" s="31">
        <v>90</v>
      </c>
      <c r="D905" s="22" t="s">
        <v>90</v>
      </c>
      <c r="E905" s="22" t="s">
        <v>91</v>
      </c>
      <c r="F905" s="22" t="s">
        <v>49</v>
      </c>
      <c r="G905" s="23">
        <v>0</v>
      </c>
      <c r="H905" s="24">
        <v>5700</v>
      </c>
      <c r="I905" s="24">
        <v>0</v>
      </c>
      <c r="J905" s="24">
        <v>472.5</v>
      </c>
      <c r="K905" s="24">
        <v>0</v>
      </c>
      <c r="L905" s="32">
        <v>48</v>
      </c>
      <c r="M905" s="33">
        <v>0</v>
      </c>
      <c r="N905" s="27">
        <v>0</v>
      </c>
      <c r="O905" s="24">
        <v>5700</v>
      </c>
      <c r="P905" s="24">
        <v>5700</v>
      </c>
      <c r="Q905" s="28">
        <v>0</v>
      </c>
      <c r="R905" s="29">
        <v>0</v>
      </c>
      <c r="S905" s="29">
        <v>0</v>
      </c>
      <c r="T905" s="29">
        <v>48</v>
      </c>
      <c r="U905" s="30">
        <v>5179.5</v>
      </c>
    </row>
    <row r="906" spans="2:21" x14ac:dyDescent="0.25">
      <c r="B906" s="31" t="s">
        <v>25</v>
      </c>
      <c r="C906" s="31">
        <v>90</v>
      </c>
      <c r="D906" s="22" t="s">
        <v>92</v>
      </c>
      <c r="E906" s="22" t="s">
        <v>93</v>
      </c>
      <c r="F906" s="22" t="s">
        <v>49</v>
      </c>
      <c r="G906" s="23">
        <v>0</v>
      </c>
      <c r="H906" s="24">
        <v>22230</v>
      </c>
      <c r="I906" s="24">
        <v>0</v>
      </c>
      <c r="J906" s="24">
        <v>604</v>
      </c>
      <c r="K906" s="24">
        <v>0</v>
      </c>
      <c r="L906" s="32">
        <v>148</v>
      </c>
      <c r="M906" s="33">
        <v>0</v>
      </c>
      <c r="N906" s="27">
        <v>0</v>
      </c>
      <c r="O906" s="24">
        <v>22230</v>
      </c>
      <c r="P906" s="24">
        <v>22230</v>
      </c>
      <c r="Q906" s="28">
        <v>0</v>
      </c>
      <c r="R906" s="29">
        <v>0</v>
      </c>
      <c r="S906" s="29">
        <v>0</v>
      </c>
      <c r="T906" s="29">
        <v>48</v>
      </c>
      <c r="U906" s="30">
        <v>21578</v>
      </c>
    </row>
    <row r="907" spans="2:21" x14ac:dyDescent="0.25">
      <c r="B907" s="31" t="s">
        <v>25</v>
      </c>
      <c r="C907" s="31">
        <v>90</v>
      </c>
      <c r="D907" s="22" t="s">
        <v>94</v>
      </c>
      <c r="E907" s="22" t="s">
        <v>95</v>
      </c>
      <c r="F907" s="22" t="s">
        <v>44</v>
      </c>
      <c r="G907" s="23">
        <v>0</v>
      </c>
      <c r="H907" s="24">
        <v>2736</v>
      </c>
      <c r="I907" s="24">
        <v>0</v>
      </c>
      <c r="J907" s="24">
        <v>0</v>
      </c>
      <c r="K907" s="24">
        <v>0</v>
      </c>
      <c r="L907" s="32">
        <v>0</v>
      </c>
      <c r="M907" s="33">
        <v>0</v>
      </c>
      <c r="N907" s="27">
        <v>0</v>
      </c>
      <c r="O907" s="24">
        <v>2736</v>
      </c>
      <c r="P907" s="24">
        <v>2736</v>
      </c>
      <c r="Q907" s="28">
        <v>0</v>
      </c>
      <c r="R907" s="29">
        <v>0</v>
      </c>
      <c r="S907" s="29">
        <v>0</v>
      </c>
      <c r="T907" s="29">
        <v>0</v>
      </c>
      <c r="U907" s="30">
        <v>2736</v>
      </c>
    </row>
    <row r="908" spans="2:21" x14ac:dyDescent="0.25">
      <c r="B908" s="31" t="s">
        <v>25</v>
      </c>
      <c r="C908" s="31">
        <v>90</v>
      </c>
      <c r="D908" s="22" t="s">
        <v>179</v>
      </c>
      <c r="E908" s="22" t="s">
        <v>544</v>
      </c>
      <c r="F908" s="22" t="s">
        <v>44</v>
      </c>
      <c r="G908" s="23">
        <v>0</v>
      </c>
      <c r="H908" s="24">
        <v>649.5</v>
      </c>
      <c r="I908" s="24">
        <v>0</v>
      </c>
      <c r="J908" s="24">
        <v>225</v>
      </c>
      <c r="K908" s="24">
        <v>0</v>
      </c>
      <c r="L908" s="32">
        <v>0</v>
      </c>
      <c r="M908" s="33">
        <v>0</v>
      </c>
      <c r="N908" s="27">
        <v>0</v>
      </c>
      <c r="O908" s="24">
        <v>649.5</v>
      </c>
      <c r="P908" s="24">
        <v>649.5</v>
      </c>
      <c r="Q908" s="28">
        <v>0</v>
      </c>
      <c r="R908" s="29">
        <v>0</v>
      </c>
      <c r="S908" s="29">
        <v>0</v>
      </c>
      <c r="T908" s="29">
        <v>0</v>
      </c>
      <c r="U908" s="30">
        <v>424.5</v>
      </c>
    </row>
    <row r="909" spans="2:21" x14ac:dyDescent="0.25">
      <c r="B909" s="31" t="s">
        <v>25</v>
      </c>
      <c r="C909" s="22">
        <v>91</v>
      </c>
      <c r="D909" s="22" t="s">
        <v>96</v>
      </c>
      <c r="E909" s="22" t="s">
        <v>97</v>
      </c>
      <c r="F909" s="22" t="s">
        <v>49</v>
      </c>
      <c r="G909" s="23">
        <v>0</v>
      </c>
      <c r="H909" s="24">
        <v>8580</v>
      </c>
      <c r="I909" s="24">
        <v>0</v>
      </c>
      <c r="J909" s="24">
        <v>278</v>
      </c>
      <c r="K909" s="24">
        <v>0</v>
      </c>
      <c r="L909" s="32">
        <v>46</v>
      </c>
      <c r="M909" s="33">
        <v>0</v>
      </c>
      <c r="N909" s="27">
        <v>0</v>
      </c>
      <c r="O909" s="24">
        <v>8580</v>
      </c>
      <c r="P909" s="24">
        <v>8580</v>
      </c>
      <c r="Q909" s="28">
        <v>0</v>
      </c>
      <c r="R909" s="29">
        <v>0</v>
      </c>
      <c r="S909" s="29">
        <v>0</v>
      </c>
      <c r="T909" s="29">
        <v>46.5</v>
      </c>
      <c r="U909" s="30">
        <v>8255.5</v>
      </c>
    </row>
    <row r="910" spans="2:21" x14ac:dyDescent="0.25">
      <c r="B910" s="31" t="s">
        <v>25</v>
      </c>
      <c r="C910" s="31">
        <v>91</v>
      </c>
      <c r="D910" s="22" t="s">
        <v>98</v>
      </c>
      <c r="E910" s="22" t="s">
        <v>99</v>
      </c>
      <c r="F910" s="22" t="s">
        <v>49</v>
      </c>
      <c r="G910" s="23">
        <v>0</v>
      </c>
      <c r="H910" s="24">
        <v>17160</v>
      </c>
      <c r="I910" s="24">
        <v>0</v>
      </c>
      <c r="J910" s="24">
        <v>1892.5</v>
      </c>
      <c r="K910" s="24">
        <v>0</v>
      </c>
      <c r="L910" s="32">
        <v>265</v>
      </c>
      <c r="M910" s="33">
        <v>0</v>
      </c>
      <c r="N910" s="27">
        <v>0</v>
      </c>
      <c r="O910" s="24">
        <v>17160</v>
      </c>
      <c r="P910" s="24">
        <v>17160</v>
      </c>
      <c r="Q910" s="28">
        <v>0</v>
      </c>
      <c r="R910" s="29">
        <v>0</v>
      </c>
      <c r="S910" s="29">
        <v>0</v>
      </c>
      <c r="T910" s="29">
        <v>265</v>
      </c>
      <c r="U910" s="30">
        <v>15002.5</v>
      </c>
    </row>
    <row r="911" spans="2:21" x14ac:dyDescent="0.25">
      <c r="B911" s="31" t="s">
        <v>25</v>
      </c>
      <c r="C911" s="31">
        <v>91</v>
      </c>
      <c r="D911" s="22" t="s">
        <v>100</v>
      </c>
      <c r="E911" s="22" t="s">
        <v>101</v>
      </c>
      <c r="F911" s="22" t="s">
        <v>49</v>
      </c>
      <c r="G911" s="23">
        <v>0</v>
      </c>
      <c r="H911" s="24">
        <v>20100</v>
      </c>
      <c r="I911" s="24">
        <v>0</v>
      </c>
      <c r="J911" s="24">
        <v>3209</v>
      </c>
      <c r="K911" s="24">
        <v>0</v>
      </c>
      <c r="L911" s="32">
        <v>490</v>
      </c>
      <c r="M911" s="33">
        <v>0</v>
      </c>
      <c r="N911" s="27">
        <v>0</v>
      </c>
      <c r="O911" s="24">
        <v>20100</v>
      </c>
      <c r="P911" s="24">
        <v>20100</v>
      </c>
      <c r="Q911" s="28">
        <v>0</v>
      </c>
      <c r="R911" s="29">
        <v>0</v>
      </c>
      <c r="S911" s="29">
        <v>0</v>
      </c>
      <c r="T911" s="29">
        <v>490.5</v>
      </c>
      <c r="U911" s="30">
        <v>16400.5</v>
      </c>
    </row>
    <row r="912" spans="2:21" x14ac:dyDescent="0.25">
      <c r="B912" s="31" t="s">
        <v>25</v>
      </c>
      <c r="C912" s="31">
        <v>91</v>
      </c>
      <c r="D912" s="22" t="s">
        <v>102</v>
      </c>
      <c r="E912" s="22" t="s">
        <v>103</v>
      </c>
      <c r="F912" s="22" t="s">
        <v>49</v>
      </c>
      <c r="G912" s="23">
        <v>0</v>
      </c>
      <c r="H912" s="24">
        <v>20040</v>
      </c>
      <c r="I912" s="24">
        <v>0</v>
      </c>
      <c r="J912" s="24">
        <v>483</v>
      </c>
      <c r="K912" s="24">
        <v>0</v>
      </c>
      <c r="L912" s="32">
        <v>96</v>
      </c>
      <c r="M912" s="33">
        <v>0</v>
      </c>
      <c r="N912" s="27">
        <v>0</v>
      </c>
      <c r="O912" s="24">
        <v>20040</v>
      </c>
      <c r="P912" s="24">
        <v>20040</v>
      </c>
      <c r="Q912" s="28">
        <v>0</v>
      </c>
      <c r="R912" s="29">
        <v>0</v>
      </c>
      <c r="S912" s="29">
        <v>0</v>
      </c>
      <c r="T912" s="29">
        <v>96</v>
      </c>
      <c r="U912" s="30">
        <v>19461</v>
      </c>
    </row>
    <row r="913" spans="2:21" x14ac:dyDescent="0.25">
      <c r="B913" s="31" t="s">
        <v>25</v>
      </c>
      <c r="C913" s="31">
        <v>91</v>
      </c>
      <c r="D913" s="22" t="s">
        <v>104</v>
      </c>
      <c r="E913" s="22" t="s">
        <v>274</v>
      </c>
      <c r="F913" s="22" t="s">
        <v>49</v>
      </c>
      <c r="G913" s="23">
        <v>0</v>
      </c>
      <c r="H913" s="24">
        <v>28560</v>
      </c>
      <c r="I913" s="24">
        <v>0</v>
      </c>
      <c r="J913" s="24">
        <v>891</v>
      </c>
      <c r="K913" s="24">
        <v>0</v>
      </c>
      <c r="L913" s="32">
        <v>252</v>
      </c>
      <c r="M913" s="33">
        <v>0</v>
      </c>
      <c r="N913" s="27">
        <v>0</v>
      </c>
      <c r="O913" s="24">
        <v>28560</v>
      </c>
      <c r="P913" s="24">
        <v>28560</v>
      </c>
      <c r="Q913" s="28">
        <v>0</v>
      </c>
      <c r="R913" s="29">
        <v>0</v>
      </c>
      <c r="S913" s="29">
        <v>0</v>
      </c>
      <c r="T913" s="29">
        <v>251.5</v>
      </c>
      <c r="U913" s="30">
        <v>27417.5</v>
      </c>
    </row>
    <row r="914" spans="2:21" x14ac:dyDescent="0.25">
      <c r="B914" s="31" t="s">
        <v>25</v>
      </c>
      <c r="C914" s="31">
        <v>91</v>
      </c>
      <c r="D914" s="22" t="s">
        <v>108</v>
      </c>
      <c r="E914" s="22" t="s">
        <v>184</v>
      </c>
      <c r="F914" s="22" t="s">
        <v>49</v>
      </c>
      <c r="G914" s="23">
        <v>0</v>
      </c>
      <c r="H914" s="24">
        <v>6992</v>
      </c>
      <c r="I914" s="24">
        <v>0</v>
      </c>
      <c r="J914" s="24">
        <v>776</v>
      </c>
      <c r="K914" s="24">
        <v>0</v>
      </c>
      <c r="L914" s="32">
        <v>284</v>
      </c>
      <c r="M914" s="33">
        <v>0</v>
      </c>
      <c r="N914" s="27">
        <v>0</v>
      </c>
      <c r="O914" s="24">
        <v>6992</v>
      </c>
      <c r="P914" s="24">
        <v>6992</v>
      </c>
      <c r="Q914" s="28">
        <v>0</v>
      </c>
      <c r="R914" s="29">
        <v>0</v>
      </c>
      <c r="S914" s="29">
        <v>0</v>
      </c>
      <c r="T914" s="29">
        <v>283.5</v>
      </c>
      <c r="U914" s="30">
        <v>5932.5</v>
      </c>
    </row>
    <row r="915" spans="2:21" x14ac:dyDescent="0.25">
      <c r="B915" s="31" t="s">
        <v>25</v>
      </c>
      <c r="C915" s="22">
        <v>92</v>
      </c>
      <c r="D915" s="22" t="s">
        <v>112</v>
      </c>
      <c r="E915" s="22" t="s">
        <v>191</v>
      </c>
      <c r="F915" s="22" t="s">
        <v>44</v>
      </c>
      <c r="G915" s="23">
        <v>0</v>
      </c>
      <c r="H915" s="24">
        <v>1600</v>
      </c>
      <c r="I915" s="24">
        <v>0</v>
      </c>
      <c r="J915" s="24">
        <v>1254</v>
      </c>
      <c r="K915" s="24">
        <v>0</v>
      </c>
      <c r="L915" s="32">
        <v>0</v>
      </c>
      <c r="M915" s="33">
        <v>0</v>
      </c>
      <c r="N915" s="27">
        <v>0</v>
      </c>
      <c r="O915" s="24">
        <v>1600</v>
      </c>
      <c r="P915" s="24">
        <v>1600</v>
      </c>
      <c r="Q915" s="28">
        <v>0</v>
      </c>
      <c r="R915" s="29">
        <v>0</v>
      </c>
      <c r="S915" s="29">
        <v>0</v>
      </c>
      <c r="T915" s="29">
        <v>0</v>
      </c>
      <c r="U915" s="30">
        <v>346</v>
      </c>
    </row>
    <row r="916" spans="2:21" x14ac:dyDescent="0.25">
      <c r="B916" s="31" t="s">
        <v>25</v>
      </c>
      <c r="C916" s="31">
        <v>92</v>
      </c>
      <c r="D916" s="22" t="s">
        <v>1002</v>
      </c>
      <c r="E916" s="22" t="s">
        <v>1003</v>
      </c>
      <c r="F916" s="22" t="s">
        <v>44</v>
      </c>
      <c r="G916" s="23">
        <v>0</v>
      </c>
      <c r="H916" s="24">
        <v>0</v>
      </c>
      <c r="I916" s="24">
        <v>0</v>
      </c>
      <c r="J916" s="24">
        <v>0</v>
      </c>
      <c r="K916" s="24">
        <v>0</v>
      </c>
      <c r="L916" s="32">
        <v>0</v>
      </c>
      <c r="M916" s="33">
        <v>0</v>
      </c>
      <c r="N916" s="27">
        <v>0</v>
      </c>
      <c r="O916" s="24">
        <v>0</v>
      </c>
      <c r="P916" s="24">
        <v>0</v>
      </c>
      <c r="Q916" s="28">
        <v>0</v>
      </c>
      <c r="R916" s="29">
        <v>0</v>
      </c>
      <c r="S916" s="29">
        <v>0</v>
      </c>
      <c r="T916" s="29">
        <v>0</v>
      </c>
      <c r="U916" s="30">
        <v>0</v>
      </c>
    </row>
    <row r="917" spans="2:21" x14ac:dyDescent="0.25">
      <c r="B917" s="31" t="s">
        <v>25</v>
      </c>
      <c r="C917" s="22">
        <v>99</v>
      </c>
      <c r="D917" s="22" t="s">
        <v>126</v>
      </c>
      <c r="E917" s="22" t="s">
        <v>127</v>
      </c>
      <c r="F917" s="22" t="s">
        <v>44</v>
      </c>
      <c r="G917" s="23">
        <v>0</v>
      </c>
      <c r="H917" s="24">
        <v>0</v>
      </c>
      <c r="I917" s="24">
        <v>0</v>
      </c>
      <c r="J917" s="24">
        <v>0</v>
      </c>
      <c r="K917" s="24">
        <v>0</v>
      </c>
      <c r="L917" s="32">
        <v>0</v>
      </c>
      <c r="M917" s="33">
        <v>0</v>
      </c>
      <c r="N917" s="27">
        <v>0</v>
      </c>
      <c r="O917" s="24">
        <v>0</v>
      </c>
      <c r="P917" s="24">
        <v>0</v>
      </c>
      <c r="Q917" s="28">
        <v>0</v>
      </c>
      <c r="R917" s="29">
        <v>0</v>
      </c>
      <c r="S917" s="29">
        <v>0</v>
      </c>
      <c r="T917" s="29">
        <v>0</v>
      </c>
      <c r="U917" s="30">
        <v>0</v>
      </c>
    </row>
    <row r="918" spans="2:21" x14ac:dyDescent="0.25">
      <c r="B918" s="31" t="s">
        <v>25</v>
      </c>
      <c r="C918" s="31">
        <v>99</v>
      </c>
      <c r="D918" s="22" t="s">
        <v>1004</v>
      </c>
      <c r="E918" s="22" t="s">
        <v>1005</v>
      </c>
      <c r="F918" s="22" t="s">
        <v>44</v>
      </c>
      <c r="G918" s="23">
        <v>0</v>
      </c>
      <c r="H918" s="24">
        <v>4500</v>
      </c>
      <c r="I918" s="24">
        <v>0</v>
      </c>
      <c r="J918" s="24">
        <v>886.5</v>
      </c>
      <c r="K918" s="24">
        <v>0</v>
      </c>
      <c r="L918" s="32">
        <v>0</v>
      </c>
      <c r="M918" s="33">
        <v>0</v>
      </c>
      <c r="N918" s="27">
        <v>0</v>
      </c>
      <c r="O918" s="24">
        <v>4500</v>
      </c>
      <c r="P918" s="24">
        <v>4500</v>
      </c>
      <c r="Q918" s="28">
        <v>0</v>
      </c>
      <c r="R918" s="29">
        <v>0</v>
      </c>
      <c r="S918" s="29">
        <v>0</v>
      </c>
      <c r="T918" s="29">
        <v>0</v>
      </c>
      <c r="U918" s="30">
        <v>3613.5</v>
      </c>
    </row>
    <row r="919" spans="2:21" x14ac:dyDescent="0.25">
      <c r="B919" s="31" t="s">
        <v>25</v>
      </c>
      <c r="C919" s="31">
        <v>99</v>
      </c>
      <c r="D919" s="22" t="s">
        <v>1006</v>
      </c>
      <c r="E919" s="22" t="s">
        <v>1007</v>
      </c>
      <c r="F919" s="22" t="s">
        <v>44</v>
      </c>
      <c r="G919" s="23">
        <v>0</v>
      </c>
      <c r="H919" s="24">
        <v>-60657</v>
      </c>
      <c r="I919" s="24">
        <v>0</v>
      </c>
      <c r="J919" s="24">
        <v>0</v>
      </c>
      <c r="K919" s="24">
        <v>0</v>
      </c>
      <c r="L919" s="32">
        <v>0</v>
      </c>
      <c r="M919" s="33">
        <v>0</v>
      </c>
      <c r="N919" s="27">
        <v>0</v>
      </c>
      <c r="O919" s="24">
        <v>-60657</v>
      </c>
      <c r="P919" s="24">
        <v>-60657</v>
      </c>
      <c r="Q919" s="28">
        <v>0</v>
      </c>
      <c r="R919" s="29">
        <v>0</v>
      </c>
      <c r="S919" s="29">
        <v>0</v>
      </c>
      <c r="T919" s="29">
        <v>0</v>
      </c>
      <c r="U919" s="30">
        <v>-60657</v>
      </c>
    </row>
    <row r="920" spans="2:21" x14ac:dyDescent="0.25">
      <c r="B920" s="31" t="s">
        <v>25</v>
      </c>
      <c r="C920" s="31">
        <v>99</v>
      </c>
      <c r="D920" s="22" t="s">
        <v>1621</v>
      </c>
      <c r="E920" s="22" t="s">
        <v>1622</v>
      </c>
      <c r="F920" s="22" t="s">
        <v>44</v>
      </c>
      <c r="G920" s="23">
        <v>0</v>
      </c>
      <c r="H920" s="24">
        <v>-12566.6</v>
      </c>
      <c r="I920" s="24">
        <v>0</v>
      </c>
      <c r="J920" s="24">
        <v>0</v>
      </c>
      <c r="K920" s="24">
        <v>0</v>
      </c>
      <c r="L920" s="32">
        <v>0</v>
      </c>
      <c r="M920" s="33">
        <v>0</v>
      </c>
      <c r="N920" s="27">
        <v>0</v>
      </c>
      <c r="O920" s="24">
        <v>0</v>
      </c>
      <c r="P920" s="24">
        <v>0</v>
      </c>
      <c r="Q920" s="28">
        <v>0</v>
      </c>
      <c r="R920" s="29">
        <v>0</v>
      </c>
      <c r="S920" s="29">
        <v>0</v>
      </c>
      <c r="T920" s="29">
        <v>0</v>
      </c>
      <c r="U920" s="30">
        <v>-12566.6</v>
      </c>
    </row>
    <row r="921" spans="2:21" x14ac:dyDescent="0.25">
      <c r="B921" s="22" t="s">
        <v>26</v>
      </c>
      <c r="C921" s="22">
        <v>20</v>
      </c>
      <c r="D921" s="22" t="s">
        <v>31</v>
      </c>
      <c r="E921" s="22" t="s">
        <v>32</v>
      </c>
      <c r="F921" s="22" t="s">
        <v>33</v>
      </c>
      <c r="G921" s="23">
        <v>64530</v>
      </c>
      <c r="H921" s="24">
        <v>21142.58</v>
      </c>
      <c r="I921" s="24">
        <v>5162.3999999999996</v>
      </c>
      <c r="J921" s="24">
        <v>2102.5</v>
      </c>
      <c r="K921" s="24">
        <v>1290.5999999999999</v>
      </c>
      <c r="L921" s="32">
        <v>522</v>
      </c>
      <c r="M921" s="33">
        <v>422.85159999999996</v>
      </c>
      <c r="N921" s="27">
        <v>1691.4063999999998</v>
      </c>
      <c r="O921" s="24">
        <v>21142.58</v>
      </c>
      <c r="P921" s="24">
        <v>21142.58</v>
      </c>
      <c r="Q921" s="28">
        <v>0.08</v>
      </c>
      <c r="R921" s="29">
        <v>0.81</v>
      </c>
      <c r="S921" s="29">
        <v>0.8</v>
      </c>
      <c r="T921" s="29">
        <v>522.5</v>
      </c>
      <c r="U921" s="30">
        <v>18517.580000000002</v>
      </c>
    </row>
    <row r="922" spans="2:21" x14ac:dyDescent="0.25">
      <c r="B922" s="31" t="s">
        <v>26</v>
      </c>
      <c r="C922" s="22">
        <v>21</v>
      </c>
      <c r="D922" s="22" t="s">
        <v>130</v>
      </c>
      <c r="E922" s="22" t="s">
        <v>131</v>
      </c>
      <c r="F922" s="22" t="s">
        <v>33</v>
      </c>
      <c r="G922" s="23">
        <v>45585.66</v>
      </c>
      <c r="H922" s="24">
        <v>31264.959999999999</v>
      </c>
      <c r="I922" s="24">
        <v>2735.14</v>
      </c>
      <c r="J922" s="24">
        <v>2160</v>
      </c>
      <c r="K922" s="24">
        <v>911.71400000000006</v>
      </c>
      <c r="L922" s="32">
        <v>813</v>
      </c>
      <c r="M922" s="33">
        <v>625.29974868061583</v>
      </c>
      <c r="N922" s="27">
        <v>1875.8978743403075</v>
      </c>
      <c r="O922" s="24">
        <v>31264.959999999999</v>
      </c>
      <c r="P922" s="24">
        <v>31264.959999999999</v>
      </c>
      <c r="Q922" s="28">
        <v>0.06</v>
      </c>
      <c r="R922" s="29">
        <v>0.77</v>
      </c>
      <c r="S922" s="29">
        <v>0.87</v>
      </c>
      <c r="T922" s="29">
        <v>812</v>
      </c>
      <c r="U922" s="30">
        <v>28292.959999999999</v>
      </c>
    </row>
    <row r="923" spans="2:21" x14ac:dyDescent="0.25">
      <c r="B923" s="31" t="s">
        <v>26</v>
      </c>
      <c r="C923" s="22">
        <v>22</v>
      </c>
      <c r="D923" s="22" t="s">
        <v>133</v>
      </c>
      <c r="E923" s="22" t="s">
        <v>134</v>
      </c>
      <c r="F923" s="22"/>
      <c r="G923" s="23">
        <v>5928</v>
      </c>
      <c r="H923" s="24">
        <v>6179.09</v>
      </c>
      <c r="I923" s="24">
        <v>0</v>
      </c>
      <c r="J923" s="24">
        <v>0</v>
      </c>
      <c r="K923" s="24">
        <v>0</v>
      </c>
      <c r="L923" s="32">
        <v>0</v>
      </c>
      <c r="M923" s="33">
        <v>0</v>
      </c>
      <c r="N923" s="27">
        <v>0</v>
      </c>
      <c r="O923" s="24">
        <v>6179.09</v>
      </c>
      <c r="P923" s="24">
        <v>6179.09</v>
      </c>
      <c r="Q923" s="28">
        <v>0</v>
      </c>
      <c r="R923" s="29">
        <v>0</v>
      </c>
      <c r="S923" s="29">
        <v>0</v>
      </c>
      <c r="T923" s="29">
        <v>0</v>
      </c>
      <c r="U923" s="30">
        <v>6179.09</v>
      </c>
    </row>
    <row r="924" spans="2:21" x14ac:dyDescent="0.25">
      <c r="B924" s="31" t="s">
        <v>26</v>
      </c>
      <c r="C924" s="22">
        <v>25</v>
      </c>
      <c r="D924" s="22" t="s">
        <v>34</v>
      </c>
      <c r="E924" s="22" t="s">
        <v>35</v>
      </c>
      <c r="F924" s="22" t="s">
        <v>33</v>
      </c>
      <c r="G924" s="23">
        <v>4295</v>
      </c>
      <c r="H924" s="24">
        <v>44684.04</v>
      </c>
      <c r="I924" s="24">
        <v>300.65000000000003</v>
      </c>
      <c r="J924" s="24">
        <v>3111</v>
      </c>
      <c r="K924" s="24">
        <v>64.425000000000011</v>
      </c>
      <c r="L924" s="32">
        <v>838</v>
      </c>
      <c r="M924" s="33">
        <v>670.26060000000018</v>
      </c>
      <c r="N924" s="27">
        <v>3127.8828000000003</v>
      </c>
      <c r="O924" s="24">
        <v>44684.04</v>
      </c>
      <c r="P924" s="24">
        <v>44684.04</v>
      </c>
      <c r="Q924" s="28">
        <v>7.0000000000000007E-2</v>
      </c>
      <c r="R924" s="29">
        <v>0.8</v>
      </c>
      <c r="S924" s="29">
        <v>1.01</v>
      </c>
      <c r="T924" s="29">
        <v>836</v>
      </c>
      <c r="U924" s="30">
        <v>40737.040000000001</v>
      </c>
    </row>
    <row r="925" spans="2:21" x14ac:dyDescent="0.25">
      <c r="B925" s="31" t="s">
        <v>26</v>
      </c>
      <c r="C925" s="31">
        <v>25</v>
      </c>
      <c r="D925" s="22" t="s">
        <v>36</v>
      </c>
      <c r="E925" s="22" t="s">
        <v>37</v>
      </c>
      <c r="F925" s="22" t="s">
        <v>33</v>
      </c>
      <c r="G925" s="23">
        <v>7465.6</v>
      </c>
      <c r="H925" s="24">
        <v>18222.740000000002</v>
      </c>
      <c r="I925" s="24">
        <v>1119.8399999999999</v>
      </c>
      <c r="J925" s="24">
        <v>3951</v>
      </c>
      <c r="K925" s="24">
        <v>485.26400000000001</v>
      </c>
      <c r="L925" s="32">
        <v>1501</v>
      </c>
      <c r="M925" s="33">
        <v>1184.4781</v>
      </c>
      <c r="N925" s="27">
        <v>2733.4110000000001</v>
      </c>
      <c r="O925" s="24">
        <v>18222.740000000002</v>
      </c>
      <c r="P925" s="24">
        <v>18222.740000000002</v>
      </c>
      <c r="Q925" s="28">
        <v>0.15</v>
      </c>
      <c r="R925" s="29">
        <v>0.79</v>
      </c>
      <c r="S925" s="29">
        <v>0.69</v>
      </c>
      <c r="T925" s="29">
        <v>1504.5</v>
      </c>
      <c r="U925" s="30">
        <v>12767.240000000002</v>
      </c>
    </row>
    <row r="926" spans="2:21" x14ac:dyDescent="0.25">
      <c r="B926" s="31" t="s">
        <v>26</v>
      </c>
      <c r="C926" s="31">
        <v>25</v>
      </c>
      <c r="D926" s="22" t="s">
        <v>38</v>
      </c>
      <c r="E926" s="22" t="s">
        <v>39</v>
      </c>
      <c r="F926" s="22" t="s">
        <v>132</v>
      </c>
      <c r="G926" s="23">
        <v>150</v>
      </c>
      <c r="H926" s="24">
        <v>5439.2</v>
      </c>
      <c r="I926" s="24">
        <v>6</v>
      </c>
      <c r="J926" s="24">
        <v>203.5</v>
      </c>
      <c r="K926" s="24">
        <v>0</v>
      </c>
      <c r="L926" s="32">
        <v>39</v>
      </c>
      <c r="M926" s="33">
        <v>0</v>
      </c>
      <c r="N926" s="27">
        <v>217.56799999999998</v>
      </c>
      <c r="O926" s="24">
        <v>5439.2</v>
      </c>
      <c r="P926" s="24">
        <v>5439.2</v>
      </c>
      <c r="Q926" s="28">
        <v>0.04</v>
      </c>
      <c r="R926" s="29">
        <v>0</v>
      </c>
      <c r="S926" s="29">
        <v>1.07</v>
      </c>
      <c r="T926" s="29">
        <v>39</v>
      </c>
      <c r="U926" s="30">
        <v>5196.7</v>
      </c>
    </row>
    <row r="927" spans="2:21" x14ac:dyDescent="0.25">
      <c r="B927" s="31" t="s">
        <v>26</v>
      </c>
      <c r="C927" s="22">
        <v>26</v>
      </c>
      <c r="D927" s="22" t="s">
        <v>40</v>
      </c>
      <c r="E927" s="22" t="s">
        <v>41</v>
      </c>
      <c r="F927" s="22" t="s">
        <v>1623</v>
      </c>
      <c r="G927" s="23">
        <v>0.32000000000005002</v>
      </c>
      <c r="H927" s="24">
        <v>2.430000000000291</v>
      </c>
      <c r="I927" s="24">
        <v>11.926</v>
      </c>
      <c r="J927" s="24">
        <v>316</v>
      </c>
      <c r="K927" s="24">
        <v>0</v>
      </c>
      <c r="L927" s="32">
        <v>0</v>
      </c>
      <c r="M927" s="33">
        <v>0</v>
      </c>
      <c r="N927" s="27">
        <v>90.563062500000001</v>
      </c>
      <c r="O927" s="24">
        <v>2.430000000000291</v>
      </c>
      <c r="P927" s="24">
        <v>8.4789535468737043</v>
      </c>
      <c r="Q927" s="28">
        <v>37.270000000000003</v>
      </c>
      <c r="R927" s="29">
        <v>0</v>
      </c>
      <c r="S927" s="29">
        <v>0.28999999999999998</v>
      </c>
      <c r="T927" s="29">
        <v>0</v>
      </c>
      <c r="U927" s="30">
        <v>-313.56999999999971</v>
      </c>
    </row>
    <row r="928" spans="2:21" x14ac:dyDescent="0.25">
      <c r="B928" s="31" t="s">
        <v>26</v>
      </c>
      <c r="C928" s="31">
        <v>26</v>
      </c>
      <c r="D928" s="22" t="s">
        <v>42</v>
      </c>
      <c r="E928" s="22" t="s">
        <v>43</v>
      </c>
      <c r="F928" s="22"/>
      <c r="G928" s="23">
        <v>195</v>
      </c>
      <c r="H928" s="24">
        <v>2377.0500000000002</v>
      </c>
      <c r="I928" s="24">
        <v>0</v>
      </c>
      <c r="J928" s="24">
        <v>0</v>
      </c>
      <c r="K928" s="24">
        <v>0</v>
      </c>
      <c r="L928" s="32">
        <v>0</v>
      </c>
      <c r="M928" s="33">
        <v>0</v>
      </c>
      <c r="N928" s="27">
        <v>0</v>
      </c>
      <c r="O928" s="24">
        <v>2377.0500000000002</v>
      </c>
      <c r="P928" s="24">
        <v>2377.0500000000002</v>
      </c>
      <c r="Q928" s="28">
        <v>0</v>
      </c>
      <c r="R928" s="29">
        <v>0</v>
      </c>
      <c r="S928" s="29">
        <v>0</v>
      </c>
      <c r="T928" s="29">
        <v>0</v>
      </c>
      <c r="U928" s="30">
        <v>2377.0500000000002</v>
      </c>
    </row>
    <row r="929" spans="2:21" x14ac:dyDescent="0.25">
      <c r="B929" s="31" t="s">
        <v>26</v>
      </c>
      <c r="C929" s="31">
        <v>26</v>
      </c>
      <c r="D929" s="22" t="s">
        <v>45</v>
      </c>
      <c r="E929" s="22" t="s">
        <v>46</v>
      </c>
      <c r="F929" s="22"/>
      <c r="G929" s="23">
        <v>50</v>
      </c>
      <c r="H929" s="24">
        <v>609.5</v>
      </c>
      <c r="I929" s="24">
        <v>0</v>
      </c>
      <c r="J929" s="24">
        <v>0</v>
      </c>
      <c r="K929" s="24">
        <v>0</v>
      </c>
      <c r="L929" s="32">
        <v>0</v>
      </c>
      <c r="M929" s="33">
        <v>0</v>
      </c>
      <c r="N929" s="27">
        <v>0</v>
      </c>
      <c r="O929" s="24">
        <v>609.5</v>
      </c>
      <c r="P929" s="24">
        <v>609.5</v>
      </c>
      <c r="Q929" s="28">
        <v>0</v>
      </c>
      <c r="R929" s="29">
        <v>0</v>
      </c>
      <c r="S929" s="29">
        <v>0</v>
      </c>
      <c r="T929" s="29">
        <v>0</v>
      </c>
      <c r="U929" s="30">
        <v>609.5</v>
      </c>
    </row>
    <row r="930" spans="2:21" x14ac:dyDescent="0.25">
      <c r="B930" s="31" t="s">
        <v>26</v>
      </c>
      <c r="C930" s="31">
        <v>26</v>
      </c>
      <c r="D930" s="22" t="s">
        <v>47</v>
      </c>
      <c r="E930" s="22" t="s">
        <v>48</v>
      </c>
      <c r="F930" s="22" t="s">
        <v>33</v>
      </c>
      <c r="G930" s="23">
        <v>200</v>
      </c>
      <c r="H930" s="24">
        <v>2438</v>
      </c>
      <c r="I930" s="24">
        <v>40</v>
      </c>
      <c r="J930" s="24">
        <v>514</v>
      </c>
      <c r="K930" s="24">
        <v>40</v>
      </c>
      <c r="L930" s="32">
        <v>131</v>
      </c>
      <c r="M930" s="33">
        <v>487.6</v>
      </c>
      <c r="N930" s="27">
        <v>487.6</v>
      </c>
      <c r="O930" s="24">
        <v>2438</v>
      </c>
      <c r="P930" s="24">
        <v>2438</v>
      </c>
      <c r="Q930" s="28">
        <v>0.2</v>
      </c>
      <c r="R930" s="29">
        <v>3.72</v>
      </c>
      <c r="S930" s="29">
        <v>0.95</v>
      </c>
      <c r="T930" s="29">
        <v>130.5</v>
      </c>
      <c r="U930" s="30">
        <v>1793.5</v>
      </c>
    </row>
    <row r="931" spans="2:21" x14ac:dyDescent="0.25">
      <c r="B931" s="31" t="s">
        <v>26</v>
      </c>
      <c r="C931" s="31">
        <v>26</v>
      </c>
      <c r="D931" s="22" t="s">
        <v>50</v>
      </c>
      <c r="E931" s="22" t="s">
        <v>51</v>
      </c>
      <c r="F931" s="22"/>
      <c r="G931" s="23">
        <v>151</v>
      </c>
      <c r="H931" s="24">
        <v>1840.69</v>
      </c>
      <c r="I931" s="24">
        <v>0</v>
      </c>
      <c r="J931" s="24">
        <v>0</v>
      </c>
      <c r="K931" s="24">
        <v>0</v>
      </c>
      <c r="L931" s="32">
        <v>0</v>
      </c>
      <c r="M931" s="33">
        <v>0</v>
      </c>
      <c r="N931" s="27">
        <v>0</v>
      </c>
      <c r="O931" s="24">
        <v>1840.69</v>
      </c>
      <c r="P931" s="24">
        <v>1840.69</v>
      </c>
      <c r="Q931" s="28">
        <v>0</v>
      </c>
      <c r="R931" s="29">
        <v>0</v>
      </c>
      <c r="S931" s="29">
        <v>0</v>
      </c>
      <c r="T931" s="29">
        <v>0</v>
      </c>
      <c r="U931" s="30">
        <v>1840.69</v>
      </c>
    </row>
    <row r="932" spans="2:21" x14ac:dyDescent="0.25">
      <c r="B932" s="31" t="s">
        <v>26</v>
      </c>
      <c r="C932" s="22">
        <v>27</v>
      </c>
      <c r="D932" s="22" t="s">
        <v>52</v>
      </c>
      <c r="E932" s="22" t="s">
        <v>53</v>
      </c>
      <c r="F932" s="22"/>
      <c r="G932" s="23">
        <v>5400</v>
      </c>
      <c r="H932" s="24">
        <v>9450</v>
      </c>
      <c r="I932" s="24">
        <v>27</v>
      </c>
      <c r="J932" s="24">
        <v>47.5</v>
      </c>
      <c r="K932" s="24">
        <v>0</v>
      </c>
      <c r="L932" s="32">
        <v>0</v>
      </c>
      <c r="M932" s="33">
        <v>0</v>
      </c>
      <c r="N932" s="27">
        <v>47.25</v>
      </c>
      <c r="O932" s="24">
        <v>9450</v>
      </c>
      <c r="P932" s="24">
        <v>9450</v>
      </c>
      <c r="Q932" s="28">
        <v>0.01</v>
      </c>
      <c r="R932" s="29">
        <v>0</v>
      </c>
      <c r="S932" s="29">
        <v>0.99</v>
      </c>
      <c r="T932" s="29">
        <v>0</v>
      </c>
      <c r="U932" s="30">
        <v>9402.5</v>
      </c>
    </row>
    <row r="933" spans="2:21" x14ac:dyDescent="0.25">
      <c r="B933" s="31" t="s">
        <v>26</v>
      </c>
      <c r="C933" s="31">
        <v>27</v>
      </c>
      <c r="D933" s="22" t="s">
        <v>55</v>
      </c>
      <c r="E933" s="22" t="s">
        <v>56</v>
      </c>
      <c r="F933" s="22" t="s">
        <v>44</v>
      </c>
      <c r="G933" s="23">
        <v>0</v>
      </c>
      <c r="H933" s="24">
        <v>0</v>
      </c>
      <c r="I933" s="24">
        <v>0</v>
      </c>
      <c r="J933" s="24">
        <v>0</v>
      </c>
      <c r="K933" s="24">
        <v>0</v>
      </c>
      <c r="L933" s="32">
        <v>0</v>
      </c>
      <c r="M933" s="33">
        <v>0</v>
      </c>
      <c r="N933" s="27">
        <v>0</v>
      </c>
      <c r="O933" s="24">
        <v>0</v>
      </c>
      <c r="P933" s="24">
        <v>0</v>
      </c>
      <c r="Q933" s="28">
        <v>0</v>
      </c>
      <c r="R933" s="29">
        <v>0</v>
      </c>
      <c r="S933" s="29">
        <v>0</v>
      </c>
      <c r="T933" s="29">
        <v>0</v>
      </c>
      <c r="U933" s="30">
        <v>0</v>
      </c>
    </row>
    <row r="934" spans="2:21" x14ac:dyDescent="0.25">
      <c r="B934" s="31" t="s">
        <v>26</v>
      </c>
      <c r="C934" s="22">
        <v>30</v>
      </c>
      <c r="D934" s="22" t="s">
        <v>57</v>
      </c>
      <c r="E934" s="22" t="s">
        <v>58</v>
      </c>
      <c r="F934" s="22"/>
      <c r="G934" s="23">
        <v>1933.3000000000002</v>
      </c>
      <c r="H934" s="24">
        <v>36302.370000000003</v>
      </c>
      <c r="I934" s="24">
        <v>0</v>
      </c>
      <c r="J934" s="24">
        <v>0</v>
      </c>
      <c r="K934" s="24">
        <v>0</v>
      </c>
      <c r="L934" s="32">
        <v>0</v>
      </c>
      <c r="M934" s="33">
        <v>0</v>
      </c>
      <c r="N934" s="27">
        <v>0</v>
      </c>
      <c r="O934" s="24">
        <v>36302.370000000003</v>
      </c>
      <c r="P934" s="24">
        <v>36302.370000000003</v>
      </c>
      <c r="Q934" s="28">
        <v>0</v>
      </c>
      <c r="R934" s="29">
        <v>0</v>
      </c>
      <c r="S934" s="29">
        <v>0</v>
      </c>
      <c r="T934" s="29">
        <v>0</v>
      </c>
      <c r="U934" s="30">
        <v>36302.370000000003</v>
      </c>
    </row>
    <row r="935" spans="2:21" x14ac:dyDescent="0.25">
      <c r="B935" s="31" t="s">
        <v>26</v>
      </c>
      <c r="C935" s="31">
        <v>30</v>
      </c>
      <c r="D935" s="22" t="s">
        <v>59</v>
      </c>
      <c r="E935" s="22" t="s">
        <v>60</v>
      </c>
      <c r="F935" s="22" t="s">
        <v>33</v>
      </c>
      <c r="G935" s="23">
        <v>742</v>
      </c>
      <c r="H935" s="24">
        <v>14840</v>
      </c>
      <c r="I935" s="24">
        <v>667.8</v>
      </c>
      <c r="J935" s="24">
        <v>6131</v>
      </c>
      <c r="K935" s="24">
        <v>667.8</v>
      </c>
      <c r="L935" s="32">
        <v>5975</v>
      </c>
      <c r="M935" s="33">
        <v>13355.999999999998</v>
      </c>
      <c r="N935" s="27">
        <v>13355.999999999998</v>
      </c>
      <c r="O935" s="24">
        <v>14840</v>
      </c>
      <c r="P935" s="24">
        <v>6812.2222222222226</v>
      </c>
      <c r="Q935" s="28">
        <v>0.9</v>
      </c>
      <c r="R935" s="29">
        <v>2.2400000000000002</v>
      </c>
      <c r="S935" s="29">
        <v>2.1800000000000002</v>
      </c>
      <c r="T935" s="29">
        <v>0</v>
      </c>
      <c r="U935" s="30">
        <v>8709</v>
      </c>
    </row>
    <row r="936" spans="2:21" x14ac:dyDescent="0.25">
      <c r="B936" s="31" t="s">
        <v>26</v>
      </c>
      <c r="C936" s="31">
        <v>30</v>
      </c>
      <c r="D936" s="22" t="s">
        <v>61</v>
      </c>
      <c r="E936" s="22" t="s">
        <v>62</v>
      </c>
      <c r="F936" s="22" t="s">
        <v>132</v>
      </c>
      <c r="G936" s="23">
        <v>567</v>
      </c>
      <c r="H936" s="24">
        <v>11340</v>
      </c>
      <c r="I936" s="24">
        <v>0</v>
      </c>
      <c r="J936" s="24">
        <v>267.5</v>
      </c>
      <c r="K936" s="24">
        <v>0</v>
      </c>
      <c r="L936" s="32">
        <v>263</v>
      </c>
      <c r="M936" s="33">
        <v>0</v>
      </c>
      <c r="N936" s="27">
        <v>0</v>
      </c>
      <c r="O936" s="24">
        <v>11340</v>
      </c>
      <c r="P936" s="24">
        <v>11340</v>
      </c>
      <c r="Q936" s="28">
        <v>0</v>
      </c>
      <c r="R936" s="29">
        <v>0</v>
      </c>
      <c r="S936" s="29">
        <v>0</v>
      </c>
      <c r="T936" s="29">
        <v>267.5</v>
      </c>
      <c r="U936" s="30">
        <v>10805</v>
      </c>
    </row>
    <row r="937" spans="2:21" x14ac:dyDescent="0.25">
      <c r="B937" s="31" t="s">
        <v>26</v>
      </c>
      <c r="C937" s="22">
        <v>45</v>
      </c>
      <c r="D937" s="22" t="s">
        <v>63</v>
      </c>
      <c r="E937" s="22" t="s">
        <v>64</v>
      </c>
      <c r="F937" s="22"/>
      <c r="G937" s="23">
        <v>1566</v>
      </c>
      <c r="H937" s="24">
        <v>25112</v>
      </c>
      <c r="I937" s="24">
        <v>0</v>
      </c>
      <c r="J937" s="24">
        <v>0</v>
      </c>
      <c r="K937" s="24">
        <v>0</v>
      </c>
      <c r="L937" s="32">
        <v>0</v>
      </c>
      <c r="M937" s="33">
        <v>0</v>
      </c>
      <c r="N937" s="27">
        <v>0</v>
      </c>
      <c r="O937" s="24">
        <v>25112</v>
      </c>
      <c r="P937" s="24">
        <v>25112</v>
      </c>
      <c r="Q937" s="28">
        <v>0</v>
      </c>
      <c r="R937" s="29">
        <v>0</v>
      </c>
      <c r="S937" s="29">
        <v>0</v>
      </c>
      <c r="T937" s="29">
        <v>0</v>
      </c>
      <c r="U937" s="30">
        <v>25112</v>
      </c>
    </row>
    <row r="938" spans="2:21" x14ac:dyDescent="0.25">
      <c r="B938" s="31" t="s">
        <v>26</v>
      </c>
      <c r="C938" s="31">
        <v>45</v>
      </c>
      <c r="D938" s="22" t="s">
        <v>65</v>
      </c>
      <c r="E938" s="22" t="s">
        <v>66</v>
      </c>
      <c r="F938" s="22"/>
      <c r="G938" s="23">
        <v>1052</v>
      </c>
      <c r="H938" s="24">
        <v>10520</v>
      </c>
      <c r="I938" s="24">
        <v>0</v>
      </c>
      <c r="J938" s="24">
        <v>0</v>
      </c>
      <c r="K938" s="24">
        <v>0</v>
      </c>
      <c r="L938" s="32">
        <v>0</v>
      </c>
      <c r="M938" s="33">
        <v>0</v>
      </c>
      <c r="N938" s="27">
        <v>0</v>
      </c>
      <c r="O938" s="24">
        <v>10520</v>
      </c>
      <c r="P938" s="24">
        <v>10520</v>
      </c>
      <c r="Q938" s="28">
        <v>0</v>
      </c>
      <c r="R938" s="29">
        <v>0</v>
      </c>
      <c r="S938" s="29">
        <v>0</v>
      </c>
      <c r="T938" s="29">
        <v>0</v>
      </c>
      <c r="U938" s="30">
        <v>10520</v>
      </c>
    </row>
    <row r="939" spans="2:21" x14ac:dyDescent="0.25">
      <c r="B939" s="31" t="s">
        <v>26</v>
      </c>
      <c r="C939" s="31">
        <v>45</v>
      </c>
      <c r="D939" s="22" t="s">
        <v>67</v>
      </c>
      <c r="E939" s="22" t="s">
        <v>68</v>
      </c>
      <c r="F939" s="22"/>
      <c r="G939" s="23">
        <v>96</v>
      </c>
      <c r="H939" s="24">
        <v>17760</v>
      </c>
      <c r="I939" s="24">
        <v>0</v>
      </c>
      <c r="J939" s="24">
        <v>0</v>
      </c>
      <c r="K939" s="24">
        <v>0</v>
      </c>
      <c r="L939" s="32">
        <v>0</v>
      </c>
      <c r="M939" s="33">
        <v>0</v>
      </c>
      <c r="N939" s="27">
        <v>0</v>
      </c>
      <c r="O939" s="24">
        <v>17760</v>
      </c>
      <c r="P939" s="24">
        <v>17760</v>
      </c>
      <c r="Q939" s="28">
        <v>0</v>
      </c>
      <c r="R939" s="29">
        <v>0</v>
      </c>
      <c r="S939" s="29">
        <v>0</v>
      </c>
      <c r="T939" s="29">
        <v>0</v>
      </c>
      <c r="U939" s="30">
        <v>17760</v>
      </c>
    </row>
    <row r="940" spans="2:21" x14ac:dyDescent="0.25">
      <c r="B940" s="31" t="s">
        <v>26</v>
      </c>
      <c r="C940" s="22">
        <v>50</v>
      </c>
      <c r="D940" s="22" t="s">
        <v>69</v>
      </c>
      <c r="E940" s="22" t="s">
        <v>70</v>
      </c>
      <c r="F940" s="22" t="s">
        <v>44</v>
      </c>
      <c r="G940" s="23">
        <v>0</v>
      </c>
      <c r="H940" s="24">
        <v>-0.30999999999767169</v>
      </c>
      <c r="I940" s="24">
        <v>0</v>
      </c>
      <c r="J940" s="24">
        <v>0</v>
      </c>
      <c r="K940" s="24">
        <v>0</v>
      </c>
      <c r="L940" s="32">
        <v>0</v>
      </c>
      <c r="M940" s="33">
        <v>0</v>
      </c>
      <c r="N940" s="27">
        <v>0</v>
      </c>
      <c r="O940" s="24">
        <v>0</v>
      </c>
      <c r="P940" s="24">
        <v>0</v>
      </c>
      <c r="Q940" s="28">
        <v>0</v>
      </c>
      <c r="R940" s="29">
        <v>0</v>
      </c>
      <c r="S940" s="29">
        <v>0</v>
      </c>
      <c r="T940" s="29">
        <v>0</v>
      </c>
      <c r="U940" s="30">
        <v>-0.30999999999767169</v>
      </c>
    </row>
    <row r="941" spans="2:21" x14ac:dyDescent="0.25">
      <c r="B941" s="31" t="s">
        <v>26</v>
      </c>
      <c r="C941" s="31">
        <v>50</v>
      </c>
      <c r="D941" s="22" t="s">
        <v>71</v>
      </c>
      <c r="E941" s="22" t="s">
        <v>1624</v>
      </c>
      <c r="F941" s="22" t="s">
        <v>33</v>
      </c>
      <c r="G941" s="23">
        <v>63983</v>
      </c>
      <c r="H941" s="24">
        <v>50341.5</v>
      </c>
      <c r="I941" s="24">
        <v>15995.75</v>
      </c>
      <c r="J941" s="24">
        <v>12692.5</v>
      </c>
      <c r="K941" s="24">
        <v>15995.75</v>
      </c>
      <c r="L941" s="32">
        <v>1956</v>
      </c>
      <c r="M941" s="33">
        <v>12585.375</v>
      </c>
      <c r="N941" s="27">
        <v>12585.375</v>
      </c>
      <c r="O941" s="24">
        <v>50341.5</v>
      </c>
      <c r="P941" s="24">
        <v>50341.5</v>
      </c>
      <c r="Q941" s="28">
        <v>0.25</v>
      </c>
      <c r="R941" s="29">
        <v>6.43</v>
      </c>
      <c r="S941" s="29">
        <v>0.99</v>
      </c>
      <c r="T941" s="29">
        <v>1955</v>
      </c>
      <c r="U941" s="30">
        <v>35694</v>
      </c>
    </row>
    <row r="942" spans="2:21" x14ac:dyDescent="0.25">
      <c r="B942" s="31" t="s">
        <v>26</v>
      </c>
      <c r="C942" s="31">
        <v>50</v>
      </c>
      <c r="D942" s="22" t="s">
        <v>72</v>
      </c>
      <c r="E942" s="22" t="s">
        <v>1305</v>
      </c>
      <c r="F942" s="22" t="s">
        <v>132</v>
      </c>
      <c r="G942" s="23">
        <v>63983</v>
      </c>
      <c r="H942" s="24">
        <v>113392.9</v>
      </c>
      <c r="I942" s="24">
        <v>0</v>
      </c>
      <c r="J942" s="24">
        <v>13</v>
      </c>
      <c r="K942" s="24">
        <v>0</v>
      </c>
      <c r="L942" s="32">
        <v>13</v>
      </c>
      <c r="M942" s="33">
        <v>0</v>
      </c>
      <c r="N942" s="27">
        <v>0</v>
      </c>
      <c r="O942" s="24">
        <v>113392.9</v>
      </c>
      <c r="P942" s="24">
        <v>113392.9</v>
      </c>
      <c r="Q942" s="28">
        <v>0</v>
      </c>
      <c r="R942" s="29">
        <v>0</v>
      </c>
      <c r="S942" s="29">
        <v>0</v>
      </c>
      <c r="T942" s="29">
        <v>13</v>
      </c>
      <c r="U942" s="30">
        <v>113366.9</v>
      </c>
    </row>
    <row r="943" spans="2:21" x14ac:dyDescent="0.25">
      <c r="B943" s="31" t="s">
        <v>26</v>
      </c>
      <c r="C943" s="31">
        <v>50</v>
      </c>
      <c r="D943" s="22" t="s">
        <v>1306</v>
      </c>
      <c r="E943" s="22" t="s">
        <v>1307</v>
      </c>
      <c r="F943" s="22"/>
      <c r="G943" s="23">
        <v>60267</v>
      </c>
      <c r="H943" s="24">
        <v>47318.15</v>
      </c>
      <c r="I943" s="24">
        <v>0</v>
      </c>
      <c r="J943" s="24">
        <v>0</v>
      </c>
      <c r="K943" s="24">
        <v>0</v>
      </c>
      <c r="L943" s="32">
        <v>0</v>
      </c>
      <c r="M943" s="33">
        <v>0</v>
      </c>
      <c r="N943" s="27">
        <v>0</v>
      </c>
      <c r="O943" s="24">
        <v>47318.15</v>
      </c>
      <c r="P943" s="24">
        <v>47318.15</v>
      </c>
      <c r="Q943" s="28">
        <v>0</v>
      </c>
      <c r="R943" s="29">
        <v>0</v>
      </c>
      <c r="S943" s="29">
        <v>0</v>
      </c>
      <c r="T943" s="29">
        <v>0</v>
      </c>
      <c r="U943" s="30">
        <v>47318.15</v>
      </c>
    </row>
    <row r="944" spans="2:21" x14ac:dyDescent="0.25">
      <c r="B944" s="31" t="s">
        <v>26</v>
      </c>
      <c r="C944" s="31">
        <v>50</v>
      </c>
      <c r="D944" s="22" t="s">
        <v>1625</v>
      </c>
      <c r="E944" s="22" t="s">
        <v>1626</v>
      </c>
      <c r="F944" s="22"/>
      <c r="G944" s="23">
        <v>60267</v>
      </c>
      <c r="H944" s="24">
        <v>106753.7</v>
      </c>
      <c r="I944" s="24">
        <v>0</v>
      </c>
      <c r="J944" s="24">
        <v>0</v>
      </c>
      <c r="K944" s="24">
        <v>0</v>
      </c>
      <c r="L944" s="32">
        <v>0</v>
      </c>
      <c r="M944" s="33">
        <v>0</v>
      </c>
      <c r="N944" s="27">
        <v>0</v>
      </c>
      <c r="O944" s="24">
        <v>106753.7</v>
      </c>
      <c r="P944" s="24">
        <v>106753.7</v>
      </c>
      <c r="Q944" s="28">
        <v>0</v>
      </c>
      <c r="R944" s="29">
        <v>0</v>
      </c>
      <c r="S944" s="29">
        <v>0</v>
      </c>
      <c r="T944" s="29">
        <v>0</v>
      </c>
      <c r="U944" s="30">
        <v>106753.7</v>
      </c>
    </row>
    <row r="945" spans="2:21" x14ac:dyDescent="0.25">
      <c r="B945" s="31" t="s">
        <v>26</v>
      </c>
      <c r="C945" s="22">
        <v>51</v>
      </c>
      <c r="D945" s="22" t="s">
        <v>73</v>
      </c>
      <c r="E945" s="22" t="s">
        <v>74</v>
      </c>
      <c r="F945" s="22" t="s">
        <v>44</v>
      </c>
      <c r="G945" s="23">
        <v>0</v>
      </c>
      <c r="H945" s="24">
        <v>9.9999999991268851E-2</v>
      </c>
      <c r="I945" s="24">
        <v>0</v>
      </c>
      <c r="J945" s="24">
        <v>0</v>
      </c>
      <c r="K945" s="24">
        <v>0</v>
      </c>
      <c r="L945" s="32">
        <v>0</v>
      </c>
      <c r="M945" s="33">
        <v>0</v>
      </c>
      <c r="N945" s="27">
        <v>0</v>
      </c>
      <c r="O945" s="24">
        <v>9.9999999991268851E-2</v>
      </c>
      <c r="P945" s="24">
        <v>9.9999999991268851E-2</v>
      </c>
      <c r="Q945" s="28">
        <v>0</v>
      </c>
      <c r="R945" s="29">
        <v>0</v>
      </c>
      <c r="S945" s="29">
        <v>0</v>
      </c>
      <c r="T945" s="29">
        <v>0</v>
      </c>
      <c r="U945" s="30">
        <v>9.9999999991268851E-2</v>
      </c>
    </row>
    <row r="946" spans="2:21" x14ac:dyDescent="0.25">
      <c r="B946" s="31" t="s">
        <v>26</v>
      </c>
      <c r="C946" s="31">
        <v>51</v>
      </c>
      <c r="D946" s="22" t="s">
        <v>75</v>
      </c>
      <c r="E946" s="22" t="s">
        <v>1308</v>
      </c>
      <c r="F946" s="22"/>
      <c r="G946" s="23">
        <v>15409</v>
      </c>
      <c r="H946" s="24">
        <v>56175.65</v>
      </c>
      <c r="I946" s="24">
        <v>0</v>
      </c>
      <c r="J946" s="24">
        <v>0</v>
      </c>
      <c r="K946" s="24">
        <v>0</v>
      </c>
      <c r="L946" s="32">
        <v>0</v>
      </c>
      <c r="M946" s="33">
        <v>0</v>
      </c>
      <c r="N946" s="27">
        <v>0</v>
      </c>
      <c r="O946" s="24">
        <v>56175.65</v>
      </c>
      <c r="P946" s="24">
        <v>56175.65</v>
      </c>
      <c r="Q946" s="28">
        <v>0</v>
      </c>
      <c r="R946" s="29">
        <v>0</v>
      </c>
      <c r="S946" s="29">
        <v>0</v>
      </c>
      <c r="T946" s="29">
        <v>0</v>
      </c>
      <c r="U946" s="30">
        <v>56175.65</v>
      </c>
    </row>
    <row r="947" spans="2:21" x14ac:dyDescent="0.25">
      <c r="B947" s="31" t="s">
        <v>26</v>
      </c>
      <c r="C947" s="31">
        <v>51</v>
      </c>
      <c r="D947" s="22" t="s">
        <v>1309</v>
      </c>
      <c r="E947" s="22" t="s">
        <v>1310</v>
      </c>
      <c r="F947" s="22"/>
      <c r="G947" s="23">
        <v>15409</v>
      </c>
      <c r="H947" s="24">
        <v>53553.39</v>
      </c>
      <c r="I947" s="24">
        <v>0</v>
      </c>
      <c r="J947" s="24">
        <v>0</v>
      </c>
      <c r="K947" s="24">
        <v>0</v>
      </c>
      <c r="L947" s="32">
        <v>0</v>
      </c>
      <c r="M947" s="33">
        <v>0</v>
      </c>
      <c r="N947" s="27">
        <v>0</v>
      </c>
      <c r="O947" s="24">
        <v>53553.39</v>
      </c>
      <c r="P947" s="24">
        <v>53553.39</v>
      </c>
      <c r="Q947" s="28">
        <v>0</v>
      </c>
      <c r="R947" s="29">
        <v>0</v>
      </c>
      <c r="S947" s="29">
        <v>0</v>
      </c>
      <c r="T947" s="29">
        <v>0</v>
      </c>
      <c r="U947" s="30">
        <v>53553.39</v>
      </c>
    </row>
    <row r="948" spans="2:21" x14ac:dyDescent="0.25">
      <c r="B948" s="31" t="s">
        <v>26</v>
      </c>
      <c r="C948" s="22">
        <v>52</v>
      </c>
      <c r="D948" s="22" t="s">
        <v>76</v>
      </c>
      <c r="E948" s="22" t="s">
        <v>77</v>
      </c>
      <c r="F948" s="22"/>
      <c r="G948" s="23">
        <v>52</v>
      </c>
      <c r="H948" s="24">
        <v>2444</v>
      </c>
      <c r="I948" s="24">
        <v>0</v>
      </c>
      <c r="J948" s="24">
        <v>0</v>
      </c>
      <c r="K948" s="24">
        <v>0</v>
      </c>
      <c r="L948" s="32">
        <v>0</v>
      </c>
      <c r="M948" s="33">
        <v>0</v>
      </c>
      <c r="N948" s="27">
        <v>0</v>
      </c>
      <c r="O948" s="24">
        <v>2444</v>
      </c>
      <c r="P948" s="24">
        <v>2444</v>
      </c>
      <c r="Q948" s="28">
        <v>0</v>
      </c>
      <c r="R948" s="29">
        <v>0</v>
      </c>
      <c r="S948" s="29">
        <v>0</v>
      </c>
      <c r="T948" s="29">
        <v>0</v>
      </c>
      <c r="U948" s="30">
        <v>2444</v>
      </c>
    </row>
    <row r="949" spans="2:21" x14ac:dyDescent="0.25">
      <c r="B949" s="31" t="s">
        <v>26</v>
      </c>
      <c r="C949" s="22">
        <v>55</v>
      </c>
      <c r="D949" s="22" t="s">
        <v>78</v>
      </c>
      <c r="E949" s="22" t="s">
        <v>79</v>
      </c>
      <c r="F949" s="22"/>
      <c r="G949" s="23">
        <v>9715</v>
      </c>
      <c r="H949" s="24">
        <v>36613.18</v>
      </c>
      <c r="I949" s="24">
        <v>0</v>
      </c>
      <c r="J949" s="24">
        <v>0</v>
      </c>
      <c r="K949" s="24">
        <v>0</v>
      </c>
      <c r="L949" s="32">
        <v>0</v>
      </c>
      <c r="M949" s="33">
        <v>0</v>
      </c>
      <c r="N949" s="27">
        <v>0</v>
      </c>
      <c r="O949" s="24">
        <v>36613.18</v>
      </c>
      <c r="P949" s="24">
        <v>36613.18</v>
      </c>
      <c r="Q949" s="28">
        <v>0</v>
      </c>
      <c r="R949" s="29">
        <v>0</v>
      </c>
      <c r="S949" s="29">
        <v>0</v>
      </c>
      <c r="T949" s="29">
        <v>0</v>
      </c>
      <c r="U949" s="30">
        <v>36613.18</v>
      </c>
    </row>
    <row r="950" spans="2:21" x14ac:dyDescent="0.25">
      <c r="B950" s="31" t="s">
        <v>26</v>
      </c>
      <c r="C950" s="31">
        <v>55</v>
      </c>
      <c r="D950" s="22" t="s">
        <v>80</v>
      </c>
      <c r="E950" s="22" t="s">
        <v>81</v>
      </c>
      <c r="F950" s="22" t="s">
        <v>44</v>
      </c>
      <c r="G950" s="23">
        <v>0</v>
      </c>
      <c r="H950" s="24">
        <v>0</v>
      </c>
      <c r="I950" s="24">
        <v>0</v>
      </c>
      <c r="J950" s="24">
        <v>0</v>
      </c>
      <c r="K950" s="24">
        <v>0</v>
      </c>
      <c r="L950" s="32">
        <v>0</v>
      </c>
      <c r="M950" s="33">
        <v>0</v>
      </c>
      <c r="N950" s="27">
        <v>0</v>
      </c>
      <c r="O950" s="24">
        <v>0</v>
      </c>
      <c r="P950" s="24">
        <v>0</v>
      </c>
      <c r="Q950" s="28">
        <v>0</v>
      </c>
      <c r="R950" s="29">
        <v>0</v>
      </c>
      <c r="S950" s="29">
        <v>0</v>
      </c>
      <c r="T950" s="29">
        <v>0</v>
      </c>
      <c r="U950" s="30">
        <v>0</v>
      </c>
    </row>
    <row r="951" spans="2:21" x14ac:dyDescent="0.25">
      <c r="B951" s="31" t="s">
        <v>26</v>
      </c>
      <c r="C951" s="22">
        <v>58</v>
      </c>
      <c r="D951" s="22" t="s">
        <v>128</v>
      </c>
      <c r="E951" s="22" t="s">
        <v>129</v>
      </c>
      <c r="F951" s="22"/>
      <c r="G951" s="23">
        <v>11491.8</v>
      </c>
      <c r="H951" s="24">
        <v>9480.74</v>
      </c>
      <c r="I951" s="24">
        <v>0</v>
      </c>
      <c r="J951" s="24">
        <v>0</v>
      </c>
      <c r="K951" s="24">
        <v>0</v>
      </c>
      <c r="L951" s="32">
        <v>0</v>
      </c>
      <c r="M951" s="33">
        <v>0</v>
      </c>
      <c r="N951" s="27">
        <v>0</v>
      </c>
      <c r="O951" s="24">
        <v>9480.74</v>
      </c>
      <c r="P951" s="24">
        <v>9480.74</v>
      </c>
      <c r="Q951" s="28">
        <v>0</v>
      </c>
      <c r="R951" s="29">
        <v>0</v>
      </c>
      <c r="S951" s="29">
        <v>0</v>
      </c>
      <c r="T951" s="29">
        <v>0</v>
      </c>
      <c r="U951" s="30">
        <v>9480.74</v>
      </c>
    </row>
    <row r="952" spans="2:21" x14ac:dyDescent="0.25">
      <c r="B952" s="31" t="s">
        <v>26</v>
      </c>
      <c r="C952" s="22">
        <v>75</v>
      </c>
      <c r="D952" s="22" t="s">
        <v>82</v>
      </c>
      <c r="E952" s="22" t="s">
        <v>83</v>
      </c>
      <c r="F952" s="22" t="s">
        <v>44</v>
      </c>
      <c r="G952" s="23">
        <v>0</v>
      </c>
      <c r="H952" s="24">
        <v>31491.3</v>
      </c>
      <c r="I952" s="24">
        <v>0</v>
      </c>
      <c r="J952" s="24">
        <v>0</v>
      </c>
      <c r="K952" s="24">
        <v>0</v>
      </c>
      <c r="L952" s="32">
        <v>0</v>
      </c>
      <c r="M952" s="33">
        <v>0</v>
      </c>
      <c r="N952" s="27">
        <v>0</v>
      </c>
      <c r="O952" s="24">
        <v>31491.3</v>
      </c>
      <c r="P952" s="24">
        <v>31491.3</v>
      </c>
      <c r="Q952" s="28">
        <v>0</v>
      </c>
      <c r="R952" s="29">
        <v>0</v>
      </c>
      <c r="S952" s="29">
        <v>0</v>
      </c>
      <c r="T952" s="29">
        <v>0</v>
      </c>
      <c r="U952" s="30">
        <v>31491.3</v>
      </c>
    </row>
    <row r="953" spans="2:21" x14ac:dyDescent="0.25">
      <c r="B953" s="31" t="s">
        <v>26</v>
      </c>
      <c r="C953" s="31">
        <v>75</v>
      </c>
      <c r="D953" s="22" t="s">
        <v>84</v>
      </c>
      <c r="E953" s="22" t="s">
        <v>85</v>
      </c>
      <c r="F953" s="22" t="s">
        <v>44</v>
      </c>
      <c r="G953" s="23">
        <v>0</v>
      </c>
      <c r="H953" s="24">
        <v>6912</v>
      </c>
      <c r="I953" s="24">
        <v>0</v>
      </c>
      <c r="J953" s="24">
        <v>0</v>
      </c>
      <c r="K953" s="24">
        <v>0</v>
      </c>
      <c r="L953" s="32">
        <v>0</v>
      </c>
      <c r="M953" s="33">
        <v>0</v>
      </c>
      <c r="N953" s="27">
        <v>0</v>
      </c>
      <c r="O953" s="24">
        <v>6912</v>
      </c>
      <c r="P953" s="24">
        <v>6912</v>
      </c>
      <c r="Q953" s="28">
        <v>0</v>
      </c>
      <c r="R953" s="29">
        <v>0</v>
      </c>
      <c r="S953" s="29">
        <v>0</v>
      </c>
      <c r="T953" s="29">
        <v>0</v>
      </c>
      <c r="U953" s="30">
        <v>6912</v>
      </c>
    </row>
    <row r="954" spans="2:21" x14ac:dyDescent="0.25">
      <c r="B954" s="31" t="s">
        <v>26</v>
      </c>
      <c r="C954" s="22">
        <v>90</v>
      </c>
      <c r="D954" s="22" t="s">
        <v>86</v>
      </c>
      <c r="E954" s="22" t="s">
        <v>87</v>
      </c>
      <c r="F954" s="22" t="s">
        <v>49</v>
      </c>
      <c r="G954" s="23">
        <v>0</v>
      </c>
      <c r="H954" s="24">
        <v>10097.68</v>
      </c>
      <c r="I954" s="24">
        <v>0</v>
      </c>
      <c r="J954" s="24">
        <v>520</v>
      </c>
      <c r="K954" s="24">
        <v>0</v>
      </c>
      <c r="L954" s="32">
        <v>260</v>
      </c>
      <c r="M954" s="33">
        <v>0</v>
      </c>
      <c r="N954" s="27">
        <v>0</v>
      </c>
      <c r="O954" s="24">
        <v>10097.68</v>
      </c>
      <c r="P954" s="24">
        <v>10097.68</v>
      </c>
      <c r="Q954" s="28">
        <v>0</v>
      </c>
      <c r="R954" s="29">
        <v>0</v>
      </c>
      <c r="S954" s="29">
        <v>0</v>
      </c>
      <c r="T954" s="29">
        <v>0</v>
      </c>
      <c r="U954" s="30">
        <v>9577.68</v>
      </c>
    </row>
    <row r="955" spans="2:21" x14ac:dyDescent="0.25">
      <c r="B955" s="31" t="s">
        <v>26</v>
      </c>
      <c r="C955" s="31">
        <v>90</v>
      </c>
      <c r="D955" s="22" t="s">
        <v>88</v>
      </c>
      <c r="E955" s="22" t="s">
        <v>89</v>
      </c>
      <c r="F955" s="22" t="s">
        <v>49</v>
      </c>
      <c r="G955" s="23">
        <v>0</v>
      </c>
      <c r="H955" s="24">
        <v>36054</v>
      </c>
      <c r="I955" s="24">
        <v>0</v>
      </c>
      <c r="J955" s="24">
        <v>537</v>
      </c>
      <c r="K955" s="24">
        <v>0</v>
      </c>
      <c r="L955" s="32">
        <v>280</v>
      </c>
      <c r="M955" s="33">
        <v>0</v>
      </c>
      <c r="N955" s="27">
        <v>0</v>
      </c>
      <c r="O955" s="24">
        <v>36054</v>
      </c>
      <c r="P955" s="24">
        <v>36054</v>
      </c>
      <c r="Q955" s="28">
        <v>0</v>
      </c>
      <c r="R955" s="29">
        <v>0</v>
      </c>
      <c r="S955" s="29">
        <v>0</v>
      </c>
      <c r="T955" s="29">
        <v>0</v>
      </c>
      <c r="U955" s="30">
        <v>35517</v>
      </c>
    </row>
    <row r="956" spans="2:21" x14ac:dyDescent="0.25">
      <c r="B956" s="31" t="s">
        <v>26</v>
      </c>
      <c r="C956" s="31">
        <v>90</v>
      </c>
      <c r="D956" s="22" t="s">
        <v>90</v>
      </c>
      <c r="E956" s="22" t="s">
        <v>91</v>
      </c>
      <c r="F956" s="22" t="s">
        <v>44</v>
      </c>
      <c r="G956" s="23">
        <v>0</v>
      </c>
      <c r="H956" s="24">
        <v>15016</v>
      </c>
      <c r="I956" s="24">
        <v>0</v>
      </c>
      <c r="J956" s="24">
        <v>102</v>
      </c>
      <c r="K956" s="24">
        <v>0</v>
      </c>
      <c r="L956" s="32">
        <v>0</v>
      </c>
      <c r="M956" s="33">
        <v>0</v>
      </c>
      <c r="N956" s="27">
        <v>0</v>
      </c>
      <c r="O956" s="24">
        <v>15016</v>
      </c>
      <c r="P956" s="24">
        <v>15016</v>
      </c>
      <c r="Q956" s="28">
        <v>0</v>
      </c>
      <c r="R956" s="29">
        <v>0</v>
      </c>
      <c r="S956" s="29">
        <v>0</v>
      </c>
      <c r="T956" s="29">
        <v>0</v>
      </c>
      <c r="U956" s="30">
        <v>14914</v>
      </c>
    </row>
    <row r="957" spans="2:21" x14ac:dyDescent="0.25">
      <c r="B957" s="31" t="s">
        <v>26</v>
      </c>
      <c r="C957" s="31">
        <v>90</v>
      </c>
      <c r="D957" s="22" t="s">
        <v>92</v>
      </c>
      <c r="E957" s="22" t="s">
        <v>93</v>
      </c>
      <c r="F957" s="22" t="s">
        <v>49</v>
      </c>
      <c r="G957" s="23">
        <v>0</v>
      </c>
      <c r="H957" s="24">
        <v>50688</v>
      </c>
      <c r="I957" s="24">
        <v>0</v>
      </c>
      <c r="J957" s="24">
        <v>2153</v>
      </c>
      <c r="K957" s="24">
        <v>0</v>
      </c>
      <c r="L957" s="32">
        <v>656</v>
      </c>
      <c r="M957" s="33">
        <v>0</v>
      </c>
      <c r="N957" s="27">
        <v>0</v>
      </c>
      <c r="O957" s="24">
        <v>50688</v>
      </c>
      <c r="P957" s="24">
        <v>50688</v>
      </c>
      <c r="Q957" s="28">
        <v>0</v>
      </c>
      <c r="R957" s="29">
        <v>0</v>
      </c>
      <c r="S957" s="29">
        <v>0</v>
      </c>
      <c r="T957" s="29">
        <v>181.5</v>
      </c>
      <c r="U957" s="30">
        <v>48353.5</v>
      </c>
    </row>
    <row r="958" spans="2:21" x14ac:dyDescent="0.25">
      <c r="B958" s="31" t="s">
        <v>26</v>
      </c>
      <c r="C958" s="31">
        <v>90</v>
      </c>
      <c r="D958" s="22" t="s">
        <v>94</v>
      </c>
      <c r="E958" s="22" t="s">
        <v>95</v>
      </c>
      <c r="F958" s="22" t="s">
        <v>49</v>
      </c>
      <c r="G958" s="23">
        <v>0</v>
      </c>
      <c r="H958" s="24">
        <v>4770</v>
      </c>
      <c r="I958" s="24">
        <v>0</v>
      </c>
      <c r="J958" s="24">
        <v>50</v>
      </c>
      <c r="K958" s="24">
        <v>0</v>
      </c>
      <c r="L958" s="32">
        <v>25</v>
      </c>
      <c r="M958" s="33">
        <v>0</v>
      </c>
      <c r="N958" s="27">
        <v>0</v>
      </c>
      <c r="O958" s="24">
        <v>4770</v>
      </c>
      <c r="P958" s="24">
        <v>4770</v>
      </c>
      <c r="Q958" s="28">
        <v>0</v>
      </c>
      <c r="R958" s="29">
        <v>0</v>
      </c>
      <c r="S958" s="29">
        <v>0</v>
      </c>
      <c r="T958" s="29">
        <v>0</v>
      </c>
      <c r="U958" s="30">
        <v>4720</v>
      </c>
    </row>
    <row r="959" spans="2:21" x14ac:dyDescent="0.25">
      <c r="B959" s="31" t="s">
        <v>26</v>
      </c>
      <c r="C959" s="22">
        <v>91</v>
      </c>
      <c r="D959" s="22" t="s">
        <v>96</v>
      </c>
      <c r="E959" s="22" t="s">
        <v>97</v>
      </c>
      <c r="F959" s="22" t="s">
        <v>49</v>
      </c>
      <c r="G959" s="23">
        <v>0</v>
      </c>
      <c r="H959" s="24">
        <v>20340</v>
      </c>
      <c r="I959" s="24">
        <v>0</v>
      </c>
      <c r="J959" s="24">
        <v>682</v>
      </c>
      <c r="K959" s="24">
        <v>0</v>
      </c>
      <c r="L959" s="32">
        <v>221</v>
      </c>
      <c r="M959" s="33">
        <v>0</v>
      </c>
      <c r="N959" s="27">
        <v>0</v>
      </c>
      <c r="O959" s="24">
        <v>20340</v>
      </c>
      <c r="P959" s="24">
        <v>20340</v>
      </c>
      <c r="Q959" s="28">
        <v>0</v>
      </c>
      <c r="R959" s="29">
        <v>0</v>
      </c>
      <c r="S959" s="29">
        <v>0</v>
      </c>
      <c r="T959" s="29">
        <v>221</v>
      </c>
      <c r="U959" s="30">
        <v>19437</v>
      </c>
    </row>
    <row r="960" spans="2:21" x14ac:dyDescent="0.25">
      <c r="B960" s="31" t="s">
        <v>26</v>
      </c>
      <c r="C960" s="31">
        <v>91</v>
      </c>
      <c r="D960" s="22" t="s">
        <v>98</v>
      </c>
      <c r="E960" s="22" t="s">
        <v>99</v>
      </c>
      <c r="F960" s="22" t="s">
        <v>49</v>
      </c>
      <c r="G960" s="23">
        <v>0</v>
      </c>
      <c r="H960" s="24">
        <v>8820</v>
      </c>
      <c r="I960" s="24">
        <v>0</v>
      </c>
      <c r="J960" s="24">
        <v>1111.5</v>
      </c>
      <c r="K960" s="24">
        <v>0</v>
      </c>
      <c r="L960" s="32">
        <v>428</v>
      </c>
      <c r="M960" s="33">
        <v>0</v>
      </c>
      <c r="N960" s="27">
        <v>0</v>
      </c>
      <c r="O960" s="24">
        <v>8820</v>
      </c>
      <c r="P960" s="24">
        <v>8820</v>
      </c>
      <c r="Q960" s="28">
        <v>0</v>
      </c>
      <c r="R960" s="29">
        <v>0</v>
      </c>
      <c r="S960" s="29">
        <v>0</v>
      </c>
      <c r="T960" s="29">
        <v>425.5</v>
      </c>
      <c r="U960" s="30">
        <v>7283</v>
      </c>
    </row>
    <row r="961" spans="2:21" x14ac:dyDescent="0.25">
      <c r="B961" s="31" t="s">
        <v>26</v>
      </c>
      <c r="C961" s="31">
        <v>91</v>
      </c>
      <c r="D961" s="22" t="s">
        <v>100</v>
      </c>
      <c r="E961" s="22" t="s">
        <v>101</v>
      </c>
      <c r="F961" s="22" t="s">
        <v>49</v>
      </c>
      <c r="G961" s="23">
        <v>0</v>
      </c>
      <c r="H961" s="24">
        <v>23520</v>
      </c>
      <c r="I961" s="24">
        <v>0</v>
      </c>
      <c r="J961" s="24">
        <v>4762.5</v>
      </c>
      <c r="K961" s="24">
        <v>0</v>
      </c>
      <c r="L961" s="32">
        <v>2276</v>
      </c>
      <c r="M961" s="33">
        <v>0</v>
      </c>
      <c r="N961" s="27">
        <v>0</v>
      </c>
      <c r="O961" s="24">
        <v>23520</v>
      </c>
      <c r="P961" s="24">
        <v>23520</v>
      </c>
      <c r="Q961" s="28">
        <v>0</v>
      </c>
      <c r="R961" s="29">
        <v>0</v>
      </c>
      <c r="S961" s="29">
        <v>0</v>
      </c>
      <c r="T961" s="29">
        <v>2276.5</v>
      </c>
      <c r="U961" s="30">
        <v>16481</v>
      </c>
    </row>
    <row r="962" spans="2:21" x14ac:dyDescent="0.25">
      <c r="B962" s="31" t="s">
        <v>26</v>
      </c>
      <c r="C962" s="31">
        <v>91</v>
      </c>
      <c r="D962" s="22" t="s">
        <v>102</v>
      </c>
      <c r="E962" s="22" t="s">
        <v>103</v>
      </c>
      <c r="F962" s="22" t="s">
        <v>49</v>
      </c>
      <c r="G962" s="23">
        <v>0</v>
      </c>
      <c r="H962" s="24">
        <v>22080</v>
      </c>
      <c r="I962" s="24">
        <v>0</v>
      </c>
      <c r="J962" s="24">
        <v>2575</v>
      </c>
      <c r="K962" s="24">
        <v>0</v>
      </c>
      <c r="L962" s="32">
        <v>426</v>
      </c>
      <c r="M962" s="33">
        <v>0</v>
      </c>
      <c r="N962" s="27">
        <v>0</v>
      </c>
      <c r="O962" s="24">
        <v>22080</v>
      </c>
      <c r="P962" s="24">
        <v>22080</v>
      </c>
      <c r="Q962" s="28">
        <v>0</v>
      </c>
      <c r="R962" s="29">
        <v>0</v>
      </c>
      <c r="S962" s="29">
        <v>0</v>
      </c>
      <c r="T962" s="29">
        <v>428</v>
      </c>
      <c r="U962" s="30">
        <v>19077</v>
      </c>
    </row>
    <row r="963" spans="2:21" x14ac:dyDescent="0.25">
      <c r="B963" s="31" t="s">
        <v>26</v>
      </c>
      <c r="C963" s="31">
        <v>91</v>
      </c>
      <c r="D963" s="22" t="s">
        <v>104</v>
      </c>
      <c r="E963" s="22" t="s">
        <v>105</v>
      </c>
      <c r="F963" s="22" t="s">
        <v>49</v>
      </c>
      <c r="G963" s="23">
        <v>0</v>
      </c>
      <c r="H963" s="24">
        <v>4920</v>
      </c>
      <c r="I963" s="24">
        <v>0</v>
      </c>
      <c r="J963" s="24">
        <v>1293.5</v>
      </c>
      <c r="K963" s="24">
        <v>0</v>
      </c>
      <c r="L963" s="32">
        <v>41</v>
      </c>
      <c r="M963" s="33">
        <v>0</v>
      </c>
      <c r="N963" s="27">
        <v>0</v>
      </c>
      <c r="O963" s="24">
        <v>4920</v>
      </c>
      <c r="P963" s="24">
        <v>4920</v>
      </c>
      <c r="Q963" s="28">
        <v>0</v>
      </c>
      <c r="R963" s="29">
        <v>0</v>
      </c>
      <c r="S963" s="29">
        <v>0</v>
      </c>
      <c r="T963" s="29">
        <v>42</v>
      </c>
      <c r="U963" s="30">
        <v>3584.5</v>
      </c>
    </row>
    <row r="964" spans="2:21" x14ac:dyDescent="0.25">
      <c r="B964" s="31" t="s">
        <v>26</v>
      </c>
      <c r="C964" s="31">
        <v>91</v>
      </c>
      <c r="D964" s="22" t="s">
        <v>106</v>
      </c>
      <c r="E964" s="22" t="s">
        <v>107</v>
      </c>
      <c r="F964" s="22" t="s">
        <v>49</v>
      </c>
      <c r="G964" s="23">
        <v>0</v>
      </c>
      <c r="H964" s="24">
        <v>5160</v>
      </c>
      <c r="I964" s="24">
        <v>0</v>
      </c>
      <c r="J964" s="24">
        <v>519.5</v>
      </c>
      <c r="K964" s="24">
        <v>0</v>
      </c>
      <c r="L964" s="32">
        <v>211</v>
      </c>
      <c r="M964" s="33">
        <v>0</v>
      </c>
      <c r="N964" s="27">
        <v>0</v>
      </c>
      <c r="O964" s="24">
        <v>5160</v>
      </c>
      <c r="P964" s="24">
        <v>5160</v>
      </c>
      <c r="Q964" s="28">
        <v>0</v>
      </c>
      <c r="R964" s="29">
        <v>0</v>
      </c>
      <c r="S964" s="29">
        <v>0</v>
      </c>
      <c r="T964" s="29">
        <v>212</v>
      </c>
      <c r="U964" s="30">
        <v>4428.5</v>
      </c>
    </row>
    <row r="965" spans="2:21" x14ac:dyDescent="0.25">
      <c r="B965" s="31" t="s">
        <v>26</v>
      </c>
      <c r="C965" s="31">
        <v>91</v>
      </c>
      <c r="D965" s="22" t="s">
        <v>108</v>
      </c>
      <c r="E965" s="22" t="s">
        <v>109</v>
      </c>
      <c r="F965" s="22" t="s">
        <v>49</v>
      </c>
      <c r="G965" s="23">
        <v>0</v>
      </c>
      <c r="H965" s="24">
        <v>0</v>
      </c>
      <c r="I965" s="24">
        <v>0</v>
      </c>
      <c r="J965" s="24">
        <v>150</v>
      </c>
      <c r="K965" s="24">
        <v>0</v>
      </c>
      <c r="L965" s="32">
        <v>70</v>
      </c>
      <c r="M965" s="33">
        <v>0</v>
      </c>
      <c r="N965" s="27">
        <v>0</v>
      </c>
      <c r="O965" s="24">
        <v>0</v>
      </c>
      <c r="P965" s="24">
        <v>0</v>
      </c>
      <c r="Q965" s="28">
        <v>0</v>
      </c>
      <c r="R965" s="29">
        <v>0</v>
      </c>
      <c r="S965" s="29">
        <v>0</v>
      </c>
      <c r="T965" s="29">
        <v>70</v>
      </c>
      <c r="U965" s="30">
        <v>-220</v>
      </c>
    </row>
    <row r="966" spans="2:21" x14ac:dyDescent="0.25">
      <c r="B966" s="31" t="s">
        <v>26</v>
      </c>
      <c r="C966" s="31">
        <v>91</v>
      </c>
      <c r="D966" s="22" t="s">
        <v>110</v>
      </c>
      <c r="E966" s="22" t="s">
        <v>111</v>
      </c>
      <c r="F966" s="22" t="s">
        <v>49</v>
      </c>
      <c r="G966" s="23">
        <v>0</v>
      </c>
      <c r="H966" s="24">
        <v>350</v>
      </c>
      <c r="I966" s="24">
        <v>0</v>
      </c>
      <c r="J966" s="24">
        <v>50</v>
      </c>
      <c r="K966" s="24">
        <v>0</v>
      </c>
      <c r="L966" s="32">
        <v>10</v>
      </c>
      <c r="M966" s="33">
        <v>0</v>
      </c>
      <c r="N966" s="27">
        <v>0</v>
      </c>
      <c r="O966" s="24">
        <v>350</v>
      </c>
      <c r="P966" s="24">
        <v>350</v>
      </c>
      <c r="Q966" s="28">
        <v>0</v>
      </c>
      <c r="R966" s="29">
        <v>0</v>
      </c>
      <c r="S966" s="29">
        <v>0</v>
      </c>
      <c r="T966" s="29">
        <v>10</v>
      </c>
      <c r="U966" s="30">
        <v>290</v>
      </c>
    </row>
    <row r="967" spans="2:21" x14ac:dyDescent="0.25">
      <c r="B967" s="31" t="s">
        <v>26</v>
      </c>
      <c r="C967" s="22">
        <v>92</v>
      </c>
      <c r="D967" s="22" t="s">
        <v>112</v>
      </c>
      <c r="E967" s="22" t="s">
        <v>113</v>
      </c>
      <c r="F967" s="22" t="s">
        <v>44</v>
      </c>
      <c r="G967" s="23">
        <v>0</v>
      </c>
      <c r="H967" s="24">
        <v>9959.93</v>
      </c>
      <c r="I967" s="24">
        <v>0</v>
      </c>
      <c r="J967" s="24">
        <v>0</v>
      </c>
      <c r="K967" s="24">
        <v>0</v>
      </c>
      <c r="L967" s="32">
        <v>0</v>
      </c>
      <c r="M967" s="33">
        <v>0</v>
      </c>
      <c r="N967" s="27">
        <v>0</v>
      </c>
      <c r="O967" s="24">
        <v>9959.93</v>
      </c>
      <c r="P967" s="24">
        <v>9959.93</v>
      </c>
      <c r="Q967" s="28">
        <v>0</v>
      </c>
      <c r="R967" s="29">
        <v>0</v>
      </c>
      <c r="S967" s="29">
        <v>0</v>
      </c>
      <c r="T967" s="29">
        <v>0</v>
      </c>
      <c r="U967" s="30">
        <v>9959.93</v>
      </c>
    </row>
    <row r="968" spans="2:21" x14ac:dyDescent="0.25">
      <c r="B968" s="31" t="s">
        <v>26</v>
      </c>
      <c r="C968" s="22">
        <v>93</v>
      </c>
      <c r="D968" s="22" t="s">
        <v>114</v>
      </c>
      <c r="E968" s="22" t="s">
        <v>115</v>
      </c>
      <c r="F968" s="22" t="s">
        <v>44</v>
      </c>
      <c r="G968" s="23">
        <v>0</v>
      </c>
      <c r="H968" s="24">
        <v>0</v>
      </c>
      <c r="I968" s="24">
        <v>0</v>
      </c>
      <c r="J968" s="24">
        <v>0</v>
      </c>
      <c r="K968" s="24">
        <v>0</v>
      </c>
      <c r="L968" s="32">
        <v>0</v>
      </c>
      <c r="M968" s="33">
        <v>0</v>
      </c>
      <c r="N968" s="27">
        <v>0</v>
      </c>
      <c r="O968" s="24">
        <v>0</v>
      </c>
      <c r="P968" s="24">
        <v>0</v>
      </c>
      <c r="Q968" s="28">
        <v>0</v>
      </c>
      <c r="R968" s="29">
        <v>0</v>
      </c>
      <c r="S968" s="29">
        <v>0</v>
      </c>
      <c r="T968" s="29">
        <v>0</v>
      </c>
      <c r="U968" s="30">
        <v>0</v>
      </c>
    </row>
    <row r="969" spans="2:21" x14ac:dyDescent="0.25">
      <c r="B969" s="31" t="s">
        <v>26</v>
      </c>
      <c r="C969" s="22">
        <v>98</v>
      </c>
      <c r="D969" s="22" t="s">
        <v>116</v>
      </c>
      <c r="E969" s="22" t="s">
        <v>117</v>
      </c>
      <c r="F969" s="22" t="s">
        <v>44</v>
      </c>
      <c r="G969" s="23">
        <v>0</v>
      </c>
      <c r="H969" s="24">
        <v>0</v>
      </c>
      <c r="I969" s="24">
        <v>0</v>
      </c>
      <c r="J969" s="24">
        <v>0</v>
      </c>
      <c r="K969" s="24">
        <v>0</v>
      </c>
      <c r="L969" s="32">
        <v>0</v>
      </c>
      <c r="M969" s="33">
        <v>0</v>
      </c>
      <c r="N969" s="27">
        <v>0</v>
      </c>
      <c r="O969" s="24">
        <v>0</v>
      </c>
      <c r="P969" s="24">
        <v>0</v>
      </c>
      <c r="Q969" s="28">
        <v>0</v>
      </c>
      <c r="R969" s="29">
        <v>0</v>
      </c>
      <c r="S969" s="29">
        <v>0</v>
      </c>
      <c r="T969" s="29">
        <v>0</v>
      </c>
      <c r="U969" s="30">
        <v>0</v>
      </c>
    </row>
    <row r="970" spans="2:21" x14ac:dyDescent="0.25">
      <c r="B970" s="31" t="s">
        <v>26</v>
      </c>
      <c r="C970" s="31">
        <v>98</v>
      </c>
      <c r="D970" s="22" t="s">
        <v>118</v>
      </c>
      <c r="E970" s="22" t="s">
        <v>119</v>
      </c>
      <c r="F970" s="22" t="s">
        <v>44</v>
      </c>
      <c r="G970" s="23">
        <v>0</v>
      </c>
      <c r="H970" s="24">
        <v>0</v>
      </c>
      <c r="I970" s="24">
        <v>0</v>
      </c>
      <c r="J970" s="24">
        <v>0</v>
      </c>
      <c r="K970" s="24">
        <v>0</v>
      </c>
      <c r="L970" s="32">
        <v>0</v>
      </c>
      <c r="M970" s="33">
        <v>0</v>
      </c>
      <c r="N970" s="27">
        <v>0</v>
      </c>
      <c r="O970" s="24">
        <v>0</v>
      </c>
      <c r="P970" s="24">
        <v>0</v>
      </c>
      <c r="Q970" s="28">
        <v>0</v>
      </c>
      <c r="R970" s="29">
        <v>0</v>
      </c>
      <c r="S970" s="29">
        <v>0</v>
      </c>
      <c r="T970" s="29">
        <v>0</v>
      </c>
      <c r="U970" s="30">
        <v>0</v>
      </c>
    </row>
    <row r="971" spans="2:21" x14ac:dyDescent="0.25">
      <c r="B971" s="31" t="s">
        <v>26</v>
      </c>
      <c r="C971" s="31">
        <v>98</v>
      </c>
      <c r="D971" s="22" t="s">
        <v>120</v>
      </c>
      <c r="E971" s="22" t="s">
        <v>121</v>
      </c>
      <c r="F971" s="22" t="s">
        <v>44</v>
      </c>
      <c r="G971" s="23">
        <v>0</v>
      </c>
      <c r="H971" s="24">
        <v>600</v>
      </c>
      <c r="I971" s="24">
        <v>0</v>
      </c>
      <c r="J971" s="24">
        <v>0</v>
      </c>
      <c r="K971" s="24">
        <v>0</v>
      </c>
      <c r="L971" s="32">
        <v>0</v>
      </c>
      <c r="M971" s="33">
        <v>0</v>
      </c>
      <c r="N971" s="27">
        <v>0</v>
      </c>
      <c r="O971" s="24">
        <v>600</v>
      </c>
      <c r="P971" s="24">
        <v>600</v>
      </c>
      <c r="Q971" s="28">
        <v>0</v>
      </c>
      <c r="R971" s="29">
        <v>0</v>
      </c>
      <c r="S971" s="29">
        <v>0</v>
      </c>
      <c r="T971" s="29">
        <v>0</v>
      </c>
      <c r="U971" s="30">
        <v>600</v>
      </c>
    </row>
    <row r="972" spans="2:21" x14ac:dyDescent="0.25">
      <c r="B972" s="31" t="s">
        <v>26</v>
      </c>
      <c r="C972" s="31">
        <v>98</v>
      </c>
      <c r="D972" s="22" t="s">
        <v>122</v>
      </c>
      <c r="E972" s="22" t="s">
        <v>123</v>
      </c>
      <c r="F972" s="22" t="s">
        <v>44</v>
      </c>
      <c r="G972" s="23">
        <v>0</v>
      </c>
      <c r="H972" s="24">
        <v>59838.87</v>
      </c>
      <c r="I972" s="24">
        <v>0</v>
      </c>
      <c r="J972" s="24">
        <v>0</v>
      </c>
      <c r="K972" s="24">
        <v>0</v>
      </c>
      <c r="L972" s="32">
        <v>0</v>
      </c>
      <c r="M972" s="33">
        <v>0</v>
      </c>
      <c r="N972" s="27">
        <v>0</v>
      </c>
      <c r="O972" s="24">
        <v>59838.87</v>
      </c>
      <c r="P972" s="24">
        <v>59838.87</v>
      </c>
      <c r="Q972" s="28">
        <v>0</v>
      </c>
      <c r="R972" s="29">
        <v>0</v>
      </c>
      <c r="S972" s="29">
        <v>0</v>
      </c>
      <c r="T972" s="29">
        <v>0</v>
      </c>
      <c r="U972" s="30">
        <v>59838.87</v>
      </c>
    </row>
    <row r="973" spans="2:21" x14ac:dyDescent="0.25">
      <c r="B973" s="31" t="s">
        <v>26</v>
      </c>
      <c r="C973" s="31">
        <v>98</v>
      </c>
      <c r="D973" s="22" t="s">
        <v>124</v>
      </c>
      <c r="E973" s="22" t="s">
        <v>125</v>
      </c>
      <c r="F973" s="22" t="s">
        <v>44</v>
      </c>
      <c r="G973" s="23">
        <v>0</v>
      </c>
      <c r="H973" s="24">
        <v>14506.56</v>
      </c>
      <c r="I973" s="24">
        <v>0</v>
      </c>
      <c r="J973" s="24">
        <v>0</v>
      </c>
      <c r="K973" s="24">
        <v>0</v>
      </c>
      <c r="L973" s="32">
        <v>0</v>
      </c>
      <c r="M973" s="33">
        <v>0</v>
      </c>
      <c r="N973" s="27">
        <v>0</v>
      </c>
      <c r="O973" s="24">
        <v>14506.56</v>
      </c>
      <c r="P973" s="24">
        <v>14506.56</v>
      </c>
      <c r="Q973" s="28">
        <v>0</v>
      </c>
      <c r="R973" s="29">
        <v>0</v>
      </c>
      <c r="S973" s="29">
        <v>0</v>
      </c>
      <c r="T973" s="29">
        <v>0</v>
      </c>
      <c r="U973" s="30">
        <v>14506.56</v>
      </c>
    </row>
    <row r="974" spans="2:21" x14ac:dyDescent="0.25">
      <c r="B974" s="31" t="s">
        <v>26</v>
      </c>
      <c r="C974" s="22">
        <v>99</v>
      </c>
      <c r="D974" s="22" t="s">
        <v>126</v>
      </c>
      <c r="E974" s="22" t="s">
        <v>127</v>
      </c>
      <c r="F974" s="22" t="s">
        <v>44</v>
      </c>
      <c r="G974" s="23">
        <v>0</v>
      </c>
      <c r="H974" s="24">
        <v>0</v>
      </c>
      <c r="I974" s="24">
        <v>0</v>
      </c>
      <c r="J974" s="24">
        <v>0</v>
      </c>
      <c r="K974" s="24">
        <v>0</v>
      </c>
      <c r="L974" s="32">
        <v>0</v>
      </c>
      <c r="M974" s="33">
        <v>0</v>
      </c>
      <c r="N974" s="27">
        <v>0</v>
      </c>
      <c r="O974" s="24">
        <v>0</v>
      </c>
      <c r="P974" s="24">
        <v>0</v>
      </c>
      <c r="Q974" s="28">
        <v>0</v>
      </c>
      <c r="R974" s="29">
        <v>0</v>
      </c>
      <c r="S974" s="29">
        <v>0</v>
      </c>
      <c r="T974" s="29">
        <v>0</v>
      </c>
      <c r="U974" s="30">
        <v>0</v>
      </c>
    </row>
    <row r="975" spans="2:21" x14ac:dyDescent="0.25">
      <c r="B975" s="22" t="s">
        <v>1627</v>
      </c>
      <c r="C975" s="22">
        <v>26</v>
      </c>
      <c r="D975" s="22" t="s">
        <v>40</v>
      </c>
      <c r="E975" s="22" t="s">
        <v>41</v>
      </c>
      <c r="F975" s="22" t="s">
        <v>44</v>
      </c>
      <c r="G975" s="23">
        <v>118</v>
      </c>
      <c r="H975" s="24">
        <v>1697</v>
      </c>
      <c r="I975" s="24">
        <v>0</v>
      </c>
      <c r="J975" s="24">
        <v>0</v>
      </c>
      <c r="K975" s="24">
        <v>0</v>
      </c>
      <c r="L975" s="32">
        <v>0</v>
      </c>
      <c r="M975" s="33">
        <v>0</v>
      </c>
      <c r="N975" s="27">
        <v>0</v>
      </c>
      <c r="O975" s="24">
        <v>0</v>
      </c>
      <c r="P975" s="24">
        <v>0</v>
      </c>
      <c r="Q975" s="28">
        <v>0</v>
      </c>
      <c r="R975" s="29">
        <v>0</v>
      </c>
      <c r="S975" s="29">
        <v>0</v>
      </c>
      <c r="T975" s="29">
        <v>0</v>
      </c>
      <c r="U975" s="30">
        <v>1697</v>
      </c>
    </row>
    <row r="976" spans="2:21" x14ac:dyDescent="0.25">
      <c r="B976" s="31" t="s">
        <v>1627</v>
      </c>
      <c r="C976" s="22">
        <v>30</v>
      </c>
      <c r="D976" s="22" t="s">
        <v>57</v>
      </c>
      <c r="E976" s="22" t="s">
        <v>58</v>
      </c>
      <c r="F976" s="22" t="s">
        <v>44</v>
      </c>
      <c r="G976" s="23">
        <v>1368</v>
      </c>
      <c r="H976" s="24">
        <v>33097</v>
      </c>
      <c r="I976" s="24">
        <v>0</v>
      </c>
      <c r="J976" s="24">
        <v>0</v>
      </c>
      <c r="K976" s="24">
        <v>0</v>
      </c>
      <c r="L976" s="32">
        <v>0</v>
      </c>
      <c r="M976" s="33">
        <v>0</v>
      </c>
      <c r="N976" s="27">
        <v>0</v>
      </c>
      <c r="O976" s="24">
        <v>0</v>
      </c>
      <c r="P976" s="24">
        <v>0</v>
      </c>
      <c r="Q976" s="28">
        <v>0</v>
      </c>
      <c r="R976" s="29">
        <v>0</v>
      </c>
      <c r="S976" s="29">
        <v>0</v>
      </c>
      <c r="T976" s="29">
        <v>0</v>
      </c>
      <c r="U976" s="30">
        <v>33097</v>
      </c>
    </row>
    <row r="977" spans="2:21" x14ac:dyDescent="0.25">
      <c r="B977" s="31" t="s">
        <v>1627</v>
      </c>
      <c r="C977" s="22">
        <v>45</v>
      </c>
      <c r="D977" s="22" t="s">
        <v>63</v>
      </c>
      <c r="E977" s="22" t="s">
        <v>64</v>
      </c>
      <c r="F977" s="22" t="s">
        <v>44</v>
      </c>
      <c r="G977" s="23">
        <v>322</v>
      </c>
      <c r="H977" s="24">
        <v>19992</v>
      </c>
      <c r="I977" s="24">
        <v>0</v>
      </c>
      <c r="J977" s="24">
        <v>0</v>
      </c>
      <c r="K977" s="24">
        <v>0</v>
      </c>
      <c r="L977" s="32">
        <v>0</v>
      </c>
      <c r="M977" s="33">
        <v>0</v>
      </c>
      <c r="N977" s="27">
        <v>0</v>
      </c>
      <c r="O977" s="24">
        <v>0</v>
      </c>
      <c r="P977" s="24">
        <v>0</v>
      </c>
      <c r="Q977" s="28">
        <v>0</v>
      </c>
      <c r="R977" s="29">
        <v>0</v>
      </c>
      <c r="S977" s="29">
        <v>0</v>
      </c>
      <c r="T977" s="29">
        <v>0</v>
      </c>
      <c r="U977" s="30">
        <v>19992</v>
      </c>
    </row>
    <row r="978" spans="2:21" x14ac:dyDescent="0.25">
      <c r="B978" s="31" t="s">
        <v>1627</v>
      </c>
      <c r="C978" s="22">
        <v>50</v>
      </c>
      <c r="D978" s="22" t="s">
        <v>69</v>
      </c>
      <c r="E978" s="22" t="s">
        <v>70</v>
      </c>
      <c r="F978" s="22" t="s">
        <v>44</v>
      </c>
      <c r="G978" s="23">
        <v>24190</v>
      </c>
      <c r="H978" s="24">
        <v>83355</v>
      </c>
      <c r="I978" s="24">
        <v>0</v>
      </c>
      <c r="J978" s="24">
        <v>0</v>
      </c>
      <c r="K978" s="24">
        <v>0</v>
      </c>
      <c r="L978" s="32">
        <v>0</v>
      </c>
      <c r="M978" s="33">
        <v>0</v>
      </c>
      <c r="N978" s="27">
        <v>0</v>
      </c>
      <c r="O978" s="24">
        <v>0</v>
      </c>
      <c r="P978" s="24">
        <v>0</v>
      </c>
      <c r="Q978" s="28">
        <v>0</v>
      </c>
      <c r="R978" s="29">
        <v>0</v>
      </c>
      <c r="S978" s="29">
        <v>0</v>
      </c>
      <c r="T978" s="29">
        <v>0</v>
      </c>
      <c r="U978" s="30">
        <v>83355</v>
      </c>
    </row>
    <row r="979" spans="2:21" x14ac:dyDescent="0.25">
      <c r="B979" s="31" t="s">
        <v>1627</v>
      </c>
      <c r="C979" s="31">
        <v>50</v>
      </c>
      <c r="D979" s="22" t="s">
        <v>1628</v>
      </c>
      <c r="E979" s="22" t="s">
        <v>1629</v>
      </c>
      <c r="F979" s="22" t="s">
        <v>44</v>
      </c>
      <c r="G979" s="23">
        <v>26208</v>
      </c>
      <c r="H979" s="24">
        <v>49140</v>
      </c>
      <c r="I979" s="24">
        <v>0</v>
      </c>
      <c r="J979" s="24">
        <v>0</v>
      </c>
      <c r="K979" s="24">
        <v>0</v>
      </c>
      <c r="L979" s="32">
        <v>0</v>
      </c>
      <c r="M979" s="33">
        <v>0</v>
      </c>
      <c r="N979" s="27">
        <v>0</v>
      </c>
      <c r="O979" s="24">
        <v>0</v>
      </c>
      <c r="P979" s="24">
        <v>0</v>
      </c>
      <c r="Q979" s="28">
        <v>0</v>
      </c>
      <c r="R979" s="29">
        <v>0</v>
      </c>
      <c r="S979" s="29">
        <v>0</v>
      </c>
      <c r="T979" s="29">
        <v>0</v>
      </c>
      <c r="U979" s="30">
        <v>49140</v>
      </c>
    </row>
    <row r="980" spans="2:21" x14ac:dyDescent="0.25">
      <c r="B980" s="31" t="s">
        <v>1627</v>
      </c>
      <c r="C980" s="22">
        <v>52</v>
      </c>
      <c r="D980" s="22" t="s">
        <v>76</v>
      </c>
      <c r="E980" s="22" t="s">
        <v>162</v>
      </c>
      <c r="F980" s="22" t="s">
        <v>44</v>
      </c>
      <c r="G980" s="23">
        <v>50398</v>
      </c>
      <c r="H980" s="24">
        <v>23331</v>
      </c>
      <c r="I980" s="24">
        <v>0</v>
      </c>
      <c r="J980" s="24">
        <v>0</v>
      </c>
      <c r="K980" s="24">
        <v>0</v>
      </c>
      <c r="L980" s="32">
        <v>0</v>
      </c>
      <c r="M980" s="33">
        <v>0</v>
      </c>
      <c r="N980" s="27">
        <v>0</v>
      </c>
      <c r="O980" s="24">
        <v>0</v>
      </c>
      <c r="P980" s="24">
        <v>0</v>
      </c>
      <c r="Q980" s="28">
        <v>0</v>
      </c>
      <c r="R980" s="29">
        <v>0</v>
      </c>
      <c r="S980" s="29">
        <v>0</v>
      </c>
      <c r="T980" s="29">
        <v>0</v>
      </c>
      <c r="U980" s="30">
        <v>23331</v>
      </c>
    </row>
    <row r="981" spans="2:21" x14ac:dyDescent="0.25">
      <c r="B981" s="31" t="s">
        <v>1627</v>
      </c>
      <c r="C981" s="22">
        <v>75</v>
      </c>
      <c r="D981" s="22" t="s">
        <v>231</v>
      </c>
      <c r="E981" s="22" t="s">
        <v>232</v>
      </c>
      <c r="F981" s="22" t="s">
        <v>44</v>
      </c>
      <c r="G981" s="23">
        <v>13258</v>
      </c>
      <c r="H981" s="24">
        <v>13258</v>
      </c>
      <c r="I981" s="24">
        <v>0</v>
      </c>
      <c r="J981" s="24">
        <v>0</v>
      </c>
      <c r="K981" s="24">
        <v>0</v>
      </c>
      <c r="L981" s="32">
        <v>0</v>
      </c>
      <c r="M981" s="33">
        <v>0</v>
      </c>
      <c r="N981" s="27">
        <v>0</v>
      </c>
      <c r="O981" s="24">
        <v>0</v>
      </c>
      <c r="P981" s="24">
        <v>0</v>
      </c>
      <c r="Q981" s="28">
        <v>0</v>
      </c>
      <c r="R981" s="29">
        <v>0</v>
      </c>
      <c r="S981" s="29">
        <v>0</v>
      </c>
      <c r="T981" s="29">
        <v>0</v>
      </c>
      <c r="U981" s="30">
        <v>13258</v>
      </c>
    </row>
    <row r="982" spans="2:21" x14ac:dyDescent="0.25">
      <c r="B982" s="31" t="s">
        <v>1627</v>
      </c>
      <c r="C982" s="22">
        <v>90</v>
      </c>
      <c r="D982" s="22" t="s">
        <v>86</v>
      </c>
      <c r="E982" s="22" t="s">
        <v>87</v>
      </c>
      <c r="F982" s="22" t="s">
        <v>49</v>
      </c>
      <c r="G982" s="23">
        <v>0</v>
      </c>
      <c r="H982" s="24">
        <v>8205</v>
      </c>
      <c r="I982" s="24">
        <v>0</v>
      </c>
      <c r="J982" s="24">
        <v>480</v>
      </c>
      <c r="K982" s="24">
        <v>0</v>
      </c>
      <c r="L982" s="32">
        <v>240</v>
      </c>
      <c r="M982" s="33">
        <v>0</v>
      </c>
      <c r="N982" s="27">
        <v>0</v>
      </c>
      <c r="O982" s="24">
        <v>0</v>
      </c>
      <c r="P982" s="24">
        <v>0</v>
      </c>
      <c r="Q982" s="28">
        <v>0</v>
      </c>
      <c r="R982" s="29">
        <v>0</v>
      </c>
      <c r="S982" s="29">
        <v>0</v>
      </c>
      <c r="T982" s="29">
        <v>0</v>
      </c>
      <c r="U982" s="30">
        <v>7725</v>
      </c>
    </row>
    <row r="983" spans="2:21" x14ac:dyDescent="0.25">
      <c r="B983" s="31" t="s">
        <v>1627</v>
      </c>
      <c r="C983" s="31">
        <v>90</v>
      </c>
      <c r="D983" s="22" t="s">
        <v>88</v>
      </c>
      <c r="E983" s="22" t="s">
        <v>89</v>
      </c>
      <c r="F983" s="22" t="s">
        <v>44</v>
      </c>
      <c r="G983" s="23">
        <v>0</v>
      </c>
      <c r="H983" s="24">
        <v>29220</v>
      </c>
      <c r="I983" s="24">
        <v>0</v>
      </c>
      <c r="J983" s="24">
        <v>0</v>
      </c>
      <c r="K983" s="24">
        <v>0</v>
      </c>
      <c r="L983" s="32">
        <v>0</v>
      </c>
      <c r="M983" s="33">
        <v>0</v>
      </c>
      <c r="N983" s="27">
        <v>0</v>
      </c>
      <c r="O983" s="24">
        <v>0</v>
      </c>
      <c r="P983" s="24">
        <v>0</v>
      </c>
      <c r="Q983" s="28">
        <v>0</v>
      </c>
      <c r="R983" s="29">
        <v>0</v>
      </c>
      <c r="S983" s="29">
        <v>0</v>
      </c>
      <c r="T983" s="29">
        <v>0</v>
      </c>
      <c r="U983" s="30">
        <v>29220</v>
      </c>
    </row>
    <row r="984" spans="2:21" x14ac:dyDescent="0.25">
      <c r="B984" s="31" t="s">
        <v>1627</v>
      </c>
      <c r="C984" s="31">
        <v>90</v>
      </c>
      <c r="D984" s="22" t="s">
        <v>90</v>
      </c>
      <c r="E984" s="22" t="s">
        <v>91</v>
      </c>
      <c r="F984" s="22" t="s">
        <v>44</v>
      </c>
      <c r="G984" s="23">
        <v>0</v>
      </c>
      <c r="H984" s="24">
        <v>8880</v>
      </c>
      <c r="I984" s="24">
        <v>0</v>
      </c>
      <c r="J984" s="24">
        <v>0</v>
      </c>
      <c r="K984" s="24">
        <v>0</v>
      </c>
      <c r="L984" s="32">
        <v>0</v>
      </c>
      <c r="M984" s="33">
        <v>0</v>
      </c>
      <c r="N984" s="27">
        <v>0</v>
      </c>
      <c r="O984" s="24">
        <v>0</v>
      </c>
      <c r="P984" s="24">
        <v>0</v>
      </c>
      <c r="Q984" s="28">
        <v>0</v>
      </c>
      <c r="R984" s="29">
        <v>0</v>
      </c>
      <c r="S984" s="29">
        <v>0</v>
      </c>
      <c r="T984" s="29">
        <v>0</v>
      </c>
      <c r="U984" s="30">
        <v>8880</v>
      </c>
    </row>
    <row r="985" spans="2:21" x14ac:dyDescent="0.25">
      <c r="B985" s="31" t="s">
        <v>1627</v>
      </c>
      <c r="C985" s="31">
        <v>90</v>
      </c>
      <c r="D985" s="22" t="s">
        <v>92</v>
      </c>
      <c r="E985" s="22" t="s">
        <v>93</v>
      </c>
      <c r="F985" s="22" t="s">
        <v>44</v>
      </c>
      <c r="G985" s="23">
        <v>0</v>
      </c>
      <c r="H985" s="24">
        <v>24480</v>
      </c>
      <c r="I985" s="24">
        <v>0</v>
      </c>
      <c r="J985" s="24">
        <v>0</v>
      </c>
      <c r="K985" s="24">
        <v>0</v>
      </c>
      <c r="L985" s="32">
        <v>0</v>
      </c>
      <c r="M985" s="33">
        <v>0</v>
      </c>
      <c r="N985" s="27">
        <v>0</v>
      </c>
      <c r="O985" s="24">
        <v>0</v>
      </c>
      <c r="P985" s="24">
        <v>0</v>
      </c>
      <c r="Q985" s="28">
        <v>0</v>
      </c>
      <c r="R985" s="29">
        <v>0</v>
      </c>
      <c r="S985" s="29">
        <v>0</v>
      </c>
      <c r="T985" s="29">
        <v>0</v>
      </c>
      <c r="U985" s="30">
        <v>24480</v>
      </c>
    </row>
    <row r="986" spans="2:21" x14ac:dyDescent="0.25">
      <c r="B986" s="31" t="s">
        <v>1627</v>
      </c>
      <c r="C986" s="31">
        <v>90</v>
      </c>
      <c r="D986" s="22" t="s">
        <v>94</v>
      </c>
      <c r="E986" s="22" t="s">
        <v>95</v>
      </c>
      <c r="F986" s="22" t="s">
        <v>44</v>
      </c>
      <c r="G986" s="23">
        <v>0</v>
      </c>
      <c r="H986" s="24">
        <v>2880</v>
      </c>
      <c r="I986" s="24">
        <v>0</v>
      </c>
      <c r="J986" s="24">
        <v>0</v>
      </c>
      <c r="K986" s="24">
        <v>0</v>
      </c>
      <c r="L986" s="32">
        <v>0</v>
      </c>
      <c r="M986" s="33">
        <v>0</v>
      </c>
      <c r="N986" s="27">
        <v>0</v>
      </c>
      <c r="O986" s="24">
        <v>0</v>
      </c>
      <c r="P986" s="24">
        <v>0</v>
      </c>
      <c r="Q986" s="28">
        <v>0</v>
      </c>
      <c r="R986" s="29">
        <v>0</v>
      </c>
      <c r="S986" s="29">
        <v>0</v>
      </c>
      <c r="T986" s="29">
        <v>0</v>
      </c>
      <c r="U986" s="30">
        <v>2880</v>
      </c>
    </row>
    <row r="987" spans="2:21" x14ac:dyDescent="0.25">
      <c r="B987" s="31" t="s">
        <v>1627</v>
      </c>
      <c r="C987" s="22">
        <v>91</v>
      </c>
      <c r="D987" s="22" t="s">
        <v>96</v>
      </c>
      <c r="E987" s="22" t="s">
        <v>97</v>
      </c>
      <c r="F987" s="22" t="s">
        <v>44</v>
      </c>
      <c r="G987" s="23">
        <v>0</v>
      </c>
      <c r="H987" s="24">
        <v>12480</v>
      </c>
      <c r="I987" s="24">
        <v>0</v>
      </c>
      <c r="J987" s="24">
        <v>0</v>
      </c>
      <c r="K987" s="24">
        <v>0</v>
      </c>
      <c r="L987" s="32">
        <v>0</v>
      </c>
      <c r="M987" s="33">
        <v>0</v>
      </c>
      <c r="N987" s="27">
        <v>0</v>
      </c>
      <c r="O987" s="24">
        <v>0</v>
      </c>
      <c r="P987" s="24">
        <v>0</v>
      </c>
      <c r="Q987" s="28">
        <v>0</v>
      </c>
      <c r="R987" s="29">
        <v>0</v>
      </c>
      <c r="S987" s="29">
        <v>0</v>
      </c>
      <c r="T987" s="29">
        <v>0</v>
      </c>
      <c r="U987" s="30">
        <v>12480</v>
      </c>
    </row>
    <row r="988" spans="2:21" x14ac:dyDescent="0.25">
      <c r="B988" s="31" t="s">
        <v>1627</v>
      </c>
      <c r="C988" s="31">
        <v>91</v>
      </c>
      <c r="D988" s="22" t="s">
        <v>98</v>
      </c>
      <c r="E988" s="22" t="s">
        <v>99</v>
      </c>
      <c r="F988" s="22" t="s">
        <v>44</v>
      </c>
      <c r="G988" s="23">
        <v>0</v>
      </c>
      <c r="H988" s="24">
        <v>5460</v>
      </c>
      <c r="I988" s="24">
        <v>0</v>
      </c>
      <c r="J988" s="24">
        <v>0</v>
      </c>
      <c r="K988" s="24">
        <v>0</v>
      </c>
      <c r="L988" s="32">
        <v>0</v>
      </c>
      <c r="M988" s="33">
        <v>0</v>
      </c>
      <c r="N988" s="27">
        <v>0</v>
      </c>
      <c r="O988" s="24">
        <v>0</v>
      </c>
      <c r="P988" s="24">
        <v>0</v>
      </c>
      <c r="Q988" s="28">
        <v>0</v>
      </c>
      <c r="R988" s="29">
        <v>0</v>
      </c>
      <c r="S988" s="29">
        <v>0</v>
      </c>
      <c r="T988" s="29">
        <v>0</v>
      </c>
      <c r="U988" s="30">
        <v>5460</v>
      </c>
    </row>
    <row r="989" spans="2:21" x14ac:dyDescent="0.25">
      <c r="B989" s="31" t="s">
        <v>1627</v>
      </c>
      <c r="C989" s="31">
        <v>91</v>
      </c>
      <c r="D989" s="22" t="s">
        <v>100</v>
      </c>
      <c r="E989" s="22" t="s">
        <v>101</v>
      </c>
      <c r="F989" s="22" t="s">
        <v>44</v>
      </c>
      <c r="G989" s="23">
        <v>0</v>
      </c>
      <c r="H989" s="24">
        <v>17700</v>
      </c>
      <c r="I989" s="24">
        <v>0</v>
      </c>
      <c r="J989" s="24">
        <v>0</v>
      </c>
      <c r="K989" s="24">
        <v>0</v>
      </c>
      <c r="L989" s="32">
        <v>0</v>
      </c>
      <c r="M989" s="33">
        <v>0</v>
      </c>
      <c r="N989" s="27">
        <v>0</v>
      </c>
      <c r="O989" s="24">
        <v>0</v>
      </c>
      <c r="P989" s="24">
        <v>0</v>
      </c>
      <c r="Q989" s="28">
        <v>0</v>
      </c>
      <c r="R989" s="29">
        <v>0</v>
      </c>
      <c r="S989" s="29">
        <v>0</v>
      </c>
      <c r="T989" s="29">
        <v>0</v>
      </c>
      <c r="U989" s="30">
        <v>17700</v>
      </c>
    </row>
    <row r="990" spans="2:21" x14ac:dyDescent="0.25">
      <c r="B990" s="31" t="s">
        <v>1627</v>
      </c>
      <c r="C990" s="31">
        <v>91</v>
      </c>
      <c r="D990" s="22" t="s">
        <v>102</v>
      </c>
      <c r="E990" s="22" t="s">
        <v>103</v>
      </c>
      <c r="F990" s="22" t="s">
        <v>44</v>
      </c>
      <c r="G990" s="23">
        <v>0</v>
      </c>
      <c r="H990" s="24">
        <v>8340</v>
      </c>
      <c r="I990" s="24">
        <v>0</v>
      </c>
      <c r="J990" s="24">
        <v>0</v>
      </c>
      <c r="K990" s="24">
        <v>0</v>
      </c>
      <c r="L990" s="32">
        <v>0</v>
      </c>
      <c r="M990" s="33">
        <v>0</v>
      </c>
      <c r="N990" s="27">
        <v>0</v>
      </c>
      <c r="O990" s="24">
        <v>0</v>
      </c>
      <c r="P990" s="24">
        <v>0</v>
      </c>
      <c r="Q990" s="28">
        <v>0</v>
      </c>
      <c r="R990" s="29">
        <v>0</v>
      </c>
      <c r="S990" s="29">
        <v>0</v>
      </c>
      <c r="T990" s="29">
        <v>0</v>
      </c>
      <c r="U990" s="30">
        <v>8340</v>
      </c>
    </row>
    <row r="991" spans="2:21" x14ac:dyDescent="0.25">
      <c r="B991" s="31" t="s">
        <v>1627</v>
      </c>
      <c r="C991" s="31">
        <v>91</v>
      </c>
      <c r="D991" s="22" t="s">
        <v>104</v>
      </c>
      <c r="E991" s="22" t="s">
        <v>1630</v>
      </c>
      <c r="F991" s="22" t="s">
        <v>44</v>
      </c>
      <c r="G991" s="23">
        <v>0</v>
      </c>
      <c r="H991" s="24">
        <v>2880</v>
      </c>
      <c r="I991" s="24">
        <v>0</v>
      </c>
      <c r="J991" s="24">
        <v>0</v>
      </c>
      <c r="K991" s="24">
        <v>0</v>
      </c>
      <c r="L991" s="32">
        <v>0</v>
      </c>
      <c r="M991" s="33">
        <v>0</v>
      </c>
      <c r="N991" s="27">
        <v>0</v>
      </c>
      <c r="O991" s="24">
        <v>0</v>
      </c>
      <c r="P991" s="24">
        <v>0</v>
      </c>
      <c r="Q991" s="28">
        <v>0</v>
      </c>
      <c r="R991" s="29">
        <v>0</v>
      </c>
      <c r="S991" s="29">
        <v>0</v>
      </c>
      <c r="T991" s="29">
        <v>0</v>
      </c>
      <c r="U991" s="30">
        <v>2880</v>
      </c>
    </row>
    <row r="992" spans="2:21" x14ac:dyDescent="0.25">
      <c r="B992" s="31" t="s">
        <v>1627</v>
      </c>
      <c r="C992" s="31">
        <v>91</v>
      </c>
      <c r="D992" s="22" t="s">
        <v>106</v>
      </c>
      <c r="E992" s="22" t="s">
        <v>107</v>
      </c>
      <c r="F992" s="22" t="s">
        <v>44</v>
      </c>
      <c r="G992" s="23">
        <v>0</v>
      </c>
      <c r="H992" s="24">
        <v>2880</v>
      </c>
      <c r="I992" s="24">
        <v>0</v>
      </c>
      <c r="J992" s="24">
        <v>0</v>
      </c>
      <c r="K992" s="24">
        <v>0</v>
      </c>
      <c r="L992" s="32">
        <v>0</v>
      </c>
      <c r="M992" s="33">
        <v>0</v>
      </c>
      <c r="N992" s="27">
        <v>0</v>
      </c>
      <c r="O992" s="24">
        <v>0</v>
      </c>
      <c r="P992" s="24">
        <v>0</v>
      </c>
      <c r="Q992" s="28">
        <v>0</v>
      </c>
      <c r="R992" s="29">
        <v>0</v>
      </c>
      <c r="S992" s="29">
        <v>0</v>
      </c>
      <c r="T992" s="29">
        <v>0</v>
      </c>
      <c r="U992" s="30">
        <v>2880</v>
      </c>
    </row>
    <row r="993" spans="2:21" x14ac:dyDescent="0.25">
      <c r="B993" s="31" t="s">
        <v>1627</v>
      </c>
      <c r="C993" s="31">
        <v>91</v>
      </c>
      <c r="D993" s="22" t="s">
        <v>108</v>
      </c>
      <c r="E993" s="22" t="s">
        <v>184</v>
      </c>
      <c r="F993" s="22" t="s">
        <v>44</v>
      </c>
      <c r="G993" s="23">
        <v>0</v>
      </c>
      <c r="H993" s="24">
        <v>1170</v>
      </c>
      <c r="I993" s="24">
        <v>0</v>
      </c>
      <c r="J993" s="24">
        <v>0</v>
      </c>
      <c r="K993" s="24">
        <v>0</v>
      </c>
      <c r="L993" s="32">
        <v>0</v>
      </c>
      <c r="M993" s="33">
        <v>0</v>
      </c>
      <c r="N993" s="27">
        <v>0</v>
      </c>
      <c r="O993" s="24">
        <v>0</v>
      </c>
      <c r="P993" s="24">
        <v>0</v>
      </c>
      <c r="Q993" s="28">
        <v>0</v>
      </c>
      <c r="R993" s="29">
        <v>0</v>
      </c>
      <c r="S993" s="29">
        <v>0</v>
      </c>
      <c r="T993" s="29">
        <v>0</v>
      </c>
      <c r="U993" s="30">
        <v>1170</v>
      </c>
    </row>
    <row r="994" spans="2:21" x14ac:dyDescent="0.25">
      <c r="B994" s="31" t="s">
        <v>1627</v>
      </c>
      <c r="C994" s="31">
        <v>91</v>
      </c>
      <c r="D994" s="22" t="s">
        <v>110</v>
      </c>
      <c r="E994" s="22" t="s">
        <v>111</v>
      </c>
      <c r="F994" s="22" t="s">
        <v>44</v>
      </c>
      <c r="G994" s="23">
        <v>0</v>
      </c>
      <c r="H994" s="24">
        <v>240</v>
      </c>
      <c r="I994" s="24">
        <v>0</v>
      </c>
      <c r="J994" s="24">
        <v>0</v>
      </c>
      <c r="K994" s="24">
        <v>0</v>
      </c>
      <c r="L994" s="32">
        <v>0</v>
      </c>
      <c r="M994" s="33">
        <v>0</v>
      </c>
      <c r="N994" s="27">
        <v>0</v>
      </c>
      <c r="O994" s="24">
        <v>0</v>
      </c>
      <c r="P994" s="24">
        <v>0</v>
      </c>
      <c r="Q994" s="28">
        <v>0</v>
      </c>
      <c r="R994" s="29">
        <v>0</v>
      </c>
      <c r="S994" s="29">
        <v>0</v>
      </c>
      <c r="T994" s="29">
        <v>0</v>
      </c>
      <c r="U994" s="30">
        <v>240</v>
      </c>
    </row>
    <row r="995" spans="2:21" x14ac:dyDescent="0.25">
      <c r="B995" s="31" t="s">
        <v>1627</v>
      </c>
      <c r="C995" s="22">
        <v>92</v>
      </c>
      <c r="D995" s="22" t="s">
        <v>112</v>
      </c>
      <c r="E995" s="22" t="s">
        <v>237</v>
      </c>
      <c r="F995" s="22" t="s">
        <v>44</v>
      </c>
      <c r="G995" s="23">
        <v>0</v>
      </c>
      <c r="H995" s="24">
        <v>1000</v>
      </c>
      <c r="I995" s="24">
        <v>0</v>
      </c>
      <c r="J995" s="24">
        <v>0</v>
      </c>
      <c r="K995" s="24">
        <v>0</v>
      </c>
      <c r="L995" s="32">
        <v>0</v>
      </c>
      <c r="M995" s="33">
        <v>0</v>
      </c>
      <c r="N995" s="27">
        <v>0</v>
      </c>
      <c r="O995" s="24">
        <v>0</v>
      </c>
      <c r="P995" s="24">
        <v>0</v>
      </c>
      <c r="Q995" s="28">
        <v>0</v>
      </c>
      <c r="R995" s="29">
        <v>0</v>
      </c>
      <c r="S995" s="29">
        <v>0</v>
      </c>
      <c r="T995" s="29">
        <v>0</v>
      </c>
      <c r="U995" s="30">
        <v>1000</v>
      </c>
    </row>
    <row r="996" spans="2:21" x14ac:dyDescent="0.25">
      <c r="B996" s="31" t="s">
        <v>1627</v>
      </c>
      <c r="C996" s="22">
        <v>93</v>
      </c>
      <c r="D996" s="22" t="s">
        <v>114</v>
      </c>
      <c r="E996" s="22" t="s">
        <v>192</v>
      </c>
      <c r="F996" s="22" t="s">
        <v>44</v>
      </c>
      <c r="G996" s="23">
        <v>0</v>
      </c>
      <c r="H996" s="24">
        <v>0</v>
      </c>
      <c r="I996" s="24">
        <v>0</v>
      </c>
      <c r="J996" s="24">
        <v>0</v>
      </c>
      <c r="K996" s="24">
        <v>0</v>
      </c>
      <c r="L996" s="32">
        <v>0</v>
      </c>
      <c r="M996" s="33">
        <v>0</v>
      </c>
      <c r="N996" s="27">
        <v>0</v>
      </c>
      <c r="O996" s="24">
        <v>0</v>
      </c>
      <c r="P996" s="24">
        <v>0</v>
      </c>
      <c r="Q996" s="28">
        <v>0</v>
      </c>
      <c r="R996" s="29">
        <v>0</v>
      </c>
      <c r="S996" s="29">
        <v>0</v>
      </c>
      <c r="T996" s="29">
        <v>0</v>
      </c>
      <c r="U996" s="30">
        <v>0</v>
      </c>
    </row>
    <row r="997" spans="2:21" x14ac:dyDescent="0.25">
      <c r="B997" s="31" t="s">
        <v>1627</v>
      </c>
      <c r="C997" s="22">
        <v>99</v>
      </c>
      <c r="D997" s="22" t="s">
        <v>126</v>
      </c>
      <c r="E997" s="22" t="s">
        <v>127</v>
      </c>
      <c r="F997" s="22" t="s">
        <v>44</v>
      </c>
      <c r="G997" s="23">
        <v>0</v>
      </c>
      <c r="H997" s="24">
        <v>0</v>
      </c>
      <c r="I997" s="24">
        <v>0</v>
      </c>
      <c r="J997" s="24">
        <v>0</v>
      </c>
      <c r="K997" s="24">
        <v>0</v>
      </c>
      <c r="L997" s="32">
        <v>0</v>
      </c>
      <c r="M997" s="33">
        <v>0</v>
      </c>
      <c r="N997" s="27">
        <v>0</v>
      </c>
      <c r="O997" s="24">
        <v>0</v>
      </c>
      <c r="P997" s="24">
        <v>0</v>
      </c>
      <c r="Q997" s="28">
        <v>0</v>
      </c>
      <c r="R997" s="29">
        <v>0</v>
      </c>
      <c r="S997" s="29">
        <v>0</v>
      </c>
      <c r="T997" s="29">
        <v>0</v>
      </c>
      <c r="U997" s="30">
        <v>0</v>
      </c>
    </row>
    <row r="998" spans="2:21" ht="16.5" thickBot="1" x14ac:dyDescent="0.3">
      <c r="B998" s="37" t="s">
        <v>27</v>
      </c>
      <c r="C998" s="38"/>
      <c r="D998" s="38"/>
      <c r="E998" s="38"/>
      <c r="F998" s="38"/>
      <c r="G998" s="39">
        <v>6184761.2019999996</v>
      </c>
      <c r="H998" s="40">
        <v>5928642.5200000014</v>
      </c>
      <c r="I998" s="40">
        <v>1286716.6100000003</v>
      </c>
      <c r="J998" s="40">
        <v>1805093.3000000003</v>
      </c>
      <c r="K998" s="40">
        <v>109751.82200000001</v>
      </c>
      <c r="L998" s="41">
        <v>96446</v>
      </c>
      <c r="M998" s="42">
        <v>117299.05796093814</v>
      </c>
      <c r="N998" s="43">
        <v>1205774.5965900926</v>
      </c>
      <c r="O998" s="40">
        <v>5795029.3499999996</v>
      </c>
      <c r="P998" s="40">
        <v>5653992.8235184699</v>
      </c>
      <c r="Q998" s="44">
        <v>0.2</v>
      </c>
      <c r="R998" s="45">
        <v>1.22</v>
      </c>
      <c r="S998" s="45">
        <v>0.67</v>
      </c>
      <c r="T998" s="45">
        <v>83733</v>
      </c>
      <c r="U998" s="46">
        <v>4039816.2200000011</v>
      </c>
    </row>
    <row r="999" spans="2:21" x14ac:dyDescent="0.25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 spans="2:21" x14ac:dyDescent="0.25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  <row r="1001" spans="2:21" x14ac:dyDescent="0.25"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</row>
    <row r="1002" spans="2:21" x14ac:dyDescent="0.25"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</row>
    <row r="1003" spans="2:21" x14ac:dyDescent="0.25"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</row>
    <row r="1004" spans="2:21" x14ac:dyDescent="0.25"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</row>
    <row r="1005" spans="2:21" x14ac:dyDescent="0.25"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</row>
    <row r="1006" spans="2:21" x14ac:dyDescent="0.25"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</row>
    <row r="1007" spans="2:21" x14ac:dyDescent="0.25"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</row>
    <row r="1008" spans="2:21" x14ac:dyDescent="0.25"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</row>
    <row r="1009" spans="2:21" x14ac:dyDescent="0.25"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</row>
    <row r="1010" spans="2:21" x14ac:dyDescent="0.25"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</row>
    <row r="1011" spans="2:21" x14ac:dyDescent="0.25"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</row>
    <row r="1012" spans="2:21" x14ac:dyDescent="0.25"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</row>
    <row r="1013" spans="2:21" x14ac:dyDescent="0.25"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</row>
    <row r="1014" spans="2:21" x14ac:dyDescent="0.25"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</row>
    <row r="1015" spans="2:21" x14ac:dyDescent="0.25"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</row>
    <row r="1016" spans="2:21" x14ac:dyDescent="0.25"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</row>
    <row r="1017" spans="2:21" x14ac:dyDescent="0.25"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</row>
    <row r="1018" spans="2:21" x14ac:dyDescent="0.25"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</row>
    <row r="1019" spans="2:21" x14ac:dyDescent="0.25"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</row>
    <row r="1020" spans="2:21" x14ac:dyDescent="0.25"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</row>
    <row r="1021" spans="2:21" x14ac:dyDescent="0.25"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</row>
    <row r="1022" spans="2:21" x14ac:dyDescent="0.25"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</row>
    <row r="1023" spans="2:21" x14ac:dyDescent="0.25"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</row>
    <row r="1024" spans="2:21" x14ac:dyDescent="0.25"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</row>
    <row r="1025" spans="2:21" x14ac:dyDescent="0.25"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</row>
    <row r="1026" spans="2:21" x14ac:dyDescent="0.25"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</row>
    <row r="1027" spans="2:21" x14ac:dyDescent="0.25"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</row>
    <row r="1028" spans="2:21" x14ac:dyDescent="0.25"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</row>
    <row r="1029" spans="2:21" x14ac:dyDescent="0.25"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</row>
    <row r="1030" spans="2:21" x14ac:dyDescent="0.25"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</row>
    <row r="1031" spans="2:21" x14ac:dyDescent="0.25"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</row>
    <row r="1032" spans="2:21" x14ac:dyDescent="0.25"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</row>
    <row r="1033" spans="2:21" x14ac:dyDescent="0.25"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</row>
    <row r="1034" spans="2:21" x14ac:dyDescent="0.25"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</row>
    <row r="1035" spans="2:21" x14ac:dyDescent="0.25"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</row>
    <row r="1036" spans="2:21" x14ac:dyDescent="0.25"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</row>
    <row r="1037" spans="2:21" x14ac:dyDescent="0.25"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</row>
    <row r="1038" spans="2:21" x14ac:dyDescent="0.25"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</row>
    <row r="1039" spans="2:21" x14ac:dyDescent="0.25"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</row>
    <row r="1040" spans="2:21" x14ac:dyDescent="0.25"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</row>
    <row r="1041" spans="2:21" x14ac:dyDescent="0.25"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</row>
    <row r="1042" spans="2:21" x14ac:dyDescent="0.25"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</row>
    <row r="1043" spans="2:21" x14ac:dyDescent="0.25"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</row>
    <row r="1044" spans="2:21" x14ac:dyDescent="0.25"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</row>
    <row r="1045" spans="2:21" x14ac:dyDescent="0.25"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</row>
    <row r="1046" spans="2:21" x14ac:dyDescent="0.25"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</row>
    <row r="1047" spans="2:21" x14ac:dyDescent="0.25"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</row>
    <row r="1048" spans="2:21" x14ac:dyDescent="0.25"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</row>
    <row r="1049" spans="2:21" x14ac:dyDescent="0.25"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</row>
    <row r="1050" spans="2:21" x14ac:dyDescent="0.25"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</row>
    <row r="1051" spans="2:21" x14ac:dyDescent="0.25"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</row>
    <row r="1052" spans="2:21" x14ac:dyDescent="0.25"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</row>
    <row r="1053" spans="2:21" x14ac:dyDescent="0.25"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</row>
    <row r="1054" spans="2:21" x14ac:dyDescent="0.25"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</row>
    <row r="1055" spans="2:21" x14ac:dyDescent="0.25"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</row>
    <row r="1056" spans="2:21" x14ac:dyDescent="0.25"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</row>
    <row r="1057" spans="2:21" x14ac:dyDescent="0.25"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</row>
    <row r="1058" spans="2:21" x14ac:dyDescent="0.25"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</row>
    <row r="1059" spans="2:21" x14ac:dyDescent="0.25"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</row>
    <row r="1060" spans="2:21" x14ac:dyDescent="0.25"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</row>
    <row r="1061" spans="2:21" x14ac:dyDescent="0.25"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</row>
    <row r="1062" spans="2:21" x14ac:dyDescent="0.25"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</row>
    <row r="1063" spans="2:21" x14ac:dyDescent="0.25"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</row>
    <row r="1064" spans="2:21" x14ac:dyDescent="0.25"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</row>
    <row r="1065" spans="2:21" x14ac:dyDescent="0.25"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</row>
    <row r="1066" spans="2:21" x14ac:dyDescent="0.25"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</row>
    <row r="1067" spans="2:21" x14ac:dyDescent="0.25"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</row>
    <row r="1068" spans="2:21" x14ac:dyDescent="0.25"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</row>
    <row r="1069" spans="2:21" x14ac:dyDescent="0.25"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</row>
    <row r="1070" spans="2:21" x14ac:dyDescent="0.25"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</row>
    <row r="1071" spans="2:21" x14ac:dyDescent="0.25"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</row>
    <row r="1072" spans="2:21" x14ac:dyDescent="0.25"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</row>
    <row r="1073" spans="2:21" x14ac:dyDescent="0.25"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</row>
    <row r="1074" spans="2:21" x14ac:dyDescent="0.25"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</row>
    <row r="1075" spans="2:21" x14ac:dyDescent="0.25"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</row>
    <row r="1076" spans="2:21" x14ac:dyDescent="0.25"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</row>
    <row r="1077" spans="2:21" x14ac:dyDescent="0.25"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</row>
    <row r="1078" spans="2:21" x14ac:dyDescent="0.25"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</row>
    <row r="1079" spans="2:21" x14ac:dyDescent="0.25"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</row>
    <row r="1080" spans="2:21" x14ac:dyDescent="0.25"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</row>
    <row r="1081" spans="2:21" x14ac:dyDescent="0.25"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</row>
    <row r="1082" spans="2:21" x14ac:dyDescent="0.25"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</row>
    <row r="1083" spans="2:21" x14ac:dyDescent="0.25"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</row>
    <row r="1084" spans="2:21" x14ac:dyDescent="0.25"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</row>
    <row r="1085" spans="2:21" x14ac:dyDescent="0.25"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</row>
    <row r="1086" spans="2:21" x14ac:dyDescent="0.25"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</row>
    <row r="1087" spans="2:21" x14ac:dyDescent="0.25"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</row>
    <row r="1088" spans="2:21" x14ac:dyDescent="0.25"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</row>
    <row r="1089" spans="2:21" x14ac:dyDescent="0.25"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</row>
    <row r="1090" spans="2:21" x14ac:dyDescent="0.25"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</row>
    <row r="1091" spans="2:21" x14ac:dyDescent="0.25"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</row>
    <row r="1092" spans="2:21" x14ac:dyDescent="0.25"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</row>
    <row r="1093" spans="2:21" x14ac:dyDescent="0.25"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</row>
    <row r="1094" spans="2:21" x14ac:dyDescent="0.25"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</row>
    <row r="1095" spans="2:21" x14ac:dyDescent="0.25"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</row>
    <row r="1096" spans="2:21" x14ac:dyDescent="0.25"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</row>
    <row r="1097" spans="2:21" x14ac:dyDescent="0.25"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</row>
    <row r="1098" spans="2:21" x14ac:dyDescent="0.25"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</row>
    <row r="1099" spans="2:21" x14ac:dyDescent="0.25"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</row>
    <row r="1100" spans="2:21" x14ac:dyDescent="0.25"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</row>
    <row r="1101" spans="2:21" x14ac:dyDescent="0.25"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</row>
    <row r="1102" spans="2:21" x14ac:dyDescent="0.25"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</row>
    <row r="1103" spans="2:21" x14ac:dyDescent="0.25"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</row>
    <row r="1104" spans="2:21" x14ac:dyDescent="0.25"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</row>
    <row r="1105" spans="2:21" x14ac:dyDescent="0.25"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</row>
    <row r="1106" spans="2:21" x14ac:dyDescent="0.25"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</row>
    <row r="1107" spans="2:21" x14ac:dyDescent="0.25"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</row>
    <row r="1108" spans="2:21" x14ac:dyDescent="0.25"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</row>
    <row r="1109" spans="2:21" x14ac:dyDescent="0.25"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</row>
    <row r="1110" spans="2:21" x14ac:dyDescent="0.25"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</row>
    <row r="1111" spans="2:21" x14ac:dyDescent="0.25"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</row>
    <row r="1112" spans="2:21" x14ac:dyDescent="0.25"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</row>
    <row r="1113" spans="2:21" x14ac:dyDescent="0.25"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</row>
    <row r="1114" spans="2:21" x14ac:dyDescent="0.25"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</row>
    <row r="1115" spans="2:21" x14ac:dyDescent="0.25"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</row>
    <row r="1116" spans="2:21" x14ac:dyDescent="0.25"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</row>
    <row r="1117" spans="2:21" x14ac:dyDescent="0.25"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</row>
    <row r="1118" spans="2:21" x14ac:dyDescent="0.25"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</row>
    <row r="1119" spans="2:21" x14ac:dyDescent="0.25"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</row>
    <row r="1120" spans="2:21" x14ac:dyDescent="0.25"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</row>
    <row r="1121" spans="2:21" x14ac:dyDescent="0.25"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</row>
    <row r="1122" spans="2:21" x14ac:dyDescent="0.25"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</row>
    <row r="1123" spans="2:21" x14ac:dyDescent="0.25"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</row>
    <row r="1124" spans="2:21" x14ac:dyDescent="0.25"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</row>
    <row r="1125" spans="2:21" x14ac:dyDescent="0.25"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</row>
    <row r="1126" spans="2:21" x14ac:dyDescent="0.25"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</row>
    <row r="1127" spans="2:21" x14ac:dyDescent="0.25"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</row>
    <row r="1128" spans="2:21" x14ac:dyDescent="0.25"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</row>
    <row r="1129" spans="2:21" x14ac:dyDescent="0.25"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</row>
    <row r="1130" spans="2:21" x14ac:dyDescent="0.25"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</row>
    <row r="1131" spans="2:21" x14ac:dyDescent="0.25"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</row>
    <row r="1132" spans="2:21" x14ac:dyDescent="0.25"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</row>
    <row r="1133" spans="2:21" x14ac:dyDescent="0.25"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</row>
    <row r="1134" spans="2:21" x14ac:dyDescent="0.25"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</row>
    <row r="1135" spans="2:21" x14ac:dyDescent="0.25"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</row>
    <row r="1136" spans="2:21" x14ac:dyDescent="0.25"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</row>
    <row r="1137" spans="2:21" x14ac:dyDescent="0.25"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</row>
    <row r="1138" spans="2:21" x14ac:dyDescent="0.25"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</row>
    <row r="1139" spans="2:21" x14ac:dyDescent="0.25"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</row>
    <row r="1140" spans="2:21" x14ac:dyDescent="0.25"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</row>
    <row r="1141" spans="2:21" x14ac:dyDescent="0.25"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</row>
    <row r="1142" spans="2:21" x14ac:dyDescent="0.25"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</row>
    <row r="1143" spans="2:21" x14ac:dyDescent="0.25"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</row>
    <row r="1144" spans="2:21" x14ac:dyDescent="0.25"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</row>
    <row r="1145" spans="2:21" x14ac:dyDescent="0.25"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</row>
    <row r="1146" spans="2:21" x14ac:dyDescent="0.25"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</row>
    <row r="1147" spans="2:21" x14ac:dyDescent="0.25"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</row>
    <row r="1148" spans="2:21" x14ac:dyDescent="0.25"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</row>
    <row r="1149" spans="2:21" x14ac:dyDescent="0.25"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</row>
    <row r="1150" spans="2:21" x14ac:dyDescent="0.25"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</row>
    <row r="1151" spans="2:21" x14ac:dyDescent="0.25"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</row>
    <row r="1152" spans="2:21" x14ac:dyDescent="0.25"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</row>
    <row r="1153" spans="2:21" x14ac:dyDescent="0.25"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</row>
    <row r="1154" spans="2:21" x14ac:dyDescent="0.25"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</row>
    <row r="1155" spans="2:21" x14ac:dyDescent="0.25"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</row>
    <row r="1156" spans="2:21" x14ac:dyDescent="0.25"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</row>
    <row r="1157" spans="2:21" x14ac:dyDescent="0.25"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</row>
    <row r="1158" spans="2:21" x14ac:dyDescent="0.25"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</row>
    <row r="1159" spans="2:21" x14ac:dyDescent="0.25"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</row>
    <row r="1160" spans="2:21" x14ac:dyDescent="0.25"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</row>
    <row r="1161" spans="2:21" x14ac:dyDescent="0.25"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</row>
    <row r="1162" spans="2:21" x14ac:dyDescent="0.25"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</row>
    <row r="1163" spans="2:21" x14ac:dyDescent="0.25"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</row>
    <row r="1164" spans="2:21" x14ac:dyDescent="0.25"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</row>
    <row r="1165" spans="2:21" x14ac:dyDescent="0.25"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</row>
    <row r="1166" spans="2:21" x14ac:dyDescent="0.25"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</row>
    <row r="1167" spans="2:21" x14ac:dyDescent="0.25"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</row>
    <row r="1168" spans="2:21" x14ac:dyDescent="0.25"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</row>
    <row r="1169" spans="2:21" x14ac:dyDescent="0.25"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</row>
    <row r="1170" spans="2:21" x14ac:dyDescent="0.25"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</row>
    <row r="1171" spans="2:21" x14ac:dyDescent="0.25"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</row>
    <row r="1172" spans="2:21" x14ac:dyDescent="0.25"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</row>
    <row r="1173" spans="2:21" x14ac:dyDescent="0.25"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</row>
    <row r="1174" spans="2:21" x14ac:dyDescent="0.25"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</row>
    <row r="1175" spans="2:21" x14ac:dyDescent="0.25"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</row>
    <row r="1176" spans="2:21" x14ac:dyDescent="0.25"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</row>
    <row r="1177" spans="2:21" x14ac:dyDescent="0.25"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</row>
    <row r="1178" spans="2:21" x14ac:dyDescent="0.25"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</row>
    <row r="1179" spans="2:21" x14ac:dyDescent="0.25"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</row>
    <row r="1180" spans="2:21" x14ac:dyDescent="0.25"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</row>
    <row r="1181" spans="2:21" x14ac:dyDescent="0.25"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</row>
    <row r="1182" spans="2:21" x14ac:dyDescent="0.25"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</row>
    <row r="1183" spans="2:21" x14ac:dyDescent="0.25"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</row>
    <row r="1184" spans="2:21" x14ac:dyDescent="0.25"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</row>
    <row r="1185" spans="2:21" x14ac:dyDescent="0.25"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</row>
    <row r="1186" spans="2:21" x14ac:dyDescent="0.25"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</row>
    <row r="1187" spans="2:21" x14ac:dyDescent="0.25"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</row>
    <row r="1188" spans="2:21" x14ac:dyDescent="0.25"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</row>
    <row r="1189" spans="2:21" x14ac:dyDescent="0.25"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</row>
    <row r="1190" spans="2:21" x14ac:dyDescent="0.25"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</row>
    <row r="1191" spans="2:21" x14ac:dyDescent="0.25"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</row>
    <row r="1192" spans="2:21" x14ac:dyDescent="0.25"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</row>
    <row r="1193" spans="2:21" x14ac:dyDescent="0.25"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</row>
    <row r="1194" spans="2:21" x14ac:dyDescent="0.25"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</row>
    <row r="1195" spans="2:21" x14ac:dyDescent="0.25"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</row>
    <row r="1196" spans="2:21" x14ac:dyDescent="0.25"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</row>
    <row r="1197" spans="2:21" x14ac:dyDescent="0.25"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</row>
    <row r="1198" spans="2:21" x14ac:dyDescent="0.25"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</row>
    <row r="1199" spans="2:21" x14ac:dyDescent="0.25"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</row>
    <row r="1200" spans="2:21" x14ac:dyDescent="0.25"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</row>
    <row r="1201" spans="2:21" x14ac:dyDescent="0.25"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</row>
    <row r="1202" spans="2:21" x14ac:dyDescent="0.25"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</row>
    <row r="1203" spans="2:21" x14ac:dyDescent="0.25"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</row>
    <row r="1204" spans="2:21" x14ac:dyDescent="0.25"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</row>
    <row r="1205" spans="2:21" x14ac:dyDescent="0.25"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</row>
    <row r="1206" spans="2:21" x14ac:dyDescent="0.25"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</row>
    <row r="1207" spans="2:21" x14ac:dyDescent="0.25"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</row>
    <row r="1208" spans="2:21" x14ac:dyDescent="0.25"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</row>
    <row r="1209" spans="2:21" x14ac:dyDescent="0.25"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</row>
    <row r="1210" spans="2:21" x14ac:dyDescent="0.25"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</row>
    <row r="1211" spans="2:21" x14ac:dyDescent="0.25"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</row>
    <row r="1212" spans="2:21" x14ac:dyDescent="0.25"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</row>
    <row r="1213" spans="2:21" x14ac:dyDescent="0.25"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</row>
    <row r="1214" spans="2:21" x14ac:dyDescent="0.25"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</row>
    <row r="1215" spans="2:21" x14ac:dyDescent="0.25"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</row>
    <row r="1216" spans="2:21" x14ac:dyDescent="0.25"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</row>
    <row r="1217" spans="2:21" x14ac:dyDescent="0.25"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</row>
    <row r="1218" spans="2:21" x14ac:dyDescent="0.25"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</row>
    <row r="1219" spans="2:21" x14ac:dyDescent="0.25"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</row>
    <row r="1220" spans="2:21" x14ac:dyDescent="0.25"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</row>
    <row r="1221" spans="2:21" x14ac:dyDescent="0.25"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</row>
    <row r="1222" spans="2:21" x14ac:dyDescent="0.25"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</row>
    <row r="1223" spans="2:21" x14ac:dyDescent="0.25"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</row>
    <row r="1224" spans="2:21" x14ac:dyDescent="0.25"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</row>
    <row r="1225" spans="2:21" x14ac:dyDescent="0.25"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</row>
    <row r="1226" spans="2:21" x14ac:dyDescent="0.25"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</row>
    <row r="1227" spans="2:21" x14ac:dyDescent="0.25"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</row>
    <row r="1228" spans="2:21" x14ac:dyDescent="0.25"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</row>
    <row r="1229" spans="2:21" x14ac:dyDescent="0.25"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</row>
    <row r="1230" spans="2:21" x14ac:dyDescent="0.25"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</row>
    <row r="1231" spans="2:21" x14ac:dyDescent="0.25"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</row>
    <row r="1232" spans="2:21" x14ac:dyDescent="0.25"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</row>
    <row r="1233" spans="2:21" x14ac:dyDescent="0.25"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</row>
    <row r="1234" spans="2:21" x14ac:dyDescent="0.25"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</row>
    <row r="1235" spans="2:21" x14ac:dyDescent="0.25"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</row>
    <row r="1236" spans="2:21" x14ac:dyDescent="0.25"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</row>
    <row r="1237" spans="2:21" x14ac:dyDescent="0.25"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</row>
    <row r="1238" spans="2:21" x14ac:dyDescent="0.25"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</row>
    <row r="1239" spans="2:21" x14ac:dyDescent="0.25"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</row>
    <row r="1240" spans="2:21" x14ac:dyDescent="0.25"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</row>
    <row r="1241" spans="2:21" x14ac:dyDescent="0.25"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</row>
    <row r="1242" spans="2:21" x14ac:dyDescent="0.25"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</row>
    <row r="1243" spans="2:21" x14ac:dyDescent="0.25"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</row>
    <row r="1244" spans="2:21" x14ac:dyDescent="0.25"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</row>
    <row r="1245" spans="2:21" x14ac:dyDescent="0.25"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</row>
    <row r="1246" spans="2:21" x14ac:dyDescent="0.25"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</row>
    <row r="1247" spans="2:21" x14ac:dyDescent="0.25"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</row>
    <row r="1248" spans="2:21" x14ac:dyDescent="0.25"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</row>
    <row r="1249" spans="2:21" x14ac:dyDescent="0.25"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</row>
    <row r="1250" spans="2:21" x14ac:dyDescent="0.25"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</row>
    <row r="1251" spans="2:21" x14ac:dyDescent="0.25"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</row>
    <row r="1252" spans="2:21" x14ac:dyDescent="0.25"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</row>
    <row r="1253" spans="2:21" x14ac:dyDescent="0.25"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</row>
    <row r="1254" spans="2:21" x14ac:dyDescent="0.25"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</row>
    <row r="1255" spans="2:21" x14ac:dyDescent="0.25"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</row>
    <row r="1256" spans="2:21" x14ac:dyDescent="0.25"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</row>
    <row r="1257" spans="2:21" x14ac:dyDescent="0.25"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</row>
    <row r="1258" spans="2:21" x14ac:dyDescent="0.25"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</row>
    <row r="1259" spans="2:21" x14ac:dyDescent="0.25"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</row>
    <row r="1260" spans="2:21" x14ac:dyDescent="0.25"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</row>
    <row r="1261" spans="2:21" x14ac:dyDescent="0.25"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</row>
    <row r="1262" spans="2:21" x14ac:dyDescent="0.25"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</row>
    <row r="1263" spans="2:21" x14ac:dyDescent="0.25"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</row>
    <row r="1264" spans="2:21" x14ac:dyDescent="0.25"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</row>
    <row r="1265" spans="2:21" x14ac:dyDescent="0.25"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</row>
    <row r="1266" spans="2:21" x14ac:dyDescent="0.25"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</row>
    <row r="1267" spans="2:21" x14ac:dyDescent="0.25"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</row>
    <row r="1268" spans="2:21" x14ac:dyDescent="0.25"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</row>
    <row r="1269" spans="2:21" x14ac:dyDescent="0.25"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</row>
    <row r="1270" spans="2:21" x14ac:dyDescent="0.25"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</row>
    <row r="1271" spans="2:21" x14ac:dyDescent="0.25"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</row>
    <row r="1272" spans="2:21" x14ac:dyDescent="0.25"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</row>
    <row r="1273" spans="2:21" x14ac:dyDescent="0.25"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</row>
    <row r="1274" spans="2:21" x14ac:dyDescent="0.25"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</row>
    <row r="1275" spans="2:21" x14ac:dyDescent="0.25"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</row>
    <row r="1276" spans="2:21" x14ac:dyDescent="0.25"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</row>
    <row r="1277" spans="2:21" x14ac:dyDescent="0.25"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</row>
    <row r="1278" spans="2:21" x14ac:dyDescent="0.25"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</row>
    <row r="1279" spans="2:21" x14ac:dyDescent="0.25"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</row>
    <row r="1280" spans="2:21" x14ac:dyDescent="0.25"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</row>
    <row r="1281" spans="2:21" x14ac:dyDescent="0.25"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</row>
    <row r="1282" spans="2:21" x14ac:dyDescent="0.25"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</row>
    <row r="1283" spans="2:21" x14ac:dyDescent="0.25"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</row>
    <row r="1284" spans="2:21" x14ac:dyDescent="0.25"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</row>
    <row r="1285" spans="2:21" x14ac:dyDescent="0.25"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</row>
    <row r="1286" spans="2:21" x14ac:dyDescent="0.25"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</row>
    <row r="1287" spans="2:21" x14ac:dyDescent="0.25"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</row>
    <row r="1288" spans="2:21" x14ac:dyDescent="0.25"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</row>
    <row r="1289" spans="2:21" x14ac:dyDescent="0.25"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</row>
    <row r="1290" spans="2:21" x14ac:dyDescent="0.25"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</row>
    <row r="1291" spans="2:21" x14ac:dyDescent="0.25"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</row>
    <row r="1292" spans="2:21" x14ac:dyDescent="0.25"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</row>
    <row r="1293" spans="2:21" x14ac:dyDescent="0.25"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</row>
    <row r="1294" spans="2:21" x14ac:dyDescent="0.25"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</row>
    <row r="1295" spans="2:21" x14ac:dyDescent="0.25"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</row>
    <row r="1296" spans="2:21" x14ac:dyDescent="0.25"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</row>
    <row r="1297" spans="2:21" x14ac:dyDescent="0.25"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</row>
    <row r="1298" spans="2:21" x14ac:dyDescent="0.25"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</row>
    <row r="1299" spans="2:21" x14ac:dyDescent="0.25"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</row>
    <row r="1300" spans="2:21" x14ac:dyDescent="0.25"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</row>
    <row r="1301" spans="2:21" x14ac:dyDescent="0.25"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</row>
    <row r="1302" spans="2:21" x14ac:dyDescent="0.25"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</row>
    <row r="1303" spans="2:21" x14ac:dyDescent="0.25"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</row>
    <row r="1304" spans="2:21" x14ac:dyDescent="0.25"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</row>
    <row r="1305" spans="2:21" x14ac:dyDescent="0.25"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</row>
    <row r="1306" spans="2:21" x14ac:dyDescent="0.25"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</row>
  </sheetData>
  <conditionalFormatting sqref="F1:F2493">
    <cfRule type="notContainsBlanks" dxfId="0" priority="2">
      <formula>LEN(TRIM(F1))&gt;0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944F-7C74-46AD-BFC5-9DBCDBDF965E}">
  <dimension ref="A1:D278"/>
  <sheetViews>
    <sheetView zoomScale="70" zoomScaleNormal="70" workbookViewId="0">
      <selection activeCell="A6" sqref="A6"/>
    </sheetView>
  </sheetViews>
  <sheetFormatPr defaultRowHeight="15" x14ac:dyDescent="0.25"/>
  <cols>
    <col min="1" max="1" width="45.85546875" bestFit="1" customWidth="1"/>
    <col min="2" max="2" width="25.5703125" bestFit="1" customWidth="1"/>
    <col min="3" max="3" width="46.42578125" bestFit="1" customWidth="1"/>
    <col min="4" max="4" width="14.140625" bestFit="1" customWidth="1"/>
    <col min="5" max="5" width="30.7109375" bestFit="1" customWidth="1"/>
    <col min="6" max="6" width="27.140625" bestFit="1" customWidth="1"/>
    <col min="7" max="7" width="18.140625" bestFit="1" customWidth="1"/>
    <col min="8" max="8" width="22.42578125" bestFit="1" customWidth="1"/>
    <col min="9" max="9" width="25.7109375" bestFit="1" customWidth="1"/>
    <col min="10" max="10" width="28.5703125" bestFit="1" customWidth="1"/>
    <col min="11" max="11" width="12.85546875" bestFit="1" customWidth="1"/>
    <col min="12" max="12" width="24.28515625" bestFit="1" customWidth="1"/>
    <col min="13" max="13" width="25.5703125" bestFit="1" customWidth="1"/>
    <col min="14" max="14" width="19.42578125" bestFit="1" customWidth="1"/>
    <col min="15" max="15" width="18.5703125" bestFit="1" customWidth="1"/>
    <col min="16" max="16" width="34" bestFit="1" customWidth="1"/>
    <col min="17" max="17" width="20.42578125" bestFit="1" customWidth="1"/>
    <col min="18" max="18" width="50.42578125" bestFit="1" customWidth="1"/>
    <col min="19" max="19" width="48.5703125" bestFit="1" customWidth="1"/>
    <col min="20" max="20" width="38.5703125" bestFit="1" customWidth="1"/>
    <col min="21" max="21" width="26.42578125" bestFit="1" customWidth="1"/>
    <col min="22" max="22" width="17.42578125" bestFit="1" customWidth="1"/>
    <col min="23" max="23" width="28" bestFit="1" customWidth="1"/>
    <col min="24" max="24" width="9.7109375" bestFit="1" customWidth="1"/>
    <col min="25" max="25" width="16.85546875" bestFit="1" customWidth="1"/>
    <col min="26" max="26" width="26.42578125" bestFit="1" customWidth="1"/>
    <col min="27" max="27" width="42.5703125" bestFit="1" customWidth="1"/>
    <col min="28" max="28" width="24.28515625" bestFit="1" customWidth="1"/>
    <col min="29" max="29" width="52.5703125" bestFit="1" customWidth="1"/>
    <col min="30" max="30" width="15.140625" bestFit="1" customWidth="1"/>
    <col min="31" max="31" width="17.85546875" bestFit="1" customWidth="1"/>
    <col min="32" max="32" width="43.42578125" bestFit="1" customWidth="1"/>
    <col min="33" max="33" width="36.85546875" bestFit="1" customWidth="1"/>
    <col min="34" max="35" width="23.85546875" bestFit="1" customWidth="1"/>
    <col min="36" max="36" width="23.7109375" bestFit="1" customWidth="1"/>
    <col min="37" max="37" width="28" bestFit="1" customWidth="1"/>
    <col min="38" max="38" width="20.7109375" bestFit="1" customWidth="1"/>
    <col min="39" max="39" width="52.7109375" bestFit="1" customWidth="1"/>
    <col min="40" max="40" width="25.85546875" bestFit="1" customWidth="1"/>
    <col min="41" max="41" width="38.140625" bestFit="1" customWidth="1"/>
    <col min="42" max="42" width="20.28515625" bestFit="1" customWidth="1"/>
    <col min="43" max="43" width="17.140625" bestFit="1" customWidth="1"/>
    <col min="44" max="44" width="35.42578125" bestFit="1" customWidth="1"/>
    <col min="45" max="45" width="20.85546875" bestFit="1" customWidth="1"/>
    <col min="46" max="46" width="22.7109375" bestFit="1" customWidth="1"/>
    <col min="47" max="47" width="38.140625" bestFit="1" customWidth="1"/>
    <col min="48" max="48" width="20.85546875" bestFit="1" customWidth="1"/>
    <col min="49" max="49" width="27.7109375" bestFit="1" customWidth="1"/>
    <col min="50" max="50" width="29.5703125" bestFit="1" customWidth="1"/>
    <col min="51" max="51" width="31" bestFit="1" customWidth="1"/>
    <col min="52" max="52" width="32.85546875" bestFit="1" customWidth="1"/>
    <col min="53" max="53" width="32.140625" bestFit="1" customWidth="1"/>
    <col min="54" max="54" width="27.5703125" bestFit="1" customWidth="1"/>
    <col min="55" max="55" width="31.140625" bestFit="1" customWidth="1"/>
    <col min="56" max="56" width="23.5703125" bestFit="1" customWidth="1"/>
    <col min="57" max="57" width="27.7109375" bestFit="1" customWidth="1"/>
    <col min="58" max="58" width="33.7109375" bestFit="1" customWidth="1"/>
    <col min="59" max="59" width="20.85546875" bestFit="1" customWidth="1"/>
    <col min="60" max="60" width="7.5703125" bestFit="1" customWidth="1"/>
    <col min="61" max="61" width="33.140625" bestFit="1" customWidth="1"/>
    <col min="62" max="62" width="24.5703125" bestFit="1" customWidth="1"/>
    <col min="63" max="63" width="22.5703125" bestFit="1" customWidth="1"/>
    <col min="64" max="64" width="12.85546875" bestFit="1" customWidth="1"/>
    <col min="65" max="65" width="9.28515625" bestFit="1" customWidth="1"/>
    <col min="66" max="66" width="9.42578125" bestFit="1" customWidth="1"/>
    <col min="67" max="67" width="29.5703125" bestFit="1" customWidth="1"/>
    <col min="68" max="68" width="14.42578125" bestFit="1" customWidth="1"/>
    <col min="69" max="69" width="17.5703125" bestFit="1" customWidth="1"/>
    <col min="70" max="70" width="25.140625" bestFit="1" customWidth="1"/>
    <col min="71" max="71" width="21.140625" bestFit="1" customWidth="1"/>
    <col min="72" max="72" width="17.85546875" bestFit="1" customWidth="1"/>
    <col min="73" max="73" width="24.140625" bestFit="1" customWidth="1"/>
    <col min="74" max="74" width="9.5703125" bestFit="1" customWidth="1"/>
    <col min="75" max="75" width="12.28515625" bestFit="1" customWidth="1"/>
    <col min="76" max="76" width="13.42578125" bestFit="1" customWidth="1"/>
    <col min="77" max="77" width="15.140625" bestFit="1" customWidth="1"/>
    <col min="78" max="78" width="23.28515625" bestFit="1" customWidth="1"/>
    <col min="79" max="79" width="18.42578125" bestFit="1" customWidth="1"/>
    <col min="80" max="80" width="15.28515625" bestFit="1" customWidth="1"/>
    <col min="81" max="81" width="14.42578125" bestFit="1" customWidth="1"/>
    <col min="82" max="82" width="17.28515625" bestFit="1" customWidth="1"/>
    <col min="83" max="83" width="19.7109375" bestFit="1" customWidth="1"/>
    <col min="84" max="84" width="29.7109375" bestFit="1" customWidth="1"/>
    <col min="85" max="85" width="35.28515625" bestFit="1" customWidth="1"/>
    <col min="86" max="86" width="29.7109375" bestFit="1" customWidth="1"/>
    <col min="87" max="87" width="32.85546875" bestFit="1" customWidth="1"/>
    <col min="88" max="88" width="18.42578125" bestFit="1" customWidth="1"/>
    <col min="89" max="89" width="24.42578125" bestFit="1" customWidth="1"/>
    <col min="90" max="90" width="37.5703125" bestFit="1" customWidth="1"/>
    <col min="91" max="91" width="21.140625" bestFit="1" customWidth="1"/>
    <col min="92" max="92" width="36.85546875" bestFit="1" customWidth="1"/>
    <col min="93" max="93" width="24.7109375" bestFit="1" customWidth="1"/>
    <col min="94" max="94" width="10.140625" bestFit="1" customWidth="1"/>
    <col min="95" max="116" width="30.42578125" bestFit="1" customWidth="1"/>
    <col min="117" max="138" width="25.85546875" bestFit="1" customWidth="1"/>
    <col min="139" max="139" width="43" bestFit="1" customWidth="1"/>
    <col min="140" max="140" width="35.140625" bestFit="1" customWidth="1"/>
    <col min="141" max="141" width="27.42578125" bestFit="1" customWidth="1"/>
    <col min="142" max="142" width="28" bestFit="1" customWidth="1"/>
    <col min="143" max="143" width="9" bestFit="1" customWidth="1"/>
    <col min="144" max="144" width="14.140625" bestFit="1" customWidth="1"/>
    <col min="145" max="145" width="13.5703125" bestFit="1" customWidth="1"/>
    <col min="146" max="146" width="31.85546875" bestFit="1" customWidth="1"/>
    <col min="147" max="147" width="22.7109375" bestFit="1" customWidth="1"/>
    <col min="148" max="148" width="27.85546875" bestFit="1" customWidth="1"/>
    <col min="149" max="149" width="17.5703125" bestFit="1" customWidth="1"/>
    <col min="150" max="150" width="38.42578125" bestFit="1" customWidth="1"/>
    <col min="151" max="151" width="28.140625" bestFit="1" customWidth="1"/>
    <col min="152" max="152" width="18.28515625" bestFit="1" customWidth="1"/>
    <col min="153" max="153" width="15.5703125" bestFit="1" customWidth="1"/>
    <col min="154" max="154" width="37.85546875" bestFit="1" customWidth="1"/>
    <col min="155" max="155" width="18.140625" bestFit="1" customWidth="1"/>
    <col min="156" max="156" width="27.85546875" bestFit="1" customWidth="1"/>
    <col min="157" max="157" width="16.7109375" bestFit="1" customWidth="1"/>
    <col min="158" max="158" width="31.85546875" bestFit="1" customWidth="1"/>
    <col min="159" max="159" width="22.5703125" bestFit="1" customWidth="1"/>
    <col min="160" max="160" width="28.5703125" bestFit="1" customWidth="1"/>
    <col min="161" max="161" width="41.85546875" bestFit="1" customWidth="1"/>
    <col min="162" max="162" width="34.140625" bestFit="1" customWidth="1"/>
    <col min="163" max="163" width="19.140625" bestFit="1" customWidth="1"/>
    <col min="164" max="164" width="37.85546875" bestFit="1" customWidth="1"/>
    <col min="165" max="165" width="14.28515625" bestFit="1" customWidth="1"/>
    <col min="166" max="166" width="22.85546875" bestFit="1" customWidth="1"/>
    <col min="167" max="167" width="14.5703125" bestFit="1" customWidth="1"/>
    <col min="168" max="168" width="19.5703125" bestFit="1" customWidth="1"/>
    <col min="169" max="169" width="22.140625" bestFit="1" customWidth="1"/>
    <col min="170" max="170" width="36" bestFit="1" customWidth="1"/>
    <col min="171" max="171" width="13.5703125" bestFit="1" customWidth="1"/>
    <col min="172" max="172" width="18.7109375" bestFit="1" customWidth="1"/>
    <col min="173" max="173" width="13.28515625" bestFit="1" customWidth="1"/>
    <col min="174" max="174" width="29.140625" bestFit="1" customWidth="1"/>
    <col min="175" max="175" width="35.85546875" bestFit="1" customWidth="1"/>
    <col min="176" max="176" width="28" bestFit="1" customWidth="1"/>
    <col min="177" max="177" width="15.42578125" bestFit="1" customWidth="1"/>
    <col min="178" max="178" width="30.28515625" bestFit="1" customWidth="1"/>
    <col min="179" max="179" width="29.140625" bestFit="1" customWidth="1"/>
    <col min="180" max="180" width="24.42578125" bestFit="1" customWidth="1"/>
    <col min="181" max="181" width="31.85546875" bestFit="1" customWidth="1"/>
    <col min="182" max="182" width="38.42578125" bestFit="1" customWidth="1"/>
    <col min="183" max="183" width="20" bestFit="1" customWidth="1"/>
    <col min="184" max="184" width="28.42578125" bestFit="1" customWidth="1"/>
    <col min="185" max="185" width="19.140625" bestFit="1" customWidth="1"/>
    <col min="186" max="186" width="21.140625" bestFit="1" customWidth="1"/>
    <col min="187" max="187" width="35.42578125" bestFit="1" customWidth="1"/>
    <col min="188" max="188" width="16.42578125" bestFit="1" customWidth="1"/>
    <col min="189" max="189" width="11.140625" bestFit="1" customWidth="1"/>
    <col min="190" max="190" width="11.85546875" bestFit="1" customWidth="1"/>
    <col min="191" max="191" width="15" bestFit="1" customWidth="1"/>
    <col min="192" max="192" width="4.140625" bestFit="1" customWidth="1"/>
    <col min="193" max="193" width="10.28515625" bestFit="1" customWidth="1"/>
    <col min="194" max="194" width="27" bestFit="1" customWidth="1"/>
    <col min="195" max="195" width="14.42578125" bestFit="1" customWidth="1"/>
    <col min="196" max="196" width="25.42578125" bestFit="1" customWidth="1"/>
    <col min="197" max="197" width="18.5703125" bestFit="1" customWidth="1"/>
    <col min="198" max="198" width="38.85546875" bestFit="1" customWidth="1"/>
    <col min="199" max="199" width="18.28515625" bestFit="1" customWidth="1"/>
    <col min="200" max="200" width="19.28515625" bestFit="1" customWidth="1"/>
    <col min="201" max="201" width="18.85546875" bestFit="1" customWidth="1"/>
    <col min="202" max="202" width="19.7109375" bestFit="1" customWidth="1"/>
    <col min="203" max="203" width="5" bestFit="1" customWidth="1"/>
    <col min="204" max="204" width="16.5703125" bestFit="1" customWidth="1"/>
    <col min="205" max="205" width="14.85546875" bestFit="1" customWidth="1"/>
    <col min="206" max="206" width="25.42578125" bestFit="1" customWidth="1"/>
    <col min="207" max="207" width="18.28515625" bestFit="1" customWidth="1"/>
    <col min="208" max="208" width="10.42578125" bestFit="1" customWidth="1"/>
  </cols>
  <sheetData>
    <row r="1" spans="1:4" x14ac:dyDescent="0.25">
      <c r="A1" s="1" t="s">
        <v>4</v>
      </c>
      <c r="B1" t="s">
        <v>44</v>
      </c>
    </row>
    <row r="2" spans="1:4" x14ac:dyDescent="0.25">
      <c r="A2" s="1" t="s">
        <v>1</v>
      </c>
      <c r="B2" t="s">
        <v>1254</v>
      </c>
    </row>
    <row r="4" spans="1:4" x14ac:dyDescent="0.25">
      <c r="A4" s="1" t="s">
        <v>0</v>
      </c>
      <c r="B4" s="1" t="s">
        <v>2</v>
      </c>
      <c r="C4" s="1" t="s">
        <v>3</v>
      </c>
      <c r="D4" t="s">
        <v>1257</v>
      </c>
    </row>
    <row r="5" spans="1:4" x14ac:dyDescent="0.25">
      <c r="A5" t="s">
        <v>18</v>
      </c>
      <c r="B5" t="s">
        <v>151</v>
      </c>
      <c r="C5" t="s">
        <v>152</v>
      </c>
      <c r="D5" s="2">
        <v>0</v>
      </c>
    </row>
    <row r="6" spans="1:4" x14ac:dyDescent="0.25">
      <c r="B6" t="s">
        <v>69</v>
      </c>
      <c r="C6" t="s">
        <v>153</v>
      </c>
      <c r="D6" s="2">
        <v>0</v>
      </c>
    </row>
    <row r="7" spans="1:4" x14ac:dyDescent="0.25">
      <c r="B7" t="s">
        <v>76</v>
      </c>
      <c r="C7" t="s">
        <v>162</v>
      </c>
      <c r="D7" s="2">
        <v>0</v>
      </c>
    </row>
    <row r="8" spans="1:4" x14ac:dyDescent="0.25">
      <c r="B8" t="s">
        <v>78</v>
      </c>
      <c r="C8" t="s">
        <v>169</v>
      </c>
      <c r="D8" s="2">
        <v>0</v>
      </c>
    </row>
    <row r="9" spans="1:4" x14ac:dyDescent="0.25">
      <c r="B9" t="s">
        <v>176</v>
      </c>
      <c r="C9" t="s">
        <v>177</v>
      </c>
      <c r="D9" s="2">
        <v>0</v>
      </c>
    </row>
    <row r="10" spans="1:4" x14ac:dyDescent="0.25">
      <c r="A10" t="s">
        <v>20</v>
      </c>
      <c r="B10" t="s">
        <v>216</v>
      </c>
      <c r="C10" t="s">
        <v>217</v>
      </c>
      <c r="D10" s="2">
        <v>0</v>
      </c>
    </row>
    <row r="11" spans="1:4" x14ac:dyDescent="0.25">
      <c r="B11" t="s">
        <v>218</v>
      </c>
      <c r="C11" t="s">
        <v>219</v>
      </c>
      <c r="D11" s="2">
        <v>0</v>
      </c>
    </row>
    <row r="12" spans="1:4" x14ac:dyDescent="0.25">
      <c r="B12" t="s">
        <v>220</v>
      </c>
      <c r="C12" t="s">
        <v>221</v>
      </c>
      <c r="D12" s="2">
        <v>0</v>
      </c>
    </row>
    <row r="13" spans="1:4" x14ac:dyDescent="0.25">
      <c r="A13" t="s">
        <v>21</v>
      </c>
      <c r="B13" t="s">
        <v>250</v>
      </c>
      <c r="C13" t="s">
        <v>251</v>
      </c>
      <c r="D13" s="2">
        <v>0</v>
      </c>
    </row>
    <row r="14" spans="1:4" x14ac:dyDescent="0.25">
      <c r="B14" t="s">
        <v>258</v>
      </c>
      <c r="C14" t="s">
        <v>259</v>
      </c>
      <c r="D14" s="2">
        <v>0</v>
      </c>
    </row>
    <row r="15" spans="1:4" x14ac:dyDescent="0.25">
      <c r="B15" t="s">
        <v>59</v>
      </c>
      <c r="C15" t="s">
        <v>259</v>
      </c>
      <c r="D15" s="2">
        <v>0</v>
      </c>
    </row>
    <row r="16" spans="1:4" x14ac:dyDescent="0.25">
      <c r="B16" t="s">
        <v>69</v>
      </c>
      <c r="C16" t="s">
        <v>70</v>
      </c>
      <c r="D16" s="2">
        <v>0</v>
      </c>
    </row>
    <row r="17" spans="1:4" x14ac:dyDescent="0.25">
      <c r="B17" t="s">
        <v>268</v>
      </c>
      <c r="C17" t="s">
        <v>269</v>
      </c>
      <c r="D17" s="2">
        <v>0</v>
      </c>
    </row>
    <row r="18" spans="1:4" x14ac:dyDescent="0.25">
      <c r="B18" t="s">
        <v>73</v>
      </c>
      <c r="C18" t="s">
        <v>74</v>
      </c>
      <c r="D18" s="2">
        <v>0</v>
      </c>
    </row>
    <row r="19" spans="1:4" x14ac:dyDescent="0.25">
      <c r="B19" t="s">
        <v>76</v>
      </c>
      <c r="C19" t="s">
        <v>162</v>
      </c>
      <c r="D19" s="2">
        <v>0</v>
      </c>
    </row>
    <row r="20" spans="1:4" x14ac:dyDescent="0.25">
      <c r="B20" t="s">
        <v>78</v>
      </c>
      <c r="C20" t="s">
        <v>79</v>
      </c>
      <c r="D20" s="2">
        <v>0</v>
      </c>
    </row>
    <row r="21" spans="1:4" x14ac:dyDescent="0.25">
      <c r="B21" t="s">
        <v>128</v>
      </c>
      <c r="C21" t="s">
        <v>319</v>
      </c>
      <c r="D21" s="2">
        <v>0</v>
      </c>
    </row>
    <row r="22" spans="1:4" x14ac:dyDescent="0.25">
      <c r="A22" t="s">
        <v>22</v>
      </c>
      <c r="B22" t="s">
        <v>57</v>
      </c>
      <c r="C22" t="s">
        <v>58</v>
      </c>
      <c r="D22" s="2">
        <v>0</v>
      </c>
    </row>
    <row r="23" spans="1:4" x14ac:dyDescent="0.25">
      <c r="B23" t="s">
        <v>343</v>
      </c>
      <c r="C23" t="s">
        <v>344</v>
      </c>
      <c r="D23" s="2">
        <v>0</v>
      </c>
    </row>
    <row r="24" spans="1:4" x14ac:dyDescent="0.25">
      <c r="B24" t="s">
        <v>63</v>
      </c>
      <c r="C24" t="s">
        <v>349</v>
      </c>
      <c r="D24" s="2">
        <v>0</v>
      </c>
    </row>
    <row r="25" spans="1:4" x14ac:dyDescent="0.25">
      <c r="B25" t="s">
        <v>69</v>
      </c>
      <c r="C25" t="s">
        <v>368</v>
      </c>
      <c r="D25" s="2">
        <v>0</v>
      </c>
    </row>
    <row r="26" spans="1:4" x14ac:dyDescent="0.25">
      <c r="B26" t="s">
        <v>390</v>
      </c>
      <c r="C26" t="s">
        <v>391</v>
      </c>
      <c r="D26" s="2">
        <v>271.75</v>
      </c>
    </row>
    <row r="27" spans="1:4" x14ac:dyDescent="0.25">
      <c r="B27" t="s">
        <v>176</v>
      </c>
      <c r="C27" t="s">
        <v>392</v>
      </c>
      <c r="D27" s="2">
        <v>0</v>
      </c>
    </row>
    <row r="28" spans="1:4" x14ac:dyDescent="0.25">
      <c r="B28" t="s">
        <v>1313</v>
      </c>
      <c r="C28" t="s">
        <v>1314</v>
      </c>
      <c r="D28" s="2">
        <v>0</v>
      </c>
    </row>
    <row r="29" spans="1:4" x14ac:dyDescent="0.25">
      <c r="A29" t="s">
        <v>23</v>
      </c>
      <c r="B29" t="s">
        <v>465</v>
      </c>
      <c r="C29" t="s">
        <v>466</v>
      </c>
      <c r="D29" s="2">
        <v>0</v>
      </c>
    </row>
    <row r="30" spans="1:4" x14ac:dyDescent="0.25">
      <c r="B30" t="s">
        <v>488</v>
      </c>
      <c r="C30" t="s">
        <v>489</v>
      </c>
      <c r="D30" s="2">
        <v>0</v>
      </c>
    </row>
    <row r="31" spans="1:4" x14ac:dyDescent="0.25">
      <c r="B31" t="s">
        <v>467</v>
      </c>
      <c r="C31" t="s">
        <v>468</v>
      </c>
      <c r="D31" s="2">
        <v>0</v>
      </c>
    </row>
    <row r="32" spans="1:4" x14ac:dyDescent="0.25">
      <c r="B32" t="s">
        <v>471</v>
      </c>
      <c r="C32" t="s">
        <v>251</v>
      </c>
      <c r="D32" s="2">
        <v>0</v>
      </c>
    </row>
    <row r="33" spans="2:4" x14ac:dyDescent="0.25">
      <c r="B33" t="s">
        <v>476</v>
      </c>
      <c r="C33" t="s">
        <v>251</v>
      </c>
      <c r="D33" s="2">
        <v>0</v>
      </c>
    </row>
    <row r="34" spans="2:4" x14ac:dyDescent="0.25">
      <c r="B34" t="s">
        <v>474</v>
      </c>
      <c r="C34" t="s">
        <v>251</v>
      </c>
      <c r="D34" s="2">
        <v>0</v>
      </c>
    </row>
    <row r="35" spans="2:4" x14ac:dyDescent="0.25">
      <c r="B35" t="s">
        <v>472</v>
      </c>
      <c r="C35" t="s">
        <v>251</v>
      </c>
      <c r="D35" s="2">
        <v>0</v>
      </c>
    </row>
    <row r="36" spans="2:4" x14ac:dyDescent="0.25">
      <c r="B36" t="s">
        <v>477</v>
      </c>
      <c r="C36" t="s">
        <v>251</v>
      </c>
      <c r="D36" s="2">
        <v>0</v>
      </c>
    </row>
    <row r="37" spans="2:4" x14ac:dyDescent="0.25">
      <c r="B37" t="s">
        <v>475</v>
      </c>
      <c r="C37" t="s">
        <v>251</v>
      </c>
      <c r="D37" s="2">
        <v>0</v>
      </c>
    </row>
    <row r="38" spans="2:4" x14ac:dyDescent="0.25">
      <c r="B38" t="s">
        <v>473</v>
      </c>
      <c r="C38" t="s">
        <v>251</v>
      </c>
      <c r="D38" s="2">
        <v>0</v>
      </c>
    </row>
    <row r="39" spans="2:4" x14ac:dyDescent="0.25">
      <c r="B39" t="s">
        <v>478</v>
      </c>
      <c r="C39" t="s">
        <v>251</v>
      </c>
      <c r="D39" s="2">
        <v>0</v>
      </c>
    </row>
    <row r="40" spans="2:4" x14ac:dyDescent="0.25">
      <c r="B40" t="s">
        <v>479</v>
      </c>
      <c r="C40" t="s">
        <v>251</v>
      </c>
      <c r="D40" s="2">
        <v>0</v>
      </c>
    </row>
    <row r="41" spans="2:4" x14ac:dyDescent="0.25">
      <c r="B41" t="s">
        <v>480</v>
      </c>
      <c r="C41" t="s">
        <v>251</v>
      </c>
      <c r="D41" s="2">
        <v>0</v>
      </c>
    </row>
    <row r="42" spans="2:4" x14ac:dyDescent="0.25">
      <c r="B42" t="s">
        <v>481</v>
      </c>
      <c r="C42" t="s">
        <v>251</v>
      </c>
      <c r="D42" s="2">
        <v>0</v>
      </c>
    </row>
    <row r="43" spans="2:4" x14ac:dyDescent="0.25">
      <c r="B43" t="s">
        <v>482</v>
      </c>
      <c r="C43" t="s">
        <v>251</v>
      </c>
      <c r="D43" s="2">
        <v>0</v>
      </c>
    </row>
    <row r="44" spans="2:4" x14ac:dyDescent="0.25">
      <c r="B44" t="s">
        <v>483</v>
      </c>
      <c r="C44" t="s">
        <v>251</v>
      </c>
      <c r="D44" s="2">
        <v>0</v>
      </c>
    </row>
    <row r="45" spans="2:4" x14ac:dyDescent="0.25">
      <c r="B45" t="s">
        <v>484</v>
      </c>
      <c r="C45" t="s">
        <v>251</v>
      </c>
      <c r="D45" s="2">
        <v>0</v>
      </c>
    </row>
    <row r="46" spans="2:4" x14ac:dyDescent="0.25">
      <c r="B46" t="s">
        <v>485</v>
      </c>
      <c r="C46" t="s">
        <v>251</v>
      </c>
      <c r="D46" s="2">
        <v>0</v>
      </c>
    </row>
    <row r="47" spans="2:4" x14ac:dyDescent="0.25">
      <c r="B47" t="s">
        <v>486</v>
      </c>
      <c r="C47" t="s">
        <v>251</v>
      </c>
      <c r="D47" s="2">
        <v>0</v>
      </c>
    </row>
    <row r="48" spans="2:4" x14ac:dyDescent="0.25">
      <c r="B48" t="s">
        <v>487</v>
      </c>
      <c r="C48" t="s">
        <v>251</v>
      </c>
      <c r="D48" s="2">
        <v>0</v>
      </c>
    </row>
    <row r="49" spans="2:4" x14ac:dyDescent="0.25">
      <c r="B49" t="s">
        <v>492</v>
      </c>
      <c r="C49" t="s">
        <v>493</v>
      </c>
      <c r="D49" s="2">
        <v>0</v>
      </c>
    </row>
    <row r="50" spans="2:4" x14ac:dyDescent="0.25">
      <c r="B50" t="s">
        <v>502</v>
      </c>
      <c r="C50" t="s">
        <v>251</v>
      </c>
      <c r="D50" s="2">
        <v>0</v>
      </c>
    </row>
    <row r="51" spans="2:4" x14ac:dyDescent="0.25">
      <c r="B51" t="s">
        <v>503</v>
      </c>
      <c r="C51" t="s">
        <v>251</v>
      </c>
      <c r="D51" s="2">
        <v>0</v>
      </c>
    </row>
    <row r="52" spans="2:4" x14ac:dyDescent="0.25">
      <c r="B52" t="s">
        <v>504</v>
      </c>
      <c r="C52" t="s">
        <v>251</v>
      </c>
      <c r="D52" s="2">
        <v>0</v>
      </c>
    </row>
    <row r="53" spans="2:4" x14ac:dyDescent="0.25">
      <c r="B53" t="s">
        <v>505</v>
      </c>
      <c r="C53" t="s">
        <v>251</v>
      </c>
      <c r="D53" s="2">
        <v>0</v>
      </c>
    </row>
    <row r="54" spans="2:4" x14ac:dyDescent="0.25">
      <c r="B54" t="s">
        <v>506</v>
      </c>
      <c r="C54" t="s">
        <v>251</v>
      </c>
      <c r="D54" s="2">
        <v>0</v>
      </c>
    </row>
    <row r="55" spans="2:4" x14ac:dyDescent="0.25">
      <c r="B55" t="s">
        <v>569</v>
      </c>
      <c r="C55" t="s">
        <v>570</v>
      </c>
      <c r="D55" s="2">
        <v>0</v>
      </c>
    </row>
    <row r="56" spans="2:4" x14ac:dyDescent="0.25">
      <c r="B56" t="s">
        <v>611</v>
      </c>
      <c r="C56" t="s">
        <v>612</v>
      </c>
      <c r="D56" s="2">
        <v>0</v>
      </c>
    </row>
    <row r="57" spans="2:4" x14ac:dyDescent="0.25">
      <c r="B57" t="s">
        <v>653</v>
      </c>
      <c r="C57" t="s">
        <v>654</v>
      </c>
      <c r="D57" s="2">
        <v>0</v>
      </c>
    </row>
    <row r="58" spans="2:4" x14ac:dyDescent="0.25">
      <c r="B58" t="s">
        <v>695</v>
      </c>
      <c r="C58" t="s">
        <v>696</v>
      </c>
      <c r="D58" s="2">
        <v>0</v>
      </c>
    </row>
    <row r="59" spans="2:4" x14ac:dyDescent="0.25">
      <c r="B59" t="s">
        <v>738</v>
      </c>
      <c r="C59" t="s">
        <v>539</v>
      </c>
      <c r="D59" s="2">
        <v>0</v>
      </c>
    </row>
    <row r="60" spans="2:4" x14ac:dyDescent="0.25">
      <c r="B60" t="s">
        <v>739</v>
      </c>
      <c r="C60" t="s">
        <v>740</v>
      </c>
      <c r="D60" s="2">
        <v>0</v>
      </c>
    </row>
    <row r="61" spans="2:4" x14ac:dyDescent="0.25">
      <c r="B61" t="s">
        <v>755</v>
      </c>
      <c r="C61" t="s">
        <v>756</v>
      </c>
      <c r="D61" s="2">
        <v>0</v>
      </c>
    </row>
    <row r="62" spans="2:4" x14ac:dyDescent="0.25">
      <c r="B62" t="s">
        <v>757</v>
      </c>
      <c r="C62" t="s">
        <v>758</v>
      </c>
      <c r="D62" s="2">
        <v>0</v>
      </c>
    </row>
    <row r="63" spans="2:4" x14ac:dyDescent="0.25">
      <c r="B63" t="s">
        <v>769</v>
      </c>
      <c r="C63" t="s">
        <v>770</v>
      </c>
      <c r="D63" s="2">
        <v>0</v>
      </c>
    </row>
    <row r="64" spans="2:4" x14ac:dyDescent="0.25">
      <c r="B64" t="s">
        <v>771</v>
      </c>
      <c r="C64" t="s">
        <v>772</v>
      </c>
      <c r="D64" s="2">
        <v>0</v>
      </c>
    </row>
    <row r="65" spans="1:4" x14ac:dyDescent="0.25">
      <c r="B65" t="s">
        <v>785</v>
      </c>
      <c r="C65" t="s">
        <v>786</v>
      </c>
      <c r="D65" s="2">
        <v>0</v>
      </c>
    </row>
    <row r="66" spans="1:4" x14ac:dyDescent="0.25">
      <c r="B66" t="s">
        <v>542</v>
      </c>
      <c r="C66" t="s">
        <v>543</v>
      </c>
      <c r="D66" s="2">
        <v>0</v>
      </c>
    </row>
    <row r="67" spans="1:4" x14ac:dyDescent="0.25">
      <c r="B67" t="s">
        <v>538</v>
      </c>
      <c r="C67" t="s">
        <v>539</v>
      </c>
      <c r="D67" s="2">
        <v>0</v>
      </c>
    </row>
    <row r="68" spans="1:4" x14ac:dyDescent="0.25">
      <c r="B68" t="s">
        <v>789</v>
      </c>
      <c r="C68" t="s">
        <v>1318</v>
      </c>
      <c r="D68" s="2">
        <v>0</v>
      </c>
    </row>
    <row r="69" spans="1:4" x14ac:dyDescent="0.25">
      <c r="B69" t="s">
        <v>792</v>
      </c>
      <c r="C69" t="s">
        <v>793</v>
      </c>
      <c r="D69" s="2">
        <v>0</v>
      </c>
    </row>
    <row r="70" spans="1:4" x14ac:dyDescent="0.25">
      <c r="A70" t="s">
        <v>24</v>
      </c>
      <c r="B70" t="s">
        <v>57</v>
      </c>
      <c r="C70" t="s">
        <v>802</v>
      </c>
      <c r="D70" s="2">
        <v>0</v>
      </c>
    </row>
    <row r="71" spans="1:4" x14ac:dyDescent="0.25">
      <c r="B71" t="s">
        <v>59</v>
      </c>
      <c r="C71" t="s">
        <v>60</v>
      </c>
      <c r="D71" s="2">
        <v>0</v>
      </c>
    </row>
    <row r="72" spans="1:4" x14ac:dyDescent="0.25">
      <c r="B72" t="s">
        <v>61</v>
      </c>
      <c r="C72" t="s">
        <v>62</v>
      </c>
      <c r="D72" s="2">
        <v>94.5</v>
      </c>
    </row>
    <row r="73" spans="1:4" x14ac:dyDescent="0.25">
      <c r="B73" t="s">
        <v>69</v>
      </c>
      <c r="C73" t="s">
        <v>809</v>
      </c>
      <c r="D73" s="2">
        <v>0</v>
      </c>
    </row>
    <row r="74" spans="1:4" x14ac:dyDescent="0.25">
      <c r="B74" t="s">
        <v>73</v>
      </c>
      <c r="C74" t="s">
        <v>812</v>
      </c>
      <c r="D74" s="2">
        <v>0</v>
      </c>
    </row>
    <row r="75" spans="1:4" x14ac:dyDescent="0.25">
      <c r="B75" t="s">
        <v>271</v>
      </c>
      <c r="C75" t="s">
        <v>815</v>
      </c>
      <c r="D75" s="2">
        <v>0</v>
      </c>
    </row>
    <row r="76" spans="1:4" x14ac:dyDescent="0.25">
      <c r="B76" t="s">
        <v>820</v>
      </c>
      <c r="C76" t="s">
        <v>821</v>
      </c>
      <c r="D76" s="2">
        <v>0</v>
      </c>
    </row>
    <row r="77" spans="1:4" x14ac:dyDescent="0.25">
      <c r="A77" t="s">
        <v>25</v>
      </c>
      <c r="B77" t="s">
        <v>216</v>
      </c>
      <c r="C77" t="s">
        <v>850</v>
      </c>
      <c r="D77" s="2">
        <v>50</v>
      </c>
    </row>
    <row r="78" spans="1:4" x14ac:dyDescent="0.25">
      <c r="B78" t="s">
        <v>1202</v>
      </c>
      <c r="C78" t="s">
        <v>1203</v>
      </c>
      <c r="D78" s="2">
        <v>0</v>
      </c>
    </row>
    <row r="79" spans="1:4" x14ac:dyDescent="0.25">
      <c r="B79" t="s">
        <v>1154</v>
      </c>
      <c r="C79" t="s">
        <v>1155</v>
      </c>
      <c r="D79" s="2">
        <v>0</v>
      </c>
    </row>
    <row r="80" spans="1:4" x14ac:dyDescent="0.25">
      <c r="B80" t="s">
        <v>1156</v>
      </c>
      <c r="C80" t="s">
        <v>1157</v>
      </c>
      <c r="D80" s="2">
        <v>0</v>
      </c>
    </row>
    <row r="81" spans="2:4" x14ac:dyDescent="0.25">
      <c r="B81" t="s">
        <v>1158</v>
      </c>
      <c r="C81" t="s">
        <v>1159</v>
      </c>
      <c r="D81" s="2">
        <v>0</v>
      </c>
    </row>
    <row r="82" spans="2:4" x14ac:dyDescent="0.25">
      <c r="B82" t="s">
        <v>1160</v>
      </c>
      <c r="C82" t="s">
        <v>1161</v>
      </c>
      <c r="D82" s="2">
        <v>0</v>
      </c>
    </row>
    <row r="83" spans="2:4" x14ac:dyDescent="0.25">
      <c r="B83" t="s">
        <v>1162</v>
      </c>
      <c r="C83" t="s">
        <v>1163</v>
      </c>
      <c r="D83" s="2">
        <v>0</v>
      </c>
    </row>
    <row r="84" spans="2:4" x14ac:dyDescent="0.25">
      <c r="B84" t="s">
        <v>1164</v>
      </c>
      <c r="C84" t="s">
        <v>1165</v>
      </c>
      <c r="D84" s="2">
        <v>0</v>
      </c>
    </row>
    <row r="85" spans="2:4" x14ac:dyDescent="0.25">
      <c r="B85" t="s">
        <v>1166</v>
      </c>
      <c r="C85" t="s">
        <v>1167</v>
      </c>
      <c r="D85" s="2">
        <v>0</v>
      </c>
    </row>
    <row r="86" spans="2:4" x14ac:dyDescent="0.25">
      <c r="B86" t="s">
        <v>1168</v>
      </c>
      <c r="C86" t="s">
        <v>1169</v>
      </c>
      <c r="D86" s="2">
        <v>0</v>
      </c>
    </row>
    <row r="87" spans="2:4" x14ac:dyDescent="0.25">
      <c r="B87" t="s">
        <v>1170</v>
      </c>
      <c r="C87" t="s">
        <v>1171</v>
      </c>
      <c r="D87" s="2">
        <v>0</v>
      </c>
    </row>
    <row r="88" spans="2:4" x14ac:dyDescent="0.25">
      <c r="B88" t="s">
        <v>1172</v>
      </c>
      <c r="C88" t="s">
        <v>1173</v>
      </c>
      <c r="D88" s="2">
        <v>0</v>
      </c>
    </row>
    <row r="89" spans="2:4" x14ac:dyDescent="0.25">
      <c r="B89" t="s">
        <v>1174</v>
      </c>
      <c r="C89" t="s">
        <v>1175</v>
      </c>
      <c r="D89" s="2">
        <v>0</v>
      </c>
    </row>
    <row r="90" spans="2:4" x14ac:dyDescent="0.25">
      <c r="B90" t="s">
        <v>1176</v>
      </c>
      <c r="C90" t="s">
        <v>1177</v>
      </c>
      <c r="D90" s="2">
        <v>0</v>
      </c>
    </row>
    <row r="91" spans="2:4" x14ac:dyDescent="0.25">
      <c r="B91" t="s">
        <v>1178</v>
      </c>
      <c r="C91" t="s">
        <v>1179</v>
      </c>
      <c r="D91" s="2">
        <v>0</v>
      </c>
    </row>
    <row r="92" spans="2:4" x14ac:dyDescent="0.25">
      <c r="B92" t="s">
        <v>1180</v>
      </c>
      <c r="C92" t="s">
        <v>1181</v>
      </c>
      <c r="D92" s="2">
        <v>0</v>
      </c>
    </row>
    <row r="93" spans="2:4" x14ac:dyDescent="0.25">
      <c r="B93" t="s">
        <v>1182</v>
      </c>
      <c r="C93" t="s">
        <v>1183</v>
      </c>
      <c r="D93" s="2">
        <v>0</v>
      </c>
    </row>
    <row r="94" spans="2:4" x14ac:dyDescent="0.25">
      <c r="B94" t="s">
        <v>1184</v>
      </c>
      <c r="C94" t="s">
        <v>1185</v>
      </c>
      <c r="D94" s="2">
        <v>0</v>
      </c>
    </row>
    <row r="95" spans="2:4" x14ac:dyDescent="0.25">
      <c r="B95" t="s">
        <v>1186</v>
      </c>
      <c r="C95" t="s">
        <v>1187</v>
      </c>
      <c r="D95" s="2">
        <v>0</v>
      </c>
    </row>
    <row r="96" spans="2:4" x14ac:dyDescent="0.25">
      <c r="B96" t="s">
        <v>1188</v>
      </c>
      <c r="C96" t="s">
        <v>1189</v>
      </c>
      <c r="D96" s="2">
        <v>0</v>
      </c>
    </row>
    <row r="97" spans="2:4" x14ac:dyDescent="0.25">
      <c r="B97" t="s">
        <v>1190</v>
      </c>
      <c r="C97" t="s">
        <v>1191</v>
      </c>
      <c r="D97" s="2">
        <v>0</v>
      </c>
    </row>
    <row r="98" spans="2:4" x14ac:dyDescent="0.25">
      <c r="B98" t="s">
        <v>1192</v>
      </c>
      <c r="C98" t="s">
        <v>1193</v>
      </c>
      <c r="D98" s="2">
        <v>0</v>
      </c>
    </row>
    <row r="99" spans="2:4" x14ac:dyDescent="0.25">
      <c r="B99" t="s">
        <v>1194</v>
      </c>
      <c r="C99" t="s">
        <v>1195</v>
      </c>
      <c r="D99" s="2">
        <v>0</v>
      </c>
    </row>
    <row r="100" spans="2:4" x14ac:dyDescent="0.25">
      <c r="B100" t="s">
        <v>1196</v>
      </c>
      <c r="C100" t="s">
        <v>1197</v>
      </c>
      <c r="D100" s="2">
        <v>0</v>
      </c>
    </row>
    <row r="101" spans="2:4" x14ac:dyDescent="0.25">
      <c r="B101" t="s">
        <v>1210</v>
      </c>
      <c r="C101" t="s">
        <v>1211</v>
      </c>
      <c r="D101" s="2">
        <v>0</v>
      </c>
    </row>
    <row r="102" spans="2:4" x14ac:dyDescent="0.25">
      <c r="B102" t="s">
        <v>1212</v>
      </c>
      <c r="C102" t="s">
        <v>1213</v>
      </c>
      <c r="D102" s="2">
        <v>0</v>
      </c>
    </row>
    <row r="103" spans="2:4" x14ac:dyDescent="0.25">
      <c r="B103" t="s">
        <v>1214</v>
      </c>
      <c r="C103" t="s">
        <v>1215</v>
      </c>
      <c r="D103" s="2">
        <v>0</v>
      </c>
    </row>
    <row r="104" spans="2:4" x14ac:dyDescent="0.25">
      <c r="B104" t="s">
        <v>1216</v>
      </c>
      <c r="C104" t="s">
        <v>1217</v>
      </c>
      <c r="D104" s="2">
        <v>0</v>
      </c>
    </row>
    <row r="105" spans="2:4" x14ac:dyDescent="0.25">
      <c r="B105" t="s">
        <v>1218</v>
      </c>
      <c r="C105" t="s">
        <v>1219</v>
      </c>
      <c r="D105" s="2">
        <v>0</v>
      </c>
    </row>
    <row r="106" spans="2:4" x14ac:dyDescent="0.25">
      <c r="B106" t="s">
        <v>1220</v>
      </c>
      <c r="C106" t="s">
        <v>1221</v>
      </c>
      <c r="D106" s="2">
        <v>0</v>
      </c>
    </row>
    <row r="107" spans="2:4" x14ac:dyDescent="0.25">
      <c r="B107" t="s">
        <v>1222</v>
      </c>
      <c r="C107" t="s">
        <v>1223</v>
      </c>
      <c r="D107" s="2">
        <v>0</v>
      </c>
    </row>
    <row r="108" spans="2:4" x14ac:dyDescent="0.25">
      <c r="B108" t="s">
        <v>1224</v>
      </c>
      <c r="C108" t="s">
        <v>1225</v>
      </c>
      <c r="D108" s="2">
        <v>0</v>
      </c>
    </row>
    <row r="109" spans="2:4" x14ac:dyDescent="0.25">
      <c r="B109" t="s">
        <v>1226</v>
      </c>
      <c r="C109" t="s">
        <v>1227</v>
      </c>
      <c r="D109" s="2">
        <v>0</v>
      </c>
    </row>
    <row r="110" spans="2:4" x14ac:dyDescent="0.25">
      <c r="B110" t="s">
        <v>1228</v>
      </c>
      <c r="C110" t="s">
        <v>1229</v>
      </c>
      <c r="D110" s="2">
        <v>0</v>
      </c>
    </row>
    <row r="111" spans="2:4" x14ac:dyDescent="0.25">
      <c r="B111" t="s">
        <v>1230</v>
      </c>
      <c r="C111" t="s">
        <v>1231</v>
      </c>
      <c r="D111" s="2">
        <v>0</v>
      </c>
    </row>
    <row r="112" spans="2:4" x14ac:dyDescent="0.25">
      <c r="B112" t="s">
        <v>1232</v>
      </c>
      <c r="C112" t="s">
        <v>1233</v>
      </c>
      <c r="D112" s="2">
        <v>0</v>
      </c>
    </row>
    <row r="113" spans="2:4" x14ac:dyDescent="0.25">
      <c r="B113" t="s">
        <v>1234</v>
      </c>
      <c r="C113" t="s">
        <v>1235</v>
      </c>
      <c r="D113" s="2">
        <v>0</v>
      </c>
    </row>
    <row r="114" spans="2:4" x14ac:dyDescent="0.25">
      <c r="B114" t="s">
        <v>1236</v>
      </c>
      <c r="C114" t="s">
        <v>1237</v>
      </c>
      <c r="D114" s="2">
        <v>0</v>
      </c>
    </row>
    <row r="115" spans="2:4" x14ac:dyDescent="0.25">
      <c r="B115" t="s">
        <v>1238</v>
      </c>
      <c r="C115" t="s">
        <v>1239</v>
      </c>
      <c r="D115" s="2">
        <v>0</v>
      </c>
    </row>
    <row r="116" spans="2:4" x14ac:dyDescent="0.25">
      <c r="B116" t="s">
        <v>1240</v>
      </c>
      <c r="C116" t="s">
        <v>1241</v>
      </c>
      <c r="D116" s="2">
        <v>0</v>
      </c>
    </row>
    <row r="117" spans="2:4" x14ac:dyDescent="0.25">
      <c r="B117" t="s">
        <v>1242</v>
      </c>
      <c r="C117" t="s">
        <v>1243</v>
      </c>
      <c r="D117" s="2">
        <v>0</v>
      </c>
    </row>
    <row r="118" spans="2:4" x14ac:dyDescent="0.25">
      <c r="B118" t="s">
        <v>1244</v>
      </c>
      <c r="C118" t="s">
        <v>1245</v>
      </c>
      <c r="D118" s="2">
        <v>0</v>
      </c>
    </row>
    <row r="119" spans="2:4" x14ac:dyDescent="0.25">
      <c r="B119" t="s">
        <v>1246</v>
      </c>
      <c r="C119" t="s">
        <v>1247</v>
      </c>
      <c r="D119" s="2">
        <v>0</v>
      </c>
    </row>
    <row r="120" spans="2:4" x14ac:dyDescent="0.25">
      <c r="B120" t="s">
        <v>1248</v>
      </c>
      <c r="C120" t="s">
        <v>1249</v>
      </c>
      <c r="D120" s="2">
        <v>0</v>
      </c>
    </row>
    <row r="121" spans="2:4" x14ac:dyDescent="0.25">
      <c r="B121" t="s">
        <v>1250</v>
      </c>
      <c r="C121" t="s">
        <v>1251</v>
      </c>
      <c r="D121" s="2">
        <v>0</v>
      </c>
    </row>
    <row r="122" spans="2:4" x14ac:dyDescent="0.25">
      <c r="B122" t="s">
        <v>1252</v>
      </c>
      <c r="C122" t="s">
        <v>1253</v>
      </c>
      <c r="D122" s="2">
        <v>0</v>
      </c>
    </row>
    <row r="123" spans="2:4" x14ac:dyDescent="0.25">
      <c r="B123" t="s">
        <v>771</v>
      </c>
      <c r="C123" t="s">
        <v>1201</v>
      </c>
      <c r="D123" s="2">
        <v>0</v>
      </c>
    </row>
    <row r="124" spans="2:4" x14ac:dyDescent="0.25">
      <c r="B124" t="s">
        <v>176</v>
      </c>
      <c r="C124" t="s">
        <v>1001</v>
      </c>
      <c r="D124" s="2">
        <v>0</v>
      </c>
    </row>
    <row r="125" spans="2:4" x14ac:dyDescent="0.25">
      <c r="B125" t="s">
        <v>1204</v>
      </c>
      <c r="C125" t="s">
        <v>1205</v>
      </c>
      <c r="D125" s="2">
        <v>0</v>
      </c>
    </row>
    <row r="126" spans="2:4" x14ac:dyDescent="0.25">
      <c r="B126" t="s">
        <v>1367</v>
      </c>
      <c r="C126" t="s">
        <v>1368</v>
      </c>
      <c r="D126" s="2">
        <v>0</v>
      </c>
    </row>
    <row r="127" spans="2:4" x14ac:dyDescent="0.25">
      <c r="B127" t="s">
        <v>1369</v>
      </c>
      <c r="C127" t="s">
        <v>1370</v>
      </c>
      <c r="D127" s="2">
        <v>0</v>
      </c>
    </row>
    <row r="128" spans="2:4" x14ac:dyDescent="0.25">
      <c r="B128" t="s">
        <v>1371</v>
      </c>
      <c r="C128" t="s">
        <v>1372</v>
      </c>
      <c r="D128" s="2">
        <v>0</v>
      </c>
    </row>
    <row r="129" spans="2:4" x14ac:dyDescent="0.25">
      <c r="B129" t="s">
        <v>1373</v>
      </c>
      <c r="C129" t="s">
        <v>1374</v>
      </c>
      <c r="D129" s="2">
        <v>0</v>
      </c>
    </row>
    <row r="130" spans="2:4" x14ac:dyDescent="0.25">
      <c r="B130" t="s">
        <v>1375</v>
      </c>
      <c r="C130" t="s">
        <v>1376</v>
      </c>
      <c r="D130" s="2">
        <v>0</v>
      </c>
    </row>
    <row r="131" spans="2:4" x14ac:dyDescent="0.25">
      <c r="B131" t="s">
        <v>1377</v>
      </c>
      <c r="C131" t="s">
        <v>1378</v>
      </c>
      <c r="D131" s="2">
        <v>0</v>
      </c>
    </row>
    <row r="132" spans="2:4" x14ac:dyDescent="0.25">
      <c r="B132" t="s">
        <v>1379</v>
      </c>
      <c r="C132" t="s">
        <v>1380</v>
      </c>
      <c r="D132" s="2">
        <v>0</v>
      </c>
    </row>
    <row r="133" spans="2:4" x14ac:dyDescent="0.25">
      <c r="B133" t="s">
        <v>1381</v>
      </c>
      <c r="C133" t="s">
        <v>1382</v>
      </c>
      <c r="D133" s="2">
        <v>0</v>
      </c>
    </row>
    <row r="134" spans="2:4" x14ac:dyDescent="0.25">
      <c r="B134" t="s">
        <v>1383</v>
      </c>
      <c r="C134" t="s">
        <v>1384</v>
      </c>
      <c r="D134" s="2">
        <v>0</v>
      </c>
    </row>
    <row r="135" spans="2:4" x14ac:dyDescent="0.25">
      <c r="B135" t="s">
        <v>1385</v>
      </c>
      <c r="C135" t="s">
        <v>1386</v>
      </c>
      <c r="D135" s="2">
        <v>0</v>
      </c>
    </row>
    <row r="136" spans="2:4" x14ac:dyDescent="0.25">
      <c r="B136" t="s">
        <v>1387</v>
      </c>
      <c r="C136" t="s">
        <v>1388</v>
      </c>
      <c r="D136" s="2">
        <v>0</v>
      </c>
    </row>
    <row r="137" spans="2:4" x14ac:dyDescent="0.25">
      <c r="B137" t="s">
        <v>1389</v>
      </c>
      <c r="C137" t="s">
        <v>1390</v>
      </c>
      <c r="D137" s="2">
        <v>0</v>
      </c>
    </row>
    <row r="138" spans="2:4" x14ac:dyDescent="0.25">
      <c r="B138" t="s">
        <v>1391</v>
      </c>
      <c r="C138" t="s">
        <v>1392</v>
      </c>
      <c r="D138" s="2">
        <v>0</v>
      </c>
    </row>
    <row r="139" spans="2:4" x14ac:dyDescent="0.25">
      <c r="B139" t="s">
        <v>1393</v>
      </c>
      <c r="C139" t="s">
        <v>1394</v>
      </c>
      <c r="D139" s="2">
        <v>0</v>
      </c>
    </row>
    <row r="140" spans="2:4" x14ac:dyDescent="0.25">
      <c r="B140" t="s">
        <v>1395</v>
      </c>
      <c r="C140" t="s">
        <v>1396</v>
      </c>
      <c r="D140" s="2">
        <v>0</v>
      </c>
    </row>
    <row r="141" spans="2:4" x14ac:dyDescent="0.25">
      <c r="B141" t="s">
        <v>1397</v>
      </c>
      <c r="C141" t="s">
        <v>1398</v>
      </c>
      <c r="D141" s="2">
        <v>0</v>
      </c>
    </row>
    <row r="142" spans="2:4" x14ac:dyDescent="0.25">
      <c r="B142" t="s">
        <v>1399</v>
      </c>
      <c r="C142" t="s">
        <v>1400</v>
      </c>
      <c r="D142" s="2">
        <v>0</v>
      </c>
    </row>
    <row r="143" spans="2:4" x14ac:dyDescent="0.25">
      <c r="B143" t="s">
        <v>1401</v>
      </c>
      <c r="C143" t="s">
        <v>1402</v>
      </c>
      <c r="D143" s="2">
        <v>0</v>
      </c>
    </row>
    <row r="144" spans="2:4" x14ac:dyDescent="0.25">
      <c r="B144" t="s">
        <v>1403</v>
      </c>
      <c r="C144" t="s">
        <v>1404</v>
      </c>
      <c r="D144" s="2">
        <v>0</v>
      </c>
    </row>
    <row r="145" spans="2:4" x14ac:dyDescent="0.25">
      <c r="B145" t="s">
        <v>1405</v>
      </c>
      <c r="C145" t="s">
        <v>1406</v>
      </c>
      <c r="D145" s="2">
        <v>0</v>
      </c>
    </row>
    <row r="146" spans="2:4" x14ac:dyDescent="0.25">
      <c r="B146" t="s">
        <v>1407</v>
      </c>
      <c r="C146" t="s">
        <v>1408</v>
      </c>
      <c r="D146" s="2">
        <v>0</v>
      </c>
    </row>
    <row r="147" spans="2:4" x14ac:dyDescent="0.25">
      <c r="B147" t="s">
        <v>1409</v>
      </c>
      <c r="C147" t="s">
        <v>1410</v>
      </c>
      <c r="D147" s="2">
        <v>0</v>
      </c>
    </row>
    <row r="148" spans="2:4" x14ac:dyDescent="0.25">
      <c r="B148" t="s">
        <v>1411</v>
      </c>
      <c r="C148" t="s">
        <v>1412</v>
      </c>
      <c r="D148" s="2">
        <v>0</v>
      </c>
    </row>
    <row r="149" spans="2:4" x14ac:dyDescent="0.25">
      <c r="B149" t="s">
        <v>1413</v>
      </c>
      <c r="C149" t="s">
        <v>1414</v>
      </c>
      <c r="D149" s="2">
        <v>0</v>
      </c>
    </row>
    <row r="150" spans="2:4" x14ac:dyDescent="0.25">
      <c r="B150" t="s">
        <v>1415</v>
      </c>
      <c r="C150" t="s">
        <v>1416</v>
      </c>
      <c r="D150" s="2">
        <v>0</v>
      </c>
    </row>
    <row r="151" spans="2:4" x14ac:dyDescent="0.25">
      <c r="B151" t="s">
        <v>1417</v>
      </c>
      <c r="C151" t="s">
        <v>1418</v>
      </c>
      <c r="D151" s="2">
        <v>0</v>
      </c>
    </row>
    <row r="152" spans="2:4" x14ac:dyDescent="0.25">
      <c r="B152" t="s">
        <v>1419</v>
      </c>
      <c r="C152" t="s">
        <v>1420</v>
      </c>
      <c r="D152" s="2">
        <v>0</v>
      </c>
    </row>
    <row r="153" spans="2:4" x14ac:dyDescent="0.25">
      <c r="B153" t="s">
        <v>1421</v>
      </c>
      <c r="C153" t="s">
        <v>1422</v>
      </c>
      <c r="D153" s="2">
        <v>0</v>
      </c>
    </row>
    <row r="154" spans="2:4" x14ac:dyDescent="0.25">
      <c r="B154" t="s">
        <v>1423</v>
      </c>
      <c r="C154" t="s">
        <v>1424</v>
      </c>
      <c r="D154" s="2">
        <v>0</v>
      </c>
    </row>
    <row r="155" spans="2:4" x14ac:dyDescent="0.25">
      <c r="B155" t="s">
        <v>1425</v>
      </c>
      <c r="C155" t="s">
        <v>1426</v>
      </c>
      <c r="D155" s="2">
        <v>0</v>
      </c>
    </row>
    <row r="156" spans="2:4" x14ac:dyDescent="0.25">
      <c r="B156" t="s">
        <v>1427</v>
      </c>
      <c r="C156" t="s">
        <v>1428</v>
      </c>
      <c r="D156" s="2">
        <v>0</v>
      </c>
    </row>
    <row r="157" spans="2:4" x14ac:dyDescent="0.25">
      <c r="B157" t="s">
        <v>1429</v>
      </c>
      <c r="C157" t="s">
        <v>1430</v>
      </c>
      <c r="D157" s="2">
        <v>0</v>
      </c>
    </row>
    <row r="158" spans="2:4" x14ac:dyDescent="0.25">
      <c r="B158" t="s">
        <v>1431</v>
      </c>
      <c r="C158" t="s">
        <v>1432</v>
      </c>
      <c r="D158" s="2">
        <v>0</v>
      </c>
    </row>
    <row r="159" spans="2:4" x14ac:dyDescent="0.25">
      <c r="B159" t="s">
        <v>1433</v>
      </c>
      <c r="C159" t="s">
        <v>1434</v>
      </c>
      <c r="D159" s="2">
        <v>0</v>
      </c>
    </row>
    <row r="160" spans="2:4" x14ac:dyDescent="0.25">
      <c r="B160" t="s">
        <v>1435</v>
      </c>
      <c r="C160" t="s">
        <v>1436</v>
      </c>
      <c r="D160" s="2">
        <v>0</v>
      </c>
    </row>
    <row r="161" spans="2:4" x14ac:dyDescent="0.25">
      <c r="B161" t="s">
        <v>1437</v>
      </c>
      <c r="C161" t="s">
        <v>1438</v>
      </c>
      <c r="D161" s="2">
        <v>0</v>
      </c>
    </row>
    <row r="162" spans="2:4" x14ac:dyDescent="0.25">
      <c r="B162" t="s">
        <v>1439</v>
      </c>
      <c r="C162" t="s">
        <v>1440</v>
      </c>
      <c r="D162" s="2">
        <v>0</v>
      </c>
    </row>
    <row r="163" spans="2:4" x14ac:dyDescent="0.25">
      <c r="B163" t="s">
        <v>1441</v>
      </c>
      <c r="C163" t="s">
        <v>1442</v>
      </c>
      <c r="D163" s="2">
        <v>0</v>
      </c>
    </row>
    <row r="164" spans="2:4" x14ac:dyDescent="0.25">
      <c r="B164" t="s">
        <v>1443</v>
      </c>
      <c r="C164" t="s">
        <v>1444</v>
      </c>
      <c r="D164" s="2">
        <v>0</v>
      </c>
    </row>
    <row r="165" spans="2:4" x14ac:dyDescent="0.25">
      <c r="B165" t="s">
        <v>1445</v>
      </c>
      <c r="C165" t="s">
        <v>1446</v>
      </c>
      <c r="D165" s="2">
        <v>0</v>
      </c>
    </row>
    <row r="166" spans="2:4" x14ac:dyDescent="0.25">
      <c r="B166" t="s">
        <v>1447</v>
      </c>
      <c r="C166" t="s">
        <v>1448</v>
      </c>
      <c r="D166" s="2">
        <v>0</v>
      </c>
    </row>
    <row r="167" spans="2:4" x14ac:dyDescent="0.25">
      <c r="B167" t="s">
        <v>1449</v>
      </c>
      <c r="C167" t="s">
        <v>1450</v>
      </c>
      <c r="D167" s="2">
        <v>0</v>
      </c>
    </row>
    <row r="168" spans="2:4" x14ac:dyDescent="0.25">
      <c r="B168" t="s">
        <v>1451</v>
      </c>
      <c r="C168" t="s">
        <v>1452</v>
      </c>
      <c r="D168" s="2">
        <v>0</v>
      </c>
    </row>
    <row r="169" spans="2:4" x14ac:dyDescent="0.25">
      <c r="B169" t="s">
        <v>1453</v>
      </c>
      <c r="C169" t="s">
        <v>1454</v>
      </c>
      <c r="D169" s="2">
        <v>0</v>
      </c>
    </row>
    <row r="170" spans="2:4" x14ac:dyDescent="0.25">
      <c r="B170" t="s">
        <v>1455</v>
      </c>
      <c r="C170" t="s">
        <v>1456</v>
      </c>
      <c r="D170" s="2">
        <v>0</v>
      </c>
    </row>
    <row r="171" spans="2:4" x14ac:dyDescent="0.25">
      <c r="B171" t="s">
        <v>1457</v>
      </c>
      <c r="C171" t="s">
        <v>1458</v>
      </c>
      <c r="D171" s="2">
        <v>0</v>
      </c>
    </row>
    <row r="172" spans="2:4" x14ac:dyDescent="0.25">
      <c r="B172" t="s">
        <v>1459</v>
      </c>
      <c r="C172" t="s">
        <v>1460</v>
      </c>
      <c r="D172" s="2">
        <v>0</v>
      </c>
    </row>
    <row r="173" spans="2:4" x14ac:dyDescent="0.25">
      <c r="B173" t="s">
        <v>1461</v>
      </c>
      <c r="C173" t="s">
        <v>1462</v>
      </c>
      <c r="D173" s="2">
        <v>0</v>
      </c>
    </row>
    <row r="174" spans="2:4" x14ac:dyDescent="0.25">
      <c r="B174" t="s">
        <v>1463</v>
      </c>
      <c r="C174" t="s">
        <v>1464</v>
      </c>
      <c r="D174" s="2">
        <v>0</v>
      </c>
    </row>
    <row r="175" spans="2:4" x14ac:dyDescent="0.25">
      <c r="B175" t="s">
        <v>1465</v>
      </c>
      <c r="C175" t="s">
        <v>1466</v>
      </c>
      <c r="D175" s="2">
        <v>0</v>
      </c>
    </row>
    <row r="176" spans="2:4" x14ac:dyDescent="0.25">
      <c r="B176" t="s">
        <v>1467</v>
      </c>
      <c r="C176" t="s">
        <v>1468</v>
      </c>
      <c r="D176" s="2">
        <v>0</v>
      </c>
    </row>
    <row r="177" spans="2:4" x14ac:dyDescent="0.25">
      <c r="B177" t="s">
        <v>1469</v>
      </c>
      <c r="C177" t="s">
        <v>1470</v>
      </c>
      <c r="D177" s="2">
        <v>0</v>
      </c>
    </row>
    <row r="178" spans="2:4" x14ac:dyDescent="0.25">
      <c r="B178" t="s">
        <v>1471</v>
      </c>
      <c r="C178" t="s">
        <v>1472</v>
      </c>
      <c r="D178" s="2">
        <v>0</v>
      </c>
    </row>
    <row r="179" spans="2:4" x14ac:dyDescent="0.25">
      <c r="B179" t="s">
        <v>1473</v>
      </c>
      <c r="C179" t="s">
        <v>1474</v>
      </c>
      <c r="D179" s="2">
        <v>0</v>
      </c>
    </row>
    <row r="180" spans="2:4" x14ac:dyDescent="0.25">
      <c r="B180" t="s">
        <v>1475</v>
      </c>
      <c r="C180" t="s">
        <v>1476</v>
      </c>
      <c r="D180" s="2">
        <v>0</v>
      </c>
    </row>
    <row r="181" spans="2:4" x14ac:dyDescent="0.25">
      <c r="B181" t="s">
        <v>1477</v>
      </c>
      <c r="C181" t="s">
        <v>1478</v>
      </c>
      <c r="D181" s="2">
        <v>0</v>
      </c>
    </row>
    <row r="182" spans="2:4" x14ac:dyDescent="0.25">
      <c r="B182" t="s">
        <v>1479</v>
      </c>
      <c r="C182" t="s">
        <v>1480</v>
      </c>
      <c r="D182" s="2">
        <v>0</v>
      </c>
    </row>
    <row r="183" spans="2:4" x14ac:dyDescent="0.25">
      <c r="B183" t="s">
        <v>1481</v>
      </c>
      <c r="C183" t="s">
        <v>1482</v>
      </c>
      <c r="D183" s="2">
        <v>0</v>
      </c>
    </row>
    <row r="184" spans="2:4" x14ac:dyDescent="0.25">
      <c r="B184" t="s">
        <v>1483</v>
      </c>
      <c r="C184" t="s">
        <v>1484</v>
      </c>
      <c r="D184" s="2">
        <v>0</v>
      </c>
    </row>
    <row r="185" spans="2:4" x14ac:dyDescent="0.25">
      <c r="B185" t="s">
        <v>1485</v>
      </c>
      <c r="C185" t="s">
        <v>1486</v>
      </c>
      <c r="D185" s="2">
        <v>0</v>
      </c>
    </row>
    <row r="186" spans="2:4" x14ac:dyDescent="0.25">
      <c r="B186" t="s">
        <v>1487</v>
      </c>
      <c r="C186" t="s">
        <v>1488</v>
      </c>
      <c r="D186" s="2">
        <v>0</v>
      </c>
    </row>
    <row r="187" spans="2:4" x14ac:dyDescent="0.25">
      <c r="B187" t="s">
        <v>1489</v>
      </c>
      <c r="C187" t="s">
        <v>1490</v>
      </c>
      <c r="D187" s="2">
        <v>0</v>
      </c>
    </row>
    <row r="188" spans="2:4" x14ac:dyDescent="0.25">
      <c r="B188" t="s">
        <v>1491</v>
      </c>
      <c r="C188" t="s">
        <v>1492</v>
      </c>
      <c r="D188" s="2">
        <v>0</v>
      </c>
    </row>
    <row r="189" spans="2:4" x14ac:dyDescent="0.25">
      <c r="B189" t="s">
        <v>1493</v>
      </c>
      <c r="C189" t="s">
        <v>1494</v>
      </c>
      <c r="D189" s="2">
        <v>0</v>
      </c>
    </row>
    <row r="190" spans="2:4" x14ac:dyDescent="0.25">
      <c r="B190" t="s">
        <v>1495</v>
      </c>
      <c r="C190" t="s">
        <v>1496</v>
      </c>
      <c r="D190" s="2">
        <v>0</v>
      </c>
    </row>
    <row r="191" spans="2:4" x14ac:dyDescent="0.25">
      <c r="B191" t="s">
        <v>1497</v>
      </c>
      <c r="C191" t="s">
        <v>1498</v>
      </c>
      <c r="D191" s="2">
        <v>0</v>
      </c>
    </row>
    <row r="192" spans="2:4" x14ac:dyDescent="0.25">
      <c r="B192" t="s">
        <v>1499</v>
      </c>
      <c r="C192" t="s">
        <v>1500</v>
      </c>
      <c r="D192" s="2">
        <v>0</v>
      </c>
    </row>
    <row r="193" spans="2:4" x14ac:dyDescent="0.25">
      <c r="B193" t="s">
        <v>1501</v>
      </c>
      <c r="C193" t="s">
        <v>1502</v>
      </c>
      <c r="D193" s="2">
        <v>0</v>
      </c>
    </row>
    <row r="194" spans="2:4" x14ac:dyDescent="0.25">
      <c r="B194" t="s">
        <v>1503</v>
      </c>
      <c r="C194" t="s">
        <v>1504</v>
      </c>
      <c r="D194" s="2">
        <v>0</v>
      </c>
    </row>
    <row r="195" spans="2:4" x14ac:dyDescent="0.25">
      <c r="B195" t="s">
        <v>1505</v>
      </c>
      <c r="C195" t="s">
        <v>1506</v>
      </c>
      <c r="D195" s="2">
        <v>0</v>
      </c>
    </row>
    <row r="196" spans="2:4" x14ac:dyDescent="0.25">
      <c r="B196" t="s">
        <v>1507</v>
      </c>
      <c r="C196" t="s">
        <v>1508</v>
      </c>
      <c r="D196" s="2">
        <v>0</v>
      </c>
    </row>
    <row r="197" spans="2:4" x14ac:dyDescent="0.25">
      <c r="B197" t="s">
        <v>1509</v>
      </c>
      <c r="C197" t="s">
        <v>1510</v>
      </c>
      <c r="D197" s="2">
        <v>0</v>
      </c>
    </row>
    <row r="198" spans="2:4" x14ac:dyDescent="0.25">
      <c r="B198" t="s">
        <v>1511</v>
      </c>
      <c r="C198" t="s">
        <v>1512</v>
      </c>
      <c r="D198" s="2">
        <v>0</v>
      </c>
    </row>
    <row r="199" spans="2:4" x14ac:dyDescent="0.25">
      <c r="B199" t="s">
        <v>1513</v>
      </c>
      <c r="C199" t="s">
        <v>1514</v>
      </c>
      <c r="D199" s="2">
        <v>0</v>
      </c>
    </row>
    <row r="200" spans="2:4" x14ac:dyDescent="0.25">
      <c r="B200" t="s">
        <v>1515</v>
      </c>
      <c r="C200" t="s">
        <v>1516</v>
      </c>
      <c r="D200" s="2">
        <v>0</v>
      </c>
    </row>
    <row r="201" spans="2:4" x14ac:dyDescent="0.25">
      <c r="B201" t="s">
        <v>1517</v>
      </c>
      <c r="C201" t="s">
        <v>1518</v>
      </c>
      <c r="D201" s="2">
        <v>0</v>
      </c>
    </row>
    <row r="202" spans="2:4" x14ac:dyDescent="0.25">
      <c r="B202" t="s">
        <v>1519</v>
      </c>
      <c r="C202" t="s">
        <v>1520</v>
      </c>
      <c r="D202" s="2">
        <v>0</v>
      </c>
    </row>
    <row r="203" spans="2:4" x14ac:dyDescent="0.25">
      <c r="B203" t="s">
        <v>1521</v>
      </c>
      <c r="C203" t="s">
        <v>1522</v>
      </c>
      <c r="D203" s="2">
        <v>0</v>
      </c>
    </row>
    <row r="204" spans="2:4" x14ac:dyDescent="0.25">
      <c r="B204" t="s">
        <v>1523</v>
      </c>
      <c r="C204" t="s">
        <v>1524</v>
      </c>
      <c r="D204" s="2">
        <v>0</v>
      </c>
    </row>
    <row r="205" spans="2:4" x14ac:dyDescent="0.25">
      <c r="B205" t="s">
        <v>1525</v>
      </c>
      <c r="C205" t="s">
        <v>1526</v>
      </c>
      <c r="D205" s="2">
        <v>0</v>
      </c>
    </row>
    <row r="206" spans="2:4" x14ac:dyDescent="0.25">
      <c r="B206" t="s">
        <v>1527</v>
      </c>
      <c r="C206" t="s">
        <v>1528</v>
      </c>
      <c r="D206" s="2">
        <v>0</v>
      </c>
    </row>
    <row r="207" spans="2:4" x14ac:dyDescent="0.25">
      <c r="B207" t="s">
        <v>1529</v>
      </c>
      <c r="C207" t="s">
        <v>1530</v>
      </c>
      <c r="D207" s="2">
        <v>0</v>
      </c>
    </row>
    <row r="208" spans="2:4" x14ac:dyDescent="0.25">
      <c r="B208" t="s">
        <v>1531</v>
      </c>
      <c r="C208" t="s">
        <v>1532</v>
      </c>
      <c r="D208" s="2">
        <v>0</v>
      </c>
    </row>
    <row r="209" spans="2:4" x14ac:dyDescent="0.25">
      <c r="B209" t="s">
        <v>1533</v>
      </c>
      <c r="C209" t="s">
        <v>1534</v>
      </c>
      <c r="D209" s="2">
        <v>0</v>
      </c>
    </row>
    <row r="210" spans="2:4" x14ac:dyDescent="0.25">
      <c r="B210" t="s">
        <v>1535</v>
      </c>
      <c r="C210" t="s">
        <v>1536</v>
      </c>
      <c r="D210" s="2">
        <v>0</v>
      </c>
    </row>
    <row r="211" spans="2:4" x14ac:dyDescent="0.25">
      <c r="B211" t="s">
        <v>1537</v>
      </c>
      <c r="C211" t="s">
        <v>1538</v>
      </c>
      <c r="D211" s="2">
        <v>0</v>
      </c>
    </row>
    <row r="212" spans="2:4" x14ac:dyDescent="0.25">
      <c r="B212" t="s">
        <v>1539</v>
      </c>
      <c r="C212" t="s">
        <v>1540</v>
      </c>
      <c r="D212" s="2">
        <v>0</v>
      </c>
    </row>
    <row r="213" spans="2:4" x14ac:dyDescent="0.25">
      <c r="B213" t="s">
        <v>1541</v>
      </c>
      <c r="C213" t="s">
        <v>1542</v>
      </c>
      <c r="D213" s="2">
        <v>0</v>
      </c>
    </row>
    <row r="214" spans="2:4" x14ac:dyDescent="0.25">
      <c r="B214" t="s">
        <v>1543</v>
      </c>
      <c r="C214" t="s">
        <v>1544</v>
      </c>
      <c r="D214" s="2">
        <v>0</v>
      </c>
    </row>
    <row r="215" spans="2:4" x14ac:dyDescent="0.25">
      <c r="B215" t="s">
        <v>1545</v>
      </c>
      <c r="C215" t="s">
        <v>1546</v>
      </c>
      <c r="D215" s="2">
        <v>0</v>
      </c>
    </row>
    <row r="216" spans="2:4" x14ac:dyDescent="0.25">
      <c r="B216" t="s">
        <v>1547</v>
      </c>
      <c r="C216" t="s">
        <v>1548</v>
      </c>
      <c r="D216" s="2">
        <v>0</v>
      </c>
    </row>
    <row r="217" spans="2:4" x14ac:dyDescent="0.25">
      <c r="B217" t="s">
        <v>1549</v>
      </c>
      <c r="C217" t="s">
        <v>1550</v>
      </c>
      <c r="D217" s="2">
        <v>0</v>
      </c>
    </row>
    <row r="218" spans="2:4" x14ac:dyDescent="0.25">
      <c r="B218" t="s">
        <v>1551</v>
      </c>
      <c r="C218" t="s">
        <v>1552</v>
      </c>
      <c r="D218" s="2">
        <v>0</v>
      </c>
    </row>
    <row r="219" spans="2:4" x14ac:dyDescent="0.25">
      <c r="B219" t="s">
        <v>1553</v>
      </c>
      <c r="C219" t="s">
        <v>1554</v>
      </c>
      <c r="D219" s="2">
        <v>0</v>
      </c>
    </row>
    <row r="220" spans="2:4" x14ac:dyDescent="0.25">
      <c r="B220" t="s">
        <v>1555</v>
      </c>
      <c r="C220" t="s">
        <v>1556</v>
      </c>
      <c r="D220" s="2">
        <v>0</v>
      </c>
    </row>
    <row r="221" spans="2:4" x14ac:dyDescent="0.25">
      <c r="B221" t="s">
        <v>1557</v>
      </c>
      <c r="C221" t="s">
        <v>1558</v>
      </c>
      <c r="D221" s="2">
        <v>0</v>
      </c>
    </row>
    <row r="222" spans="2:4" x14ac:dyDescent="0.25">
      <c r="B222" t="s">
        <v>1559</v>
      </c>
      <c r="C222" t="s">
        <v>1560</v>
      </c>
      <c r="D222" s="2">
        <v>0</v>
      </c>
    </row>
    <row r="223" spans="2:4" x14ac:dyDescent="0.25">
      <c r="B223" t="s">
        <v>1561</v>
      </c>
      <c r="C223" t="s">
        <v>1562</v>
      </c>
      <c r="D223" s="2">
        <v>0</v>
      </c>
    </row>
    <row r="224" spans="2:4" x14ac:dyDescent="0.25">
      <c r="B224" t="s">
        <v>1563</v>
      </c>
      <c r="C224" t="s">
        <v>1564</v>
      </c>
      <c r="D224" s="2">
        <v>0</v>
      </c>
    </row>
    <row r="225" spans="2:4" x14ac:dyDescent="0.25">
      <c r="B225" t="s">
        <v>1565</v>
      </c>
      <c r="C225" t="s">
        <v>1566</v>
      </c>
      <c r="D225" s="2">
        <v>0</v>
      </c>
    </row>
    <row r="226" spans="2:4" x14ac:dyDescent="0.25">
      <c r="B226" t="s">
        <v>1567</v>
      </c>
      <c r="C226" t="s">
        <v>1568</v>
      </c>
      <c r="D226" s="2">
        <v>0</v>
      </c>
    </row>
    <row r="227" spans="2:4" x14ac:dyDescent="0.25">
      <c r="B227" t="s">
        <v>1569</v>
      </c>
      <c r="C227" t="s">
        <v>1570</v>
      </c>
      <c r="D227" s="2">
        <v>0</v>
      </c>
    </row>
    <row r="228" spans="2:4" x14ac:dyDescent="0.25">
      <c r="B228" t="s">
        <v>1571</v>
      </c>
      <c r="C228" t="s">
        <v>1572</v>
      </c>
      <c r="D228" s="2">
        <v>0</v>
      </c>
    </row>
    <row r="229" spans="2:4" x14ac:dyDescent="0.25">
      <c r="B229" t="s">
        <v>1573</v>
      </c>
      <c r="C229" t="s">
        <v>1574</v>
      </c>
      <c r="D229" s="2">
        <v>0</v>
      </c>
    </row>
    <row r="230" spans="2:4" x14ac:dyDescent="0.25">
      <c r="B230" t="s">
        <v>1575</v>
      </c>
      <c r="C230" t="s">
        <v>1576</v>
      </c>
      <c r="D230" s="2">
        <v>0</v>
      </c>
    </row>
    <row r="231" spans="2:4" x14ac:dyDescent="0.25">
      <c r="B231" t="s">
        <v>1577</v>
      </c>
      <c r="C231" t="s">
        <v>1578</v>
      </c>
      <c r="D231" s="2">
        <v>0</v>
      </c>
    </row>
    <row r="232" spans="2:4" x14ac:dyDescent="0.25">
      <c r="B232" t="s">
        <v>1579</v>
      </c>
      <c r="C232" t="s">
        <v>1580</v>
      </c>
      <c r="D232" s="2">
        <v>0</v>
      </c>
    </row>
    <row r="233" spans="2:4" x14ac:dyDescent="0.25">
      <c r="B233" t="s">
        <v>1581</v>
      </c>
      <c r="C233" t="s">
        <v>1582</v>
      </c>
      <c r="D233" s="2">
        <v>0</v>
      </c>
    </row>
    <row r="234" spans="2:4" x14ac:dyDescent="0.25">
      <c r="B234" t="s">
        <v>1583</v>
      </c>
      <c r="C234" t="s">
        <v>1584</v>
      </c>
      <c r="D234" s="2">
        <v>0</v>
      </c>
    </row>
    <row r="235" spans="2:4" x14ac:dyDescent="0.25">
      <c r="B235" t="s">
        <v>1585</v>
      </c>
      <c r="C235" t="s">
        <v>1586</v>
      </c>
      <c r="D235" s="2">
        <v>0</v>
      </c>
    </row>
    <row r="236" spans="2:4" x14ac:dyDescent="0.25">
      <c r="B236" t="s">
        <v>1587</v>
      </c>
      <c r="C236" t="s">
        <v>1588</v>
      </c>
      <c r="D236" s="2">
        <v>0</v>
      </c>
    </row>
    <row r="237" spans="2:4" x14ac:dyDescent="0.25">
      <c r="B237" t="s">
        <v>1589</v>
      </c>
      <c r="C237" t="s">
        <v>1590</v>
      </c>
      <c r="D237" s="2">
        <v>0</v>
      </c>
    </row>
    <row r="238" spans="2:4" x14ac:dyDescent="0.25">
      <c r="B238" t="s">
        <v>1591</v>
      </c>
      <c r="C238" t="s">
        <v>1592</v>
      </c>
      <c r="D238" s="2">
        <v>0</v>
      </c>
    </row>
    <row r="239" spans="2:4" x14ac:dyDescent="0.25">
      <c r="B239" t="s">
        <v>1593</v>
      </c>
      <c r="C239" t="s">
        <v>1594</v>
      </c>
      <c r="D239" s="2">
        <v>0</v>
      </c>
    </row>
    <row r="240" spans="2:4" x14ac:dyDescent="0.25">
      <c r="B240" t="s">
        <v>1595</v>
      </c>
      <c r="C240" t="s">
        <v>1596</v>
      </c>
      <c r="D240" s="2">
        <v>0</v>
      </c>
    </row>
    <row r="241" spans="1:4" x14ac:dyDescent="0.25">
      <c r="B241" t="s">
        <v>1597</v>
      </c>
      <c r="C241" t="s">
        <v>1598</v>
      </c>
      <c r="D241" s="2">
        <v>0</v>
      </c>
    </row>
    <row r="242" spans="1:4" x14ac:dyDescent="0.25">
      <c r="B242" t="s">
        <v>1599</v>
      </c>
      <c r="C242" t="s">
        <v>1600</v>
      </c>
      <c r="D242" s="2">
        <v>0</v>
      </c>
    </row>
    <row r="243" spans="1:4" x14ac:dyDescent="0.25">
      <c r="B243" t="s">
        <v>1601</v>
      </c>
      <c r="C243" t="s">
        <v>1602</v>
      </c>
      <c r="D243" s="2">
        <v>0</v>
      </c>
    </row>
    <row r="244" spans="1:4" x14ac:dyDescent="0.25">
      <c r="B244" t="s">
        <v>1603</v>
      </c>
      <c r="C244" t="s">
        <v>1604</v>
      </c>
      <c r="D244" s="2">
        <v>0</v>
      </c>
    </row>
    <row r="245" spans="1:4" x14ac:dyDescent="0.25">
      <c r="B245" t="s">
        <v>1605</v>
      </c>
      <c r="C245" t="s">
        <v>1606</v>
      </c>
      <c r="D245" s="2">
        <v>0</v>
      </c>
    </row>
    <row r="246" spans="1:4" x14ac:dyDescent="0.25">
      <c r="B246" t="s">
        <v>1607</v>
      </c>
      <c r="C246" t="s">
        <v>1608</v>
      </c>
      <c r="D246" s="2">
        <v>0</v>
      </c>
    </row>
    <row r="247" spans="1:4" x14ac:dyDescent="0.25">
      <c r="B247" t="s">
        <v>1609</v>
      </c>
      <c r="C247" t="s">
        <v>1610</v>
      </c>
      <c r="D247" s="2">
        <v>0</v>
      </c>
    </row>
    <row r="248" spans="1:4" x14ac:dyDescent="0.25">
      <c r="B248" t="s">
        <v>1611</v>
      </c>
      <c r="C248" t="s">
        <v>1612</v>
      </c>
      <c r="D248" s="2">
        <v>0</v>
      </c>
    </row>
    <row r="249" spans="1:4" x14ac:dyDescent="0.25">
      <c r="B249" t="s">
        <v>1613</v>
      </c>
      <c r="C249" t="s">
        <v>1614</v>
      </c>
      <c r="D249" s="2">
        <v>0</v>
      </c>
    </row>
    <row r="250" spans="1:4" x14ac:dyDescent="0.25">
      <c r="B250" t="s">
        <v>1615</v>
      </c>
      <c r="C250" t="s">
        <v>1616</v>
      </c>
      <c r="D250" s="2">
        <v>0</v>
      </c>
    </row>
    <row r="251" spans="1:4" x14ac:dyDescent="0.25">
      <c r="B251" t="s">
        <v>1617</v>
      </c>
      <c r="C251" t="s">
        <v>1618</v>
      </c>
      <c r="D251" s="2">
        <v>0</v>
      </c>
    </row>
    <row r="252" spans="1:4" x14ac:dyDescent="0.25">
      <c r="B252" t="s">
        <v>1619</v>
      </c>
      <c r="C252" t="s">
        <v>1620</v>
      </c>
      <c r="D252" s="2">
        <v>0</v>
      </c>
    </row>
    <row r="253" spans="1:4" x14ac:dyDescent="0.25">
      <c r="A253" t="s">
        <v>26</v>
      </c>
      <c r="B253" t="s">
        <v>55</v>
      </c>
      <c r="C253" t="s">
        <v>56</v>
      </c>
      <c r="D253" s="2">
        <v>0</v>
      </c>
    </row>
    <row r="254" spans="1:4" x14ac:dyDescent="0.25">
      <c r="B254" t="s">
        <v>69</v>
      </c>
      <c r="C254" t="s">
        <v>70</v>
      </c>
      <c r="D254" s="2">
        <v>0</v>
      </c>
    </row>
    <row r="255" spans="1:4" x14ac:dyDescent="0.25">
      <c r="B255" t="s">
        <v>73</v>
      </c>
      <c r="C255" t="s">
        <v>74</v>
      </c>
      <c r="D255" s="2">
        <v>0</v>
      </c>
    </row>
    <row r="256" spans="1:4" x14ac:dyDescent="0.25">
      <c r="B256" t="s">
        <v>80</v>
      </c>
      <c r="C256" t="s">
        <v>81</v>
      </c>
      <c r="D256" s="2">
        <v>0</v>
      </c>
    </row>
    <row r="257" spans="1:4" x14ac:dyDescent="0.25">
      <c r="B257" t="s">
        <v>82</v>
      </c>
      <c r="C257" t="s">
        <v>83</v>
      </c>
      <c r="D257" s="2">
        <v>0</v>
      </c>
    </row>
    <row r="258" spans="1:4" x14ac:dyDescent="0.25">
      <c r="B258" t="s">
        <v>84</v>
      </c>
      <c r="C258" t="s">
        <v>85</v>
      </c>
      <c r="D258" s="2">
        <v>0</v>
      </c>
    </row>
    <row r="259" spans="1:4" x14ac:dyDescent="0.25">
      <c r="A259" t="s">
        <v>19</v>
      </c>
      <c r="B259" t="s">
        <v>40</v>
      </c>
      <c r="C259" t="s">
        <v>1260</v>
      </c>
      <c r="D259" s="2">
        <v>0</v>
      </c>
    </row>
    <row r="260" spans="1:4" x14ac:dyDescent="0.25">
      <c r="B260" t="s">
        <v>369</v>
      </c>
      <c r="C260" t="s">
        <v>1263</v>
      </c>
      <c r="D260" s="2">
        <v>0</v>
      </c>
    </row>
    <row r="261" spans="1:4" x14ac:dyDescent="0.25">
      <c r="B261" t="s">
        <v>262</v>
      </c>
      <c r="C261" t="s">
        <v>1264</v>
      </c>
      <c r="D261" s="2">
        <v>0</v>
      </c>
    </row>
    <row r="262" spans="1:4" x14ac:dyDescent="0.25">
      <c r="B262" t="s">
        <v>231</v>
      </c>
      <c r="C262" t="s">
        <v>232</v>
      </c>
      <c r="D262" s="2">
        <v>0</v>
      </c>
    </row>
    <row r="263" spans="1:4" x14ac:dyDescent="0.25">
      <c r="B263" t="s">
        <v>1261</v>
      </c>
      <c r="C263" t="s">
        <v>1262</v>
      </c>
      <c r="D263" s="2">
        <v>0</v>
      </c>
    </row>
    <row r="264" spans="1:4" x14ac:dyDescent="0.25">
      <c r="B264" t="s">
        <v>1265</v>
      </c>
      <c r="C264" t="s">
        <v>1266</v>
      </c>
      <c r="D264" s="2">
        <v>0</v>
      </c>
    </row>
    <row r="265" spans="1:4" x14ac:dyDescent="0.25">
      <c r="B265" t="s">
        <v>1267</v>
      </c>
      <c r="C265" t="s">
        <v>1268</v>
      </c>
      <c r="D265" s="2">
        <v>0</v>
      </c>
    </row>
    <row r="266" spans="1:4" x14ac:dyDescent="0.25">
      <c r="B266" t="s">
        <v>1269</v>
      </c>
      <c r="C266" t="s">
        <v>1270</v>
      </c>
      <c r="D266" s="2">
        <v>0</v>
      </c>
    </row>
    <row r="267" spans="1:4" x14ac:dyDescent="0.25">
      <c r="B267" t="s">
        <v>1271</v>
      </c>
      <c r="C267" t="s">
        <v>1272</v>
      </c>
      <c r="D267" s="2">
        <v>0</v>
      </c>
    </row>
    <row r="268" spans="1:4" x14ac:dyDescent="0.25">
      <c r="B268" t="s">
        <v>1273</v>
      </c>
      <c r="C268" t="s">
        <v>1274</v>
      </c>
      <c r="D268" s="2">
        <v>0</v>
      </c>
    </row>
    <row r="269" spans="1:4" x14ac:dyDescent="0.25">
      <c r="B269" t="s">
        <v>1275</v>
      </c>
      <c r="C269" t="s">
        <v>1276</v>
      </c>
      <c r="D269" s="2">
        <v>0</v>
      </c>
    </row>
    <row r="270" spans="1:4" x14ac:dyDescent="0.25">
      <c r="B270" t="s">
        <v>1277</v>
      </c>
      <c r="C270" t="s">
        <v>1278</v>
      </c>
      <c r="D270" s="2">
        <v>0</v>
      </c>
    </row>
    <row r="271" spans="1:4" x14ac:dyDescent="0.25">
      <c r="A271" t="s">
        <v>1627</v>
      </c>
      <c r="B271" t="s">
        <v>40</v>
      </c>
      <c r="C271" t="s">
        <v>41</v>
      </c>
      <c r="D271" s="2">
        <v>0</v>
      </c>
    </row>
    <row r="272" spans="1:4" x14ac:dyDescent="0.25">
      <c r="B272" t="s">
        <v>57</v>
      </c>
      <c r="C272" t="s">
        <v>58</v>
      </c>
      <c r="D272" s="2">
        <v>0</v>
      </c>
    </row>
    <row r="273" spans="1:4" x14ac:dyDescent="0.25">
      <c r="B273" t="s">
        <v>63</v>
      </c>
      <c r="C273" t="s">
        <v>64</v>
      </c>
      <c r="D273" s="2">
        <v>0</v>
      </c>
    </row>
    <row r="274" spans="1:4" x14ac:dyDescent="0.25">
      <c r="B274" t="s">
        <v>69</v>
      </c>
      <c r="C274" t="s">
        <v>70</v>
      </c>
      <c r="D274" s="2">
        <v>0</v>
      </c>
    </row>
    <row r="275" spans="1:4" x14ac:dyDescent="0.25">
      <c r="B275" t="s">
        <v>76</v>
      </c>
      <c r="C275" t="s">
        <v>162</v>
      </c>
      <c r="D275" s="2">
        <v>0</v>
      </c>
    </row>
    <row r="276" spans="1:4" x14ac:dyDescent="0.25">
      <c r="B276" t="s">
        <v>231</v>
      </c>
      <c r="C276" t="s">
        <v>232</v>
      </c>
      <c r="D276" s="2">
        <v>0</v>
      </c>
    </row>
    <row r="277" spans="1:4" x14ac:dyDescent="0.25">
      <c r="B277" t="s">
        <v>1628</v>
      </c>
      <c r="C277" t="s">
        <v>1629</v>
      </c>
      <c r="D277" s="2">
        <v>0</v>
      </c>
    </row>
    <row r="278" spans="1:4" x14ac:dyDescent="0.25">
      <c r="A278" t="s">
        <v>27</v>
      </c>
      <c r="D278" s="2">
        <v>416.25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87D6-E642-46F5-A89D-5415FC597B9E}">
  <dimension ref="A1:E19"/>
  <sheetViews>
    <sheetView workbookViewId="0">
      <selection activeCell="B5" sqref="B5"/>
    </sheetView>
  </sheetViews>
  <sheetFormatPr defaultRowHeight="15" x14ac:dyDescent="0.25"/>
  <cols>
    <col min="1" max="1" width="48.140625" bestFit="1" customWidth="1"/>
    <col min="2" max="2" width="16.42578125" bestFit="1" customWidth="1"/>
    <col min="3" max="3" width="42.85546875" bestFit="1" customWidth="1"/>
    <col min="4" max="4" width="17.42578125" bestFit="1" customWidth="1"/>
    <col min="5" max="5" width="17.7109375" bestFit="1" customWidth="1"/>
    <col min="6" max="6" width="27.140625" bestFit="1" customWidth="1"/>
    <col min="7" max="7" width="18.140625" bestFit="1" customWidth="1"/>
    <col min="8" max="8" width="22.42578125" bestFit="1" customWidth="1"/>
    <col min="9" max="9" width="25.7109375" bestFit="1" customWidth="1"/>
    <col min="10" max="10" width="28.5703125" bestFit="1" customWidth="1"/>
    <col min="11" max="11" width="12.85546875" bestFit="1" customWidth="1"/>
    <col min="12" max="12" width="24.28515625" bestFit="1" customWidth="1"/>
    <col min="13" max="13" width="25.5703125" bestFit="1" customWidth="1"/>
    <col min="14" max="14" width="19.42578125" bestFit="1" customWidth="1"/>
    <col min="15" max="15" width="18.5703125" bestFit="1" customWidth="1"/>
    <col min="16" max="16" width="34" bestFit="1" customWidth="1"/>
    <col min="17" max="17" width="20.42578125" bestFit="1" customWidth="1"/>
    <col min="18" max="18" width="50.42578125" bestFit="1" customWidth="1"/>
    <col min="19" max="19" width="48.5703125" bestFit="1" customWidth="1"/>
    <col min="20" max="20" width="38.5703125" bestFit="1" customWidth="1"/>
    <col min="21" max="21" width="26.42578125" bestFit="1" customWidth="1"/>
    <col min="22" max="22" width="17.42578125" bestFit="1" customWidth="1"/>
    <col min="23" max="23" width="28" bestFit="1" customWidth="1"/>
    <col min="24" max="24" width="9.7109375" bestFit="1" customWidth="1"/>
    <col min="25" max="25" width="16.85546875" bestFit="1" customWidth="1"/>
    <col min="26" max="26" width="26.42578125" bestFit="1" customWidth="1"/>
    <col min="27" max="27" width="42.5703125" bestFit="1" customWidth="1"/>
    <col min="28" max="28" width="24.28515625" bestFit="1" customWidth="1"/>
    <col min="29" max="29" width="52.5703125" bestFit="1" customWidth="1"/>
    <col min="30" max="30" width="15.140625" bestFit="1" customWidth="1"/>
    <col min="31" max="31" width="17.85546875" bestFit="1" customWidth="1"/>
    <col min="32" max="32" width="43.42578125" bestFit="1" customWidth="1"/>
    <col min="33" max="33" width="36.85546875" bestFit="1" customWidth="1"/>
    <col min="34" max="35" width="23.85546875" bestFit="1" customWidth="1"/>
    <col min="36" max="36" width="23.7109375" bestFit="1" customWidth="1"/>
    <col min="37" max="37" width="28" bestFit="1" customWidth="1"/>
    <col min="38" max="38" width="20.7109375" bestFit="1" customWidth="1"/>
    <col min="39" max="39" width="52.7109375" bestFit="1" customWidth="1"/>
    <col min="40" max="40" width="25.85546875" bestFit="1" customWidth="1"/>
    <col min="41" max="41" width="38.140625" bestFit="1" customWidth="1"/>
    <col min="42" max="42" width="20.28515625" bestFit="1" customWidth="1"/>
    <col min="43" max="43" width="17.140625" bestFit="1" customWidth="1"/>
    <col min="44" max="44" width="35.42578125" bestFit="1" customWidth="1"/>
    <col min="45" max="45" width="20.85546875" bestFit="1" customWidth="1"/>
    <col min="46" max="46" width="22.7109375" bestFit="1" customWidth="1"/>
    <col min="47" max="47" width="38.140625" bestFit="1" customWidth="1"/>
    <col min="48" max="48" width="20.85546875" bestFit="1" customWidth="1"/>
    <col min="49" max="49" width="27.7109375" bestFit="1" customWidth="1"/>
    <col min="50" max="50" width="29.5703125" bestFit="1" customWidth="1"/>
    <col min="51" max="51" width="31" bestFit="1" customWidth="1"/>
    <col min="52" max="52" width="32.85546875" bestFit="1" customWidth="1"/>
    <col min="53" max="53" width="32.140625" bestFit="1" customWidth="1"/>
    <col min="54" max="54" width="27.5703125" bestFit="1" customWidth="1"/>
    <col min="55" max="55" width="31.140625" bestFit="1" customWidth="1"/>
    <col min="56" max="56" width="23.5703125" bestFit="1" customWidth="1"/>
    <col min="57" max="57" width="27.7109375" bestFit="1" customWidth="1"/>
    <col min="58" max="58" width="33.7109375" bestFit="1" customWidth="1"/>
    <col min="59" max="59" width="20.85546875" bestFit="1" customWidth="1"/>
    <col min="60" max="60" width="7.5703125" bestFit="1" customWidth="1"/>
    <col min="61" max="61" width="33.140625" bestFit="1" customWidth="1"/>
    <col min="62" max="62" width="24.5703125" bestFit="1" customWidth="1"/>
    <col min="63" max="63" width="22.5703125" bestFit="1" customWidth="1"/>
    <col min="64" max="64" width="12.85546875" bestFit="1" customWidth="1"/>
    <col min="65" max="65" width="9.28515625" bestFit="1" customWidth="1"/>
    <col min="66" max="66" width="9.42578125" bestFit="1" customWidth="1"/>
    <col min="67" max="67" width="29.5703125" bestFit="1" customWidth="1"/>
    <col min="68" max="68" width="14.42578125" bestFit="1" customWidth="1"/>
    <col min="69" max="69" width="17.5703125" bestFit="1" customWidth="1"/>
    <col min="70" max="70" width="25.140625" bestFit="1" customWidth="1"/>
    <col min="71" max="71" width="21.140625" bestFit="1" customWidth="1"/>
    <col min="72" max="72" width="17.85546875" bestFit="1" customWidth="1"/>
    <col min="73" max="73" width="24.140625" bestFit="1" customWidth="1"/>
    <col min="74" max="74" width="9.5703125" bestFit="1" customWidth="1"/>
    <col min="75" max="75" width="12.28515625" bestFit="1" customWidth="1"/>
    <col min="76" max="76" width="13.42578125" bestFit="1" customWidth="1"/>
    <col min="77" max="77" width="15.140625" bestFit="1" customWidth="1"/>
    <col min="78" max="78" width="23.28515625" bestFit="1" customWidth="1"/>
    <col min="79" max="79" width="18.42578125" bestFit="1" customWidth="1"/>
    <col min="80" max="80" width="15.28515625" bestFit="1" customWidth="1"/>
    <col min="81" max="81" width="14.42578125" bestFit="1" customWidth="1"/>
    <col min="82" max="82" width="17.28515625" bestFit="1" customWidth="1"/>
    <col min="83" max="83" width="19.7109375" bestFit="1" customWidth="1"/>
    <col min="84" max="84" width="29.7109375" bestFit="1" customWidth="1"/>
    <col min="85" max="85" width="35.28515625" bestFit="1" customWidth="1"/>
    <col min="86" max="86" width="29.7109375" bestFit="1" customWidth="1"/>
    <col min="87" max="87" width="32.85546875" bestFit="1" customWidth="1"/>
    <col min="88" max="88" width="18.42578125" bestFit="1" customWidth="1"/>
    <col min="89" max="89" width="24.42578125" bestFit="1" customWidth="1"/>
    <col min="90" max="90" width="37.5703125" bestFit="1" customWidth="1"/>
    <col min="91" max="91" width="21.140625" bestFit="1" customWidth="1"/>
    <col min="92" max="92" width="36.85546875" bestFit="1" customWidth="1"/>
    <col min="93" max="93" width="24.7109375" bestFit="1" customWidth="1"/>
    <col min="94" max="94" width="10.140625" bestFit="1" customWidth="1"/>
    <col min="95" max="116" width="30.42578125" bestFit="1" customWidth="1"/>
    <col min="117" max="138" width="25.85546875" bestFit="1" customWidth="1"/>
    <col min="139" max="139" width="43" bestFit="1" customWidth="1"/>
    <col min="140" max="140" width="35.140625" bestFit="1" customWidth="1"/>
    <col min="141" max="141" width="27.42578125" bestFit="1" customWidth="1"/>
    <col min="142" max="142" width="28" bestFit="1" customWidth="1"/>
    <col min="143" max="143" width="9" bestFit="1" customWidth="1"/>
    <col min="144" max="144" width="14.140625" bestFit="1" customWidth="1"/>
    <col min="145" max="145" width="13.5703125" bestFit="1" customWidth="1"/>
    <col min="146" max="146" width="31.85546875" bestFit="1" customWidth="1"/>
    <col min="147" max="147" width="22.7109375" bestFit="1" customWidth="1"/>
    <col min="148" max="148" width="27.85546875" bestFit="1" customWidth="1"/>
    <col min="149" max="149" width="17.5703125" bestFit="1" customWidth="1"/>
    <col min="150" max="150" width="38.42578125" bestFit="1" customWidth="1"/>
    <col min="151" max="151" width="28.140625" bestFit="1" customWidth="1"/>
    <col min="152" max="152" width="18.28515625" bestFit="1" customWidth="1"/>
    <col min="153" max="153" width="15.5703125" bestFit="1" customWidth="1"/>
    <col min="154" max="154" width="37.85546875" bestFit="1" customWidth="1"/>
    <col min="155" max="155" width="18.140625" bestFit="1" customWidth="1"/>
    <col min="156" max="156" width="27.85546875" bestFit="1" customWidth="1"/>
    <col min="157" max="157" width="16.7109375" bestFit="1" customWidth="1"/>
    <col min="158" max="158" width="31.85546875" bestFit="1" customWidth="1"/>
    <col min="159" max="159" width="22.5703125" bestFit="1" customWidth="1"/>
    <col min="160" max="160" width="28.5703125" bestFit="1" customWidth="1"/>
    <col min="161" max="161" width="41.85546875" bestFit="1" customWidth="1"/>
    <col min="162" max="162" width="34.140625" bestFit="1" customWidth="1"/>
    <col min="163" max="163" width="19.140625" bestFit="1" customWidth="1"/>
    <col min="164" max="164" width="37.85546875" bestFit="1" customWidth="1"/>
    <col min="165" max="165" width="14.28515625" bestFit="1" customWidth="1"/>
    <col min="166" max="166" width="22.85546875" bestFit="1" customWidth="1"/>
    <col min="167" max="167" width="14.5703125" bestFit="1" customWidth="1"/>
    <col min="168" max="168" width="19.5703125" bestFit="1" customWidth="1"/>
    <col min="169" max="169" width="22.140625" bestFit="1" customWidth="1"/>
    <col min="170" max="170" width="36" bestFit="1" customWidth="1"/>
    <col min="171" max="171" width="13.5703125" bestFit="1" customWidth="1"/>
    <col min="172" max="172" width="18.7109375" bestFit="1" customWidth="1"/>
    <col min="173" max="173" width="13.28515625" bestFit="1" customWidth="1"/>
    <col min="174" max="174" width="29.140625" bestFit="1" customWidth="1"/>
    <col min="175" max="175" width="35.85546875" bestFit="1" customWidth="1"/>
    <col min="176" max="176" width="28" bestFit="1" customWidth="1"/>
    <col min="177" max="177" width="15.42578125" bestFit="1" customWidth="1"/>
    <col min="178" max="178" width="30.28515625" bestFit="1" customWidth="1"/>
    <col min="179" max="179" width="29.140625" bestFit="1" customWidth="1"/>
    <col min="180" max="180" width="24.42578125" bestFit="1" customWidth="1"/>
    <col min="181" max="181" width="31.85546875" bestFit="1" customWidth="1"/>
    <col min="182" max="182" width="38.42578125" bestFit="1" customWidth="1"/>
    <col min="183" max="183" width="20" bestFit="1" customWidth="1"/>
    <col min="184" max="184" width="28.42578125" bestFit="1" customWidth="1"/>
    <col min="185" max="185" width="19.140625" bestFit="1" customWidth="1"/>
    <col min="186" max="186" width="21.140625" bestFit="1" customWidth="1"/>
    <col min="187" max="187" width="35.42578125" bestFit="1" customWidth="1"/>
    <col min="188" max="188" width="16.42578125" bestFit="1" customWidth="1"/>
    <col min="189" max="189" width="11.140625" bestFit="1" customWidth="1"/>
    <col min="190" max="190" width="11.85546875" bestFit="1" customWidth="1"/>
    <col min="191" max="191" width="15" bestFit="1" customWidth="1"/>
    <col min="192" max="192" width="4.140625" bestFit="1" customWidth="1"/>
    <col min="193" max="193" width="10.28515625" bestFit="1" customWidth="1"/>
    <col min="194" max="194" width="27" bestFit="1" customWidth="1"/>
    <col min="195" max="195" width="14.42578125" bestFit="1" customWidth="1"/>
    <col min="196" max="196" width="25.42578125" bestFit="1" customWidth="1"/>
    <col min="197" max="197" width="18.5703125" bestFit="1" customWidth="1"/>
    <col min="198" max="198" width="38.85546875" bestFit="1" customWidth="1"/>
    <col min="199" max="199" width="18.28515625" bestFit="1" customWidth="1"/>
    <col min="200" max="200" width="19.28515625" bestFit="1" customWidth="1"/>
    <col min="201" max="201" width="18.85546875" bestFit="1" customWidth="1"/>
    <col min="202" max="202" width="19.7109375" bestFit="1" customWidth="1"/>
    <col min="203" max="203" width="5" bestFit="1" customWidth="1"/>
    <col min="204" max="204" width="16.5703125" bestFit="1" customWidth="1"/>
    <col min="205" max="205" width="14.85546875" bestFit="1" customWidth="1"/>
    <col min="206" max="206" width="25.42578125" bestFit="1" customWidth="1"/>
    <col min="207" max="207" width="18.28515625" bestFit="1" customWidth="1"/>
    <col min="208" max="208" width="10.42578125" bestFit="1" customWidth="1"/>
  </cols>
  <sheetData>
    <row r="1" spans="1:5" x14ac:dyDescent="0.25">
      <c r="A1" s="1" t="s">
        <v>4</v>
      </c>
      <c r="B1" t="s">
        <v>1254</v>
      </c>
    </row>
    <row r="2" spans="1:5" x14ac:dyDescent="0.25">
      <c r="A2" s="1" t="s">
        <v>1</v>
      </c>
      <c r="B2" t="s">
        <v>1254</v>
      </c>
    </row>
    <row r="4" spans="1:5" x14ac:dyDescent="0.25">
      <c r="A4" s="1" t="s">
        <v>0</v>
      </c>
      <c r="B4" s="1" t="s">
        <v>2</v>
      </c>
      <c r="C4" s="1" t="s">
        <v>3</v>
      </c>
      <c r="D4" t="s">
        <v>1255</v>
      </c>
      <c r="E4" t="s">
        <v>1256</v>
      </c>
    </row>
    <row r="5" spans="1:5" x14ac:dyDescent="0.25">
      <c r="A5" t="s">
        <v>21</v>
      </c>
      <c r="B5" t="s">
        <v>63</v>
      </c>
      <c r="C5" t="s">
        <v>64</v>
      </c>
      <c r="D5" s="2">
        <v>74</v>
      </c>
      <c r="E5" s="2">
        <v>0</v>
      </c>
    </row>
    <row r="6" spans="1:5" x14ac:dyDescent="0.25">
      <c r="A6" t="s">
        <v>22</v>
      </c>
      <c r="B6" t="s">
        <v>330</v>
      </c>
      <c r="C6" t="s">
        <v>331</v>
      </c>
      <c r="D6" s="2">
        <v>371</v>
      </c>
      <c r="E6" s="2">
        <v>0</v>
      </c>
    </row>
    <row r="7" spans="1:5" x14ac:dyDescent="0.25">
      <c r="B7" t="s">
        <v>332</v>
      </c>
      <c r="C7" t="s">
        <v>333</v>
      </c>
      <c r="D7" s="2">
        <v>50</v>
      </c>
      <c r="E7" s="2">
        <v>0</v>
      </c>
    </row>
    <row r="8" spans="1:5" x14ac:dyDescent="0.25">
      <c r="A8" t="s">
        <v>23</v>
      </c>
      <c r="B8" t="s">
        <v>515</v>
      </c>
      <c r="C8" t="s">
        <v>516</v>
      </c>
      <c r="D8" s="2">
        <v>50</v>
      </c>
      <c r="E8" s="2">
        <v>0</v>
      </c>
    </row>
    <row r="9" spans="1:5" x14ac:dyDescent="0.25">
      <c r="B9" t="s">
        <v>585</v>
      </c>
      <c r="C9" t="s">
        <v>586</v>
      </c>
      <c r="D9" s="2">
        <v>48</v>
      </c>
      <c r="E9" s="2">
        <v>0</v>
      </c>
    </row>
    <row r="10" spans="1:5" x14ac:dyDescent="0.25">
      <c r="B10" t="s">
        <v>664</v>
      </c>
      <c r="C10" t="s">
        <v>656</v>
      </c>
      <c r="D10" s="2">
        <v>100</v>
      </c>
      <c r="E10" s="2">
        <v>0</v>
      </c>
    </row>
    <row r="11" spans="1:5" x14ac:dyDescent="0.25">
      <c r="B11" t="s">
        <v>745</v>
      </c>
      <c r="C11" t="s">
        <v>746</v>
      </c>
      <c r="D11" s="2">
        <v>192</v>
      </c>
      <c r="E11" s="2">
        <v>0</v>
      </c>
    </row>
    <row r="12" spans="1:5" x14ac:dyDescent="0.25">
      <c r="B12" t="s">
        <v>787</v>
      </c>
      <c r="C12" t="s">
        <v>1317</v>
      </c>
      <c r="D12" s="2">
        <v>951</v>
      </c>
      <c r="E12" s="2">
        <v>0</v>
      </c>
    </row>
    <row r="13" spans="1:5" x14ac:dyDescent="0.25">
      <c r="A13" t="s">
        <v>24</v>
      </c>
      <c r="B13" t="s">
        <v>38</v>
      </c>
      <c r="C13" t="s">
        <v>797</v>
      </c>
      <c r="D13" s="2">
        <v>24</v>
      </c>
      <c r="E13" s="2">
        <v>0</v>
      </c>
    </row>
    <row r="14" spans="1:5" x14ac:dyDescent="0.25">
      <c r="B14" t="s">
        <v>256</v>
      </c>
      <c r="C14" t="s">
        <v>804</v>
      </c>
      <c r="D14" s="2">
        <v>234</v>
      </c>
      <c r="E14" s="2">
        <v>0</v>
      </c>
    </row>
    <row r="15" spans="1:5" x14ac:dyDescent="0.25">
      <c r="B15" t="s">
        <v>80</v>
      </c>
      <c r="C15" t="s">
        <v>817</v>
      </c>
      <c r="D15" s="2">
        <v>3021</v>
      </c>
      <c r="E15" s="2">
        <v>0</v>
      </c>
    </row>
    <row r="16" spans="1:5" x14ac:dyDescent="0.25">
      <c r="A16" t="s">
        <v>26</v>
      </c>
      <c r="B16" t="s">
        <v>38</v>
      </c>
      <c r="C16" t="s">
        <v>39</v>
      </c>
      <c r="D16" s="2">
        <v>39</v>
      </c>
      <c r="E16" s="2">
        <v>0</v>
      </c>
    </row>
    <row r="17" spans="1:5" x14ac:dyDescent="0.25">
      <c r="B17" t="s">
        <v>61</v>
      </c>
      <c r="C17" t="s">
        <v>62</v>
      </c>
      <c r="D17" s="2">
        <v>263</v>
      </c>
      <c r="E17" s="2">
        <v>0</v>
      </c>
    </row>
    <row r="18" spans="1:5" x14ac:dyDescent="0.25">
      <c r="B18" t="s">
        <v>72</v>
      </c>
      <c r="C18" t="s">
        <v>1305</v>
      </c>
      <c r="D18" s="2">
        <v>13</v>
      </c>
      <c r="E18" s="2">
        <v>0</v>
      </c>
    </row>
    <row r="19" spans="1:5" x14ac:dyDescent="0.25">
      <c r="A19" t="s">
        <v>27</v>
      </c>
      <c r="D19" s="2">
        <v>5430</v>
      </c>
      <c r="E1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71A1-E06D-48A8-8820-98D45EE42209}">
  <dimension ref="A1:E9"/>
  <sheetViews>
    <sheetView workbookViewId="0">
      <selection activeCell="C5" sqref="C5:C8"/>
      <pivotSelection pane="bottomRight" showHeader="1" dimension="2" activeRow="4" activeCol="2" click="1" r:id="rId1">
        <pivotArea dataOnly="0" labelOnly="1" outline="0" fieldPosition="0">
          <references count="1">
            <reference field="3" count="0"/>
          </references>
        </pivotArea>
      </pivotSelection>
    </sheetView>
  </sheetViews>
  <sheetFormatPr defaultRowHeight="15" x14ac:dyDescent="0.25"/>
  <cols>
    <col min="1" max="1" width="32.140625" bestFit="1" customWidth="1"/>
    <col min="2" max="2" width="16.42578125" bestFit="1" customWidth="1"/>
    <col min="3" max="3" width="51" bestFit="1" customWidth="1"/>
    <col min="4" max="4" width="17.42578125" bestFit="1" customWidth="1"/>
    <col min="5" max="5" width="17.7109375" bestFit="1" customWidth="1"/>
    <col min="6" max="6" width="27.140625" bestFit="1" customWidth="1"/>
    <col min="7" max="7" width="18.140625" bestFit="1" customWidth="1"/>
    <col min="8" max="8" width="22.42578125" bestFit="1" customWidth="1"/>
    <col min="9" max="9" width="25.7109375" bestFit="1" customWidth="1"/>
    <col min="10" max="10" width="28.5703125" bestFit="1" customWidth="1"/>
    <col min="11" max="11" width="12.85546875" bestFit="1" customWidth="1"/>
    <col min="12" max="12" width="24.28515625" bestFit="1" customWidth="1"/>
    <col min="13" max="13" width="25.5703125" bestFit="1" customWidth="1"/>
    <col min="14" max="14" width="19.42578125" bestFit="1" customWidth="1"/>
    <col min="15" max="15" width="18.5703125" bestFit="1" customWidth="1"/>
    <col min="16" max="16" width="34" bestFit="1" customWidth="1"/>
    <col min="17" max="17" width="20.42578125" bestFit="1" customWidth="1"/>
    <col min="18" max="18" width="50.42578125" bestFit="1" customWidth="1"/>
    <col min="19" max="19" width="48.5703125" bestFit="1" customWidth="1"/>
    <col min="20" max="20" width="38.5703125" bestFit="1" customWidth="1"/>
    <col min="21" max="21" width="26.42578125" bestFit="1" customWidth="1"/>
    <col min="22" max="22" width="17.42578125" bestFit="1" customWidth="1"/>
    <col min="23" max="23" width="28" bestFit="1" customWidth="1"/>
    <col min="24" max="24" width="9.7109375" bestFit="1" customWidth="1"/>
    <col min="25" max="25" width="16.85546875" bestFit="1" customWidth="1"/>
    <col min="26" max="26" width="26.42578125" bestFit="1" customWidth="1"/>
    <col min="27" max="27" width="42.5703125" bestFit="1" customWidth="1"/>
    <col min="28" max="28" width="24.28515625" bestFit="1" customWidth="1"/>
    <col min="29" max="29" width="52.5703125" bestFit="1" customWidth="1"/>
    <col min="30" max="30" width="15.140625" bestFit="1" customWidth="1"/>
    <col min="31" max="31" width="17.85546875" bestFit="1" customWidth="1"/>
    <col min="32" max="32" width="43.42578125" bestFit="1" customWidth="1"/>
    <col min="33" max="33" width="36.85546875" bestFit="1" customWidth="1"/>
    <col min="34" max="35" width="23.85546875" bestFit="1" customWidth="1"/>
    <col min="36" max="36" width="23.7109375" bestFit="1" customWidth="1"/>
    <col min="37" max="37" width="28" bestFit="1" customWidth="1"/>
    <col min="38" max="38" width="20.7109375" bestFit="1" customWidth="1"/>
    <col min="39" max="39" width="52.7109375" bestFit="1" customWidth="1"/>
    <col min="40" max="40" width="25.85546875" bestFit="1" customWidth="1"/>
    <col min="41" max="41" width="38.140625" bestFit="1" customWidth="1"/>
    <col min="42" max="42" width="20.28515625" bestFit="1" customWidth="1"/>
    <col min="43" max="43" width="17.140625" bestFit="1" customWidth="1"/>
    <col min="44" max="44" width="35.42578125" bestFit="1" customWidth="1"/>
    <col min="45" max="45" width="20.85546875" bestFit="1" customWidth="1"/>
    <col min="46" max="46" width="22.7109375" bestFit="1" customWidth="1"/>
    <col min="47" max="47" width="38.140625" bestFit="1" customWidth="1"/>
    <col min="48" max="48" width="20.85546875" bestFit="1" customWidth="1"/>
    <col min="49" max="49" width="27.7109375" bestFit="1" customWidth="1"/>
    <col min="50" max="50" width="29.5703125" bestFit="1" customWidth="1"/>
    <col min="51" max="51" width="31" bestFit="1" customWidth="1"/>
    <col min="52" max="52" width="32.85546875" bestFit="1" customWidth="1"/>
    <col min="53" max="53" width="32.140625" bestFit="1" customWidth="1"/>
    <col min="54" max="54" width="27.5703125" bestFit="1" customWidth="1"/>
    <col min="55" max="55" width="31.140625" bestFit="1" customWidth="1"/>
    <col min="56" max="56" width="23.5703125" bestFit="1" customWidth="1"/>
    <col min="57" max="57" width="27.7109375" bestFit="1" customWidth="1"/>
    <col min="58" max="58" width="33.7109375" bestFit="1" customWidth="1"/>
    <col min="59" max="59" width="20.85546875" bestFit="1" customWidth="1"/>
    <col min="60" max="60" width="7.5703125" bestFit="1" customWidth="1"/>
    <col min="61" max="61" width="33.140625" bestFit="1" customWidth="1"/>
    <col min="62" max="62" width="24.5703125" bestFit="1" customWidth="1"/>
    <col min="63" max="63" width="22.5703125" bestFit="1" customWidth="1"/>
    <col min="64" max="64" width="12.85546875" bestFit="1" customWidth="1"/>
    <col min="65" max="65" width="9.28515625" bestFit="1" customWidth="1"/>
    <col min="66" max="66" width="9.42578125" bestFit="1" customWidth="1"/>
    <col min="67" max="67" width="29.5703125" bestFit="1" customWidth="1"/>
    <col min="68" max="68" width="14.42578125" bestFit="1" customWidth="1"/>
    <col min="69" max="69" width="17.5703125" bestFit="1" customWidth="1"/>
    <col min="70" max="70" width="25.140625" bestFit="1" customWidth="1"/>
    <col min="71" max="71" width="21.140625" bestFit="1" customWidth="1"/>
    <col min="72" max="72" width="17.85546875" bestFit="1" customWidth="1"/>
    <col min="73" max="73" width="24.140625" bestFit="1" customWidth="1"/>
    <col min="74" max="74" width="9.5703125" bestFit="1" customWidth="1"/>
    <col min="75" max="75" width="12.28515625" bestFit="1" customWidth="1"/>
    <col min="76" max="76" width="13.42578125" bestFit="1" customWidth="1"/>
    <col min="77" max="77" width="15.140625" bestFit="1" customWidth="1"/>
    <col min="78" max="78" width="23.28515625" bestFit="1" customWidth="1"/>
    <col min="79" max="79" width="18.42578125" bestFit="1" customWidth="1"/>
    <col min="80" max="80" width="15.28515625" bestFit="1" customWidth="1"/>
    <col min="81" max="81" width="14.42578125" bestFit="1" customWidth="1"/>
    <col min="82" max="82" width="17.28515625" bestFit="1" customWidth="1"/>
    <col min="83" max="83" width="19.7109375" bestFit="1" customWidth="1"/>
    <col min="84" max="84" width="29.7109375" bestFit="1" customWidth="1"/>
    <col min="85" max="85" width="35.28515625" bestFit="1" customWidth="1"/>
    <col min="86" max="86" width="29.7109375" bestFit="1" customWidth="1"/>
    <col min="87" max="87" width="32.85546875" bestFit="1" customWidth="1"/>
    <col min="88" max="88" width="18.42578125" bestFit="1" customWidth="1"/>
    <col min="89" max="89" width="24.42578125" bestFit="1" customWidth="1"/>
    <col min="90" max="90" width="37.5703125" bestFit="1" customWidth="1"/>
    <col min="91" max="91" width="21.140625" bestFit="1" customWidth="1"/>
    <col min="92" max="92" width="36.85546875" bestFit="1" customWidth="1"/>
    <col min="93" max="93" width="24.7109375" bestFit="1" customWidth="1"/>
    <col min="94" max="94" width="10.140625" bestFit="1" customWidth="1"/>
    <col min="95" max="116" width="30.42578125" bestFit="1" customWidth="1"/>
    <col min="117" max="138" width="25.85546875" bestFit="1" customWidth="1"/>
    <col min="139" max="139" width="43" bestFit="1" customWidth="1"/>
    <col min="140" max="140" width="35.140625" bestFit="1" customWidth="1"/>
    <col min="141" max="141" width="27.42578125" bestFit="1" customWidth="1"/>
    <col min="142" max="142" width="28" bestFit="1" customWidth="1"/>
    <col min="143" max="143" width="9" bestFit="1" customWidth="1"/>
    <col min="144" max="144" width="14.140625" bestFit="1" customWidth="1"/>
    <col min="145" max="145" width="13.5703125" bestFit="1" customWidth="1"/>
    <col min="146" max="146" width="31.85546875" bestFit="1" customWidth="1"/>
    <col min="147" max="147" width="22.7109375" bestFit="1" customWidth="1"/>
    <col min="148" max="148" width="27.85546875" bestFit="1" customWidth="1"/>
    <col min="149" max="149" width="17.5703125" bestFit="1" customWidth="1"/>
    <col min="150" max="150" width="38.42578125" bestFit="1" customWidth="1"/>
    <col min="151" max="151" width="28.140625" bestFit="1" customWidth="1"/>
    <col min="152" max="152" width="18.28515625" bestFit="1" customWidth="1"/>
    <col min="153" max="153" width="15.5703125" bestFit="1" customWidth="1"/>
    <col min="154" max="154" width="37.85546875" bestFit="1" customWidth="1"/>
    <col min="155" max="155" width="18.140625" bestFit="1" customWidth="1"/>
    <col min="156" max="156" width="27.85546875" bestFit="1" customWidth="1"/>
    <col min="157" max="157" width="16.7109375" bestFit="1" customWidth="1"/>
    <col min="158" max="158" width="31.85546875" bestFit="1" customWidth="1"/>
    <col min="159" max="159" width="22.5703125" bestFit="1" customWidth="1"/>
    <col min="160" max="160" width="28.5703125" bestFit="1" customWidth="1"/>
    <col min="161" max="161" width="41.85546875" bestFit="1" customWidth="1"/>
    <col min="162" max="162" width="34.140625" bestFit="1" customWidth="1"/>
    <col min="163" max="163" width="19.140625" bestFit="1" customWidth="1"/>
    <col min="164" max="164" width="37.85546875" bestFit="1" customWidth="1"/>
    <col min="165" max="165" width="14.28515625" bestFit="1" customWidth="1"/>
    <col min="166" max="166" width="22.85546875" bestFit="1" customWidth="1"/>
    <col min="167" max="167" width="14.5703125" bestFit="1" customWidth="1"/>
    <col min="168" max="168" width="19.5703125" bestFit="1" customWidth="1"/>
    <col min="169" max="169" width="22.140625" bestFit="1" customWidth="1"/>
    <col min="170" max="170" width="36" bestFit="1" customWidth="1"/>
    <col min="171" max="171" width="13.5703125" bestFit="1" customWidth="1"/>
    <col min="172" max="172" width="18.7109375" bestFit="1" customWidth="1"/>
    <col min="173" max="173" width="13.28515625" bestFit="1" customWidth="1"/>
    <col min="174" max="174" width="29.140625" bestFit="1" customWidth="1"/>
    <col min="175" max="175" width="35.85546875" bestFit="1" customWidth="1"/>
    <col min="176" max="176" width="28" bestFit="1" customWidth="1"/>
    <col min="177" max="177" width="15.42578125" bestFit="1" customWidth="1"/>
    <col min="178" max="178" width="30.28515625" bestFit="1" customWidth="1"/>
    <col min="179" max="179" width="29.140625" bestFit="1" customWidth="1"/>
    <col min="180" max="180" width="24.42578125" bestFit="1" customWidth="1"/>
    <col min="181" max="181" width="31.85546875" bestFit="1" customWidth="1"/>
    <col min="182" max="182" width="38.42578125" bestFit="1" customWidth="1"/>
    <col min="183" max="183" width="20" bestFit="1" customWidth="1"/>
    <col min="184" max="184" width="28.42578125" bestFit="1" customWidth="1"/>
    <col min="185" max="185" width="19.140625" bestFit="1" customWidth="1"/>
    <col min="186" max="186" width="21.140625" bestFit="1" customWidth="1"/>
    <col min="187" max="187" width="35.42578125" bestFit="1" customWidth="1"/>
    <col min="188" max="188" width="16.42578125" bestFit="1" customWidth="1"/>
    <col min="189" max="189" width="11.140625" bestFit="1" customWidth="1"/>
    <col min="190" max="190" width="11.85546875" bestFit="1" customWidth="1"/>
    <col min="191" max="191" width="15" bestFit="1" customWidth="1"/>
    <col min="192" max="192" width="4.140625" bestFit="1" customWidth="1"/>
    <col min="193" max="193" width="10.28515625" bestFit="1" customWidth="1"/>
    <col min="194" max="194" width="27" bestFit="1" customWidth="1"/>
    <col min="195" max="195" width="14.42578125" bestFit="1" customWidth="1"/>
    <col min="196" max="196" width="25.42578125" bestFit="1" customWidth="1"/>
    <col min="197" max="197" width="18.5703125" bestFit="1" customWidth="1"/>
    <col min="198" max="198" width="38.85546875" bestFit="1" customWidth="1"/>
    <col min="199" max="199" width="18.28515625" bestFit="1" customWidth="1"/>
    <col min="200" max="200" width="19.28515625" bestFit="1" customWidth="1"/>
    <col min="201" max="201" width="18.85546875" bestFit="1" customWidth="1"/>
    <col min="202" max="202" width="19.7109375" bestFit="1" customWidth="1"/>
    <col min="203" max="203" width="5" bestFit="1" customWidth="1"/>
    <col min="204" max="204" width="16.5703125" bestFit="1" customWidth="1"/>
    <col min="205" max="205" width="14.85546875" bestFit="1" customWidth="1"/>
    <col min="206" max="206" width="25.42578125" bestFit="1" customWidth="1"/>
    <col min="207" max="207" width="18.28515625" bestFit="1" customWidth="1"/>
    <col min="208" max="208" width="10.42578125" bestFit="1" customWidth="1"/>
  </cols>
  <sheetData>
    <row r="1" spans="1:5" x14ac:dyDescent="0.25">
      <c r="A1" s="1" t="s">
        <v>4</v>
      </c>
      <c r="B1" t="s">
        <v>54</v>
      </c>
    </row>
    <row r="2" spans="1:5" x14ac:dyDescent="0.25">
      <c r="A2" s="1" t="s">
        <v>1</v>
      </c>
      <c r="B2" t="s">
        <v>1254</v>
      </c>
    </row>
    <row r="4" spans="1:5" x14ac:dyDescent="0.25">
      <c r="A4" s="1" t="s">
        <v>0</v>
      </c>
      <c r="B4" s="1" t="s">
        <v>2</v>
      </c>
      <c r="C4" s="1" t="s">
        <v>3</v>
      </c>
      <c r="D4" t="s">
        <v>1255</v>
      </c>
      <c r="E4" t="s">
        <v>1256</v>
      </c>
    </row>
    <row r="5" spans="1:5" x14ac:dyDescent="0.25">
      <c r="A5" t="s">
        <v>18</v>
      </c>
      <c r="B5" t="s">
        <v>138</v>
      </c>
      <c r="C5" t="s">
        <v>139</v>
      </c>
      <c r="D5" s="2">
        <v>0</v>
      </c>
      <c r="E5" s="2">
        <v>12460.117198956781</v>
      </c>
    </row>
    <row r="6" spans="1:5" x14ac:dyDescent="0.25">
      <c r="B6" t="s">
        <v>145</v>
      </c>
      <c r="C6" t="s">
        <v>146</v>
      </c>
      <c r="D6" s="2">
        <v>0</v>
      </c>
      <c r="E6" s="2">
        <v>5519.46875</v>
      </c>
    </row>
    <row r="7" spans="1:5" x14ac:dyDescent="0.25">
      <c r="A7" t="s">
        <v>21</v>
      </c>
      <c r="B7" t="s">
        <v>52</v>
      </c>
      <c r="C7" t="s">
        <v>53</v>
      </c>
      <c r="D7" s="2">
        <v>0</v>
      </c>
      <c r="E7" s="2">
        <v>76.335000000000008</v>
      </c>
    </row>
    <row r="8" spans="1:5" x14ac:dyDescent="0.25">
      <c r="A8" t="s">
        <v>24</v>
      </c>
      <c r="B8" t="s">
        <v>63</v>
      </c>
      <c r="C8" t="s">
        <v>806</v>
      </c>
      <c r="D8" s="2">
        <v>0</v>
      </c>
      <c r="E8" s="2">
        <v>59.34</v>
      </c>
    </row>
    <row r="9" spans="1:5" x14ac:dyDescent="0.25">
      <c r="A9" t="s">
        <v>27</v>
      </c>
      <c r="D9" s="2">
        <v>0</v>
      </c>
      <c r="E9" s="2">
        <v>18115.26094895678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089D-D4A6-4BE7-893E-EC86D93330A5}">
  <dimension ref="A1:F43"/>
  <sheetViews>
    <sheetView zoomScale="85" zoomScaleNormal="85" workbookViewId="0">
      <selection activeCell="G7" sqref="G7"/>
    </sheetView>
  </sheetViews>
  <sheetFormatPr defaultRowHeight="15" x14ac:dyDescent="0.25"/>
  <cols>
    <col min="1" max="1" width="32.140625" bestFit="1" customWidth="1"/>
    <col min="2" max="2" width="16.42578125" bestFit="1" customWidth="1"/>
    <col min="3" max="3" width="49.140625" bestFit="1" customWidth="1"/>
    <col min="4" max="4" width="14.5703125" bestFit="1" customWidth="1"/>
    <col min="5" max="5" width="14.7109375" bestFit="1" customWidth="1"/>
    <col min="6" max="7" width="16.5703125" bestFit="1" customWidth="1"/>
    <col min="8" max="8" width="22.42578125" bestFit="1" customWidth="1"/>
    <col min="9" max="9" width="25.7109375" bestFit="1" customWidth="1"/>
    <col min="10" max="10" width="28.5703125" bestFit="1" customWidth="1"/>
    <col min="11" max="11" width="12.85546875" bestFit="1" customWidth="1"/>
    <col min="12" max="12" width="24.28515625" bestFit="1" customWidth="1"/>
    <col min="13" max="13" width="25.5703125" bestFit="1" customWidth="1"/>
    <col min="14" max="14" width="19.42578125" bestFit="1" customWidth="1"/>
    <col min="15" max="15" width="18.5703125" bestFit="1" customWidth="1"/>
    <col min="16" max="16" width="34" bestFit="1" customWidth="1"/>
    <col min="17" max="17" width="20.42578125" bestFit="1" customWidth="1"/>
    <col min="18" max="18" width="50.42578125" bestFit="1" customWidth="1"/>
    <col min="19" max="19" width="48.5703125" bestFit="1" customWidth="1"/>
    <col min="20" max="20" width="38.5703125" bestFit="1" customWidth="1"/>
    <col min="21" max="21" width="26.42578125" bestFit="1" customWidth="1"/>
    <col min="22" max="22" width="17.42578125" bestFit="1" customWidth="1"/>
    <col min="23" max="23" width="28" bestFit="1" customWidth="1"/>
    <col min="24" max="24" width="9.7109375" bestFit="1" customWidth="1"/>
    <col min="25" max="25" width="16.85546875" bestFit="1" customWidth="1"/>
    <col min="26" max="26" width="26.42578125" bestFit="1" customWidth="1"/>
    <col min="27" max="27" width="42.5703125" bestFit="1" customWidth="1"/>
    <col min="28" max="28" width="24.28515625" bestFit="1" customWidth="1"/>
    <col min="29" max="29" width="52.5703125" bestFit="1" customWidth="1"/>
    <col min="30" max="30" width="15.140625" bestFit="1" customWidth="1"/>
    <col min="31" max="31" width="17.85546875" bestFit="1" customWidth="1"/>
    <col min="32" max="32" width="43.42578125" bestFit="1" customWidth="1"/>
    <col min="33" max="33" width="36.85546875" bestFit="1" customWidth="1"/>
    <col min="34" max="35" width="23.85546875" bestFit="1" customWidth="1"/>
    <col min="36" max="36" width="23.7109375" bestFit="1" customWidth="1"/>
    <col min="37" max="37" width="28" bestFit="1" customWidth="1"/>
    <col min="38" max="38" width="20.7109375" bestFit="1" customWidth="1"/>
    <col min="39" max="39" width="52.7109375" bestFit="1" customWidth="1"/>
    <col min="40" max="40" width="25.85546875" bestFit="1" customWidth="1"/>
    <col min="41" max="41" width="38.140625" bestFit="1" customWidth="1"/>
    <col min="42" max="42" width="20.28515625" bestFit="1" customWidth="1"/>
    <col min="43" max="43" width="17.140625" bestFit="1" customWidth="1"/>
    <col min="44" max="44" width="35.42578125" bestFit="1" customWidth="1"/>
    <col min="45" max="45" width="20.85546875" bestFit="1" customWidth="1"/>
    <col min="46" max="46" width="22.7109375" bestFit="1" customWidth="1"/>
    <col min="47" max="47" width="38.140625" bestFit="1" customWidth="1"/>
    <col min="48" max="48" width="20.85546875" bestFit="1" customWidth="1"/>
    <col min="49" max="49" width="27.7109375" bestFit="1" customWidth="1"/>
    <col min="50" max="50" width="29.5703125" bestFit="1" customWidth="1"/>
    <col min="51" max="51" width="31" bestFit="1" customWidth="1"/>
    <col min="52" max="52" width="32.85546875" bestFit="1" customWidth="1"/>
    <col min="53" max="53" width="32.140625" bestFit="1" customWidth="1"/>
    <col min="54" max="54" width="27.5703125" bestFit="1" customWidth="1"/>
    <col min="55" max="55" width="31.140625" bestFit="1" customWidth="1"/>
    <col min="56" max="56" width="23.5703125" bestFit="1" customWidth="1"/>
    <col min="57" max="57" width="27.7109375" bestFit="1" customWidth="1"/>
    <col min="58" max="58" width="33.7109375" bestFit="1" customWidth="1"/>
    <col min="59" max="59" width="20.85546875" bestFit="1" customWidth="1"/>
    <col min="60" max="60" width="7.5703125" bestFit="1" customWidth="1"/>
    <col min="61" max="61" width="33.140625" bestFit="1" customWidth="1"/>
    <col min="62" max="62" width="24.5703125" bestFit="1" customWidth="1"/>
    <col min="63" max="63" width="22.5703125" bestFit="1" customWidth="1"/>
    <col min="64" max="64" width="12.85546875" bestFit="1" customWidth="1"/>
    <col min="65" max="65" width="9.28515625" bestFit="1" customWidth="1"/>
    <col min="66" max="66" width="9.42578125" bestFit="1" customWidth="1"/>
    <col min="67" max="67" width="29.5703125" bestFit="1" customWidth="1"/>
    <col min="68" max="68" width="14.42578125" bestFit="1" customWidth="1"/>
    <col min="69" max="69" width="17.5703125" bestFit="1" customWidth="1"/>
    <col min="70" max="70" width="25.140625" bestFit="1" customWidth="1"/>
    <col min="71" max="71" width="21.140625" bestFit="1" customWidth="1"/>
    <col min="72" max="72" width="17.85546875" bestFit="1" customWidth="1"/>
    <col min="73" max="73" width="24.140625" bestFit="1" customWidth="1"/>
    <col min="74" max="74" width="9.5703125" bestFit="1" customWidth="1"/>
    <col min="75" max="75" width="12.28515625" bestFit="1" customWidth="1"/>
    <col min="76" max="76" width="13.42578125" bestFit="1" customWidth="1"/>
    <col min="77" max="77" width="15.140625" bestFit="1" customWidth="1"/>
    <col min="78" max="78" width="23.28515625" bestFit="1" customWidth="1"/>
    <col min="79" max="79" width="18.42578125" bestFit="1" customWidth="1"/>
    <col min="80" max="80" width="15.28515625" bestFit="1" customWidth="1"/>
    <col min="81" max="81" width="14.42578125" bestFit="1" customWidth="1"/>
    <col min="82" max="82" width="17.28515625" bestFit="1" customWidth="1"/>
    <col min="83" max="83" width="19.7109375" bestFit="1" customWidth="1"/>
    <col min="84" max="84" width="29.7109375" bestFit="1" customWidth="1"/>
    <col min="85" max="85" width="35.28515625" bestFit="1" customWidth="1"/>
    <col min="86" max="86" width="29.7109375" bestFit="1" customWidth="1"/>
    <col min="87" max="87" width="32.85546875" bestFit="1" customWidth="1"/>
    <col min="88" max="88" width="18.42578125" bestFit="1" customWidth="1"/>
    <col min="89" max="89" width="24.42578125" bestFit="1" customWidth="1"/>
    <col min="90" max="90" width="37.5703125" bestFit="1" customWidth="1"/>
    <col min="91" max="91" width="21.140625" bestFit="1" customWidth="1"/>
    <col min="92" max="92" width="36.85546875" bestFit="1" customWidth="1"/>
    <col min="93" max="93" width="24.7109375" bestFit="1" customWidth="1"/>
    <col min="94" max="94" width="10.140625" bestFit="1" customWidth="1"/>
    <col min="95" max="116" width="30.42578125" bestFit="1" customWidth="1"/>
    <col min="117" max="138" width="25.85546875" bestFit="1" customWidth="1"/>
    <col min="139" max="139" width="43" bestFit="1" customWidth="1"/>
    <col min="140" max="140" width="35.140625" bestFit="1" customWidth="1"/>
    <col min="141" max="141" width="27.42578125" bestFit="1" customWidth="1"/>
    <col min="142" max="142" width="28" bestFit="1" customWidth="1"/>
    <col min="143" max="143" width="9" bestFit="1" customWidth="1"/>
    <col min="144" max="144" width="14.140625" bestFit="1" customWidth="1"/>
    <col min="145" max="145" width="13.5703125" bestFit="1" customWidth="1"/>
    <col min="146" max="146" width="31.85546875" bestFit="1" customWidth="1"/>
    <col min="147" max="147" width="22.7109375" bestFit="1" customWidth="1"/>
    <col min="148" max="148" width="27.85546875" bestFit="1" customWidth="1"/>
    <col min="149" max="149" width="17.5703125" bestFit="1" customWidth="1"/>
    <col min="150" max="150" width="38.42578125" bestFit="1" customWidth="1"/>
    <col min="151" max="151" width="28.140625" bestFit="1" customWidth="1"/>
    <col min="152" max="152" width="18.28515625" bestFit="1" customWidth="1"/>
    <col min="153" max="153" width="15.5703125" bestFit="1" customWidth="1"/>
    <col min="154" max="154" width="37.85546875" bestFit="1" customWidth="1"/>
    <col min="155" max="155" width="18.140625" bestFit="1" customWidth="1"/>
    <col min="156" max="156" width="27.85546875" bestFit="1" customWidth="1"/>
    <col min="157" max="157" width="16.7109375" bestFit="1" customWidth="1"/>
    <col min="158" max="158" width="31.85546875" bestFit="1" customWidth="1"/>
    <col min="159" max="159" width="22.5703125" bestFit="1" customWidth="1"/>
    <col min="160" max="160" width="28.5703125" bestFit="1" customWidth="1"/>
    <col min="161" max="161" width="41.85546875" bestFit="1" customWidth="1"/>
    <col min="162" max="162" width="34.140625" bestFit="1" customWidth="1"/>
    <col min="163" max="163" width="19.140625" bestFit="1" customWidth="1"/>
    <col min="164" max="164" width="37.85546875" bestFit="1" customWidth="1"/>
    <col min="165" max="165" width="14.28515625" bestFit="1" customWidth="1"/>
    <col min="166" max="166" width="22.85546875" bestFit="1" customWidth="1"/>
    <col min="167" max="167" width="14.5703125" bestFit="1" customWidth="1"/>
    <col min="168" max="168" width="19.5703125" bestFit="1" customWidth="1"/>
    <col min="169" max="169" width="22.140625" bestFit="1" customWidth="1"/>
    <col min="170" max="170" width="36" bestFit="1" customWidth="1"/>
    <col min="171" max="171" width="13.5703125" bestFit="1" customWidth="1"/>
    <col min="172" max="172" width="18.7109375" bestFit="1" customWidth="1"/>
    <col min="173" max="173" width="13.28515625" bestFit="1" customWidth="1"/>
    <col min="174" max="174" width="29.140625" bestFit="1" customWidth="1"/>
    <col min="175" max="175" width="35.85546875" bestFit="1" customWidth="1"/>
    <col min="176" max="176" width="28" bestFit="1" customWidth="1"/>
    <col min="177" max="177" width="15.42578125" bestFit="1" customWidth="1"/>
    <col min="178" max="178" width="30.28515625" bestFit="1" customWidth="1"/>
    <col min="179" max="179" width="29.140625" bestFit="1" customWidth="1"/>
    <col min="180" max="180" width="24.42578125" bestFit="1" customWidth="1"/>
    <col min="181" max="181" width="31.85546875" bestFit="1" customWidth="1"/>
    <col min="182" max="182" width="38.42578125" bestFit="1" customWidth="1"/>
    <col min="183" max="183" width="20" bestFit="1" customWidth="1"/>
    <col min="184" max="184" width="28.42578125" bestFit="1" customWidth="1"/>
    <col min="185" max="185" width="19.140625" bestFit="1" customWidth="1"/>
    <col min="186" max="186" width="21.140625" bestFit="1" customWidth="1"/>
    <col min="187" max="187" width="35.42578125" bestFit="1" customWidth="1"/>
    <col min="188" max="188" width="16.42578125" bestFit="1" customWidth="1"/>
    <col min="189" max="189" width="11.140625" bestFit="1" customWidth="1"/>
    <col min="190" max="190" width="11.85546875" bestFit="1" customWidth="1"/>
    <col min="191" max="191" width="15" bestFit="1" customWidth="1"/>
    <col min="192" max="192" width="4.140625" bestFit="1" customWidth="1"/>
    <col min="193" max="193" width="10.28515625" bestFit="1" customWidth="1"/>
    <col min="194" max="194" width="27" bestFit="1" customWidth="1"/>
    <col min="195" max="195" width="14.42578125" bestFit="1" customWidth="1"/>
    <col min="196" max="196" width="25.42578125" bestFit="1" customWidth="1"/>
    <col min="197" max="197" width="18.5703125" bestFit="1" customWidth="1"/>
    <col min="198" max="198" width="38.85546875" bestFit="1" customWidth="1"/>
    <col min="199" max="199" width="18.28515625" bestFit="1" customWidth="1"/>
    <col min="200" max="200" width="19.28515625" bestFit="1" customWidth="1"/>
    <col min="201" max="201" width="18.85546875" bestFit="1" customWidth="1"/>
    <col min="202" max="202" width="19.7109375" bestFit="1" customWidth="1"/>
    <col min="203" max="203" width="5" bestFit="1" customWidth="1"/>
    <col min="204" max="204" width="16.5703125" bestFit="1" customWidth="1"/>
    <col min="205" max="205" width="14.85546875" bestFit="1" customWidth="1"/>
    <col min="206" max="206" width="25.42578125" bestFit="1" customWidth="1"/>
    <col min="207" max="207" width="18.28515625" bestFit="1" customWidth="1"/>
    <col min="208" max="208" width="10.42578125" bestFit="1" customWidth="1"/>
  </cols>
  <sheetData>
    <row r="1" spans="1:6" x14ac:dyDescent="0.25">
      <c r="A1" s="1" t="s">
        <v>4</v>
      </c>
      <c r="B1" t="s">
        <v>1254</v>
      </c>
    </row>
    <row r="2" spans="1:6" x14ac:dyDescent="0.25">
      <c r="A2" s="1" t="s">
        <v>1</v>
      </c>
      <c r="B2" t="s">
        <v>1254</v>
      </c>
    </row>
    <row r="4" spans="1:6" x14ac:dyDescent="0.25">
      <c r="A4" s="1" t="s">
        <v>0</v>
      </c>
      <c r="B4" s="1" t="s">
        <v>2</v>
      </c>
      <c r="C4" s="1" t="s">
        <v>3</v>
      </c>
      <c r="D4" t="s">
        <v>1258</v>
      </c>
      <c r="E4" t="s">
        <v>1259</v>
      </c>
    </row>
    <row r="5" spans="1:6" x14ac:dyDescent="0.25">
      <c r="A5" t="s">
        <v>18</v>
      </c>
      <c r="B5" t="s">
        <v>160</v>
      </c>
      <c r="C5" t="s">
        <v>161</v>
      </c>
      <c r="D5" s="2">
        <v>711.75</v>
      </c>
      <c r="E5" s="2">
        <v>1067.7315154528692</v>
      </c>
      <c r="F5" s="2">
        <f>D5-E5</f>
        <v>-355.98151545286919</v>
      </c>
    </row>
    <row r="6" spans="1:6" x14ac:dyDescent="0.25">
      <c r="B6" t="s">
        <v>167</v>
      </c>
      <c r="C6" t="s">
        <v>168</v>
      </c>
      <c r="D6" s="2">
        <v>1082.5</v>
      </c>
      <c r="E6" s="2">
        <v>1286.6989556200847</v>
      </c>
      <c r="F6" s="2">
        <f t="shared" ref="F6:F42" si="0">D6-E6</f>
        <v>-204.19895562008469</v>
      </c>
    </row>
    <row r="7" spans="1:6" x14ac:dyDescent="0.25">
      <c r="B7" t="s">
        <v>212</v>
      </c>
      <c r="C7" t="s">
        <v>213</v>
      </c>
      <c r="D7" s="2">
        <v>23</v>
      </c>
      <c r="E7" s="2">
        <v>54.194417061383483</v>
      </c>
      <c r="F7" s="2">
        <f t="shared" si="0"/>
        <v>-31.194417061383483</v>
      </c>
    </row>
    <row r="8" spans="1:6" x14ac:dyDescent="0.25">
      <c r="B8" t="s">
        <v>214</v>
      </c>
      <c r="C8" t="s">
        <v>215</v>
      </c>
      <c r="D8" s="2">
        <v>314.75</v>
      </c>
      <c r="E8" s="2">
        <v>351.91182641874076</v>
      </c>
      <c r="F8" s="2">
        <f t="shared" si="0"/>
        <v>-37.161826418740759</v>
      </c>
    </row>
    <row r="9" spans="1:6" x14ac:dyDescent="0.25">
      <c r="B9" t="s">
        <v>172</v>
      </c>
      <c r="C9" t="s">
        <v>173</v>
      </c>
      <c r="D9" s="2">
        <v>807</v>
      </c>
      <c r="E9" s="2">
        <v>955.02958579881647</v>
      </c>
      <c r="F9" s="2">
        <f t="shared" si="0"/>
        <v>-148.02958579881647</v>
      </c>
    </row>
    <row r="10" spans="1:6" x14ac:dyDescent="0.25">
      <c r="A10" t="s">
        <v>21</v>
      </c>
      <c r="B10" t="s">
        <v>322</v>
      </c>
      <c r="C10" t="s">
        <v>323</v>
      </c>
      <c r="D10" s="2">
        <v>603</v>
      </c>
      <c r="E10" s="2">
        <v>695.40816326530614</v>
      </c>
      <c r="F10" s="2">
        <f t="shared" si="0"/>
        <v>-92.408163265306143</v>
      </c>
    </row>
    <row r="11" spans="1:6" x14ac:dyDescent="0.25">
      <c r="B11" t="s">
        <v>246</v>
      </c>
      <c r="C11" t="s">
        <v>247</v>
      </c>
      <c r="D11" s="2">
        <v>4963</v>
      </c>
      <c r="E11" s="2">
        <v>5055</v>
      </c>
      <c r="F11" s="2">
        <f t="shared" si="0"/>
        <v>-92</v>
      </c>
    </row>
    <row r="12" spans="1:6" x14ac:dyDescent="0.25">
      <c r="B12" t="s">
        <v>254</v>
      </c>
      <c r="C12" t="s">
        <v>255</v>
      </c>
      <c r="D12" s="2">
        <v>17325</v>
      </c>
      <c r="E12" s="2">
        <v>18068.5</v>
      </c>
      <c r="F12" s="2">
        <f t="shared" si="0"/>
        <v>-743.5</v>
      </c>
    </row>
    <row r="13" spans="1:6" x14ac:dyDescent="0.25">
      <c r="B13" t="s">
        <v>75</v>
      </c>
      <c r="C13" t="s">
        <v>270</v>
      </c>
      <c r="D13" s="2">
        <v>24919</v>
      </c>
      <c r="E13" s="2">
        <v>29419.148936170208</v>
      </c>
      <c r="F13" s="2">
        <f t="shared" si="0"/>
        <v>-4500.1489361702079</v>
      </c>
    </row>
    <row r="14" spans="1:6" x14ac:dyDescent="0.25">
      <c r="B14" t="s">
        <v>271</v>
      </c>
      <c r="C14" t="s">
        <v>272</v>
      </c>
      <c r="D14" s="2">
        <v>2941</v>
      </c>
      <c r="E14" s="2">
        <v>4705.6000000000004</v>
      </c>
      <c r="F14" s="2">
        <f t="shared" si="0"/>
        <v>-1764.6000000000004</v>
      </c>
    </row>
    <row r="15" spans="1:6" x14ac:dyDescent="0.25">
      <c r="B15" t="s">
        <v>80</v>
      </c>
      <c r="C15" t="s">
        <v>273</v>
      </c>
      <c r="D15" s="2">
        <v>20500</v>
      </c>
      <c r="E15" s="2">
        <v>21179.797979797979</v>
      </c>
      <c r="F15" s="2">
        <f t="shared" si="0"/>
        <v>-679.79797979797877</v>
      </c>
    </row>
    <row r="16" spans="1:6" x14ac:dyDescent="0.25">
      <c r="B16" t="s">
        <v>231</v>
      </c>
      <c r="C16" t="s">
        <v>232</v>
      </c>
      <c r="D16" s="2">
        <v>26026</v>
      </c>
      <c r="E16" s="2">
        <v>30010.81081081081</v>
      </c>
      <c r="F16" s="2">
        <f t="shared" si="0"/>
        <v>-3984.8108108108099</v>
      </c>
    </row>
    <row r="17" spans="1:6" x14ac:dyDescent="0.25">
      <c r="A17" t="s">
        <v>22</v>
      </c>
      <c r="B17" t="s">
        <v>328</v>
      </c>
      <c r="C17" t="s">
        <v>329</v>
      </c>
      <c r="D17" s="2">
        <v>1909</v>
      </c>
      <c r="E17" s="2">
        <v>1909.0054447882801</v>
      </c>
      <c r="F17" s="2">
        <f t="shared" si="0"/>
        <v>-5.4447882801014202E-3</v>
      </c>
    </row>
    <row r="18" spans="1:6" x14ac:dyDescent="0.25">
      <c r="B18" t="s">
        <v>136</v>
      </c>
      <c r="C18" t="s">
        <v>334</v>
      </c>
      <c r="D18" s="2">
        <v>1380</v>
      </c>
      <c r="E18" s="2">
        <v>1792.3859627016125</v>
      </c>
      <c r="F18" s="2">
        <f t="shared" si="0"/>
        <v>-412.38596270161247</v>
      </c>
    </row>
    <row r="19" spans="1:6" x14ac:dyDescent="0.25">
      <c r="B19" t="s">
        <v>341</v>
      </c>
      <c r="C19" t="s">
        <v>342</v>
      </c>
      <c r="D19" s="2">
        <v>21677.360000000001</v>
      </c>
      <c r="E19" s="2">
        <v>21677.643761739288</v>
      </c>
      <c r="F19" s="2">
        <f t="shared" si="0"/>
        <v>-0.28376173928700155</v>
      </c>
    </row>
    <row r="20" spans="1:6" x14ac:dyDescent="0.25">
      <c r="B20" t="s">
        <v>345</v>
      </c>
      <c r="C20" t="s">
        <v>346</v>
      </c>
      <c r="D20" s="2">
        <v>7185</v>
      </c>
      <c r="E20" s="2">
        <v>7185.0736588529589</v>
      </c>
      <c r="F20" s="2">
        <f t="shared" si="0"/>
        <v>-7.3658852958942589E-2</v>
      </c>
    </row>
    <row r="21" spans="1:6" x14ac:dyDescent="0.25">
      <c r="B21" t="s">
        <v>350</v>
      </c>
      <c r="C21" t="s">
        <v>351</v>
      </c>
      <c r="D21" s="2">
        <v>1386</v>
      </c>
      <c r="E21" s="2">
        <v>1472</v>
      </c>
      <c r="F21" s="2">
        <f t="shared" si="0"/>
        <v>-86</v>
      </c>
    </row>
    <row r="22" spans="1:6" x14ac:dyDescent="0.25">
      <c r="B22" t="s">
        <v>372</v>
      </c>
      <c r="C22" t="s">
        <v>373</v>
      </c>
      <c r="D22" s="2">
        <v>8258</v>
      </c>
      <c r="E22" s="2">
        <v>8402.9395089188365</v>
      </c>
      <c r="F22" s="2">
        <f t="shared" si="0"/>
        <v>-144.93950891883651</v>
      </c>
    </row>
    <row r="23" spans="1:6" x14ac:dyDescent="0.25">
      <c r="B23" t="s">
        <v>231</v>
      </c>
      <c r="C23" t="s">
        <v>83</v>
      </c>
      <c r="D23" s="2">
        <v>69496</v>
      </c>
      <c r="E23" s="2">
        <v>71698.152233866494</v>
      </c>
      <c r="F23" s="2">
        <f t="shared" si="0"/>
        <v>-2202.1522338664945</v>
      </c>
    </row>
    <row r="24" spans="1:6" x14ac:dyDescent="0.25">
      <c r="A24" t="s">
        <v>23</v>
      </c>
      <c r="B24" t="s">
        <v>535</v>
      </c>
      <c r="C24" t="s">
        <v>536</v>
      </c>
      <c r="D24" s="2">
        <v>2698</v>
      </c>
      <c r="E24" s="2">
        <v>2821</v>
      </c>
      <c r="F24" s="2">
        <f t="shared" si="0"/>
        <v>-123</v>
      </c>
    </row>
    <row r="25" spans="1:6" x14ac:dyDescent="0.25">
      <c r="B25" t="s">
        <v>601</v>
      </c>
      <c r="C25" t="s">
        <v>602</v>
      </c>
      <c r="D25" s="2">
        <v>212</v>
      </c>
      <c r="E25" s="2">
        <v>1013.7362637362638</v>
      </c>
      <c r="F25" s="2">
        <f t="shared" si="0"/>
        <v>-801.73626373626382</v>
      </c>
    </row>
    <row r="26" spans="1:6" x14ac:dyDescent="0.25">
      <c r="B26" t="s">
        <v>609</v>
      </c>
      <c r="C26" t="s">
        <v>610</v>
      </c>
      <c r="D26" s="2">
        <v>1716</v>
      </c>
      <c r="E26" s="2">
        <v>2059.5</v>
      </c>
      <c r="F26" s="2">
        <f t="shared" si="0"/>
        <v>-343.5</v>
      </c>
    </row>
    <row r="27" spans="1:6" x14ac:dyDescent="0.25">
      <c r="B27" t="s">
        <v>615</v>
      </c>
      <c r="C27" t="s">
        <v>616</v>
      </c>
      <c r="D27" s="2">
        <v>235</v>
      </c>
      <c r="E27" s="2">
        <v>305.92743242844932</v>
      </c>
      <c r="F27" s="2">
        <f t="shared" si="0"/>
        <v>-70.927432428449322</v>
      </c>
    </row>
    <row r="28" spans="1:6" x14ac:dyDescent="0.25">
      <c r="B28" t="s">
        <v>627</v>
      </c>
      <c r="C28" t="s">
        <v>628</v>
      </c>
      <c r="D28" s="2">
        <v>244</v>
      </c>
      <c r="E28" s="2">
        <v>395</v>
      </c>
      <c r="F28" s="2">
        <f t="shared" si="0"/>
        <v>-151</v>
      </c>
    </row>
    <row r="29" spans="1:6" x14ac:dyDescent="0.25">
      <c r="B29" t="s">
        <v>621</v>
      </c>
      <c r="C29" t="s">
        <v>622</v>
      </c>
      <c r="D29" s="2">
        <v>553</v>
      </c>
      <c r="E29" s="2">
        <v>963.25878594249207</v>
      </c>
      <c r="F29" s="2">
        <f t="shared" si="0"/>
        <v>-410.25878594249207</v>
      </c>
    </row>
    <row r="30" spans="1:6" x14ac:dyDescent="0.25">
      <c r="B30" t="s">
        <v>651</v>
      </c>
      <c r="C30" t="s">
        <v>652</v>
      </c>
      <c r="D30" s="2">
        <v>107.01</v>
      </c>
      <c r="E30" s="2">
        <v>222</v>
      </c>
      <c r="F30" s="2">
        <f t="shared" si="0"/>
        <v>-114.99</v>
      </c>
    </row>
    <row r="31" spans="1:6" x14ac:dyDescent="0.25">
      <c r="B31" t="s">
        <v>662</v>
      </c>
      <c r="C31" t="s">
        <v>663</v>
      </c>
      <c r="D31" s="2">
        <v>14620</v>
      </c>
      <c r="E31" s="2">
        <v>16524.815744080282</v>
      </c>
      <c r="F31" s="2">
        <f t="shared" si="0"/>
        <v>-1904.8157440802825</v>
      </c>
    </row>
    <row r="32" spans="1:6" x14ac:dyDescent="0.25">
      <c r="B32" t="s">
        <v>747</v>
      </c>
      <c r="C32" t="s">
        <v>748</v>
      </c>
      <c r="D32" s="2">
        <v>100</v>
      </c>
      <c r="E32" s="2">
        <v>264.5</v>
      </c>
      <c r="F32" s="2">
        <f t="shared" si="0"/>
        <v>-164.5</v>
      </c>
    </row>
    <row r="33" spans="1:6" x14ac:dyDescent="0.25">
      <c r="B33" t="s">
        <v>749</v>
      </c>
      <c r="C33" t="s">
        <v>750</v>
      </c>
      <c r="D33" s="2">
        <v>900</v>
      </c>
      <c r="E33" s="2">
        <v>1132.3221757322178</v>
      </c>
      <c r="F33" s="2">
        <f t="shared" si="0"/>
        <v>-232.32217573221783</v>
      </c>
    </row>
    <row r="34" spans="1:6" x14ac:dyDescent="0.25">
      <c r="B34" t="s">
        <v>763</v>
      </c>
      <c r="C34" t="s">
        <v>764</v>
      </c>
      <c r="D34" s="2">
        <v>50</v>
      </c>
      <c r="E34" s="2">
        <v>284.5</v>
      </c>
      <c r="F34" s="2">
        <f t="shared" si="0"/>
        <v>-234.5</v>
      </c>
    </row>
    <row r="35" spans="1:6" x14ac:dyDescent="0.25">
      <c r="B35" t="s">
        <v>790</v>
      </c>
      <c r="C35" t="s">
        <v>791</v>
      </c>
      <c r="D35" s="2">
        <v>5030</v>
      </c>
      <c r="E35" s="2">
        <v>8351.2821875508398</v>
      </c>
      <c r="F35" s="2">
        <f t="shared" si="0"/>
        <v>-3321.2821875508398</v>
      </c>
    </row>
    <row r="36" spans="1:6" x14ac:dyDescent="0.25">
      <c r="A36" t="s">
        <v>24</v>
      </c>
      <c r="B36" t="s">
        <v>36</v>
      </c>
      <c r="C36" t="s">
        <v>796</v>
      </c>
      <c r="D36" s="2">
        <v>9111.3700000000008</v>
      </c>
      <c r="E36" s="2">
        <v>9637.0588235294126</v>
      </c>
      <c r="F36" s="2">
        <f t="shared" si="0"/>
        <v>-525.68882352941182</v>
      </c>
    </row>
    <row r="37" spans="1:6" x14ac:dyDescent="0.25">
      <c r="B37" t="s">
        <v>246</v>
      </c>
      <c r="C37" t="s">
        <v>799</v>
      </c>
      <c r="D37" s="2">
        <v>1029</v>
      </c>
      <c r="E37" s="2">
        <v>1552.3076923076926</v>
      </c>
      <c r="F37" s="2">
        <f t="shared" si="0"/>
        <v>-523.30769230769261</v>
      </c>
    </row>
    <row r="38" spans="1:6" x14ac:dyDescent="0.25">
      <c r="B38" t="s">
        <v>52</v>
      </c>
      <c r="C38" t="s">
        <v>801</v>
      </c>
      <c r="D38" s="2">
        <v>4725</v>
      </c>
      <c r="E38" s="2">
        <v>4797.0588235294117</v>
      </c>
      <c r="F38" s="2">
        <f t="shared" si="0"/>
        <v>-72.058823529411711</v>
      </c>
    </row>
    <row r="39" spans="1:6" x14ac:dyDescent="0.25">
      <c r="B39" t="s">
        <v>71</v>
      </c>
      <c r="C39" t="s">
        <v>810</v>
      </c>
      <c r="D39" s="2">
        <v>47318.15</v>
      </c>
      <c r="E39" s="2">
        <v>54867</v>
      </c>
      <c r="F39" s="2">
        <f t="shared" si="0"/>
        <v>-7548.8499999999985</v>
      </c>
    </row>
    <row r="40" spans="1:6" x14ac:dyDescent="0.25">
      <c r="A40" t="s">
        <v>25</v>
      </c>
      <c r="B40" t="s">
        <v>900</v>
      </c>
      <c r="C40" t="s">
        <v>901</v>
      </c>
      <c r="D40" s="2">
        <v>174</v>
      </c>
      <c r="E40" s="2">
        <v>216.07142857142858</v>
      </c>
      <c r="F40" s="2">
        <f t="shared" si="0"/>
        <v>-42.071428571428584</v>
      </c>
    </row>
    <row r="41" spans="1:6" x14ac:dyDescent="0.25">
      <c r="B41" t="s">
        <v>902</v>
      </c>
      <c r="C41" t="s">
        <v>903</v>
      </c>
      <c r="D41" s="2">
        <v>82</v>
      </c>
      <c r="E41" s="2">
        <v>83.516483516483504</v>
      </c>
      <c r="F41" s="2">
        <f t="shared" si="0"/>
        <v>-1.516483516483504</v>
      </c>
    </row>
    <row r="42" spans="1:6" x14ac:dyDescent="0.25">
      <c r="B42" t="s">
        <v>1147</v>
      </c>
      <c r="C42" t="s">
        <v>1148</v>
      </c>
      <c r="D42" s="2">
        <v>178</v>
      </c>
      <c r="E42" s="2">
        <v>359.25925925925924</v>
      </c>
      <c r="F42" s="2">
        <f t="shared" si="0"/>
        <v>-181.25925925925924</v>
      </c>
    </row>
    <row r="43" spans="1:6" x14ac:dyDescent="0.25">
      <c r="A43" t="s">
        <v>27</v>
      </c>
      <c r="D43" s="2">
        <v>300589.89</v>
      </c>
      <c r="E43" s="2">
        <v>332837.14786144794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Phase Code Not Progressable</vt:lpstr>
      <vt:lpstr>Invisible Work</vt:lpstr>
      <vt:lpstr>Magic Work</vt:lpstr>
      <vt:lpstr>Overrrunning 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Means</dc:creator>
  <cp:lastModifiedBy>Steve Amalfitano</cp:lastModifiedBy>
  <dcterms:created xsi:type="dcterms:W3CDTF">2026-04-07T12:54:06Z</dcterms:created>
  <dcterms:modified xsi:type="dcterms:W3CDTF">2026-04-17T18:55:40Z</dcterms:modified>
</cp:coreProperties>
</file>